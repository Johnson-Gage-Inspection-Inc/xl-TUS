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3.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tables/table17.xml" ContentType="application/vnd.openxmlformats-officedocument.spreadsheetml.table+xml"/>
  <Override PartName="/xl/queryTables/queryTable9.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18.xml" ContentType="application/vnd.openxmlformats-officedocument.spreadsheetml.table+xml"/>
  <Override PartName="/xl/queryTables/queryTable10.xml" ContentType="application/vnd.openxmlformats-officedocument.spreadsheetml.queryTable+xml"/>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2.xml" ContentType="application/vnd.openxmlformats-officedocument.spreadsheetml.table+xml"/>
  <Override PartName="/xl/comments2.xml" ContentType="application/vnd.openxmlformats-officedocument.spreadsheetml.comments+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38CBFA04-8AD2-4042-9E65-F66C73E3A1AA}" xr6:coauthVersionLast="47" xr6:coauthVersionMax="47" xr10:uidLastSave="{00000000-0000-0000-0000-000000000000}"/>
  <bookViews>
    <workbookView xWindow="-120" yWindow="-120" windowWidth="29040" windowHeight="15720" tabRatio="892" firstSheet="11" activeTab="11"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Main" sheetId="8" r:id="rId12"/>
    <sheet name="DaqBook_RAW_Data" sheetId="9" r:id="rId13"/>
    <sheet name="Packet_Content" sheetId="19" r:id="rId14"/>
    <sheet name="CERT" sheetId="26" r:id="rId15"/>
    <sheet name="Header_Info" sheetId="77" state="hidden" r:id="rId16"/>
    <sheet name="Customer Table" sheetId="29" state="hidden" r:id="rId17"/>
    <sheet name="AssetPool" sheetId="35" state="hidden" r:id="rId18"/>
    <sheet name="DaqbookServiceRecords" sheetId="54" state="hidden" r:id="rId19"/>
    <sheet name="Employees" sheetId="38" state="hidden" r:id="rId20"/>
    <sheet name="Data_Sheet" sheetId="13" r:id="rId21"/>
    <sheet name="Data_Sheet_15_28" sheetId="14" r:id="rId22"/>
    <sheet name="Data_Sheet_29_40" sheetId="15" r:id="rId23"/>
    <sheet name="Comparison_Report" sheetId="4" r:id="rId24"/>
    <sheet name="TUS_Worksheet" sheetId="5" r:id="rId25"/>
    <sheet name="Interp" sheetId="21" r:id="rId26"/>
    <sheet name="Standards_Info" sheetId="12" state="hidden" r:id="rId27"/>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UNIQUE" hidden="1" xlm="1">#NAME?</definedName>
    <definedName name="_xleta.VLOOKUP" hidden="1" xlm="1">#NAME?</definedName>
    <definedName name="_xlpm.avgVal"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mainOrder" hidden="1" xlm="1">#NAME?</definedName>
    <definedName name="_xlpm.mainPart" hidden="1" xlm="1">#NAME?</definedName>
    <definedName name="_xlpm.mainPartRaw"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tbl" hidden="1" xlm="1">#NAME?</definedName>
    <definedName name="_xlpm.temps" hidden="1" xlm="1">#NAME?</definedName>
    <definedName name="_xlpm.tol" hidden="1" xlm="1">#NAME?</definedName>
    <definedName name="_xlpm.tp"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7" hidden="1">AssetPool!$A$1:$Q$71</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8" hidden="1">DaqbookServiceRecords!$A$1:$B$2</definedName>
    <definedName name="ExternalData_1" localSheetId="3" hidden="1">Employee!$A$1:$D$2</definedName>
    <definedName name="ExternalData_1" localSheetId="19" hidden="1">Employees!$A$1:$D$55</definedName>
    <definedName name="ExternalData_1" localSheetId="15" hidden="1">Header_Info!$A$1:$AO$405</definedName>
    <definedName name="ExternalData_1" localSheetId="6" hidden="1">Survey!$A$1:$C$2</definedName>
    <definedName name="ExternalData_1" localSheetId="9" hidden="1">UncBudgets!$A$1:$I$13</definedName>
    <definedName name="ExternalData_1" localSheetId="4" hidden="1">WireCertData!$A$1:$AL$67</definedName>
    <definedName name="ExternalData_1" localSheetId="2" hidden="1">WireOffsets!$A$1:$C$39</definedName>
    <definedName name="ExternalData_1" localSheetId="0" hidden="1">WireSets!$A$1:$K$29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4">CERT!$A$1:$O$80</definedName>
    <definedName name="_xlnm.Print_Area" localSheetId="23">Comparison_Report!$A$1:$N$40</definedName>
    <definedName name="_xlnm.Print_Area" localSheetId="20">Data_Sheet!$A$1:$P$49</definedName>
    <definedName name="_xlnm.Print_Area" localSheetId="21">Data_Sheet_15_28!$A$1:$P$49</definedName>
    <definedName name="_xlnm.Print_Area" localSheetId="22">Data_Sheet_29_40!$A$1:$P$49</definedName>
    <definedName name="_xlnm.Print_Area" localSheetId="13">Packet_Content!$A$1:$I$43</definedName>
    <definedName name="_xlnm.Print_Area" localSheetId="24">TUS_Worksheet!$A$1:$R$56</definedName>
    <definedName name="Query___customers" localSheetId="16" hidden="1">'Customer Table'!$A$1:$O$1654</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90" l="1"/>
  <c r="J5" i="90" a="1"/>
  <c r="J5" i="90" s="1"/>
  <c r="O43" i="90" l="1"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J8" i="90"/>
  <c r="G14" i="8"/>
  <c r="G13" i="8"/>
  <c r="G12" i="8"/>
  <c r="B33" i="26"/>
  <c r="P3" i="90" l="1"/>
  <c r="N3" i="90" s="1"/>
  <c r="P2" i="90"/>
  <c r="N2" i="90" s="1"/>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M3" i="90"/>
  <c r="Q3" i="90"/>
  <c r="O7" i="90" a="1"/>
  <c r="O7" i="90" s="1"/>
  <c r="O12" i="90" a="1"/>
  <c r="O12" i="90" s="1"/>
  <c r="O8" i="90" a="1"/>
  <c r="O8" i="90" s="1"/>
  <c r="O9" i="90" a="1"/>
  <c r="O9" i="90" s="1"/>
  <c r="O11" i="90" a="1"/>
  <c r="O11" i="90" s="1"/>
  <c r="O10" i="90" a="1"/>
  <c r="O10" i="90" s="1"/>
  <c r="O6" i="90" a="1"/>
  <c r="O6" i="90" s="1"/>
  <c r="Q2" i="90"/>
  <c r="M2" i="90"/>
  <c r="O4" i="90" a="1"/>
  <c r="O4" i="90" s="1"/>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P32" i="8" l="1"/>
  <c r="P26" i="8"/>
  <c r="P24" i="8"/>
  <c r="P35" i="8"/>
  <c r="P42" i="8"/>
  <c r="P38" i="8"/>
  <c r="P41" i="8"/>
  <c r="P22" i="8"/>
  <c r="P16" i="8"/>
  <c r="P25" i="8"/>
  <c r="P34" i="8"/>
  <c r="P17" i="8"/>
  <c r="P33" i="8"/>
  <c r="P43" i="8"/>
  <c r="P44" i="8"/>
  <c r="P27" i="8"/>
  <c r="P29" i="8"/>
  <c r="P20" i="8"/>
  <c r="P15" i="8"/>
  <c r="P21" i="8"/>
  <c r="P31" i="8"/>
  <c r="P39" i="8"/>
  <c r="P28" i="8"/>
  <c r="P37" i="8"/>
  <c r="P40" i="8"/>
  <c r="P18" i="8"/>
  <c r="P36" i="8"/>
  <c r="P30" i="8"/>
  <c r="P23" i="8"/>
  <c r="P19" i="8"/>
  <c r="S29" i="8"/>
  <c r="L6" i="8"/>
  <c r="N24" i="26"/>
  <c r="S19" i="8" a="1"/>
  <c r="R5" i="8" a="1"/>
  <c r="R36" i="8" a="1"/>
  <c r="R44" i="8" a="1"/>
  <c r="S15" i="8" a="1"/>
  <c r="S38" i="8" a="1"/>
  <c r="S21" i="8" a="1"/>
  <c r="S34" i="8" a="1"/>
  <c r="S8" i="8" a="1"/>
  <c r="S43" i="8" a="1"/>
  <c r="S26" i="8" a="1"/>
  <c r="S7" i="8" a="1"/>
  <c r="S33" i="8" a="1"/>
  <c r="R12" i="8" a="1"/>
  <c r="R32" i="8" a="1"/>
  <c r="S12" i="8" a="1"/>
  <c r="S27" i="8" a="1"/>
  <c r="R28" i="8" a="1"/>
  <c r="R11" i="8" a="1"/>
  <c r="R43" i="8" a="1"/>
  <c r="S30" i="8" a="1"/>
  <c r="R42" i="8" a="1"/>
  <c r="R18" i="8" a="1"/>
  <c r="R10" i="8" a="1"/>
  <c r="R9" i="8" a="1"/>
  <c r="R7" i="8" a="1"/>
  <c r="S11" i="8" a="1"/>
  <c r="S31" i="8" a="1"/>
  <c r="R34" i="8" a="1"/>
  <c r="S35" i="8" a="1"/>
  <c r="R19" i="8" a="1"/>
  <c r="R16" i="8" a="1"/>
  <c r="S42" i="8" a="1"/>
  <c r="R27" i="8" a="1"/>
  <c r="S39" i="8" a="1"/>
  <c r="R38" i="8" a="1"/>
  <c r="R33" i="8" a="1"/>
  <c r="S37" i="8" a="1"/>
  <c r="S10" i="8" a="1"/>
  <c r="S13" i="8" a="1"/>
  <c r="S24" i="8" a="1"/>
  <c r="R40" i="8" a="1"/>
  <c r="R22" i="8" a="1"/>
  <c r="R8" i="8" a="1"/>
  <c r="S9" i="8" a="1"/>
  <c r="R37" i="8" a="1"/>
  <c r="S6" i="8" a="1"/>
  <c r="R26" i="8" a="1"/>
  <c r="R29" i="8" a="1"/>
  <c r="R20" i="8" a="1"/>
  <c r="S25" i="8" a="1"/>
  <c r="R21" i="8" a="1"/>
  <c r="S44" i="8" a="1"/>
  <c r="R39" i="8" a="1"/>
  <c r="R6" i="8" a="1"/>
  <c r="R17" i="8" a="1"/>
  <c r="S23" i="8" a="1"/>
  <c r="R24" i="8" a="1"/>
  <c r="R13" i="8" a="1"/>
  <c r="R30" i="8" a="1"/>
  <c r="R41" i="8" a="1"/>
  <c r="S40" i="8" a="1"/>
  <c r="S20" i="8" a="1"/>
  <c r="S28" i="8" a="1"/>
  <c r="R23" i="8" a="1"/>
  <c r="S18" i="8" a="1"/>
  <c r="R35" i="8" a="1"/>
  <c r="S14" i="8" a="1"/>
  <c r="R25" i="8" a="1"/>
  <c r="S17" i="8" a="1"/>
  <c r="S32" i="8" a="1"/>
  <c r="S22" i="8" a="1"/>
  <c r="R31" i="8" a="1"/>
  <c r="S5" i="8" a="1"/>
  <c r="R15" i="8" a="1"/>
  <c r="S36" i="8" a="1"/>
  <c r="S16" i="8" a="1"/>
  <c r="R14" i="8" a="1"/>
  <c r="S41"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E2" i="71" l="1"/>
  <c r="D2" i="71"/>
  <c r="D29" i="8"/>
  <c r="B12" i="15" a="1"/>
  <c r="B12" i="15" s="1"/>
  <c r="B12" i="14" a="1"/>
  <c r="B12" i="14" s="1"/>
  <c r="B12" i="13" a="1"/>
  <c r="B12" i="13" s="1"/>
  <c r="O13" i="13"/>
  <c r="D7" i="8" l="1" a="1"/>
  <c r="D7" i="8" s="1"/>
  <c r="AG2" i="12" a="1"/>
  <c r="AG2" i="12" s="1"/>
  <c r="B11" i="26" a="1"/>
  <c r="B11" i="26" s="1"/>
  <c r="B10" i="26" a="1"/>
  <c r="B10" i="26" s="1"/>
  <c r="L35" i="8" l="1"/>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B12" i="26" a="1"/>
  <c r="O5" i="90" l="1" a="1"/>
  <c r="O5" i="90" s="1"/>
  <c r="O13" i="90" a="1"/>
  <c r="O13" i="90" s="1"/>
  <c r="B12" i="26"/>
  <c r="N53" i="8"/>
  <c r="D4" i="8"/>
  <c r="N51" i="8"/>
  <c r="N49" i="8"/>
  <c r="F8" i="8" s="1"/>
  <c r="N50" i="8"/>
  <c r="N52" i="8"/>
  <c r="G28" i="8"/>
  <c r="G27" i="8" s="1"/>
  <c r="D19" i="8"/>
  <c r="G93" i="8" s="1"/>
  <c r="G94" i="8" s="1"/>
  <c r="P9" i="8"/>
  <c r="P13" i="8"/>
  <c r="P10" i="8"/>
  <c r="P11" i="8"/>
  <c r="A2" i="12"/>
  <c r="D2" i="12" s="1"/>
  <c r="D3" i="12"/>
  <c r="D6" i="12"/>
  <c r="D8" i="12"/>
  <c r="D4" i="12"/>
  <c r="D7" i="12"/>
  <c r="D9" i="12"/>
  <c r="D5" i="12"/>
  <c r="AQ2" i="77"/>
  <c r="G17" i="8"/>
  <c r="B54" i="26"/>
  <c r="J6" i="5"/>
  <c r="B7" i="5"/>
  <c r="B5" i="5"/>
  <c r="K13" i="8"/>
  <c r="F62" i="26" a="1"/>
  <c r="F62" i="26" s="1"/>
  <c r="E9" i="8" a="1"/>
  <c r="E9" i="8" s="1"/>
  <c r="Q2" i="29" a="1"/>
  <c r="Q2" i="29" s="1"/>
  <c r="Q1" i="29" a="1"/>
  <c r="Q1" i="29" s="1"/>
  <c r="AQ1" i="77" a="1"/>
  <c r="AQ1" i="77" s="1"/>
  <c r="D6" i="8"/>
  <c r="B6" i="5" s="1"/>
  <c r="J4" i="90" l="1" a="1"/>
  <c r="J4" i="90" s="1"/>
  <c r="J6" i="90" s="1"/>
  <c r="J3" i="90"/>
  <c r="M26" i="26" s="1"/>
  <c r="G10" i="8"/>
  <c r="P6" i="8"/>
  <c r="P14" i="8"/>
  <c r="P8" i="8"/>
  <c r="P12" i="8"/>
  <c r="P7" i="8"/>
  <c r="P5" i="8"/>
  <c r="D5" i="8"/>
  <c r="J5" i="5" s="1"/>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R62" i="26"/>
  <c r="T62" i="26"/>
  <c r="J7" i="90" l="1"/>
  <c r="J9" i="90" s="1"/>
  <c r="N26" i="26" s="1"/>
  <c r="A62" i="26"/>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J10" i="4" a="1"/>
  <c r="J10" i="4" s="1"/>
  <c r="M22" i="4" a="1"/>
  <c r="M22" i="4" s="1"/>
  <c r="J22" i="4" a="1"/>
  <c r="J22" i="4" s="1"/>
  <c r="M10" i="4" a="1"/>
  <c r="M10" i="4" s="1"/>
  <c r="D10" i="4" a="1"/>
  <c r="D10" i="4" s="1"/>
  <c r="G10" i="4" a="1"/>
  <c r="G10" i="4" s="1"/>
  <c r="G22" i="4" a="1"/>
  <c r="G22" i="4" s="1"/>
  <c r="D22" i="4" a="1"/>
  <c r="D22" i="4" s="1"/>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G95" i="8"/>
  <c r="E6" i="4" s="1"/>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M21" i="4"/>
  <c r="L21" i="4"/>
  <c r="J21" i="4"/>
  <c r="I21" i="4"/>
  <c r="G21" i="4"/>
  <c r="F21" i="4"/>
  <c r="D21" i="4"/>
  <c r="C21" i="4"/>
  <c r="M9" i="4"/>
  <c r="L9" i="4"/>
  <c r="J9" i="4"/>
  <c r="I9" i="4"/>
  <c r="G9" i="4"/>
  <c r="F9" i="4"/>
  <c r="D9" i="4"/>
  <c r="C9" i="4"/>
  <c r="K5" i="4"/>
  <c r="S12" i="4" s="1" a="1"/>
  <c r="S12" i="4" s="1"/>
  <c r="E5" i="4"/>
  <c r="K4" i="4"/>
  <c r="E4" i="4"/>
  <c r="K3" i="4"/>
  <c r="E3" i="4"/>
  <c r="D10" i="19"/>
  <c r="D9" i="19"/>
  <c r="L36" i="8"/>
  <c r="K36" i="8"/>
  <c r="J36" i="8"/>
  <c r="I36" i="8"/>
  <c r="H36" i="8"/>
  <c r="D31" i="8"/>
  <c r="E26" i="8"/>
  <c r="A10" i="4" l="1"/>
  <c r="C10" i="4" s="1"/>
  <c r="A14" i="13" a="1"/>
  <c r="A14" i="13" s="1"/>
  <c r="A14" i="15" a="1"/>
  <c r="A14" i="15" s="1"/>
  <c r="A14" i="14" a="1"/>
  <c r="A14" i="14" s="1"/>
  <c r="A25" i="4"/>
  <c r="L25" i="4" s="1"/>
  <c r="N25" i="4" s="1"/>
  <c r="A24" i="4"/>
  <c r="A23" i="4"/>
  <c r="A26" i="4"/>
  <c r="I26" i="4" s="1"/>
  <c r="A22" i="4"/>
  <c r="A28" i="4"/>
  <c r="I28" i="4" s="1"/>
  <c r="K28" i="4" s="1"/>
  <c r="A27" i="4"/>
  <c r="L27" i="4" s="1"/>
  <c r="N27" i="4" s="1"/>
  <c r="A30" i="4"/>
  <c r="I30" i="4" s="1"/>
  <c r="K30" i="4" s="1"/>
  <c r="A29" i="4"/>
  <c r="I29" i="4" s="1"/>
  <c r="K29" i="4" s="1"/>
  <c r="A18" i="4"/>
  <c r="A17" i="4"/>
  <c r="A15" i="4"/>
  <c r="A16" i="4"/>
  <c r="E2" i="14"/>
  <c r="E1" i="14"/>
  <c r="E2" i="15"/>
  <c r="E1" i="15"/>
  <c r="C2" i="14"/>
  <c r="C1" i="14"/>
  <c r="C2" i="15"/>
  <c r="C1" i="15"/>
  <c r="I22" i="4" l="1"/>
  <c r="K22" i="4" s="1"/>
  <c r="T4" i="4" s="1" a="1"/>
  <c r="T4" i="4" s="1"/>
  <c r="R7" i="4" s="1"/>
  <c r="O24" i="4" s="1"/>
  <c r="L22" i="4"/>
  <c r="N22" i="4" s="1"/>
  <c r="U4" i="4" s="1" a="1"/>
  <c r="U4" i="4" s="1"/>
  <c r="R8" i="4" s="1"/>
  <c r="O25" i="4" s="1"/>
  <c r="L23" i="4"/>
  <c r="N23" i="4" s="1"/>
  <c r="L24" i="4"/>
  <c r="N24" i="4" s="1"/>
  <c r="C25" i="4"/>
  <c r="E25" i="4" s="1"/>
  <c r="P2" i="14"/>
  <c r="Q2" i="14" s="1"/>
  <c r="A12" i="4"/>
  <c r="C12" i="4" s="1"/>
  <c r="P1" i="14"/>
  <c r="Q1" i="14" s="1"/>
  <c r="A13" i="4"/>
  <c r="P1" i="15"/>
  <c r="Q1" i="15" s="1"/>
  <c r="A11" i="4"/>
  <c r="C11" i="4" s="1"/>
  <c r="P2" i="13"/>
  <c r="Q2" i="13" s="1"/>
  <c r="P2" i="15"/>
  <c r="Q2" i="15" s="1"/>
  <c r="P1" i="13"/>
  <c r="Q1" i="13" s="1"/>
  <c r="H19" i="4" a="1"/>
  <c r="H19" i="4" s="1"/>
  <c r="C26" i="4"/>
  <c r="C29" i="4"/>
  <c r="E29" i="4" s="1"/>
  <c r="C22" i="4"/>
  <c r="E22" i="4" s="1"/>
  <c r="T3" i="4" s="1" a="1"/>
  <c r="T3" i="4" s="1"/>
  <c r="R5" i="4" s="1"/>
  <c r="O22" i="4" s="1"/>
  <c r="L30" i="4"/>
  <c r="N30" i="4" s="1"/>
  <c r="C27" i="4"/>
  <c r="E27" i="4" s="1"/>
  <c r="L26" i="4"/>
  <c r="C23" i="4"/>
  <c r="E23" i="4" s="1"/>
  <c r="L28" i="4"/>
  <c r="N28" i="4" s="1"/>
  <c r="L29" i="4"/>
  <c r="N29" i="4" s="1"/>
  <c r="C24" i="4"/>
  <c r="E24" i="4" s="1"/>
  <c r="I24" i="4"/>
  <c r="K24" i="4" s="1"/>
  <c r="I25" i="4"/>
  <c r="K25" i="4" s="1"/>
  <c r="C28" i="4"/>
  <c r="E28" i="4" s="1"/>
  <c r="G26" i="4" a="1"/>
  <c r="G26" i="4" s="1"/>
  <c r="D26" i="4" a="1"/>
  <c r="D26" i="4" s="1"/>
  <c r="M26" i="4" a="1"/>
  <c r="M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L18" i="4"/>
  <c r="N18" i="4" s="1"/>
  <c r="L17" i="4"/>
  <c r="N17" i="4" s="1"/>
  <c r="F18" i="4"/>
  <c r="H18" i="4" s="1"/>
  <c r="I13" i="4" l="1"/>
  <c r="K13" i="4" s="1"/>
  <c r="C13" i="4"/>
  <c r="N26" i="4"/>
  <c r="F12" i="4"/>
  <c r="I12" i="4"/>
  <c r="K12" i="4" s="1"/>
  <c r="F11" i="4"/>
  <c r="L13" i="4"/>
  <c r="N13" i="4" s="1"/>
  <c r="F13" i="4"/>
  <c r="I11" i="4"/>
  <c r="K11" i="4" s="1"/>
  <c r="L12" i="4"/>
  <c r="N12" i="4" s="1"/>
  <c r="F10" i="4"/>
  <c r="I10" i="4"/>
  <c r="K10" i="4" s="1"/>
  <c r="L11" i="4"/>
  <c r="N11" i="4" s="1"/>
  <c r="L10" i="4"/>
  <c r="N10" i="4" s="1"/>
  <c r="E26" i="4"/>
  <c r="J14" i="4" a="1"/>
  <c r="J14" i="4" s="1"/>
  <c r="D14" i="4" a="1"/>
  <c r="D14" i="4" s="1"/>
  <c r="M14" i="4" a="1"/>
  <c r="M14" i="4" s="1"/>
  <c r="C14" i="4"/>
  <c r="L14" i="4"/>
  <c r="I14" i="4"/>
  <c r="F14" i="4"/>
  <c r="H14" i="4" s="1"/>
  <c r="K14" i="4" l="1"/>
  <c r="T2" i="4" s="1" a="1"/>
  <c r="T2" i="4" s="1"/>
  <c r="E14" i="4"/>
  <c r="N14" i="4"/>
  <c r="U2" i="4" s="1" a="1"/>
  <c r="U2" i="4" s="1"/>
  <c r="R4" i="4" l="1"/>
  <c r="O13" i="4" s="1"/>
  <c r="R3" i="4"/>
  <c r="O12" i="4" s="1"/>
  <c r="F30" i="4"/>
  <c r="H30" i="4" s="1"/>
  <c r="F26" i="4"/>
  <c r="H26" i="4" s="1"/>
  <c r="F29" i="4"/>
  <c r="H29" i="4" s="1"/>
  <c r="F28" i="4"/>
  <c r="H28" i="4" s="1"/>
  <c r="F27" i="4"/>
  <c r="H27" i="4" s="1"/>
  <c r="F25" i="4" l="1"/>
  <c r="H25" i="4" s="1"/>
  <c r="H11" i="4"/>
  <c r="E11" i="4"/>
  <c r="F22" i="4"/>
  <c r="F23" i="4"/>
  <c r="H23" i="4" s="1"/>
  <c r="H12" i="4"/>
  <c r="E12" i="4"/>
  <c r="H13" i="4"/>
  <c r="E13" i="4"/>
  <c r="F24" i="4"/>
  <c r="H24" i="4" s="1"/>
  <c r="H22" i="4" l="1"/>
  <c r="U3" i="4" s="1" a="1"/>
  <c r="U3" i="4" s="1"/>
  <c r="R6" i="4" s="1"/>
  <c r="O23" i="4" s="1"/>
  <c r="H10" i="4"/>
  <c r="U1" i="4" s="1" a="1"/>
  <c r="U1" i="4" s="1"/>
  <c r="E10" i="4"/>
  <c r="N19" i="4"/>
  <c r="K19" i="4"/>
  <c r="T1" i="4" l="1" a="1"/>
  <c r="T1" i="4" s="1"/>
  <c r="R1" i="4" s="1"/>
  <c r="R2" i="4"/>
  <c r="O11" i="4" s="1"/>
  <c r="E19" i="4"/>
  <c r="O10" i="4" l="1"/>
  <c r="G6" i="4"/>
  <c r="F32"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6"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<sst xmlns="http://schemas.openxmlformats.org/spreadsheetml/2006/main" count="1916" uniqueCount="953">
  <si>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</si>
  <si>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</si>
  <si>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</si>
  <si>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</si>
  <si>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</si>
  <si>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</si>
  <si>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</si>
  <si>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</si>
  <si>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</si>
  <si>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</si>
  <si>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</si>
  <si>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</si>
  <si>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</si>
  <si>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</si>
  <si>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</si>
  <si>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</si>
  <si>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</si>
  <si>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</si>
  <si>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</si>
  <si>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</si>
  <si>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</si>
  <si>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</si>
  <si>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</si>
  <si>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</si>
  <si>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</si>
  <si>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</si>
  <si>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</si>
  <si>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</si>
  <si>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</si>
  <si>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</si>
  <si>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</si>
  <si>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</si>
  <si>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</si>
  <si>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</si>
  <si>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</si>
  <si>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</si>
  <si>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</si>
  <si>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</si>
  <si>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</si>
  <si>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</si>
  <si>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</si>
  <si>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</si>
  <si>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</si>
  <si>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</si>
  <si>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</si>
  <si>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</si>
  <si>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</si>
  <si>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</si>
  <si>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</si>
  <si>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</si>
  <si>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</si>
  <si>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</si>
  <si>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</si>
  <si>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</si>
  <si>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</si>
  <si>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</si>
  <si>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</si>
  <si>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</si>
  <si>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</si>
  <si>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</si>
  <si>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</si>
  <si>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</si>
  <si>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</si>
  <si>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</si>
  <si>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</si>
  <si>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</si>
  <si>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</si>
  <si>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</si>
  <si>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</si>
  <si>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</si>
  <si>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</si>
  <si>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</si>
  <si>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</si>
  <si>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</si>
  <si>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</si>
  <si>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</si>
  <si>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</si>
  <si>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</si>
  <si>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</si>
  <si>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</si>
  <si>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</si>
  <si>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</si>
  <si>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</si>
  <si>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</si>
  <si>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</si>
  <si>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</si>
  <si>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</si>
  <si>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</si>
  <si>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</si>
  <si>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</si>
  <si>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</si>
  <si>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</si>
  <si>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</si>
  <si>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</si>
  <si>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</si>
  <si>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</si>
  <si>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</si>
  <si>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</si>
  <si>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</si>
  <si>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</si>
  <si>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</si>
  <si>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</si>
  <si>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</si>
  <si>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</si>
  <si>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</si>
  <si>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</si>
  <si>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</si>
  <si>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</si>
  <si>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</si>
  <si>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</si>
  <si>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</si>
  <si>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</si>
  <si>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</si>
  <si>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</si>
  <si>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</si>
  <si>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</si>
  <si>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</si>
  <si>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</si>
  <si>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</si>
  <si>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</si>
  <si>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</si>
  <si>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</si>
  <si>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</si>
  <si>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</si>
  <si>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</si>
  <si>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</si>
  <si>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</si>
  <si>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</si>
  <si>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</si>
  <si>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</si>
  <si>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</si>
  <si>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</si>
  <si>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</si>
  <si>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</si>
  <si>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</si>
  <si>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</si>
  <si>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</si>
  <si>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</si>
  <si>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</si>
  <si>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</si>
  <si>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</si>
  <si>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</si>
  <si>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</si>
  <si>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</si>
  <si>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</si>
  <si>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</si>
  <si>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</si>
  <si>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</si>
  <si>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</si>
  <si>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</si>
  <si>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</si>
  <si>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</si>
  <si>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</si>
  <si>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</si>
  <si>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</si>
  <si>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</si>
  <si>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</si>
  <si>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</si>
  <si>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</si>
  <si>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</si>
  <si>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</si>
  <si>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</si>
  <si>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</si>
  <si>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</si>
  <si>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</si>
  <si>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</si>
  <si>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</si>
  <si>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</si>
  <si>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</si>
  <si>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</si>
  <si>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</si>
  <si>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</si>
  <si>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</si>
  <si>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</si>
  <si>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</si>
  <si>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</si>
  <si>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</si>
  <si>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</si>
  <si>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</si>
  <si>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</si>
  <si>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</si>
  <si>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</si>
  <si>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</si>
  <si>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</si>
  <si>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</si>
  <si>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</si>
  <si>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</si>
  <si>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</si>
  <si>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</si>
  <si>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</si>
  <si>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</si>
  <si>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</si>
  <si>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</si>
  <si>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</si>
  <si>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</si>
  <si>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</si>
  <si>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</si>
  <si>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</si>
  <si>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</si>
  <si>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</si>
  <si>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</si>
  <si>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</si>
  <si>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</si>
  <si>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</si>
  <si>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</si>
  <si>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</si>
  <si>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</si>
  <si>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</si>
  <si>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</si>
  <si>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</si>
  <si>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</si>
  <si>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</si>
  <si>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</si>
  <si>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</si>
  <si>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</si>
  <si>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</si>
  <si>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</si>
  <si>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</si>
  <si>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</si>
  <si>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</si>
  <si>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</si>
  <si>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</si>
  <si>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</si>
  <si>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</si>
  <si>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</si>
  <si>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</si>
  <si>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</si>
  <si>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</si>
  <si>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</si>
  <si>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</si>
  <si>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</si>
  <si>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</si>
  <si>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</si>
  <si>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</si>
  <si>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</si>
  <si>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</si>
  <si>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</si>
  <si>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</si>
  <si>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</si>
  <si>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</si>
  <si>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</si>
  <si>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</si>
  <si>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</si>
  <si>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</si>
  <si>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</si>
  <si>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</si>
  <si>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</si>
  <si>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</si>
  <si>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</si>
  <si>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</si>
  <si>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</si>
  <si>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</si>
  <si>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</si>
  <si>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</si>
  <si>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</si>
  <si>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</si>
  <si>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</si>
  <si>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</si>
  <si>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</si>
  <si>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</si>
  <si>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</si>
  <si>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</si>
  <si>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</si>
  <si>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</si>
  <si>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</si>
  <si>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</si>
  <si>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</si>
  <si>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</si>
  <si>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</si>
  <si>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</si>
  <si>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</si>
  <si>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</si>
  <si>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</si>
  <si>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</si>
  <si>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</si>
  <si>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</si>
  <si>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</si>
  <si>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</si>
  <si>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</si>
  <si>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</si>
  <si>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</si>
  <si>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</si>
  <si>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</si>
  <si>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</si>
  <si>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</si>
  <si>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</si>
  <si>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</si>
  <si>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</si>
  <si>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</si>
  <si>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</si>
  <si>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</si>
  <si>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</si>
  <si>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</si>
  <si>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</si>
  <si>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</si>
  <si>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</si>
  <si>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</si>
  <si>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</si>
  <si>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</si>
  <si>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</si>
  <si>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</si>
  <si>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</si>
  <si>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</si>
  <si>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</si>
  <si>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</si>
  <si>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</si>
  <si>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</si>
  <si>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</si>
  <si>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</si>
  <si>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</si>
  <si>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</si>
  <si>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</si>
  <si>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</si>
  <si>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</si>
  <si>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</si>
  <si>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</si>
  <si>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</si>
  <si>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</si>
  <si>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</si>
  <si>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</si>
  <si>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</si>
  <si>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</si>
  <si>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</si>
  <si>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</si>
  <si>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</si>
  <si>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</si>
  <si>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</si>
  <si>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</si>
  <si>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</si>
  <si>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</si>
  <si>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</si>
  <si>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</si>
  <si>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</si>
  <si>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</si>
  <si>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</si>
  <si>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</si>
  <si>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</si>
  <si>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</si>
  <si>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</si>
  <si>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</si>
  <si>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</si>
  <si>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</si>
  <si>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</si>
  <si>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</si>
  <si>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</si>
  <si>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</si>
  <si>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</si>
  <si>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</si>
  <si>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</si>
  <si>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</si>
  <si>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</si>
  <si>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</si>
  <si>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</si>
  <si>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</si>
  <si>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</si>
  <si>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</si>
  <si>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</si>
  <si>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</si>
  <si>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</si>
  <si>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</si>
  <si>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</si>
  <si>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</si>
  <si>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</si>
  <si>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</si>
  <si>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</si>
  <si>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</si>
  <si>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</si>
  <si>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</si>
  <si>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</si>
  <si>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</si>
  <si>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</si>
  <si>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</si>
  <si>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</si>
  <si>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</si>
  <si>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</si>
  <si>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</si>
  <si>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</si>
  <si>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</si>
  <si>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</si>
  <si>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</si>
  <si>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</si>
  <si>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</si>
  <si>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</si>
  <si>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</si>
  <si>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</si>
  <si>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</si>
  <si>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</si>
  <si>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</si>
  <si>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</si>
  <si>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</si>
  <si>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</si>
  <si>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</si>
  <si>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</si>
  <si>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</si>
  <si>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</si>
  <si>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</si>
  <si>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</si>
  <si>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</si>
  <si>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</si>
  <si>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</si>
  <si>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</si>
  <si>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</si>
  <si>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</si>
  <si>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</si>
  <si>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</si>
  <si>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</si>
  <si>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</si>
  <si>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</si>
  <si>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</si>
  <si>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</si>
  <si>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</si>
  <si>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</si>
  <si>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</si>
  <si>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</si>
  <si>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</si>
  <si>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</si>
  <si>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</si>
  <si>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</si>
  <si>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</si>
  <si>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</si>
  <si>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</si>
  <si>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</si>
  <si>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</si>
  <si>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</si>
  <si>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</si>
  <si>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</si>
  <si>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</si>
  <si>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</si>
  <si>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</si>
  <si>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</si>
  <si>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</si>
  <si>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</si>
  <si>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</si>
  <si>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</si>
  <si>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</si>
  <si>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</si>
  <si>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</si>
  <si>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</si>
  <si>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</si>
  <si>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</si>
  <si>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</si>
  <si>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</si>
  <si>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</si>
  <si>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</si>
  <si>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</si>
  <si>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</si>
  <si>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</si>
  <si>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</si>
  <si>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</si>
  <si>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</si>
  <si>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</si>
  <si>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</si>
  <si>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</si>
  <si>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</si>
  <si>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</si>
  <si>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</si>
  <si>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</si>
  <si>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</si>
  <si>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</si>
  <si>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</si>
  <si>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</si>
  <si>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</si>
  <si>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</si>
  <si>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</si>
  <si>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</si>
  <si>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</si>
  <si>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</si>
  <si>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</si>
  <si>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</si>
  <si>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</si>
  <si>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</si>
  <si>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</si>
  <si>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</si>
  <si>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</si>
  <si>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</si>
  <si>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</si>
  <si>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</si>
  <si>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</si>
  <si>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</si>
  <si>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</si>
  <si>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</si>
  <si>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</si>
  <si>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</si>
  <si>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</si>
  <si>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</si>
  <si>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</si>
  <si>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</si>
  <si>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</si>
  <si>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</si>
  <si>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</si>
  <si>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</si>
  <si>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</si>
  <si>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</si>
  <si>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</si>
  <si>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</si>
  <si>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</si>
  <si>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</si>
  <si>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</si>
  <si>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</si>
  <si>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</si>
  <si>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</si>
  <si>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</si>
  <si>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</si>
  <si>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</si>
  <si>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</si>
  <si>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</si>
  <si>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</si>
  <si>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</si>
  <si>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</si>
  <si>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</si>
  <si>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</si>
  <si>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</si>
  <si>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</si>
  <si>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</si>
  <si>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</si>
  <si>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</si>
  <si>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</si>
  <si>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</si>
  <si>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</si>
  <si>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</si>
  <si>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</si>
  <si>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</si>
  <si>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</si>
  <si>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</si>
  <si>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</si>
  <si>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</si>
  <si>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</si>
  <si>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</si>
  <si>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</si>
  <si>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</si>
  <si>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</si>
  <si>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</si>
  <si>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</si>
  <si>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</si>
  <si>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</si>
  <si>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</si>
  <si>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</si>
  <si>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</si>
  <si>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</si>
  <si>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</si>
  <si>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</si>
  <si>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</si>
  <si>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</si>
  <si>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</si>
  <si>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</si>
  <si>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</si>
  <si>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</si>
  <si>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</si>
  <si>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</si>
  <si>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</si>
  <si>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</si>
  <si>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</si>
  <si>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</si>
  <si>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</si>
  <si>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</si>
  <si>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</si>
  <si>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</si>
  <si>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</si>
  <si>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</si>
  <si>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</si>
  <si>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</si>
  <si>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</si>
  <si>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</si>
  <si>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</si>
  <si>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</si>
  <si>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</si>
  <si>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</si>
  <si>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</si>
  <si>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</si>
  <si>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</si>
  <si>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</si>
  <si>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</si>
  <si>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</si>
  <si>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</si>
  <si>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</si>
  <si>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</si>
  <si>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</si>
  <si>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</si>
  <si>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</si>
  <si>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</si>
  <si>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</si>
  <si>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</si>
  <si>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</si>
  <si>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</si>
  <si>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</si>
  <si>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</si>
  <si>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</si>
  <si>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</si>
  <si>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</si>
  <si>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</si>
  <si>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</si>
  <si>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</si>
  <si>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</si>
  <si>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</si>
  <si>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</si>
  <si>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</si>
  <si>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</si>
  <si>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</si>
  <si>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</si>
  <si>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</si>
  <si>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</si>
  <si>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</si>
  <si>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</si>
  <si>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</si>
  <si>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</si>
  <si>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</si>
  <si>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</si>
  <si>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</si>
  <si>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</si>
  <si>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</si>
  <si>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</si>
  <si>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</si>
  <si>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</si>
  <si>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</si>
  <si>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</si>
  <si>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</si>
  <si>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</si>
  <si>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</si>
  <si>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</si>
  <si>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</si>
  <si>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</si>
  <si>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</si>
  <si>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</si>
  <si>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</si>
  <si>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</si>
  <si>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</si>
  <si>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</si>
  <si>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</si>
  <si>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</si>
  <si>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</si>
  <si>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</si>
  <si>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</si>
  <si>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</si>
  <si>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</si>
  <si>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</si>
  <si>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</si>
  <si>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</si>
  <si>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</si>
  <si>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</si>
  <si>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</si>
  <si>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</si>
  <si>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</si>
  <si>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</si>
  <si>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</si>
  <si>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</si>
  <si>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</si>
  <si>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</si>
  <si>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</si>
  <si>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</si>
  <si>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</si>
  <si>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</si>
  <si>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</si>
  <si>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</si>
  <si>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</si>
  <si>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</si>
  <si>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</si>
  <si>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</si>
  <si>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</si>
  <si>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</si>
  <si>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</si>
  <si>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</si>
  <si>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</si>
  <si>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</si>
  <si>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</si>
  <si>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</si>
  <si>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</si>
  <si>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</si>
  <si>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</si>
  <si>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</si>
  <si>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</si>
  <si>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</si>
  <si>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</si>
  <si>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</si>
  <si>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</si>
  <si>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</si>
  <si>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</si>
  <si>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</si>
  <si>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</si>
  <si>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</si>
  <si>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</si>
  <si>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</si>
  <si>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</si>
  <si>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</si>
  <si>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</si>
  <si>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</si>
  <si>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</si>
  <si>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</si>
  <si>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</si>
  <si>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</si>
  <si>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</si>
  <si>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</si>
  <si>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</si>
  <si>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</si>
  <si>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</si>
  <si>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</si>
  <si>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</si>
  <si>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</si>
  <si>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</si>
  <si>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</si>
  <si>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</si>
  <si>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</si>
  <si>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</si>
  <si>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</si>
  <si>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</si>
  <si>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</si>
  <si>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</si>
  <si>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</si>
  <si>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</si>
  <si>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</si>
  <si>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</si>
  <si>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</si>
  <si>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</si>
  <si>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</si>
  <si>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</si>
  <si>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</si>
  <si>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</si>
  <si>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</si>
  <si>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</si>
  <si>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</si>
  <si>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</si>
  <si>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</si>
  <si>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</si>
  <si>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</si>
  <si>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</si>
  <si>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</si>
  <si>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</si>
  <si>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</si>
  <si>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</si>
  <si>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</si>
  <si>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</si>
  <si>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</si>
  <si>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</si>
  <si>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</si>
  <si>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</si>
  <si>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</si>
  <si>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</si>
  <si>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</si>
  <si>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</si>
  <si>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</si>
  <si>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</si>
  <si>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</si>
  <si>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</si>
  <si>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</si>
  <si>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</si>
  <si>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</si>
  <si>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</si>
  <si>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</si>
  <si>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</si>
  <si>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</si>
  <si>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</si>
  <si>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</si>
  <si>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</si>
  <si>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</si>
  <si>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</si>
  <si>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</si>
  <si>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</si>
  <si>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</si>
  <si>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</si>
  <si>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</si>
  <si>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</si>
  <si>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</si>
  <si>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</si>
  <si>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</si>
  <si>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</si>
  <si>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</si>
  <si>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</si>
  <si>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</si>
  <si>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</si>
  <si>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</si>
  <si>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</si>
  <si>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</si>
  <si>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</si>
  <si>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</si>
  <si>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</si>
  <si>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</si>
  <si>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</si>
  <si>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</si>
  <si>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</si>
  <si>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</si>
  <si>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</si>
  <si>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</si>
  <si>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</si>
  <si>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</si>
  <si>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</si>
  <si>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</si>
  <si>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</si>
  <si>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</si>
  <si>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</si>
  <si>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</si>
  <si>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</si>
  <si>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</si>
  <si>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</si>
  <si>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</si>
  <si>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</si>
  <si>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</si>
  <si>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</si>
  <si>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</si>
  <si>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</si>
  <si>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</si>
  <si>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</si>
  <si>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</si>
  <si>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</si>
  <si>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</si>
  <si>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</si>
  <si>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</si>
  <si>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</si>
  <si>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</si>
  <si>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</si>
  <si>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</si>
  <si>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</si>
  <si>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</si>
  <si>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</si>
  <si>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</si>
  <si>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</si>
  <si>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</si>
  <si>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</si>
  <si>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</si>
  <si>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</si>
  <si>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</si>
  <si>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</si>
  <si>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</si>
  <si>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</si>
  <si>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</si>
  <si>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</si>
  <si>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</si>
  <si>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</si>
  <si>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</si>
  <si>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</si>
  <si>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</si>
  <si>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</si>
  <si>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</si>
  <si>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</si>
  <si>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</si>
  <si>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</si>
  <si>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</si>
  <si>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</si>
  <si>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</si>
  <si>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</si>
  <si>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</si>
  <si>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</si>
  <si>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</si>
  <si>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</si>
  <si>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</si>
  <si>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</si>
  <si>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</si>
  <si>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</si>
  <si>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</si>
  <si>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</si>
  <si>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</si>
  <si>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</si>
  <si>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</si>
  <si>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</si>
  <si>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</si>
  <si>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</si>
  <si>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</si>
  <si>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</si>
  <si>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</si>
  <si>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</si>
  <si>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</si>
  <si>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</si>
  <si>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</si>
  <si>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</si>
  <si>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</si>
  <si>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</si>
  <si>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</si>
  <si>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</si>
  <si>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</si>
  <si>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</si>
  <si>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</si>
  <si>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</si>
  <si>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</si>
  <si>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</si>
  <si>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</si>
  <si>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</si>
  <si>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</si>
  <si>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</si>
  <si>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</si>
  <si>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</si>
  <si>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</si>
  <si>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</si>
  <si>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</si>
  <si>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</si>
  <si>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</si>
  <si>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</si>
  <si>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</si>
  <si>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</si>
  <si>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</si>
  <si>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</si>
  <si>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</si>
  <si>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</si>
  <si>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</si>
  <si>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</si>
  <si>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</si>
  <si>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</si>
  <si>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</si>
  <si>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</si>
  <si>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</si>
  <si>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</si>
  <si>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</si>
  <si>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</si>
  <si>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</si>
  <si>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</si>
  <si>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</si>
  <si>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</si>
  <si>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</si>
  <si>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</si>
  <si>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</si>
  <si>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</si>
  <si>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</si>
  <si>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</si>
  <si>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</si>
  <si>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</si>
  <si>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</si>
  <si>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</si>
  <si>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</si>
  <si>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</si>
  <si>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</si>
  <si>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</si>
  <si>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</si>
  <si>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</si>
  <si>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</si>
  <si>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</si>
  <si>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</si>
  <si>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</si>
  <si>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</si>
  <si>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</si>
  <si>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</si>
  <si>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</si>
  <si>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</si>
  <si>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</si>
  <si>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</si>
  <si>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</si>
  <si>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</si>
  <si>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</si>
  <si>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</si>
  <si>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</si>
  <si>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</si>
  <si>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</si>
  <si>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</si>
  <si>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</si>
  <si>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</si>
  <si>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</si>
  <si>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</si>
  <si>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</si>
  <si>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</si>
  <si>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CummulativeOffset</t>
  </si>
  <si>
    <t>CorrectedTemp</t>
  </si>
  <si>
    <t>Uncertainty</t>
  </si>
  <si>
    <t>OutOfTolerance</t>
  </si>
  <si>
    <t>Type B Uncertainty</t>
  </si>
  <si>
    <t>Pooled Variance (   )</t>
  </si>
  <si>
    <t>Fixed Bias (Base₂)</t>
  </si>
  <si>
    <t>Ver. 07.02.25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</si>
</sst>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2" fillId="0" borderId="0"/>
    <xf numFmtId="0" fontId="9" fillId="0" borderId="0"/>
    <xf numFmtId="0" fontId="6" fillId="0" borderId="0"/>
    <xf numFmtId="0" fontId="2" fillId="0" borderId="0"/>
    <xf numFmtId="0" fontId="1" fillId="0" borderId="0"/>
    <xf numFmtId="0" fontId="106" fillId="0" borderId="0" applyNumberFormat="0" applyFill="0" applyBorder="0" applyAlignment="0" applyProtection="0"/>
  </cellStyleXfs>
  <cellXfs count="662">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2" fillId="0" borderId="0" xfId="1"/>
    <xf numFmtId="0" fontId="52"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2" fillId="0" borderId="0" xfId="1" applyAlignment="1">
      <alignment horizontal="left"/>
    </xf>
    <xf numFmtId="0" fontId="52" fillId="0" borderId="0" xfId="1" quotePrefix="1" applyAlignment="1">
      <alignment horizontal="left"/>
    </xf>
    <xf numFmtId="167" fontId="52" fillId="0" borderId="0" xfId="1" applyNumberFormat="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2" fillId="0" borderId="1" xfId="1" applyBorder="1"/>
    <xf numFmtId="0" fontId="17" fillId="0" borderId="1" xfId="1" applyFont="1" applyBorder="1" applyAlignment="1">
      <alignment horizontal="center"/>
    </xf>
    <xf numFmtId="0" fontId="11" fillId="0" borderId="0" xfId="1" applyFont="1"/>
    <xf numFmtId="165" fontId="52"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2" fillId="0" borderId="3" xfId="1" applyBorder="1" applyAlignment="1">
      <alignment horizontal="center"/>
    </xf>
    <xf numFmtId="0" fontId="12" fillId="0" borderId="0" xfId="1" applyFont="1"/>
    <xf numFmtId="0" fontId="12" fillId="0" borderId="0" xfId="1" applyFont="1" applyAlignment="1">
      <alignment horizontal="center"/>
    </xf>
    <xf numFmtId="170" fontId="52" fillId="0" borderId="3" xfId="1" applyNumberFormat="1" applyBorder="1" applyAlignment="1">
      <alignment horizontal="center"/>
    </xf>
    <xf numFmtId="0" fontId="10" fillId="0" borderId="1" xfId="1" applyFont="1" applyBorder="1" applyProtection="1">
      <protection locked="0"/>
    </xf>
    <xf numFmtId="0" fontId="10" fillId="0" borderId="0" xfId="1" applyFont="1" applyProtection="1">
      <protection locked="0"/>
    </xf>
    <xf numFmtId="0" fontId="52"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3" fontId="52" fillId="0" borderId="0" xfId="1" applyNumberFormat="1" applyAlignment="1">
      <alignment horizontal="left"/>
    </xf>
    <xf numFmtId="0" fontId="52" fillId="0" borderId="1" xfId="1" applyBorder="1" applyAlignment="1">
      <alignment horizontal="center"/>
    </xf>
    <xf numFmtId="0" fontId="6" fillId="0" borderId="0" xfId="0" applyFont="1"/>
    <xf numFmtId="165" fontId="52"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8" fontId="19" fillId="0" borderId="0" xfId="1" applyNumberFormat="1" applyFont="1" applyAlignment="1">
      <alignment horizontal="left"/>
    </xf>
    <xf numFmtId="0" fontId="29" fillId="0" borderId="0" xfId="0" applyFont="1"/>
    <xf numFmtId="172" fontId="0" fillId="0" borderId="0" xfId="0" applyNumberFormat="1"/>
    <xf numFmtId="172" fontId="11" fillId="0" borderId="0" xfId="1" applyNumberFormat="1" applyFont="1"/>
    <xf numFmtId="178" fontId="0" fillId="0" borderId="0" xfId="0" applyNumberFormat="1"/>
    <xf numFmtId="0" fontId="0" fillId="0" borderId="0" xfId="0" applyProtection="1">
      <protection locked="0"/>
    </xf>
    <xf numFmtId="0" fontId="31" fillId="0" borderId="0" xfId="0" applyFont="1" applyProtection="1">
      <protection locked="0"/>
    </xf>
    <xf numFmtId="0" fontId="32" fillId="0" borderId="4" xfId="0" applyFont="1" applyBorder="1" applyAlignment="1">
      <alignment horizontal="left"/>
    </xf>
    <xf numFmtId="14" fontId="32" fillId="0" borderId="4" xfId="0" applyNumberFormat="1" applyFont="1" applyBorder="1" applyAlignment="1">
      <alignment horizontal="left"/>
    </xf>
    <xf numFmtId="166" fontId="32" fillId="0" borderId="4" xfId="0" applyNumberFormat="1" applyFont="1" applyBorder="1" applyAlignment="1">
      <alignment horizontal="left"/>
    </xf>
    <xf numFmtId="2" fontId="31" fillId="0" borderId="0" xfId="0" applyNumberFormat="1" applyFont="1" applyProtection="1">
      <protection locked="0"/>
    </xf>
    <xf numFmtId="2" fontId="33" fillId="0" borderId="0" xfId="0" applyNumberFormat="1" applyFont="1" applyProtection="1">
      <protection locked="0"/>
    </xf>
    <xf numFmtId="164" fontId="33"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4" fillId="0" borderId="0" xfId="0" applyFont="1"/>
    <xf numFmtId="178" fontId="24" fillId="0" borderId="0" xfId="0" applyNumberFormat="1" applyFont="1"/>
    <xf numFmtId="0" fontId="35" fillId="0" borderId="0" xfId="0" applyFont="1"/>
    <xf numFmtId="178" fontId="36" fillId="0" borderId="0" xfId="0" applyNumberFormat="1" applyFont="1"/>
    <xf numFmtId="0" fontId="36" fillId="0" borderId="0" xfId="0" applyFont="1"/>
    <xf numFmtId="178" fontId="37" fillId="0" borderId="0" xfId="0" applyNumberFormat="1" applyFont="1"/>
    <xf numFmtId="0" fontId="37" fillId="0" borderId="0" xfId="0" applyFont="1"/>
    <xf numFmtId="178" fontId="38" fillId="0" borderId="0" xfId="0" applyNumberFormat="1" applyFont="1"/>
    <xf numFmtId="0" fontId="0" fillId="0" borderId="0" xfId="0" applyAlignment="1">
      <alignment horizontal="left"/>
    </xf>
    <xf numFmtId="0" fontId="32"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1" fillId="0" borderId="0" xfId="0" applyFont="1" applyAlignment="1">
      <alignment horizontal="right"/>
    </xf>
    <xf numFmtId="0" fontId="43" fillId="0" borderId="0" xfId="0" applyFont="1"/>
    <xf numFmtId="0" fontId="44" fillId="0" borderId="0" xfId="0" applyFont="1" applyAlignment="1">
      <alignment horizontal="center"/>
    </xf>
    <xf numFmtId="0" fontId="40" fillId="0" borderId="0" xfId="0" applyFont="1"/>
    <xf numFmtId="0" fontId="45" fillId="0" borderId="0" xfId="0" applyFont="1"/>
    <xf numFmtId="0" fontId="42" fillId="0" borderId="0" xfId="0" applyFont="1" applyAlignment="1">
      <alignment horizontal="right"/>
    </xf>
    <xf numFmtId="49" fontId="43" fillId="0" borderId="0" xfId="0" applyNumberFormat="1" applyFont="1" applyAlignment="1" applyProtection="1">
      <alignment horizontal="right"/>
      <protection locked="0"/>
    </xf>
    <xf numFmtId="0" fontId="46" fillId="0" borderId="0" xfId="0" applyFont="1" applyAlignment="1">
      <alignment horizontal="right"/>
    </xf>
    <xf numFmtId="14" fontId="0" fillId="0" borderId="0" xfId="0" applyNumberFormat="1"/>
    <xf numFmtId="0" fontId="6" fillId="0" borderId="0" xfId="0" applyFont="1" applyProtection="1">
      <protection locked="0"/>
    </xf>
    <xf numFmtId="0" fontId="39" fillId="0" borderId="0" xfId="0" applyFont="1"/>
    <xf numFmtId="0" fontId="48" fillId="0" borderId="0" xfId="0" applyFont="1"/>
    <xf numFmtId="0" fontId="22" fillId="0" borderId="0" xfId="0" applyFont="1"/>
    <xf numFmtId="0" fontId="49" fillId="0" borderId="0" xfId="2" applyFont="1"/>
    <xf numFmtId="0" fontId="50"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41" fillId="0" borderId="0" xfId="2" applyFont="1"/>
    <xf numFmtId="0" fontId="51" fillId="0" borderId="0" xfId="2" applyFont="1"/>
    <xf numFmtId="0" fontId="52" fillId="0" borderId="0" xfId="1" applyAlignment="1" applyProtection="1">
      <alignment horizontal="center"/>
      <protection locked="0"/>
    </xf>
    <xf numFmtId="172" fontId="6" fillId="0" borderId="0" xfId="0" applyNumberFormat="1" applyFont="1"/>
    <xf numFmtId="178" fontId="35" fillId="0" borderId="0" xfId="0" applyNumberFormat="1" applyFont="1"/>
    <xf numFmtId="177" fontId="35" fillId="0" borderId="0" xfId="0" applyNumberFormat="1" applyFont="1"/>
    <xf numFmtId="0" fontId="54" fillId="0" borderId="0" xfId="0" applyFont="1"/>
    <xf numFmtId="2" fontId="22" fillId="0" borderId="0" xfId="0" applyNumberFormat="1" applyFont="1"/>
    <xf numFmtId="2" fontId="28" fillId="0" borderId="0" xfId="0" applyNumberFormat="1" applyFont="1"/>
    <xf numFmtId="2" fontId="0" fillId="0" borderId="0" xfId="0" applyNumberFormat="1"/>
    <xf numFmtId="0" fontId="55" fillId="0" borderId="0" xfId="0" applyFont="1"/>
    <xf numFmtId="0" fontId="6" fillId="0" borderId="19" xfId="0" applyFont="1" applyBorder="1"/>
    <xf numFmtId="165" fontId="6" fillId="0" borderId="4" xfId="0" applyNumberFormat="1" applyFont="1" applyBorder="1" applyAlignment="1">
      <alignment horizontal="right"/>
    </xf>
    <xf numFmtId="178" fontId="54" fillId="0" borderId="0" xfId="0" applyNumberFormat="1" applyFont="1"/>
    <xf numFmtId="0" fontId="56" fillId="0" borderId="0" xfId="0" applyFont="1"/>
    <xf numFmtId="164" fontId="6" fillId="0" borderId="4" xfId="0" applyNumberFormat="1" applyFont="1" applyBorder="1"/>
    <xf numFmtId="172" fontId="34" fillId="0" borderId="0" xfId="0" applyNumberFormat="1" applyFont="1"/>
    <xf numFmtId="172" fontId="6" fillId="0" borderId="0" xfId="0" applyNumberFormat="1" applyFont="1" applyAlignment="1">
      <alignment horizontal="right"/>
    </xf>
    <xf numFmtId="172" fontId="35" fillId="0" borderId="0" xfId="0" applyNumberFormat="1" applyFont="1"/>
    <xf numFmtId="0" fontId="58" fillId="0" borderId="0" xfId="0" applyFont="1"/>
    <xf numFmtId="2" fontId="56" fillId="0" borderId="0" xfId="0" applyNumberFormat="1" applyFont="1"/>
    <xf numFmtId="0" fontId="53" fillId="0" borderId="0" xfId="0" applyFont="1"/>
    <xf numFmtId="0" fontId="59" fillId="0" borderId="0" xfId="0" applyFont="1"/>
    <xf numFmtId="0" fontId="56" fillId="0" borderId="0" xfId="0" applyFont="1" applyAlignment="1">
      <alignment horizontal="left"/>
    </xf>
    <xf numFmtId="172" fontId="62" fillId="0" borderId="0" xfId="0" applyNumberFormat="1" applyFont="1"/>
    <xf numFmtId="164" fontId="6" fillId="0" borderId="0" xfId="0" applyNumberFormat="1" applyFont="1"/>
    <xf numFmtId="172" fontId="6" fillId="0" borderId="0" xfId="0" applyNumberFormat="1" applyFont="1" applyAlignment="1">
      <alignment horizontal="center"/>
    </xf>
    <xf numFmtId="0" fontId="29" fillId="0" borderId="0" xfId="0" applyFont="1" applyAlignment="1">
      <alignment horizontal="center"/>
    </xf>
    <xf numFmtId="0" fontId="3" fillId="0" borderId="0" xfId="0" applyFont="1" applyAlignment="1">
      <alignment horizontal="center"/>
    </xf>
    <xf numFmtId="172" fontId="63" fillId="0" borderId="0" xfId="0" applyNumberFormat="1" applyFont="1"/>
    <xf numFmtId="0" fontId="24" fillId="0" borderId="0" xfId="0" applyFont="1" applyAlignment="1">
      <alignment horizontal="center"/>
    </xf>
    <xf numFmtId="179" fontId="35" fillId="0" borderId="0" xfId="0" applyNumberFormat="1" applyFont="1"/>
    <xf numFmtId="0" fontId="26" fillId="0" borderId="0" xfId="0" applyFont="1"/>
    <xf numFmtId="49" fontId="40" fillId="0" borderId="0" xfId="0" applyNumberFormat="1" applyFont="1" applyAlignment="1" applyProtection="1">
      <alignment horizontal="right"/>
      <protection locked="0"/>
    </xf>
    <xf numFmtId="172" fontId="35" fillId="0" borderId="0" xfId="0" applyNumberFormat="1" applyFont="1" applyAlignment="1">
      <alignment horizontal="right"/>
    </xf>
    <xf numFmtId="0" fontId="35" fillId="0" borderId="0" xfId="0" applyFont="1" applyAlignment="1">
      <alignment horizontal="left"/>
    </xf>
    <xf numFmtId="172" fontId="35" fillId="0" borderId="0" xfId="0" applyNumberFormat="1" applyFont="1" applyAlignment="1">
      <alignment horizontal="center"/>
    </xf>
    <xf numFmtId="0" fontId="47" fillId="0" borderId="0" xfId="0" applyFont="1" applyAlignment="1">
      <alignment horizontal="center"/>
    </xf>
    <xf numFmtId="0" fontId="47" fillId="0" borderId="0" xfId="0" applyFont="1"/>
    <xf numFmtId="0" fontId="53" fillId="0" borderId="0" xfId="0" applyFont="1" applyAlignment="1">
      <alignment horizontal="center"/>
    </xf>
    <xf numFmtId="1" fontId="0" fillId="0" borderId="0" xfId="0" applyNumberFormat="1"/>
    <xf numFmtId="0" fontId="73" fillId="6" borderId="13" xfId="0" applyFont="1" applyFill="1" applyBorder="1"/>
    <xf numFmtId="0" fontId="73" fillId="6" borderId="12" xfId="0" applyFont="1" applyFill="1" applyBorder="1"/>
    <xf numFmtId="0" fontId="71" fillId="2" borderId="0" xfId="0" applyFont="1" applyFill="1" applyProtection="1">
      <protection locked="0"/>
    </xf>
    <xf numFmtId="0" fontId="71" fillId="4" borderId="7" xfId="0" applyFont="1" applyFill="1" applyBorder="1" applyAlignment="1">
      <alignment horizontal="left" vertical="top"/>
    </xf>
    <xf numFmtId="0" fontId="75" fillId="4" borderId="12" xfId="0" applyFont="1" applyFill="1" applyBorder="1" applyAlignment="1">
      <alignment horizontal="right" wrapText="1"/>
    </xf>
    <xf numFmtId="165" fontId="79" fillId="5" borderId="12" xfId="0" applyNumberFormat="1" applyFont="1" applyFill="1" applyBorder="1" applyAlignment="1">
      <alignment horizontal="center"/>
    </xf>
    <xf numFmtId="0" fontId="77" fillId="4" borderId="4" xfId="0" applyFont="1" applyFill="1" applyBorder="1" applyAlignment="1">
      <alignment horizontal="center"/>
    </xf>
    <xf numFmtId="0" fontId="77" fillId="4" borderId="7" xfId="0" applyFont="1" applyFill="1" applyBorder="1" applyAlignment="1">
      <alignment horizontal="center"/>
    </xf>
    <xf numFmtId="0" fontId="80" fillId="3" borderId="9" xfId="0" applyFont="1" applyFill="1" applyBorder="1" applyProtection="1">
      <protection locked="0"/>
    </xf>
    <xf numFmtId="172" fontId="81" fillId="5" borderId="4" xfId="0" applyNumberFormat="1" applyFont="1" applyFill="1" applyBorder="1"/>
    <xf numFmtId="0" fontId="71" fillId="4" borderId="9" xfId="0" applyFont="1" applyFill="1" applyBorder="1" applyAlignment="1">
      <alignment horizontal="left" vertical="top"/>
    </xf>
    <xf numFmtId="0" fontId="75" fillId="4" borderId="18" xfId="0" applyFont="1" applyFill="1" applyBorder="1" applyAlignment="1">
      <alignment horizontal="right" wrapText="1"/>
    </xf>
    <xf numFmtId="0" fontId="75" fillId="4" borderId="12" xfId="0" applyFont="1" applyFill="1" applyBorder="1" applyAlignment="1">
      <alignment horizontal="right"/>
    </xf>
    <xf numFmtId="0" fontId="71" fillId="4" borderId="20" xfId="0" applyFont="1" applyFill="1" applyBorder="1" applyAlignment="1">
      <alignment horizontal="left" vertical="top"/>
    </xf>
    <xf numFmtId="0" fontId="75" fillId="4" borderId="17" xfId="0" applyFont="1" applyFill="1" applyBorder="1" applyAlignment="1">
      <alignment horizontal="right"/>
    </xf>
    <xf numFmtId="0" fontId="75" fillId="4" borderId="11" xfId="0" applyFont="1" applyFill="1" applyBorder="1" applyAlignment="1">
      <alignment horizontal="right"/>
    </xf>
    <xf numFmtId="0" fontId="75" fillId="4" borderId="4" xfId="0" applyFont="1" applyFill="1" applyBorder="1" applyAlignment="1">
      <alignment horizontal="right"/>
    </xf>
    <xf numFmtId="0" fontId="71" fillId="4" borderId="14" xfId="0" applyFont="1" applyFill="1" applyBorder="1" applyAlignment="1">
      <alignment horizontal="left" vertical="top"/>
    </xf>
    <xf numFmtId="0" fontId="75" fillId="4" borderId="16" xfId="0" applyFont="1" applyFill="1" applyBorder="1" applyAlignment="1">
      <alignment horizontal="right" wrapText="1"/>
    </xf>
    <xf numFmtId="0" fontId="85" fillId="8" borderId="12" xfId="0" applyFont="1" applyFill="1" applyBorder="1" applyAlignment="1">
      <alignment horizontal="left"/>
    </xf>
    <xf numFmtId="0" fontId="75" fillId="4" borderId="17" xfId="0" applyFont="1" applyFill="1" applyBorder="1" applyAlignment="1">
      <alignment horizontal="right" wrapText="1"/>
    </xf>
    <xf numFmtId="0" fontId="75" fillId="4" borderId="19" xfId="0" applyFont="1" applyFill="1" applyBorder="1" applyAlignment="1">
      <alignment horizontal="right"/>
    </xf>
    <xf numFmtId="0" fontId="76" fillId="4" borderId="4" xfId="0" applyFont="1" applyFill="1" applyBorder="1" applyAlignment="1">
      <alignment horizontal="center"/>
    </xf>
    <xf numFmtId="1" fontId="88" fillId="4" borderId="7" xfId="0" applyNumberFormat="1" applyFont="1" applyFill="1" applyBorder="1" applyAlignment="1">
      <alignment horizontal="left" vertical="top"/>
    </xf>
    <xf numFmtId="1" fontId="88" fillId="4" borderId="20" xfId="0" applyNumberFormat="1" applyFont="1" applyFill="1" applyBorder="1" applyAlignment="1">
      <alignment horizontal="left" vertical="top"/>
    </xf>
    <xf numFmtId="176" fontId="79" fillId="5" borderId="4" xfId="0" applyNumberFormat="1" applyFont="1" applyFill="1" applyBorder="1" applyAlignment="1">
      <alignment horizontal="left"/>
    </xf>
    <xf numFmtId="172" fontId="76" fillId="4" borderId="9" xfId="0" applyNumberFormat="1" applyFont="1" applyFill="1" applyBorder="1" applyAlignment="1">
      <alignment horizontal="left"/>
    </xf>
    <xf numFmtId="0" fontId="75" fillId="4" borderId="18" xfId="0" applyFont="1" applyFill="1" applyBorder="1" applyAlignment="1">
      <alignment horizontal="right"/>
    </xf>
    <xf numFmtId="0" fontId="83" fillId="4" borderId="4" xfId="0" applyFont="1" applyFill="1" applyBorder="1" applyAlignment="1">
      <alignment horizontal="left" vertical="top"/>
    </xf>
    <xf numFmtId="0" fontId="83" fillId="4" borderId="4" xfId="0" applyFont="1" applyFill="1" applyBorder="1" applyAlignment="1">
      <alignment horizontal="left"/>
    </xf>
    <xf numFmtId="172" fontId="79" fillId="5" borderId="4" xfId="0" applyNumberFormat="1" applyFont="1" applyFill="1" applyBorder="1"/>
    <xf numFmtId="172" fontId="79" fillId="5" borderId="4" xfId="0" applyNumberFormat="1" applyFont="1" applyFill="1" applyBorder="1" applyAlignment="1">
      <alignment horizontal="center"/>
    </xf>
    <xf numFmtId="0" fontId="77" fillId="4" borderId="10" xfId="0" applyFont="1" applyFill="1" applyBorder="1" applyAlignment="1">
      <alignment horizontal="center" vertical="top"/>
    </xf>
    <xf numFmtId="0" fontId="77" fillId="4" borderId="10" xfId="0" applyFont="1" applyFill="1" applyBorder="1" applyAlignment="1">
      <alignment horizontal="center" wrapText="1"/>
    </xf>
    <xf numFmtId="0" fontId="77" fillId="4" borderId="10" xfId="0" applyFont="1" applyFill="1" applyBorder="1" applyAlignment="1">
      <alignment horizontal="center"/>
    </xf>
    <xf numFmtId="0" fontId="76" fillId="3" borderId="8" xfId="0" applyFont="1" applyFill="1" applyBorder="1" applyProtection="1">
      <protection locked="0"/>
    </xf>
    <xf numFmtId="0" fontId="76" fillId="3" borderId="4" xfId="0" applyFont="1" applyFill="1" applyBorder="1" applyAlignment="1" applyProtection="1">
      <alignment horizontal="right" vertical="top"/>
      <protection locked="0"/>
    </xf>
    <xf numFmtId="0" fontId="76" fillId="3" borderId="4" xfId="0" applyFont="1" applyFill="1" applyBorder="1" applyAlignment="1" applyProtection="1">
      <alignment horizontal="right"/>
      <protection locked="0"/>
    </xf>
    <xf numFmtId="0" fontId="76" fillId="3" borderId="4" xfId="0" applyFont="1" applyFill="1" applyBorder="1" applyProtection="1">
      <protection locked="0"/>
    </xf>
    <xf numFmtId="0" fontId="94" fillId="8" borderId="4" xfId="0" applyFont="1" applyFill="1" applyBorder="1" applyAlignment="1">
      <alignment horizontal="left"/>
    </xf>
    <xf numFmtId="0" fontId="95" fillId="8" borderId="4" xfId="0" applyFont="1" applyFill="1" applyBorder="1" applyAlignment="1">
      <alignment horizontal="right"/>
    </xf>
    <xf numFmtId="0" fontId="95" fillId="8" borderId="7" xfId="0" applyFont="1" applyFill="1" applyBorder="1"/>
    <xf numFmtId="0" fontId="95" fillId="8" borderId="13" xfId="0" applyFont="1" applyFill="1" applyBorder="1"/>
    <xf numFmtId="0" fontId="95" fillId="8" borderId="16" xfId="0" applyFont="1" applyFill="1" applyBorder="1"/>
    <xf numFmtId="0" fontId="94" fillId="8" borderId="4" xfId="0" applyFont="1" applyFill="1" applyBorder="1"/>
    <xf numFmtId="0" fontId="71" fillId="2" borderId="0" xfId="0" applyFont="1" applyFill="1" applyAlignment="1" applyProtection="1">
      <alignment horizontal="left" vertical="top"/>
      <protection locked="0"/>
    </xf>
    <xf numFmtId="0" fontId="95" fillId="8" borderId="7" xfId="0" applyFont="1" applyFill="1" applyBorder="1" applyAlignment="1">
      <alignment horizontal="left"/>
    </xf>
    <xf numFmtId="0" fontId="95" fillId="8" borderId="13" xfId="0" applyFont="1" applyFill="1" applyBorder="1" applyAlignment="1">
      <alignment horizontal="right"/>
    </xf>
    <xf numFmtId="0" fontId="95" fillId="8" borderId="12" xfId="0" applyFont="1" applyFill="1" applyBorder="1" applyAlignment="1">
      <alignment horizontal="right"/>
    </xf>
    <xf numFmtId="0" fontId="94" fillId="8" borderId="8" xfId="0" applyFont="1" applyFill="1" applyBorder="1"/>
    <xf numFmtId="0" fontId="71" fillId="2" borderId="0" xfId="0" applyFont="1" applyFill="1" applyAlignment="1" applyProtection="1">
      <alignment horizontal="left"/>
      <protection locked="0"/>
    </xf>
    <xf numFmtId="0" fontId="71" fillId="2" borderId="0" xfId="0" applyFont="1" applyFill="1" applyAlignment="1" applyProtection="1">
      <alignment horizontal="right" wrapText="1"/>
      <protection locked="0"/>
    </xf>
    <xf numFmtId="0" fontId="22" fillId="3" borderId="8" xfId="0" applyFont="1" applyFill="1" applyBorder="1" applyAlignment="1" applyProtection="1">
      <alignment horizontal="right"/>
      <protection locked="0"/>
    </xf>
    <xf numFmtId="0" fontId="22" fillId="3" borderId="4" xfId="0" applyFont="1" applyFill="1" applyBorder="1" applyAlignment="1" applyProtection="1">
      <alignment horizontal="right"/>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71" fillId="11" borderId="7" xfId="0" applyFont="1" applyFill="1" applyBorder="1" applyAlignment="1">
      <alignment horizontal="left" vertical="top"/>
    </xf>
    <xf numFmtId="0" fontId="104" fillId="0" borderId="0" xfId="1" applyFont="1"/>
    <xf numFmtId="0" fontId="104" fillId="0" borderId="0" xfId="1" applyFont="1" applyAlignment="1">
      <alignment horizontal="center"/>
    </xf>
    <xf numFmtId="0" fontId="103" fillId="0" borderId="0" xfId="1" applyFont="1"/>
    <xf numFmtId="0" fontId="105" fillId="0" borderId="0" xfId="0" applyFont="1" applyAlignment="1">
      <alignment horizontal="center"/>
    </xf>
    <xf numFmtId="0" fontId="22" fillId="3" borderId="8" xfId="0" applyFont="1" applyFill="1" applyBorder="1" applyAlignment="1" applyProtection="1">
      <alignment horizontal="right" vertical="top"/>
      <protection locked="0"/>
    </xf>
    <xf numFmtId="0" fontId="22" fillId="3" borderId="8" xfId="0" applyFont="1" applyFill="1" applyBorder="1" applyProtection="1">
      <protection locked="0"/>
    </xf>
    <xf numFmtId="0" fontId="22"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80" fontId="22" fillId="0" borderId="0" xfId="0" applyNumberFormat="1" applyFont="1" applyAlignment="1">
      <alignment horizontal="center"/>
    </xf>
    <xf numFmtId="0" fontId="63" fillId="0" borderId="0" xfId="0" applyFont="1"/>
    <xf numFmtId="0" fontId="63" fillId="0" borderId="15" xfId="0" applyFont="1" applyBorder="1"/>
    <xf numFmtId="0" fontId="63" fillId="0" borderId="21" xfId="0" applyFont="1" applyBorder="1"/>
    <xf numFmtId="0" fontId="63" fillId="0" borderId="0" xfId="0" applyFont="1" applyAlignment="1">
      <alignment horizontal="left"/>
    </xf>
    <xf numFmtId="0" fontId="63" fillId="0" borderId="0" xfId="0" applyFont="1" applyAlignment="1">
      <alignment horizontal="right"/>
    </xf>
    <xf numFmtId="0" fontId="40" fillId="0" borderId="15" xfId="0" applyFont="1" applyBorder="1"/>
    <xf numFmtId="0" fontId="63" fillId="0" borderId="9" xfId="0" applyFont="1" applyBorder="1" applyAlignment="1">
      <alignment horizontal="right"/>
    </xf>
    <xf numFmtId="0" fontId="40" fillId="0" borderId="15" xfId="0" applyFont="1" applyBorder="1" applyAlignment="1">
      <alignment horizontal="right"/>
    </xf>
    <xf numFmtId="0" fontId="40" fillId="0" borderId="21" xfId="0" applyFont="1" applyBorder="1" applyAlignment="1">
      <alignment horizontal="right"/>
    </xf>
    <xf numFmtId="172" fontId="107" fillId="0" borderId="15" xfId="0" applyNumberFormat="1" applyFont="1" applyBorder="1"/>
    <xf numFmtId="181" fontId="107" fillId="0" borderId="0" xfId="0" applyNumberFormat="1" applyFont="1"/>
    <xf numFmtId="0" fontId="107" fillId="0" borderId="0" xfId="0" applyFont="1"/>
    <xf numFmtId="0" fontId="63" fillId="0" borderId="9" xfId="0" applyFont="1" applyBorder="1"/>
    <xf numFmtId="0" fontId="63" fillId="0" borderId="18" xfId="0" applyFont="1" applyBorder="1"/>
    <xf numFmtId="0" fontId="111" fillId="0" borderId="0" xfId="0" applyFont="1" applyAlignment="1">
      <alignment horizontal="center"/>
    </xf>
    <xf numFmtId="0" fontId="112" fillId="0" borderId="0" xfId="0" applyFont="1"/>
    <xf numFmtId="0" fontId="40" fillId="0" borderId="0" xfId="0" applyFont="1" applyAlignment="1">
      <alignment horizontal="right"/>
    </xf>
    <xf numFmtId="0" fontId="114" fillId="0" borderId="0" xfId="0" applyFont="1"/>
    <xf numFmtId="0" fontId="107" fillId="0" borderId="15" xfId="0" applyFont="1" applyBorder="1" applyAlignment="1">
      <alignment horizontal="left"/>
    </xf>
    <xf numFmtId="0" fontId="107" fillId="0" borderId="15" xfId="0" applyFont="1" applyBorder="1"/>
    <xf numFmtId="0" fontId="107" fillId="0" borderId="0" xfId="0" applyFont="1" applyAlignment="1">
      <alignment horizontal="left"/>
    </xf>
    <xf numFmtId="0" fontId="40" fillId="0" borderId="14" xfId="0" applyFont="1" applyBorder="1" applyAlignment="1">
      <alignment horizontal="right"/>
    </xf>
    <xf numFmtId="0" fontId="40" fillId="0" borderId="20" xfId="0" applyFont="1" applyBorder="1" applyAlignment="1">
      <alignment horizontal="right"/>
    </xf>
    <xf numFmtId="0" fontId="107" fillId="0" borderId="21" xfId="0" applyFont="1" applyBorder="1" applyAlignment="1">
      <alignment horizontal="left"/>
    </xf>
    <xf numFmtId="180" fontId="107" fillId="0" borderId="0" xfId="0" applyNumberFormat="1" applyFont="1" applyAlignment="1">
      <alignment horizontal="left"/>
    </xf>
    <xf numFmtId="0" fontId="40" fillId="0" borderId="9" xfId="0" applyFont="1" applyBorder="1" applyAlignment="1">
      <alignment horizontal="right"/>
    </xf>
    <xf numFmtId="0" fontId="40" fillId="0" borderId="9" xfId="0" applyFont="1" applyBorder="1"/>
    <xf numFmtId="166" fontId="107" fillId="0" borderId="15" xfId="0" applyNumberFormat="1" applyFont="1" applyBorder="1"/>
    <xf numFmtId="166" fontId="107" fillId="0" borderId="0" xfId="0" applyNumberFormat="1" applyFont="1"/>
    <xf numFmtId="0" fontId="110" fillId="0" borderId="0" xfId="0" applyFont="1"/>
    <xf numFmtId="0" fontId="115" fillId="0" borderId="0" xfId="0" applyFont="1"/>
    <xf numFmtId="0" fontId="107" fillId="0" borderId="21" xfId="0" applyFont="1" applyBorder="1"/>
    <xf numFmtId="180" fontId="107" fillId="0" borderId="15" xfId="0" applyNumberFormat="1" applyFont="1" applyBorder="1" applyAlignment="1">
      <alignment horizontal="left"/>
    </xf>
    <xf numFmtId="180" fontId="107" fillId="0" borderId="21" xfId="0" applyNumberFormat="1" applyFont="1" applyBorder="1" applyAlignment="1">
      <alignment horizontal="left"/>
    </xf>
    <xf numFmtId="0" fontId="118" fillId="0" borderId="0" xfId="6" applyFont="1"/>
    <xf numFmtId="0" fontId="41" fillId="0" borderId="0" xfId="0" applyFont="1" applyAlignment="1">
      <alignment horizontal="center"/>
    </xf>
    <xf numFmtId="0" fontId="40" fillId="0" borderId="0" xfId="0" applyFont="1" applyAlignment="1">
      <alignment horizontal="center"/>
    </xf>
    <xf numFmtId="1" fontId="40" fillId="0" borderId="0" xfId="0" applyNumberFormat="1" applyFont="1" applyAlignment="1">
      <alignment horizontal="center"/>
    </xf>
    <xf numFmtId="0" fontId="23" fillId="0" borderId="0" xfId="0" applyFont="1" applyAlignment="1">
      <alignment horizontal="right"/>
    </xf>
    <xf numFmtId="174" fontId="22" fillId="7" borderId="4" xfId="0" applyNumberFormat="1" applyFont="1" applyFill="1" applyBorder="1" applyProtection="1">
      <protection locked="0"/>
    </xf>
    <xf numFmtId="0" fontId="27"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2" fillId="11" borderId="4" xfId="0" applyFont="1" applyFill="1" applyBorder="1" applyAlignment="1">
      <alignment horizontal="center"/>
    </xf>
    <xf numFmtId="2" fontId="6" fillId="0" borderId="8" xfId="0" applyNumberFormat="1" applyFont="1" applyBorder="1"/>
    <xf numFmtId="0" fontId="114" fillId="0" borderId="0" xfId="0" applyFont="1" applyAlignment="1">
      <alignment horizontal="left"/>
    </xf>
    <xf numFmtId="182" fontId="52" fillId="0" borderId="0" xfId="1" applyNumberFormat="1" applyAlignment="1">
      <alignment horizontal="left"/>
    </xf>
    <xf numFmtId="0" fontId="125"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2" fillId="11" borderId="7" xfId="0" applyFont="1" applyFill="1" applyBorder="1" applyAlignment="1">
      <alignment horizontal="center"/>
    </xf>
    <xf numFmtId="164" fontId="41"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7"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2" fillId="0" borderId="20" xfId="0" applyFont="1" applyBorder="1" applyAlignment="1">
      <alignment horizontal="left"/>
    </xf>
    <xf numFmtId="0" fontId="32" fillId="0" borderId="0" xfId="0" applyFont="1" applyAlignment="1">
      <alignment horizontal="left"/>
    </xf>
    <xf numFmtId="14" fontId="32" fillId="0" borderId="20" xfId="0" applyNumberFormat="1" applyFont="1" applyBorder="1" applyAlignment="1">
      <alignment horizontal="left"/>
    </xf>
    <xf numFmtId="166" fontId="32" fillId="0" borderId="20" xfId="0" applyNumberFormat="1" applyFont="1" applyBorder="1" applyAlignment="1">
      <alignment horizontal="left"/>
    </xf>
    <xf numFmtId="0" fontId="32"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7" fillId="0" borderId="27" xfId="0" applyFont="1" applyBorder="1" applyAlignment="1">
      <alignment horizontal="center"/>
    </xf>
    <xf numFmtId="0" fontId="27" fillId="0" borderId="28" xfId="0" applyFont="1" applyBorder="1" applyAlignment="1">
      <alignment horizontal="center"/>
    </xf>
    <xf numFmtId="0" fontId="27" fillId="0" borderId="29" xfId="0" applyFont="1" applyBorder="1" applyAlignment="1">
      <alignment horizontal="center"/>
    </xf>
    <xf numFmtId="0" fontId="27" fillId="0" borderId="0" xfId="0" applyFont="1" applyAlignment="1">
      <alignment horizontal="center"/>
    </xf>
    <xf numFmtId="0" fontId="127" fillId="0" borderId="0" xfId="1" applyFont="1"/>
    <xf numFmtId="0" fontId="128" fillId="0" borderId="0" xfId="1" applyFont="1"/>
    <xf numFmtId="0" fontId="127" fillId="0" borderId="0" xfId="1" applyFont="1" applyAlignment="1">
      <alignment horizontal="center"/>
    </xf>
    <xf numFmtId="0" fontId="128" fillId="0" borderId="0" xfId="1" applyFont="1" applyAlignment="1">
      <alignment horizontal="center"/>
    </xf>
    <xf numFmtId="0" fontId="129" fillId="0" borderId="0" xfId="0" applyFont="1"/>
    <xf numFmtId="172" fontId="79" fillId="5" borderId="4" xfId="0" applyNumberFormat="1" applyFont="1" applyFill="1" applyBorder="1" applyAlignment="1">
      <alignment horizontal="left"/>
    </xf>
    <xf numFmtId="0" fontId="127" fillId="0" borderId="0" xfId="1" applyFont="1" applyProtection="1">
      <protection locked="0"/>
    </xf>
    <xf numFmtId="0" fontId="6" fillId="2" borderId="0" xfId="0" applyFont="1" applyFill="1" applyProtection="1">
      <protection hidden="1"/>
    </xf>
    <xf numFmtId="14" fontId="22" fillId="3" borderId="4" xfId="0" applyNumberFormat="1" applyFont="1" applyFill="1" applyBorder="1" applyAlignment="1">
      <alignment horizontal="left"/>
    </xf>
    <xf numFmtId="166" fontId="22" fillId="10" borderId="4" xfId="0" applyNumberFormat="1" applyFont="1" applyFill="1" applyBorder="1" applyAlignment="1">
      <alignment horizontal="left"/>
    </xf>
    <xf numFmtId="174"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6" fillId="13" borderId="4" xfId="0" applyFont="1" applyFill="1" applyBorder="1" applyAlignment="1" applyProtection="1">
      <alignment horizontal="left"/>
      <protection locked="0"/>
    </xf>
    <xf numFmtId="1" fontId="83" fillId="13" borderId="12" xfId="0" applyNumberFormat="1" applyFont="1" applyFill="1" applyBorder="1" applyAlignment="1" applyProtection="1">
      <alignment horizontal="left"/>
      <protection locked="0"/>
    </xf>
    <xf numFmtId="174" fontId="22" fillId="3" borderId="11" xfId="0" applyNumberFormat="1" applyFont="1" applyFill="1" applyBorder="1" applyAlignment="1">
      <alignment horizontal="left"/>
    </xf>
    <xf numFmtId="0" fontId="122" fillId="2" borderId="0" xfId="0" applyFont="1" applyFill="1" applyProtection="1">
      <protection hidden="1"/>
    </xf>
    <xf numFmtId="49" fontId="40" fillId="0" borderId="0" xfId="0" applyNumberFormat="1" applyFont="1" applyProtection="1">
      <protection locked="0"/>
    </xf>
    <xf numFmtId="14" fontId="32" fillId="3" borderId="4" xfId="0" applyNumberFormat="1" applyFont="1" applyFill="1" applyBorder="1" applyAlignment="1">
      <alignment horizontal="left"/>
    </xf>
    <xf numFmtId="0" fontId="32" fillId="3" borderId="4" xfId="0" applyFont="1" applyFill="1" applyBorder="1" applyAlignment="1">
      <alignment horizontal="center"/>
    </xf>
    <xf numFmtId="0" fontId="32" fillId="13" borderId="4" xfId="0" applyFont="1" applyFill="1" applyBorder="1" applyAlignment="1" applyProtection="1">
      <alignment horizontal="left"/>
      <protection locked="0"/>
    </xf>
    <xf numFmtId="49" fontId="32" fillId="3" borderId="4" xfId="0" applyNumberFormat="1" applyFont="1" applyFill="1" applyBorder="1" applyAlignment="1">
      <alignment horizontal="left"/>
    </xf>
    <xf numFmtId="0" fontId="6"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6" fillId="0" borderId="0" xfId="0" applyFont="1" applyProtection="1">
      <protection hidden="1"/>
    </xf>
    <xf numFmtId="0" fontId="56" fillId="0" borderId="0" xfId="0" applyFont="1" applyAlignment="1" applyProtection="1">
      <alignment horizontal="left"/>
      <protection hidden="1"/>
    </xf>
    <xf numFmtId="0" fontId="32" fillId="3" borderId="4" xfId="0" applyFont="1" applyFill="1" applyBorder="1" applyAlignment="1">
      <alignment horizontal="left"/>
    </xf>
    <xf numFmtId="49" fontId="32" fillId="13" borderId="4" xfId="0" applyNumberFormat="1" applyFont="1" applyFill="1" applyBorder="1" applyAlignment="1" applyProtection="1">
      <alignment horizontal="left"/>
      <protection locked="0"/>
    </xf>
    <xf numFmtId="169" fontId="22" fillId="3" borderId="4" xfId="0" applyNumberFormat="1" applyFont="1" applyFill="1" applyBorder="1" applyAlignment="1">
      <alignment horizontal="left"/>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9" fillId="13" borderId="4" xfId="0" applyFont="1" applyFill="1" applyBorder="1" applyProtection="1">
      <protection locked="0"/>
    </xf>
    <xf numFmtId="166" fontId="27" fillId="7" borderId="4" xfId="0" applyNumberFormat="1" applyFont="1" applyFill="1" applyBorder="1" applyAlignment="1" applyProtection="1">
      <alignment horizontal="left"/>
      <protection locked="0"/>
    </xf>
    <xf numFmtId="0" fontId="22" fillId="7" borderId="4" xfId="0" applyFont="1" applyFill="1" applyBorder="1" applyAlignment="1">
      <alignment horizontal="center"/>
    </xf>
    <xf numFmtId="0" fontId="6" fillId="13" borderId="7" xfId="0" applyFont="1" applyFill="1" applyBorder="1" applyProtection="1">
      <protection locked="0"/>
    </xf>
    <xf numFmtId="0" fontId="22" fillId="11" borderId="12" xfId="0" applyFont="1" applyFill="1" applyBorder="1" applyAlignment="1">
      <alignment horizontal="center"/>
    </xf>
    <xf numFmtId="0" fontId="71" fillId="2" borderId="0" xfId="0" applyFont="1" applyFill="1"/>
    <xf numFmtId="0" fontId="74" fillId="2" borderId="0" xfId="0" applyFont="1" applyFill="1"/>
    <xf numFmtId="0" fontId="78" fillId="2" borderId="0" xfId="0" applyFont="1" applyFill="1"/>
    <xf numFmtId="0" fontId="122" fillId="2" borderId="0" xfId="0" applyFont="1" applyFill="1"/>
    <xf numFmtId="0" fontId="6" fillId="2" borderId="0" xfId="0" applyFont="1" applyFill="1"/>
    <xf numFmtId="0" fontId="3" fillId="9" borderId="0" xfId="0" applyFont="1" applyFill="1" applyAlignment="1">
      <alignment horizontal="center"/>
    </xf>
    <xf numFmtId="0" fontId="27" fillId="9" borderId="19" xfId="0" applyFont="1" applyFill="1" applyBorder="1"/>
    <xf numFmtId="0" fontId="27" fillId="9" borderId="17" xfId="0" applyFont="1" applyFill="1" applyBorder="1"/>
    <xf numFmtId="0" fontId="32"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6" fillId="9" borderId="17" xfId="0" applyNumberFormat="1" applyFont="1" applyFill="1" applyBorder="1"/>
    <xf numFmtId="0" fontId="56" fillId="2" borderId="0" xfId="0" applyFont="1" applyFill="1"/>
    <xf numFmtId="0" fontId="71" fillId="2" borderId="0" xfId="0" applyFont="1" applyFill="1" applyAlignment="1">
      <alignment horizontal="left" vertical="top"/>
    </xf>
    <xf numFmtId="0" fontId="71" fillId="2" borderId="0" xfId="0" applyFont="1" applyFill="1" applyAlignment="1">
      <alignment horizontal="left"/>
    </xf>
    <xf numFmtId="0" fontId="3" fillId="2" borderId="0" xfId="0" applyFont="1" applyFill="1" applyAlignment="1">
      <alignment horizontal="right" wrapText="1"/>
    </xf>
    <xf numFmtId="0" fontId="71" fillId="2" borderId="0" xfId="0" applyFont="1" applyFill="1" applyAlignment="1">
      <alignment horizontal="left" vertical="center"/>
    </xf>
    <xf numFmtId="0" fontId="71" fillId="2" borderId="0" xfId="0" applyFont="1" applyFill="1" applyAlignment="1">
      <alignment horizontal="right" wrapText="1"/>
    </xf>
    <xf numFmtId="0" fontId="70" fillId="2" borderId="0" xfId="0" applyFont="1" applyFill="1"/>
    <xf numFmtId="0" fontId="70" fillId="2" borderId="0" xfId="0" applyFont="1" applyFill="1" applyAlignment="1">
      <alignment horizontal="center"/>
    </xf>
    <xf numFmtId="0" fontId="82" fillId="2" borderId="0" xfId="0" applyFont="1" applyFill="1"/>
    <xf numFmtId="0" fontId="76" fillId="2" borderId="0" xfId="0" applyFont="1" applyFill="1" applyAlignment="1">
      <alignment horizontal="right" wrapText="1"/>
    </xf>
    <xf numFmtId="0" fontId="76" fillId="2" borderId="0" xfId="0" applyFont="1" applyFill="1" applyAlignment="1">
      <alignment horizontal="left"/>
    </xf>
    <xf numFmtId="0" fontId="54" fillId="2" borderId="0" xfId="0" applyFont="1" applyFill="1"/>
    <xf numFmtId="0" fontId="70" fillId="2" borderId="0" xfId="0" applyFont="1" applyFill="1" applyAlignment="1">
      <alignment horizontal="right"/>
    </xf>
    <xf numFmtId="0" fontId="74" fillId="2" borderId="0" xfId="0" applyFont="1" applyFill="1" applyAlignment="1">
      <alignment horizontal="right"/>
    </xf>
    <xf numFmtId="172" fontId="86" fillId="2" borderId="0" xfId="0" applyNumberFormat="1" applyFont="1" applyFill="1"/>
    <xf numFmtId="0" fontId="75" fillId="2" borderId="0" xfId="0" applyFont="1" applyFill="1" applyAlignment="1">
      <alignment horizontal="right" wrapText="1"/>
    </xf>
    <xf numFmtId="0" fontId="87" fillId="2" borderId="0" xfId="0" applyFont="1" applyFill="1"/>
    <xf numFmtId="172" fontId="82" fillId="2" borderId="0" xfId="0" applyNumberFormat="1" applyFont="1" applyFill="1"/>
    <xf numFmtId="178" fontId="78" fillId="2" borderId="0" xfId="0" applyNumberFormat="1" applyFont="1" applyFill="1"/>
    <xf numFmtId="175" fontId="122" fillId="2" borderId="0" xfId="0" applyNumberFormat="1" applyFont="1" applyFill="1"/>
    <xf numFmtId="1" fontId="74" fillId="2" borderId="0" xfId="0" applyNumberFormat="1" applyFont="1" applyFill="1"/>
    <xf numFmtId="0" fontId="121" fillId="2" borderId="0" xfId="0" applyFont="1" applyFill="1"/>
    <xf numFmtId="0" fontId="123" fillId="2" borderId="0" xfId="0" applyFont="1" applyFill="1"/>
    <xf numFmtId="176" fontId="122" fillId="2" borderId="0" xfId="0" applyNumberFormat="1" applyFont="1" applyFill="1"/>
    <xf numFmtId="0" fontId="89" fillId="2" borderId="0" xfId="0" applyFont="1" applyFill="1" applyAlignment="1">
      <alignment horizontal="left"/>
    </xf>
    <xf numFmtId="0" fontId="89" fillId="2" borderId="0" xfId="0" applyFont="1" applyFill="1"/>
    <xf numFmtId="0" fontId="90" fillId="2" borderId="0" xfId="0" applyFont="1" applyFill="1" applyAlignment="1">
      <alignment horizontal="right" wrapText="1"/>
    </xf>
    <xf numFmtId="0" fontId="71" fillId="2" borderId="0" xfId="0" applyFont="1" applyFill="1" applyAlignment="1">
      <alignment horizontal="right" vertical="top"/>
    </xf>
    <xf numFmtId="0" fontId="71" fillId="2" borderId="0" xfId="0" applyFont="1" applyFill="1" applyAlignment="1">
      <alignment horizontal="right"/>
    </xf>
    <xf numFmtId="0" fontId="71" fillId="9" borderId="0" xfId="0" applyFont="1" applyFill="1"/>
    <xf numFmtId="0" fontId="76" fillId="2" borderId="0" xfId="0" applyFont="1" applyFill="1" applyAlignment="1">
      <alignment horizontal="left" vertical="top"/>
    </xf>
    <xf numFmtId="0" fontId="75" fillId="2" borderId="0" xfId="0" applyFont="1" applyFill="1"/>
    <xf numFmtId="0" fontId="22" fillId="2" borderId="0" xfId="0" applyFont="1" applyFill="1"/>
    <xf numFmtId="0" fontId="6" fillId="9" borderId="11" xfId="0" applyFont="1" applyFill="1" applyBorder="1"/>
    <xf numFmtId="0" fontId="56" fillId="2" borderId="19" xfId="0" applyFont="1" applyFill="1" applyBorder="1"/>
    <xf numFmtId="0" fontId="3" fillId="9" borderId="21" xfId="0" applyFont="1" applyFill="1" applyBorder="1" applyAlignment="1">
      <alignment horizontal="center"/>
    </xf>
    <xf numFmtId="0" fontId="92" fillId="2" borderId="0" xfId="0" applyFont="1" applyFill="1" applyAlignment="1">
      <alignment vertical="top"/>
    </xf>
    <xf numFmtId="0" fontId="76" fillId="2" borderId="0" xfId="0" applyFont="1" applyFill="1" applyAlignment="1">
      <alignment vertical="top"/>
    </xf>
    <xf numFmtId="0" fontId="27" fillId="9" borderId="21" xfId="0" applyFont="1" applyFill="1" applyBorder="1" applyAlignment="1">
      <alignment horizontal="center"/>
    </xf>
    <xf numFmtId="0" fontId="75" fillId="2" borderId="0" xfId="0" applyFont="1" applyFill="1" applyAlignment="1">
      <alignment vertical="top"/>
    </xf>
    <xf numFmtId="164" fontId="22" fillId="2" borderId="0" xfId="0" applyNumberFormat="1" applyFont="1" applyFill="1"/>
    <xf numFmtId="164" fontId="27" fillId="2" borderId="0" xfId="0" applyNumberFormat="1" applyFont="1" applyFill="1"/>
    <xf numFmtId="0" fontId="91" fillId="2" borderId="0" xfId="0" applyFont="1" applyFill="1"/>
    <xf numFmtId="0" fontId="27" fillId="9" borderId="0" xfId="0" applyFont="1" applyFill="1" applyAlignment="1">
      <alignment horizontal="center" vertical="top" wrapText="1"/>
    </xf>
    <xf numFmtId="0" fontId="102" fillId="2" borderId="0" xfId="0" applyFont="1" applyFill="1"/>
    <xf numFmtId="0" fontId="22" fillId="9" borderId="20" xfId="0" applyFont="1" applyFill="1" applyBorder="1" applyAlignment="1">
      <alignment horizontal="center"/>
    </xf>
    <xf numFmtId="0" fontId="93" fillId="2" borderId="0" xfId="0" applyFont="1" applyFill="1" applyAlignment="1">
      <alignment horizontal="left" vertical="top"/>
    </xf>
    <xf numFmtId="0" fontId="101" fillId="2" borderId="0" xfId="0" applyFont="1" applyFill="1"/>
    <xf numFmtId="164" fontId="6" fillId="9" borderId="20" xfId="0" applyNumberFormat="1" applyFont="1" applyFill="1" applyBorder="1"/>
    <xf numFmtId="0" fontId="92" fillId="2" borderId="0" xfId="0" applyFont="1" applyFill="1" applyAlignment="1">
      <alignment wrapText="1"/>
    </xf>
    <xf numFmtId="0" fontId="55" fillId="2" borderId="0" xfId="0" applyFont="1" applyFill="1"/>
    <xf numFmtId="0" fontId="119" fillId="2" borderId="0" xfId="0" applyFont="1" applyFill="1"/>
    <xf numFmtId="0" fontId="120" fillId="2" borderId="0" xfId="0" applyFont="1" applyFill="1" applyAlignment="1">
      <alignment horizontal="right"/>
    </xf>
    <xf numFmtId="0" fontId="96" fillId="2" borderId="0" xfId="0" applyFont="1" applyFill="1" applyAlignment="1">
      <alignment wrapText="1"/>
    </xf>
    <xf numFmtId="0" fontId="76" fillId="2" borderId="0" xfId="0" applyFont="1" applyFill="1" applyAlignment="1">
      <alignment wrapText="1"/>
    </xf>
    <xf numFmtId="0" fontId="76" fillId="2" borderId="0" xfId="0" applyFont="1" applyFill="1"/>
    <xf numFmtId="0" fontId="75" fillId="2" borderId="0" xfId="0" applyFont="1" applyFill="1" applyAlignment="1">
      <alignment wrapText="1"/>
    </xf>
    <xf numFmtId="164" fontId="75" fillId="2" borderId="0" xfId="0" applyNumberFormat="1" applyFont="1" applyFill="1"/>
    <xf numFmtId="0" fontId="93" fillId="2" borderId="0" xfId="0" applyFont="1" applyFill="1" applyAlignment="1">
      <alignment horizontal="right" wrapText="1"/>
    </xf>
    <xf numFmtId="0" fontId="97"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164" fontId="98" fillId="2" borderId="0" xfId="0" applyNumberFormat="1" applyFont="1" applyFill="1"/>
    <xf numFmtId="0" fontId="53" fillId="2" borderId="0" xfId="0" applyFont="1" applyFill="1" applyAlignment="1">
      <alignment horizontal="right" wrapText="1"/>
    </xf>
    <xf numFmtId="0" fontId="53" fillId="2" borderId="0" xfId="0" applyFont="1" applyFill="1" applyAlignment="1">
      <alignment horizontal="left" vertical="top"/>
    </xf>
    <xf numFmtId="0" fontId="53" fillId="2" borderId="0" xfId="0" applyFont="1" applyFill="1" applyAlignment="1">
      <alignment horizontal="left"/>
    </xf>
    <xf numFmtId="0" fontId="53" fillId="2" borderId="0" xfId="0" applyFont="1" applyFill="1"/>
    <xf numFmtId="0" fontId="99" fillId="2" borderId="0" xfId="0" applyFont="1" applyFill="1" applyAlignment="1">
      <alignment horizontal="right" wrapText="1"/>
    </xf>
    <xf numFmtId="0" fontId="100" fillId="2" borderId="0" xfId="0" applyFont="1" applyFill="1" applyAlignment="1">
      <alignment horizontal="left" vertical="top"/>
    </xf>
    <xf numFmtId="0" fontId="100" fillId="2" borderId="0" xfId="0" applyFont="1" applyFill="1" applyAlignment="1">
      <alignment horizontal="left"/>
    </xf>
    <xf numFmtId="0" fontId="100" fillId="2" borderId="0" xfId="0" applyFont="1" applyFill="1"/>
    <xf numFmtId="0" fontId="100" fillId="2" borderId="0" xfId="0" applyFont="1" applyFill="1" applyAlignment="1">
      <alignment horizontal="right" wrapText="1"/>
    </xf>
    <xf numFmtId="0" fontId="99" fillId="2" borderId="0" xfId="0" applyFont="1" applyFill="1" applyAlignment="1">
      <alignment horizontal="left" vertical="top"/>
    </xf>
    <xf numFmtId="0" fontId="99" fillId="2" borderId="0" xfId="0" applyFont="1" applyFill="1" applyAlignment="1">
      <alignment horizontal="left"/>
    </xf>
    <xf numFmtId="0" fontId="99" fillId="2" borderId="0" xfId="0" applyFont="1" applyFill="1"/>
    <xf numFmtId="164" fontId="97" fillId="2" borderId="0" xfId="0" applyNumberFormat="1" applyFont="1" applyFill="1"/>
    <xf numFmtId="0" fontId="78" fillId="2" borderId="0" xfId="0" applyFont="1" applyFill="1" applyAlignment="1">
      <alignment horizontal="right" wrapText="1"/>
    </xf>
    <xf numFmtId="0" fontId="78" fillId="2" borderId="0" xfId="0" applyFont="1" applyFill="1" applyAlignment="1">
      <alignment horizontal="left" vertical="top"/>
    </xf>
    <xf numFmtId="0" fontId="78" fillId="2" borderId="0" xfId="0" applyFont="1" applyFill="1" applyAlignment="1">
      <alignment horizontal="left"/>
    </xf>
    <xf numFmtId="18" fontId="22"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6" fillId="0" borderId="0" xfId="6"/>
    <xf numFmtId="169" fontId="85" fillId="8" borderId="4" xfId="0" applyNumberFormat="1" applyFont="1" applyFill="1" applyBorder="1" applyAlignment="1" applyProtection="1">
      <alignment horizontal="left"/>
      <protection locked="0"/>
    </xf>
    <xf numFmtId="0" fontId="22" fillId="7" borderId="8" xfId="0" applyFont="1" applyFill="1" applyBorder="1" applyAlignment="1" applyProtection="1">
      <alignment horizontal="left"/>
      <protection locked="0"/>
    </xf>
    <xf numFmtId="0" fontId="22" fillId="3" borderId="4" xfId="0" applyFont="1" applyFill="1" applyBorder="1"/>
    <xf numFmtId="0" fontId="6" fillId="13" borderId="12" xfId="0" applyFont="1" applyFill="1" applyBorder="1" applyProtection="1">
      <protection locked="0"/>
    </xf>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102" fillId="11" borderId="7" xfId="0" applyNumberFormat="1" applyFont="1" applyFill="1" applyBorder="1"/>
    <xf numFmtId="164" fontId="102" fillId="11" borderId="13" xfId="0" applyNumberFormat="1" applyFont="1" applyFill="1" applyBorder="1"/>
    <xf numFmtId="164" fontId="124" fillId="11" borderId="12" xfId="0" applyNumberFormat="1" applyFont="1" applyFill="1" applyBorder="1" applyAlignment="1">
      <alignment horizontal="right"/>
    </xf>
    <xf numFmtId="0" fontId="102" fillId="11" borderId="7" xfId="0" applyFont="1" applyFill="1" applyBorder="1"/>
    <xf numFmtId="0" fontId="102" fillId="11" borderId="13" xfId="0" applyFont="1" applyFill="1" applyBorder="1"/>
    <xf numFmtId="0" fontId="124" fillId="11" borderId="12" xfId="0" applyFont="1" applyFill="1" applyBorder="1" applyAlignment="1">
      <alignment horizontal="right"/>
    </xf>
    <xf numFmtId="0" fontId="101" fillId="11" borderId="7" xfId="0" applyFont="1" applyFill="1" applyBorder="1"/>
    <xf numFmtId="0" fontId="101" fillId="11" borderId="13" xfId="0" applyFont="1" applyFill="1" applyBorder="1"/>
    <xf numFmtId="0" fontId="71" fillId="11" borderId="7" xfId="0" applyFont="1" applyFill="1" applyBorder="1" applyAlignment="1">
      <alignment horizontal="right"/>
    </xf>
    <xf numFmtId="0" fontId="71"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30" fillId="4" borderId="4" xfId="6" applyFont="1" applyFill="1" applyBorder="1" applyAlignment="1" applyProtection="1">
      <alignment horizontal="right"/>
    </xf>
    <xf numFmtId="0" fontId="27" fillId="4" borderId="4" xfId="0" applyFont="1" applyFill="1" applyBorder="1" applyAlignment="1">
      <alignment horizontal="right" vertical="top"/>
    </xf>
    <xf numFmtId="0" fontId="6" fillId="13" borderId="11" xfId="0" applyFont="1" applyFill="1" applyBorder="1" applyProtection="1">
      <protection locked="0"/>
    </xf>
    <xf numFmtId="0" fontId="27" fillId="13" borderId="4" xfId="0" applyFont="1" applyFill="1" applyBorder="1" applyAlignment="1" applyProtection="1">
      <alignment horizontal="center"/>
      <protection locked="0"/>
    </xf>
    <xf numFmtId="0" fontId="27"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2" fillId="13" borderId="7" xfId="0" applyFont="1" applyFill="1" applyBorder="1" applyProtection="1">
      <protection locked="0"/>
    </xf>
    <xf numFmtId="0" fontId="71" fillId="13" borderId="12" xfId="0" applyFont="1" applyFill="1" applyBorder="1"/>
    <xf numFmtId="21" fontId="6" fillId="0" borderId="0" xfId="3" applyNumberFormat="1" applyProtection="1">
      <protection locked="0"/>
    </xf>
    <xf numFmtId="0" fontId="27" fillId="4" borderId="12" xfId="0" applyFont="1" applyFill="1" applyBorder="1" applyAlignment="1">
      <alignment horizontal="right" wrapText="1"/>
    </xf>
    <xf numFmtId="0" fontId="4" fillId="0" borderId="0" xfId="0" applyFont="1" applyProtection="1">
      <protection locked="0"/>
    </xf>
    <xf numFmtId="0" fontId="33" fillId="0" borderId="0" xfId="0" applyFont="1" applyProtection="1">
      <protection locked="0"/>
    </xf>
    <xf numFmtId="0" fontId="53" fillId="16" borderId="30" xfId="0" applyFont="1" applyFill="1" applyBorder="1"/>
    <xf numFmtId="166" fontId="53"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5" fillId="0" borderId="0" xfId="0" applyNumberFormat="1" applyFont="1" applyAlignment="1">
      <alignment horizontal="right"/>
    </xf>
    <xf numFmtId="0" fontId="35" fillId="0" borderId="0" xfId="0" applyFont="1" applyAlignment="1">
      <alignment horizontal="right"/>
    </xf>
    <xf numFmtId="0" fontId="131" fillId="14" borderId="0" xfId="0" applyFont="1" applyFill="1" applyAlignment="1">
      <alignment horizontal="center"/>
    </xf>
    <xf numFmtId="0" fontId="131" fillId="14" borderId="33" xfId="0" applyFont="1" applyFill="1" applyBorder="1" applyAlignment="1">
      <alignment horizontal="center"/>
    </xf>
    <xf numFmtId="165" fontId="53" fillId="15" borderId="32" xfId="0" applyNumberFormat="1" applyFont="1" applyFill="1" applyBorder="1"/>
    <xf numFmtId="0" fontId="53" fillId="15" borderId="32" xfId="0" applyFont="1" applyFill="1" applyBorder="1"/>
    <xf numFmtId="184" fontId="53" fillId="15" borderId="32" xfId="0" applyNumberFormat="1" applyFont="1" applyFill="1" applyBorder="1"/>
    <xf numFmtId="165" fontId="53" fillId="16" borderId="30" xfId="0" applyNumberFormat="1" applyFont="1" applyFill="1" applyBorder="1"/>
    <xf numFmtId="184" fontId="53" fillId="16" borderId="30" xfId="0" applyNumberFormat="1" applyFont="1" applyFill="1" applyBorder="1"/>
    <xf numFmtId="1" fontId="53" fillId="15" borderId="34" xfId="0" applyNumberFormat="1" applyFont="1" applyFill="1" applyBorder="1"/>
    <xf numFmtId="1" fontId="53" fillId="16" borderId="31" xfId="0" applyNumberFormat="1" applyFont="1" applyFill="1" applyBorder="1"/>
    <xf numFmtId="1" fontId="77" fillId="4" borderId="4" xfId="0" applyNumberFormat="1" applyFont="1" applyFill="1" applyBorder="1" applyAlignment="1">
      <alignment horizontal="center"/>
    </xf>
    <xf numFmtId="164" fontId="81"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6" fillId="0" borderId="0" xfId="3" applyProtection="1">
      <protection locked="0"/>
    </xf>
    <xf numFmtId="0" fontId="131" fillId="17" borderId="14" xfId="0" applyFont="1" applyFill="1" applyBorder="1" applyAlignment="1">
      <alignment horizontal="center"/>
    </xf>
    <xf numFmtId="0" fontId="131" fillId="17" borderId="16" xfId="0" applyFont="1" applyFill="1" applyBorder="1" applyAlignment="1">
      <alignment horizontal="center"/>
    </xf>
    <xf numFmtId="0" fontId="6" fillId="0" borderId="0" xfId="0" applyFont="1" applyAlignment="1">
      <alignment horizontal="right" vertical="center"/>
    </xf>
    <xf numFmtId="0" fontId="81" fillId="5" borderId="7" xfId="0" applyFont="1" applyFill="1" applyBorder="1" applyAlignment="1">
      <alignment horizontal="left"/>
    </xf>
    <xf numFmtId="0" fontId="81" fillId="5" borderId="12" xfId="0" applyFont="1" applyFill="1" applyBorder="1" applyAlignment="1">
      <alignment horizontal="left"/>
    </xf>
    <xf numFmtId="0" fontId="22" fillId="13" borderId="7" xfId="0" applyFont="1" applyFill="1" applyBorder="1" applyProtection="1">
      <protection locked="0"/>
    </xf>
    <xf numFmtId="0" fontId="22" fillId="13" borderId="12" xfId="0" applyFont="1" applyFill="1" applyBorder="1" applyProtection="1">
      <protection locked="0"/>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72" fillId="6" borderId="7" xfId="0" applyFont="1" applyFill="1" applyBorder="1" applyAlignment="1">
      <alignment horizontal="right"/>
    </xf>
    <xf numFmtId="0" fontId="72" fillId="6" borderId="13" xfId="0" applyFont="1" applyFill="1" applyBorder="1" applyAlignment="1">
      <alignment horizontal="right"/>
    </xf>
    <xf numFmtId="0" fontId="77" fillId="6" borderId="7" xfId="0" applyFont="1" applyFill="1" applyBorder="1" applyAlignment="1">
      <alignment horizontal="center"/>
    </xf>
    <xf numFmtId="0" fontId="77" fillId="6" borderId="13" xfId="0" applyFont="1" applyFill="1" applyBorder="1" applyAlignment="1">
      <alignment horizontal="center"/>
    </xf>
    <xf numFmtId="0" fontId="77" fillId="6" borderId="12" xfId="0" applyFont="1" applyFill="1" applyBorder="1" applyAlignment="1">
      <alignment horizontal="center"/>
    </xf>
    <xf numFmtId="0" fontId="77" fillId="4" borderId="7" xfId="0" applyFont="1" applyFill="1" applyBorder="1" applyAlignment="1">
      <alignment horizontal="center"/>
    </xf>
    <xf numFmtId="0" fontId="77" fillId="4" borderId="12" xfId="0" applyFont="1" applyFill="1" applyBorder="1" applyAlignment="1">
      <alignment horizontal="center"/>
    </xf>
    <xf numFmtId="0" fontId="76" fillId="4" borderId="7" xfId="0" applyFont="1" applyFill="1" applyBorder="1" applyAlignment="1">
      <alignment horizontal="right"/>
    </xf>
    <xf numFmtId="0" fontId="76" fillId="4" borderId="12" xfId="0" applyFont="1" applyFill="1" applyBorder="1" applyAlignment="1">
      <alignment horizontal="right"/>
    </xf>
    <xf numFmtId="176" fontId="79" fillId="5" borderId="7" xfId="0" applyNumberFormat="1" applyFont="1" applyFill="1" applyBorder="1" applyAlignment="1">
      <alignment horizontal="center"/>
    </xf>
    <xf numFmtId="176" fontId="79" fillId="5" borderId="12" xfId="0" applyNumberFormat="1" applyFont="1" applyFill="1" applyBorder="1" applyAlignment="1">
      <alignment horizontal="center"/>
    </xf>
    <xf numFmtId="176" fontId="83" fillId="13" borderId="7" xfId="0" applyNumberFormat="1" applyFont="1" applyFill="1" applyBorder="1" applyAlignment="1" applyProtection="1">
      <alignment horizontal="left"/>
      <protection locked="0"/>
    </xf>
    <xf numFmtId="176" fontId="83" fillId="13" borderId="12" xfId="0" applyNumberFormat="1" applyFont="1" applyFill="1" applyBorder="1" applyAlignment="1" applyProtection="1">
      <alignment horizontal="left"/>
      <protection locked="0"/>
    </xf>
    <xf numFmtId="0" fontId="75" fillId="4" borderId="7" xfId="0" applyFont="1" applyFill="1" applyBorder="1" applyAlignment="1">
      <alignment horizontal="right" wrapText="1"/>
    </xf>
    <xf numFmtId="0" fontId="75" fillId="4" borderId="12" xfId="0" applyFont="1" applyFill="1" applyBorder="1" applyAlignment="1">
      <alignment horizontal="right" wrapText="1"/>
    </xf>
    <xf numFmtId="0" fontId="27" fillId="4" borderId="7"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lignment horizontal="left"/>
    </xf>
    <xf numFmtId="0" fontId="22" fillId="7" borderId="12" xfId="0" applyFont="1" applyFill="1" applyBorder="1" applyAlignment="1">
      <alignment horizontal="left"/>
    </xf>
    <xf numFmtId="0" fontId="75" fillId="6" borderId="4" xfId="0" applyFont="1" applyFill="1" applyBorder="1" applyAlignment="1">
      <alignment horizontal="center"/>
    </xf>
    <xf numFmtId="0" fontId="76" fillId="3" borderId="7" xfId="0" applyFont="1" applyFill="1" applyBorder="1" applyAlignment="1">
      <alignment horizontal="left"/>
    </xf>
    <xf numFmtId="0" fontId="76" fillId="3" borderId="13" xfId="0" applyFont="1" applyFill="1" applyBorder="1" applyAlignment="1">
      <alignment horizontal="left"/>
    </xf>
    <xf numFmtId="0" fontId="76" fillId="3" borderId="12" xfId="0" applyFont="1" applyFill="1" applyBorder="1" applyAlignment="1">
      <alignment horizontal="left"/>
    </xf>
    <xf numFmtId="171" fontId="76" fillId="3" borderId="7" xfId="0" applyNumberFormat="1" applyFont="1" applyFill="1" applyBorder="1" applyAlignment="1">
      <alignment horizontal="left"/>
    </xf>
    <xf numFmtId="171" fontId="76" fillId="3" borderId="13" xfId="0" applyNumberFormat="1" applyFont="1" applyFill="1" applyBorder="1" applyAlignment="1">
      <alignment horizontal="left"/>
    </xf>
    <xf numFmtId="171" fontId="76"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84" fillId="4" borderId="7" xfId="0" applyFont="1" applyFill="1" applyBorder="1" applyAlignment="1">
      <alignment horizontal="right"/>
    </xf>
    <xf numFmtId="0" fontId="84" fillId="4" borderId="12" xfId="0" applyFont="1" applyFill="1" applyBorder="1" applyAlignment="1">
      <alignment horizontal="right"/>
    </xf>
    <xf numFmtId="0" fontId="75" fillId="6" borderId="21" xfId="0" applyFont="1" applyFill="1" applyBorder="1" applyAlignment="1">
      <alignment horizontal="center"/>
    </xf>
    <xf numFmtId="0" fontId="75"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71" fillId="13" borderId="7" xfId="0" applyFont="1" applyFill="1" applyBorder="1" applyProtection="1">
      <protection locked="0"/>
    </xf>
    <xf numFmtId="0" fontId="71" fillId="13" borderId="13" xfId="0" applyFont="1" applyFill="1" applyBorder="1" applyProtection="1">
      <protection locked="0"/>
    </xf>
    <xf numFmtId="0" fontId="71"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49" fontId="40" fillId="0" borderId="0" xfId="0" applyNumberFormat="1" applyFont="1" applyAlignment="1" applyProtection="1">
      <alignment horizontal="left"/>
      <protection locked="0"/>
    </xf>
    <xf numFmtId="0" fontId="40" fillId="0" borderId="0" xfId="0" applyFont="1" applyAlignment="1">
      <alignment horizontal="left"/>
    </xf>
    <xf numFmtId="14" fontId="43" fillId="0" borderId="0" xfId="0" applyNumberFormat="1" applyFont="1" applyAlignment="1">
      <alignment horizontal="left"/>
    </xf>
    <xf numFmtId="0" fontId="113" fillId="0" borderId="0" xfId="0" applyFont="1" applyAlignment="1">
      <alignment horizontal="center"/>
    </xf>
    <xf numFmtId="0" fontId="63" fillId="0" borderId="14" xfId="0" applyFont="1" applyBorder="1" applyAlignment="1">
      <alignment horizontal="center"/>
    </xf>
    <xf numFmtId="0" fontId="63" fillId="0" borderId="15" xfId="0" applyFont="1" applyBorder="1" applyAlignment="1">
      <alignment horizontal="center"/>
    </xf>
    <xf numFmtId="0" fontId="63" fillId="0" borderId="16"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180" fontId="63" fillId="0" borderId="14" xfId="0" applyNumberFormat="1" applyFont="1" applyBorder="1" applyAlignment="1">
      <alignment horizontal="center"/>
    </xf>
    <xf numFmtId="180" fontId="63" fillId="0" borderId="16" xfId="0" applyNumberFormat="1" applyFont="1" applyBorder="1" applyAlignment="1">
      <alignment horizontal="center"/>
    </xf>
    <xf numFmtId="180" fontId="63" fillId="0" borderId="20" xfId="0" applyNumberFormat="1" applyFont="1" applyBorder="1" applyAlignment="1">
      <alignment horizontal="center"/>
    </xf>
    <xf numFmtId="180" fontId="63" fillId="0" borderId="17" xfId="0" applyNumberFormat="1" applyFont="1" applyBorder="1" applyAlignment="1">
      <alignment horizontal="center"/>
    </xf>
    <xf numFmtId="0" fontId="108" fillId="12" borderId="0" xfId="0" applyFont="1" applyFill="1" applyAlignment="1">
      <alignment horizontal="center"/>
    </xf>
    <xf numFmtId="0" fontId="40" fillId="0" borderId="0" xfId="0" applyFont="1" applyAlignment="1">
      <alignment horizontal="center"/>
    </xf>
    <xf numFmtId="0" fontId="107" fillId="0" borderId="0" xfId="0" applyFont="1"/>
    <xf numFmtId="0" fontId="107" fillId="0" borderId="0" xfId="0" applyFont="1" applyAlignment="1">
      <alignment horizontal="left" vertical="top" wrapText="1"/>
    </xf>
    <xf numFmtId="0" fontId="41" fillId="0" borderId="0" xfId="0" applyFont="1" applyAlignment="1">
      <alignment horizontal="center"/>
    </xf>
    <xf numFmtId="0" fontId="116" fillId="0" borderId="0" xfId="0" applyFont="1" applyAlignment="1">
      <alignment horizontal="left" vertical="top"/>
    </xf>
    <xf numFmtId="0" fontId="111"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40" fillId="0" borderId="0" xfId="0" applyFont="1" applyAlignment="1">
      <alignment horizontal="left" vertical="top" wrapText="1"/>
    </xf>
    <xf numFmtId="0" fontId="40" fillId="0" borderId="21" xfId="0" applyFont="1" applyBorder="1" applyAlignment="1">
      <alignment horizontal="left" vertical="top" wrapText="1"/>
    </xf>
    <xf numFmtId="0" fontId="108" fillId="12" borderId="21" xfId="0" applyFont="1" applyFill="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108" fillId="12" borderId="14" xfId="0" applyFont="1" applyFill="1" applyBorder="1" applyAlignment="1">
      <alignment horizontal="center"/>
    </xf>
    <xf numFmtId="0" fontId="108" fillId="12" borderId="15" xfId="0" applyFont="1" applyFill="1" applyBorder="1" applyAlignment="1">
      <alignment horizontal="center"/>
    </xf>
    <xf numFmtId="0" fontId="108" fillId="12" borderId="16" xfId="0" applyFont="1" applyFill="1" applyBorder="1" applyAlignment="1">
      <alignment horizontal="center"/>
    </xf>
    <xf numFmtId="0" fontId="0" fillId="0" borderId="0" xfId="0" applyAlignment="1">
      <alignment horizontal="center"/>
    </xf>
    <xf numFmtId="0" fontId="117" fillId="0" borderId="21" xfId="0" applyFont="1" applyBorder="1" applyAlignment="1">
      <alignment horizontal="center"/>
    </xf>
    <xf numFmtId="0" fontId="107" fillId="0" borderId="0" xfId="0" applyFont="1" applyAlignment="1">
      <alignment horizontal="left"/>
    </xf>
    <xf numFmtId="0" fontId="107" fillId="0" borderId="15" xfId="0" applyFont="1" applyBorder="1" applyAlignment="1">
      <alignment horizontal="left"/>
    </xf>
    <xf numFmtId="0" fontId="107" fillId="0" borderId="21" xfId="0" applyFont="1" applyBorder="1" applyAlignment="1">
      <alignment horizontal="left"/>
    </xf>
    <xf numFmtId="0" fontId="109" fillId="0" borderId="0" xfId="0" applyFont="1" applyAlignment="1">
      <alignment horizontal="center"/>
    </xf>
    <xf numFmtId="0" fontId="6" fillId="0" borderId="0" xfId="0" applyFont="1" applyAlignment="1">
      <alignment horizontal="left" vertical="top" wrapText="1"/>
    </xf>
    <xf numFmtId="14" fontId="63" fillId="0" borderId="14" xfId="0" applyNumberFormat="1" applyFont="1" applyBorder="1" applyAlignment="1">
      <alignment horizontal="center"/>
    </xf>
    <xf numFmtId="14" fontId="63" fillId="0" borderId="15" xfId="0" applyNumberFormat="1" applyFont="1" applyBorder="1" applyAlignment="1">
      <alignment horizontal="center"/>
    </xf>
    <xf numFmtId="14" fontId="63" fillId="0" borderId="16" xfId="0" applyNumberFormat="1" applyFont="1" applyBorder="1" applyAlignment="1">
      <alignment horizontal="center"/>
    </xf>
    <xf numFmtId="0" fontId="63" fillId="0" borderId="9" xfId="0" applyFont="1" applyBorder="1"/>
    <xf numFmtId="0" fontId="63" fillId="0" borderId="21" xfId="0" applyFont="1" applyBorder="1"/>
    <xf numFmtId="0" fontId="63" fillId="0" borderId="18" xfId="0" applyFont="1" applyBorder="1"/>
    <xf numFmtId="180" fontId="63" fillId="0" borderId="9" xfId="0" applyNumberFormat="1" applyFont="1" applyBorder="1" applyAlignment="1">
      <alignment horizontal="center"/>
    </xf>
    <xf numFmtId="180" fontId="63" fillId="0" borderId="18" xfId="0" applyNumberFormat="1" applyFont="1" applyBorder="1" applyAlignment="1">
      <alignment horizontal="center"/>
    </xf>
    <xf numFmtId="0" fontId="29"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60" fillId="0" borderId="4" xfId="0" applyFont="1" applyBorder="1" applyAlignment="1">
      <alignment horizontal="center"/>
    </xf>
    <xf numFmtId="0" fontId="66" fillId="0" borderId="20" xfId="0" applyFont="1" applyBorder="1" applyAlignment="1">
      <alignment horizontal="center"/>
    </xf>
    <xf numFmtId="0" fontId="66" fillId="0" borderId="0" xfId="0" applyFont="1" applyAlignment="1">
      <alignment horizontal="center"/>
    </xf>
    <xf numFmtId="0" fontId="66" fillId="0" borderId="17"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57" fillId="0" borderId="20" xfId="0" applyFont="1" applyBorder="1" applyAlignment="1">
      <alignment horizontal="center"/>
    </xf>
    <xf numFmtId="0" fontId="57" fillId="0" borderId="0" xfId="0" applyFont="1" applyAlignment="1">
      <alignment horizontal="center"/>
    </xf>
    <xf numFmtId="0" fontId="57" fillId="0" borderId="17" xfId="0" applyFont="1" applyBorder="1" applyAlignment="1">
      <alignment horizontal="center"/>
    </xf>
    <xf numFmtId="0" fontId="64" fillId="0" borderId="9" xfId="0" applyFont="1" applyBorder="1" applyAlignment="1">
      <alignment horizontal="center"/>
    </xf>
    <xf numFmtId="0" fontId="64" fillId="0" borderId="21" xfId="0" applyFont="1" applyBorder="1" applyAlignment="1">
      <alignment horizontal="center"/>
    </xf>
    <xf numFmtId="0" fontId="64" fillId="0" borderId="18" xfId="0" applyFont="1" applyBorder="1" applyAlignment="1">
      <alignment horizontal="center"/>
    </xf>
    <xf numFmtId="0" fontId="30" fillId="0" borderId="4"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6" fillId="0" borderId="7" xfId="0" applyFont="1" applyBorder="1" applyAlignment="1">
      <alignment horizontal="center"/>
    </xf>
    <xf numFmtId="0" fontId="126" fillId="0" borderId="13" xfId="0" applyFont="1" applyBorder="1" applyAlignment="1">
      <alignment horizontal="center"/>
    </xf>
    <xf numFmtId="0" fontId="126"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6" fillId="0" borderId="7" xfId="0" applyFont="1" applyBorder="1" applyAlignment="1">
      <alignment horizontal="center" vertical="top" wrapText="1"/>
    </xf>
    <xf numFmtId="0" fontId="126" fillId="0" borderId="13" xfId="0" applyFont="1" applyBorder="1" applyAlignment="1">
      <alignment horizontal="center" vertical="top" wrapText="1"/>
    </xf>
    <xf numFmtId="0" fontId="126" fillId="0" borderId="12" xfId="0" applyFont="1" applyBorder="1" applyAlignment="1">
      <alignment horizontal="center" vertical="top" wrapText="1"/>
    </xf>
    <xf numFmtId="164" fontId="41" fillId="0" borderId="0" xfId="0" applyNumberFormat="1" applyFont="1" applyAlignment="1">
      <alignment horizontal="center"/>
    </xf>
    <xf numFmtId="164" fontId="24" fillId="0" borderId="4" xfId="0" applyNumberFormat="1" applyFont="1" applyBorder="1" applyAlignment="1">
      <alignment horizontal="center"/>
    </xf>
    <xf numFmtId="164" fontId="126" fillId="0" borderId="7" xfId="0" applyNumberFormat="1" applyFont="1" applyBorder="1" applyAlignment="1">
      <alignment horizontal="center"/>
    </xf>
    <xf numFmtId="164" fontId="126" fillId="0" borderId="13" xfId="0" applyNumberFormat="1" applyFont="1" applyBorder="1" applyAlignment="1">
      <alignment horizontal="center"/>
    </xf>
    <xf numFmtId="164" fontId="126" fillId="0" borderId="12" xfId="0" applyNumberFormat="1" applyFont="1" applyBorder="1" applyAlignment="1">
      <alignment horizontal="center"/>
    </xf>
    <xf numFmtId="0" fontId="27"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122" fillId="2" borderId="0" xfId="0" applyFont="1" applyFill="1" applyAlignment="1" applyProtection="1">
      <alignment horizontal="right" wrapText="1"/>
      <protection locked="0" hidden="1"/>
    </xf>
    <xf numFmtId="0" fontId="122" fillId="2" borderId="0" xfId="0" applyFont="1" applyFill="1" applyProtection="1">
      <protection locked="0" hidden="1"/>
    </xf>
    <xf numFmtId="0" fontId="82" fillId="2" borderId="0" xfId="0" applyFont="1" applyFill="1" applyProtection="1">
      <protection locked="0" hidden="1"/>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57">
    <dxf>
      <protection locked="0" hidden="0"/>
    </dxf>
    <dxf>
      <protection locked="0" hidden="0"/>
    </dxf>
    <dxf>
      <numFmt numFmtId="2" formatCode="0.00"/>
    </dxf>
    <dxf>
      <numFmt numFmtId="184" formatCode="[$-F400]h:mm:ss\ AM/PM"/>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10/relationships/person" Target="persons/person.xml"/><Relationship Id="rId38"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B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B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B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B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B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C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C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C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C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C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C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C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8"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9" unboundColumnsRight="4">
    <queryTableFields count="7">
      <queryTableField id="1" name="Time" tableColumnId="1"/>
      <queryTableField id="2" name="TestPoint" tableColumnId="2"/>
      <queryTableField id="6" name="RawTemp" tableColumnId="6"/>
      <queryTableField id="4" dataBound="0" tableColumnId="4"/>
      <queryTableField id="5" dataBound="0" tableColumnId="5"/>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5"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6"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9" tableType="queryTable" totalsRowShown="0">
  <autoFilter ref="A1:K29" xr:uid="{2F912760-816C-4002-B982-1183C623C4D4}"/>
  <tableColumns count="11">
    <tableColumn id="1" xr3:uid="{4CB1C976-73DA-4579-B7F8-9D891581EA5A}" uniqueName="1" name="asset_id" queryTableFieldId="1" dataDxfId="12"/>
    <tableColumn id="2" xr3:uid="{D07D770F-21F7-425E-8CCA-AA85FFD513A3}" uniqueName="2" name="serial_number" queryTableFieldId="2" dataDxfId="11"/>
    <tableColumn id="3" xr3:uid="{D963BD5C-EE98-4CDD-ABAE-5315BBDA1135}" uniqueName="3" name="asset_tag" queryTableFieldId="3" dataDxfId="10"/>
    <tableColumn id="4" xr3:uid="{44F03B5B-6C09-4D5C-B2E2-D809B4EDF2B0}" uniqueName="4" name="custom_order_number" queryTableFieldId="4" dataDxfId="9"/>
    <tableColumn id="5" xr3:uid="{412A70E1-7452-417E-A3A9-BD3499EBD33C}" uniqueName="5" name="service_date" queryTableFieldId="5" dataDxfId="8"/>
    <tableColumn id="6" xr3:uid="{B359FFDA-2633-4F67-9E7E-BA0BB88ADA64}" uniqueName="6" name="next_service_date" queryTableFieldId="6" dataDxfId="7"/>
    <tableColumn id="7" xr3:uid="{297A4F29-F6E9-4BD3-A7A2-5F1039480BAE}" uniqueName="7" name="certificate_number" queryTableFieldId="7" dataDxfId="6"/>
    <tableColumn id="8" xr3:uid="{7C740CB9-37DA-435E-A87E-AF050E31623C}" uniqueName="8" name="wire_roll_cert_number" queryTableFieldId="8" dataDxfId="5"/>
    <tableColumn id="9" xr3:uid="{5B17E9FC-0D68-4EA9-9145-B5DC8FAF5A93}" uniqueName="9" name="type" queryTableFieldId="9" dataDxfId="4"/>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9" tableType="queryTable" totalsRowShown="0">
  <autoFilter ref="A1:C39" xr:uid="{DD841DB9-A242-4050-A7E6-984852778526}"/>
  <tableColumns count="3">
    <tableColumn id="1" xr3:uid="{9BEB240E-CB20-4420-A1FC-EDB14262D496}" uniqueName="1" name="traceability_no" queryTableFieldId="1" dataDxfId="156"/>
    <tableColumn id="2" xr3:uid="{44100894-4C9D-4514-95AC-618BC19E5917}" uniqueName="2" name="Temp" queryTableFieldId="4" dataDxfId="155"/>
    <tableColumn id="3" xr3:uid="{ECB904AC-F679-49D7-806F-647089E4822A}" uniqueName="3" name="Offset" queryTableFieldId="5" dataDxfId="154"/>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153"/>
    <tableColumn id="3" xr3:uid="{726E3B3D-B0E5-46AD-9E88-ACE1829E57A6}" uniqueName="3" name="login_email" queryTableFieldId="3"/>
    <tableColumn id="5" xr3:uid="{A8FF325F-CF98-4639-AF3F-E1CBC274FA4E}" uniqueName="5" name="IsPyro" queryTableFieldId="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52">
  <autoFilter ref="A1:C9" xr:uid="{8AF992F3-27EF-4265-960D-70EC6F74FAFA}"/>
  <sortState xmlns:xlrd2="http://schemas.microsoft.com/office/spreadsheetml/2017/richdata2" ref="A2:C9">
    <sortCondition ref="B1:B9"/>
  </sortState>
  <tableColumns count="3">
    <tableColumn id="1" xr3:uid="{1F7D0D09-7152-4679-B25C-65CF0E0AB2D4}" name="Type" dataDxfId="151"/>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3"/>
    <tableColumn id="2" xr3:uid="{7F91B585-8A01-4519-AAE4-C7EE373A67E8}" uniqueName="2" name="TestPoint" queryTableFieldId="2"/>
    <tableColumn id="6" xr3:uid="{D16A7D4E-EB65-4BC3-B49B-ACBAB5217292}" uniqueName="6" name="RawTemp" queryTableFieldId="6"/>
    <tableColumn id="4" xr3:uid="{E902C87A-07C4-4DF8-B351-34A72DBF0399}" uniqueName="4" name="CummulativeOffset" queryTableFieldId="4">
      <calculatedColumnFormula>_xlfn.XLOOKUP(Survey[[#This Row],[TestPoint]],CorrectionFactors[Column1],CorrectionFactors[Column6])</calculatedColumnFormula>
    </tableColumn>
    <tableColumn id="5" xr3:uid="{804B18C8-4FD4-4288-AD60-8908D6D058DD}" uniqueName="5" name="CorrectedTemp" queryTableFieldId="5">
      <calculatedColumnFormula>Survey[[#This Row],[RawTemp]]+Survey[[#This Row],[CummulativeOffset]]</calculatedColumnFormula>
    </tableColumn>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50">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49">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Column1" queryTableFieldId="7"/>
    <tableColumn id="2" xr3:uid="{F237337C-4B35-4A89-A7D4-52730584F133}" uniqueName="2" name="Column2" queryTableFieldId="2"/>
    <tableColumn id="3" xr3:uid="{0D0385EE-13DA-48AB-820E-53AA1F8241A6}" uniqueName="3" name="Column3" queryTableFieldId="3"/>
    <tableColumn id="4" xr3:uid="{45C74F14-F9B6-4270-B94C-6C1EBDE5792F}" uniqueName="4" name="Column4" queryTableFieldId="4"/>
    <tableColumn id="5" xr3:uid="{8C3B2595-3D87-4CE9-8B3F-223828BB281B}" uniqueName="5" name="Column5" queryTableFieldId="5"/>
    <tableColumn id="6" xr3:uid="{CA8BEAB3-F465-4C3A-BCD2-C003ADCD2D7D}" uniqueName="6" name="Column6"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48"/>
    <tableColumn id="3" xr3:uid="{2724CA85-C781-4E38-A0DA-097BFEEFE8B1}" uniqueName="3" name="Temp" queryTableFieldId="3" dataDxfId="147"/>
    <tableColumn id="6" xr3:uid="{12D5EB84-2052-49F7-A25B-127266D7FB89}" uniqueName="6" name="traceability_no" queryTableFieldId="6" dataDxfId="146"/>
    <tableColumn id="5" xr3:uid="{D8FBA668-C3CE-41DC-B112-B2663A4558F7}" uniqueName="5" name="Offset" queryTableFieldId="5" dataDxfId="145"/>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44"/>
    <tableColumn id="5" xr3:uid="{27363C9A-3D85-416E-8BCC-52B2C8D77A72}" uniqueName="5" name="Uncert Units" queryTableFieldId="5" dataDxfId="143"/>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42">
  <autoFilter ref="A3:C8" xr:uid="{5AC13131-9A1C-4C12-B4F9-A393708ED370}"/>
  <tableColumns count="3">
    <tableColumn id="1" xr3:uid="{97181276-3609-45C8-AD82-B2880A7AEDE4}" name="Min" dataDxfId="141"/>
    <tableColumn id="2" xr3:uid="{FCA9B2A8-03BC-4152-9483-74D5E30011E8}" name="Max" dataDxfId="140"/>
    <tableColumn id="3" xr3:uid="{53EFB432-094F-4AB8-B706-DACB84CFAD58}" name="CMC" dataDxfId="13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8"/>
    <tableColumn id="3" xr3:uid="{E88E0260-3227-45C4-8780-42D2D8D460DF}" name="SAT TOL" dataDxfId="137">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6" dataDxfId="135" tableBorderDxfId="134">
  <autoFilter ref="AG2:AS3" xr:uid="{B114758F-16E1-4C54-AA0B-E7F64DE85242}"/>
  <tableColumns count="13">
    <tableColumn id="1" xr3:uid="{0D0312AF-C987-4CC8-97F8-A45434AD138A}" name="Time" dataDxfId="133" dataCellStyle="Normal 3"/>
    <tableColumn id="2" xr3:uid="{E5CD88A1-1988-41C9-8D07-30908E60C0B6}" name="29" dataDxfId="132"/>
    <tableColumn id="3" xr3:uid="{52334E52-C590-4A01-82BC-CCC9DA2C2817}" name="30" dataDxfId="131"/>
    <tableColumn id="4" xr3:uid="{145DAD22-055B-47E2-958D-C0E0B68ECCC8}" name="31" dataDxfId="130"/>
    <tableColumn id="5" xr3:uid="{09C3BF4E-C2AE-4497-AAA2-CF5A8A70B030}" name="32" dataDxfId="129"/>
    <tableColumn id="6" xr3:uid="{E9F444F5-7F75-4B80-BC2D-E9E92BB7C32D}" name="33" dataDxfId="128"/>
    <tableColumn id="7" xr3:uid="{C42F56B6-C38E-41DC-811A-50AF69D04B80}" name="34" dataDxfId="127"/>
    <tableColumn id="8" xr3:uid="{1930235F-D2C0-482D-8CC0-6B3AC765E7EA}" name="35" dataDxfId="126"/>
    <tableColumn id="9" xr3:uid="{6FCF613B-A86F-4DC6-9CC5-0A1E44E3DFE0}" name="36" dataDxfId="125"/>
    <tableColumn id="10" xr3:uid="{19EA3429-FD7E-4BA0-96B7-70F520D9FE0F}" name="37" dataDxfId="124"/>
    <tableColumn id="11" xr3:uid="{A5D0DAE1-1017-4DE3-AEA6-1BAF97E0FBDC}" name="38" dataDxfId="123"/>
    <tableColumn id="12" xr3:uid="{ABC8E507-1120-436F-9E9F-E3A8852E2E1A}" name="39" dataDxfId="122"/>
    <tableColumn id="13" xr3:uid="{C69AC669-10C2-4E64-9F60-B4AA135FB3DF}" name="40" dataDxfId="121"/>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0" tableBorderDxfId="119">
  <autoFilter ref="Q2:AE3" xr:uid="{6D9D14EA-1966-4240-9028-DABDD72BB7BC}"/>
  <tableColumns count="15">
    <tableColumn id="1" xr3:uid="{F199066A-0899-4173-8784-FC618D5EFA3C}" name="Time" dataDxfId="118" dataCellStyle="Normal 3"/>
    <tableColumn id="2" xr3:uid="{DB040280-BEC7-49AA-A925-A050027B33E3}" name="15" dataDxfId="117"/>
    <tableColumn id="3" xr3:uid="{5D74EEBF-1FB4-4DF9-8EDD-C656F929ADA2}" name="16" dataDxfId="116"/>
    <tableColumn id="4" xr3:uid="{B1176DF8-22B4-4741-A534-22D0C72EF1F0}" name="17" dataDxfId="115"/>
    <tableColumn id="5" xr3:uid="{1E29EA65-5182-4B3E-817F-0D30B2884EC7}" name="18" dataDxfId="114"/>
    <tableColumn id="6" xr3:uid="{AF53AEFB-F310-4F08-91BC-82FB0F484ECA}" name="19" dataDxfId="113"/>
    <tableColumn id="7" xr3:uid="{EE472F61-D1B5-43CF-A661-FA1D47001C17}" name="20" dataDxfId="112"/>
    <tableColumn id="8" xr3:uid="{841D54C1-AB74-4CB1-8C7F-C38D11EFAD3F}" name="21" dataDxfId="111"/>
    <tableColumn id="9" xr3:uid="{F1FB485B-DEAA-4958-8C40-80934EA1437F}" name="22" dataDxfId="110"/>
    <tableColumn id="10" xr3:uid="{5C552A76-BD54-46C5-93AD-8F25289FA051}" name="23" dataDxfId="109"/>
    <tableColumn id="11" xr3:uid="{B20FA5F1-0522-49D0-9B5A-34570A8AE6EA}" name="24" dataDxfId="108"/>
    <tableColumn id="12" xr3:uid="{0BC87A98-B9AC-4CD6-9F9B-D04190073E2A}" name="25" dataDxfId="107"/>
    <tableColumn id="13" xr3:uid="{D62EA80B-BBE3-4A29-89AB-EE04C6E03547}" name="26" dataDxfId="106"/>
    <tableColumn id="14" xr3:uid="{6D7DE537-763F-40F1-AC16-33F228CBC8D1}" name="27" dataDxfId="105"/>
    <tableColumn id="15" xr3:uid="{F8FA9620-DB21-4BAE-8D97-FF38B70679C9}" name="28" dataDxfId="104"/>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3" dataDxfId="102" tableBorderDxfId="101">
  <autoFilter ref="A2:O3" xr:uid="{73A9D9BA-FF58-4A3F-98F7-9A835492E25D}"/>
  <tableColumns count="15">
    <tableColumn id="1" xr3:uid="{73B888B4-4146-4E26-9B39-0FC537A113C8}" name="Time" dataDxfId="100" dataCellStyle="Normal 3"/>
    <tableColumn id="2" xr3:uid="{6F1EF879-7C87-4A56-A394-30C6E5BDB32A}" name="1" dataDxfId="99" dataCellStyle="Normal 3"/>
    <tableColumn id="3" xr3:uid="{B2FA8A6A-D50A-41E8-942A-379C757B6A2B}" name="2" dataDxfId="98" dataCellStyle="Normal 3"/>
    <tableColumn id="4" xr3:uid="{F92FE975-D84B-4B73-B49D-3B746FAA3D21}" name="3" dataDxfId="97" dataCellStyle="Normal 3"/>
    <tableColumn id="5" xr3:uid="{7820E0E9-F621-4361-A572-234B3CB7F864}" name="4" dataDxfId="96" dataCellStyle="Normal 3"/>
    <tableColumn id="6" xr3:uid="{A46C0BCA-2139-4CD3-B02F-C4D3F8E65309}" name="5" dataDxfId="95" dataCellStyle="Normal 3"/>
    <tableColumn id="7" xr3:uid="{334BDF50-1D79-41BC-BA09-7B69018332AE}" name="6" dataDxfId="94" dataCellStyle="Normal 3"/>
    <tableColumn id="8" xr3:uid="{6C11BC6A-3E21-4CDE-9CD4-C8EBCF50B6DB}" name="7" dataDxfId="93" dataCellStyle="Normal 3"/>
    <tableColumn id="9" xr3:uid="{1EEEA607-5177-4C19-A1BC-B12D19FF055B}" name="8" dataDxfId="92" dataCellStyle="Normal 3"/>
    <tableColumn id="10" xr3:uid="{ACF909CE-C221-4157-9298-18F2C140C147}" name="9" dataDxfId="91" dataCellStyle="Normal 3"/>
    <tableColumn id="11" xr3:uid="{182688D3-AD0D-4518-A7FE-0C281ABCDF76}" name="10" dataDxfId="90" dataCellStyle="Normal 3"/>
    <tableColumn id="12" xr3:uid="{54AFFA30-00C2-440A-92A2-139F62F751BE}" name="11" dataDxfId="89"/>
    <tableColumn id="13" xr3:uid="{DCF0B43C-F320-4031-91C6-8514285AF6CA}" name="12" dataDxfId="88"/>
    <tableColumn id="14" xr3:uid="{53A56FC8-0536-4D94-A335-FFCBCBEAF45E}" name="13" dataDxfId="87"/>
    <tableColumn id="15" xr3:uid="{F49FEB6E-05C2-4E90-A6CE-A0C9C694642A}" name="14" dataDxfId="86"/>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85"/>
    <tableColumn id="7" xr3:uid="{3E130632-D63E-485B-AA7F-FF01BB115CD8}" uniqueName="7" name="AddressLine2" queryTableFieldId="7" dataDxfId="84"/>
    <tableColumn id="8" xr3:uid="{B07B805E-B475-4FEF-A83E-C870164F0C1C}" uniqueName="8" name="AddressLine3" queryTableFieldId="8" dataDxfId="83"/>
    <tableColumn id="9" xr3:uid="{3603DEDD-08A6-4233-A5D5-79D5A1A0055E}" uniqueName="9" name="FormNumber" queryTableFieldId="9" dataDxfId="82"/>
    <tableColumn id="10" xr3:uid="{B63B6E05-D199-4BCD-9A28-28B5F5832CE0}" uniqueName="10" name="CalibrationMethod" queryTableFieldId="10" dataDxfId="81"/>
    <tableColumn id="11" xr3:uid="{EC51B02C-FD97-492B-BF24-15D683C6ED4C}" uniqueName="11" name="ToleranceSource" queryTableFieldId="11" dataDxfId="80"/>
    <tableColumn id="12" xr3:uid="{706BF144-B069-4B3F-AFB9-7848E93D758C}" uniqueName="12" name="Item" queryTableFieldId="12" dataDxfId="79"/>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78"/>
    <tableColumn id="18" xr3:uid="{2B4941C4-9755-4A0D-86C3-2C668815DEF2}" uniqueName="18" name="Tolerance" queryTableFieldId="18" dataDxfId="77"/>
    <tableColumn id="19" xr3:uid="{756D3CB6-E1A4-4B24-93A7-8AB4732E9BE6}" uniqueName="19" name="HeatingMethod" queryTableFieldId="19" dataDxfId="76"/>
    <tableColumn id="20" xr3:uid="{A46E5597-E3E9-444B-8D64-D35898DCC2B4}" uniqueName="20" name="WorkingZoneSize" queryTableFieldId="20" dataDxfId="75"/>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74"/>
    <tableColumn id="32" xr3:uid="{1852EB3E-F034-42EA-8A35-98DDD1845F7B}" uniqueName="32" name="TestLocation" queryTableFieldId="32" dataDxfId="73"/>
    <tableColumn id="33" xr3:uid="{15129CDA-47B3-4B02-8524-3F9672DC4216}" uniqueName="33" name="OvenLocation" queryTableFieldId="33" dataDxfId="72"/>
    <tableColumn id="34" xr3:uid="{F4A9D00F-E54E-4736-976C-15166BF81AEF}" uniqueName="34" name="Condition" queryTableFieldId="34" dataDxfId="71"/>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70"/>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4" tableType="queryTable" totalsRowShown="0" headerRowDxfId="69" dataDxfId="68">
  <autoFilter ref="A1:O1654" xr:uid="{7FFB3A25-33B3-41D4-A4EC-161ECACD71F3}"/>
  <tableColumns count="15">
    <tableColumn id="1" xr3:uid="{8A9F4AE6-308A-42C4-B23A-7C7293DE7F0A}" uniqueName="1" name="company_name" queryTableFieldId="22"/>
    <tableColumn id="18" xr3:uid="{5DE66976-8962-4778-9F2F-F1825B5EABCC}" uniqueName="18" name="Address1" queryTableFieldId="18" dataDxfId="15"/>
    <tableColumn id="19" xr3:uid="{31D68568-B5E1-4705-9496-19F08F967786}" uniqueName="19" name="Address2" queryTableFieldId="19" dataDxfId="14"/>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13"/>
    <tableColumn id="2" xr3:uid="{95339291-2A8D-485F-84D8-6C671DD7D038}" uniqueName="2" name="company_id" queryTableFieldId="23"/>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67" dataDxfId="66">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1"/>
    <tableColumn id="12" xr3:uid="{C13B0E02-FD03-4438-B98A-E6A8ED8A9F13}" uniqueName="12" name="manufacturer_part_number" queryTableFieldId="25"/>
    <tableColumn id="11" xr3:uid="{48BC425D-225D-4DB3-A151-D583A73AA082}" uniqueName="11" name="notes" queryTableFieldId="11" dataDxfId="0"/>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65"/>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9" dataDxfId="18" headerRowCellStyle="Normal 2" dataCellStyle="Normal 2">
  <autoFilter ref="U11:V25" xr:uid="{DCCFF26E-EC5C-4962-98DB-A7DA1F3C8CE2}"/>
  <tableColumns count="2">
    <tableColumn id="1" xr3:uid="{DFC40837-B092-4826-9847-4A23BE22020F}" name="4" dataDxfId="17" dataCellStyle="Normal 2"/>
    <tableColumn id="2" xr3:uid="{0711DB07-19DA-4D5E-A417-C242A0304453}" name="10" dataDxfId="16"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3.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4.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6.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6" Type="http://schemas.openxmlformats.org/officeDocument/2006/relationships/comments" Target="../comments2.xml"/><Relationship Id="rId5" Type="http://schemas.openxmlformats.org/officeDocument/2006/relationships/table" Target="../tables/table22.xml"/><Relationship Id="rId4" Type="http://schemas.openxmlformats.org/officeDocument/2006/relationships/vmlDrawing" Target="../drawings/vmlDrawing3.v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9"/>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45"/>
      <c r="B2" s="80"/>
      <c r="C2" s="80"/>
      <c r="D2" s="80"/>
      <c r="E2" s="91"/>
      <c r="F2" s="91"/>
      <c r="G2" s="80"/>
      <c r="H2" s="80"/>
      <c r="I2" s="80"/>
      <c r="J2"/>
      <c r="K2"/>
    </row>
    <row r="3" spans="1:11" x14ac:dyDescent="0.2">
      <c r="A3" s="145"/>
      <c r="B3" s="80"/>
      <c r="C3" s="80"/>
      <c r="D3" s="80"/>
      <c r="E3" s="91"/>
      <c r="F3" s="91"/>
      <c r="G3" s="80"/>
      <c r="H3" s="80"/>
      <c r="I3" s="80"/>
      <c r="J3"/>
      <c r="K3"/>
    </row>
    <row r="4" spans="1:11" x14ac:dyDescent="0.2">
      <c r="A4" s="145"/>
      <c r="B4" s="80"/>
      <c r="C4" s="80"/>
      <c r="D4" s="80"/>
      <c r="E4" s="91"/>
      <c r="F4" s="91"/>
      <c r="G4" s="80"/>
      <c r="H4" s="80"/>
      <c r="I4" s="80"/>
      <c r="J4"/>
      <c r="K4"/>
    </row>
    <row r="5" spans="1:11" x14ac:dyDescent="0.2">
      <c r="A5" s="145"/>
      <c r="B5" s="80"/>
      <c r="C5" s="80"/>
      <c r="D5" s="80"/>
      <c r="E5" s="91"/>
      <c r="F5" s="91"/>
      <c r="G5" s="80"/>
      <c r="H5" s="80"/>
      <c r="I5" s="80"/>
      <c r="J5"/>
      <c r="K5"/>
    </row>
    <row r="6" spans="1:11" x14ac:dyDescent="0.2">
      <c r="A6" s="145"/>
      <c r="B6" s="80"/>
      <c r="C6" s="80"/>
      <c r="D6" s="80"/>
      <c r="E6" s="91"/>
      <c r="F6" s="91"/>
      <c r="G6" s="80"/>
      <c r="H6" s="80"/>
      <c r="I6" s="80"/>
      <c r="J6"/>
      <c r="K6"/>
    </row>
    <row r="7" spans="1:11" x14ac:dyDescent="0.2">
      <c r="A7" s="145"/>
      <c r="B7" s="80"/>
      <c r="C7" s="80"/>
      <c r="D7" s="80"/>
      <c r="E7" s="91"/>
      <c r="F7" s="91"/>
      <c r="G7" s="80"/>
      <c r="H7" s="80"/>
      <c r="I7" s="80"/>
      <c r="J7"/>
      <c r="K7"/>
    </row>
    <row r="8" spans="1:11" x14ac:dyDescent="0.2">
      <c r="A8" s="145"/>
      <c r="B8" s="80"/>
      <c r="C8" s="80"/>
      <c r="D8" s="80"/>
      <c r="E8" s="91"/>
      <c r="F8" s="91"/>
      <c r="G8" s="80"/>
      <c r="H8" s="80"/>
      <c r="I8" s="80"/>
      <c r="J8"/>
      <c r="K8"/>
    </row>
    <row r="9" spans="1:11" x14ac:dyDescent="0.2">
      <c r="A9" s="145"/>
      <c r="B9" s="80"/>
      <c r="C9" s="80"/>
      <c r="D9" s="80"/>
      <c r="E9" s="91"/>
      <c r="F9" s="91"/>
      <c r="G9" s="80"/>
      <c r="H9" s="80"/>
      <c r="I9" s="80"/>
      <c r="J9"/>
      <c r="K9"/>
    </row>
    <row r="10" spans="1:11" x14ac:dyDescent="0.2">
      <c r="A10" s="145"/>
      <c r="B10" s="80"/>
      <c r="C10" s="80"/>
      <c r="D10" s="80"/>
      <c r="E10" s="91"/>
      <c r="F10" s="91"/>
      <c r="G10" s="80"/>
      <c r="H10" s="80"/>
      <c r="I10" s="80"/>
      <c r="J10"/>
      <c r="K10"/>
    </row>
    <row r="11" spans="1:11" x14ac:dyDescent="0.2">
      <c r="A11" s="145"/>
      <c r="B11" s="80"/>
      <c r="C11" s="80"/>
      <c r="D11" s="80"/>
      <c r="E11" s="91"/>
      <c r="F11" s="91"/>
      <c r="G11" s="80"/>
      <c r="H11" s="80"/>
      <c r="I11" s="80"/>
      <c r="J11"/>
      <c r="K11"/>
    </row>
    <row r="12" spans="1:11" x14ac:dyDescent="0.2">
      <c r="A12" s="145"/>
      <c r="B12" s="80"/>
      <c r="C12" s="80"/>
      <c r="D12" s="80"/>
      <c r="E12" s="91"/>
      <c r="F12" s="91"/>
      <c r="G12" s="80"/>
      <c r="H12" s="80"/>
      <c r="I12" s="80"/>
      <c r="J12"/>
      <c r="K12"/>
    </row>
    <row r="13" spans="1:11" x14ac:dyDescent="0.2">
      <c r="A13" s="145"/>
      <c r="B13" s="80"/>
      <c r="C13" s="80"/>
      <c r="D13" s="80"/>
      <c r="E13" s="91"/>
      <c r="F13" s="91"/>
      <c r="G13" s="80"/>
      <c r="H13" s="80"/>
      <c r="I13" s="80"/>
      <c r="J13"/>
      <c r="K13"/>
    </row>
    <row r="14" spans="1:11" x14ac:dyDescent="0.2">
      <c r="A14" s="145"/>
      <c r="B14" s="80"/>
      <c r="C14" s="80"/>
      <c r="D14" s="80"/>
      <c r="E14" s="91"/>
      <c r="F14" s="91"/>
      <c r="G14" s="80"/>
      <c r="H14" s="80"/>
      <c r="I14" s="80"/>
      <c r="J14"/>
      <c r="K14"/>
    </row>
    <row r="15" spans="1:11" x14ac:dyDescent="0.2">
      <c r="A15" s="145"/>
      <c r="B15" s="80"/>
      <c r="C15" s="80"/>
      <c r="D15" s="80"/>
      <c r="E15" s="91"/>
      <c r="F15" s="91"/>
      <c r="G15" s="80"/>
      <c r="H15" s="80"/>
      <c r="I15" s="80"/>
      <c r="J15"/>
      <c r="K15"/>
    </row>
    <row r="16" spans="1:11" x14ac:dyDescent="0.2">
      <c r="A16" s="145"/>
      <c r="B16" s="80"/>
      <c r="C16" s="80"/>
      <c r="D16" s="80"/>
      <c r="E16" s="91"/>
      <c r="F16" s="91"/>
      <c r="G16" s="80"/>
      <c r="H16" s="80"/>
      <c r="I16" s="80"/>
      <c r="J16"/>
      <c r="K16"/>
    </row>
    <row r="17" spans="1:11" x14ac:dyDescent="0.2">
      <c r="A17" s="145"/>
      <c r="B17" s="80"/>
      <c r="C17" s="80"/>
      <c r="D17" s="80"/>
      <c r="E17" s="91"/>
      <c r="F17" s="91"/>
      <c r="G17" s="80"/>
      <c r="H17" s="80"/>
      <c r="I17" s="80"/>
      <c r="J17"/>
      <c r="K17"/>
    </row>
    <row r="18" spans="1:11" x14ac:dyDescent="0.2">
      <c r="A18" s="145"/>
      <c r="B18" s="80"/>
      <c r="C18" s="80"/>
      <c r="D18" s="80"/>
      <c r="E18" s="91"/>
      <c r="F18" s="91"/>
      <c r="G18" s="80"/>
      <c r="H18" s="80"/>
      <c r="I18" s="80"/>
      <c r="J18"/>
      <c r="K18"/>
    </row>
    <row r="19" spans="1:11" x14ac:dyDescent="0.2">
      <c r="A19" s="145"/>
      <c r="B19" s="80"/>
      <c r="C19" s="80"/>
      <c r="D19" s="80"/>
      <c r="E19" s="91"/>
      <c r="F19" s="91"/>
      <c r="G19" s="80"/>
      <c r="H19" s="80"/>
      <c r="I19" s="80"/>
      <c r="J19"/>
      <c r="K19"/>
    </row>
    <row r="20" spans="1:11" x14ac:dyDescent="0.2">
      <c r="A20" s="145"/>
      <c r="B20" s="80"/>
      <c r="C20" s="80"/>
      <c r="D20" s="80"/>
      <c r="E20" s="91"/>
      <c r="F20" s="91"/>
      <c r="G20" s="80"/>
      <c r="H20" s="80"/>
      <c r="I20" s="80"/>
      <c r="J20"/>
      <c r="K20"/>
    </row>
    <row r="21" spans="1:11" x14ac:dyDescent="0.2">
      <c r="A21" s="145"/>
      <c r="B21" s="80"/>
      <c r="C21" s="80"/>
      <c r="D21" s="80"/>
      <c r="E21" s="91"/>
      <c r="F21" s="91"/>
      <c r="G21" s="80"/>
      <c r="H21" s="80"/>
      <c r="I21" s="80"/>
      <c r="J21"/>
      <c r="K21"/>
    </row>
    <row r="22" spans="1:11" x14ac:dyDescent="0.2">
      <c r="A22" s="145"/>
      <c r="B22" s="80"/>
      <c r="C22" s="80"/>
      <c r="D22" s="80"/>
      <c r="E22" s="91"/>
      <c r="F22" s="91"/>
      <c r="G22" s="80"/>
      <c r="H22" s="80"/>
      <c r="I22" s="80"/>
      <c r="J22"/>
      <c r="K22"/>
    </row>
    <row r="23" spans="1:11" x14ac:dyDescent="0.2">
      <c r="A23" s="145"/>
      <c r="B23" s="80"/>
      <c r="C23" s="80"/>
      <c r="D23" s="80"/>
      <c r="E23" s="91"/>
      <c r="F23" s="91"/>
      <c r="G23" s="80"/>
      <c r="H23" s="80"/>
      <c r="I23" s="80"/>
      <c r="J23"/>
      <c r="K23"/>
    </row>
    <row r="24" spans="1:11" x14ac:dyDescent="0.2">
      <c r="A24" s="145"/>
      <c r="B24" s="80"/>
      <c r="C24" s="80"/>
      <c r="D24" s="80"/>
      <c r="E24" s="91"/>
      <c r="F24" s="91"/>
      <c r="G24" s="80"/>
      <c r="H24" s="80"/>
      <c r="I24" s="80"/>
    </row>
    <row r="25" spans="1:11" x14ac:dyDescent="0.2">
      <c r="A25" s="145"/>
      <c r="B25" s="80"/>
      <c r="C25" s="80"/>
      <c r="D25" s="80"/>
      <c r="E25" s="91"/>
      <c r="F25" s="91"/>
      <c r="G25" s="80"/>
      <c r="H25" s="80"/>
      <c r="I25" s="80"/>
      <c r="J25"/>
      <c r="K25"/>
    </row>
    <row r="26" spans="1:11" x14ac:dyDescent="0.2">
      <c r="A26" s="145"/>
      <c r="B26" s="80"/>
      <c r="C26" s="80"/>
      <c r="D26" s="80"/>
      <c r="E26" s="91"/>
      <c r="F26" s="91"/>
      <c r="G26" s="80"/>
      <c r="H26" s="80"/>
      <c r="I26" s="80"/>
      <c r="J26"/>
      <c r="K26"/>
    </row>
    <row r="27" spans="1:11" x14ac:dyDescent="0.2">
      <c r="A27" s="145"/>
      <c r="B27" s="80"/>
      <c r="C27" s="80"/>
      <c r="D27" s="80"/>
      <c r="E27" s="91"/>
      <c r="F27" s="91"/>
      <c r="G27" s="80"/>
      <c r="H27" s="80"/>
      <c r="I27" s="80"/>
      <c r="J27"/>
      <c r="K27"/>
    </row>
    <row r="28" spans="1:11" x14ac:dyDescent="0.2">
      <c r="A28" s="145"/>
      <c r="B28" s="80"/>
      <c r="C28" s="80"/>
      <c r="D28" s="80"/>
      <c r="E28" s="91"/>
      <c r="F28" s="91"/>
      <c r="G28" s="80"/>
      <c r="H28" s="80"/>
      <c r="I28" s="80"/>
      <c r="J28"/>
      <c r="K28"/>
    </row>
    <row r="29" spans="1:11" x14ac:dyDescent="0.2">
      <c r="A29" s="145"/>
      <c r="B29" s="80"/>
      <c r="C29" s="80"/>
      <c r="D29" s="80"/>
      <c r="E29" s="91"/>
      <c r="F29" s="91"/>
      <c r="G29" s="80"/>
      <c r="H29" s="80"/>
      <c r="I29" s="80"/>
    </row>
  </sheetData>
  <dataConsolidate/>
  <phoneticPr fontId="22"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B28" sqref="B28"/>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8" t="s">
        <v>930</v>
      </c>
      <c r="E1" s="38" t="s">
        <v>931</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9"/>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sheetData>
  <phoneticPr fontId="2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c r="C2"/>
      <c r="D2"/>
    </row>
  </sheetData>
  <phoneticPr fontId="2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b45lm1Y5E0IGXlMZsVS1iDdtc65zqhLtAshsf5sOatGrjSM+lemcIaGl+4O4PrFmb3mtvGypOHfthzNSadKt/A==" saltValue="M8AyZzR69MEeC/UTbDYNjg=="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1" t="s">
        <v>579</v>
      </c>
      <c r="B1" s="41" t="s">
        <v>577</v>
      </c>
      <c r="C1" s="41" t="s">
        <v>578</v>
      </c>
    </row>
    <row r="2" spans="1:3" x14ac:dyDescent="0.2">
      <c r="A2" s="41" t="s">
        <v>576</v>
      </c>
      <c r="B2">
        <v>-100</v>
      </c>
      <c r="C2">
        <v>450</v>
      </c>
    </row>
    <row r="3" spans="1:3" x14ac:dyDescent="0.2">
      <c r="A3" s="41" t="s">
        <v>570</v>
      </c>
      <c r="B3">
        <v>-50</v>
      </c>
      <c r="C3">
        <v>450</v>
      </c>
    </row>
    <row r="4" spans="1:3" x14ac:dyDescent="0.2">
      <c r="A4" s="41" t="s">
        <v>569</v>
      </c>
      <c r="B4">
        <v>70</v>
      </c>
      <c r="C4">
        <v>500</v>
      </c>
    </row>
    <row r="5" spans="1:3" x14ac:dyDescent="0.2">
      <c r="A5" s="41" t="s">
        <v>571</v>
      </c>
      <c r="B5">
        <v>70</v>
      </c>
      <c r="C5">
        <v>450</v>
      </c>
    </row>
    <row r="6" spans="1:3" x14ac:dyDescent="0.2">
      <c r="A6" s="41" t="s">
        <v>573</v>
      </c>
      <c r="B6">
        <v>70</v>
      </c>
      <c r="C6">
        <v>1000</v>
      </c>
    </row>
    <row r="7" spans="1:3" x14ac:dyDescent="0.2">
      <c r="A7" s="41" t="s">
        <v>574</v>
      </c>
      <c r="B7">
        <v>200</v>
      </c>
      <c r="C7">
        <v>1850</v>
      </c>
    </row>
    <row r="8" spans="1:3" x14ac:dyDescent="0.2">
      <c r="A8" s="41" t="s">
        <v>572</v>
      </c>
      <c r="B8">
        <v>700</v>
      </c>
      <c r="C8">
        <v>2200</v>
      </c>
    </row>
    <row r="9" spans="1:3" x14ac:dyDescent="0.2">
      <c r="A9" s="41" t="s">
        <v>575</v>
      </c>
      <c r="B9">
        <v>700</v>
      </c>
      <c r="C9">
        <v>2200</v>
      </c>
    </row>
  </sheetData>
  <sheetProtection algorithmName="SHA-512" hashValue="2y4ajwMswrnZ1QRmcaUHx+cvQdshcq57EExzlcv4Ae+4lPbUQQ+kDZ6xkREId/3j/ph17fWt4gEQBdbmnMqUrg==" saltValue="Iup7Lp7Pgh3ygRsSQpdMCw=="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I19" sqref="I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7" bestFit="1" customWidth="1"/>
    <col min="11" max="11" width="1.5703125" customWidth="1"/>
    <col min="12" max="12" width="16" bestFit="1" customWidth="1"/>
    <col min="13" max="13" width="11.5703125" customWidth="1"/>
    <col min="14" max="14" width="11.7109375" customWidth="1"/>
    <col min="15" max="15" width="7.42578125" customWidth="1"/>
    <col min="16" max="16" width="8.28515625" customWidth="1"/>
    <col min="17" max="17" width="11.5703125" customWidth="1"/>
    <col min="18" max="20" width="9.140625" customWidth="1"/>
  </cols>
  <sheetData>
    <row r="1" spans="1:17" ht="13.5" thickBot="1" x14ac:dyDescent="0.25">
      <c r="A1"/>
      <c r="B1"/>
      <c r="C1"/>
      <c r="D1" s="41" t="s">
        <v>945</v>
      </c>
      <c r="E1" s="41" t="s">
        <v>946</v>
      </c>
      <c r="F1" s="41" t="s">
        <v>943</v>
      </c>
      <c r="G1" s="41" t="s">
        <v>948</v>
      </c>
      <c r="I1" s="489" t="s">
        <v>940</v>
      </c>
      <c r="J1" s="490"/>
      <c r="L1" s="38"/>
      <c r="M1" s="464" t="s">
        <v>935</v>
      </c>
      <c r="N1" s="465" t="s">
        <v>15</v>
      </c>
      <c r="O1" s="465" t="s">
        <v>939</v>
      </c>
      <c r="P1" s="465" t="s">
        <v>929</v>
      </c>
      <c r="Q1" s="465" t="s">
        <v>14</v>
      </c>
    </row>
    <row r="2" spans="1:17" ht="13.5" thickTop="1" x14ac:dyDescent="0.2">
      <c r="A2" s="451"/>
      <c r="I2" s="475" t="s">
        <v>936</v>
      </c>
      <c r="J2" s="476">
        <f>COUNTIF(Survey[TestPoint],"&lt;=5")-1</f>
        <v>-1</v>
      </c>
      <c r="L2" s="487" t="s">
        <v>1</v>
      </c>
      <c r="M2" s="471" t="e">
        <f>_xlfn.XLOOKUP(P2,Survey[CorrectedTemp],Survey[TestPoint])</f>
        <v>#N/A</v>
      </c>
      <c r="N2" s="466">
        <f>P2-NominalTemp</f>
        <v>0</v>
      </c>
      <c r="O2" s="467" t="s">
        <v>272</v>
      </c>
      <c r="P2" s="466">
        <f>MAX(Survey[CorrectedTemp])</f>
        <v>0</v>
      </c>
      <c r="Q2" s="468" t="e">
        <f>_xlfn.XLOOKUP(P2,Survey[CorrectedTemp],Survey[Time])</f>
        <v>#N/A</v>
      </c>
    </row>
    <row r="3" spans="1:17" x14ac:dyDescent="0.2">
      <c r="I3" s="481" t="s">
        <v>944</v>
      </c>
      <c r="J3" s="482" t="e">
        <f>_xlfn.T.INV.2T(1-0.9545, DoF)</f>
        <v>#NUM!</v>
      </c>
      <c r="L3" s="487" t="s">
        <v>2</v>
      </c>
      <c r="M3" s="472" t="e">
        <f>_xlfn.XLOOKUP(P3,Survey[CorrectedTemp],Survey[TestPoint])</f>
        <v>#N/A</v>
      </c>
      <c r="N3" s="469">
        <f>P3-NominalTemp</f>
        <v>0</v>
      </c>
      <c r="O3" s="458" t="s">
        <v>273</v>
      </c>
      <c r="P3" s="469">
        <f>MIN(Survey[CorrectedTemp])</f>
        <v>0</v>
      </c>
      <c r="Q3" s="470" t="e">
        <f>_xlfn.XLOOKUP(P3,Survey[CorrectedTemp],Survey[Time])</f>
        <v>#N/A</v>
      </c>
    </row>
    <row r="4" spans="1:17" x14ac:dyDescent="0.2">
      <c r="I4" s="477" t="s">
        <v>950</v>
      </c>
      <c r="J4" s="478" cm="1">
        <f t="array" ref="J4">SUM(_xlfn._xlws.FILTER(Survey[Deviations],Survey[TestPoint]&lt;=5)^2)/DoF</f>
        <v>0</v>
      </c>
      <c r="L4" s="491" t="s">
        <v>941</v>
      </c>
      <c r="M4" s="145">
        <v>1</v>
      </c>
      <c r="O4" t="str" cm="1">
        <f t="array" ref="O4">IF(
  Main!O5 = "",
  "",
  IF(
    COUNTIF(Survey[TestPoint], Alerts[[#This Row],[TestPoint]]) = 0,
    "DROPPED",
    IF(
      OR(
        _xlfn._xlws.FILTER(
          Survey[OutOfTolerance],
          Survey[TestPoint] = Alerts[[#This Row],[TestPoint]]
        )
      ),
      "Out of Tol",
      ""
    )
  )
)</f>
        <v/>
      </c>
    </row>
    <row r="5" spans="1:17" x14ac:dyDescent="0.2">
      <c r="I5" s="481" t="s">
        <v>951</v>
      </c>
      <c r="J5" s="483" cm="1">
        <f t="array" ref="J5">VLOOKUP(NominalTemp,_xlfn._xlws.FILTER(MUG[],MUG[Meas Units]="°F"),8,TRUE)</f>
        <v>0.66776102980616914</v>
      </c>
      <c r="L5" s="491"/>
      <c r="M5" s="145">
        <v>2</v>
      </c>
      <c r="O5" t="str" cm="1">
        <f t="array" ref="O5">IF(
  Main!O6 = "",
  "",
  IF(
    COUNTIF(Survey[TestPoint], Alerts[[#This Row],[TestPoint]]) = 0,
    "DROPPED",
    IF(
      OR(
        _xlfn._xlws.FILTER(
          Survey[OutOfTolerance],
          Survey[TestPoint] = Alerts[[#This Row],[TestPoint]]
        )
      ),
      "Out of Tol",
      ""
    )
  )
)</f>
        <v/>
      </c>
    </row>
    <row r="6" spans="1:17" x14ac:dyDescent="0.2">
      <c r="I6" s="477" t="s">
        <v>949</v>
      </c>
      <c r="J6" s="478">
        <f>SQRT(Base₂^2+sp²)</f>
        <v>0.66776102980616914</v>
      </c>
      <c r="L6" s="491"/>
      <c r="M6" s="145">
        <v>3</v>
      </c>
      <c r="O6" t="str" cm="1">
        <f t="array" ref="O6">IF(
  Main!O7 = "",
  "",
  IF(
    COUNTIF(Survey[TestPoint], Alerts[[#This Row],[TestPoint]]) = 0,
    "DROPPED",
    IF(
      OR(
        _xlfn._xlws.FILTER(
          Survey[OutOfTolerance],
          Survey[TestPoint] = Alerts[[#This Row],[TestPoint]]
        )
      ),
      "Out of Tol",
      ""
    )
  )
)</f>
        <v/>
      </c>
    </row>
    <row r="7" spans="1:17" x14ac:dyDescent="0.2">
      <c r="I7" s="481" t="s">
        <v>937</v>
      </c>
      <c r="J7" s="484" t="e">
        <f>J6*k</f>
        <v>#NUM!</v>
      </c>
      <c r="L7" s="491"/>
      <c r="M7" s="145">
        <v>4</v>
      </c>
      <c r="O7" t="str" cm="1">
        <f t="array" ref="O7">IF(
  Main!O8 = "",
  "",
  IF(
    COUNTIF(Survey[TestPoint], Alerts[[#This Row],[TestPoint]]) = 0,
    "DROPPED",
    IF(
      OR(
        _xlfn._xlws.FILTER(
          Survey[OutOfTolerance],
          Survey[TestPoint] = Alerts[[#This Row],[TestPoint]]
        )
      ),
      "Out of Tol",
      ""
    )
  )
)</f>
        <v/>
      </c>
    </row>
    <row r="8" spans="1:17" ht="13.5" thickBot="1" x14ac:dyDescent="0.25">
      <c r="I8" s="479" t="s">
        <v>938</v>
      </c>
      <c r="J8" s="480">
        <f>VLOOKUP(NominalTemp,CMCs[],3,TRUE)</f>
        <v>1.6</v>
      </c>
      <c r="L8" s="491"/>
      <c r="M8" s="145">
        <v>5</v>
      </c>
      <c r="O8" t="str" cm="1">
        <f t="array" ref="O8">IF(
  Main!O9 = "",
  "",
  IF(
    COUNTIF(Survey[TestPoint], Alerts[[#This Row],[TestPoint]]) = 0,
    "DROPPED",
    IF(
      OR(
        _xlfn._xlws.FILTER(
          Survey[OutOfTolerance],
          Survey[TestPoint] = Alerts[[#This Row],[TestPoint]]
        )
      ),
      "Out of Tol",
      ""
    )
  )
)</f>
        <v/>
      </c>
    </row>
    <row r="9" spans="1:17" ht="13.5" thickTop="1" x14ac:dyDescent="0.2">
      <c r="I9" s="485" t="s">
        <v>947</v>
      </c>
      <c r="J9" s="486" t="e">
        <f>MAX(J7,J8)</f>
        <v>#NUM!</v>
      </c>
      <c r="L9" s="491"/>
      <c r="M9" s="145">
        <v>6</v>
      </c>
      <c r="O9" t="str" cm="1">
        <f t="array" ref="O9">IF(
  Main!O10 = "",
  "",
  IF(
    COUNTIF(Survey[TestPoint], Alerts[[#This Row],[TestPoint]]) = 0,
    "DROPPED",
    IF(
      OR(
        _xlfn._xlws.FILTER(
          Survey[OutOfTolerance],
          Survey[TestPoint] = Alerts[[#This Row],[TestPoint]]
        )
      ),
      "Out of Tol",
      ""
    )
  )
)</f>
        <v/>
      </c>
    </row>
    <row r="10" spans="1:17" x14ac:dyDescent="0.2">
      <c r="L10" s="491"/>
      <c r="M10" s="145">
        <v>7</v>
      </c>
      <c r="O10" t="str" cm="1">
        <f t="array" ref="O10">IF(
  Main!O11 = "",
  "",
  IF(
    COUNTIF(Survey[TestPoint], Alerts[[#This Row],[TestPoint]]) = 0,
    "DROPPED",
    IF(
      OR(
        _xlfn._xlws.FILTER(
          Survey[OutOfTolerance],
          Survey[TestPoint] = Alerts[[#This Row],[TestPoint]]
        )
      ),
      "Out of Tol",
      ""
    )
  )
)</f>
        <v/>
      </c>
    </row>
    <row r="11" spans="1:17" x14ac:dyDescent="0.2">
      <c r="L11" s="491"/>
      <c r="M11" s="145">
        <v>8</v>
      </c>
      <c r="O11" t="str" cm="1">
        <f t="array" ref="O11">IF(
  Main!O12 = "",
  "",
  IF(
    COUNTIF(Survey[TestPoint], Alerts[[#This Row],[TestPoint]]) = 0,
    "DROPPED",
    IF(
      OR(
        _xlfn._xlws.FILTER(
          Survey[OutOfTolerance],
          Survey[TestPoint] = Alerts[[#This Row],[TestPoint]]
        )
      ),
      "Out of Tol",
      ""
    )
  )
)</f>
        <v/>
      </c>
    </row>
    <row r="12" spans="1:17" x14ac:dyDescent="0.2">
      <c r="L12" s="491"/>
      <c r="M12" s="145">
        <v>9</v>
      </c>
      <c r="O12" t="str" cm="1">
        <f t="array" ref="O12">IF(
  Main!O13 = "",
  "",
  IF(
    COUNTIF(Survey[TestPoint], Alerts[[#This Row],[TestPoint]]) = 0,
    "DROPPED",
    IF(
      OR(
        _xlfn._xlws.FILTER(
          Survey[OutOfTolerance],
          Survey[TestPoint] = Alerts[[#This Row],[TestPoint]]
        )
      ),
      "Out of Tol",
      ""
    )
  )
)</f>
        <v/>
      </c>
    </row>
    <row r="13" spans="1:17" x14ac:dyDescent="0.2">
      <c r="L13" s="491"/>
      <c r="M13" s="145">
        <v>10</v>
      </c>
      <c r="O13" t="str" cm="1">
        <f t="array" ref="O13">IF(
  Main!O14 = "",
  "",
  IF(
    COUNTIF(Survey[TestPoint], Alerts[[#This Row],[TestPoint]]) = 0,
    "DROPPED",
    IF(
      OR(
        _xlfn._xlws.FILTER(
          Survey[OutOfTolerance],
          Survey[TestPoint] = Alerts[[#This Row],[TestPoint]]
        )
      ),
      "Out of Tol",
      ""
    )
  )
)</f>
        <v/>
      </c>
    </row>
    <row r="14" spans="1:17" x14ac:dyDescent="0.2">
      <c r="L14" s="491"/>
      <c r="M14" s="145">
        <v>11</v>
      </c>
      <c r="O14" t="str" cm="1">
        <f t="array" ref="O14">IF(
  Main!O15 = "",
  "",
  IF(
    COUNTIF(Survey[TestPoint], Alerts[[#This Row],[TestPoint]]) = 0,
    "DROPPED",
    IF(
      OR(
        _xlfn._xlws.FILTER(
          Survey[OutOfTolerance],
          Survey[TestPoint] = Alerts[[#This Row],[TestPoint]]
        )
      ),
      "Out of Tol",
      ""
    )
  )
)</f>
        <v/>
      </c>
    </row>
    <row r="15" spans="1:17" x14ac:dyDescent="0.2">
      <c r="L15" s="491"/>
      <c r="M15" s="145">
        <v>12</v>
      </c>
      <c r="O15" t="str" cm="1">
        <f t="array" ref="O15">IF(
  Main!O16 = "",
  "",
  IF(
    COUNTIF(Survey[TestPoint], Alerts[[#This Row],[TestPoint]]) = 0,
    "DROPPED",
    IF(
      OR(
        _xlfn._xlws.FILTER(
          Survey[OutOfTolerance],
          Survey[TestPoint] = Alerts[[#This Row],[TestPoint]]
        )
      ),
      "Out of Tol",
      ""
    )
  )
)</f>
        <v/>
      </c>
    </row>
    <row r="16" spans="1:17" x14ac:dyDescent="0.2">
      <c r="L16" s="491"/>
      <c r="M16" s="145">
        <v>13</v>
      </c>
      <c r="O16" t="str" cm="1">
        <f t="array" ref="O16">IF(
  Main!O17 = "",
  "",
  IF(
    COUNTIF(Survey[TestPoint], Alerts[[#This Row],[TestPoint]]) = 0,
    "DROPPED",
    IF(
      OR(
        _xlfn._xlws.FILTER(
          Survey[OutOfTolerance],
          Survey[TestPoint] = Alerts[[#This Row],[TestPoint]]
        )
      ),
      "Out of Tol",
      ""
    )
  )
)</f>
        <v/>
      </c>
    </row>
    <row r="17" spans="12:15" x14ac:dyDescent="0.2">
      <c r="L17" s="491"/>
      <c r="M17" s="145">
        <v>14</v>
      </c>
      <c r="O17" t="str" cm="1">
        <f t="array" ref="O17">IF(
  Main!O18 = "",
  "",
  IF(
    COUNTIF(Survey[TestPoint], Alerts[[#This Row],[TestPoint]]) = 0,
    "DROPPED",
    IF(
      OR(
        _xlfn._xlws.FILTER(
          Survey[OutOfTolerance],
          Survey[TestPoint] = Alerts[[#This Row],[TestPoint]]
        )
      ),
      "Out of Tol",
      ""
    )
  )
)</f>
        <v/>
      </c>
    </row>
    <row r="18" spans="12:15" x14ac:dyDescent="0.2">
      <c r="L18" s="491"/>
      <c r="M18" s="145">
        <v>15</v>
      </c>
      <c r="O18" t="str" cm="1">
        <f t="array" ref="O18">IF(
  Main!O19 = "",
  "",
  IF(
    COUNTIF(Survey[TestPoint], Alerts[[#This Row],[TestPoint]]) = 0,
    "DROPPED",
    IF(
      OR(
        _xlfn._xlws.FILTER(
          Survey[OutOfTolerance],
          Survey[TestPoint] = Alerts[[#This Row],[TestPoint]]
        )
      ),
      "Out of Tol",
      ""
    )
  )
)</f>
        <v/>
      </c>
    </row>
    <row r="19" spans="12:15" x14ac:dyDescent="0.2">
      <c r="L19" s="491"/>
      <c r="M19" s="145">
        <v>16</v>
      </c>
      <c r="O19" t="str" cm="1">
        <f t="array" ref="O19">IF(
  Main!O20 = "",
  "",
  IF(
    COUNTIF(Survey[TestPoint], Alerts[[#This Row],[TestPoint]]) = 0,
    "DROPPED",
    IF(
      OR(
        _xlfn._xlws.FILTER(
          Survey[OutOfTolerance],
          Survey[TestPoint] = Alerts[[#This Row],[TestPoint]]
        )
      ),
      "Out of Tol",
      ""
    )
  )
)</f>
        <v/>
      </c>
    </row>
    <row r="20" spans="12:15" x14ac:dyDescent="0.2">
      <c r="L20" s="491"/>
      <c r="M20" s="145">
        <v>17</v>
      </c>
      <c r="O20" t="str" cm="1">
        <f t="array" ref="O20">IF(
  Main!O21 = "",
  "",
  IF(
    COUNTIF(Survey[TestPoint], Alerts[[#This Row],[TestPoint]]) = 0,
    "DROPPED",
    IF(
      OR(
        _xlfn._xlws.FILTER(
          Survey[OutOfTolerance],
          Survey[TestPoint] = Alerts[[#This Row],[TestPoint]]
        )
      ),
      "Out of Tol",
      ""
    )
  )
)</f>
        <v/>
      </c>
    </row>
    <row r="21" spans="12:15" x14ac:dyDescent="0.2">
      <c r="L21" s="491"/>
      <c r="M21" s="145">
        <v>18</v>
      </c>
      <c r="O21" t="str" cm="1">
        <f t="array" ref="O21">IF(
  Main!O22 = "",
  "",
  IF(
    COUNTIF(Survey[TestPoint], Alerts[[#This Row],[TestPoint]]) = 0,
    "DROPPED",
    IF(
      OR(
        _xlfn._xlws.FILTER(
          Survey[OutOfTolerance],
          Survey[TestPoint] = Alerts[[#This Row],[TestPoint]]
        )
      ),
      "Out of Tol",
      ""
    )
  )
)</f>
        <v/>
      </c>
    </row>
    <row r="22" spans="12:15" x14ac:dyDescent="0.2">
      <c r="L22" s="491"/>
      <c r="M22" s="145">
        <v>19</v>
      </c>
      <c r="O22" t="str" cm="1">
        <f t="array" ref="O22">IF(
  Main!O23 = "",
  "",
  IF(
    COUNTIF(Survey[TestPoint], Alerts[[#This Row],[TestPoint]]) = 0,
    "DROPPED",
    IF(
      OR(
        _xlfn._xlws.FILTER(
          Survey[OutOfTolerance],
          Survey[TestPoint] = Alerts[[#This Row],[TestPoint]]
        )
      ),
      "Out of Tol",
      ""
    )
  )
)</f>
        <v/>
      </c>
    </row>
    <row r="23" spans="12:15" x14ac:dyDescent="0.2">
      <c r="L23" s="491"/>
      <c r="M23" s="145">
        <v>20</v>
      </c>
      <c r="O23" t="str" cm="1">
        <f t="array" ref="O23">IF(
  Main!O24 = "",
  "",
  IF(
    COUNTIF(Survey[TestPoint], Alerts[[#This Row],[TestPoint]]) = 0,
    "DROPPED",
    IF(
      OR(
        _xlfn._xlws.FILTER(
          Survey[OutOfTolerance],
          Survey[TestPoint] = Alerts[[#This Row],[TestPoint]]
        )
      ),
      "Out of Tol",
      ""
    )
  )
)</f>
        <v/>
      </c>
    </row>
    <row r="24" spans="12:15" x14ac:dyDescent="0.2">
      <c r="L24" s="491"/>
      <c r="M24" s="145">
        <v>21</v>
      </c>
      <c r="O24" t="str" cm="1">
        <f t="array" ref="O24">IF(
  Main!O25 = "",
  "",
  IF(
    COUNTIF(Survey[TestPoint], Alerts[[#This Row],[TestPoint]]) = 0,
    "DROPPED",
    IF(
      OR(
        _xlfn._xlws.FILTER(
          Survey[OutOfTolerance],
          Survey[TestPoint] = Alerts[[#This Row],[TestPoint]]
        )
      ),
      "Out of Tol",
      ""
    )
  )
)</f>
        <v/>
      </c>
    </row>
    <row r="25" spans="12:15" x14ac:dyDescent="0.2">
      <c r="L25" s="491"/>
      <c r="M25" s="145">
        <v>22</v>
      </c>
      <c r="O25" t="str" cm="1">
        <f t="array" ref="O25">IF(
  Main!O26 = "",
  "",
  IF(
    COUNTIF(Survey[TestPoint], Alerts[[#This Row],[TestPoint]]) = 0,
    "DROPPED",
    IF(
      OR(
        _xlfn._xlws.FILTER(
          Survey[OutOfTolerance],
          Survey[TestPoint] = Alerts[[#This Row],[TestPoint]]
        )
      ),
      "Out of Tol",
      ""
    )
  )
)</f>
        <v/>
      </c>
    </row>
    <row r="26" spans="12:15" x14ac:dyDescent="0.2">
      <c r="L26" s="491"/>
      <c r="M26" s="145">
        <v>23</v>
      </c>
      <c r="O26" t="str" cm="1">
        <f t="array" ref="O26">IF(
  Main!O27 = "",
  "",
  IF(
    COUNTIF(Survey[TestPoint], Alerts[[#This Row],[TestPoint]]) = 0,
    "DROPPED",
    IF(
      OR(
        _xlfn._xlws.FILTER(
          Survey[OutOfTolerance],
          Survey[TestPoint] = Alerts[[#This Row],[TestPoint]]
        )
      ),
      "Out of Tol",
      ""
    )
  )
)</f>
        <v/>
      </c>
    </row>
    <row r="27" spans="12:15" x14ac:dyDescent="0.2">
      <c r="L27" s="491"/>
      <c r="M27" s="145">
        <v>24</v>
      </c>
      <c r="O27" t="str" cm="1">
        <f t="array" ref="O27">IF(
  Main!O28 = "",
  "",
  IF(
    COUNTIF(Survey[TestPoint], Alerts[[#This Row],[TestPoint]]) = 0,
    "DROPPED",
    IF(
      OR(
        _xlfn._xlws.FILTER(
          Survey[OutOfTolerance],
          Survey[TestPoint] = Alerts[[#This Row],[TestPoint]]
        )
      ),
      "Out of Tol",
      ""
    )
  )
)</f>
        <v/>
      </c>
    </row>
    <row r="28" spans="12:15" x14ac:dyDescent="0.2">
      <c r="L28" s="491"/>
      <c r="M28" s="145">
        <v>25</v>
      </c>
      <c r="O28" t="str" cm="1">
        <f t="array" ref="O28">IF(
  Main!O29 = "",
  "",
  IF(
    COUNTIF(Survey[TestPoint], Alerts[[#This Row],[TestPoint]]) = 0,
    "DROPPED",
    IF(
      OR(
        _xlfn._xlws.FILTER(
          Survey[OutOfTolerance],
          Survey[TestPoint] = Alerts[[#This Row],[TestPoint]]
        )
      ),
      "Out of Tol",
      ""
    )
  )
)</f>
        <v/>
      </c>
    </row>
    <row r="29" spans="12:15" x14ac:dyDescent="0.2">
      <c r="L29" s="491"/>
      <c r="M29" s="145">
        <v>26</v>
      </c>
      <c r="O29" t="str" cm="1">
        <f t="array" ref="O29">IF(
  Main!O30 = "",
  "",
  IF(
    COUNTIF(Survey[TestPoint], Alerts[[#This Row],[TestPoint]]) = 0,
    "DROPPED",
    IF(
      OR(
        _xlfn._xlws.FILTER(
          Survey[OutOfTolerance],
          Survey[TestPoint] = Alerts[[#This Row],[TestPoint]]
        )
      ),
      "Out of Tol",
      ""
    )
  )
)</f>
        <v/>
      </c>
    </row>
    <row r="30" spans="12:15" x14ac:dyDescent="0.2">
      <c r="L30" s="491"/>
      <c r="M30" s="145">
        <v>27</v>
      </c>
      <c r="O30" t="str" cm="1">
        <f t="array" ref="O30">IF(
  Main!O31 = "",
  "",
  IF(
    COUNTIF(Survey[TestPoint], Alerts[[#This Row],[TestPoint]]) = 0,
    "DROPPED",
    IF(
      OR(
        _xlfn._xlws.FILTER(
          Survey[OutOfTolerance],
          Survey[TestPoint] = Alerts[[#This Row],[TestPoint]]
        )
      ),
      "Out of Tol",
      ""
    )
  )
)</f>
        <v/>
      </c>
    </row>
    <row r="31" spans="12:15" x14ac:dyDescent="0.2">
      <c r="L31" s="491"/>
      <c r="M31" s="145">
        <v>28</v>
      </c>
      <c r="O31" t="str" cm="1">
        <f t="array" ref="O31">IF(
  Main!O32 = "",
  "",
  IF(
    COUNTIF(Survey[TestPoint], Alerts[[#This Row],[TestPoint]]) = 0,
    "DROPPED",
    IF(
      OR(
        _xlfn._xlws.FILTER(
          Survey[OutOfTolerance],
          Survey[TestPoint] = Alerts[[#This Row],[TestPoint]]
        )
      ),
      "Out of Tol",
      ""
    )
  )
)</f>
        <v/>
      </c>
    </row>
    <row r="32" spans="12:15" x14ac:dyDescent="0.2">
      <c r="L32" s="491"/>
      <c r="M32" s="145">
        <v>29</v>
      </c>
      <c r="O32" t="str" cm="1">
        <f t="array" ref="O32">IF(
  Main!O33 = "",
  "",
  IF(
    COUNTIF(Survey[TestPoint], Alerts[[#This Row],[TestPoint]]) = 0,
    "DROPPED",
    IF(
      OR(
        _xlfn._xlws.FILTER(
          Survey[OutOfTolerance],
          Survey[TestPoint] = Alerts[[#This Row],[TestPoint]]
        )
      ),
      "Out of Tol",
      ""
    )
  )
)</f>
        <v/>
      </c>
    </row>
    <row r="33" spans="12:15" x14ac:dyDescent="0.2">
      <c r="L33" s="491"/>
      <c r="M33" s="145">
        <v>30</v>
      </c>
      <c r="O33" t="str" cm="1">
        <f t="array" ref="O33">IF(
  Main!O34 = "",
  "",
  IF(
    COUNTIF(Survey[TestPoint], Alerts[[#This Row],[TestPoint]]) = 0,
    "DROPPED",
    IF(
      OR(
        _xlfn._xlws.FILTER(
          Survey[OutOfTolerance],
          Survey[TestPoint] = Alerts[[#This Row],[TestPoint]]
        )
      ),
      "Out of Tol",
      ""
    )
  )
)</f>
        <v/>
      </c>
    </row>
    <row r="34" spans="12:15" x14ac:dyDescent="0.2">
      <c r="L34" s="491"/>
      <c r="M34" s="145">
        <v>31</v>
      </c>
      <c r="O34" t="str" cm="1">
        <f t="array" ref="O34">IF(
  Main!O35 = "",
  "",
  IF(
    COUNTIF(Survey[TestPoint], Alerts[[#This Row],[TestPoint]]) = 0,
    "DROPPED",
    IF(
      OR(
        _xlfn._xlws.FILTER(
          Survey[OutOfTolerance],
          Survey[TestPoint] = Alerts[[#This Row],[TestPoint]]
        )
      ),
      "Out of Tol",
      ""
    )
  )
)</f>
        <v/>
      </c>
    </row>
    <row r="35" spans="12:15" x14ac:dyDescent="0.2">
      <c r="L35" s="491"/>
      <c r="M35" s="145">
        <v>32</v>
      </c>
      <c r="O35" t="str" cm="1">
        <f t="array" ref="O35">IF(
  Main!O36 = "",
  "",
  IF(
    COUNTIF(Survey[TestPoint], Alerts[[#This Row],[TestPoint]]) = 0,
    "DROPPED",
    IF(
      OR(
        _xlfn._xlws.FILTER(
          Survey[OutOfTolerance],
          Survey[TestPoint] = Alerts[[#This Row],[TestPoint]]
        )
      ),
      "Out of Tol",
      ""
    )
  )
)</f>
        <v/>
      </c>
    </row>
    <row r="36" spans="12:15" x14ac:dyDescent="0.2">
      <c r="L36" s="491"/>
      <c r="M36" s="145">
        <v>33</v>
      </c>
      <c r="O36" t="str" cm="1">
        <f t="array" ref="O36">IF(
  Main!O37 = "",
  "",
  IF(
    COUNTIF(Survey[TestPoint], Alerts[[#This Row],[TestPoint]]) = 0,
    "DROPPED",
    IF(
      OR(
        _xlfn._xlws.FILTER(
          Survey[OutOfTolerance],
          Survey[TestPoint] = Alerts[[#This Row],[TestPoint]]
        )
      ),
      "Out of Tol",
      ""
    )
  )
)</f>
        <v/>
      </c>
    </row>
    <row r="37" spans="12:15" x14ac:dyDescent="0.2">
      <c r="L37" s="491"/>
      <c r="M37" s="145">
        <v>34</v>
      </c>
      <c r="O37" t="str" cm="1">
        <f t="array" ref="O37">IF(
  Main!O38 = "",
  "",
  IF(
    COUNTIF(Survey[TestPoint], Alerts[[#This Row],[TestPoint]]) = 0,
    "DROPPED",
    IF(
      OR(
        _xlfn._xlws.FILTER(
          Survey[OutOfTolerance],
          Survey[TestPoint] = Alerts[[#This Row],[TestPoint]]
        )
      ),
      "Out of Tol",
      ""
    )
  )
)</f>
        <v/>
      </c>
    </row>
    <row r="38" spans="12:15" x14ac:dyDescent="0.2">
      <c r="L38" s="491"/>
      <c r="M38" s="145">
        <v>35</v>
      </c>
      <c r="O38" t="str" cm="1">
        <f t="array" ref="O38">IF(
  Main!O39 = "",
  "",
  IF(
    COUNTIF(Survey[TestPoint], Alerts[[#This Row],[TestPoint]]) = 0,
    "DROPPED",
    IF(
      OR(
        _xlfn._xlws.FILTER(
          Survey[OutOfTolerance],
          Survey[TestPoint] = Alerts[[#This Row],[TestPoint]]
        )
      ),
      "Out of Tol",
      ""
    )
  )
)</f>
        <v/>
      </c>
    </row>
    <row r="39" spans="12:15" x14ac:dyDescent="0.2">
      <c r="L39" s="491"/>
      <c r="M39" s="145">
        <v>36</v>
      </c>
      <c r="O39" t="str" cm="1">
        <f t="array" ref="O39">IF(
  Main!O40 = "",
  "",
  IF(
    COUNTIF(Survey[TestPoint], Alerts[[#This Row],[TestPoint]]) = 0,
    "DROPPED",
    IF(
      OR(
        _xlfn._xlws.FILTER(
          Survey[OutOfTolerance],
          Survey[TestPoint] = Alerts[[#This Row],[TestPoint]]
        )
      ),
      "Out of Tol",
      ""
    )
  )
)</f>
        <v/>
      </c>
    </row>
    <row r="40" spans="12:15" x14ac:dyDescent="0.2">
      <c r="L40" s="491"/>
      <c r="M40" s="145">
        <v>37</v>
      </c>
      <c r="O40" t="str" cm="1">
        <f t="array" ref="O40">IF(
  Main!O41 = "",
  "",
  IF(
    COUNTIF(Survey[TestPoint], Alerts[[#This Row],[TestPoint]]) = 0,
    "DROPPED",
    IF(
      OR(
        _xlfn._xlws.FILTER(
          Survey[OutOfTolerance],
          Survey[TestPoint] = Alerts[[#This Row],[TestPoint]]
        )
      ),
      "Out of Tol",
      ""
    )
  )
)</f>
        <v/>
      </c>
    </row>
    <row r="41" spans="12:15" x14ac:dyDescent="0.2">
      <c r="L41" s="491"/>
      <c r="M41" s="145">
        <v>38</v>
      </c>
      <c r="O41" t="str" cm="1">
        <f t="array" ref="O41">IF(
  Main!O42 = "",
  "",
  IF(
    COUNTIF(Survey[TestPoint], Alerts[[#This Row],[TestPoint]]) = 0,
    "DROPPED",
    IF(
      OR(
        _xlfn._xlws.FILTER(
          Survey[OutOfTolerance],
          Survey[TestPoint] = Alerts[[#This Row],[TestPoint]]
        )
      ),
      "Out of Tol",
      ""
    )
  )
)</f>
        <v/>
      </c>
    </row>
    <row r="42" spans="12:15" x14ac:dyDescent="0.2">
      <c r="L42" s="491"/>
      <c r="M42" s="145">
        <v>39</v>
      </c>
      <c r="O42" t="str" cm="1">
        <f t="array" ref="O42">IF(
  Main!O43 = "",
  "",
  IF(
    COUNTIF(Survey[TestPoint], Alerts[[#This Row],[TestPoint]]) = 0,
    "DROPPED",
    IF(
      OR(
        _xlfn._xlws.FILTER(
          Survey[OutOfTolerance],
          Survey[TestPoint] = Alerts[[#This Row],[TestPoint]]
        )
      ),
      "Out of Tol",
      ""
    )
  )
)</f>
        <v/>
      </c>
    </row>
    <row r="43" spans="12:15" x14ac:dyDescent="0.2">
      <c r="L43" s="491"/>
      <c r="M43" s="145">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election activeCell="F15" sqref="F15"/>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50"/>
      <c r="I2"/>
    </row>
    <row r="3" spans="1:12" x14ac:dyDescent="0.2">
      <c r="A3"/>
      <c r="B3"/>
      <c r="C3"/>
      <c r="D3"/>
      <c r="E3"/>
      <c r="F3"/>
      <c r="G3"/>
      <c r="H3" s="114"/>
      <c r="I3"/>
    </row>
    <row r="4" spans="1:12" x14ac:dyDescent="0.2">
      <c r="A4"/>
      <c r="B4"/>
      <c r="C4"/>
      <c r="D4"/>
      <c r="E4"/>
      <c r="F4"/>
      <c r="G4"/>
      <c r="H4" s="114"/>
      <c r="I4"/>
    </row>
    <row r="5" spans="1:12" x14ac:dyDescent="0.2">
      <c r="A5"/>
      <c r="B5"/>
      <c r="C5"/>
      <c r="D5"/>
      <c r="E5"/>
      <c r="F5"/>
      <c r="G5"/>
      <c r="H5" s="114"/>
      <c r="I5"/>
    </row>
    <row r="6" spans="1:12" x14ac:dyDescent="0.2">
      <c r="A6"/>
      <c r="B6"/>
      <c r="C6"/>
      <c r="D6"/>
      <c r="E6"/>
      <c r="F6"/>
      <c r="G6"/>
      <c r="H6" s="114"/>
      <c r="I6"/>
    </row>
    <row r="7" spans="1:12" x14ac:dyDescent="0.2">
      <c r="A7"/>
      <c r="B7"/>
      <c r="C7"/>
      <c r="D7"/>
      <c r="E7"/>
      <c r="F7"/>
      <c r="G7"/>
      <c r="H7" s="114"/>
      <c r="I7"/>
      <c r="L7" s="41"/>
    </row>
    <row r="8" spans="1:12" x14ac:dyDescent="0.2">
      <c r="A8"/>
      <c r="B8"/>
      <c r="C8"/>
      <c r="D8"/>
      <c r="E8"/>
      <c r="F8"/>
      <c r="G8"/>
      <c r="H8" s="114"/>
      <c r="I8"/>
    </row>
    <row r="9" spans="1:12" x14ac:dyDescent="0.2">
      <c r="A9"/>
      <c r="B9"/>
      <c r="C9"/>
      <c r="D9"/>
      <c r="E9"/>
      <c r="F9"/>
      <c r="G9"/>
      <c r="H9" s="114"/>
      <c r="I9"/>
    </row>
    <row r="10" spans="1:12" x14ac:dyDescent="0.2">
      <c r="A10"/>
      <c r="B10"/>
      <c r="C10"/>
      <c r="D10"/>
      <c r="E10"/>
      <c r="F10"/>
      <c r="G10"/>
      <c r="H10" s="114"/>
      <c r="I10"/>
    </row>
    <row r="11" spans="1:12" x14ac:dyDescent="0.2">
      <c r="A11"/>
      <c r="B11"/>
      <c r="C11"/>
      <c r="D11"/>
      <c r="E11"/>
      <c r="F11"/>
      <c r="G11"/>
      <c r="H11" s="114"/>
      <c r="I11"/>
    </row>
    <row r="12" spans="1:12" x14ac:dyDescent="0.2">
      <c r="A12"/>
      <c r="B12"/>
      <c r="C12"/>
      <c r="D12"/>
      <c r="E12"/>
      <c r="F12"/>
      <c r="G12"/>
      <c r="H12" s="114"/>
      <c r="I12"/>
    </row>
    <row r="13" spans="1:12" x14ac:dyDescent="0.2">
      <c r="A13"/>
      <c r="B13"/>
      <c r="C13"/>
      <c r="D13"/>
      <c r="E13"/>
      <c r="F13"/>
      <c r="G13"/>
      <c r="H13" s="114"/>
      <c r="I13"/>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1" t="s">
        <v>887</v>
      </c>
      <c r="B1" s="422" t="s">
        <v>888</v>
      </c>
    </row>
    <row r="2" spans="1:3" x14ac:dyDescent="0.2">
      <c r="A2" s="41"/>
      <c r="B2" s="41"/>
    </row>
    <row r="3" spans="1:3" x14ac:dyDescent="0.2">
      <c r="A3" s="41" t="s">
        <v>577</v>
      </c>
      <c r="B3" s="41" t="s">
        <v>578</v>
      </c>
      <c r="C3" s="41" t="s">
        <v>889</v>
      </c>
    </row>
    <row r="4" spans="1:3" x14ac:dyDescent="0.2">
      <c r="A4" s="421">
        <v>-100</v>
      </c>
      <c r="B4" s="421">
        <v>392</v>
      </c>
      <c r="C4" s="420">
        <v>1.6</v>
      </c>
    </row>
    <row r="5" spans="1:3" x14ac:dyDescent="0.2">
      <c r="A5" s="421">
        <v>392</v>
      </c>
      <c r="B5" s="421">
        <v>752</v>
      </c>
      <c r="C5" s="420">
        <v>4</v>
      </c>
    </row>
    <row r="6" spans="1:3" x14ac:dyDescent="0.2">
      <c r="A6" s="421">
        <v>752</v>
      </c>
      <c r="B6" s="421">
        <v>1200</v>
      </c>
      <c r="C6" s="420">
        <v>3</v>
      </c>
    </row>
    <row r="7" spans="1:3" x14ac:dyDescent="0.2">
      <c r="A7" s="421">
        <v>1200</v>
      </c>
      <c r="B7" s="421">
        <v>2000</v>
      </c>
      <c r="C7" s="420">
        <v>4.0999999999999996</v>
      </c>
    </row>
    <row r="8" spans="1:3" x14ac:dyDescent="0.2">
      <c r="A8" s="421">
        <v>1800</v>
      </c>
      <c r="B8" s="421">
        <v>2200</v>
      </c>
      <c r="C8" s="420">
        <v>4.0999999999999996</v>
      </c>
    </row>
  </sheetData>
  <sheetProtection algorithmName="SHA-512" hashValue="a+T6NUF3LOk+COLmDm/YJPw3bhiSBPWpNvsBcEkP27vh9SNwYHWyN93WZyVooif2awjo4xHAsxpKPeXak/dorQ==" saltValue="1GiIVlsJ7e7U+iFxARRR1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6.85546875" style="197" customWidth="1"/>
    <col min="2" max="2" width="12.85546875" style="191" customWidth="1"/>
    <col min="3" max="3" width="16.5703125" style="196" customWidth="1"/>
    <col min="4" max="4" width="10.42578125" style="148" customWidth="1"/>
    <col min="5" max="5" width="10.28515625" style="148" customWidth="1"/>
    <col min="6" max="6" width="12.85546875" style="148" customWidth="1"/>
    <col min="7" max="7" width="17.7109375" style="148" customWidth="1"/>
    <col min="8" max="10" width="11.140625" style="148" customWidth="1"/>
    <col min="11" max="11" width="10.140625" style="148" bestFit="1" customWidth="1"/>
    <col min="12" max="12" width="11.7109375" style="148" bestFit="1" customWidth="1"/>
    <col min="13" max="13" width="19.85546875" style="148" customWidth="1"/>
    <col min="14" max="15" width="9.140625" style="148"/>
    <col min="16" max="16" width="16" style="148" customWidth="1"/>
    <col min="17" max="17" width="14.7109375" style="148" customWidth="1"/>
    <col min="18" max="18" width="10.140625" style="148" customWidth="1"/>
    <col min="19" max="19" width="12.140625" style="148" customWidth="1"/>
    <col min="20" max="20" width="3.5703125" style="325" customWidth="1"/>
    <col min="21" max="21" width="15.85546875" style="325" customWidth="1"/>
    <col min="22" max="22" width="13.5703125" style="325" customWidth="1"/>
    <col min="23" max="23" width="11.140625" style="325" customWidth="1"/>
    <col min="24" max="16384" width="9.140625" style="325"/>
  </cols>
  <sheetData>
    <row r="1" spans="1:26" ht="23.25" x14ac:dyDescent="0.35">
      <c r="A1" s="342" t="s">
        <v>952</v>
      </c>
      <c r="B1" s="343"/>
      <c r="C1" s="511" t="s">
        <v>50</v>
      </c>
      <c r="D1" s="512"/>
      <c r="E1" s="512"/>
      <c r="F1" s="512"/>
      <c r="G1" s="146" t="e" cm="1">
        <f t="array" ref="G1">GetFormattedWorkItemNumber(K14, D24)</f>
        <v>#VALUE!</v>
      </c>
      <c r="H1" s="146"/>
      <c r="I1" s="147"/>
      <c r="J1" s="325"/>
      <c r="K1" s="325"/>
      <c r="L1" s="325"/>
      <c r="M1" s="325"/>
      <c r="N1" s="325"/>
      <c r="O1" s="325"/>
      <c r="P1" s="325"/>
      <c r="Q1" s="325"/>
      <c r="R1" s="325"/>
      <c r="S1" s="325"/>
    </row>
    <row r="2" spans="1:26" ht="12.75" customHeight="1" x14ac:dyDescent="0.2">
      <c r="A2" s="344"/>
      <c r="B2" s="345"/>
      <c r="C2" s="325"/>
      <c r="D2" s="325"/>
      <c r="E2" s="346"/>
      <c r="F2" s="346"/>
      <c r="G2" s="345"/>
      <c r="H2" s="325"/>
      <c r="I2" s="325"/>
      <c r="J2" s="325"/>
      <c r="K2" s="325"/>
      <c r="L2" s="326"/>
      <c r="M2" s="326"/>
      <c r="N2" s="326"/>
      <c r="O2" s="326"/>
      <c r="P2" s="326"/>
      <c r="Q2" s="326"/>
      <c r="R2" s="326"/>
      <c r="S2" s="326"/>
      <c r="T2" s="326"/>
      <c r="U2" s="326"/>
      <c r="V2" s="326"/>
    </row>
    <row r="3" spans="1:26" x14ac:dyDescent="0.2">
      <c r="A3" s="344"/>
      <c r="B3" s="149"/>
      <c r="C3" s="150" t="s">
        <v>72</v>
      </c>
      <c r="D3" s="299"/>
      <c r="E3" s="325"/>
      <c r="F3" s="325"/>
      <c r="G3" s="325"/>
      <c r="H3" s="325"/>
      <c r="I3" s="325"/>
      <c r="J3" s="513" t="s">
        <v>102</v>
      </c>
      <c r="K3" s="514"/>
      <c r="L3" s="515"/>
      <c r="M3" s="325"/>
      <c r="N3" s="530" t="s">
        <v>91</v>
      </c>
      <c r="O3" s="530"/>
      <c r="P3" s="530"/>
      <c r="Q3" s="530"/>
      <c r="R3" s="530"/>
      <c r="S3" s="530"/>
      <c r="T3" s="326"/>
      <c r="U3" s="326"/>
      <c r="V3" s="326"/>
      <c r="W3" s="327"/>
      <c r="X3" s="327"/>
      <c r="Y3" s="327"/>
      <c r="Z3" s="327"/>
    </row>
    <row r="4" spans="1:26" x14ac:dyDescent="0.2">
      <c r="A4" s="344"/>
      <c r="B4" s="149"/>
      <c r="C4" s="150" t="s">
        <v>232</v>
      </c>
      <c r="D4" s="304" t="str">
        <f>IF(Condition="","",Condition)</f>
        <v/>
      </c>
      <c r="E4" s="325"/>
      <c r="F4" s="325"/>
      <c r="G4" s="325"/>
      <c r="H4" s="325"/>
      <c r="I4" s="325"/>
      <c r="J4" s="518" t="s">
        <v>1</v>
      </c>
      <c r="K4" s="519"/>
      <c r="L4" s="151">
        <f>IFERROR(Survey!N2,0)</f>
        <v>0</v>
      </c>
      <c r="M4" s="325"/>
      <c r="N4" s="152" t="s">
        <v>90</v>
      </c>
      <c r="O4" s="153" t="s">
        <v>89</v>
      </c>
      <c r="P4" s="516" t="s">
        <v>100</v>
      </c>
      <c r="Q4" s="517"/>
      <c r="R4" s="152" t="s">
        <v>137</v>
      </c>
      <c r="S4" s="152" t="s">
        <v>141</v>
      </c>
      <c r="T4" s="326"/>
      <c r="U4" s="328"/>
      <c r="V4" s="328"/>
      <c r="W4" s="328"/>
      <c r="X4" s="328"/>
      <c r="Y4" s="328"/>
      <c r="Z4" s="328"/>
    </row>
    <row r="5" spans="1:26" x14ac:dyDescent="0.2">
      <c r="A5" s="344"/>
      <c r="B5" s="149"/>
      <c r="C5" s="150" t="s">
        <v>41</v>
      </c>
      <c r="D5" s="534" t="e">
        <f>IFERROR(companyName,NA())</f>
        <v>#N/A</v>
      </c>
      <c r="E5" s="535"/>
      <c r="F5" s="535"/>
      <c r="G5" s="535"/>
      <c r="H5" s="536"/>
      <c r="I5" s="305"/>
      <c r="J5" s="518" t="s">
        <v>2</v>
      </c>
      <c r="K5" s="519"/>
      <c r="L5" s="151">
        <f>IFERROR(Survey!N3,0)</f>
        <v>0</v>
      </c>
      <c r="M5" s="325"/>
      <c r="N5" s="473">
        <v>1</v>
      </c>
      <c r="O5" s="154"/>
      <c r="P5" s="492" t="str">
        <f>VLOOKUP(N5,Alerts[],3,FALSE)</f>
        <v/>
      </c>
      <c r="Q5" s="493"/>
      <c r="R5" s="474" t="str" cm="1">
        <f t="array" ref="R5">IFZERO(VLOOKUP(N5,Alerts[],4,FALSE),"")</f>
        <v/>
      </c>
      <c r="S5" s="155" t="str" cm="1">
        <f t="array" ref="S5">IFZERO(VLOOKUP(N5,Alerts[],5,FALSE),"")</f>
        <v/>
      </c>
      <c r="T5" s="326"/>
      <c r="U5" s="328"/>
      <c r="V5" s="328"/>
      <c r="W5" s="328"/>
      <c r="X5" s="328" t="str">
        <f>IF(O5,1,"")</f>
        <v/>
      </c>
      <c r="Y5" s="328"/>
      <c r="Z5" s="328"/>
    </row>
    <row r="6" spans="1:26" x14ac:dyDescent="0.2">
      <c r="A6" s="344"/>
      <c r="B6" s="149"/>
      <c r="C6" s="150" t="s">
        <v>40</v>
      </c>
      <c r="D6" s="531" t="e">
        <f>VLOOKUP("assetName",WorkItemDetails[],2,FALSE)</f>
        <v>#N/A</v>
      </c>
      <c r="E6" s="532"/>
      <c r="F6" s="532"/>
      <c r="G6" s="532"/>
      <c r="H6" s="533"/>
      <c r="I6" s="296"/>
      <c r="J6" s="518" t="s">
        <v>101</v>
      </c>
      <c r="K6" s="519"/>
      <c r="L6" s="151">
        <f>L4-L5</f>
        <v>0</v>
      </c>
      <c r="M6" s="325"/>
      <c r="N6" s="473">
        <v>2</v>
      </c>
      <c r="O6" s="154"/>
      <c r="P6" s="492" t="str">
        <f>VLOOKUP(N6,Alerts[],3,FALSE)</f>
        <v/>
      </c>
      <c r="Q6" s="493"/>
      <c r="R6" s="474" t="str" cm="1">
        <f t="array" ref="R6">IFZERO(VLOOKUP(N6,Alerts[],4,FALSE),"")</f>
        <v/>
      </c>
      <c r="S6" s="155" t="str" cm="1">
        <f t="array" ref="S6">IFZERO(VLOOKUP(N6,Alerts[],5,FALSE),"")</f>
        <v/>
      </c>
      <c r="T6" s="326"/>
      <c r="U6" s="328"/>
      <c r="V6" s="328"/>
      <c r="W6" s="328"/>
      <c r="X6" s="328" t="str">
        <f t="shared" ref="X6:X44" si="0">IF(O6,1,"")</f>
        <v/>
      </c>
      <c r="Y6" s="328"/>
      <c r="Z6" s="328"/>
    </row>
    <row r="7" spans="1:26" x14ac:dyDescent="0.2">
      <c r="A7" s="344"/>
      <c r="B7" s="156"/>
      <c r="C7" s="157" t="s">
        <v>27</v>
      </c>
      <c r="D7" s="424" t="str" cm="1">
        <f t="array" ref="D7">Employee[Name]</f>
        <v>Jeff Hall</v>
      </c>
      <c r="E7" s="325"/>
      <c r="F7" s="325"/>
      <c r="G7" s="325"/>
      <c r="H7" s="325"/>
      <c r="I7" s="325"/>
      <c r="J7" s="347"/>
      <c r="K7" s="347"/>
      <c r="L7" s="347"/>
      <c r="M7" s="325"/>
      <c r="N7" s="473">
        <v>3</v>
      </c>
      <c r="O7" s="154"/>
      <c r="P7" s="492" t="str">
        <f>VLOOKUP(N7,Alerts[],3,FALSE)</f>
        <v/>
      </c>
      <c r="Q7" s="493"/>
      <c r="R7" s="474" t="str" cm="1">
        <f t="array" ref="R7">IFZERO(VLOOKUP(N7,Alerts[],4,FALSE),"")</f>
        <v/>
      </c>
      <c r="S7" s="155" t="str" cm="1">
        <f t="array" ref="S7">IFZERO(VLOOKUP(N7,Alerts[],5,FALSE),"")</f>
        <v/>
      </c>
      <c r="T7" s="326"/>
      <c r="U7" s="328"/>
      <c r="V7" s="328"/>
      <c r="W7" s="328"/>
      <c r="X7" s="328" t="str">
        <f t="shared" si="0"/>
        <v/>
      </c>
      <c r="Y7" s="328"/>
      <c r="Z7" s="328"/>
    </row>
    <row r="8" spans="1:26" x14ac:dyDescent="0.2">
      <c r="A8" s="344"/>
      <c r="B8" s="340"/>
      <c r="C8" s="348"/>
      <c r="D8" s="349"/>
      <c r="E8" s="325"/>
      <c r="F8" s="350" t="str">
        <f>IF(N49="","CHECK TUNING CONSTANTS","")</f>
        <v>CHECK TUNING CONSTANTS</v>
      </c>
      <c r="G8" s="325"/>
      <c r="H8" s="325"/>
      <c r="I8" s="325"/>
      <c r="J8" s="325"/>
      <c r="K8" s="325"/>
      <c r="L8" s="325"/>
      <c r="M8" s="325"/>
      <c r="N8" s="473">
        <v>4</v>
      </c>
      <c r="O8" s="154"/>
      <c r="P8" s="492" t="str">
        <f>VLOOKUP(N8,Alerts[],3,FALSE)</f>
        <v/>
      </c>
      <c r="Q8" s="493"/>
      <c r="R8" s="474" t="str" cm="1">
        <f t="array" ref="R8">IFZERO(VLOOKUP(N8,Alerts[],4,FALSE),"")</f>
        <v/>
      </c>
      <c r="S8" s="155" t="str" cm="1">
        <f t="array" ref="S8">IFZERO(VLOOKUP(N8,Alerts[],5,FALSE),"")</f>
        <v/>
      </c>
      <c r="T8" s="326"/>
      <c r="U8" s="328"/>
      <c r="V8" s="328"/>
      <c r="W8" s="328"/>
      <c r="X8" s="328" t="str">
        <f t="shared" si="0"/>
        <v/>
      </c>
      <c r="Y8" s="328"/>
      <c r="Z8" s="328"/>
    </row>
    <row r="9" spans="1:26" ht="12.75" customHeight="1" x14ac:dyDescent="0.2">
      <c r="A9" s="344"/>
      <c r="B9" s="149"/>
      <c r="C9" s="158" t="s">
        <v>66</v>
      </c>
      <c r="D9" s="301"/>
      <c r="E9" s="305" t="str" cm="1">
        <f t="array" ref="E9">IFERROR(
  _xlfn.XLOOKUP(
    Main!$D$9,
    _xlfn._xlws.FILTER(AssetPool[asset_tag], AssetPool[root_category_name]="DAQ Modules"),
    _xlfn._xlws.FILTER(AssetPool[asset_id], AssetPool[root_category_name]="DAQ Modules")
  ),
  ""
)</f>
        <v/>
      </c>
      <c r="F9" s="325"/>
      <c r="G9" s="325"/>
      <c r="H9" s="325"/>
      <c r="I9" s="325"/>
      <c r="J9" s="325"/>
      <c r="K9" s="325"/>
      <c r="L9" s="325"/>
      <c r="M9" s="325"/>
      <c r="N9" s="473">
        <v>5</v>
      </c>
      <c r="O9" s="154"/>
      <c r="P9" s="492" t="str">
        <f>VLOOKUP(N9,Alerts[],3,FALSE)</f>
        <v/>
      </c>
      <c r="Q9" s="493"/>
      <c r="R9" s="474" t="str" cm="1">
        <f t="array" ref="R9">IFZERO(VLOOKUP(N9,Alerts[],4,FALSE),"")</f>
        <v/>
      </c>
      <c r="S9" s="155" t="str" cm="1">
        <f t="array" ref="S9">IFZERO(VLOOKUP(N9,Alerts[],5,FALSE),"")</f>
        <v/>
      </c>
      <c r="T9" s="326"/>
      <c r="U9" s="328"/>
      <c r="V9" s="328"/>
      <c r="W9" s="328"/>
      <c r="X9" s="328" t="str">
        <f t="shared" si="0"/>
        <v/>
      </c>
      <c r="Y9" s="328"/>
      <c r="Z9" s="328"/>
    </row>
    <row r="10" spans="1:26" x14ac:dyDescent="0.2">
      <c r="A10" s="344"/>
      <c r="B10" s="340"/>
      <c r="C10" s="341"/>
      <c r="D10" s="325"/>
      <c r="E10" s="325"/>
      <c r="F10" s="325"/>
      <c r="G10" s="326" t="e">
        <f>IF(OR(Survey[OutOfTolerance]),"!!!!! OVEN IS OOT !!!!!","")</f>
        <v>#VALUE!</v>
      </c>
      <c r="H10" s="325"/>
      <c r="I10" s="325"/>
      <c r="J10" s="325"/>
      <c r="K10" s="325"/>
      <c r="L10" s="325"/>
      <c r="M10" s="325"/>
      <c r="N10" s="473">
        <v>6</v>
      </c>
      <c r="O10" s="154"/>
      <c r="P10" s="492" t="str">
        <f>VLOOKUP(N10,Alerts[],3,FALSE)</f>
        <v/>
      </c>
      <c r="Q10" s="493"/>
      <c r="R10" s="474" t="str" cm="1">
        <f t="array" ref="R10">IFZERO(VLOOKUP(N10,Alerts[],4,FALSE),"")</f>
        <v/>
      </c>
      <c r="S10" s="155" t="str" cm="1">
        <f t="array" ref="S10">IFZERO(VLOOKUP(N10,Alerts[],5,FALSE),"")</f>
        <v/>
      </c>
      <c r="T10" s="326"/>
      <c r="U10" s="328"/>
      <c r="V10" s="328"/>
      <c r="W10" s="328"/>
      <c r="X10" s="328" t="str">
        <f t="shared" si="0"/>
        <v/>
      </c>
      <c r="Y10" s="328"/>
      <c r="Z10" s="328"/>
    </row>
    <row r="11" spans="1:26" x14ac:dyDescent="0.2">
      <c r="A11" s="344"/>
      <c r="B11" s="149"/>
      <c r="C11" s="158" t="s">
        <v>53</v>
      </c>
      <c r="D11" s="298" t="e">
        <f>VLOOKUP("serial_number",DaqbookServiceRecord[], 2, FALSE)</f>
        <v>#N/A</v>
      </c>
      <c r="E11" s="325"/>
      <c r="F11" s="325"/>
      <c r="G11" s="326" t="str">
        <f>IF(OR(ISBLANK(D3),ISBLANK(D13)),"",IF(D13&lt;D3,"!!!!! DAQBOOK IS OUT OF CERTIFICATION !!!!!",""))</f>
        <v/>
      </c>
      <c r="H11" s="325"/>
      <c r="I11" s="325"/>
      <c r="J11" s="325"/>
      <c r="K11" s="325"/>
      <c r="L11" s="325"/>
      <c r="M11" s="325"/>
      <c r="N11" s="473">
        <v>7</v>
      </c>
      <c r="O11" s="154"/>
      <c r="P11" s="492" t="str">
        <f>VLOOKUP(N11,Alerts[],3,FALSE)</f>
        <v/>
      </c>
      <c r="Q11" s="493"/>
      <c r="R11" s="474" t="str" cm="1">
        <f t="array" ref="R11">IFZERO(VLOOKUP(N11,Alerts[],4,FALSE),"")</f>
        <v/>
      </c>
      <c r="S11" s="155" t="str" cm="1">
        <f t="array" ref="S11">IFZERO(VLOOKUP(N11,Alerts[],5,FALSE),"")</f>
        <v/>
      </c>
      <c r="T11" s="326"/>
      <c r="U11" s="328"/>
      <c r="V11" s="328"/>
      <c r="W11" s="328"/>
      <c r="X11" s="328" t="str">
        <f t="shared" si="0"/>
        <v/>
      </c>
      <c r="Y11" s="328"/>
      <c r="Z11" s="328"/>
    </row>
    <row r="12" spans="1:26" x14ac:dyDescent="0.2">
      <c r="A12" s="344"/>
      <c r="B12" s="149"/>
      <c r="C12" s="158" t="s">
        <v>87</v>
      </c>
      <c r="D12" s="297" t="e">
        <f>VLOOKUP("service_date",DaqbookServiceRecord[], 2, FALSE)</f>
        <v>#N/A</v>
      </c>
      <c r="E12" s="325"/>
      <c r="F12" s="325"/>
      <c r="G12" s="326" t="str">
        <f>IF(IF(COUNTIFS(DataForChannels1to14[],"&gt;"&amp;B2,DataForChannels1to14[],"&lt;"&amp;(B2+200))&gt;0,1,0)=1,"!!!!! OVEN OVERSHOT IN POINTS 1-14 !!!!!","")</f>
        <v/>
      </c>
      <c r="H12" s="325"/>
      <c r="I12" s="325"/>
      <c r="J12" s="347"/>
      <c r="K12" s="329"/>
      <c r="L12" s="347"/>
      <c r="M12" s="329"/>
      <c r="N12" s="473">
        <v>8</v>
      </c>
      <c r="O12" s="154"/>
      <c r="P12" s="492" t="str">
        <f>VLOOKUP(N12,Alerts[],3,FALSE)</f>
        <v/>
      </c>
      <c r="Q12" s="493"/>
      <c r="R12" s="474" t="str" cm="1">
        <f t="array" ref="R12">IFZERO(VLOOKUP(N12,Alerts[],4,FALSE),"")</f>
        <v/>
      </c>
      <c r="S12" s="155" t="str" cm="1">
        <f t="array" ref="S12">IFZERO(VLOOKUP(N12,Alerts[],5,FALSE),"")</f>
        <v/>
      </c>
      <c r="T12" s="326"/>
      <c r="U12" s="328"/>
      <c r="V12" s="328"/>
      <c r="W12" s="328"/>
      <c r="X12" s="328" t="str">
        <f t="shared" si="0"/>
        <v/>
      </c>
      <c r="Y12" s="328"/>
      <c r="Z12" s="328"/>
    </row>
    <row r="13" spans="1:26" x14ac:dyDescent="0.2">
      <c r="A13" s="344"/>
      <c r="B13" s="159"/>
      <c r="C13" s="160" t="s">
        <v>86</v>
      </c>
      <c r="D13" s="297" t="e">
        <f>VLOOKUP("next_service_date",DaqbookServiceRecord[], 2, FALSE)</f>
        <v>#N/A</v>
      </c>
      <c r="E13" s="325"/>
      <c r="F13" s="351"/>
      <c r="G13" s="341" t="str">
        <f>IF(IF(COUNTIFS(DataForChannels15to28[],"&gt;"&amp;B2,DataForChannels15to28[],"&lt;"&amp;(B2+200))&gt;0,1,0)=1,"!!!!! OVEN OVERSHOT IN POINTS 15-28 !!!!!","")</f>
        <v/>
      </c>
      <c r="H13" s="325"/>
      <c r="I13" s="325"/>
      <c r="J13" s="257" t="s">
        <v>327</v>
      </c>
      <c r="K13" s="528" t="str">
        <f>IFERROR(VLOOKUP("PoNumber",WorkItemDetails[],2,FALSE),"")</f>
        <v/>
      </c>
      <c r="L13" s="529"/>
      <c r="M13" s="325"/>
      <c r="N13" s="473">
        <v>9</v>
      </c>
      <c r="O13" s="154"/>
      <c r="P13" s="492" t="str">
        <f>VLOOKUP(N13,Alerts[],3,FALSE)</f>
        <v/>
      </c>
      <c r="Q13" s="493"/>
      <c r="R13" s="474" t="str" cm="1">
        <f t="array" ref="R13">IFZERO(VLOOKUP(N13,Alerts[],4,FALSE),"")</f>
        <v/>
      </c>
      <c r="S13" s="155" t="str" cm="1">
        <f t="array" ref="S13">IFZERO(VLOOKUP(N13,Alerts[],5,FALSE),"")</f>
        <v/>
      </c>
      <c r="T13" s="326"/>
      <c r="U13" s="328"/>
      <c r="V13" s="328"/>
      <c r="W13" s="328"/>
      <c r="X13" s="328" t="str">
        <f t="shared" si="0"/>
        <v/>
      </c>
      <c r="Y13" s="328"/>
      <c r="Z13" s="328"/>
    </row>
    <row r="14" spans="1:26" x14ac:dyDescent="0.2">
      <c r="A14" s="344"/>
      <c r="B14" s="149"/>
      <c r="C14" s="158" t="s">
        <v>88</v>
      </c>
      <c r="D14" s="298" t="e">
        <f>VLOOKUP("certificate_number",DaqbookServiceRecord[], 2, FALSE)</f>
        <v>#N/A</v>
      </c>
      <c r="E14" s="325"/>
      <c r="F14" s="325"/>
      <c r="G14" s="326" t="str">
        <f>IF(IF(COUNTIFS(DataForChannels29to40[],"&gt;"&amp;B2,DataForChannels29to40[],"&lt;"&amp;(B2+200))&gt;0,1,0)=1,"!!!!! OVEN OVERSHOT IN POINTS 29-40 !!!!!","")</f>
        <v/>
      </c>
      <c r="H14" s="325"/>
      <c r="I14" s="325"/>
      <c r="J14" s="161" t="s">
        <v>136</v>
      </c>
      <c r="K14" s="537"/>
      <c r="L14" s="538"/>
      <c r="M14" s="325"/>
      <c r="N14" s="473">
        <v>10</v>
      </c>
      <c r="O14" s="154"/>
      <c r="P14" s="492" t="str">
        <f>VLOOKUP(N14,Alerts[],3,FALSE)</f>
        <v/>
      </c>
      <c r="Q14" s="493"/>
      <c r="R14" s="474" t="str" cm="1">
        <f t="array" ref="R14">IFZERO(VLOOKUP(N14,Alerts[],4,FALSE),"")</f>
        <v/>
      </c>
      <c r="S14" s="155" t="str" cm="1">
        <f t="array" ref="S14">IFZERO(VLOOKUP(N14,Alerts[],5,FALSE),"")</f>
        <v/>
      </c>
      <c r="T14" s="326"/>
      <c r="U14" s="328"/>
      <c r="V14" s="328"/>
      <c r="W14" s="328"/>
      <c r="X14" s="328" t="str">
        <f t="shared" si="0"/>
        <v/>
      </c>
      <c r="Y14" s="328"/>
      <c r="Z14" s="328"/>
    </row>
    <row r="15" spans="1:26" x14ac:dyDescent="0.2">
      <c r="A15" s="344"/>
      <c r="B15" s="202"/>
      <c r="C15" s="200" t="s">
        <v>65</v>
      </c>
      <c r="D15" s="318"/>
      <c r="E15" s="325"/>
      <c r="F15" s="325"/>
      <c r="G15" s="325"/>
      <c r="H15" s="661" t="b">
        <v>1</v>
      </c>
      <c r="I15" s="325"/>
      <c r="J15" s="162" t="s">
        <v>131</v>
      </c>
      <c r="K15" s="522"/>
      <c r="L15" s="523"/>
      <c r="M15" s="325"/>
      <c r="N15" s="473">
        <v>11</v>
      </c>
      <c r="O15" s="154"/>
      <c r="P15" s="492" t="str">
        <f>VLOOKUP(N15,Alerts[],3,FALSE)</f>
        <v/>
      </c>
      <c r="Q15" s="493"/>
      <c r="R15" s="474" t="str" cm="1">
        <f t="array" ref="R15">IFZERO(VLOOKUP(N15,Alerts[],4,FALSE),"")</f>
        <v/>
      </c>
      <c r="S15" s="155" t="str" cm="1">
        <f t="array" ref="S15">IFZERO(VLOOKUP(N15,Alerts[],5,FALSE),"")</f>
        <v/>
      </c>
      <c r="T15" s="326"/>
      <c r="U15" s="328"/>
      <c r="V15" s="328"/>
      <c r="W15" s="328"/>
      <c r="X15" s="328" t="str">
        <f t="shared" si="0"/>
        <v/>
      </c>
      <c r="Y15" s="328"/>
      <c r="Z15" s="328"/>
    </row>
    <row r="16" spans="1:26" x14ac:dyDescent="0.2">
      <c r="A16" s="344"/>
      <c r="B16" s="163"/>
      <c r="C16" s="201" t="s">
        <v>266</v>
      </c>
      <c r="D16" s="318"/>
      <c r="E16" s="325"/>
      <c r="F16" s="161" t="s">
        <v>77</v>
      </c>
      <c r="G16" s="452" t="s">
        <v>271</v>
      </c>
      <c r="H16" s="453"/>
      <c r="I16" s="325"/>
      <c r="J16" s="542" t="s">
        <v>165</v>
      </c>
      <c r="K16" s="543"/>
      <c r="L16" s="303"/>
      <c r="M16" s="325"/>
      <c r="N16" s="473">
        <v>12</v>
      </c>
      <c r="O16" s="154"/>
      <c r="P16" s="492" t="str">
        <f>VLOOKUP(N16,Alerts[],3,FALSE)</f>
        <v/>
      </c>
      <c r="Q16" s="493"/>
      <c r="R16" s="474" t="str" cm="1">
        <f t="array" ref="R16">IFZERO(VLOOKUP(N16,Alerts[],4,FALSE),"")</f>
        <v/>
      </c>
      <c r="S16" s="155" t="str" cm="1">
        <f t="array" ref="S16">IFZERO(VLOOKUP(N16,Alerts[],5,FALSE),"")</f>
        <v/>
      </c>
      <c r="T16" s="326"/>
      <c r="U16" s="328"/>
      <c r="V16" s="328"/>
      <c r="W16" s="328"/>
      <c r="X16" s="328" t="str">
        <f t="shared" si="0"/>
        <v/>
      </c>
      <c r="Y16" s="328"/>
      <c r="Z16" s="328"/>
    </row>
    <row r="17" spans="1:26" x14ac:dyDescent="0.2">
      <c r="A17" s="344"/>
      <c r="B17" s="149"/>
      <c r="C17" s="150" t="s">
        <v>64</v>
      </c>
      <c r="D17" s="319"/>
      <c r="E17" s="325"/>
      <c r="F17" s="162" t="s">
        <v>96</v>
      </c>
      <c r="G17" s="425" t="str">
        <f>IF(ISBLANK(Load),"",Load)</f>
        <v/>
      </c>
      <c r="H17" s="325"/>
      <c r="I17" s="326"/>
      <c r="J17" s="542" t="s">
        <v>166</v>
      </c>
      <c r="K17" s="543"/>
      <c r="L17" s="165" t="str">
        <f>IF(K15="SIM Load Hot",TEXT(D26,"hh:mm"),"")</f>
        <v/>
      </c>
      <c r="M17" s="325"/>
      <c r="N17" s="473">
        <v>13</v>
      </c>
      <c r="O17" s="154"/>
      <c r="P17" s="492" t="str">
        <f>VLOOKUP(N17,Alerts[],3,FALSE)</f>
        <v/>
      </c>
      <c r="Q17" s="493"/>
      <c r="R17" s="474" t="str" cm="1">
        <f t="array" ref="R17">IFZERO(VLOOKUP(N17,Alerts[],4,FALSE),"")</f>
        <v/>
      </c>
      <c r="S17" s="155" t="str" cm="1">
        <f t="array" ref="S17">IFZERO(VLOOKUP(N17,Alerts[],5,FALSE),"")</f>
        <v/>
      </c>
      <c r="T17" s="326"/>
      <c r="U17" s="328"/>
      <c r="V17" s="328"/>
      <c r="W17" s="328"/>
      <c r="X17" s="328" t="str">
        <f t="shared" si="0"/>
        <v/>
      </c>
      <c r="Y17" s="328"/>
      <c r="Z17" s="328"/>
    </row>
    <row r="18" spans="1:26" x14ac:dyDescent="0.2">
      <c r="A18" s="344"/>
      <c r="B18" s="159"/>
      <c r="C18" s="166" t="s">
        <v>67</v>
      </c>
      <c r="D18" s="301"/>
      <c r="E18" s="325"/>
      <c r="F18" s="167" t="s">
        <v>78</v>
      </c>
      <c r="G18" s="494" t="s">
        <v>19</v>
      </c>
      <c r="H18" s="495"/>
      <c r="I18" s="326"/>
      <c r="J18" s="352"/>
      <c r="K18" s="325"/>
      <c r="L18" s="326"/>
      <c r="M18" s="325"/>
      <c r="N18" s="473">
        <v>14</v>
      </c>
      <c r="O18" s="154"/>
      <c r="P18" s="492" t="str">
        <f>VLOOKUP(N18,Alerts[],3,FALSE)</f>
        <v/>
      </c>
      <c r="Q18" s="493"/>
      <c r="R18" s="474" t="str" cm="1">
        <f t="array" ref="R18">IFZERO(VLOOKUP(N18,Alerts[],4,FALSE),"")</f>
        <v/>
      </c>
      <c r="S18" s="155" t="str" cm="1">
        <f t="array" ref="S18">IFZERO(VLOOKUP(N18,Alerts[],5,FALSE),"")</f>
        <v/>
      </c>
      <c r="T18" s="326"/>
      <c r="U18" s="328"/>
      <c r="V18" s="328"/>
      <c r="W18" s="328"/>
      <c r="X18" s="328" t="str">
        <f t="shared" si="0"/>
        <v/>
      </c>
      <c r="Y18" s="328"/>
      <c r="Z18" s="328"/>
    </row>
    <row r="19" spans="1:26" x14ac:dyDescent="0.2">
      <c r="A19" s="344"/>
      <c r="B19" s="149"/>
      <c r="C19" s="150" t="s">
        <v>10</v>
      </c>
      <c r="D19" s="317">
        <f>Tolerance</f>
        <v>0</v>
      </c>
      <c r="E19" s="325"/>
      <c r="F19" s="162" t="s">
        <v>79</v>
      </c>
      <c r="G19" s="520" t="str">
        <f>IF(K15="Salt",0, IF(OR(K15="Hot",K15="SIM Load Hot"),IF(OR(D26="",D28=""),"N/A",IF(ISBLANK(D26),"N/A",D28-D26)),"N/A"))</f>
        <v>N/A</v>
      </c>
      <c r="H19" s="521"/>
      <c r="I19" s="353" t="str">
        <f>IF(G19="N/A","N/A",IF(G19=0,"&lt;2",ROUND(IF(LEN(G19)&gt;3,G19*1440,RIGHT(TEXT(G19,"hh:mm"),2)),0))&amp;" MINUTES")</f>
        <v>N/A</v>
      </c>
      <c r="J19" s="352"/>
      <c r="K19" s="325"/>
      <c r="L19" s="326"/>
      <c r="M19" s="325"/>
      <c r="N19" s="473">
        <v>15</v>
      </c>
      <c r="O19" s="154"/>
      <c r="P19" s="492" t="str">
        <f>VLOOKUP(N19,Alerts[],3,FALSE)</f>
        <v/>
      </c>
      <c r="Q19" s="493"/>
      <c r="R19" s="474" t="str" cm="1">
        <f t="array" ref="R19">IFZERO(VLOOKUP(N19,Alerts[],4,FALSE),"")</f>
        <v/>
      </c>
      <c r="S19" s="155" t="str" cm="1">
        <f t="array" ref="S19">IFZERO(VLOOKUP(N19,Alerts[],5,FALSE),"")</f>
        <v/>
      </c>
      <c r="T19" s="326"/>
      <c r="U19" s="328"/>
      <c r="V19" s="328"/>
      <c r="W19" s="328"/>
      <c r="X19" s="328" t="str">
        <f t="shared" si="0"/>
        <v/>
      </c>
      <c r="Y19" s="328"/>
      <c r="Z19" s="328"/>
    </row>
    <row r="20" spans="1:26" ht="13.7" customHeight="1" x14ac:dyDescent="0.2">
      <c r="B20" s="524" t="str">
        <f>IF(E20=TRUE,"SAT Tolerance (per AMS2750):","SAT Tolerance (per BAC5621):")</f>
        <v>SAT Tolerance (per BAC5621):</v>
      </c>
      <c r="C20" s="525"/>
      <c r="D20" s="423" t="e">
        <f>G94</f>
        <v>#N/A</v>
      </c>
      <c r="E20" s="659" t="b">
        <v>0</v>
      </c>
      <c r="F20" s="325"/>
      <c r="G20" s="325"/>
      <c r="H20" s="325"/>
      <c r="I20" s="326"/>
      <c r="J20" s="325"/>
      <c r="K20" s="325"/>
      <c r="L20" s="326"/>
      <c r="M20" s="325"/>
      <c r="N20" s="473">
        <v>16</v>
      </c>
      <c r="O20" s="154"/>
      <c r="P20" s="492" t="str">
        <f>VLOOKUP(N20,Alerts[],3,FALSE)</f>
        <v/>
      </c>
      <c r="Q20" s="493"/>
      <c r="R20" s="474" t="str" cm="1">
        <f t="array" ref="R20">IFZERO(VLOOKUP(N20,Alerts[],4,FALSE),"")</f>
        <v/>
      </c>
      <c r="S20" s="155" t="str" cm="1">
        <f t="array" ref="S20">IFZERO(VLOOKUP(N20,Alerts[],5,FALSE),"")</f>
        <v/>
      </c>
      <c r="T20" s="326"/>
      <c r="U20" s="328"/>
      <c r="V20" s="328"/>
      <c r="W20" s="328"/>
      <c r="X20" s="328" t="str">
        <f t="shared" si="0"/>
        <v/>
      </c>
      <c r="Y20" s="328"/>
      <c r="Z20" s="328"/>
    </row>
    <row r="21" spans="1:26" x14ac:dyDescent="0.2">
      <c r="A21" s="344"/>
      <c r="B21" s="340"/>
      <c r="C21" s="354"/>
      <c r="D21" s="349"/>
      <c r="E21" s="325"/>
      <c r="F21" s="325"/>
      <c r="G21" s="325"/>
      <c r="H21" s="325"/>
      <c r="I21" s="326"/>
      <c r="J21" s="325"/>
      <c r="K21" s="325"/>
      <c r="L21" s="326"/>
      <c r="M21" s="325"/>
      <c r="N21" s="473">
        <v>17</v>
      </c>
      <c r="O21" s="154"/>
      <c r="P21" s="492" t="str">
        <f>VLOOKUP(N21,Alerts[],3,FALSE)</f>
        <v/>
      </c>
      <c r="Q21" s="493"/>
      <c r="R21" s="474" t="str" cm="1">
        <f t="array" ref="R21">IFZERO(VLOOKUP(N21,Alerts[],4,FALSE),"")</f>
        <v/>
      </c>
      <c r="S21" s="155" t="str" cm="1">
        <f t="array" ref="S21">IFZERO(VLOOKUP(N21,Alerts[],5,FALSE),"")</f>
        <v/>
      </c>
      <c r="T21" s="326"/>
      <c r="U21" s="328"/>
      <c r="V21" s="328"/>
      <c r="W21" s="328"/>
      <c r="X21" s="328" t="str">
        <f t="shared" si="0"/>
        <v/>
      </c>
      <c r="Y21" s="328"/>
      <c r="Z21" s="328"/>
    </row>
    <row r="22" spans="1:26" x14ac:dyDescent="0.2">
      <c r="A22" s="344"/>
      <c r="B22" s="163"/>
      <c r="C22" s="164" t="s">
        <v>42</v>
      </c>
      <c r="D22" s="300"/>
      <c r="E22" s="325"/>
      <c r="F22" s="355"/>
      <c r="G22" s="325"/>
      <c r="H22" s="325"/>
      <c r="I22" s="326"/>
      <c r="J22" s="325"/>
      <c r="K22" s="325"/>
      <c r="L22" s="326"/>
      <c r="M22" s="325"/>
      <c r="N22" s="473">
        <v>18</v>
      </c>
      <c r="O22" s="154"/>
      <c r="P22" s="492" t="str">
        <f>VLOOKUP(N22,Alerts[],3,FALSE)</f>
        <v/>
      </c>
      <c r="Q22" s="493"/>
      <c r="R22" s="474" t="str" cm="1">
        <f t="array" ref="R22">IFZERO(VLOOKUP(N22,Alerts[],4,FALSE),"")</f>
        <v/>
      </c>
      <c r="S22" s="155" t="str" cm="1">
        <f t="array" ref="S22">IFZERO(VLOOKUP(N22,Alerts[],5,FALSE),"")</f>
        <v/>
      </c>
      <c r="T22" s="326"/>
      <c r="U22" s="328"/>
      <c r="V22" s="328"/>
      <c r="W22" s="328"/>
      <c r="X22" s="328" t="str">
        <f t="shared" si="0"/>
        <v/>
      </c>
      <c r="Y22" s="328"/>
      <c r="Z22" s="328"/>
    </row>
    <row r="23" spans="1:26" x14ac:dyDescent="0.2">
      <c r="A23" s="344"/>
      <c r="B23" s="149"/>
      <c r="C23" s="455" t="s">
        <v>942</v>
      </c>
      <c r="D23" s="301"/>
      <c r="E23" s="325"/>
      <c r="F23" s="168" t="s">
        <v>97</v>
      </c>
      <c r="G23" s="550" t="s">
        <v>380</v>
      </c>
      <c r="H23" s="551"/>
      <c r="I23" s="551"/>
      <c r="J23" s="551"/>
      <c r="K23" s="552"/>
      <c r="L23" s="326"/>
      <c r="M23" s="325"/>
      <c r="N23" s="473">
        <v>19</v>
      </c>
      <c r="O23" s="154"/>
      <c r="P23" s="492" t="str">
        <f>VLOOKUP(N23,Alerts[],3,FALSE)</f>
        <v/>
      </c>
      <c r="Q23" s="493"/>
      <c r="R23" s="474" t="str" cm="1">
        <f t="array" ref="R23">IFZERO(VLOOKUP(N23,Alerts[],4,FALSE),"")</f>
        <v/>
      </c>
      <c r="S23" s="155" t="str" cm="1">
        <f t="array" ref="S23">IFZERO(VLOOKUP(N23,Alerts[],5,FALSE),"")</f>
        <v/>
      </c>
      <c r="T23" s="326"/>
      <c r="U23" s="328"/>
      <c r="V23" s="328"/>
      <c r="W23" s="328"/>
      <c r="X23" s="328" t="str">
        <f t="shared" si="0"/>
        <v/>
      </c>
      <c r="Y23" s="328">
        <v>10</v>
      </c>
      <c r="Z23" s="328" t="s">
        <v>375</v>
      </c>
    </row>
    <row r="24" spans="1:26" x14ac:dyDescent="0.2">
      <c r="A24" s="344"/>
      <c r="B24" s="526" t="s">
        <v>564</v>
      </c>
      <c r="C24" s="527"/>
      <c r="D24" s="301">
        <v>1</v>
      </c>
      <c r="E24" s="325"/>
      <c r="F24" s="168" t="s">
        <v>98</v>
      </c>
      <c r="G24" s="553"/>
      <c r="H24" s="554"/>
      <c r="I24" s="554"/>
      <c r="J24" s="554"/>
      <c r="K24" s="555"/>
      <c r="L24" s="326"/>
      <c r="M24" s="325"/>
      <c r="N24" s="473">
        <v>20</v>
      </c>
      <c r="O24" s="154"/>
      <c r="P24" s="492" t="str">
        <f>VLOOKUP(N24,Alerts[],3,FALSE)</f>
        <v/>
      </c>
      <c r="Q24" s="493"/>
      <c r="R24" s="474" t="str" cm="1">
        <f t="array" ref="R24">IFZERO(VLOOKUP(N24,Alerts[],4,FALSE),"")</f>
        <v/>
      </c>
      <c r="S24" s="155" t="str" cm="1">
        <f t="array" ref="S24">IFZERO(VLOOKUP(N24,Alerts[],5,FALSE),"")</f>
        <v/>
      </c>
      <c r="T24" s="326"/>
      <c r="U24" s="660" t="b">
        <v>0</v>
      </c>
      <c r="V24" s="328"/>
      <c r="W24" s="328"/>
      <c r="X24" s="328" t="str">
        <f t="shared" si="0"/>
        <v/>
      </c>
      <c r="Y24" s="328">
        <v>11</v>
      </c>
      <c r="Z24" s="328" t="s">
        <v>376</v>
      </c>
    </row>
    <row r="25" spans="1:26" x14ac:dyDescent="0.2">
      <c r="A25" s="344"/>
      <c r="B25" s="340"/>
      <c r="C25" s="341"/>
      <c r="D25" s="349"/>
      <c r="E25" s="325"/>
      <c r="F25" s="168" t="s">
        <v>99</v>
      </c>
      <c r="G25" s="553"/>
      <c r="H25" s="554"/>
      <c r="I25" s="554"/>
      <c r="J25" s="554"/>
      <c r="K25" s="555"/>
      <c r="L25" s="326"/>
      <c r="M25" s="325"/>
      <c r="N25" s="473">
        <v>21</v>
      </c>
      <c r="O25" s="154"/>
      <c r="P25" s="492" t="str">
        <f>VLOOKUP(N25,Alerts[],3,FALSE)</f>
        <v/>
      </c>
      <c r="Q25" s="493"/>
      <c r="R25" s="474" t="str" cm="1">
        <f t="array" ref="R25">IFZERO(VLOOKUP(N25,Alerts[],4,FALSE),"")</f>
        <v/>
      </c>
      <c r="S25" s="155" t="str" cm="1">
        <f t="array" ref="S25">IFZERO(VLOOKUP(N25,Alerts[],5,FALSE),"")</f>
        <v/>
      </c>
      <c r="T25" s="326"/>
      <c r="U25" s="328"/>
      <c r="V25" s="328"/>
      <c r="W25" s="328"/>
      <c r="X25" s="328" t="str">
        <f t="shared" si="0"/>
        <v/>
      </c>
      <c r="Y25" s="328">
        <v>12</v>
      </c>
      <c r="Z25" s="328" t="s">
        <v>377</v>
      </c>
    </row>
    <row r="26" spans="1:26" x14ac:dyDescent="0.2">
      <c r="A26" s="344"/>
      <c r="B26" s="163"/>
      <c r="C26" s="164" t="s">
        <v>60</v>
      </c>
      <c r="D26" s="312"/>
      <c r="E26" s="327" t="str">
        <f>TEXT(D26,"hh:mm")</f>
        <v>00:00</v>
      </c>
      <c r="F26" s="326"/>
      <c r="G26" s="326"/>
      <c r="H26" s="326"/>
      <c r="I26" s="326"/>
      <c r="J26" s="326"/>
      <c r="K26" s="326"/>
      <c r="L26" s="326"/>
      <c r="M26" s="325"/>
      <c r="N26" s="473">
        <v>22</v>
      </c>
      <c r="O26" s="154"/>
      <c r="P26" s="492" t="str">
        <f>VLOOKUP(N26,Alerts[],3,FALSE)</f>
        <v/>
      </c>
      <c r="Q26" s="493"/>
      <c r="R26" s="474" t="str" cm="1">
        <f t="array" ref="R26">IFZERO(VLOOKUP(N26,Alerts[],4,FALSE),"")</f>
        <v/>
      </c>
      <c r="S26" s="155" t="str" cm="1">
        <f t="array" ref="S26">IFZERO(VLOOKUP(N26,Alerts[],5,FALSE),"")</f>
        <v/>
      </c>
      <c r="T26" s="326"/>
      <c r="U26" s="328"/>
      <c r="V26" s="328"/>
      <c r="W26" s="328"/>
      <c r="X26" s="328" t="str">
        <f t="shared" si="0"/>
        <v/>
      </c>
      <c r="Y26" s="328">
        <v>13</v>
      </c>
      <c r="Z26" s="328" t="s">
        <v>378</v>
      </c>
    </row>
    <row r="27" spans="1:26" x14ac:dyDescent="0.2">
      <c r="A27" s="344"/>
      <c r="B27" s="169">
        <v>10</v>
      </c>
      <c r="C27" s="150" t="s">
        <v>61</v>
      </c>
      <c r="D27" s="312"/>
      <c r="E27" s="327"/>
      <c r="F27" s="257" t="s">
        <v>274</v>
      </c>
      <c r="G27" s="256" t="str">
        <f>G28</f>
        <v/>
      </c>
      <c r="H27" s="548" t="str">
        <f>IF(ISBLANK(D6),"",IF(CheckRec="x","CHECK INSTRUMENT CAL DATES!!!!             CHECK INSTRUMENT CAL DATES!!!!",""))</f>
        <v/>
      </c>
      <c r="I27" s="549"/>
      <c r="J27" s="549"/>
      <c r="K27" s="549"/>
      <c r="L27" s="326"/>
      <c r="M27" s="325"/>
      <c r="N27" s="473">
        <v>23</v>
      </c>
      <c r="O27" s="154"/>
      <c r="P27" s="492" t="str">
        <f>VLOOKUP(N27,Alerts[],3,FALSE)</f>
        <v/>
      </c>
      <c r="Q27" s="493"/>
      <c r="R27" s="474" t="str" cm="1">
        <f t="array" ref="R27">IFZERO(VLOOKUP(N27,Alerts[],4,FALSE),"")</f>
        <v/>
      </c>
      <c r="S27" s="155" t="str" cm="1">
        <f t="array" ref="S27">IFZERO(VLOOKUP(N27,Alerts[],5,FALSE),"")</f>
        <v/>
      </c>
      <c r="T27" s="326"/>
      <c r="U27" s="328"/>
      <c r="V27" s="328"/>
      <c r="W27" s="328"/>
      <c r="X27" s="328" t="str">
        <f t="shared" si="0"/>
        <v/>
      </c>
      <c r="Y27" s="328">
        <v>14</v>
      </c>
      <c r="Z27" s="328" t="s">
        <v>379</v>
      </c>
    </row>
    <row r="28" spans="1:26" x14ac:dyDescent="0.2">
      <c r="A28" s="344"/>
      <c r="B28" s="170">
        <v>30</v>
      </c>
      <c r="C28" s="166" t="s">
        <v>62</v>
      </c>
      <c r="D28" s="312"/>
      <c r="E28" s="327"/>
      <c r="F28" s="257" t="s">
        <v>275</v>
      </c>
      <c r="G28" s="256" t="str">
        <f>IF(CheckRec="y","Cal by Customer",IF(D$3,D$3,""))</f>
        <v/>
      </c>
      <c r="H28" s="548"/>
      <c r="I28" s="549"/>
      <c r="J28" s="549"/>
      <c r="K28" s="549"/>
      <c r="L28" s="326"/>
      <c r="M28" s="325"/>
      <c r="N28" s="473">
        <v>24</v>
      </c>
      <c r="O28" s="154"/>
      <c r="P28" s="492" t="str">
        <f>VLOOKUP(N28,Alerts[],3,FALSE)</f>
        <v/>
      </c>
      <c r="Q28" s="493"/>
      <c r="R28" s="474" t="str" cm="1">
        <f t="array" ref="R28">IFZERO(VLOOKUP(N28,Alerts[],4,FALSE),"")</f>
        <v/>
      </c>
      <c r="S28" s="155" t="str" cm="1">
        <f t="array" ref="S28">IFZERO(VLOOKUP(N28,Alerts[],5,FALSE),"")</f>
        <v/>
      </c>
      <c r="T28" s="326"/>
      <c r="U28" s="328"/>
      <c r="V28" s="328"/>
      <c r="W28" s="328"/>
      <c r="X28" s="328" t="str">
        <f t="shared" si="0"/>
        <v/>
      </c>
      <c r="Y28" s="328"/>
      <c r="Z28" s="328"/>
    </row>
    <row r="29" spans="1:26" x14ac:dyDescent="0.2">
      <c r="A29" s="344"/>
      <c r="B29" s="169">
        <v>40</v>
      </c>
      <c r="C29" s="150" t="s">
        <v>73</v>
      </c>
      <c r="D29" s="171" t="str">
        <f>(IF(OR(D27="",D28=""),"",IF(ISBLANK(D27),"",D28-D27)))</f>
        <v/>
      </c>
      <c r="E29" s="356" t="str">
        <f>IFERROR(IF(D29=0,"&lt;2",ROUND(IF(LEN(D29)&gt;3,D29*1440,TEXT(D29,"hh:mm")),0)) &amp;" MINUTES","")</f>
        <v/>
      </c>
      <c r="F29" s="329" t="s">
        <v>276</v>
      </c>
      <c r="G29" s="326"/>
      <c r="H29" s="326"/>
      <c r="I29" s="326"/>
      <c r="J29" s="326"/>
      <c r="K29" s="326"/>
      <c r="L29" s="326"/>
      <c r="M29" s="325"/>
      <c r="N29" s="473">
        <v>25</v>
      </c>
      <c r="O29" s="154"/>
      <c r="P29" s="492" t="str">
        <f>VLOOKUP(N29,Alerts[],3,FALSE)</f>
        <v/>
      </c>
      <c r="Q29" s="493"/>
      <c r="R29" s="474" t="str" cm="1">
        <f t="array" ref="R29">IFZERO(VLOOKUP(N29,Alerts[],4,FALSE),"")</f>
        <v/>
      </c>
      <c r="S29" s="155" t="str" cm="1">
        <f t="array" ref="S29">IFZERO(VLOOKUP(N29,Alerts[],5,FALSE),"")</f>
        <v/>
      </c>
      <c r="T29" s="326"/>
      <c r="U29" s="328"/>
      <c r="V29" s="328"/>
      <c r="W29" s="328"/>
      <c r="X29" s="328" t="str">
        <f t="shared" si="0"/>
        <v/>
      </c>
      <c r="Y29" s="328">
        <v>10</v>
      </c>
      <c r="Z29" s="328" t="s">
        <v>381</v>
      </c>
    </row>
    <row r="30" spans="1:26" x14ac:dyDescent="0.2">
      <c r="A30" s="344"/>
      <c r="B30" s="264">
        <v>45</v>
      </c>
      <c r="C30" s="166" t="s">
        <v>63</v>
      </c>
      <c r="D30" s="419"/>
      <c r="E30" s="357" t="str">
        <f>IF(ISBLANK(D30), "", TEXT(D30, "H:mm"))</f>
        <v/>
      </c>
      <c r="F30" s="325"/>
      <c r="G30" s="328">
        <f>IF(D29="",0,D29)</f>
        <v>0</v>
      </c>
      <c r="H30" s="358">
        <f>D28-D26</f>
        <v>0</v>
      </c>
      <c r="I30" s="326"/>
      <c r="J30" s="326"/>
      <c r="K30" s="326"/>
      <c r="L30" s="359"/>
      <c r="M30" s="325"/>
      <c r="N30" s="473">
        <v>26</v>
      </c>
      <c r="O30" s="154"/>
      <c r="P30" s="492" t="str">
        <f>VLOOKUP(N30,Alerts[],3,FALSE)</f>
        <v/>
      </c>
      <c r="Q30" s="493"/>
      <c r="R30" s="474" t="str" cm="1">
        <f t="array" ref="R30">IFZERO(VLOOKUP(N30,Alerts[],4,FALSE),"")</f>
        <v/>
      </c>
      <c r="S30" s="155" t="str" cm="1">
        <f t="array" ref="S30">IFZERO(VLOOKUP(N30,Alerts[],5,FALSE),"")</f>
        <v/>
      </c>
      <c r="T30" s="326"/>
      <c r="U30" s="660" t="b">
        <v>0</v>
      </c>
      <c r="V30" s="328"/>
      <c r="W30" s="328"/>
      <c r="X30" s="328" t="str">
        <f t="shared" si="0"/>
        <v/>
      </c>
      <c r="Y30" s="328">
        <v>11</v>
      </c>
      <c r="Z30" s="328" t="s">
        <v>382</v>
      </c>
    </row>
    <row r="31" spans="1:26" x14ac:dyDescent="0.2">
      <c r="A31" s="344"/>
      <c r="B31" s="149"/>
      <c r="C31" s="150" t="s">
        <v>52</v>
      </c>
      <c r="D31" s="294">
        <f>D30+TIME(0,D32,0)</f>
        <v>0</v>
      </c>
      <c r="E31" s="325"/>
      <c r="F31" s="360" t="str">
        <f>IF(AND(LagLimit&gt;0,G30&gt;LagLimit),"LAG TIME TOO HIGH!!!","")</f>
        <v/>
      </c>
      <c r="G31" s="326"/>
      <c r="H31" s="361" t="str">
        <f>IF(AND(RecoveryLimit&gt;0,H30&gt;RecoveryLimit),"RECOVERY TIME TOO HIGH!!!!","")</f>
        <v/>
      </c>
      <c r="I31" s="326"/>
      <c r="J31" s="326"/>
      <c r="K31" s="326"/>
      <c r="L31" s="362"/>
      <c r="M31" s="362"/>
      <c r="N31" s="473">
        <v>27</v>
      </c>
      <c r="O31" s="154"/>
      <c r="P31" s="492" t="str">
        <f>VLOOKUP(N31,Alerts[],3,FALSE)</f>
        <v/>
      </c>
      <c r="Q31" s="493"/>
      <c r="R31" s="474" t="str" cm="1">
        <f t="array" ref="R31">IFZERO(VLOOKUP(N31,Alerts[],4,FALSE),"")</f>
        <v/>
      </c>
      <c r="S31" s="155" t="str" cm="1">
        <f t="array" ref="S31">IFZERO(VLOOKUP(N31,Alerts[],5,FALSE),"")</f>
        <v/>
      </c>
      <c r="T31" s="326"/>
      <c r="U31" s="328"/>
      <c r="V31" s="328"/>
      <c r="W31" s="328"/>
      <c r="X31" s="328" t="str">
        <f t="shared" si="0"/>
        <v/>
      </c>
      <c r="Y31" s="328">
        <v>12</v>
      </c>
      <c r="Z31" s="328" t="s">
        <v>383</v>
      </c>
    </row>
    <row r="32" spans="1:26" x14ac:dyDescent="0.2">
      <c r="A32" s="354"/>
      <c r="B32" s="172"/>
      <c r="C32" s="173" t="s">
        <v>81</v>
      </c>
      <c r="D32" s="302"/>
      <c r="E32" s="325"/>
      <c r="F32" s="326" t="str">
        <f>IF(COUNTIF(Comparison_Report!R1:R8, 1) &gt; 0, "CHECK COMPARISON REPORT!!!", "")</f>
        <v/>
      </c>
      <c r="G32" s="326"/>
      <c r="H32" s="326"/>
      <c r="I32" s="326"/>
      <c r="J32" s="326"/>
      <c r="K32" s="326"/>
      <c r="L32" s="326"/>
      <c r="M32" s="325"/>
      <c r="N32" s="473">
        <v>28</v>
      </c>
      <c r="O32" s="154"/>
      <c r="P32" s="492" t="str">
        <f>VLOOKUP(N32,Alerts[],3,FALSE)</f>
        <v/>
      </c>
      <c r="Q32" s="493"/>
      <c r="R32" s="474" t="str" cm="1">
        <f t="array" ref="R32">IFZERO(VLOOKUP(N32,Alerts[],4,FALSE),"")</f>
        <v/>
      </c>
      <c r="S32" s="155" t="str" cm="1">
        <f t="array" ref="S32">IFZERO(VLOOKUP(N32,Alerts[],5,FALSE),"")</f>
        <v/>
      </c>
      <c r="T32" s="326"/>
      <c r="U32" s="328"/>
      <c r="V32" s="328"/>
      <c r="W32" s="328"/>
      <c r="X32" s="328" t="str">
        <f t="shared" si="0"/>
        <v/>
      </c>
      <c r="Y32" s="328"/>
      <c r="Z32" s="328"/>
    </row>
    <row r="33" spans="1:26" x14ac:dyDescent="0.2">
      <c r="A33" s="344"/>
      <c r="B33" s="340"/>
      <c r="C33" s="363"/>
      <c r="D33" s="364"/>
      <c r="E33" s="364"/>
      <c r="F33" s="326"/>
      <c r="G33" s="326"/>
      <c r="H33" s="326"/>
      <c r="I33" s="326"/>
      <c r="J33" s="326"/>
      <c r="K33" s="326"/>
      <c r="L33" s="326"/>
      <c r="M33" s="325"/>
      <c r="N33" s="473">
        <v>29</v>
      </c>
      <c r="O33" s="154"/>
      <c r="P33" s="492" t="str">
        <f>VLOOKUP(N33,Alerts[],3,FALSE)</f>
        <v/>
      </c>
      <c r="Q33" s="493"/>
      <c r="R33" s="474" t="str" cm="1">
        <f t="array" ref="R33">IFZERO(VLOOKUP(N33,Alerts[],4,FALSE),"")</f>
        <v/>
      </c>
      <c r="S33" s="155" t="str" cm="1">
        <f t="array" ref="S33">IFZERO(VLOOKUP(N33,Alerts[],5,FALSE),"")</f>
        <v/>
      </c>
      <c r="T33" s="326"/>
      <c r="U33" s="328"/>
      <c r="V33" s="328"/>
      <c r="W33" s="328"/>
      <c r="X33" s="328" t="str">
        <f t="shared" si="0"/>
        <v/>
      </c>
      <c r="Y33" s="328"/>
      <c r="Z33" s="328"/>
    </row>
    <row r="34" spans="1:26" ht="12.75" customHeight="1" x14ac:dyDescent="0.2">
      <c r="A34" s="344"/>
      <c r="B34" s="513" t="s">
        <v>49</v>
      </c>
      <c r="C34" s="514"/>
      <c r="D34" s="514"/>
      <c r="E34" s="514"/>
      <c r="F34" s="514"/>
      <c r="G34" s="514"/>
      <c r="H34" s="514"/>
      <c r="I34" s="514"/>
      <c r="J34" s="514"/>
      <c r="K34" s="514"/>
      <c r="L34" s="515"/>
      <c r="M34" s="325"/>
      <c r="N34" s="473">
        <v>30</v>
      </c>
      <c r="O34" s="154"/>
      <c r="P34" s="492" t="str">
        <f>VLOOKUP(N34,Alerts[],3,FALSE)</f>
        <v/>
      </c>
      <c r="Q34" s="493"/>
      <c r="R34" s="474" t="str" cm="1">
        <f t="array" ref="R34">IFZERO(VLOOKUP(N34,Alerts[],4,FALSE),"")</f>
        <v/>
      </c>
      <c r="S34" s="155" t="str" cm="1">
        <f t="array" ref="S34">IFZERO(VLOOKUP(N34,Alerts[],5,FALSE),"")</f>
        <v/>
      </c>
      <c r="T34" s="327"/>
      <c r="U34" s="328"/>
      <c r="V34" s="328"/>
      <c r="W34" s="328"/>
      <c r="X34" s="328" t="str">
        <f t="shared" si="0"/>
        <v/>
      </c>
      <c r="Y34" s="328"/>
      <c r="Z34" s="328"/>
    </row>
    <row r="35" spans="1:26" ht="12.75" customHeight="1" x14ac:dyDescent="0.2">
      <c r="A35" s="344"/>
      <c r="B35" s="174"/>
      <c r="C35" s="175"/>
      <c r="D35" s="176" t="str">
        <f>IF($D$30,D30,"")</f>
        <v/>
      </c>
      <c r="E35" s="177" t="str">
        <f>IF($D$30,D35+TIME(0,$D$18,0),"")</f>
        <v/>
      </c>
      <c r="F35" s="177" t="str">
        <f t="shared" ref="F35:G35" si="1">IF($D$30,E35+TIME(0,$D$18,0),"")</f>
        <v/>
      </c>
      <c r="G35" s="177" t="str">
        <f t="shared" si="1"/>
        <v/>
      </c>
      <c r="H35" s="177" t="str">
        <f>IF($D$30,IF($D$18=4,G35+TIME(0,4,0),""),"")</f>
        <v/>
      </c>
      <c r="I35" s="177" t="str">
        <f>IF($D$30,IF($D$18=4,H35+TIME(0,4,0),""),"")</f>
        <v/>
      </c>
      <c r="J35" s="177" t="str">
        <f>IF($D$30,IF($D$18=4,I35+TIME(0,4,0),""),"")</f>
        <v/>
      </c>
      <c r="K35" s="177" t="str">
        <f>IF($D$30,IF($D$18=4,J35+TIME(0,4,0),""),"")</f>
        <v/>
      </c>
      <c r="L35" s="177" t="str">
        <f>IF($D$30,IF($D$18=4,K35+TIME(0,2,0),""),"")</f>
        <v/>
      </c>
      <c r="M35" s="325"/>
      <c r="N35" s="473">
        <v>31</v>
      </c>
      <c r="O35" s="154"/>
      <c r="P35" s="492" t="str">
        <f>VLOOKUP(N35,Alerts[],3,FALSE)</f>
        <v/>
      </c>
      <c r="Q35" s="493"/>
      <c r="R35" s="474" t="str" cm="1">
        <f t="array" ref="R35">IFZERO(VLOOKUP(N35,Alerts[],4,FALSE),"")</f>
        <v/>
      </c>
      <c r="S35" s="155" t="str" cm="1">
        <f t="array" ref="S35">IFZERO(VLOOKUP(N35,Alerts[],5,FALSE),"")</f>
        <v/>
      </c>
      <c r="T35" s="327"/>
      <c r="U35" s="328"/>
      <c r="V35" s="328"/>
      <c r="W35" s="328"/>
      <c r="X35" s="328" t="str">
        <f t="shared" si="0"/>
        <v/>
      </c>
      <c r="Y35" s="328"/>
      <c r="Z35" s="328"/>
    </row>
    <row r="36" spans="1:26" ht="13.5" thickBot="1" x14ac:dyDescent="0.25">
      <c r="A36" s="365"/>
      <c r="B36" s="178" t="s">
        <v>12</v>
      </c>
      <c r="C36" s="179" t="s">
        <v>48</v>
      </c>
      <c r="D36" s="180" t="s">
        <v>43</v>
      </c>
      <c r="E36" s="180" t="s">
        <v>44</v>
      </c>
      <c r="F36" s="180" t="s">
        <v>45</v>
      </c>
      <c r="G36" s="180" t="s">
        <v>46</v>
      </c>
      <c r="H36" s="180" t="str">
        <f>IF(D18=4,"Reading 5","")</f>
        <v/>
      </c>
      <c r="I36" s="180" t="str">
        <f>IF(D18=4,"Reading 6","")</f>
        <v/>
      </c>
      <c r="J36" s="180" t="str">
        <f>IF(D18=4,"Reading 7","")</f>
        <v/>
      </c>
      <c r="K36" s="180" t="str">
        <f>IF(D18=4,"Reading 8","")</f>
        <v/>
      </c>
      <c r="L36" s="180" t="str">
        <f>IF(D18=4,"Reading 9","")</f>
        <v/>
      </c>
      <c r="M36" s="325"/>
      <c r="N36" s="473">
        <v>32</v>
      </c>
      <c r="O36" s="154"/>
      <c r="P36" s="492" t="str">
        <f>VLOOKUP(N36,Alerts[],3,FALSE)</f>
        <v/>
      </c>
      <c r="Q36" s="493"/>
      <c r="R36" s="474" t="str" cm="1">
        <f t="array" ref="R36">IFZERO(VLOOKUP(N36,Alerts[],4,FALSE),"")</f>
        <v/>
      </c>
      <c r="S36" s="155" t="str" cm="1">
        <f t="array" ref="S36">IFZERO(VLOOKUP(N36,Alerts[],5,FALSE),"")</f>
        <v/>
      </c>
      <c r="T36" s="327"/>
      <c r="U36" s="328"/>
      <c r="V36" s="328"/>
      <c r="W36" s="328"/>
      <c r="X36" s="328" t="str">
        <f t="shared" si="0"/>
        <v/>
      </c>
      <c r="Y36" s="328"/>
      <c r="Z36" s="328"/>
    </row>
    <row r="37" spans="1:26" x14ac:dyDescent="0.2">
      <c r="A37" s="344"/>
      <c r="B37" s="207"/>
      <c r="C37" s="198"/>
      <c r="D37" s="208"/>
      <c r="E37" s="208"/>
      <c r="F37" s="208"/>
      <c r="G37" s="208"/>
      <c r="H37" s="208"/>
      <c r="I37" s="181"/>
      <c r="J37" s="181"/>
      <c r="K37" s="181"/>
      <c r="L37" s="181"/>
      <c r="M37" s="325"/>
      <c r="N37" s="473">
        <v>33</v>
      </c>
      <c r="O37" s="154"/>
      <c r="P37" s="492" t="str">
        <f>VLOOKUP(N37,Alerts[],3,FALSE)</f>
        <v/>
      </c>
      <c r="Q37" s="493"/>
      <c r="R37" s="474" t="str" cm="1">
        <f t="array" ref="R37">IFZERO(VLOOKUP(N37,Alerts[],4,FALSE),"")</f>
        <v/>
      </c>
      <c r="S37" s="155" t="str" cm="1">
        <f t="array" ref="S37">IFZERO(VLOOKUP(N37,Alerts[],5,FALSE),"")</f>
        <v/>
      </c>
      <c r="T37" s="327"/>
      <c r="U37" s="328"/>
      <c r="V37" s="328"/>
      <c r="W37" s="328"/>
      <c r="X37" s="328" t="str">
        <f t="shared" si="0"/>
        <v/>
      </c>
      <c r="Y37" s="328"/>
      <c r="Z37" s="328"/>
    </row>
    <row r="38" spans="1:26" x14ac:dyDescent="0.2">
      <c r="A38" s="344"/>
      <c r="B38" s="209"/>
      <c r="C38" s="199"/>
      <c r="D38" s="208"/>
      <c r="E38" s="208"/>
      <c r="F38" s="208"/>
      <c r="G38" s="208"/>
      <c r="H38" s="208"/>
      <c r="I38" s="181"/>
      <c r="J38" s="181"/>
      <c r="K38" s="181"/>
      <c r="L38" s="181"/>
      <c r="M38" s="325"/>
      <c r="N38" s="473">
        <v>34</v>
      </c>
      <c r="O38" s="154"/>
      <c r="P38" s="492" t="str">
        <f>VLOOKUP(N38,Alerts[],3,FALSE)</f>
        <v/>
      </c>
      <c r="Q38" s="493"/>
      <c r="R38" s="474" t="str" cm="1">
        <f t="array" ref="R38">IFZERO(VLOOKUP(N38,Alerts[],4,FALSE),"")</f>
        <v/>
      </c>
      <c r="S38" s="155" t="str" cm="1">
        <f t="array" ref="S38">IFZERO(VLOOKUP(N38,Alerts[],5,FALSE),"")</f>
        <v/>
      </c>
      <c r="T38" s="327"/>
      <c r="U38" s="328"/>
      <c r="V38" s="328"/>
      <c r="W38" s="328"/>
      <c r="X38" s="328" t="str">
        <f t="shared" si="0"/>
        <v/>
      </c>
      <c r="Y38" s="328"/>
      <c r="Z38" s="328"/>
    </row>
    <row r="39" spans="1:26" x14ac:dyDescent="0.2">
      <c r="A39" s="344"/>
      <c r="B39" s="209"/>
      <c r="C39" s="199"/>
      <c r="D39" s="208"/>
      <c r="E39" s="208"/>
      <c r="F39" s="208"/>
      <c r="G39" s="208"/>
      <c r="H39" s="181"/>
      <c r="I39" s="181"/>
      <c r="J39" s="181"/>
      <c r="K39" s="181"/>
      <c r="L39" s="181"/>
      <c r="M39" s="325"/>
      <c r="N39" s="473">
        <v>35</v>
      </c>
      <c r="O39" s="154"/>
      <c r="P39" s="492" t="str">
        <f>VLOOKUP(N39,Alerts[],3,FALSE)</f>
        <v/>
      </c>
      <c r="Q39" s="493"/>
      <c r="R39" s="474" t="str" cm="1">
        <f t="array" ref="R39">IFZERO(VLOOKUP(N39,Alerts[],4,FALSE),"")</f>
        <v/>
      </c>
      <c r="S39" s="155" t="str" cm="1">
        <f t="array" ref="S39">IFZERO(VLOOKUP(N39,Alerts[],5,FALSE),"")</f>
        <v/>
      </c>
      <c r="T39" s="327"/>
      <c r="U39" s="328"/>
      <c r="V39" s="328"/>
      <c r="W39" s="328"/>
      <c r="X39" s="328" t="str">
        <f t="shared" si="0"/>
        <v/>
      </c>
      <c r="Y39" s="328"/>
      <c r="Z39" s="328"/>
    </row>
    <row r="40" spans="1:26" x14ac:dyDescent="0.2">
      <c r="A40" s="344"/>
      <c r="B40" s="209"/>
      <c r="C40" s="199"/>
      <c r="D40" s="208"/>
      <c r="E40" s="208"/>
      <c r="F40" s="208"/>
      <c r="G40" s="208"/>
      <c r="H40" s="181"/>
      <c r="I40" s="181"/>
      <c r="J40" s="181"/>
      <c r="K40" s="181"/>
      <c r="L40" s="181"/>
      <c r="M40" s="325"/>
      <c r="N40" s="473">
        <v>36</v>
      </c>
      <c r="O40" s="154"/>
      <c r="P40" s="492" t="str">
        <f>VLOOKUP(N40,Alerts[],3,FALSE)</f>
        <v/>
      </c>
      <c r="Q40" s="493"/>
      <c r="R40" s="474" t="str" cm="1">
        <f t="array" ref="R40">IFZERO(VLOOKUP(N40,Alerts[],4,FALSE),"")</f>
        <v/>
      </c>
      <c r="S40" s="155" t="str" cm="1">
        <f t="array" ref="S40">IFZERO(VLOOKUP(N40,Alerts[],5,FALSE),"")</f>
        <v/>
      </c>
      <c r="T40" s="327"/>
      <c r="U40" s="328"/>
      <c r="V40" s="328"/>
      <c r="W40" s="328"/>
      <c r="X40" s="328" t="str">
        <f t="shared" si="0"/>
        <v/>
      </c>
      <c r="Y40" s="328"/>
      <c r="Z40" s="328"/>
    </row>
    <row r="41" spans="1:26" x14ac:dyDescent="0.2">
      <c r="A41" s="344"/>
      <c r="B41" s="182"/>
      <c r="C41" s="183"/>
      <c r="D41" s="184"/>
      <c r="E41" s="184"/>
      <c r="F41" s="184"/>
      <c r="G41" s="184"/>
      <c r="H41" s="184"/>
      <c r="I41" s="184"/>
      <c r="J41" s="184"/>
      <c r="K41" s="184"/>
      <c r="L41" s="184"/>
      <c r="M41" s="325"/>
      <c r="N41" s="473">
        <v>37</v>
      </c>
      <c r="O41" s="154"/>
      <c r="P41" s="492" t="str">
        <f>VLOOKUP(N41,Alerts[],3,FALSE)</f>
        <v/>
      </c>
      <c r="Q41" s="493"/>
      <c r="R41" s="474" t="str" cm="1">
        <f t="array" ref="R41">IFZERO(VLOOKUP(N41,Alerts[],4,FALSE),"")</f>
        <v/>
      </c>
      <c r="S41" s="155" t="str" cm="1">
        <f t="array" ref="S41">IFZERO(VLOOKUP(N41,Alerts[],5,FALSE),"")</f>
        <v/>
      </c>
      <c r="T41" s="327"/>
      <c r="U41" s="328"/>
      <c r="V41" s="328"/>
      <c r="W41" s="328"/>
      <c r="X41" s="328" t="str">
        <f t="shared" si="0"/>
        <v/>
      </c>
      <c r="Y41" s="328"/>
      <c r="Z41" s="328"/>
    </row>
    <row r="42" spans="1:26" x14ac:dyDescent="0.2">
      <c r="A42" s="344"/>
      <c r="B42" s="182"/>
      <c r="C42" s="183"/>
      <c r="D42" s="184"/>
      <c r="E42" s="184"/>
      <c r="F42" s="184"/>
      <c r="G42" s="184"/>
      <c r="H42" s="184"/>
      <c r="I42" s="184"/>
      <c r="J42" s="184"/>
      <c r="K42" s="184"/>
      <c r="L42" s="184"/>
      <c r="M42" s="325"/>
      <c r="N42" s="473">
        <v>38</v>
      </c>
      <c r="O42" s="154"/>
      <c r="P42" s="492" t="str">
        <f>VLOOKUP(N42,Alerts[],3,FALSE)</f>
        <v/>
      </c>
      <c r="Q42" s="493"/>
      <c r="R42" s="474" t="str" cm="1">
        <f t="array" ref="R42">IFZERO(VLOOKUP(N42,Alerts[],4,FALSE),"")</f>
        <v/>
      </c>
      <c r="S42" s="155" t="str" cm="1">
        <f t="array" ref="S42">IFZERO(VLOOKUP(N42,Alerts[],5,FALSE),"")</f>
        <v/>
      </c>
      <c r="T42" s="327"/>
      <c r="U42" s="328"/>
      <c r="V42" s="328"/>
      <c r="W42" s="328"/>
      <c r="X42" s="328" t="str">
        <f t="shared" si="0"/>
        <v/>
      </c>
      <c r="Y42" s="328"/>
      <c r="Z42" s="328"/>
    </row>
    <row r="43" spans="1:26" x14ac:dyDescent="0.2">
      <c r="A43" s="344"/>
      <c r="B43" s="182"/>
      <c r="C43" s="183"/>
      <c r="D43" s="184"/>
      <c r="E43" s="184"/>
      <c r="F43" s="184"/>
      <c r="G43" s="184"/>
      <c r="H43" s="184"/>
      <c r="I43" s="184"/>
      <c r="J43" s="184"/>
      <c r="K43" s="184"/>
      <c r="L43" s="184"/>
      <c r="M43" s="325"/>
      <c r="N43" s="473">
        <v>39</v>
      </c>
      <c r="O43" s="154"/>
      <c r="P43" s="492" t="str">
        <f>VLOOKUP(N43,Alerts[],3,FALSE)</f>
        <v/>
      </c>
      <c r="Q43" s="493"/>
      <c r="R43" s="474" t="str" cm="1">
        <f t="array" ref="R43">IFZERO(VLOOKUP(N43,Alerts[],4,FALSE),"")</f>
        <v/>
      </c>
      <c r="S43" s="155" t="str" cm="1">
        <f t="array" ref="S43">IFZERO(VLOOKUP(N43,Alerts[],5,FALSE),"")</f>
        <v/>
      </c>
      <c r="T43" s="327"/>
      <c r="U43" s="328"/>
      <c r="V43" s="328"/>
      <c r="W43" s="328"/>
      <c r="X43" s="328" t="str">
        <f t="shared" si="0"/>
        <v/>
      </c>
      <c r="Y43" s="328"/>
      <c r="Z43" s="328"/>
    </row>
    <row r="44" spans="1:26" x14ac:dyDescent="0.2">
      <c r="A44" s="344"/>
      <c r="B44" s="182"/>
      <c r="C44" s="183"/>
      <c r="D44" s="184"/>
      <c r="E44" s="184"/>
      <c r="F44" s="184"/>
      <c r="G44" s="184"/>
      <c r="H44" s="184"/>
      <c r="I44" s="184"/>
      <c r="J44" s="184"/>
      <c r="K44" s="184"/>
      <c r="L44" s="184"/>
      <c r="M44" s="325"/>
      <c r="N44" s="473">
        <v>40</v>
      </c>
      <c r="O44" s="154"/>
      <c r="P44" s="492" t="str">
        <f>VLOOKUP(N44,Alerts[],3,FALSE)</f>
        <v/>
      </c>
      <c r="Q44" s="493"/>
      <c r="R44" s="474" t="str" cm="1">
        <f t="array" ref="R44">IFZERO(VLOOKUP(N44,Alerts[],4,FALSE),"")</f>
        <v/>
      </c>
      <c r="S44" s="155" t="str" cm="1">
        <f t="array" ref="S44">IFZERO(VLOOKUP(N44,Alerts[],5,FALSE),"")</f>
        <v/>
      </c>
      <c r="T44" s="327"/>
      <c r="U44" s="328"/>
      <c r="V44" s="328"/>
      <c r="W44" s="328"/>
      <c r="X44" s="328" t="str">
        <f t="shared" si="0"/>
        <v/>
      </c>
      <c r="Y44" s="328"/>
      <c r="Z44" s="328"/>
    </row>
    <row r="45" spans="1:26" x14ac:dyDescent="0.2">
      <c r="A45" s="344"/>
      <c r="B45" s="366"/>
      <c r="C45" s="367"/>
      <c r="D45" s="325"/>
      <c r="E45" s="325"/>
      <c r="F45" s="325"/>
      <c r="G45" s="325"/>
      <c r="H45" s="325"/>
      <c r="I45" s="325"/>
      <c r="J45" s="325"/>
      <c r="K45" s="368"/>
      <c r="L45" s="325"/>
      <c r="M45" s="325"/>
      <c r="N45" s="327"/>
      <c r="O45" s="327"/>
      <c r="P45" s="327"/>
      <c r="Q45" s="327"/>
      <c r="R45" s="327"/>
      <c r="S45" s="327"/>
      <c r="T45" s="327"/>
      <c r="U45" s="328"/>
      <c r="V45" s="328"/>
      <c r="W45" s="328"/>
      <c r="X45" s="328" t="str">
        <f>IF(O45,1,"")</f>
        <v/>
      </c>
      <c r="Y45" s="328"/>
      <c r="Z45" s="328"/>
    </row>
    <row r="46" spans="1:26" x14ac:dyDescent="0.2">
      <c r="A46" s="348"/>
      <c r="B46" s="369"/>
      <c r="C46" s="370"/>
      <c r="D46" s="539" t="s">
        <v>33</v>
      </c>
      <c r="E46" s="540"/>
      <c r="F46" s="540"/>
      <c r="G46" s="540"/>
      <c r="H46" s="540"/>
      <c r="I46" s="541"/>
      <c r="J46" s="371"/>
      <c r="K46" s="371"/>
      <c r="L46" s="371"/>
      <c r="M46" s="556" t="s">
        <v>332</v>
      </c>
      <c r="N46" s="557"/>
      <c r="O46" s="558"/>
      <c r="P46" s="559"/>
      <c r="Q46" s="329"/>
      <c r="R46" s="329"/>
      <c r="S46" s="329"/>
      <c r="T46" s="329"/>
      <c r="U46" s="329"/>
    </row>
    <row r="47" spans="1:26" x14ac:dyDescent="0.2">
      <c r="A47" s="348"/>
      <c r="B47" s="369"/>
      <c r="C47" s="440" t="s">
        <v>59</v>
      </c>
      <c r="D47" s="308" t="str">
        <f>IF(D48="","",""""&amp;_xlfn.XLOOKUP(D$48,WireSets[serial_number],WireSets[type],"",0)&amp;"""")</f>
        <v/>
      </c>
      <c r="E47" s="308" t="str">
        <f>IF(E48="","",""""&amp;_xlfn.XLOOKUP(E$48,WireSets[serial_number],WireSets[type],"",0)&amp;"""")</f>
        <v/>
      </c>
      <c r="F47" s="308" t="str">
        <f>IF(F48="","",""""&amp;_xlfn.XLOOKUP(F$48,WireSets[serial_number],WireSets[type],"",0)&amp;"""")</f>
        <v/>
      </c>
      <c r="G47" s="308" t="str">
        <f>IF(G48="","",""""&amp;_xlfn.XLOOKUP(G$48,WireSets[serial_number],WireSets[type],"",0)&amp;"""")</f>
        <v/>
      </c>
      <c r="H47" s="308" t="str">
        <f>IF(H48="","",""""&amp;_xlfn.XLOOKUP(H$48,WireSets[serial_number],WireSets[type],"",0)&amp;"""")</f>
        <v/>
      </c>
      <c r="I47" s="308" t="str">
        <f>IF(I48="","",""""&amp;_xlfn.XLOOKUP(I$48,WireSets[serial_number],WireSets[type],"",0)&amp;"""")</f>
        <v/>
      </c>
      <c r="J47" s="371"/>
      <c r="K47" s="371"/>
      <c r="L47" s="325"/>
      <c r="M47" s="257" t="s">
        <v>333</v>
      </c>
      <c r="N47" s="323" t="s">
        <v>334</v>
      </c>
      <c r="O47" s="372"/>
      <c r="P47" s="546" t="s">
        <v>335</v>
      </c>
      <c r="Q47" s="546"/>
      <c r="R47" s="443" t="s">
        <v>336</v>
      </c>
      <c r="S47" s="329"/>
      <c r="T47" s="329"/>
      <c r="U47" s="329"/>
    </row>
    <row r="48" spans="1:26" x14ac:dyDescent="0.2">
      <c r="A48" s="344"/>
      <c r="B48" s="369"/>
      <c r="C48" s="441" t="s">
        <v>34</v>
      </c>
      <c r="D48" s="309"/>
      <c r="E48" s="309"/>
      <c r="F48" s="309"/>
      <c r="G48" s="309"/>
      <c r="H48" s="309"/>
      <c r="I48" s="309"/>
      <c r="J48" s="371"/>
      <c r="K48" s="371"/>
      <c r="L48" s="371"/>
      <c r="M48" s="547" t="s">
        <v>337</v>
      </c>
      <c r="N48" s="547"/>
      <c r="O48" s="373"/>
      <c r="P48" s="505" t="s">
        <v>392</v>
      </c>
      <c r="Q48" s="506"/>
      <c r="R48" s="507"/>
      <c r="S48" s="374"/>
      <c r="T48" s="330"/>
      <c r="U48" s="505" t="s">
        <v>395</v>
      </c>
      <c r="V48" s="506"/>
      <c r="W48" s="507"/>
    </row>
    <row r="49" spans="1:24" x14ac:dyDescent="0.2">
      <c r="A49" s="344"/>
      <c r="B49" s="375"/>
      <c r="C49" s="440" t="s">
        <v>35</v>
      </c>
      <c r="D49" s="307" t="str">
        <f>_xlfn.XLOOKUP(D$48,WireSets[serial_number],WireSets[service_date],"",0)</f>
        <v/>
      </c>
      <c r="E49" s="307" t="str">
        <f>_xlfn.XLOOKUP(E$48,WireSets[serial_number],WireSets[service_date],"",0)</f>
        <v/>
      </c>
      <c r="F49" s="307" t="str">
        <f>_xlfn.XLOOKUP(F$48,WireSets[serial_number],WireSets[service_date],"",0)</f>
        <v/>
      </c>
      <c r="G49" s="307" t="str">
        <f>_xlfn.XLOOKUP(G$48,WireSets[serial_number],WireSets[service_date],"",0)</f>
        <v/>
      </c>
      <c r="H49" s="307" t="str">
        <f>_xlfn.XLOOKUP(H$48,WireSets[serial_number],WireSets[service_date],"",0)</f>
        <v/>
      </c>
      <c r="I49" s="307" t="str">
        <f>_xlfn.XLOOKUP(I$48,WireSets[serial_number],WireSets[service_date],"",0)</f>
        <v/>
      </c>
      <c r="J49" s="371"/>
      <c r="K49" s="371" t="s">
        <v>886</v>
      </c>
      <c r="L49" s="371"/>
      <c r="M49" s="257" t="s">
        <v>338</v>
      </c>
      <c r="N49" s="322" t="str">
        <f>IF(PB="","",PB)</f>
        <v/>
      </c>
      <c r="O49" s="339"/>
      <c r="P49" s="508" t="s">
        <v>397</v>
      </c>
      <c r="Q49" s="509"/>
      <c r="R49" s="510"/>
      <c r="S49" s="444"/>
      <c r="T49" s="331"/>
      <c r="U49" s="508" t="s">
        <v>396</v>
      </c>
      <c r="V49" s="509"/>
      <c r="W49" s="510"/>
      <c r="X49" s="311"/>
    </row>
    <row r="50" spans="1:24" x14ac:dyDescent="0.2">
      <c r="A50" s="344"/>
      <c r="B50" s="376"/>
      <c r="C50" s="440" t="s">
        <v>36</v>
      </c>
      <c r="D50" s="307" t="str">
        <f>_xlfn.XLOOKUP(D$48,WireSets[serial_number],WireSets[next_service_date],"",0)</f>
        <v/>
      </c>
      <c r="E50" s="307" t="str">
        <f>_xlfn.XLOOKUP(E$48,WireSets[serial_number],WireSets[next_service_date],"",0)</f>
        <v/>
      </c>
      <c r="F50" s="307" t="str">
        <f>_xlfn.XLOOKUP(F$48,WireSets[serial_number],WireSets[next_service_date],"",0)</f>
        <v/>
      </c>
      <c r="G50" s="307" t="str">
        <f>_xlfn.XLOOKUP(G$48,WireSets[serial_number],WireSets[next_service_date],"",0)</f>
        <v/>
      </c>
      <c r="H50" s="307" t="str">
        <f>_xlfn.XLOOKUP(H$48,WireSets[serial_number],WireSets[next_service_date],"",0)</f>
        <v/>
      </c>
      <c r="I50" s="307" t="str">
        <f>_xlfn.XLOOKUP(I$48,WireSets[serial_number],WireSets[next_service_date],"",0)</f>
        <v/>
      </c>
      <c r="J50" s="371"/>
      <c r="K50" s="371"/>
      <c r="L50" s="371"/>
      <c r="M50" s="257" t="s">
        <v>339</v>
      </c>
      <c r="N50" s="322" t="str">
        <f>IF(Integral="","",Integral)</f>
        <v/>
      </c>
      <c r="O50" s="339"/>
      <c r="P50" s="496" t="s">
        <v>340</v>
      </c>
      <c r="Q50" s="497"/>
      <c r="R50" s="498"/>
      <c r="S50" s="377"/>
      <c r="T50" s="332"/>
      <c r="U50" s="496" t="s">
        <v>340</v>
      </c>
      <c r="V50" s="497"/>
      <c r="W50" s="498"/>
      <c r="X50" s="329"/>
    </row>
    <row r="51" spans="1:24" x14ac:dyDescent="0.2">
      <c r="A51" s="344"/>
      <c r="B51" s="378"/>
      <c r="C51" s="440" t="s">
        <v>57</v>
      </c>
      <c r="D51" s="309"/>
      <c r="E51" s="309"/>
      <c r="F51" s="309"/>
      <c r="G51" s="309"/>
      <c r="H51" s="309"/>
      <c r="I51" s="309"/>
      <c r="J51" s="371"/>
      <c r="K51" s="379"/>
      <c r="L51" s="371"/>
      <c r="M51" s="427" t="s">
        <v>341</v>
      </c>
      <c r="N51" s="322" t="str">
        <f>IF(Derivative="","",Derivative)</f>
        <v/>
      </c>
      <c r="O51" s="325"/>
      <c r="P51" s="508" t="s">
        <v>393</v>
      </c>
      <c r="Q51" s="509"/>
      <c r="R51" s="510"/>
      <c r="S51" s="444"/>
      <c r="T51" s="333"/>
      <c r="U51" s="508" t="s">
        <v>398</v>
      </c>
      <c r="V51" s="509"/>
      <c r="W51" s="510"/>
      <c r="X51" s="311"/>
    </row>
    <row r="52" spans="1:24" x14ac:dyDescent="0.2">
      <c r="A52" s="344"/>
      <c r="B52" s="369"/>
      <c r="C52" s="440" t="s">
        <v>347</v>
      </c>
      <c r="D52" s="309"/>
      <c r="E52" s="309"/>
      <c r="F52" s="309"/>
      <c r="G52" s="309"/>
      <c r="H52" s="309"/>
      <c r="I52" s="309"/>
      <c r="J52" s="371"/>
      <c r="K52" s="379"/>
      <c r="L52" s="371"/>
      <c r="M52" s="427" t="s">
        <v>342</v>
      </c>
      <c r="N52" s="322" t="str">
        <f>IF(Other1="","",Other1)</f>
        <v/>
      </c>
      <c r="O52" s="339"/>
      <c r="P52" s="496" t="s">
        <v>340</v>
      </c>
      <c r="Q52" s="497"/>
      <c r="R52" s="498"/>
      <c r="S52" s="377"/>
      <c r="T52" s="334"/>
      <c r="U52" s="496" t="s">
        <v>340</v>
      </c>
      <c r="V52" s="497"/>
      <c r="W52" s="498"/>
      <c r="X52" s="329"/>
    </row>
    <row r="53" spans="1:24" ht="12.75" customHeight="1" x14ac:dyDescent="0.2">
      <c r="A53" s="344"/>
      <c r="B53" s="369"/>
      <c r="C53" s="440" t="s">
        <v>58</v>
      </c>
      <c r="D53" s="316"/>
      <c r="E53" s="316"/>
      <c r="F53" s="316"/>
      <c r="G53" s="316"/>
      <c r="H53" s="316"/>
      <c r="I53" s="316"/>
      <c r="J53" s="371"/>
      <c r="K53" s="380"/>
      <c r="L53" s="380"/>
      <c r="M53" s="428" t="s">
        <v>342</v>
      </c>
      <c r="N53" s="322" t="str">
        <f>IF(Other2="","",Other2)</f>
        <v/>
      </c>
      <c r="O53" s="339"/>
      <c r="P53" s="499" t="s">
        <v>394</v>
      </c>
      <c r="Q53" s="500"/>
      <c r="R53" s="501"/>
      <c r="S53" s="445"/>
      <c r="T53" s="335"/>
      <c r="U53" s="499" t="s">
        <v>399</v>
      </c>
      <c r="V53" s="500"/>
      <c r="W53" s="501"/>
      <c r="X53" s="426"/>
    </row>
    <row r="54" spans="1:24" x14ac:dyDescent="0.2">
      <c r="A54" s="344"/>
      <c r="B54" s="369"/>
      <c r="C54" s="442" t="s">
        <v>82</v>
      </c>
      <c r="D54" s="315" t="str">
        <f>_xlfn.XLOOKUP(D$48,WireSets[serial_number],WireSets[certificate_number],"",0)</f>
        <v/>
      </c>
      <c r="E54" s="315" t="str">
        <f>_xlfn.XLOOKUP(E$48,WireSets[serial_number],WireSets[certificate_number],"",0)</f>
        <v/>
      </c>
      <c r="F54" s="315" t="str">
        <f>_xlfn.XLOOKUP(F$48,WireSets[serial_number],WireSets[certificate_number],"",0)</f>
        <v/>
      </c>
      <c r="G54" s="315" t="str">
        <f>_xlfn.XLOOKUP(G$48,WireSets[serial_number],WireSets[certificate_number],"",0)</f>
        <v/>
      </c>
      <c r="H54" s="315" t="str">
        <f>_xlfn.XLOOKUP(H$48,WireSets[serial_number],WireSets[certificate_number],"",0)</f>
        <v/>
      </c>
      <c r="I54" s="315" t="str">
        <f>_xlfn.XLOOKUP(I$48,WireSets[serial_number],WireSets[certificate_number],"",0)</f>
        <v/>
      </c>
      <c r="J54" s="381"/>
      <c r="K54" s="429"/>
      <c r="L54" s="430"/>
      <c r="M54" s="431" t="s">
        <v>369</v>
      </c>
      <c r="N54" s="321">
        <v>0</v>
      </c>
      <c r="O54" s="327"/>
      <c r="P54" s="502"/>
      <c r="Q54" s="503"/>
      <c r="R54" s="504"/>
      <c r="S54" s="382"/>
      <c r="T54" s="336"/>
      <c r="U54" s="502"/>
      <c r="V54" s="503"/>
      <c r="W54" s="504"/>
    </row>
    <row r="55" spans="1:24" x14ac:dyDescent="0.2">
      <c r="A55" s="344"/>
      <c r="B55" s="369"/>
      <c r="C55" s="442" t="s">
        <v>152</v>
      </c>
      <c r="D55" s="310" t="str">
        <f>_xlfn.XLOOKUP(D$48,WireSets[serial_number],WireSets[wire_roll_cert_number],"",0)</f>
        <v/>
      </c>
      <c r="E55" s="310" t="str">
        <f>_xlfn.XLOOKUP(E$48,WireSets[serial_number],WireSets[wire_roll_cert_number],"",0)</f>
        <v/>
      </c>
      <c r="F55" s="310" t="str">
        <f>_xlfn.XLOOKUP(F$48,WireSets[serial_number],WireSets[wire_roll_cert_number],"",0)</f>
        <v/>
      </c>
      <c r="G55" s="310" t="str">
        <f>_xlfn.XLOOKUP(G$48,WireSets[serial_number],WireSets[wire_roll_cert_number],"",0)</f>
        <v/>
      </c>
      <c r="H55" s="310" t="str">
        <f>_xlfn.XLOOKUP(H$48,WireSets[serial_number],WireSets[wire_roll_cert_number],"",0)</f>
        <v/>
      </c>
      <c r="I55" s="310" t="str">
        <f>_xlfn.XLOOKUP(I$48,WireSets[serial_number],WireSets[wire_roll_cert_number],"",0)</f>
        <v/>
      </c>
      <c r="J55" s="383"/>
      <c r="K55" s="432"/>
      <c r="L55" s="433"/>
      <c r="M55" s="434" t="s">
        <v>370</v>
      </c>
      <c r="N55" s="321">
        <v>0</v>
      </c>
      <c r="O55" s="327"/>
      <c r="P55" s="260" t="s">
        <v>343</v>
      </c>
      <c r="Q55" s="260" t="s">
        <v>14</v>
      </c>
      <c r="R55" s="268" t="s">
        <v>344</v>
      </c>
      <c r="S55" s="384"/>
      <c r="T55" s="337"/>
      <c r="U55" s="324" t="s">
        <v>345</v>
      </c>
      <c r="V55" s="260" t="s">
        <v>14</v>
      </c>
      <c r="W55" s="260" t="s">
        <v>346</v>
      </c>
    </row>
    <row r="56" spans="1:24" x14ac:dyDescent="0.2">
      <c r="A56" s="344"/>
      <c r="B56" s="385"/>
      <c r="C56" s="442" t="s">
        <v>153</v>
      </c>
      <c r="D56" s="309"/>
      <c r="E56" s="309"/>
      <c r="F56" s="309"/>
      <c r="G56" s="309"/>
      <c r="H56" s="309"/>
      <c r="I56" s="309"/>
      <c r="J56" s="386"/>
      <c r="K56" s="435"/>
      <c r="L56" s="436"/>
      <c r="M56" s="434" t="s">
        <v>371</v>
      </c>
      <c r="N56" s="321">
        <v>0</v>
      </c>
      <c r="O56" s="327"/>
      <c r="P56" s="446"/>
      <c r="Q56" s="447"/>
      <c r="R56" s="448"/>
      <c r="S56" s="387"/>
      <c r="T56" s="338"/>
      <c r="U56" s="449"/>
      <c r="V56" s="447"/>
      <c r="W56" s="446"/>
    </row>
    <row r="57" spans="1:24" x14ac:dyDescent="0.2">
      <c r="A57" s="344"/>
      <c r="B57" s="366"/>
      <c r="C57" s="257" t="s">
        <v>348</v>
      </c>
      <c r="D57" s="311"/>
      <c r="E57" s="311"/>
      <c r="F57" s="311"/>
      <c r="G57" s="311"/>
      <c r="H57" s="311"/>
      <c r="I57" s="311"/>
      <c r="J57" s="325"/>
      <c r="K57" s="437"/>
      <c r="L57" s="438"/>
      <c r="M57" s="439" t="s">
        <v>372</v>
      </c>
      <c r="N57" s="321">
        <v>0</v>
      </c>
      <c r="O57" s="327"/>
      <c r="P57" s="325"/>
      <c r="Q57" s="325"/>
      <c r="R57" s="325"/>
      <c r="S57" s="325"/>
    </row>
    <row r="58" spans="1:24" x14ac:dyDescent="0.2">
      <c r="A58" s="344"/>
      <c r="B58" s="366"/>
      <c r="C58" s="539" t="s">
        <v>158</v>
      </c>
      <c r="D58" s="540"/>
      <c r="E58" s="540"/>
      <c r="F58" s="540"/>
      <c r="G58" s="540"/>
      <c r="H58" s="540"/>
      <c r="I58" s="540"/>
      <c r="J58" s="540"/>
      <c r="K58" s="544"/>
      <c r="L58" s="545"/>
      <c r="M58" s="329"/>
      <c r="N58" s="329"/>
      <c r="O58" s="329"/>
      <c r="P58" s="329"/>
      <c r="Q58" s="329"/>
      <c r="R58" s="329"/>
      <c r="S58" s="329"/>
      <c r="T58" s="329"/>
      <c r="U58" s="329"/>
    </row>
    <row r="59" spans="1:24" x14ac:dyDescent="0.2">
      <c r="A59" s="344"/>
      <c r="B59" s="366"/>
      <c r="C59" s="539" t="s">
        <v>163</v>
      </c>
      <c r="D59" s="540"/>
      <c r="E59" s="540"/>
      <c r="F59" s="540"/>
      <c r="G59" s="540"/>
      <c r="H59" s="540"/>
      <c r="I59" s="540"/>
      <c r="J59" s="540"/>
      <c r="K59" s="540"/>
      <c r="L59" s="541"/>
      <c r="M59" s="329"/>
      <c r="N59" s="339" t="str">
        <f>"DOORS OPENED FOR " &amp;L16&amp; " SECONDS TO SIMULATE LOAD ENTRY AT " &amp;L17&amp; "."</f>
        <v>DOORS OPENED FOR  SECONDS TO SIMULATE LOAD ENTRY AT .</v>
      </c>
      <c r="O59" s="339"/>
      <c r="P59" s="339"/>
      <c r="Q59" s="339"/>
      <c r="R59" s="339"/>
      <c r="S59" s="339"/>
      <c r="T59" s="339"/>
      <c r="U59" s="339"/>
      <c r="V59" s="339"/>
    </row>
    <row r="60" spans="1:24" x14ac:dyDescent="0.2">
      <c r="A60" s="388"/>
      <c r="B60" s="375"/>
      <c r="C60" s="185"/>
      <c r="D60" s="186" t="s">
        <v>161</v>
      </c>
      <c r="E60" s="320"/>
      <c r="F60" s="187" t="s">
        <v>159</v>
      </c>
      <c r="G60" s="188"/>
      <c r="H60" s="188"/>
      <c r="I60" s="188"/>
      <c r="J60" s="189"/>
      <c r="K60" s="320"/>
      <c r="L60" s="190" t="s">
        <v>160</v>
      </c>
      <c r="M60" s="371"/>
      <c r="N60" s="389" t="str">
        <f>"AFTER TUS, HIGH LIMIT SET AT " &amp;E60&amp; "°F AND OVEN SETPOINT RAISED UNTIL HIGH LIMIT SYSTEM ACTIVATED AT " &amp;K60&amp; "°F."</f>
        <v>AFTER TUS, HIGH LIMIT SET AT °F AND OVEN SETPOINT RAISED UNTIL HIGH LIMIT SYSTEM ACTIVATED AT °F.</v>
      </c>
      <c r="O60" s="389"/>
      <c r="P60" s="339"/>
      <c r="Q60" s="339"/>
      <c r="R60" s="339"/>
      <c r="S60" s="339"/>
      <c r="T60" s="339"/>
      <c r="U60" s="339"/>
      <c r="V60" s="339"/>
    </row>
    <row r="61" spans="1:24" x14ac:dyDescent="0.2">
      <c r="A61" s="348"/>
      <c r="B61" s="340"/>
      <c r="C61" s="186"/>
      <c r="D61" s="186" t="s">
        <v>162</v>
      </c>
      <c r="E61" s="320"/>
      <c r="F61" s="192" t="s">
        <v>164</v>
      </c>
      <c r="G61" s="193"/>
      <c r="H61" s="193"/>
      <c r="I61" s="194"/>
      <c r="J61" s="320"/>
      <c r="K61" s="195" t="s">
        <v>160</v>
      </c>
      <c r="L61" s="325"/>
      <c r="M61" s="329"/>
      <c r="N61" s="389" t="str">
        <f>"AFTER TUS, HIGH LIMIT READING " &amp;E61&amp; "°F AND HIGH LIMIT SETPOINT LOWERED UNTIL ACTIVATION AT " &amp;J61&amp; "°F."</f>
        <v>AFTER TUS, HIGH LIMIT READING °F AND HIGH LIMIT SETPOINT LOWERED UNTIL ACTIVATION AT °F.</v>
      </c>
      <c r="O61" s="390"/>
      <c r="P61" s="339"/>
      <c r="Q61" s="339"/>
      <c r="R61" s="339"/>
      <c r="S61" s="339"/>
      <c r="T61" s="339"/>
      <c r="U61" s="339"/>
      <c r="V61" s="339"/>
    </row>
    <row r="62" spans="1:24" x14ac:dyDescent="0.2">
      <c r="A62" s="348"/>
      <c r="B62" s="340"/>
      <c r="C62" s="341"/>
      <c r="D62" s="325"/>
      <c r="E62" s="325"/>
      <c r="F62" s="329" t="s">
        <v>367</v>
      </c>
      <c r="G62" s="364"/>
      <c r="H62" s="364"/>
      <c r="I62" s="364"/>
      <c r="J62" s="325"/>
      <c r="K62" s="325"/>
      <c r="L62" s="325"/>
      <c r="M62" s="391"/>
      <c r="N62" s="390"/>
      <c r="O62" s="390"/>
      <c r="P62" s="339"/>
      <c r="Q62" s="339"/>
      <c r="R62" s="339"/>
      <c r="S62" s="339"/>
      <c r="T62" s="339"/>
      <c r="U62" s="339"/>
      <c r="V62" s="339"/>
    </row>
    <row r="63" spans="1:24" x14ac:dyDescent="0.2">
      <c r="A63" s="348"/>
      <c r="B63" s="340"/>
      <c r="C63" s="363"/>
      <c r="D63" s="364"/>
      <c r="E63" s="364"/>
      <c r="F63" s="364"/>
      <c r="G63" s="364"/>
      <c r="H63" s="364"/>
      <c r="I63" s="364"/>
      <c r="J63" s="325"/>
      <c r="K63" s="325"/>
      <c r="L63" s="325"/>
      <c r="M63" s="329"/>
      <c r="N63" s="371"/>
      <c r="O63" s="371"/>
      <c r="P63" s="329"/>
      <c r="Q63" s="329"/>
      <c r="R63" s="329"/>
      <c r="S63" s="329"/>
      <c r="T63" s="329"/>
      <c r="U63" s="329"/>
    </row>
    <row r="64" spans="1:24" x14ac:dyDescent="0.2">
      <c r="A64" s="392"/>
      <c r="B64" s="340"/>
      <c r="C64" s="363"/>
      <c r="D64" s="364"/>
      <c r="E64" s="364"/>
      <c r="F64" s="364"/>
      <c r="G64" s="364"/>
      <c r="H64" s="364"/>
      <c r="I64" s="364"/>
      <c r="J64" s="325"/>
      <c r="K64" s="325"/>
      <c r="L64" s="325"/>
      <c r="M64" s="329"/>
      <c r="N64" s="371"/>
      <c r="O64" s="371"/>
      <c r="P64" s="329"/>
      <c r="Q64" s="329"/>
      <c r="R64" s="329"/>
      <c r="S64" s="329"/>
      <c r="T64" s="329"/>
      <c r="U64" s="329"/>
    </row>
    <row r="65" spans="1:19" x14ac:dyDescent="0.2">
      <c r="A65" s="393"/>
      <c r="B65" s="340"/>
      <c r="C65" s="363"/>
      <c r="D65" s="364"/>
      <c r="E65" s="364"/>
      <c r="F65" s="364"/>
      <c r="G65" s="364"/>
      <c r="H65" s="364"/>
      <c r="I65" s="364"/>
      <c r="J65" s="325"/>
      <c r="K65" s="325"/>
      <c r="L65" s="325"/>
      <c r="M65" s="325"/>
      <c r="N65" s="394"/>
      <c r="O65" s="394"/>
      <c r="P65" s="325"/>
      <c r="Q65" s="325"/>
      <c r="R65" s="325"/>
      <c r="S65" s="325"/>
    </row>
    <row r="66" spans="1:19" x14ac:dyDescent="0.2">
      <c r="A66" s="395"/>
      <c r="B66" s="340"/>
      <c r="C66" s="363"/>
      <c r="D66" s="364"/>
      <c r="E66" s="364"/>
      <c r="F66" s="364"/>
      <c r="G66" s="364"/>
      <c r="H66" s="364"/>
      <c r="I66" s="364"/>
      <c r="J66" s="325"/>
      <c r="K66" s="325"/>
      <c r="L66" s="325"/>
      <c r="M66" s="325"/>
      <c r="N66" s="396"/>
      <c r="O66" s="396"/>
      <c r="P66" s="325"/>
      <c r="Q66" s="325"/>
      <c r="R66" s="325"/>
      <c r="S66" s="325"/>
    </row>
    <row r="67" spans="1:19" x14ac:dyDescent="0.2">
      <c r="A67" s="348"/>
      <c r="B67" s="340"/>
      <c r="C67" s="363"/>
      <c r="D67" s="364"/>
      <c r="E67" s="364"/>
      <c r="F67" s="364"/>
      <c r="G67" s="364"/>
      <c r="H67" s="364"/>
      <c r="I67" s="364"/>
      <c r="J67" s="325"/>
      <c r="K67" s="325"/>
      <c r="L67" s="325"/>
      <c r="M67" s="325"/>
      <c r="N67" s="396"/>
      <c r="O67" s="396"/>
      <c r="P67" s="325"/>
      <c r="Q67" s="325"/>
      <c r="R67" s="325"/>
      <c r="S67" s="325"/>
    </row>
    <row r="68" spans="1:19" x14ac:dyDescent="0.2">
      <c r="A68" s="348"/>
      <c r="B68" s="340"/>
      <c r="C68" s="363"/>
      <c r="D68" s="364"/>
      <c r="E68" s="364"/>
      <c r="F68" s="364"/>
      <c r="G68" s="364"/>
      <c r="H68" s="364"/>
      <c r="I68" s="364"/>
      <c r="J68" s="325"/>
      <c r="K68" s="325"/>
      <c r="L68" s="325"/>
      <c r="M68" s="325"/>
      <c r="N68" s="396"/>
      <c r="O68" s="396"/>
      <c r="P68" s="325"/>
      <c r="Q68" s="325"/>
      <c r="R68" s="325"/>
      <c r="S68" s="325"/>
    </row>
    <row r="69" spans="1:19" ht="24.75" customHeight="1" x14ac:dyDescent="0.2">
      <c r="A69" s="348"/>
      <c r="B69" s="340"/>
      <c r="C69" s="363"/>
      <c r="D69" s="364"/>
      <c r="E69" s="364"/>
      <c r="F69" s="364"/>
      <c r="G69" s="364"/>
      <c r="H69" s="364"/>
      <c r="I69" s="364"/>
      <c r="J69" s="325"/>
      <c r="K69" s="325"/>
      <c r="L69" s="325"/>
      <c r="M69" s="325"/>
      <c r="N69" s="396"/>
      <c r="O69" s="396"/>
      <c r="P69" s="325"/>
      <c r="Q69" s="325"/>
      <c r="R69" s="325"/>
      <c r="S69" s="325"/>
    </row>
    <row r="70" spans="1:19" x14ac:dyDescent="0.2">
      <c r="A70" s="348"/>
      <c r="B70" s="340"/>
      <c r="C70" s="341"/>
      <c r="D70" s="325"/>
      <c r="E70" s="325"/>
      <c r="F70" s="325"/>
      <c r="G70" s="325"/>
      <c r="H70" s="325"/>
      <c r="I70" s="325"/>
      <c r="J70" s="325"/>
      <c r="K70" s="325"/>
      <c r="L70" s="325"/>
      <c r="M70" s="325"/>
      <c r="N70" s="370"/>
      <c r="O70" s="370"/>
      <c r="P70" s="325"/>
      <c r="Q70" s="325"/>
      <c r="R70" s="325"/>
      <c r="S70" s="325"/>
    </row>
    <row r="71" spans="1:19" x14ac:dyDescent="0.2">
      <c r="A71" s="397"/>
      <c r="B71" s="340"/>
      <c r="C71" s="341"/>
      <c r="D71" s="325"/>
      <c r="E71" s="325"/>
      <c r="F71" s="325"/>
      <c r="G71" s="325"/>
      <c r="H71" s="325"/>
      <c r="I71" s="325"/>
      <c r="J71" s="325"/>
      <c r="K71" s="325"/>
      <c r="L71" s="325"/>
      <c r="M71" s="325"/>
      <c r="N71" s="325"/>
      <c r="O71" s="370"/>
      <c r="P71" s="325"/>
      <c r="Q71" s="325"/>
      <c r="R71" s="325"/>
      <c r="S71" s="325"/>
    </row>
    <row r="72" spans="1:19" x14ac:dyDescent="0.2">
      <c r="A72" s="398"/>
      <c r="B72" s="399"/>
      <c r="C72" s="400"/>
      <c r="D72" s="401"/>
      <c r="E72" s="401"/>
      <c r="F72" s="401"/>
      <c r="G72" s="401"/>
      <c r="H72" s="401"/>
      <c r="I72" s="401"/>
      <c r="J72" s="401"/>
      <c r="K72" s="401"/>
      <c r="L72" s="401"/>
      <c r="M72" s="401"/>
      <c r="N72" s="402"/>
      <c r="O72" s="402"/>
      <c r="P72" s="402"/>
      <c r="Q72" s="401"/>
      <c r="R72" s="325"/>
      <c r="S72" s="325"/>
    </row>
    <row r="73" spans="1:19" x14ac:dyDescent="0.2">
      <c r="A73" s="398"/>
      <c r="B73" s="399"/>
      <c r="C73" s="400"/>
      <c r="D73" s="401"/>
      <c r="E73" s="401"/>
      <c r="F73" s="401"/>
      <c r="G73" s="401"/>
      <c r="H73" s="401"/>
      <c r="I73" s="401"/>
      <c r="J73" s="401"/>
      <c r="K73" s="401"/>
      <c r="L73" s="401"/>
      <c r="M73" s="401"/>
      <c r="N73" s="402"/>
      <c r="O73" s="402"/>
      <c r="P73" s="402"/>
      <c r="Q73" s="401"/>
      <c r="R73" s="325"/>
      <c r="S73" s="325"/>
    </row>
    <row r="74" spans="1:19" x14ac:dyDescent="0.2">
      <c r="A74" s="398"/>
      <c r="B74" s="399"/>
      <c r="C74" s="400"/>
      <c r="D74" s="401"/>
      <c r="E74" s="401"/>
      <c r="F74" s="401"/>
      <c r="G74" s="401"/>
      <c r="H74" s="401"/>
      <c r="I74" s="401"/>
      <c r="J74" s="401"/>
      <c r="K74" s="401"/>
      <c r="L74" s="401"/>
      <c r="M74" s="401"/>
      <c r="N74" s="402"/>
      <c r="O74" s="402"/>
      <c r="P74" s="402"/>
      <c r="Q74" s="401"/>
      <c r="R74" s="325"/>
      <c r="S74" s="325"/>
    </row>
    <row r="75" spans="1:19" x14ac:dyDescent="0.2">
      <c r="A75" s="398"/>
      <c r="B75" s="399"/>
      <c r="C75" s="400"/>
      <c r="D75" s="401"/>
      <c r="E75" s="401"/>
      <c r="F75" s="401"/>
      <c r="G75" s="401"/>
      <c r="H75" s="401"/>
      <c r="I75" s="401"/>
      <c r="J75" s="401"/>
      <c r="K75" s="401"/>
      <c r="L75" s="401"/>
      <c r="M75" s="401"/>
      <c r="N75" s="402"/>
      <c r="O75" s="402"/>
      <c r="P75" s="402"/>
      <c r="Q75" s="401"/>
      <c r="R75" s="325"/>
      <c r="S75" s="325"/>
    </row>
    <row r="76" spans="1:19" x14ac:dyDescent="0.2">
      <c r="A76" s="398"/>
      <c r="B76" s="399"/>
      <c r="C76" s="400"/>
      <c r="D76" s="401"/>
      <c r="E76" s="401"/>
      <c r="F76" s="401"/>
      <c r="G76" s="401"/>
      <c r="H76" s="401"/>
      <c r="I76" s="401"/>
      <c r="J76" s="401"/>
      <c r="K76" s="401"/>
      <c r="L76" s="401"/>
      <c r="M76" s="401"/>
      <c r="N76" s="402"/>
      <c r="O76" s="402"/>
      <c r="P76" s="402"/>
      <c r="Q76" s="401"/>
      <c r="R76" s="325"/>
      <c r="S76" s="325"/>
    </row>
    <row r="77" spans="1:19" x14ac:dyDescent="0.2">
      <c r="A77" s="398"/>
      <c r="B77" s="399"/>
      <c r="C77" s="400"/>
      <c r="D77" s="401"/>
      <c r="E77" s="401"/>
      <c r="F77" s="401"/>
      <c r="G77" s="401"/>
      <c r="H77" s="401"/>
      <c r="I77" s="401"/>
      <c r="J77" s="401"/>
      <c r="K77" s="401"/>
      <c r="L77" s="401"/>
      <c r="M77" s="401"/>
      <c r="N77" s="402"/>
      <c r="O77" s="402"/>
      <c r="P77" s="402"/>
      <c r="Q77" s="401"/>
      <c r="R77" s="325"/>
      <c r="S77" s="325"/>
    </row>
    <row r="78" spans="1:19" x14ac:dyDescent="0.2">
      <c r="A78" s="398"/>
      <c r="B78" s="399"/>
      <c r="C78" s="400"/>
      <c r="D78" s="401"/>
      <c r="E78" s="401"/>
      <c r="F78" s="401"/>
      <c r="G78" s="401"/>
      <c r="H78" s="401"/>
      <c r="I78" s="401"/>
      <c r="J78" s="401"/>
      <c r="K78" s="401"/>
      <c r="L78" s="401"/>
      <c r="M78" s="401"/>
      <c r="N78" s="402"/>
      <c r="O78" s="402"/>
      <c r="P78" s="402"/>
      <c r="Q78" s="401"/>
      <c r="R78" s="325"/>
      <c r="S78" s="325"/>
    </row>
    <row r="79" spans="1:19" x14ac:dyDescent="0.2">
      <c r="A79" s="398"/>
      <c r="B79" s="399"/>
      <c r="C79" s="400"/>
      <c r="D79" s="401"/>
      <c r="E79" s="401"/>
      <c r="F79" s="401"/>
      <c r="G79" s="401"/>
      <c r="H79" s="401"/>
      <c r="I79" s="401"/>
      <c r="J79" s="401"/>
      <c r="K79" s="401"/>
      <c r="L79" s="401"/>
      <c r="M79" s="401"/>
      <c r="N79" s="402"/>
      <c r="O79" s="402"/>
      <c r="P79" s="402"/>
      <c r="Q79" s="401"/>
      <c r="R79" s="325"/>
      <c r="S79" s="325"/>
    </row>
    <row r="80" spans="1:19" x14ac:dyDescent="0.2">
      <c r="A80" s="398"/>
      <c r="B80" s="399"/>
      <c r="C80" s="400"/>
      <c r="D80" s="401"/>
      <c r="E80" s="401"/>
      <c r="F80" s="401"/>
      <c r="G80" s="401"/>
      <c r="H80" s="401"/>
      <c r="I80" s="401"/>
      <c r="J80" s="401"/>
      <c r="K80" s="401"/>
      <c r="L80" s="401"/>
      <c r="M80" s="401"/>
      <c r="N80" s="402"/>
      <c r="O80" s="402"/>
      <c r="P80" s="402"/>
      <c r="Q80" s="401"/>
      <c r="R80" s="325"/>
      <c r="S80" s="325"/>
    </row>
    <row r="81" spans="1:19" x14ac:dyDescent="0.2">
      <c r="A81" s="398"/>
      <c r="B81" s="399"/>
      <c r="C81" s="400"/>
      <c r="D81" s="401"/>
      <c r="E81" s="401"/>
      <c r="F81" s="401"/>
      <c r="G81" s="401"/>
      <c r="H81" s="401"/>
      <c r="I81" s="401"/>
      <c r="J81" s="401"/>
      <c r="K81" s="401"/>
      <c r="L81" s="401"/>
      <c r="M81" s="401"/>
      <c r="N81" s="402"/>
      <c r="O81" s="402"/>
      <c r="P81" s="402"/>
      <c r="Q81" s="401"/>
      <c r="R81" s="325"/>
      <c r="S81" s="325"/>
    </row>
    <row r="82" spans="1:19" x14ac:dyDescent="0.2">
      <c r="A82" s="398"/>
      <c r="B82" s="399"/>
      <c r="C82" s="400"/>
      <c r="D82" s="401"/>
      <c r="E82" s="401"/>
      <c r="F82" s="401"/>
      <c r="G82" s="401"/>
      <c r="I82" s="401"/>
      <c r="J82" s="401"/>
      <c r="K82" s="401"/>
      <c r="L82" s="401"/>
      <c r="M82" s="401"/>
      <c r="N82" s="402"/>
      <c r="O82" s="402"/>
      <c r="P82" s="402"/>
      <c r="Q82" s="401"/>
      <c r="R82" s="325"/>
      <c r="S82" s="325"/>
    </row>
    <row r="83" spans="1:19" x14ac:dyDescent="0.2">
      <c r="A83" s="398"/>
      <c r="B83" s="399"/>
      <c r="C83" s="400"/>
      <c r="D83" s="401"/>
      <c r="E83" s="403"/>
      <c r="F83" s="404"/>
      <c r="G83" s="329" t="s">
        <v>934</v>
      </c>
      <c r="H83" s="459">
        <f>MAX(NominalTemp/1000,1)</f>
        <v>1</v>
      </c>
      <c r="I83" s="403"/>
      <c r="J83" s="404"/>
      <c r="K83" s="405"/>
      <c r="L83" s="406"/>
      <c r="M83" s="401"/>
      <c r="N83" s="402"/>
      <c r="O83" s="402"/>
      <c r="P83" s="402"/>
      <c r="Q83" s="401"/>
      <c r="R83" s="325"/>
      <c r="S83" s="325"/>
    </row>
    <row r="84" spans="1:19" x14ac:dyDescent="0.2">
      <c r="A84" s="398"/>
      <c r="B84" s="399"/>
      <c r="C84" s="400"/>
      <c r="D84" s="401"/>
      <c r="E84" s="407"/>
      <c r="F84" s="408"/>
      <c r="G84" s="409"/>
      <c r="H84" s="410"/>
      <c r="I84" s="411"/>
      <c r="J84" s="404"/>
      <c r="K84" s="405"/>
      <c r="L84" s="406"/>
      <c r="M84" s="401"/>
      <c r="N84" s="402"/>
      <c r="O84" s="402"/>
      <c r="P84" s="402"/>
      <c r="Q84" s="401"/>
      <c r="R84" s="325"/>
      <c r="S84" s="325"/>
    </row>
    <row r="85" spans="1:19" x14ac:dyDescent="0.2">
      <c r="A85" s="398"/>
      <c r="B85" s="399"/>
      <c r="C85" s="400"/>
      <c r="D85" s="401"/>
      <c r="E85" s="407"/>
      <c r="F85" t="s">
        <v>932</v>
      </c>
      <c r="G85" t="s">
        <v>151</v>
      </c>
      <c r="H85" t="s">
        <v>150</v>
      </c>
      <c r="I85" s="41" t="s">
        <v>933</v>
      </c>
      <c r="J85" s="405"/>
      <c r="K85" s="406"/>
      <c r="L85" s="401"/>
      <c r="M85" s="402"/>
      <c r="N85" s="402"/>
      <c r="O85" s="402"/>
      <c r="P85" s="401"/>
      <c r="Q85" s="325"/>
      <c r="R85" s="325"/>
      <c r="S85" s="325"/>
    </row>
    <row r="86" spans="1:19" x14ac:dyDescent="0.2">
      <c r="A86" s="398"/>
      <c r="B86" s="399"/>
      <c r="C86" s="400"/>
      <c r="D86" s="401"/>
      <c r="E86" s="407"/>
      <c r="F86">
        <v>1</v>
      </c>
      <c r="G86" s="421">
        <v>5</v>
      </c>
      <c r="H86" s="421">
        <f>$H$83*Table18[[#This Row],[SAT Multiplier]]</f>
        <v>2</v>
      </c>
      <c r="I86">
        <v>2</v>
      </c>
      <c r="J86" s="405"/>
      <c r="K86" s="406"/>
      <c r="L86" s="401"/>
      <c r="M86" s="402"/>
      <c r="N86" s="402"/>
      <c r="O86" s="402"/>
      <c r="P86" s="401"/>
      <c r="Q86" s="325"/>
      <c r="R86" s="325"/>
      <c r="S86" s="325"/>
    </row>
    <row r="87" spans="1:19" x14ac:dyDescent="0.2">
      <c r="A87" s="398"/>
      <c r="B87" s="399"/>
      <c r="C87" s="400"/>
      <c r="D87" s="401"/>
      <c r="E87" s="407"/>
      <c r="F87">
        <v>2</v>
      </c>
      <c r="G87" s="421">
        <v>10</v>
      </c>
      <c r="H87" s="421">
        <f>$H$83*Table18[[#This Row],[SAT Multiplier]]</f>
        <v>3</v>
      </c>
      <c r="I87">
        <v>3</v>
      </c>
      <c r="J87" s="405"/>
      <c r="K87" s="406"/>
      <c r="L87" s="401"/>
      <c r="M87" s="402"/>
      <c r="N87" s="402"/>
      <c r="O87" s="402"/>
      <c r="P87" s="401"/>
      <c r="Q87" s="325"/>
      <c r="R87" s="325"/>
      <c r="S87" s="325"/>
    </row>
    <row r="88" spans="1:19" x14ac:dyDescent="0.2">
      <c r="A88" s="398"/>
      <c r="B88" s="399"/>
      <c r="C88" s="400"/>
      <c r="D88" s="401"/>
      <c r="E88" s="407"/>
      <c r="F88">
        <v>3</v>
      </c>
      <c r="G88" s="421">
        <v>15</v>
      </c>
      <c r="H88" s="421">
        <f>$H$83*Table18[[#This Row],[SAT Multiplier]]</f>
        <v>4</v>
      </c>
      <c r="I88">
        <v>4</v>
      </c>
      <c r="J88" s="405"/>
      <c r="K88" s="406"/>
      <c r="L88" s="401"/>
      <c r="M88" s="402"/>
      <c r="N88" s="402"/>
      <c r="O88" s="402"/>
      <c r="P88" s="401"/>
      <c r="Q88" s="325"/>
      <c r="R88" s="325"/>
      <c r="S88" s="325"/>
    </row>
    <row r="89" spans="1:19" x14ac:dyDescent="0.2">
      <c r="A89" s="398"/>
      <c r="B89" s="399"/>
      <c r="C89" s="400"/>
      <c r="D89" s="401"/>
      <c r="E89" s="407"/>
      <c r="F89">
        <v>4</v>
      </c>
      <c r="G89" s="421">
        <v>20</v>
      </c>
      <c r="H89" s="421">
        <f>$H$83*Table18[[#This Row],[SAT Multiplier]]</f>
        <v>4</v>
      </c>
      <c r="I89">
        <v>4</v>
      </c>
      <c r="J89" s="405"/>
      <c r="K89" s="406"/>
      <c r="L89" s="401"/>
      <c r="M89" s="402"/>
      <c r="N89" s="402"/>
      <c r="O89" s="402"/>
      <c r="P89" s="401"/>
      <c r="Q89" s="325"/>
      <c r="R89" s="325"/>
      <c r="S89" s="325"/>
    </row>
    <row r="90" spans="1:19" x14ac:dyDescent="0.2">
      <c r="A90" s="398"/>
      <c r="B90" s="399"/>
      <c r="C90" s="400"/>
      <c r="D90" s="401"/>
      <c r="E90" s="407"/>
      <c r="F90">
        <v>5</v>
      </c>
      <c r="G90" s="421">
        <v>25</v>
      </c>
      <c r="H90" s="421">
        <f>$H$83*Table18[[#This Row],[SAT Multiplier]]</f>
        <v>5</v>
      </c>
      <c r="I90">
        <v>5</v>
      </c>
      <c r="J90" s="405"/>
      <c r="K90" s="406"/>
      <c r="L90" s="401"/>
      <c r="M90" s="402"/>
      <c r="N90" s="402"/>
      <c r="O90" s="402"/>
      <c r="P90" s="401"/>
      <c r="Q90" s="325"/>
      <c r="R90" s="325"/>
      <c r="S90" s="325"/>
    </row>
    <row r="91" spans="1:19" x14ac:dyDescent="0.2">
      <c r="A91" s="398"/>
      <c r="B91" s="399"/>
      <c r="C91" s="400"/>
      <c r="D91" s="401"/>
      <c r="E91" s="407"/>
      <c r="F91">
        <v>6</v>
      </c>
      <c r="G91" s="421">
        <v>50</v>
      </c>
      <c r="H91" s="421">
        <f>$H$83*Table18[[#This Row],[SAT Multiplier]]</f>
        <v>10</v>
      </c>
      <c r="I91">
        <v>10</v>
      </c>
      <c r="J91" s="405"/>
      <c r="K91" s="406"/>
      <c r="L91" s="401"/>
      <c r="M91" s="402"/>
      <c r="N91" s="402"/>
      <c r="O91" s="402"/>
      <c r="P91" s="401"/>
      <c r="Q91" s="325"/>
      <c r="R91" s="325"/>
      <c r="S91" s="325"/>
    </row>
    <row r="92" spans="1:19" x14ac:dyDescent="0.2">
      <c r="A92" s="398"/>
      <c r="B92" s="399"/>
      <c r="C92" s="400"/>
      <c r="D92" s="401"/>
      <c r="E92" s="407"/>
      <c r="F92" s="408"/>
      <c r="G92" s="409"/>
      <c r="H92" s="410"/>
      <c r="I92" s="411"/>
      <c r="J92" s="404"/>
      <c r="K92" s="405"/>
      <c r="L92" s="406"/>
      <c r="M92" s="401"/>
      <c r="N92" s="402"/>
      <c r="O92" s="402"/>
      <c r="P92" s="402"/>
      <c r="Q92" s="401"/>
      <c r="R92" s="325"/>
      <c r="S92" s="325"/>
    </row>
    <row r="93" spans="1:19" x14ac:dyDescent="0.2">
      <c r="A93" s="398"/>
      <c r="B93" s="399"/>
      <c r="C93" s="400"/>
      <c r="D93" s="401"/>
      <c r="E93" s="407"/>
      <c r="F93" s="408" t="s">
        <v>267</v>
      </c>
      <c r="G93" s="409" t="e">
        <f>VLOOKUP(D19,G86:H91,2,FALSE)</f>
        <v>#N/A</v>
      </c>
      <c r="H93" s="410" t="s">
        <v>268</v>
      </c>
      <c r="I93" s="411"/>
      <c r="J93" s="404"/>
      <c r="K93" s="405"/>
      <c r="L93" s="406"/>
      <c r="M93" s="401"/>
      <c r="N93" s="402"/>
      <c r="O93" s="402"/>
      <c r="P93" s="402"/>
      <c r="Q93" s="401"/>
      <c r="R93" s="325"/>
      <c r="S93" s="325"/>
    </row>
    <row r="94" spans="1:19" x14ac:dyDescent="0.2">
      <c r="A94" s="398"/>
      <c r="B94" s="399"/>
      <c r="C94" s="400"/>
      <c r="D94" s="401"/>
      <c r="E94" s="407"/>
      <c r="F94" s="412"/>
      <c r="G94" s="413" t="e">
        <f>F93&amp;G93&amp;H93</f>
        <v>#N/A</v>
      </c>
      <c r="H94" s="414"/>
      <c r="J94" s="404"/>
      <c r="K94" s="405"/>
      <c r="L94" s="406"/>
      <c r="M94" s="401"/>
      <c r="N94" s="402"/>
      <c r="O94" s="402"/>
      <c r="P94" s="402"/>
      <c r="Q94" s="401"/>
      <c r="R94" s="325"/>
      <c r="S94" s="325"/>
    </row>
    <row r="95" spans="1:19" x14ac:dyDescent="0.2">
      <c r="A95" s="398"/>
      <c r="B95" s="399"/>
      <c r="C95" s="400"/>
      <c r="D95" s="401"/>
      <c r="E95" s="403"/>
      <c r="F95" s="404"/>
      <c r="G95" s="405" t="e">
        <f>ROUNDDOWN(G93,2-(1+INT(LOG10(ABS(G93)))))</f>
        <v>#N/A</v>
      </c>
      <c r="H95" s="406"/>
      <c r="I95" s="403"/>
      <c r="J95" s="404"/>
      <c r="K95" s="405"/>
      <c r="L95" s="406"/>
      <c r="M95" s="401"/>
      <c r="N95" s="402"/>
      <c r="O95" s="402"/>
      <c r="P95" s="402"/>
      <c r="Q95" s="401"/>
      <c r="R95" s="325"/>
      <c r="S95" s="325"/>
    </row>
    <row r="96" spans="1:19" x14ac:dyDescent="0.2">
      <c r="A96" s="398"/>
      <c r="B96" s="399"/>
      <c r="C96" s="400"/>
      <c r="D96" s="401"/>
      <c r="E96" s="398"/>
      <c r="F96" s="399"/>
      <c r="G96" s="400"/>
      <c r="H96" s="401"/>
      <c r="I96" s="398"/>
      <c r="J96" s="399"/>
      <c r="K96" s="400"/>
      <c r="L96" s="401"/>
      <c r="M96" s="401"/>
      <c r="N96" s="402"/>
      <c r="O96" s="402"/>
      <c r="P96" s="402"/>
      <c r="Q96" s="401"/>
      <c r="R96" s="325"/>
      <c r="S96" s="325"/>
    </row>
    <row r="97" spans="1:19" x14ac:dyDescent="0.2">
      <c r="A97" s="398"/>
      <c r="B97" s="399"/>
      <c r="C97" s="400"/>
      <c r="D97" s="401"/>
      <c r="E97" s="398"/>
      <c r="F97" s="399"/>
      <c r="G97" s="400"/>
      <c r="H97" s="401"/>
      <c r="I97" s="398"/>
      <c r="J97" s="399"/>
      <c r="K97" s="400"/>
      <c r="L97" s="401"/>
      <c r="M97" s="401"/>
      <c r="N97" s="402"/>
      <c r="O97" s="402"/>
      <c r="P97" s="402"/>
      <c r="Q97" s="401"/>
      <c r="R97" s="325"/>
      <c r="S97" s="325"/>
    </row>
    <row r="98" spans="1:19" x14ac:dyDescent="0.2">
      <c r="A98" s="398"/>
      <c r="B98" s="399"/>
      <c r="C98" s="400"/>
      <c r="D98" s="401"/>
      <c r="E98" s="401"/>
      <c r="F98" s="401"/>
      <c r="G98" s="401"/>
      <c r="H98" s="401"/>
      <c r="I98" s="401"/>
      <c r="J98" s="401"/>
      <c r="K98" s="401"/>
      <c r="L98" s="401"/>
      <c r="M98" s="401"/>
      <c r="N98" s="402"/>
      <c r="O98" s="402"/>
      <c r="P98" s="402"/>
      <c r="Q98" s="401"/>
      <c r="R98" s="325"/>
      <c r="S98" s="325"/>
    </row>
    <row r="99" spans="1:19" x14ac:dyDescent="0.2">
      <c r="A99" s="398"/>
      <c r="B99" s="399"/>
      <c r="C99" s="400"/>
      <c r="D99" s="401"/>
      <c r="E99" s="401"/>
      <c r="F99" s="401"/>
      <c r="G99" s="401"/>
      <c r="H99" s="401"/>
      <c r="I99" s="401"/>
      <c r="J99" s="401"/>
      <c r="K99" s="401"/>
      <c r="L99" s="401"/>
      <c r="M99" s="401"/>
      <c r="N99" s="402"/>
      <c r="O99" s="402"/>
      <c r="P99" s="402"/>
      <c r="Q99" s="401"/>
      <c r="R99" s="325"/>
      <c r="S99" s="325"/>
    </row>
    <row r="100" spans="1:19" x14ac:dyDescent="0.2">
      <c r="A100" s="398"/>
      <c r="B100" s="399"/>
      <c r="C100" s="400"/>
      <c r="D100" s="401"/>
      <c r="E100" s="401"/>
      <c r="F100" s="401"/>
      <c r="G100" s="401"/>
      <c r="H100" s="401"/>
      <c r="I100" s="401"/>
      <c r="J100" s="401"/>
      <c r="K100" s="401"/>
      <c r="L100" s="401"/>
      <c r="M100" s="401"/>
      <c r="N100" s="402"/>
      <c r="O100" s="402"/>
      <c r="P100" s="402"/>
      <c r="Q100" s="401"/>
      <c r="R100" s="325"/>
      <c r="S100" s="325"/>
    </row>
    <row r="101" spans="1:19" x14ac:dyDescent="0.2">
      <c r="A101" s="398"/>
      <c r="B101" s="399"/>
      <c r="C101" s="400"/>
      <c r="D101" s="401"/>
      <c r="E101" s="401"/>
      <c r="F101" s="401"/>
      <c r="G101" s="401"/>
      <c r="H101" s="401"/>
      <c r="I101" s="401"/>
      <c r="J101" s="401"/>
      <c r="K101" s="401"/>
      <c r="L101" s="401"/>
      <c r="M101" s="401"/>
      <c r="N101" s="402"/>
      <c r="O101" s="402"/>
      <c r="P101" s="402"/>
      <c r="Q101" s="401"/>
      <c r="R101" s="325"/>
      <c r="S101" s="325"/>
    </row>
    <row r="102" spans="1:19" x14ac:dyDescent="0.2">
      <c r="A102" s="398"/>
      <c r="B102" s="399"/>
      <c r="C102" s="400"/>
      <c r="D102" s="401"/>
      <c r="E102" s="401"/>
      <c r="F102" s="401"/>
      <c r="G102" s="401"/>
      <c r="H102" s="401"/>
      <c r="I102" s="401"/>
      <c r="J102" s="401"/>
      <c r="K102" s="401"/>
      <c r="L102" s="401"/>
      <c r="M102" s="401"/>
      <c r="N102" s="402"/>
      <c r="O102" s="402"/>
      <c r="P102" s="402"/>
      <c r="Q102" s="401"/>
      <c r="R102" s="325"/>
      <c r="S102" s="325"/>
    </row>
    <row r="103" spans="1:19" x14ac:dyDescent="0.2">
      <c r="A103" s="398"/>
      <c r="B103" s="399"/>
      <c r="C103" s="400"/>
      <c r="D103" s="401"/>
      <c r="E103" s="401"/>
      <c r="F103" s="401"/>
      <c r="G103" s="401"/>
      <c r="H103" s="401"/>
      <c r="I103" s="401"/>
      <c r="J103" s="401"/>
      <c r="K103" s="401"/>
      <c r="L103" s="401"/>
      <c r="M103" s="401"/>
      <c r="N103" s="402"/>
      <c r="O103" s="402"/>
      <c r="P103" s="402"/>
      <c r="Q103" s="401"/>
      <c r="R103" s="325"/>
      <c r="S103" s="325"/>
    </row>
    <row r="104" spans="1:19" x14ac:dyDescent="0.2">
      <c r="A104" s="398"/>
      <c r="B104" s="399"/>
      <c r="C104" s="400"/>
      <c r="D104" s="401"/>
      <c r="E104" s="401"/>
      <c r="F104" s="401"/>
      <c r="G104" s="401"/>
      <c r="H104" s="401"/>
      <c r="I104" s="401"/>
      <c r="J104" s="401"/>
      <c r="K104" s="401"/>
      <c r="L104" s="401"/>
      <c r="M104" s="401"/>
      <c r="N104" s="402"/>
      <c r="O104" s="402"/>
      <c r="P104" s="402"/>
      <c r="Q104" s="401"/>
      <c r="R104" s="325"/>
      <c r="S104" s="325"/>
    </row>
    <row r="105" spans="1:19" x14ac:dyDescent="0.2">
      <c r="A105" s="398"/>
      <c r="B105" s="399"/>
      <c r="C105" s="400"/>
      <c r="D105" s="401"/>
      <c r="E105" s="401"/>
      <c r="F105" s="401"/>
      <c r="G105" s="401"/>
      <c r="H105" s="401"/>
      <c r="I105" s="401"/>
      <c r="J105" s="401"/>
      <c r="K105" s="401"/>
      <c r="L105" s="401"/>
      <c r="M105" s="401"/>
      <c r="N105" s="402"/>
      <c r="O105" s="402"/>
      <c r="P105" s="402"/>
      <c r="Q105" s="401"/>
      <c r="R105" s="325"/>
      <c r="S105" s="325"/>
    </row>
    <row r="106" spans="1:19" x14ac:dyDescent="0.2">
      <c r="A106" s="398"/>
      <c r="B106" s="399"/>
      <c r="C106" s="400"/>
      <c r="D106" s="401"/>
      <c r="E106" s="401"/>
      <c r="F106" s="401"/>
      <c r="G106" s="401"/>
      <c r="H106" s="401"/>
      <c r="I106" s="401"/>
      <c r="J106" s="401"/>
      <c r="K106" s="401"/>
      <c r="L106" s="401"/>
      <c r="M106" s="401"/>
      <c r="N106" s="402"/>
      <c r="O106" s="402"/>
      <c r="P106" s="402"/>
      <c r="Q106" s="401"/>
      <c r="R106" s="325"/>
      <c r="S106" s="325"/>
    </row>
    <row r="107" spans="1:19" x14ac:dyDescent="0.2">
      <c r="A107" s="398"/>
      <c r="B107" s="399"/>
      <c r="C107" s="400"/>
      <c r="D107" s="401"/>
      <c r="E107" s="401"/>
      <c r="F107" s="401"/>
      <c r="G107" s="401"/>
      <c r="H107" s="401"/>
      <c r="I107" s="401"/>
      <c r="J107" s="401"/>
      <c r="K107" s="401"/>
      <c r="L107" s="401"/>
      <c r="M107" s="401"/>
      <c r="N107" s="402"/>
      <c r="O107" s="402"/>
      <c r="P107" s="402"/>
      <c r="Q107" s="401"/>
      <c r="R107" s="325"/>
      <c r="S107" s="325"/>
    </row>
    <row r="108" spans="1:19" x14ac:dyDescent="0.2">
      <c r="A108" s="398"/>
      <c r="B108" s="399"/>
      <c r="C108" s="400"/>
      <c r="D108" s="401"/>
      <c r="E108" s="401"/>
      <c r="F108" s="401"/>
      <c r="G108" s="401"/>
      <c r="H108" s="401"/>
      <c r="I108" s="401"/>
      <c r="J108" s="401"/>
      <c r="K108" s="401"/>
      <c r="L108" s="401"/>
      <c r="M108" s="401"/>
      <c r="N108" s="402"/>
      <c r="O108" s="402"/>
      <c r="P108" s="402"/>
      <c r="Q108" s="401"/>
      <c r="R108" s="325"/>
      <c r="S108" s="325"/>
    </row>
    <row r="109" spans="1:19" x14ac:dyDescent="0.2">
      <c r="A109" s="398"/>
      <c r="B109" s="399"/>
      <c r="C109" s="400"/>
      <c r="D109" s="401"/>
      <c r="E109" s="401"/>
      <c r="F109" s="401"/>
      <c r="G109" s="401"/>
      <c r="H109" s="401"/>
      <c r="I109" s="401"/>
      <c r="J109" s="401"/>
      <c r="K109" s="401"/>
      <c r="L109" s="401"/>
      <c r="M109" s="401"/>
      <c r="N109" s="402"/>
      <c r="O109" s="402"/>
      <c r="P109" s="402"/>
      <c r="Q109" s="401"/>
      <c r="R109" s="325"/>
      <c r="S109" s="325"/>
    </row>
    <row r="110" spans="1:19" x14ac:dyDescent="0.2">
      <c r="A110" s="398"/>
      <c r="B110" s="399"/>
      <c r="C110" s="400"/>
      <c r="D110" s="401"/>
      <c r="E110" s="401"/>
      <c r="F110" s="401"/>
      <c r="G110" s="401"/>
      <c r="H110" s="401"/>
      <c r="I110" s="401"/>
      <c r="J110" s="401"/>
      <c r="K110" s="401"/>
      <c r="L110" s="401"/>
      <c r="M110" s="401"/>
      <c r="N110" s="402"/>
      <c r="O110" s="402"/>
      <c r="P110" s="402"/>
      <c r="Q110" s="401"/>
      <c r="R110" s="325"/>
      <c r="S110" s="325"/>
    </row>
    <row r="111" spans="1:19" x14ac:dyDescent="0.2">
      <c r="A111" s="398"/>
      <c r="B111" s="399"/>
      <c r="C111" s="400"/>
      <c r="D111" s="401"/>
      <c r="E111" s="401"/>
      <c r="F111" s="401"/>
      <c r="G111" s="401"/>
      <c r="H111" s="401"/>
      <c r="I111" s="401"/>
      <c r="J111" s="401"/>
      <c r="K111" s="401"/>
      <c r="L111" s="401"/>
      <c r="M111" s="401"/>
      <c r="N111" s="402"/>
      <c r="O111" s="402"/>
      <c r="P111" s="402"/>
      <c r="Q111" s="401"/>
      <c r="R111" s="325"/>
      <c r="S111" s="325"/>
    </row>
    <row r="112" spans="1:19" x14ac:dyDescent="0.2">
      <c r="A112" s="398"/>
      <c r="B112" s="399"/>
      <c r="C112" s="400"/>
      <c r="D112" s="401"/>
      <c r="E112" s="401"/>
      <c r="F112" s="401"/>
      <c r="G112" s="401"/>
      <c r="H112" s="401"/>
      <c r="I112" s="401"/>
      <c r="J112" s="401"/>
      <c r="K112" s="401"/>
      <c r="L112" s="401"/>
      <c r="M112" s="401"/>
      <c r="N112" s="415"/>
      <c r="O112" s="415"/>
      <c r="P112" s="415"/>
      <c r="Q112" s="401"/>
      <c r="R112" s="325"/>
      <c r="S112" s="325"/>
    </row>
    <row r="113" spans="1:19" x14ac:dyDescent="0.2">
      <c r="A113" s="398"/>
      <c r="B113" s="399"/>
      <c r="C113" s="400"/>
      <c r="D113" s="401"/>
      <c r="E113" s="401"/>
      <c r="F113" s="401"/>
      <c r="G113" s="401"/>
      <c r="H113" s="401"/>
      <c r="I113" s="401"/>
      <c r="J113" s="401"/>
      <c r="K113" s="401"/>
      <c r="L113" s="401"/>
      <c r="M113" s="401"/>
      <c r="N113" s="415"/>
      <c r="O113" s="415"/>
      <c r="P113" s="415"/>
      <c r="Q113" s="401"/>
      <c r="R113" s="325"/>
      <c r="S113" s="325"/>
    </row>
    <row r="114" spans="1:19" x14ac:dyDescent="0.2">
      <c r="A114" s="398"/>
      <c r="B114" s="399"/>
      <c r="C114" s="400"/>
      <c r="D114" s="401"/>
      <c r="E114" s="401"/>
      <c r="F114" s="401"/>
      <c r="G114" s="401"/>
      <c r="H114" s="401"/>
      <c r="I114" s="401"/>
      <c r="J114" s="401"/>
      <c r="K114" s="401"/>
      <c r="L114" s="401"/>
      <c r="M114" s="401"/>
      <c r="N114" s="415"/>
      <c r="O114" s="415"/>
      <c r="P114" s="415"/>
      <c r="Q114" s="401"/>
      <c r="R114" s="325"/>
      <c r="S114" s="325"/>
    </row>
    <row r="115" spans="1:19" x14ac:dyDescent="0.2">
      <c r="A115" s="398"/>
      <c r="B115" s="399"/>
      <c r="C115" s="400"/>
      <c r="D115" s="401"/>
      <c r="E115" s="401"/>
      <c r="F115" s="401"/>
      <c r="G115" s="401"/>
      <c r="H115" s="401"/>
      <c r="I115" s="401"/>
      <c r="J115" s="401"/>
      <c r="K115" s="401"/>
      <c r="L115" s="401"/>
      <c r="M115" s="401"/>
      <c r="N115" s="415"/>
      <c r="O115" s="415"/>
      <c r="P115" s="415"/>
      <c r="Q115" s="401"/>
      <c r="R115" s="325"/>
      <c r="S115" s="325"/>
    </row>
    <row r="116" spans="1:19" x14ac:dyDescent="0.2">
      <c r="A116" s="398"/>
      <c r="B116" s="399"/>
      <c r="C116" s="400"/>
      <c r="D116" s="401"/>
      <c r="E116" s="401"/>
      <c r="F116" s="401"/>
      <c r="G116" s="401"/>
      <c r="H116" s="401"/>
      <c r="I116" s="401"/>
      <c r="J116" s="401"/>
      <c r="K116" s="401"/>
      <c r="L116" s="401"/>
      <c r="M116" s="401"/>
      <c r="N116" s="401"/>
      <c r="O116" s="401"/>
      <c r="P116" s="401"/>
      <c r="Q116" s="401"/>
      <c r="R116" s="325"/>
      <c r="S116" s="325"/>
    </row>
    <row r="117" spans="1:19" x14ac:dyDescent="0.2">
      <c r="A117" s="416"/>
      <c r="B117" s="417"/>
      <c r="C117" s="418"/>
      <c r="D117" s="327"/>
      <c r="E117" s="327"/>
      <c r="F117" s="327"/>
      <c r="G117" s="327"/>
      <c r="H117" s="327"/>
      <c r="I117" s="327"/>
      <c r="J117" s="325"/>
      <c r="K117" s="325"/>
      <c r="L117" s="325"/>
      <c r="M117" s="325"/>
      <c r="N117" s="325"/>
      <c r="O117" s="325"/>
      <c r="P117" s="325"/>
      <c r="Q117" s="325"/>
      <c r="R117" s="325"/>
      <c r="S117" s="325"/>
    </row>
    <row r="118" spans="1:19" x14ac:dyDescent="0.2">
      <c r="A118" s="416"/>
      <c r="B118" s="417"/>
      <c r="C118" s="418"/>
      <c r="D118" s="327"/>
      <c r="E118" s="327"/>
      <c r="F118" s="327"/>
      <c r="G118" s="327"/>
      <c r="H118" s="327"/>
      <c r="I118" s="327"/>
      <c r="J118" s="325"/>
      <c r="K118" s="325"/>
      <c r="L118" s="325"/>
      <c r="M118" s="325"/>
      <c r="N118" s="325"/>
      <c r="O118" s="325"/>
      <c r="P118" s="325"/>
      <c r="Q118" s="325"/>
      <c r="R118" s="325"/>
      <c r="S118" s="325"/>
    </row>
    <row r="119" spans="1:19" x14ac:dyDescent="0.2">
      <c r="A119" s="416"/>
      <c r="B119" s="417"/>
      <c r="C119" s="418"/>
      <c r="D119" s="327"/>
      <c r="E119" s="327"/>
      <c r="F119" s="327"/>
      <c r="G119" s="327"/>
      <c r="H119" s="327"/>
      <c r="I119" s="327"/>
      <c r="J119" s="325"/>
      <c r="K119" s="325"/>
      <c r="L119" s="325"/>
      <c r="M119" s="325"/>
      <c r="N119" s="325"/>
      <c r="O119" s="325"/>
      <c r="P119" s="325"/>
      <c r="Q119" s="325"/>
      <c r="R119" s="325"/>
      <c r="S119" s="325"/>
    </row>
  </sheetData>
  <sheetProtection algorithmName="SHA-512" hashValue="8zBwi8sIRvz2MZyAvHnILjE0xHSwLEfwmApvJFDFQNZ7nO4W8V3A/IxQ2F6laHdqhAVWbPq55X192sTnHZZYYg==" saltValue="wgIpU36Knq+oIbzWhgj11Q=="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2"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V10" sqref="V10"/>
    </sheetView>
  </sheetViews>
  <sheetFormatPr defaultColWidth="9.140625" defaultRowHeight="12.75" x14ac:dyDescent="0.2"/>
  <cols>
    <col min="1" max="1" width="8.140625" style="454" bestFit="1" customWidth="1"/>
    <col min="2" max="13" width="6" style="57" customWidth="1"/>
    <col min="14" max="14" width="6" style="56" customWidth="1"/>
    <col min="15" max="15" width="6" style="57" customWidth="1"/>
    <col min="16" max="16" width="2.140625" style="57" customWidth="1"/>
    <col min="17" max="17" width="7.85546875" style="454" bestFit="1" customWidth="1"/>
    <col min="18" max="31" width="6" style="57" customWidth="1"/>
    <col min="32" max="32" width="2.140625" style="57" customWidth="1"/>
    <col min="33" max="33" width="7.85546875" style="454" bestFit="1" customWidth="1"/>
    <col min="34" max="45" width="6" style="57" customWidth="1"/>
    <col min="46" max="16384" width="9.140625" style="57"/>
  </cols>
  <sheetData>
    <row r="1" spans="1:45" s="456" customFormat="1" ht="24.75" customHeight="1" x14ac:dyDescent="0.25"/>
    <row r="2" spans="1:45" s="457" customFormat="1" x14ac:dyDescent="0.2">
      <c r="A2" s="454" t="s">
        <v>14</v>
      </c>
      <c r="B2" s="50" t="s">
        <v>917</v>
      </c>
      <c r="C2" s="50" t="s">
        <v>918</v>
      </c>
      <c r="D2" s="50" t="s">
        <v>919</v>
      </c>
      <c r="E2" s="50" t="s">
        <v>407</v>
      </c>
      <c r="F2" s="50" t="s">
        <v>920</v>
      </c>
      <c r="G2" s="50" t="s">
        <v>921</v>
      </c>
      <c r="H2" s="50" t="s">
        <v>922</v>
      </c>
      <c r="I2" s="50" t="s">
        <v>923</v>
      </c>
      <c r="J2" s="50" t="s">
        <v>924</v>
      </c>
      <c r="K2" s="50" t="s">
        <v>408</v>
      </c>
      <c r="L2" s="50" t="s">
        <v>925</v>
      </c>
      <c r="M2" s="50" t="s">
        <v>926</v>
      </c>
      <c r="N2" s="50" t="s">
        <v>927</v>
      </c>
      <c r="O2" s="50" t="s">
        <v>928</v>
      </c>
      <c r="P2" s="57"/>
      <c r="Q2" s="454" t="s">
        <v>14</v>
      </c>
      <c r="R2" s="50" t="s">
        <v>903</v>
      </c>
      <c r="S2" s="50" t="s">
        <v>904</v>
      </c>
      <c r="T2" s="50" t="s">
        <v>905</v>
      </c>
      <c r="U2" s="50" t="s">
        <v>906</v>
      </c>
      <c r="V2" s="50" t="s">
        <v>907</v>
      </c>
      <c r="W2" s="50" t="s">
        <v>908</v>
      </c>
      <c r="X2" s="50" t="s">
        <v>909</v>
      </c>
      <c r="Y2" s="50" t="s">
        <v>910</v>
      </c>
      <c r="Z2" s="50" t="s">
        <v>911</v>
      </c>
      <c r="AA2" s="50" t="s">
        <v>912</v>
      </c>
      <c r="AB2" s="50" t="s">
        <v>913</v>
      </c>
      <c r="AC2" s="50" t="s">
        <v>914</v>
      </c>
      <c r="AD2" s="50" t="s">
        <v>915</v>
      </c>
      <c r="AE2" s="50" t="s">
        <v>916</v>
      </c>
      <c r="AF2" s="57"/>
      <c r="AG2" s="454" t="s">
        <v>14</v>
      </c>
      <c r="AH2" s="92" t="s">
        <v>891</v>
      </c>
      <c r="AI2" s="92" t="s">
        <v>892</v>
      </c>
      <c r="AJ2" s="92" t="s">
        <v>893</v>
      </c>
      <c r="AK2" s="92" t="s">
        <v>894</v>
      </c>
      <c r="AL2" s="92" t="s">
        <v>895</v>
      </c>
      <c r="AM2" s="92" t="s">
        <v>896</v>
      </c>
      <c r="AN2" s="92" t="s">
        <v>897</v>
      </c>
      <c r="AO2" s="92" t="s">
        <v>898</v>
      </c>
      <c r="AP2" s="92" t="s">
        <v>899</v>
      </c>
      <c r="AQ2" s="92" t="s">
        <v>900</v>
      </c>
      <c r="AR2" s="92" t="s">
        <v>901</v>
      </c>
      <c r="AS2" s="92" t="s">
        <v>902</v>
      </c>
    </row>
    <row r="3" spans="1:45" x14ac:dyDescent="0.2">
      <c r="B3" s="488"/>
      <c r="C3" s="488"/>
      <c r="D3" s="488"/>
      <c r="E3" s="488"/>
      <c r="F3" s="488"/>
      <c r="G3" s="488"/>
      <c r="H3" s="488"/>
      <c r="I3" s="488"/>
      <c r="J3" s="488"/>
      <c r="K3" s="488"/>
      <c r="L3" s="50"/>
      <c r="M3" s="50"/>
      <c r="N3" s="50"/>
      <c r="O3" s="51"/>
      <c r="R3" s="50"/>
      <c r="S3" s="50"/>
      <c r="T3" s="50"/>
      <c r="U3" s="50"/>
      <c r="V3" s="50"/>
      <c r="W3" s="50"/>
      <c r="X3" s="50"/>
      <c r="Y3" s="50"/>
      <c r="Z3" s="50"/>
      <c r="AA3" s="50"/>
      <c r="AB3" s="92"/>
      <c r="AC3" s="92"/>
      <c r="AD3" s="55"/>
      <c r="AE3" s="51"/>
      <c r="AH3" s="92"/>
      <c r="AI3" s="92"/>
      <c r="AJ3" s="92"/>
      <c r="AK3" s="92"/>
      <c r="AL3" s="92"/>
      <c r="AM3" s="92"/>
      <c r="AN3" s="92"/>
      <c r="AO3" s="92"/>
      <c r="AP3" s="92"/>
      <c r="AQ3" s="92"/>
      <c r="AR3" s="92"/>
      <c r="AS3" s="92"/>
    </row>
  </sheetData>
  <sheetProtection algorithmName="SHA-512" hashValue="C2U2Kvolqhhop8S5bDGNcpM9xAHc9YIlesfCvp+eIiQ26ZM6zK5FNGSf30QWGnDesvt28m1Pucwb10b9TakaqQ==" saltValue="KJC69WOfpC/O7FACArYx/g==" spinCount="100000" sheet="1" objects="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8" t="s">
        <v>116</v>
      </c>
    </row>
    <row r="2" spans="3:8" x14ac:dyDescent="0.2">
      <c r="E2" s="79" t="s">
        <v>117</v>
      </c>
    </row>
    <row r="3" spans="3:8" x14ac:dyDescent="0.2">
      <c r="E3" s="79" t="s">
        <v>118</v>
      </c>
    </row>
    <row r="6" spans="3:8" ht="26.25" x14ac:dyDescent="0.4">
      <c r="E6" s="85" t="s">
        <v>119</v>
      </c>
    </row>
    <row r="8" spans="3:8" ht="20.25" x14ac:dyDescent="0.3">
      <c r="C8" s="90"/>
      <c r="D8" s="82"/>
      <c r="E8" s="82"/>
    </row>
    <row r="9" spans="3:8" ht="15.75" x14ac:dyDescent="0.25">
      <c r="C9" s="83" t="s">
        <v>41</v>
      </c>
      <c r="D9" s="84" t="e">
        <f>Main!D5</f>
        <v>#N/A</v>
      </c>
    </row>
    <row r="10" spans="3:8" ht="15.75" x14ac:dyDescent="0.25">
      <c r="C10" s="83" t="s">
        <v>120</v>
      </c>
      <c r="D10" s="562">
        <f>Main!D3</f>
        <v>0</v>
      </c>
      <c r="E10" s="562"/>
      <c r="F10" s="562"/>
    </row>
    <row r="11" spans="3:8" ht="15.75" x14ac:dyDescent="0.25">
      <c r="C11" s="83" t="s">
        <v>233</v>
      </c>
      <c r="D11" s="86" t="e">
        <f>Main!D6</f>
        <v>#N/A</v>
      </c>
    </row>
    <row r="14" spans="3:8" ht="15.75" x14ac:dyDescent="0.25">
      <c r="C14" s="88" t="s">
        <v>121</v>
      </c>
      <c r="E14" s="86"/>
      <c r="F14" s="87" t="s">
        <v>122</v>
      </c>
      <c r="G14" s="86"/>
      <c r="H14" s="86"/>
    </row>
    <row r="15" spans="3:8" ht="15.75" customHeight="1" x14ac:dyDescent="0.2">
      <c r="C15" s="138"/>
      <c r="D15" s="81"/>
      <c r="E15" s="561" t="s">
        <v>385</v>
      </c>
      <c r="F15" s="561"/>
      <c r="G15" s="561"/>
      <c r="H15" s="561"/>
    </row>
    <row r="16" spans="3:8" ht="15" x14ac:dyDescent="0.2">
      <c r="C16" s="138"/>
      <c r="D16" s="80"/>
      <c r="E16" s="306" t="s">
        <v>124</v>
      </c>
      <c r="F16" s="306"/>
      <c r="G16" s="306"/>
      <c r="H16" s="306"/>
    </row>
    <row r="17" spans="3:8" ht="15" x14ac:dyDescent="0.2">
      <c r="C17" s="138"/>
      <c r="D17" s="80"/>
      <c r="E17" s="560" t="s">
        <v>125</v>
      </c>
      <c r="F17" s="560"/>
      <c r="G17" s="560"/>
      <c r="H17" s="560"/>
    </row>
    <row r="18" spans="3:8" ht="15" x14ac:dyDescent="0.2">
      <c r="C18" s="138"/>
      <c r="D18" s="80"/>
      <c r="E18" s="560" t="s">
        <v>6</v>
      </c>
      <c r="F18" s="560"/>
      <c r="G18" s="560"/>
      <c r="H18" s="560"/>
    </row>
    <row r="19" spans="3:8" ht="15" x14ac:dyDescent="0.2">
      <c r="C19" s="138"/>
      <c r="D19" s="80"/>
      <c r="E19" s="560" t="s">
        <v>130</v>
      </c>
      <c r="F19" s="560"/>
      <c r="G19" s="560"/>
      <c r="H19" s="560"/>
    </row>
    <row r="20" spans="3:8" ht="15" x14ac:dyDescent="0.2">
      <c r="C20" s="138"/>
      <c r="D20" s="80"/>
      <c r="E20" s="560" t="s">
        <v>127</v>
      </c>
      <c r="F20" s="560"/>
      <c r="G20" s="560"/>
      <c r="H20" s="560"/>
    </row>
    <row r="21" spans="3:8" ht="15" x14ac:dyDescent="0.2">
      <c r="C21" s="138"/>
      <c r="D21" s="80"/>
      <c r="E21" s="560" t="s">
        <v>128</v>
      </c>
      <c r="F21" s="560"/>
      <c r="G21" s="560"/>
      <c r="H21" s="560"/>
    </row>
    <row r="22" spans="3:8" ht="15" x14ac:dyDescent="0.2">
      <c r="C22" s="138"/>
      <c r="D22" s="80"/>
      <c r="E22" s="560" t="s">
        <v>106</v>
      </c>
      <c r="F22" s="560"/>
      <c r="G22" s="560"/>
      <c r="H22" s="560"/>
    </row>
    <row r="23" spans="3:8" ht="15" x14ac:dyDescent="0.2">
      <c r="C23" s="138"/>
      <c r="D23" s="80"/>
      <c r="E23" s="560" t="s">
        <v>129</v>
      </c>
      <c r="F23" s="560"/>
      <c r="G23" s="560"/>
      <c r="H23" s="560"/>
    </row>
    <row r="24" spans="3:8" ht="15" x14ac:dyDescent="0.2">
      <c r="C24" s="89"/>
      <c r="D24" s="80"/>
      <c r="E24" s="560" t="s">
        <v>149</v>
      </c>
      <c r="F24" s="560"/>
      <c r="G24" s="560"/>
      <c r="H24" s="560"/>
    </row>
    <row r="25" spans="3:8" ht="15" x14ac:dyDescent="0.2">
      <c r="C25" s="89"/>
      <c r="D25" s="80"/>
      <c r="E25" s="560"/>
      <c r="F25" s="560"/>
      <c r="G25" s="560"/>
      <c r="H25" s="560"/>
    </row>
    <row r="26" spans="3:8" ht="15" x14ac:dyDescent="0.2">
      <c r="C26" s="89"/>
      <c r="D26" s="80"/>
      <c r="E26" s="560"/>
      <c r="F26" s="560"/>
      <c r="G26" s="560"/>
      <c r="H26" s="560"/>
    </row>
    <row r="27" spans="3:8" ht="15" x14ac:dyDescent="0.2">
      <c r="C27" s="89"/>
      <c r="D27" s="80"/>
      <c r="E27" s="560"/>
      <c r="F27" s="560"/>
      <c r="G27" s="560"/>
      <c r="H27" s="560"/>
    </row>
    <row r="28" spans="3:8" ht="15" x14ac:dyDescent="0.2">
      <c r="C28" s="89"/>
      <c r="D28" s="80"/>
      <c r="E28" s="560"/>
      <c r="F28" s="560"/>
      <c r="G28" s="560"/>
      <c r="H28" s="560"/>
    </row>
    <row r="29" spans="3:8" ht="15" x14ac:dyDescent="0.2">
      <c r="C29" s="89"/>
      <c r="D29" s="80"/>
      <c r="E29" s="560"/>
      <c r="F29" s="560"/>
      <c r="G29" s="560"/>
      <c r="H29" s="560"/>
    </row>
    <row r="30" spans="3:8" ht="15" x14ac:dyDescent="0.2">
      <c r="C30" s="89"/>
      <c r="D30" s="80"/>
      <c r="E30" s="560"/>
      <c r="F30" s="560"/>
      <c r="G30" s="560"/>
      <c r="H30" s="560"/>
    </row>
    <row r="31" spans="3:8" ht="15" x14ac:dyDescent="0.2">
      <c r="C31" s="265" t="s">
        <v>386</v>
      </c>
      <c r="E31" s="560"/>
      <c r="F31" s="560"/>
      <c r="G31" s="560"/>
      <c r="H31" s="560"/>
    </row>
    <row r="32" spans="3:8" ht="15" x14ac:dyDescent="0.2">
      <c r="C32" s="89"/>
      <c r="D32" s="80"/>
      <c r="E32" s="560"/>
      <c r="F32" s="560"/>
      <c r="G32" s="560"/>
      <c r="H32" s="560"/>
    </row>
    <row r="33" spans="3:8" ht="15" x14ac:dyDescent="0.2">
      <c r="C33" s="89"/>
      <c r="D33" s="80"/>
      <c r="E33" s="560"/>
      <c r="F33" s="560"/>
      <c r="G33" s="560"/>
      <c r="H33" s="560"/>
    </row>
    <row r="34" spans="3:8" ht="15" x14ac:dyDescent="0.2">
      <c r="C34" s="89"/>
      <c r="D34" s="80"/>
      <c r="E34" s="560"/>
      <c r="F34" s="560"/>
      <c r="G34" s="560"/>
      <c r="H34" s="560"/>
    </row>
    <row r="35" spans="3:8" ht="15" x14ac:dyDescent="0.2">
      <c r="C35" s="89"/>
      <c r="D35" s="80"/>
      <c r="E35" s="560"/>
      <c r="F35" s="560"/>
      <c r="G35" s="560"/>
      <c r="H35" s="560"/>
    </row>
    <row r="36" spans="3:8" ht="15" x14ac:dyDescent="0.2">
      <c r="C36" s="80"/>
      <c r="D36" s="80"/>
      <c r="E36" s="560"/>
      <c r="F36" s="560"/>
      <c r="G36" s="560"/>
      <c r="H36" s="560"/>
    </row>
    <row r="37" spans="3:8" x14ac:dyDescent="0.2">
      <c r="C37" s="80"/>
      <c r="D37" s="80"/>
      <c r="E37" s="80"/>
    </row>
    <row r="38" spans="3:8" x14ac:dyDescent="0.2">
      <c r="C38" s="80"/>
      <c r="D38" s="80"/>
      <c r="E38" s="80"/>
    </row>
    <row r="39" spans="3:8" x14ac:dyDescent="0.2">
      <c r="C39" s="80"/>
      <c r="D39" s="80"/>
      <c r="E39" s="80"/>
    </row>
    <row r="40" spans="3:8" x14ac:dyDescent="0.2">
      <c r="C40" s="80"/>
      <c r="D40" s="80"/>
      <c r="E40" s="80"/>
    </row>
    <row r="41" spans="3:8" x14ac:dyDescent="0.2">
      <c r="C41" s="80"/>
      <c r="D41" s="80"/>
      <c r="E41" s="80"/>
    </row>
    <row r="42" spans="3:8" x14ac:dyDescent="0.2">
      <c r="D42" s="80"/>
      <c r="E42" s="80"/>
    </row>
    <row r="43" spans="3:8" x14ac:dyDescent="0.2">
      <c r="D43" s="80"/>
      <c r="E43" s="80"/>
    </row>
    <row r="44" spans="3:8" x14ac:dyDescent="0.2">
      <c r="D44" s="80"/>
      <c r="E44" s="80"/>
    </row>
    <row r="45" spans="3:8" x14ac:dyDescent="0.2">
      <c r="D45" s="80"/>
    </row>
    <row r="46" spans="3:8" x14ac:dyDescent="0.2">
      <c r="D46" s="80"/>
    </row>
  </sheetData>
  <sheetProtection algorithmName="SHA-512" hashValue="49ZwKUsBBRYlZeQZo6ekmLOhlblRbDw+ilngsJQfo3GsXUpjuisY6d3bz6djt4QKFvGcUE9UVVoFu9uVUH0IFQ==" saltValue="f6PfTw6cJquGo+LWmhSiNw=="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17" zoomScale="70" zoomScaleNormal="100" zoomScaleSheetLayoutView="70" workbookViewId="0">
      <selection activeCell="N26" sqref="N26"/>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6"/>
      <c r="D1" s="579" t="s">
        <v>116</v>
      </c>
      <c r="E1" s="579"/>
      <c r="F1" s="579"/>
      <c r="G1" s="579"/>
      <c r="H1" s="579"/>
      <c r="I1" s="579"/>
      <c r="J1" s="579"/>
      <c r="K1" s="579"/>
      <c r="L1" s="579"/>
      <c r="M1" s="579"/>
    </row>
    <row r="2" spans="1:18" ht="23.25" customHeight="1" x14ac:dyDescent="0.3">
      <c r="C2" s="247"/>
      <c r="D2" s="247" t="s">
        <v>325</v>
      </c>
      <c r="E2" s="247"/>
      <c r="F2" s="247"/>
      <c r="G2" s="247"/>
      <c r="H2" s="247"/>
      <c r="I2" s="247"/>
      <c r="J2" s="247"/>
      <c r="K2" s="247"/>
      <c r="L2" s="247"/>
      <c r="M2" s="247"/>
    </row>
    <row r="3" spans="1:18" ht="23.25" x14ac:dyDescent="0.35">
      <c r="C3" s="580"/>
      <c r="D3" s="580"/>
      <c r="E3" s="580"/>
      <c r="F3" s="580"/>
      <c r="G3" s="580"/>
      <c r="H3" s="580"/>
      <c r="I3" s="580"/>
      <c r="J3" s="580"/>
      <c r="K3" s="580"/>
      <c r="L3" s="580"/>
      <c r="M3" s="580"/>
    </row>
    <row r="4" spans="1:18" ht="23.25" x14ac:dyDescent="0.35">
      <c r="C4" s="231"/>
      <c r="D4" s="231"/>
      <c r="E4" s="231"/>
      <c r="F4" s="231"/>
      <c r="G4" s="231"/>
      <c r="H4" s="231"/>
      <c r="I4" s="231"/>
      <c r="J4" s="231"/>
      <c r="K4" s="231"/>
      <c r="L4" s="231"/>
      <c r="M4" s="231"/>
    </row>
    <row r="5" spans="1:18" ht="23.25" x14ac:dyDescent="0.35">
      <c r="C5" s="597" t="s">
        <v>6</v>
      </c>
      <c r="D5" s="597"/>
      <c r="E5" s="597"/>
      <c r="F5" s="597"/>
      <c r="G5" s="597"/>
      <c r="H5" s="597"/>
      <c r="I5" s="597"/>
      <c r="J5" s="597"/>
      <c r="K5" s="597"/>
      <c r="L5" s="597"/>
      <c r="M5" s="597"/>
    </row>
    <row r="6" spans="1:18" ht="23.25" x14ac:dyDescent="0.35">
      <c r="C6" s="232"/>
      <c r="D6" s="232"/>
      <c r="E6" s="563" t="str">
        <f>IFERROR(CONCATENATE("Report Number: ", WorkItemNumber),"")</f>
        <v/>
      </c>
      <c r="F6" s="563"/>
      <c r="G6" s="563"/>
      <c r="H6" s="563"/>
      <c r="I6" s="563"/>
      <c r="J6" s="563"/>
      <c r="K6" s="563"/>
      <c r="L6" s="232"/>
      <c r="M6" s="232"/>
    </row>
    <row r="7" spans="1:18" ht="18.75" customHeight="1" x14ac:dyDescent="0.3">
      <c r="G7" s="575"/>
      <c r="H7" s="575"/>
      <c r="I7" s="206"/>
      <c r="R7" t="str">
        <f>CONCATENATE("Page ",Main!L9," of ",Main!L10)</f>
        <v xml:space="preserve">Page  of </v>
      </c>
    </row>
    <row r="8" spans="1:18" ht="18" customHeight="1" x14ac:dyDescent="0.25">
      <c r="G8" s="592"/>
      <c r="H8" s="592"/>
      <c r="J8" s="86"/>
      <c r="K8" s="233" t="s">
        <v>322</v>
      </c>
      <c r="L8" s="576">
        <f>FormNumber</f>
        <v>0</v>
      </c>
      <c r="M8" s="576"/>
      <c r="N8" s="576"/>
      <c r="O8" s="576"/>
    </row>
    <row r="9" spans="1:18" ht="18" customHeight="1" x14ac:dyDescent="0.25">
      <c r="A9" s="233" t="s">
        <v>279</v>
      </c>
      <c r="B9" s="36" t="e">
        <f>Main!D5</f>
        <v>#N/A</v>
      </c>
      <c r="J9" s="86"/>
      <c r="K9" s="233" t="s">
        <v>323</v>
      </c>
      <c r="L9" s="577">
        <f>CalMethod</f>
        <v>0</v>
      </c>
      <c r="M9" s="577"/>
      <c r="N9" s="577"/>
      <c r="O9" s="577"/>
    </row>
    <row r="10" spans="1:18" ht="18" customHeight="1" x14ac:dyDescent="0.25">
      <c r="A10" s="95"/>
      <c r="B10" s="228" t="str" cm="1">
        <f t="array" ref="B10">IFERROR(_xlfn.XLOOKUP(clientCompanyId,customers_table[company_id],customers_table[Address1]),"")</f>
        <v/>
      </c>
      <c r="J10" s="86"/>
      <c r="K10" s="233"/>
      <c r="L10" s="577"/>
      <c r="M10" s="577"/>
      <c r="N10" s="577"/>
      <c r="O10" s="577"/>
    </row>
    <row r="11" spans="1:18" ht="18" customHeight="1" x14ac:dyDescent="0.25">
      <c r="A11" s="95"/>
      <c r="B11" s="228" t="str" cm="1">
        <f t="array" ref="B11">IFERROR(_xlfn.XLOOKUP(clientCompanyId,customers_table[company_id],customers_table[Merged]),"")</f>
        <v/>
      </c>
      <c r="J11" s="86"/>
      <c r="K11" s="233" t="s">
        <v>324</v>
      </c>
      <c r="L11" s="576">
        <f>TolSource</f>
        <v>0</v>
      </c>
      <c r="M11" s="576"/>
      <c r="N11" s="576"/>
      <c r="O11" s="576"/>
    </row>
    <row r="12" spans="1:18" ht="18" customHeight="1" x14ac:dyDescent="0.25">
      <c r="A12" s="95"/>
      <c r="B12" s="228" t="str" cm="1">
        <f t="array" ref="B12">IFZERO(AddressLine3,"")</f>
        <v/>
      </c>
      <c r="J12" s="86"/>
      <c r="K12" s="233"/>
      <c r="L12" s="234"/>
      <c r="M12" s="234"/>
      <c r="N12" s="234"/>
      <c r="O12" s="234"/>
    </row>
    <row r="13" spans="1:18" ht="8.1" customHeight="1" x14ac:dyDescent="0.2">
      <c r="A13" s="95"/>
      <c r="K13" s="221"/>
    </row>
    <row r="14" spans="1:18" ht="18" customHeight="1" x14ac:dyDescent="0.25">
      <c r="A14" s="238" t="s">
        <v>280</v>
      </c>
      <c r="B14" s="235">
        <f>Item</f>
        <v>0</v>
      </c>
      <c r="C14" s="236"/>
      <c r="D14" s="236"/>
      <c r="E14" s="236"/>
      <c r="F14" s="210"/>
      <c r="G14" s="224" t="s">
        <v>285</v>
      </c>
      <c r="H14" s="235">
        <f>Range</f>
        <v>0</v>
      </c>
      <c r="I14" s="210"/>
      <c r="J14" s="210"/>
      <c r="K14" s="210"/>
      <c r="L14" s="210"/>
      <c r="M14" s="224" t="s">
        <v>290</v>
      </c>
      <c r="N14" s="235" t="str">
        <f>Main!D7</f>
        <v>Jeff Hall</v>
      </c>
      <c r="O14" s="211"/>
    </row>
    <row r="15" spans="1:18" ht="18" customHeight="1" x14ac:dyDescent="0.25">
      <c r="A15" s="239" t="s">
        <v>281</v>
      </c>
      <c r="B15" s="237">
        <f>ModelNumber</f>
        <v>0</v>
      </c>
      <c r="C15" s="228"/>
      <c r="D15" s="228"/>
      <c r="E15" s="228"/>
      <c r="G15" s="233" t="s">
        <v>286</v>
      </c>
      <c r="H15" s="237">
        <f>Tolerance</f>
        <v>0</v>
      </c>
      <c r="M15" s="233" t="s">
        <v>291</v>
      </c>
      <c r="N15" s="241">
        <f>Main!D3</f>
        <v>0</v>
      </c>
      <c r="O15" s="212"/>
    </row>
    <row r="16" spans="1:18" ht="18" customHeight="1" x14ac:dyDescent="0.25">
      <c r="A16" s="239" t="s">
        <v>282</v>
      </c>
      <c r="B16" s="594">
        <f>SerialNumber</f>
        <v>0</v>
      </c>
      <c r="C16" s="594"/>
      <c r="D16" s="594"/>
      <c r="E16" s="594"/>
      <c r="G16" s="233" t="s">
        <v>287</v>
      </c>
      <c r="H16" s="237">
        <f>HeatingMethod</f>
        <v>0</v>
      </c>
      <c r="M16" s="233" t="s">
        <v>292</v>
      </c>
      <c r="N16" s="241" t="e">
        <f>IF(CalInterval="N/A", "N/A", EDATE(N15, CHOOSE(MATCH(CalInterval, {"M","2 Mo","Q","4 Mo","6 Mo","A","2Yr","3Yr"}, 0), 1, 2, 3, 4, 6, 12, 24, 36)))</f>
        <v>#N/A</v>
      </c>
      <c r="O16" s="212"/>
    </row>
    <row r="17" spans="1:19" ht="18" customHeight="1" x14ac:dyDescent="0.25">
      <c r="A17" s="239" t="s">
        <v>283</v>
      </c>
      <c r="B17" s="262">
        <f>UnitNumber</f>
        <v>0</v>
      </c>
      <c r="C17" s="228"/>
      <c r="D17" s="228"/>
      <c r="E17" s="228"/>
      <c r="G17" s="233" t="s">
        <v>288</v>
      </c>
      <c r="H17" s="237">
        <f>WorkingZoneSize</f>
        <v>0</v>
      </c>
      <c r="M17" s="233" t="str">
        <f>IF(Main!K13="","","PO:")</f>
        <v/>
      </c>
      <c r="N17" s="237" t="str">
        <f>IF(Main!K13="","",Main!K13)</f>
        <v/>
      </c>
      <c r="O17" s="212"/>
    </row>
    <row r="18" spans="1:19" ht="18" customHeight="1" x14ac:dyDescent="0.25">
      <c r="A18" s="239" t="s">
        <v>284</v>
      </c>
      <c r="B18" s="583">
        <f>Class</f>
        <v>0</v>
      </c>
      <c r="C18" s="583"/>
      <c r="D18" s="583"/>
      <c r="E18" s="583"/>
      <c r="G18" s="233" t="s">
        <v>289</v>
      </c>
      <c r="H18" s="237">
        <f>CubicFeet</f>
        <v>0</v>
      </c>
      <c r="M18" s="233" t="s">
        <v>293</v>
      </c>
      <c r="N18" s="237" t="str">
        <f>Main!G18</f>
        <v>ACCEPTED</v>
      </c>
      <c r="O18" s="212"/>
    </row>
    <row r="19" spans="1:19" ht="18" customHeight="1" x14ac:dyDescent="0.25">
      <c r="A19" s="223"/>
      <c r="B19" s="584"/>
      <c r="C19" s="584"/>
      <c r="D19" s="584"/>
      <c r="E19" s="584"/>
      <c r="F19" s="213"/>
      <c r="G19" s="225"/>
      <c r="H19" s="240"/>
      <c r="I19" s="213"/>
      <c r="J19" s="213"/>
      <c r="K19" s="213"/>
      <c r="L19" s="213"/>
      <c r="M19" s="225"/>
      <c r="N19" s="240"/>
      <c r="O19" s="214"/>
    </row>
    <row r="20" spans="1:19" ht="8.1" customHeight="1" x14ac:dyDescent="0.2">
      <c r="A20" s="41"/>
      <c r="B20" s="217"/>
      <c r="C20" s="217"/>
      <c r="D20" s="217"/>
      <c r="N20" s="220"/>
    </row>
    <row r="21" spans="1:19" ht="18" customHeight="1" x14ac:dyDescent="0.25">
      <c r="A21" s="238" t="s">
        <v>294</v>
      </c>
      <c r="B21" s="595">
        <f>Controller</f>
        <v>0</v>
      </c>
      <c r="C21" s="595"/>
      <c r="D21" s="595"/>
      <c r="E21" s="595"/>
      <c r="F21" s="224" t="s">
        <v>296</v>
      </c>
      <c r="G21" s="595">
        <f>ContSN</f>
        <v>0</v>
      </c>
      <c r="H21" s="595"/>
      <c r="I21" s="595"/>
      <c r="J21" s="224" t="s">
        <v>297</v>
      </c>
      <c r="K21" s="236">
        <f>ContTol</f>
        <v>0</v>
      </c>
      <c r="L21" s="210"/>
      <c r="M21" s="224" t="s">
        <v>298</v>
      </c>
      <c r="N21" s="249" t="str">
        <f>Main!G27</f>
        <v/>
      </c>
      <c r="O21" s="211"/>
    </row>
    <row r="22" spans="1:19" ht="18" customHeight="1" x14ac:dyDescent="0.25">
      <c r="A22" s="242" t="s">
        <v>295</v>
      </c>
      <c r="B22" s="596">
        <f>_xlnm.Recorder</f>
        <v>0</v>
      </c>
      <c r="C22" s="596"/>
      <c r="D22" s="596"/>
      <c r="E22" s="596"/>
      <c r="F22" s="225" t="s">
        <v>296</v>
      </c>
      <c r="G22" s="596">
        <f>RecSN</f>
        <v>0</v>
      </c>
      <c r="H22" s="596"/>
      <c r="I22" s="596"/>
      <c r="J22" s="225" t="s">
        <v>297</v>
      </c>
      <c r="K22" s="248">
        <f>RecTol</f>
        <v>0</v>
      </c>
      <c r="L22" s="213"/>
      <c r="M22" s="225" t="s">
        <v>298</v>
      </c>
      <c r="N22" s="250" t="str">
        <f>Main!G28</f>
        <v/>
      </c>
      <c r="O22" s="214"/>
    </row>
    <row r="23" spans="1:19" ht="8.1" customHeight="1" x14ac:dyDescent="0.25">
      <c r="A23" s="86"/>
      <c r="B23" s="228"/>
      <c r="C23" s="228"/>
      <c r="D23" s="228"/>
      <c r="E23" s="217"/>
    </row>
    <row r="24" spans="1:19" ht="18" customHeight="1" x14ac:dyDescent="0.25">
      <c r="A24" s="238" t="s">
        <v>299</v>
      </c>
      <c r="B24" s="244">
        <f>NominalTemp</f>
        <v>0</v>
      </c>
      <c r="C24" s="236"/>
      <c r="D24" s="236"/>
      <c r="E24" s="218"/>
      <c r="F24" s="210"/>
      <c r="G24" s="224" t="s">
        <v>302</v>
      </c>
      <c r="H24" s="226">
        <f>Main!D26</f>
        <v>0</v>
      </c>
      <c r="I24" s="210"/>
      <c r="J24" s="210"/>
      <c r="K24" s="210"/>
      <c r="L24" s="222"/>
      <c r="M24" s="224" t="s">
        <v>305</v>
      </c>
      <c r="N24" s="236" t="str">
        <f>TEXT(Survey!N2,"0.0") &amp; "°F / " &amp; TEXT(Survey!N3,"0.0") &amp; "°F"</f>
        <v>0.0°F / 0.0°F</v>
      </c>
      <c r="O24" s="211"/>
    </row>
    <row r="25" spans="1:19" ht="18" customHeight="1" x14ac:dyDescent="0.25">
      <c r="A25" s="239" t="s">
        <v>300</v>
      </c>
      <c r="B25" s="245">
        <f>Main!D15</f>
        <v>0</v>
      </c>
      <c r="C25" s="228"/>
      <c r="D25" s="228"/>
      <c r="E25" s="217"/>
      <c r="G25" s="233" t="s">
        <v>303</v>
      </c>
      <c r="H25" s="227" t="str">
        <f>Main!E29</f>
        <v/>
      </c>
      <c r="L25" s="86"/>
      <c r="M25" s="233" t="s">
        <v>306</v>
      </c>
      <c r="N25" s="228" t="str">
        <f>IF(Main!H15=TRUE,Main!G17,"VERIFY LOAD!!!")</f>
        <v/>
      </c>
      <c r="O25" s="212"/>
      <c r="R25" s="145"/>
      <c r="S25" s="80"/>
    </row>
    <row r="26" spans="1:19" ht="18" customHeight="1" x14ac:dyDescent="0.25">
      <c r="A26" s="239" t="s">
        <v>301</v>
      </c>
      <c r="B26" s="228" t="s">
        <v>271</v>
      </c>
      <c r="C26" s="228"/>
      <c r="D26" s="228"/>
      <c r="E26" s="217"/>
      <c r="G26" s="233" t="s">
        <v>304</v>
      </c>
      <c r="H26" s="228" t="str">
        <f>Main!I19</f>
        <v>N/A</v>
      </c>
      <c r="L26" s="86"/>
      <c r="M26" s="233" t="e">
        <f>"Uncertainty @ k="&amp;ROUND(k,1)&amp;":"</f>
        <v>#NUM!</v>
      </c>
      <c r="N26" s="228" t="e">
        <f>TEXT(Survey!J9,"0.0") &amp; "°F"</f>
        <v>#NUM!</v>
      </c>
      <c r="O26" s="212"/>
    </row>
    <row r="27" spans="1:19" ht="18" customHeight="1" x14ac:dyDescent="0.2">
      <c r="A27" s="243"/>
      <c r="B27" s="213"/>
      <c r="C27" s="593" t="s">
        <v>307</v>
      </c>
      <c r="D27" s="593"/>
      <c r="E27" s="593"/>
      <c r="F27" s="593"/>
      <c r="G27" s="593"/>
      <c r="H27" s="593"/>
      <c r="I27" s="593"/>
      <c r="J27" s="593"/>
      <c r="K27" s="593"/>
      <c r="L27" s="593"/>
      <c r="M27" s="593"/>
      <c r="N27" s="213"/>
      <c r="O27" s="214"/>
    </row>
    <row r="28" spans="1:19" ht="8.1" customHeight="1" x14ac:dyDescent="0.2"/>
    <row r="29" spans="1:19" ht="18" customHeight="1" x14ac:dyDescent="0.2">
      <c r="A29" s="589" t="s">
        <v>277</v>
      </c>
      <c r="B29" s="590"/>
      <c r="C29" s="591"/>
      <c r="D29" s="589" t="s">
        <v>308</v>
      </c>
      <c r="E29" s="590"/>
      <c r="F29" s="590"/>
      <c r="G29" s="591"/>
      <c r="H29" s="589" t="s">
        <v>278</v>
      </c>
      <c r="I29" s="590"/>
      <c r="J29" s="590"/>
      <c r="K29" s="591"/>
      <c r="L29" s="589" t="s">
        <v>259</v>
      </c>
      <c r="M29" s="590"/>
      <c r="N29" s="590"/>
      <c r="O29" s="591"/>
    </row>
    <row r="30" spans="1:19" ht="18" customHeight="1" x14ac:dyDescent="0.2">
      <c r="A30" s="229"/>
      <c r="B30" s="219">
        <f>TestLocation</f>
        <v>0</v>
      </c>
      <c r="C30" s="230"/>
      <c r="D30" s="586" t="str">
        <f>CONCATENATE(Main!D22,"°F"," / ",Main!D23,"% RH")</f>
        <v>°F / % RH</v>
      </c>
      <c r="E30" s="587"/>
      <c r="F30" s="587"/>
      <c r="G30" s="588"/>
      <c r="H30" s="586">
        <f>OvenLocation</f>
        <v>0</v>
      </c>
      <c r="I30" s="587"/>
      <c r="J30" s="587"/>
      <c r="K30" s="588"/>
      <c r="L30" s="586">
        <f>Condition</f>
        <v>0</v>
      </c>
      <c r="M30" s="587"/>
      <c r="N30" s="587"/>
      <c r="O30" s="588"/>
    </row>
    <row r="31" spans="1:19" ht="18" customHeight="1" x14ac:dyDescent="0.2"/>
    <row r="32" spans="1:19" ht="18" customHeight="1" x14ac:dyDescent="0.25">
      <c r="A32" s="252" t="s">
        <v>309</v>
      </c>
      <c r="B32" s="578" t="s">
        <v>310</v>
      </c>
      <c r="C32" s="578"/>
      <c r="D32" s="252" t="s">
        <v>273</v>
      </c>
      <c r="E32" s="252" t="s">
        <v>272</v>
      </c>
      <c r="F32" s="252" t="s">
        <v>311</v>
      </c>
      <c r="G32" s="86"/>
      <c r="H32" s="86"/>
      <c r="I32" s="252" t="s">
        <v>309</v>
      </c>
      <c r="J32" s="578" t="s">
        <v>310</v>
      </c>
      <c r="K32" s="578"/>
      <c r="L32" s="252" t="s">
        <v>273</v>
      </c>
      <c r="M32" s="252" t="s">
        <v>272</v>
      </c>
      <c r="N32" s="252" t="s">
        <v>311</v>
      </c>
    </row>
    <row r="33" spans="1:14" ht="18" customHeight="1" x14ac:dyDescent="0.2">
      <c r="A33" s="253" t="str">
        <f>IF(B33="","",1)</f>
        <v/>
      </c>
      <c r="B33" s="575" t="str">
        <f>IF(Main!O5="","",Main!O5)</f>
        <v/>
      </c>
      <c r="C33" s="575"/>
      <c r="D33" s="254" t="str" cm="1">
        <f t="array" ref="D33">IF(A33&lt;&gt;"",_xlfn.LET(
  _xlpm.temps, _xlfn._xlws.FILTER(Survey[CorrectedTemp], Survey[TestPoint] = A33),
  _xlpm.minVal, MIN(_xlpm.temps),
  _xlpm.maxVal, MAX(_xlpm.temps),
  _xlpm.avgVal, AVERAGE(_xlpm.temps),
  CHOOSE({1,2,3}, _xlpm.minVal, _xlpm.maxVal, _xlpm.avgVal)
),"")</f>
        <v/>
      </c>
      <c r="E33" s="254"/>
      <c r="F33" s="254"/>
      <c r="G33" s="86"/>
      <c r="H33" s="86"/>
      <c r="I33" s="253" t="str">
        <f>IF(J33="","",21)</f>
        <v/>
      </c>
      <c r="J33" s="575" t="str">
        <f>IF(Main!O25="","",Main!O25)</f>
        <v/>
      </c>
      <c r="K33" s="575"/>
      <c r="L33" s="254" t="str" cm="1">
        <f t="array" ref="L33">IF(I33&lt;&gt;"",_xlfn.LET(
  _xlpm.temps, _xlfn._xlws.FILTER(Survey[CorrectedTemp], Survey[TestPoint] = I33),
  _xlpm.minVal, MIN(_xlpm.temps),
  _xlpm.maxVal, MAX(_xlpm.temps),
  _xlpm.avgVal, AVERAGE(_xlpm.temps),
  CHOOSE({1,2,3}, _xlpm.minVal, _xlpm.maxVal, _xlpm.avgVal)
),"")</f>
        <v/>
      </c>
      <c r="M33" s="254"/>
      <c r="N33" s="254"/>
    </row>
    <row r="34" spans="1:14" ht="18" customHeight="1" x14ac:dyDescent="0.2">
      <c r="A34" s="253" t="str">
        <f>IF(B34="","",2)</f>
        <v/>
      </c>
      <c r="B34" s="575" t="str">
        <f>IF(Main!O6="","",Main!O6)</f>
        <v/>
      </c>
      <c r="C34" s="575"/>
      <c r="D34" s="254" t="str" cm="1">
        <f t="array" ref="D34">IF(A34&lt;&gt;"",_xlfn.LET(
  _xlpm.temps, _xlfn._xlws.FILTER(Survey[CorrectedTemp], Survey[TestPoint] = A34),
  _xlpm.minVal, MIN(_xlpm.temps),
  _xlpm.maxVal, MAX(_xlpm.temps),
  _xlpm.avgVal, AVERAGE(_xlpm.temps),
  CHOOSE({1,2,3}, _xlpm.minVal, _xlpm.maxVal, _xlpm.avgVal)
),"")</f>
        <v/>
      </c>
      <c r="E34" s="254"/>
      <c r="F34" s="254"/>
      <c r="G34" s="86"/>
      <c r="H34" s="86"/>
      <c r="I34" s="253" t="str">
        <f>IF(J34="","",22)</f>
        <v/>
      </c>
      <c r="J34" s="575" t="str">
        <f>IF(Main!O26="","",Main!O26)</f>
        <v/>
      </c>
      <c r="K34" s="575"/>
      <c r="L34" s="254" t="str" cm="1">
        <f t="array" ref="L34">IF(I34&lt;&gt;"",_xlfn.LET(
  _xlpm.temps, _xlfn._xlws.FILTER(Survey[CorrectedTemp], Survey[TestPoint] = I34),
  _xlpm.minVal, MIN(_xlpm.temps),
  _xlpm.maxVal, MAX(_xlpm.temps),
  _xlpm.avgVal, AVERAGE(_xlpm.temps),
  CHOOSE({1,2,3}, _xlpm.minVal, _xlpm.maxVal, _xlpm.avgVal)
),"")</f>
        <v/>
      </c>
      <c r="M34" s="254"/>
      <c r="N34" s="254"/>
    </row>
    <row r="35" spans="1:14" ht="18" customHeight="1" x14ac:dyDescent="0.2">
      <c r="A35" s="253" t="str">
        <f>IF(B35="","",3)</f>
        <v/>
      </c>
      <c r="B35" s="575" t="str">
        <f>IF(Main!O7="","",Main!O7)</f>
        <v/>
      </c>
      <c r="C35" s="575"/>
      <c r="D35" s="254" t="str" cm="1">
        <f t="array" ref="D35">IF(A35&lt;&gt;"",_xlfn.LET(
  _xlpm.temps, _xlfn._xlws.FILTER(Survey[CorrectedTemp], Survey[TestPoint] = A35),
  _xlpm.minVal, MIN(_xlpm.temps),
  _xlpm.maxVal, MAX(_xlpm.temps),
  _xlpm.avgVal, AVERAGE(_xlpm.temps),
  CHOOSE({1,2,3}, _xlpm.minVal, _xlpm.maxVal, _xlpm.avgVal)
),"")</f>
        <v/>
      </c>
      <c r="E35" s="254"/>
      <c r="F35" s="254"/>
      <c r="G35" s="86"/>
      <c r="H35" s="86"/>
      <c r="I35" s="253" t="str">
        <f>IF(J35="","",23)</f>
        <v/>
      </c>
      <c r="J35" s="575" t="str">
        <f>IF(Main!O27="","",Main!O27)</f>
        <v/>
      </c>
      <c r="K35" s="575"/>
      <c r="L35" s="254" t="str" cm="1">
        <f t="array" ref="L35">IF(I35&lt;&gt;"",_xlfn.LET(
  _xlpm.temps, _xlfn._xlws.FILTER(Survey[CorrectedTemp], Survey[TestPoint] = I35),
  _xlpm.minVal, MIN(_xlpm.temps),
  _xlpm.maxVal, MAX(_xlpm.temps),
  _xlpm.avgVal, AVERAGE(_xlpm.temps),
  CHOOSE({1,2,3}, _xlpm.minVal, _xlpm.maxVal, _xlpm.avgVal)
),"")</f>
        <v/>
      </c>
      <c r="M35" s="254"/>
      <c r="N35" s="254"/>
    </row>
    <row r="36" spans="1:14" ht="18" customHeight="1" x14ac:dyDescent="0.2">
      <c r="A36" s="253" t="str">
        <f>IF(B36="","",4)</f>
        <v/>
      </c>
      <c r="B36" s="575" t="str">
        <f>IF(Main!O8="","",Main!O8)</f>
        <v/>
      </c>
      <c r="C36" s="575"/>
      <c r="D36" s="254" t="str" cm="1">
        <f t="array" ref="D36">IF(A36&lt;&gt;"",_xlfn.LET(
  _xlpm.temps, _xlfn._xlws.FILTER(Survey[CorrectedTemp], Survey[TestPoint] = A36),
  _xlpm.minVal, MIN(_xlpm.temps),
  _xlpm.maxVal, MAX(_xlpm.temps),
  _xlpm.avgVal, AVERAGE(_xlpm.temps),
  CHOOSE({1,2,3}, _xlpm.minVal, _xlpm.maxVal, _xlpm.avgVal)
),"")</f>
        <v/>
      </c>
      <c r="E36" s="254"/>
      <c r="F36" s="254"/>
      <c r="G36" s="86"/>
      <c r="H36" s="86"/>
      <c r="I36" s="253" t="str">
        <f>IF(J36="","",24)</f>
        <v/>
      </c>
      <c r="J36" s="575" t="str">
        <f>IF(Main!O28="","",Main!O28)</f>
        <v/>
      </c>
      <c r="K36" s="575"/>
      <c r="L36" s="254" t="str" cm="1">
        <f t="array" ref="L36">IF(I36&lt;&gt;"",_xlfn.LET(
  _xlpm.temps, _xlfn._xlws.FILTER(Survey[CorrectedTemp], Survey[TestPoint] = I36),
  _xlpm.minVal, MIN(_xlpm.temps),
  _xlpm.maxVal, MAX(_xlpm.temps),
  _xlpm.avgVal, AVERAGE(_xlpm.temps),
  CHOOSE({1,2,3}, _xlpm.minVal, _xlpm.maxVal, _xlpm.avgVal)
),"")</f>
        <v/>
      </c>
      <c r="M36" s="254"/>
      <c r="N36" s="254"/>
    </row>
    <row r="37" spans="1:14" ht="18" customHeight="1" x14ac:dyDescent="0.2">
      <c r="A37" s="253" t="str">
        <f>IF(B37="","",5)</f>
        <v/>
      </c>
      <c r="B37" s="575" t="str">
        <f>IF(Main!O9="","",Main!O9)</f>
        <v/>
      </c>
      <c r="C37" s="575"/>
      <c r="D37" s="254" t="str" cm="1">
        <f t="array" ref="D37">IF(A37&lt;&gt;"",_xlfn.LET(
  _xlpm.temps, _xlfn._xlws.FILTER(Survey[CorrectedTemp], Survey[TestPoint] = A37),
  _xlpm.minVal, MIN(_xlpm.temps),
  _xlpm.maxVal, MAX(_xlpm.temps),
  _xlpm.avgVal, AVERAGE(_xlpm.temps),
  CHOOSE({1,2,3}, _xlpm.minVal, _xlpm.maxVal, _xlpm.avgVal)
),"")</f>
        <v/>
      </c>
      <c r="E37" s="254"/>
      <c r="F37" s="254"/>
      <c r="G37" s="86"/>
      <c r="H37" s="86"/>
      <c r="I37" s="253" t="str">
        <f>IF(J37="","",25)</f>
        <v/>
      </c>
      <c r="J37" s="575" t="str">
        <f>IF(Main!O29="","",Main!O29)</f>
        <v/>
      </c>
      <c r="K37" s="575"/>
      <c r="L37" s="254" t="str" cm="1">
        <f t="array" ref="L37">IF(I37&lt;&gt;"",_xlfn.LET(
  _xlpm.temps, _xlfn._xlws.FILTER(Survey[CorrectedTemp], Survey[TestPoint] = I37),
  _xlpm.minVal, MIN(_xlpm.temps),
  _xlpm.maxVal, MAX(_xlpm.temps),
  _xlpm.avgVal, AVERAGE(_xlpm.temps),
  CHOOSE({1,2,3}, _xlpm.minVal, _xlpm.maxVal, _xlpm.avgVal)
),"")</f>
        <v/>
      </c>
      <c r="M37" s="254"/>
      <c r="N37" s="254"/>
    </row>
    <row r="38" spans="1:14" ht="18" customHeight="1" x14ac:dyDescent="0.2">
      <c r="A38" s="253" t="str">
        <f>IF(B38="","",6)</f>
        <v/>
      </c>
      <c r="B38" s="575" t="str">
        <f>IF(Main!O10="","",Main!O10)</f>
        <v/>
      </c>
      <c r="C38" s="575"/>
      <c r="D38" s="254" t="str" cm="1">
        <f t="array" ref="D38">IF(A38&lt;&gt;"",_xlfn.LET(
  _xlpm.temps, _xlfn._xlws.FILTER(Survey[CorrectedTemp], Survey[TestPoint] = A38),
  _xlpm.minVal, MIN(_xlpm.temps),
  _xlpm.maxVal, MAX(_xlpm.temps),
  _xlpm.avgVal, AVERAGE(_xlpm.temps),
  CHOOSE({1,2,3}, _xlpm.minVal, _xlpm.maxVal, _xlpm.avgVal)
),"")</f>
        <v/>
      </c>
      <c r="E38" s="254"/>
      <c r="F38" s="254"/>
      <c r="G38" s="86"/>
      <c r="H38" s="86"/>
      <c r="I38" s="253" t="str">
        <f>IF(J38="","",26)</f>
        <v/>
      </c>
      <c r="J38" s="575" t="str">
        <f>IF(Main!O30="","",Main!O30)</f>
        <v/>
      </c>
      <c r="K38" s="575"/>
      <c r="L38" s="254" t="str" cm="1">
        <f t="array" ref="L38">IF(I38&lt;&gt;"",_xlfn.LET(
  _xlpm.temps, _xlfn._xlws.FILTER(Survey[CorrectedTemp], Survey[TestPoint] = I38),
  _xlpm.minVal, MIN(_xlpm.temps),
  _xlpm.maxVal, MAX(_xlpm.temps),
  _xlpm.avgVal, AVERAGE(_xlpm.temps),
  CHOOSE({1,2,3}, _xlpm.minVal, _xlpm.maxVal, _xlpm.avgVal)
),"")</f>
        <v/>
      </c>
      <c r="M38" s="254"/>
      <c r="N38" s="254"/>
    </row>
    <row r="39" spans="1:14" ht="18" customHeight="1" x14ac:dyDescent="0.2">
      <c r="A39" s="253" t="str">
        <f>IF(B39="","",7)</f>
        <v/>
      </c>
      <c r="B39" s="575" t="str">
        <f>IF(Main!O11="","",Main!O11)</f>
        <v/>
      </c>
      <c r="C39" s="575"/>
      <c r="D39" s="254" t="str" cm="1">
        <f t="array" ref="D39">IF(A39&lt;&gt;"",_xlfn.LET(
  _xlpm.temps, _xlfn._xlws.FILTER(Survey[CorrectedTemp], Survey[TestPoint] = A39),
  _xlpm.minVal, MIN(_xlpm.temps),
  _xlpm.maxVal, MAX(_xlpm.temps),
  _xlpm.avgVal, AVERAGE(_xlpm.temps),
  CHOOSE({1,2,3}, _xlpm.minVal, _xlpm.maxVal, _xlpm.avgVal)
),"")</f>
        <v/>
      </c>
      <c r="E39" s="254"/>
      <c r="F39" s="254"/>
      <c r="G39" s="86"/>
      <c r="H39" s="86"/>
      <c r="I39" s="253" t="str">
        <f>IF(J39="","",27)</f>
        <v/>
      </c>
      <c r="J39" s="575" t="str">
        <f>IF(Main!O31="","",Main!O31)</f>
        <v/>
      </c>
      <c r="K39" s="575"/>
      <c r="L39" s="254" t="str" cm="1">
        <f t="array" ref="L39">IF(I39&lt;&gt;"",_xlfn.LET(
  _xlpm.temps, _xlfn._xlws.FILTER(Survey[CorrectedTemp], Survey[TestPoint] = I39),
  _xlpm.minVal, MIN(_xlpm.temps),
  _xlpm.maxVal, MAX(_xlpm.temps),
  _xlpm.avgVal, AVERAGE(_xlpm.temps),
  CHOOSE({1,2,3}, _xlpm.minVal, _xlpm.maxVal, _xlpm.avgVal)
),"")</f>
        <v/>
      </c>
      <c r="M39" s="254"/>
      <c r="N39" s="254"/>
    </row>
    <row r="40" spans="1:14" ht="18" customHeight="1" x14ac:dyDescent="0.2">
      <c r="A40" s="253" t="str">
        <f>IF(B40="","",8)</f>
        <v/>
      </c>
      <c r="B40" s="575" t="str">
        <f>IF(Main!O12="","",Main!O12)</f>
        <v/>
      </c>
      <c r="C40" s="575"/>
      <c r="D40" s="254" t="str" cm="1">
        <f t="array" ref="D40">IF(A40&lt;&gt;"",_xlfn.LET(
  _xlpm.temps, _xlfn._xlws.FILTER(Survey[CorrectedTemp], Survey[TestPoint] = A40),
  _xlpm.minVal, MIN(_xlpm.temps),
  _xlpm.maxVal, MAX(_xlpm.temps),
  _xlpm.avgVal, AVERAGE(_xlpm.temps),
  CHOOSE({1,2,3}, _xlpm.minVal, _xlpm.maxVal, _xlpm.avgVal)
),"")</f>
        <v/>
      </c>
      <c r="E40" s="254"/>
      <c r="F40" s="254"/>
      <c r="G40" s="86"/>
      <c r="H40" s="86"/>
      <c r="I40" s="253" t="str">
        <f>IF(J40="","",28)</f>
        <v/>
      </c>
      <c r="J40" s="575" t="str">
        <f>IF(Main!O32="","",Main!O32)</f>
        <v/>
      </c>
      <c r="K40" s="575"/>
      <c r="L40" s="254" t="str" cm="1">
        <f t="array" ref="L40">IF(I40&lt;&gt;"",_xlfn.LET(
  _xlpm.temps, _xlfn._xlws.FILTER(Survey[CorrectedTemp], Survey[TestPoint] = I40),
  _xlpm.minVal, MIN(_xlpm.temps),
  _xlpm.maxVal, MAX(_xlpm.temps),
  _xlpm.avgVal, AVERAGE(_xlpm.temps),
  CHOOSE({1,2,3}, _xlpm.minVal, _xlpm.maxVal, _xlpm.avgVal)
),"")</f>
        <v/>
      </c>
      <c r="M40" s="254"/>
      <c r="N40" s="254"/>
    </row>
    <row r="41" spans="1:14" ht="18" customHeight="1" x14ac:dyDescent="0.2">
      <c r="A41" s="253" t="str">
        <f>IF(B41="","",9)</f>
        <v/>
      </c>
      <c r="B41" s="575" t="str">
        <f>IF(Main!O13="","",Main!O13)</f>
        <v/>
      </c>
      <c r="C41" s="575"/>
      <c r="D41" s="254" t="str" cm="1">
        <f t="array" ref="D41">IF(A41&lt;&gt;"",_xlfn.LET(
  _xlpm.temps, _xlfn._xlws.FILTER(Survey[CorrectedTemp], Survey[TestPoint] = A41),
  _xlpm.minVal, MIN(_xlpm.temps),
  _xlpm.maxVal, MAX(_xlpm.temps),
  _xlpm.avgVal, AVERAGE(_xlpm.temps),
  CHOOSE({1,2,3}, _xlpm.minVal, _xlpm.maxVal, _xlpm.avgVal)
),"")</f>
        <v/>
      </c>
      <c r="E41" s="254"/>
      <c r="F41" s="254"/>
      <c r="G41" s="86"/>
      <c r="H41" s="86"/>
      <c r="I41" s="253" t="str">
        <f>IF(J41="","",29)</f>
        <v/>
      </c>
      <c r="J41" s="575" t="str">
        <f>IF(Main!O33="","",Main!O33)</f>
        <v/>
      </c>
      <c r="K41" s="575"/>
      <c r="L41" s="254" t="str" cm="1">
        <f t="array" ref="L41">IF(I41&lt;&gt;"",_xlfn.LET(
  _xlpm.temps, _xlfn._xlws.FILTER(Survey[CorrectedTemp], Survey[TestPoint] = I41),
  _xlpm.minVal, MIN(_xlpm.temps),
  _xlpm.maxVal, MAX(_xlpm.temps),
  _xlpm.avgVal, AVERAGE(_xlpm.temps),
  CHOOSE({1,2,3}, _xlpm.minVal, _xlpm.maxVal, _xlpm.avgVal)
),"")</f>
        <v/>
      </c>
      <c r="M41" s="254"/>
      <c r="N41" s="254"/>
    </row>
    <row r="42" spans="1:14" ht="18" customHeight="1" x14ac:dyDescent="0.2">
      <c r="A42" s="253" t="str">
        <f>IF(B42="","",10)</f>
        <v/>
      </c>
      <c r="B42" s="575" t="str">
        <f>IF(Main!O14="","",Main!O14)</f>
        <v/>
      </c>
      <c r="C42" s="575"/>
      <c r="D42" s="254" t="str" cm="1">
        <f t="array" ref="D42">IF(A42&lt;&gt;"",_xlfn.LET(
  _xlpm.temps, _xlfn._xlws.FILTER(Survey[CorrectedTemp], Survey[TestPoint] = A42),
  _xlpm.minVal, MIN(_xlpm.temps),
  _xlpm.maxVal, MAX(_xlpm.temps),
  _xlpm.avgVal, AVERAGE(_xlpm.temps),
  CHOOSE({1,2,3}, _xlpm.minVal, _xlpm.maxVal, _xlpm.avgVal)
),"")</f>
        <v/>
      </c>
      <c r="E42" s="254"/>
      <c r="F42" s="254"/>
      <c r="G42" s="86"/>
      <c r="H42" s="86"/>
      <c r="I42" s="253" t="str">
        <f>IF(J42="","",30)</f>
        <v/>
      </c>
      <c r="J42" s="575" t="str">
        <f>IF(Main!O34="","",Main!O34)</f>
        <v/>
      </c>
      <c r="K42" s="575"/>
      <c r="L42" s="254" t="str" cm="1">
        <f t="array" ref="L42">IF(I42&lt;&gt;"",_xlfn.LET(
  _xlpm.temps, _xlfn._xlws.FILTER(Survey[CorrectedTemp], Survey[TestPoint] = I42),
  _xlpm.minVal, MIN(_xlpm.temps),
  _xlpm.maxVal, MAX(_xlpm.temps),
  _xlpm.avgVal, AVERAGE(_xlpm.temps),
  CHOOSE({1,2,3}, _xlpm.minVal, _xlpm.maxVal, _xlpm.avgVal)
),"")</f>
        <v/>
      </c>
      <c r="M42" s="254"/>
      <c r="N42" s="254"/>
    </row>
    <row r="43" spans="1:14" ht="18" customHeight="1" x14ac:dyDescent="0.2">
      <c r="A43" s="253" t="str">
        <f>IF(B43="","",11)</f>
        <v/>
      </c>
      <c r="B43" s="575" t="str">
        <f>IF(Main!O15="","",Main!O15)</f>
        <v/>
      </c>
      <c r="C43" s="575"/>
      <c r="D43" s="254" t="str" cm="1">
        <f t="array" ref="D43">IF(A43&lt;&gt;"",_xlfn.LET(
  _xlpm.temps, _xlfn._xlws.FILTER(Survey[CorrectedTemp], Survey[TestPoint] = A43),
  _xlpm.minVal, MIN(_xlpm.temps),
  _xlpm.maxVal, MAX(_xlpm.temps),
  _xlpm.avgVal, AVERAGE(_xlpm.temps),
  CHOOSE({1,2,3}, _xlpm.minVal, _xlpm.maxVal, _xlpm.avgVal)
),"")</f>
        <v/>
      </c>
      <c r="E43" s="254"/>
      <c r="F43" s="254"/>
      <c r="G43" s="86"/>
      <c r="H43" s="86"/>
      <c r="I43" s="253" t="str">
        <f>IF(J43="","",31)</f>
        <v/>
      </c>
      <c r="J43" s="575" t="str">
        <f>IF(Main!O35="","",Main!O35)</f>
        <v/>
      </c>
      <c r="K43" s="575"/>
      <c r="L43" s="254" t="str" cm="1">
        <f t="array" ref="L43">IF(I43&lt;&gt;"",_xlfn.LET(
  _xlpm.temps, _xlfn._xlws.FILTER(Survey[CorrectedTemp], Survey[TestPoint] = I43),
  _xlpm.minVal, MIN(_xlpm.temps),
  _xlpm.maxVal, MAX(_xlpm.temps),
  _xlpm.avgVal, AVERAGE(_xlpm.temps),
  CHOOSE({1,2,3}, _xlpm.minVal, _xlpm.maxVal, _xlpm.avgVal)
),"")</f>
        <v/>
      </c>
      <c r="M43" s="254"/>
      <c r="N43" s="254"/>
    </row>
    <row r="44" spans="1:14" ht="18" customHeight="1" x14ac:dyDescent="0.2">
      <c r="A44" s="253" t="str">
        <f>IF(B44="","",12)</f>
        <v/>
      </c>
      <c r="B44" s="575" t="str">
        <f>IF(Main!O16="","",Main!O16)</f>
        <v/>
      </c>
      <c r="C44" s="575"/>
      <c r="D44" s="254" t="str" cm="1">
        <f t="array" ref="D44">IF(A44&lt;&gt;"",_xlfn.LET(
  _xlpm.temps, _xlfn._xlws.FILTER(Survey[CorrectedTemp], Survey[TestPoint] = A44),
  _xlpm.minVal, MIN(_xlpm.temps),
  _xlpm.maxVal, MAX(_xlpm.temps),
  _xlpm.avgVal, AVERAGE(_xlpm.temps),
  CHOOSE({1,2,3}, _xlpm.minVal, _xlpm.maxVal, _xlpm.avgVal)
),"")</f>
        <v/>
      </c>
      <c r="E44" s="254"/>
      <c r="F44" s="254"/>
      <c r="G44" s="86"/>
      <c r="H44" s="86"/>
      <c r="I44" s="253" t="str">
        <f>IF(J44="","",32)</f>
        <v/>
      </c>
      <c r="J44" s="575" t="str">
        <f>IF(Main!O36="","",Main!O36)</f>
        <v/>
      </c>
      <c r="K44" s="575"/>
      <c r="L44" s="254" t="str" cm="1">
        <f t="array" ref="L44">IF(I44&lt;&gt;"",_xlfn.LET(
  _xlpm.temps, _xlfn._xlws.FILTER(Survey[CorrectedTemp], Survey[TestPoint] = I44),
  _xlpm.minVal, MIN(_xlpm.temps),
  _xlpm.maxVal, MAX(_xlpm.temps),
  _xlpm.avgVal, AVERAGE(_xlpm.temps),
  CHOOSE({1,2,3}, _xlpm.minVal, _xlpm.maxVal, _xlpm.avgVal)
),"")</f>
        <v/>
      </c>
      <c r="M44" s="254"/>
      <c r="N44" s="254"/>
    </row>
    <row r="45" spans="1:14" ht="18" customHeight="1" x14ac:dyDescent="0.2">
      <c r="A45" s="253" t="str">
        <f>IF(B45="","",13)</f>
        <v/>
      </c>
      <c r="B45" s="575" t="str">
        <f>IF(Main!O17="","",Main!O17)</f>
        <v/>
      </c>
      <c r="C45" s="575"/>
      <c r="D45" s="254" t="str" cm="1">
        <f t="array" ref="D45">IF(A45&lt;&gt;"",_xlfn.LET(
  _xlpm.temps, _xlfn._xlws.FILTER(Survey[CorrectedTemp], Survey[TestPoint] = A45),
  _xlpm.minVal, MIN(_xlpm.temps),
  _xlpm.maxVal, MAX(_xlpm.temps),
  _xlpm.avgVal, AVERAGE(_xlpm.temps),
  CHOOSE({1,2,3}, _xlpm.minVal, _xlpm.maxVal, _xlpm.avgVal)
),"")</f>
        <v/>
      </c>
      <c r="E45" s="254"/>
      <c r="F45" s="254"/>
      <c r="G45" s="86"/>
      <c r="H45" s="86"/>
      <c r="I45" s="253" t="str">
        <f>IF(J45="","",33)</f>
        <v/>
      </c>
      <c r="J45" s="575" t="str">
        <f>IF(Main!O37="","",Main!O37)</f>
        <v/>
      </c>
      <c r="K45" s="575"/>
      <c r="L45" s="254" t="str" cm="1">
        <f t="array" ref="L45">IF(I45&lt;&gt;"",_xlfn.LET(
  _xlpm.temps, _xlfn._xlws.FILTER(Survey[CorrectedTemp], Survey[TestPoint] = I45),
  _xlpm.minVal, MIN(_xlpm.temps),
  _xlpm.maxVal, MAX(_xlpm.temps),
  _xlpm.avgVal, AVERAGE(_xlpm.temps),
  CHOOSE({1,2,3}, _xlpm.minVal, _xlpm.maxVal, _xlpm.avgVal)
),"")</f>
        <v/>
      </c>
      <c r="M45" s="254"/>
      <c r="N45" s="254"/>
    </row>
    <row r="46" spans="1:14" ht="18" customHeight="1" x14ac:dyDescent="0.2">
      <c r="A46" s="253" t="str">
        <f>IF(B46="","",14)</f>
        <v/>
      </c>
      <c r="B46" s="575" t="str">
        <f>IF(Main!O18="","",Main!O18)</f>
        <v/>
      </c>
      <c r="C46" s="575"/>
      <c r="D46" s="254" t="str" cm="1">
        <f t="array" ref="D46">IF(A46&lt;&gt;"",_xlfn.LET(
  _xlpm.temps, _xlfn._xlws.FILTER(Survey[CorrectedTemp], Survey[TestPoint] = A46),
  _xlpm.minVal, MIN(_xlpm.temps),
  _xlpm.maxVal, MAX(_xlpm.temps),
  _xlpm.avgVal, AVERAGE(_xlpm.temps),
  CHOOSE({1,2,3}, _xlpm.minVal, _xlpm.maxVal, _xlpm.avgVal)
),"")</f>
        <v/>
      </c>
      <c r="E46" s="254"/>
      <c r="F46" s="254"/>
      <c r="G46" s="86"/>
      <c r="H46" s="86"/>
      <c r="I46" s="253" t="str">
        <f>IF(J46="","",34)</f>
        <v/>
      </c>
      <c r="J46" s="575" t="str">
        <f>IF(Main!O38="","",Main!O38)</f>
        <v/>
      </c>
      <c r="K46" s="575"/>
      <c r="L46" s="254" t="str" cm="1">
        <f t="array" ref="L46">IF(I46&lt;&gt;"",_xlfn.LET(
  _xlpm.temps, _xlfn._xlws.FILTER(Survey[CorrectedTemp], Survey[TestPoint] = I46),
  _xlpm.minVal, MIN(_xlpm.temps),
  _xlpm.maxVal, MAX(_xlpm.temps),
  _xlpm.avgVal, AVERAGE(_xlpm.temps),
  CHOOSE({1,2,3}, _xlpm.minVal, _xlpm.maxVal, _xlpm.avgVal)
),"")</f>
        <v/>
      </c>
      <c r="M46" s="254"/>
      <c r="N46" s="254"/>
    </row>
    <row r="47" spans="1:14" ht="18" customHeight="1" x14ac:dyDescent="0.2">
      <c r="A47" s="253" t="str">
        <f>IF(B47="","",15)</f>
        <v/>
      </c>
      <c r="B47" s="575" t="str">
        <f>IF(Main!O19="","",Main!O19)</f>
        <v/>
      </c>
      <c r="C47" s="575"/>
      <c r="D47" s="254" t="str" cm="1">
        <f t="array" ref="D47">IF(A47&lt;&gt;"",_xlfn.LET(
  _xlpm.temps, _xlfn._xlws.FILTER(Survey[CorrectedTemp], Survey[TestPoint] = A47),
  _xlpm.minVal, MIN(_xlpm.temps),
  _xlpm.maxVal, MAX(_xlpm.temps),
  _xlpm.avgVal, AVERAGE(_xlpm.temps),
  CHOOSE({1,2,3}, _xlpm.minVal, _xlpm.maxVal, _xlpm.avgVal)
),"")</f>
        <v/>
      </c>
      <c r="E47" s="254"/>
      <c r="F47" s="254"/>
      <c r="G47" s="86"/>
      <c r="H47" s="86"/>
      <c r="I47" s="253" t="str">
        <f>IF(J47="","",35)</f>
        <v/>
      </c>
      <c r="J47" s="575" t="str">
        <f>IF(Main!O39="","",Main!O39)</f>
        <v/>
      </c>
      <c r="K47" s="575"/>
      <c r="L47" s="254" t="str" cm="1">
        <f t="array" ref="L47">IF(I47&lt;&gt;"",_xlfn.LET(
  _xlpm.temps, _xlfn._xlws.FILTER(Survey[CorrectedTemp], Survey[TestPoint] = I47),
  _xlpm.minVal, MIN(_xlpm.temps),
  _xlpm.maxVal, MAX(_xlpm.temps),
  _xlpm.avgVal, AVERAGE(_xlpm.temps),
  CHOOSE({1,2,3}, _xlpm.minVal, _xlpm.maxVal, _xlpm.avgVal)
),"")</f>
        <v/>
      </c>
      <c r="M47" s="254"/>
      <c r="N47" s="254"/>
    </row>
    <row r="48" spans="1:14" ht="18" customHeight="1" x14ac:dyDescent="0.2">
      <c r="A48" s="253" t="str">
        <f>IF(B48="","",16)</f>
        <v/>
      </c>
      <c r="B48" s="575" t="str">
        <f>IF(Main!O20="","",Main!O20)</f>
        <v/>
      </c>
      <c r="C48" s="575"/>
      <c r="D48" s="254" t="str" cm="1">
        <f t="array" ref="D48">IF(A48&lt;&gt;"",_xlfn.LET(
  _xlpm.temps, _xlfn._xlws.FILTER(Survey[CorrectedTemp], Survey[TestPoint] = A48),
  _xlpm.minVal, MIN(_xlpm.temps),
  _xlpm.maxVal, MAX(_xlpm.temps),
  _xlpm.avgVal, AVERAGE(_xlpm.temps),
  CHOOSE({1,2,3}, _xlpm.minVal, _xlpm.maxVal, _xlpm.avgVal)
),"")</f>
        <v/>
      </c>
      <c r="E48" s="254"/>
      <c r="F48" s="254"/>
      <c r="G48" s="86"/>
      <c r="H48" s="86"/>
      <c r="I48" s="253" t="str">
        <f>IF(J48="","",36)</f>
        <v/>
      </c>
      <c r="J48" s="575" t="str">
        <f>IF(Main!O40="","",Main!O40)</f>
        <v/>
      </c>
      <c r="K48" s="575"/>
      <c r="L48" s="254" t="str" cm="1">
        <f t="array" ref="L48">IF(I48&lt;&gt;"",_xlfn.LET(
  _xlpm.temps, _xlfn._xlws.FILTER(Survey[CorrectedTemp], Survey[TestPoint] = I48),
  _xlpm.minVal, MIN(_xlpm.temps),
  _xlpm.maxVal, MAX(_xlpm.temps),
  _xlpm.avgVal, AVERAGE(_xlpm.temps),
  CHOOSE({1,2,3}, _xlpm.minVal, _xlpm.maxVal, _xlpm.avgVal)
),"")</f>
        <v/>
      </c>
      <c r="M48" s="254"/>
      <c r="N48" s="254"/>
    </row>
    <row r="49" spans="1:20" ht="18" customHeight="1" x14ac:dyDescent="0.2">
      <c r="A49" s="253" t="str">
        <f>IF(B49="","",17)</f>
        <v/>
      </c>
      <c r="B49" s="575" t="str">
        <f>IF(Main!O21="","",Main!O21)</f>
        <v/>
      </c>
      <c r="C49" s="575"/>
      <c r="D49" s="254" t="str" cm="1">
        <f t="array" ref="D49">IF(A49&lt;&gt;"",_xlfn.LET(
  _xlpm.temps, _xlfn._xlws.FILTER(Survey[CorrectedTemp], Survey[TestPoint] = A49),
  _xlpm.minVal, MIN(_xlpm.temps),
  _xlpm.maxVal, MAX(_xlpm.temps),
  _xlpm.avgVal, AVERAGE(_xlpm.temps),
  CHOOSE({1,2,3}, _xlpm.minVal, _xlpm.maxVal, _xlpm.avgVal)
),"")</f>
        <v/>
      </c>
      <c r="E49" s="254"/>
      <c r="F49" s="254"/>
      <c r="G49" s="86"/>
      <c r="H49" s="86"/>
      <c r="I49" s="253" t="str">
        <f>IF(J49="","",37)</f>
        <v/>
      </c>
      <c r="J49" s="575" t="str">
        <f>IF(Main!O41="","",Main!O41)</f>
        <v/>
      </c>
      <c r="K49" s="575"/>
      <c r="L49" s="254" t="str" cm="1">
        <f t="array" ref="L49">IF(I49&lt;&gt;"",_xlfn.LET(
  _xlpm.temps, _xlfn._xlws.FILTER(Survey[CorrectedTemp], Survey[TestPoint] = I49),
  _xlpm.minVal, MIN(_xlpm.temps),
  _xlpm.maxVal, MAX(_xlpm.temps),
  _xlpm.avgVal, AVERAGE(_xlpm.temps),
  CHOOSE({1,2,3}, _xlpm.minVal, _xlpm.maxVal, _xlpm.avgVal)
),"")</f>
        <v/>
      </c>
      <c r="M49" s="254"/>
      <c r="N49" s="254"/>
    </row>
    <row r="50" spans="1:20" ht="18" customHeight="1" x14ac:dyDescent="0.2">
      <c r="A50" s="253" t="str">
        <f>IF(B50="","",18)</f>
        <v/>
      </c>
      <c r="B50" s="575" t="str">
        <f>IF(Main!O22="","",Main!O22)</f>
        <v/>
      </c>
      <c r="C50" s="575"/>
      <c r="D50" s="254" t="str" cm="1">
        <f t="array" ref="D50">IF(A50&lt;&gt;"",_xlfn.LET(
  _xlpm.temps, _xlfn._xlws.FILTER(Survey[CorrectedTemp], Survey[TestPoint] = A50),
  _xlpm.minVal, MIN(_xlpm.temps),
  _xlpm.maxVal, MAX(_xlpm.temps),
  _xlpm.avgVal, AVERAGE(_xlpm.temps),
  CHOOSE({1,2,3}, _xlpm.minVal, _xlpm.maxVal, _xlpm.avgVal)
),"")</f>
        <v/>
      </c>
      <c r="E50" s="254"/>
      <c r="F50" s="254"/>
      <c r="G50" s="86"/>
      <c r="H50" s="86"/>
      <c r="I50" s="253" t="str">
        <f>IF(J50="","",38)</f>
        <v/>
      </c>
      <c r="J50" s="575" t="str">
        <f>IF(Main!O42="","",Main!O42)</f>
        <v/>
      </c>
      <c r="K50" s="575"/>
      <c r="L50" s="254" t="str" cm="1">
        <f t="array" ref="L50">IF(I50&lt;&gt;"",_xlfn.LET(
  _xlpm.temps, _xlfn._xlws.FILTER(Survey[CorrectedTemp], Survey[TestPoint] = I50),
  _xlpm.minVal, MIN(_xlpm.temps),
  _xlpm.maxVal, MAX(_xlpm.temps),
  _xlpm.avgVal, AVERAGE(_xlpm.temps),
  CHOOSE({1,2,3}, _xlpm.minVal, _xlpm.maxVal, _xlpm.avgVal)
),"")</f>
        <v/>
      </c>
      <c r="M50" s="254"/>
      <c r="N50" s="254"/>
    </row>
    <row r="51" spans="1:20" ht="18" customHeight="1" x14ac:dyDescent="0.2">
      <c r="A51" s="253" t="str">
        <f>IF(B51="","",19)</f>
        <v/>
      </c>
      <c r="B51" s="575" t="str">
        <f>IF(Main!O23="","",Main!O23)</f>
        <v/>
      </c>
      <c r="C51" s="575"/>
      <c r="D51" s="254" t="str" cm="1">
        <f t="array" ref="D51">IF(A51&lt;&gt;"",_xlfn.LET(
  _xlpm.temps, _xlfn._xlws.FILTER(Survey[CorrectedTemp], Survey[TestPoint] = A51),
  _xlpm.minVal, MIN(_xlpm.temps),
  _xlpm.maxVal, MAX(_xlpm.temps),
  _xlpm.avgVal, AVERAGE(_xlpm.temps),
  CHOOSE({1,2,3}, _xlpm.minVal, _xlpm.maxVal, _xlpm.avgVal)
),"")</f>
        <v/>
      </c>
      <c r="E51" s="254"/>
      <c r="F51" s="254"/>
      <c r="G51" s="86"/>
      <c r="H51" s="86"/>
      <c r="I51" s="253" t="str">
        <f>IF(J51="","",39)</f>
        <v/>
      </c>
      <c r="J51" s="575" t="str">
        <f>IF(Main!O43="","",Main!O43)</f>
        <v/>
      </c>
      <c r="K51" s="575"/>
      <c r="L51" s="254" t="str" cm="1">
        <f t="array" ref="L51">IF(I51&lt;&gt;"",_xlfn.LET(
  _xlpm.temps, _xlfn._xlws.FILTER(Survey[CorrectedTemp], Survey[TestPoint] = I51),
  _xlpm.minVal, MIN(_xlpm.temps),
  _xlpm.maxVal, MAX(_xlpm.temps),
  _xlpm.avgVal, AVERAGE(_xlpm.temps),
  CHOOSE({1,2,3}, _xlpm.minVal, _xlpm.maxVal, _xlpm.avgVal)
),"")</f>
        <v/>
      </c>
      <c r="M51" s="254"/>
      <c r="N51" s="254"/>
    </row>
    <row r="52" spans="1:20" ht="18" customHeight="1" x14ac:dyDescent="0.2">
      <c r="A52" s="253" t="str">
        <f>IF(B52="","",20)</f>
        <v/>
      </c>
      <c r="B52" s="575" t="str">
        <f>IF(Main!O24="","",Main!O24)</f>
        <v/>
      </c>
      <c r="C52" s="575"/>
      <c r="D52" s="254" t="str" cm="1">
        <f t="array" ref="D52">IF(A52&lt;&gt;"",_xlfn.LET(
  _xlpm.temps, _xlfn._xlws.FILTER(Survey[CorrectedTemp], Survey[TestPoint] = A52),
  _xlpm.minVal, MIN(_xlpm.temps),
  _xlpm.maxVal, MAX(_xlpm.temps),
  _xlpm.avgVal, AVERAGE(_xlpm.temps),
  CHOOSE({1,2,3}, _xlpm.minVal, _xlpm.maxVal, _xlpm.avgVal)
),"")</f>
        <v/>
      </c>
      <c r="E52" s="254"/>
      <c r="F52" s="254"/>
      <c r="G52" s="86"/>
      <c r="H52" s="86"/>
      <c r="I52" s="253" t="str">
        <f>IF(J52="","",40)</f>
        <v/>
      </c>
      <c r="J52" s="575" t="str">
        <f>IF(Main!O44="","",Main!O44)</f>
        <v/>
      </c>
      <c r="K52" s="575"/>
      <c r="L52" s="254" t="str" cm="1">
        <f t="array" ref="L52">IF(I52&lt;&gt;"",_xlfn.LET(
  _xlpm.temps, _xlfn._xlws.FILTER(Survey[CorrectedTemp], Survey[TestPoint] = I52),
  _xlpm.minVal, MIN(_xlpm.temps),
  _xlpm.maxVal, MAX(_xlpm.temps),
  _xlpm.avgVal, AVERAGE(_xlpm.temps),
  CHOOSE({1,2,3}, _xlpm.minVal, _xlpm.maxVal, _xlpm.avgVal)
),"")</f>
        <v/>
      </c>
      <c r="M52" s="254"/>
      <c r="N52" s="254"/>
    </row>
    <row r="53" spans="1:20" ht="18" customHeight="1" x14ac:dyDescent="0.2">
      <c r="B53" s="582" t="s">
        <v>312</v>
      </c>
      <c r="C53" s="582"/>
      <c r="D53" s="582"/>
      <c r="E53" s="582"/>
      <c r="F53" s="582"/>
      <c r="G53" s="582"/>
      <c r="H53" s="582"/>
      <c r="I53" s="582"/>
      <c r="J53" s="582"/>
      <c r="K53" s="582"/>
      <c r="L53" s="582"/>
      <c r="M53" s="582"/>
      <c r="N53" s="582"/>
    </row>
    <row r="54" spans="1:20" ht="18" customHeight="1" x14ac:dyDescent="0.25">
      <c r="A54" s="255" t="s">
        <v>313</v>
      </c>
      <c r="B54" s="577" t="str">
        <f>CONCATENATE(Main!G23,"  ",FurnaceSpecificComments)</f>
        <v xml:space="preserve">Found in tolerance.  No adjustment required.  </v>
      </c>
      <c r="C54" s="577"/>
      <c r="D54" s="577"/>
      <c r="E54" s="577"/>
      <c r="F54" s="577"/>
      <c r="G54" s="577"/>
      <c r="H54" s="577"/>
      <c r="I54" s="577"/>
      <c r="J54" s="577"/>
      <c r="K54" s="577"/>
      <c r="L54" s="577"/>
      <c r="M54" s="577"/>
      <c r="N54" s="577"/>
      <c r="O54" s="577"/>
    </row>
    <row r="55" spans="1:20" ht="18" customHeight="1" x14ac:dyDescent="0.25">
      <c r="A55" s="83"/>
      <c r="B55" s="577"/>
      <c r="C55" s="577"/>
      <c r="D55" s="577"/>
      <c r="E55" s="577"/>
      <c r="F55" s="577"/>
      <c r="G55" s="577"/>
      <c r="H55" s="577"/>
      <c r="I55" s="577"/>
      <c r="J55" s="577"/>
      <c r="K55" s="577"/>
      <c r="L55" s="577"/>
      <c r="M55" s="577"/>
      <c r="N55" s="577"/>
      <c r="O55" s="577"/>
    </row>
    <row r="56" spans="1:20" ht="18" customHeight="1" x14ac:dyDescent="0.25">
      <c r="A56" s="83"/>
      <c r="B56" s="577"/>
      <c r="C56" s="577"/>
      <c r="D56" s="577"/>
      <c r="E56" s="577"/>
      <c r="F56" s="577"/>
      <c r="G56" s="577"/>
      <c r="H56" s="577"/>
      <c r="I56" s="577"/>
      <c r="J56" s="577"/>
      <c r="K56" s="577"/>
      <c r="L56" s="577"/>
      <c r="M56" s="577"/>
      <c r="N56" s="577"/>
      <c r="O56" s="577"/>
    </row>
    <row r="57" spans="1:20" ht="18" customHeight="1" x14ac:dyDescent="0.25">
      <c r="A57" s="83"/>
      <c r="B57" s="577"/>
      <c r="C57" s="577"/>
      <c r="D57" s="577"/>
      <c r="E57" s="577"/>
      <c r="F57" s="577"/>
      <c r="G57" s="577"/>
      <c r="H57" s="577"/>
      <c r="I57" s="577"/>
      <c r="J57" s="577"/>
      <c r="K57" s="577"/>
      <c r="L57" s="577"/>
      <c r="M57" s="577"/>
      <c r="N57" s="577"/>
      <c r="O57" s="577"/>
    </row>
    <row r="58" spans="1:20" ht="18" customHeight="1" x14ac:dyDescent="0.25">
      <c r="A58" s="83"/>
      <c r="B58" s="577"/>
      <c r="C58" s="577"/>
      <c r="D58" s="577"/>
      <c r="E58" s="577"/>
      <c r="F58" s="577"/>
      <c r="G58" s="577"/>
      <c r="H58" s="577"/>
      <c r="I58" s="577"/>
      <c r="J58" s="577"/>
      <c r="K58" s="577"/>
      <c r="L58" s="577"/>
      <c r="M58" s="577"/>
      <c r="N58" s="577"/>
      <c r="O58" s="577"/>
    </row>
    <row r="59" spans="1:20" ht="18" customHeight="1" x14ac:dyDescent="0.25">
      <c r="A59" s="83"/>
      <c r="B59" s="577"/>
      <c r="C59" s="577"/>
      <c r="D59" s="577"/>
      <c r="E59" s="577"/>
      <c r="F59" s="577"/>
      <c r="G59" s="577"/>
      <c r="H59" s="577"/>
      <c r="I59" s="577"/>
      <c r="J59" s="577"/>
      <c r="K59" s="577"/>
      <c r="L59" s="577"/>
      <c r="M59" s="577"/>
      <c r="N59" s="577"/>
      <c r="O59" s="577"/>
    </row>
    <row r="60" spans="1:20" ht="18" customHeight="1" x14ac:dyDescent="0.2">
      <c r="A60" s="581" t="s">
        <v>321</v>
      </c>
      <c r="B60" s="581"/>
      <c r="C60" s="581"/>
      <c r="D60" s="581"/>
      <c r="E60" s="581"/>
      <c r="F60" s="581"/>
      <c r="G60" s="581"/>
      <c r="H60" s="581"/>
      <c r="I60" s="581"/>
      <c r="J60" s="581"/>
      <c r="K60" s="581"/>
      <c r="L60" s="581"/>
      <c r="M60" s="581"/>
      <c r="N60" s="581"/>
      <c r="O60" s="581"/>
    </row>
    <row r="61" spans="1:20" ht="18" customHeight="1" x14ac:dyDescent="0.2">
      <c r="A61" s="585" t="s">
        <v>314</v>
      </c>
      <c r="B61" s="585"/>
      <c r="C61" s="585"/>
      <c r="D61" s="585"/>
      <c r="E61" s="585"/>
      <c r="F61" s="574" t="s">
        <v>315</v>
      </c>
      <c r="G61" s="574"/>
      <c r="H61" s="574"/>
      <c r="I61" s="574" t="s">
        <v>316</v>
      </c>
      <c r="J61" s="574"/>
      <c r="K61" s="574" t="s">
        <v>317</v>
      </c>
      <c r="L61" s="574"/>
      <c r="M61" s="574" t="s">
        <v>318</v>
      </c>
      <c r="N61" s="574"/>
      <c r="O61" s="574"/>
      <c r="R61" s="41" t="s">
        <v>884</v>
      </c>
      <c r="T61" s="41" t="s">
        <v>885</v>
      </c>
    </row>
    <row r="62" spans="1:20" ht="18" customHeight="1" x14ac:dyDescent="0.2">
      <c r="A62" s="564" t="str">
        <f>IF(F62="","",CONCATENATE(T62," - ",R62))</f>
        <v/>
      </c>
      <c r="B62" s="565"/>
      <c r="C62" s="565"/>
      <c r="D62" s="565"/>
      <c r="E62" s="566"/>
      <c r="F62" s="564" t="str" cm="1">
        <f t="array" ref="F62">IFERROR(
  _xlfn.XLOOKUP(
    Main!D9,
    _xlfn._xlws.FILTER(AssetPool[asset_tag], AssetPool[root_category_name]="DAQ Modules"),
    _xlfn._xlws.FILTER(AssetPool[serial_number], AssetPool[root_category_name]="DAQ Modules")
  ),
  ""
)</f>
        <v/>
      </c>
      <c r="G62" s="565"/>
      <c r="H62" s="566"/>
      <c r="I62" s="570" t="str">
        <f>IF(F62="","",Main!D12)</f>
        <v/>
      </c>
      <c r="J62" s="571"/>
      <c r="K62" s="570" t="str">
        <f>IF(F62="","",Main!D13)</f>
        <v/>
      </c>
      <c r="L62" s="571"/>
      <c r="M62" s="599" t="str">
        <f>IF(F62="","",REPLACE(Main!D14,3,1,""))</f>
        <v/>
      </c>
      <c r="N62" s="600"/>
      <c r="O62" s="601"/>
      <c r="Q62" t="str">
        <f>IF(CERT!F62="","",1)</f>
        <v/>
      </c>
      <c r="R62" s="210" t="str">
        <f>IF(Main!D9="", "", _xlfn.XLOOKUP(Main!D9,AssetPool[asset_tag],AssetPool[manufacturer_part_number]))</f>
        <v/>
      </c>
      <c r="T62" s="210" t="str">
        <f>IF(Main!D9="", "", _xlfn.XLOOKUP(Main!D9,AssetPool[asset_tag],AssetPool[category_name]))</f>
        <v/>
      </c>
    </row>
    <row r="63" spans="1:20" ht="18" customHeight="1" x14ac:dyDescent="0.2">
      <c r="A63" s="567" t="str">
        <f t="shared" ref="A63:A68" si="0">IF(Q63="","",CONCATENATE(T63," - ",R63))</f>
        <v/>
      </c>
      <c r="B63" s="568"/>
      <c r="C63" s="568"/>
      <c r="D63" s="568"/>
      <c r="E63" s="569"/>
      <c r="F63" s="567" t="str">
        <f>IF(Main!D48,Main!D48,"")</f>
        <v/>
      </c>
      <c r="G63" s="568"/>
      <c r="H63" s="569"/>
      <c r="I63" s="572" t="str">
        <f>IF(Q63="","",Main!D49)</f>
        <v/>
      </c>
      <c r="J63" s="573"/>
      <c r="K63" s="572" t="str">
        <f>IF(Q63="","",Main!D50)</f>
        <v/>
      </c>
      <c r="L63" s="573"/>
      <c r="M63" s="567" t="str">
        <f>IF(Q63="","",Main!D54)</f>
        <v/>
      </c>
      <c r="N63" s="568"/>
      <c r="O63" s="569"/>
      <c r="Q63" t="str">
        <f>IF(CERT!F63="","",2)</f>
        <v/>
      </c>
      <c r="R63" s="210" t="str">
        <f>IFERROR(_xlfn.XLOOKUP(F63,AssetPool[serial_number],AssetPool[manufacturer_part_number]),"")</f>
        <v>Generic 3436</v>
      </c>
      <c r="T63" s="210" t="str">
        <f>IFERROR(_xlfn.XLOOKUP(F63,AssetPool[serial_number],AssetPool[category_name]),"")</f>
        <v>TC Wire</v>
      </c>
    </row>
    <row r="64" spans="1:20" ht="18" customHeight="1" x14ac:dyDescent="0.2">
      <c r="A64" s="567" t="str">
        <f t="shared" si="0"/>
        <v/>
      </c>
      <c r="B64" s="568"/>
      <c r="C64" s="568"/>
      <c r="D64" s="568"/>
      <c r="E64" s="569"/>
      <c r="F64" s="567" t="str">
        <f>IF(Main!E48,Main!E48,"")</f>
        <v/>
      </c>
      <c r="G64" s="568"/>
      <c r="H64" s="569"/>
      <c r="I64" s="572" t="str">
        <f>IF(Q64="","",Main!E49)</f>
        <v/>
      </c>
      <c r="J64" s="573"/>
      <c r="K64" s="572" t="str">
        <f>IF(Q64="","",Main!E50)</f>
        <v/>
      </c>
      <c r="L64" s="573"/>
      <c r="M64" s="567" t="str">
        <f>IF(Q64="","",Main!E54)</f>
        <v/>
      </c>
      <c r="N64" s="568"/>
      <c r="O64" s="569"/>
      <c r="Q64" t="str">
        <f>IF(CERT!F64="","",3)</f>
        <v/>
      </c>
      <c r="R64" s="210" t="str">
        <f>IFERROR(_xlfn.XLOOKUP(F64,AssetPool[serial_number],AssetPool[manufacturer_part_number]),"")</f>
        <v>Generic 3436</v>
      </c>
      <c r="T64" s="210" t="str">
        <f>IFERROR(_xlfn.XLOOKUP(F64,AssetPool[serial_number],AssetPool[category_name]),"")</f>
        <v>TC Wire</v>
      </c>
    </row>
    <row r="65" spans="1:20" ht="18" customHeight="1" x14ac:dyDescent="0.2">
      <c r="A65" s="567" t="str">
        <f t="shared" si="0"/>
        <v/>
      </c>
      <c r="B65" s="568"/>
      <c r="C65" s="568"/>
      <c r="D65" s="568"/>
      <c r="E65" s="569"/>
      <c r="F65" s="567" t="str">
        <f>IF(Main!F48,Main!F48,"")</f>
        <v/>
      </c>
      <c r="G65" s="568"/>
      <c r="H65" s="569"/>
      <c r="I65" s="572" t="str">
        <f>IF(Q65="","",Main!F49)</f>
        <v/>
      </c>
      <c r="J65" s="573"/>
      <c r="K65" s="572" t="str">
        <f>IF(Q65="","",Main!F50)</f>
        <v/>
      </c>
      <c r="L65" s="573"/>
      <c r="M65" s="567" t="str">
        <f>IF(Q65="","",Main!F54)</f>
        <v/>
      </c>
      <c r="N65" s="568"/>
      <c r="O65" s="569"/>
      <c r="Q65" t="str">
        <f>IF(CERT!F65="","",4)</f>
        <v/>
      </c>
      <c r="R65" s="210" t="str">
        <f>IFERROR(_xlfn.XLOOKUP(F65,AssetPool[serial_number],AssetPool[manufacturer_part_number]),"")</f>
        <v>Generic 3436</v>
      </c>
      <c r="T65" s="210" t="str">
        <f>IFERROR(_xlfn.XLOOKUP(F65,AssetPool[serial_number],AssetPool[category_name]),"")</f>
        <v>TC Wire</v>
      </c>
    </row>
    <row r="66" spans="1:20" ht="18" customHeight="1" x14ac:dyDescent="0.2">
      <c r="A66" s="567" t="str">
        <f t="shared" si="0"/>
        <v/>
      </c>
      <c r="B66" s="568"/>
      <c r="C66" s="568"/>
      <c r="D66" s="568"/>
      <c r="E66" s="569"/>
      <c r="F66" s="567" t="str">
        <f>IF(Main!G48,Main!G48,"")</f>
        <v/>
      </c>
      <c r="G66" s="568"/>
      <c r="H66" s="569"/>
      <c r="I66" s="572" t="str">
        <f>IF(Q66="","",Main!G49)</f>
        <v/>
      </c>
      <c r="J66" s="573"/>
      <c r="K66" s="572" t="str">
        <f>IF(Q66="","",Main!G50)</f>
        <v/>
      </c>
      <c r="L66" s="573"/>
      <c r="M66" s="567" t="str">
        <f>IF(Q66="","",Main!G54)</f>
        <v/>
      </c>
      <c r="N66" s="568"/>
      <c r="O66" s="569"/>
      <c r="Q66" t="str">
        <f>IF(CERT!F66="","",5)</f>
        <v/>
      </c>
      <c r="R66" s="210" t="str">
        <f>IFERROR(_xlfn.XLOOKUP(F66,AssetPool[serial_number],AssetPool[manufacturer_part_number]),"")</f>
        <v>Generic 3436</v>
      </c>
      <c r="T66" s="210" t="str">
        <f>IFERROR(_xlfn.XLOOKUP(F66,AssetPool[serial_number],AssetPool[category_name]),"")</f>
        <v>TC Wire</v>
      </c>
    </row>
    <row r="67" spans="1:20" ht="18" customHeight="1" x14ac:dyDescent="0.2">
      <c r="A67" s="567" t="str">
        <f t="shared" si="0"/>
        <v/>
      </c>
      <c r="B67" s="568"/>
      <c r="C67" s="568"/>
      <c r="D67" s="568"/>
      <c r="E67" s="569"/>
      <c r="F67" s="567" t="str">
        <f>IF(Main!H48,Main!H48,"")</f>
        <v/>
      </c>
      <c r="G67" s="568"/>
      <c r="H67" s="569"/>
      <c r="I67" s="572" t="str">
        <f>IF(Q67="","",Main!H49)</f>
        <v/>
      </c>
      <c r="J67" s="573"/>
      <c r="K67" s="572" t="str">
        <f>IF(Q67="","",Main!H50)</f>
        <v/>
      </c>
      <c r="L67" s="573"/>
      <c r="M67" s="567" t="str">
        <f>IF(Q67="","",Main!H54)</f>
        <v/>
      </c>
      <c r="N67" s="568"/>
      <c r="O67" s="569"/>
      <c r="Q67" t="str">
        <f>IF(CERT!F67="","",6)</f>
        <v/>
      </c>
      <c r="R67" s="210" t="str">
        <f>IFERROR(_xlfn.XLOOKUP(F67,AssetPool[serial_number],AssetPool[manufacturer_part_number]),"")</f>
        <v>Generic 3436</v>
      </c>
      <c r="T67" s="210" t="str">
        <f>IFERROR(_xlfn.XLOOKUP(F67,AssetPool[serial_number],AssetPool[category_name]),"")</f>
        <v>TC Wire</v>
      </c>
    </row>
    <row r="68" spans="1:20" ht="18" customHeight="1" x14ac:dyDescent="0.2">
      <c r="A68" s="567" t="str">
        <f t="shared" si="0"/>
        <v/>
      </c>
      <c r="B68" s="568"/>
      <c r="C68" s="568"/>
      <c r="D68" s="568"/>
      <c r="E68" s="569"/>
      <c r="F68" s="567" t="str">
        <f>IF(Main!I48,Main!I48,"")</f>
        <v/>
      </c>
      <c r="G68" s="568"/>
      <c r="H68" s="569"/>
      <c r="I68" s="572" t="str">
        <f>IF(Q68="","",Main!I49)</f>
        <v/>
      </c>
      <c r="J68" s="573"/>
      <c r="K68" s="572" t="str">
        <f>IF(Q68="","",Main!I50)</f>
        <v/>
      </c>
      <c r="L68" s="573"/>
      <c r="M68" s="567" t="str">
        <f>IF(Q68="","",Main!I54)</f>
        <v/>
      </c>
      <c r="N68" s="568"/>
      <c r="O68" s="569"/>
      <c r="Q68" t="str">
        <f>IF(CERT!F68="","",7)</f>
        <v/>
      </c>
      <c r="R68" s="210" t="str">
        <f>IFERROR(_xlfn.XLOOKUP(F68,AssetPool[serial_number],AssetPool[manufacturer_part_number]),"")</f>
        <v>Generic 3436</v>
      </c>
      <c r="T68" s="210" t="str">
        <f>IFERROR(_xlfn.XLOOKUP(F68,AssetPool[serial_number],AssetPool[category_name]),"")</f>
        <v>TC Wire</v>
      </c>
    </row>
    <row r="69" spans="1:20" ht="18" customHeight="1" x14ac:dyDescent="0.2">
      <c r="A69" s="586" t="str">
        <f>IF(T69="","",CONCATENATE(T69," - ",R69))</f>
        <v/>
      </c>
      <c r="B69" s="587"/>
      <c r="C69" s="587"/>
      <c r="D69" s="587"/>
      <c r="E69" s="588"/>
      <c r="F69" s="602" t="str">
        <f>IF(W69,W69,"")</f>
        <v/>
      </c>
      <c r="G69" s="603"/>
      <c r="H69" s="604"/>
      <c r="I69" s="605"/>
      <c r="J69" s="606"/>
      <c r="K69" s="605"/>
      <c r="L69" s="606"/>
      <c r="M69" s="586"/>
      <c r="N69" s="587"/>
      <c r="O69" s="588"/>
    </row>
    <row r="70" spans="1:20" ht="18" customHeight="1" x14ac:dyDescent="0.2">
      <c r="B70" s="215"/>
      <c r="C70" s="215"/>
      <c r="D70" s="215"/>
      <c r="E70" s="215"/>
      <c r="F70" s="215"/>
      <c r="G70" s="215"/>
      <c r="H70" s="215"/>
      <c r="I70" s="216"/>
      <c r="J70" s="216"/>
      <c r="K70" s="216"/>
      <c r="L70" s="216"/>
      <c r="M70" s="215"/>
      <c r="N70" s="215"/>
      <c r="O70" s="215"/>
    </row>
    <row r="71" spans="1:20" ht="18" customHeight="1" x14ac:dyDescent="0.2">
      <c r="A71" s="598" t="s">
        <v>373</v>
      </c>
      <c r="B71" s="598"/>
      <c r="C71" s="598"/>
      <c r="D71" s="598"/>
      <c r="E71" s="598"/>
      <c r="F71" s="598"/>
      <c r="G71" s="598"/>
      <c r="H71" s="598"/>
      <c r="I71" s="598"/>
      <c r="J71" s="598"/>
      <c r="K71" s="598"/>
      <c r="L71" s="598"/>
      <c r="M71" s="598"/>
      <c r="N71" s="598"/>
      <c r="O71" s="598"/>
    </row>
    <row r="72" spans="1:20" ht="18" customHeight="1" x14ac:dyDescent="0.2">
      <c r="A72" s="598"/>
      <c r="B72" s="598"/>
      <c r="C72" s="598"/>
      <c r="D72" s="598"/>
      <c r="E72" s="598"/>
      <c r="F72" s="598"/>
      <c r="G72" s="598"/>
      <c r="H72" s="598"/>
      <c r="I72" s="598"/>
      <c r="J72" s="598"/>
      <c r="K72" s="598"/>
      <c r="L72" s="598"/>
      <c r="M72" s="598"/>
      <c r="N72" s="598"/>
      <c r="O72" s="598"/>
    </row>
    <row r="73" spans="1:20" ht="18" customHeight="1" x14ac:dyDescent="0.2">
      <c r="A73" s="598"/>
      <c r="B73" s="598"/>
      <c r="C73" s="598"/>
      <c r="D73" s="598"/>
      <c r="E73" s="598"/>
      <c r="F73" s="598"/>
      <c r="G73" s="598"/>
      <c r="H73" s="598"/>
      <c r="I73" s="598"/>
      <c r="J73" s="598"/>
      <c r="K73" s="598"/>
      <c r="L73" s="598"/>
      <c r="M73" s="598"/>
      <c r="N73" s="598"/>
      <c r="O73" s="598"/>
    </row>
    <row r="74" spans="1:20" ht="18" customHeight="1" x14ac:dyDescent="0.2"/>
    <row r="75" spans="1:20" ht="18" customHeight="1" x14ac:dyDescent="0.2"/>
    <row r="76" spans="1:20" ht="18" customHeight="1" x14ac:dyDescent="0.2"/>
    <row r="77" spans="1:20" ht="18" customHeight="1" x14ac:dyDescent="0.2"/>
    <row r="78" spans="1:20" ht="18" customHeight="1" x14ac:dyDescent="0.2">
      <c r="I78" s="86"/>
    </row>
    <row r="79" spans="1:20" ht="18" customHeight="1" x14ac:dyDescent="0.2"/>
    <row r="80" spans="1:20" ht="18" customHeight="1" x14ac:dyDescent="0.2">
      <c r="A80" s="251" t="s">
        <v>319</v>
      </c>
      <c r="N80" s="251" t="s">
        <v>320</v>
      </c>
    </row>
    <row r="81" ht="15" customHeight="1" x14ac:dyDescent="0.2"/>
    <row r="82" ht="15" customHeight="1" x14ac:dyDescent="0.2"/>
  </sheetData>
  <sheetProtection algorithmName="SHA-512" hashValue="qx5szC2fMm0qV8jOARkkh82SiEkGMsnQzQ8ogt/kBW7UJYegZaFIzckpoM7KzUSLfgU1Uf5JikQYab65Ej2trw==" saltValue="Hoh8DOt8PQNe7YyhYNmSuQ=="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BG27" sqref="BG27"/>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4"/>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50"/>
      <c r="C1" s="50"/>
      <c r="D1"/>
      <c r="E1"/>
      <c r="F1"/>
      <c r="G1"/>
      <c r="H1"/>
      <c r="I1"/>
      <c r="J1"/>
      <c r="K1"/>
      <c r="L1"/>
      <c r="M1"/>
      <c r="N1" s="50"/>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50"/>
      <c r="C2" s="50"/>
      <c r="F2"/>
      <c r="G2"/>
      <c r="H2"/>
      <c r="J2"/>
      <c r="K2"/>
      <c r="L2"/>
      <c r="M2"/>
      <c r="N2" s="50"/>
      <c r="O2"/>
      <c r="Q2" t="e" cm="1">
        <f t="array" ref="Q2">_xlfn.XLOOKUP(clientCompanyId,customers_table[company_id],customers_table[])</f>
        <v>#N/A</v>
      </c>
    </row>
    <row r="3" spans="1:31" x14ac:dyDescent="0.2">
      <c r="A3"/>
      <c r="B3" s="50"/>
      <c r="C3" s="50"/>
      <c r="F3"/>
      <c r="G3"/>
      <c r="I3"/>
      <c r="L3"/>
      <c r="M3"/>
      <c r="N3" s="50"/>
      <c r="O3"/>
    </row>
    <row r="4" spans="1:31" x14ac:dyDescent="0.2">
      <c r="A4"/>
      <c r="B4" s="50"/>
      <c r="C4" s="50"/>
      <c r="F4"/>
      <c r="G4"/>
      <c r="L4"/>
      <c r="M4"/>
      <c r="N4" s="50"/>
      <c r="O4"/>
    </row>
    <row r="5" spans="1:31" x14ac:dyDescent="0.2">
      <c r="A5"/>
      <c r="B5" s="50"/>
      <c r="C5" s="50"/>
      <c r="F5"/>
      <c r="G5"/>
      <c r="H5"/>
      <c r="J5"/>
      <c r="K5"/>
      <c r="L5"/>
      <c r="M5"/>
      <c r="N5" s="50"/>
      <c r="O5"/>
    </row>
    <row r="6" spans="1:31" x14ac:dyDescent="0.2">
      <c r="A6"/>
      <c r="B6" s="50"/>
      <c r="C6" s="50"/>
      <c r="F6"/>
      <c r="G6"/>
      <c r="L6"/>
      <c r="M6"/>
      <c r="N6" s="50"/>
      <c r="O6"/>
    </row>
    <row r="7" spans="1:31" x14ac:dyDescent="0.2">
      <c r="A7"/>
      <c r="B7" s="50"/>
      <c r="C7" s="50"/>
      <c r="F7"/>
      <c r="G7"/>
      <c r="I7"/>
      <c r="L7"/>
      <c r="M7"/>
      <c r="N7" s="50"/>
      <c r="O7"/>
    </row>
    <row r="8" spans="1:31" x14ac:dyDescent="0.2">
      <c r="A8"/>
      <c r="B8" s="50"/>
      <c r="C8" s="50"/>
      <c r="F8"/>
      <c r="G8"/>
      <c r="I8"/>
      <c r="L8"/>
      <c r="M8"/>
      <c r="N8" s="50"/>
      <c r="O8"/>
    </row>
    <row r="9" spans="1:31" x14ac:dyDescent="0.2">
      <c r="A9"/>
      <c r="B9" s="50"/>
      <c r="C9" s="50"/>
      <c r="F9"/>
      <c r="G9"/>
      <c r="H9"/>
      <c r="I9"/>
      <c r="L9"/>
      <c r="M9"/>
      <c r="N9" s="50"/>
      <c r="O9"/>
    </row>
    <row r="10" spans="1:31" x14ac:dyDescent="0.2">
      <c r="A10"/>
      <c r="B10" s="50"/>
      <c r="C10" s="50"/>
      <c r="F10"/>
      <c r="G10"/>
      <c r="I10"/>
      <c r="L10"/>
      <c r="M10"/>
      <c r="N10" s="50"/>
      <c r="O10"/>
    </row>
    <row r="11" spans="1:31" x14ac:dyDescent="0.2">
      <c r="A11"/>
      <c r="B11" s="50"/>
      <c r="C11" s="50"/>
      <c r="F11"/>
      <c r="G11"/>
      <c r="I11"/>
      <c r="L11"/>
      <c r="M11"/>
      <c r="N11" s="50"/>
      <c r="O11"/>
    </row>
    <row r="12" spans="1:31" x14ac:dyDescent="0.2">
      <c r="A12"/>
      <c r="B12" s="50"/>
      <c r="C12" s="50"/>
      <c r="F12"/>
      <c r="G12"/>
      <c r="I12"/>
      <c r="L12"/>
      <c r="M12"/>
      <c r="N12" s="50"/>
      <c r="O12"/>
    </row>
    <row r="13" spans="1:31" x14ac:dyDescent="0.2">
      <c r="A13"/>
      <c r="B13" s="50"/>
      <c r="C13" s="50"/>
      <c r="F13"/>
      <c r="G13"/>
      <c r="H13"/>
      <c r="I13"/>
      <c r="L13"/>
      <c r="M13"/>
      <c r="N13" s="50"/>
      <c r="O13"/>
    </row>
    <row r="14" spans="1:31" x14ac:dyDescent="0.2">
      <c r="A14"/>
      <c r="B14" s="50"/>
      <c r="C14" s="50"/>
      <c r="F14"/>
      <c r="G14"/>
      <c r="M14"/>
      <c r="N14" s="50"/>
      <c r="O14"/>
    </row>
    <row r="15" spans="1:31" x14ac:dyDescent="0.2">
      <c r="A15"/>
      <c r="B15" s="50"/>
      <c r="C15" s="50"/>
      <c r="F15"/>
      <c r="G15"/>
      <c r="L15"/>
      <c r="M15"/>
      <c r="N15" s="50"/>
      <c r="O15"/>
    </row>
    <row r="16" spans="1:31" x14ac:dyDescent="0.2">
      <c r="A16"/>
      <c r="B16" s="50"/>
      <c r="C16" s="50"/>
      <c r="F16"/>
      <c r="G16"/>
      <c r="M16"/>
      <c r="N16" s="50"/>
      <c r="O16"/>
    </row>
    <row r="17" spans="1:15" x14ac:dyDescent="0.2">
      <c r="A17"/>
      <c r="B17" s="50"/>
      <c r="C17" s="50"/>
      <c r="F17"/>
      <c r="G17"/>
      <c r="I17"/>
      <c r="L17"/>
      <c r="M17"/>
      <c r="N17" s="50"/>
      <c r="O17"/>
    </row>
    <row r="18" spans="1:15" x14ac:dyDescent="0.2">
      <c r="A18"/>
      <c r="B18" s="50"/>
      <c r="C18" s="50"/>
      <c r="F18"/>
      <c r="G18"/>
      <c r="I18"/>
      <c r="L18"/>
      <c r="M18"/>
      <c r="N18" s="50"/>
      <c r="O18"/>
    </row>
    <row r="19" spans="1:15" x14ac:dyDescent="0.2">
      <c r="A19"/>
      <c r="B19" s="50"/>
      <c r="C19" s="50"/>
      <c r="F19"/>
      <c r="G19"/>
      <c r="L19"/>
      <c r="M19"/>
      <c r="N19" s="50"/>
      <c r="O19"/>
    </row>
    <row r="20" spans="1:15" x14ac:dyDescent="0.2">
      <c r="A20"/>
      <c r="B20" s="50"/>
      <c r="C20" s="50"/>
      <c r="F20"/>
      <c r="G20"/>
      <c r="M20"/>
      <c r="N20" s="50"/>
      <c r="O20"/>
    </row>
    <row r="21" spans="1:15" x14ac:dyDescent="0.2">
      <c r="A21"/>
      <c r="B21" s="50"/>
      <c r="C21" s="50"/>
      <c r="F21"/>
      <c r="G21"/>
      <c r="I21"/>
      <c r="L21"/>
      <c r="M21"/>
      <c r="N21" s="50"/>
      <c r="O21"/>
    </row>
    <row r="22" spans="1:15" x14ac:dyDescent="0.2">
      <c r="A22"/>
      <c r="B22" s="50"/>
      <c r="C22" s="50"/>
      <c r="F22"/>
      <c r="G22"/>
      <c r="I22"/>
      <c r="L22"/>
      <c r="M22"/>
      <c r="N22" s="50"/>
      <c r="O22"/>
    </row>
    <row r="23" spans="1:15" x14ac:dyDescent="0.2">
      <c r="A23"/>
      <c r="B23" s="50"/>
      <c r="C23" s="50"/>
      <c r="F23"/>
      <c r="G23"/>
      <c r="J23"/>
      <c r="K23"/>
      <c r="L23"/>
      <c r="M23"/>
      <c r="N23" s="50"/>
      <c r="O23"/>
    </row>
    <row r="24" spans="1:15" x14ac:dyDescent="0.2">
      <c r="A24"/>
      <c r="B24" s="50"/>
      <c r="C24" s="50"/>
      <c r="F24"/>
      <c r="G24"/>
      <c r="I24"/>
      <c r="L24"/>
      <c r="M24"/>
      <c r="N24" s="50"/>
      <c r="O24"/>
    </row>
    <row r="25" spans="1:15" x14ac:dyDescent="0.2">
      <c r="A25"/>
      <c r="B25" s="50"/>
      <c r="C25" s="50"/>
      <c r="F25"/>
      <c r="G25"/>
      <c r="L25"/>
      <c r="M25"/>
      <c r="N25" s="50"/>
      <c r="O25"/>
    </row>
    <row r="26" spans="1:15" x14ac:dyDescent="0.2">
      <c r="A26"/>
      <c r="B26" s="50"/>
      <c r="C26" s="50"/>
      <c r="F26"/>
      <c r="G26"/>
      <c r="I26"/>
      <c r="L26"/>
      <c r="M26"/>
      <c r="N26" s="50"/>
      <c r="O26"/>
    </row>
    <row r="27" spans="1:15" x14ac:dyDescent="0.2">
      <c r="A27"/>
      <c r="B27" s="50"/>
      <c r="C27" s="50"/>
      <c r="F27"/>
      <c r="G27"/>
      <c r="I27"/>
      <c r="L27"/>
      <c r="M27"/>
      <c r="N27" s="50"/>
      <c r="O27"/>
    </row>
    <row r="28" spans="1:15" x14ac:dyDescent="0.2">
      <c r="A28"/>
      <c r="B28" s="50"/>
      <c r="C28" s="50"/>
      <c r="F28"/>
      <c r="G28"/>
      <c r="L28"/>
      <c r="N28" s="50"/>
      <c r="O28"/>
    </row>
    <row r="29" spans="1:15" x14ac:dyDescent="0.2">
      <c r="A29"/>
      <c r="B29" s="50"/>
      <c r="C29" s="50"/>
      <c r="F29"/>
      <c r="G29"/>
      <c r="L29"/>
      <c r="M29"/>
      <c r="N29" s="50"/>
      <c r="O29"/>
    </row>
    <row r="30" spans="1:15" x14ac:dyDescent="0.2">
      <c r="A30"/>
      <c r="B30" s="50"/>
      <c r="C30" s="50"/>
      <c r="F30"/>
      <c r="G30"/>
      <c r="H30"/>
      <c r="I30"/>
      <c r="L30"/>
      <c r="M30"/>
      <c r="N30" s="50"/>
      <c r="O30"/>
    </row>
    <row r="31" spans="1:15" x14ac:dyDescent="0.2">
      <c r="A31"/>
      <c r="B31" s="50"/>
      <c r="C31" s="50"/>
      <c r="F31"/>
      <c r="G31"/>
      <c r="L31"/>
      <c r="M31"/>
      <c r="N31" s="50"/>
      <c r="O31"/>
    </row>
    <row r="32" spans="1:15" x14ac:dyDescent="0.2">
      <c r="A32"/>
      <c r="B32" s="50"/>
      <c r="C32" s="50"/>
      <c r="F32"/>
      <c r="G32"/>
      <c r="I32"/>
      <c r="L32"/>
      <c r="M32"/>
      <c r="N32" s="50"/>
      <c r="O32"/>
    </row>
    <row r="33" spans="1:15" x14ac:dyDescent="0.2">
      <c r="A33"/>
      <c r="B33" s="50"/>
      <c r="C33" s="50"/>
      <c r="F33"/>
      <c r="G33"/>
      <c r="H33"/>
      <c r="I33"/>
      <c r="L33"/>
      <c r="M33"/>
      <c r="N33" s="50"/>
      <c r="O33"/>
    </row>
    <row r="34" spans="1:15" x14ac:dyDescent="0.2">
      <c r="A34"/>
      <c r="B34" s="50"/>
      <c r="C34" s="50"/>
      <c r="F34"/>
      <c r="G34"/>
      <c r="I34"/>
      <c r="L34"/>
      <c r="M34"/>
      <c r="N34" s="50"/>
      <c r="O34"/>
    </row>
    <row r="35" spans="1:15" x14ac:dyDescent="0.2">
      <c r="A35"/>
      <c r="B35" s="50"/>
      <c r="C35" s="50"/>
      <c r="F35"/>
      <c r="G35"/>
      <c r="I35"/>
      <c r="L35"/>
      <c r="M35"/>
      <c r="N35" s="50"/>
      <c r="O35"/>
    </row>
    <row r="36" spans="1:15" x14ac:dyDescent="0.2">
      <c r="A36"/>
      <c r="B36" s="50"/>
      <c r="C36" s="50"/>
      <c r="F36"/>
      <c r="G36"/>
      <c r="I36"/>
      <c r="L36"/>
      <c r="M36"/>
      <c r="N36" s="50"/>
      <c r="O36"/>
    </row>
    <row r="37" spans="1:15" x14ac:dyDescent="0.2">
      <c r="A37"/>
      <c r="B37" s="50"/>
      <c r="C37" s="50"/>
      <c r="F37"/>
      <c r="G37"/>
      <c r="I37"/>
      <c r="L37"/>
      <c r="M37"/>
      <c r="N37" s="50"/>
      <c r="O37"/>
    </row>
    <row r="38" spans="1:15" x14ac:dyDescent="0.2">
      <c r="A38"/>
      <c r="B38" s="50"/>
      <c r="C38" s="50"/>
      <c r="F38"/>
      <c r="G38"/>
      <c r="I38"/>
      <c r="L38"/>
      <c r="M38"/>
      <c r="N38" s="50"/>
      <c r="O38"/>
    </row>
    <row r="39" spans="1:15" x14ac:dyDescent="0.2">
      <c r="A39"/>
      <c r="B39" s="50"/>
      <c r="C39" s="50"/>
      <c r="F39"/>
      <c r="G39"/>
      <c r="I39"/>
      <c r="L39"/>
      <c r="M39"/>
      <c r="N39" s="50"/>
      <c r="O39"/>
    </row>
    <row r="40" spans="1:15" x14ac:dyDescent="0.2">
      <c r="A40"/>
      <c r="B40" s="50"/>
      <c r="C40" s="50"/>
      <c r="F40"/>
      <c r="G40"/>
      <c r="H40"/>
      <c r="I40"/>
      <c r="L40"/>
      <c r="M40"/>
      <c r="N40" s="50"/>
      <c r="O40"/>
    </row>
    <row r="41" spans="1:15" x14ac:dyDescent="0.2">
      <c r="A41"/>
      <c r="B41" s="50"/>
      <c r="C41" s="50"/>
      <c r="F41"/>
      <c r="G41"/>
      <c r="H41"/>
      <c r="I41"/>
      <c r="L41"/>
      <c r="M41"/>
      <c r="N41" s="50"/>
      <c r="O41"/>
    </row>
    <row r="42" spans="1:15" x14ac:dyDescent="0.2">
      <c r="A42"/>
      <c r="B42" s="50"/>
      <c r="C42" s="50"/>
      <c r="F42"/>
      <c r="G42"/>
      <c r="L42"/>
      <c r="M42"/>
      <c r="N42" s="50"/>
      <c r="O42"/>
    </row>
    <row r="43" spans="1:15" x14ac:dyDescent="0.2">
      <c r="A43"/>
      <c r="B43" s="50"/>
      <c r="C43" s="50"/>
      <c r="F43"/>
      <c r="G43"/>
      <c r="I43"/>
      <c r="L43"/>
      <c r="M43"/>
      <c r="N43" s="50"/>
      <c r="O43"/>
    </row>
    <row r="44" spans="1:15" x14ac:dyDescent="0.2">
      <c r="A44"/>
      <c r="B44" s="50"/>
      <c r="C44" s="50"/>
      <c r="F44"/>
      <c r="G44"/>
      <c r="I44"/>
      <c r="L44"/>
      <c r="M44"/>
      <c r="N44" s="50"/>
      <c r="O44"/>
    </row>
    <row r="45" spans="1:15" x14ac:dyDescent="0.2">
      <c r="A45"/>
      <c r="B45" s="50"/>
      <c r="C45" s="50"/>
      <c r="F45"/>
      <c r="G45"/>
      <c r="I45"/>
      <c r="L45"/>
      <c r="M45"/>
      <c r="N45" s="50"/>
      <c r="O45"/>
    </row>
    <row r="46" spans="1:15" x14ac:dyDescent="0.2">
      <c r="A46"/>
      <c r="B46" s="50"/>
      <c r="C46" s="50"/>
      <c r="F46"/>
      <c r="G46"/>
      <c r="H46"/>
      <c r="I46"/>
      <c r="L46"/>
      <c r="M46"/>
      <c r="N46" s="50"/>
      <c r="O46"/>
    </row>
    <row r="47" spans="1:15" x14ac:dyDescent="0.2">
      <c r="A47"/>
      <c r="B47" s="50"/>
      <c r="C47" s="50"/>
      <c r="F47"/>
      <c r="G47"/>
      <c r="L47"/>
      <c r="M47"/>
      <c r="N47" s="50"/>
      <c r="O47"/>
    </row>
    <row r="48" spans="1:15" x14ac:dyDescent="0.2">
      <c r="A48"/>
      <c r="B48" s="50"/>
      <c r="C48" s="50"/>
      <c r="F48"/>
      <c r="G48"/>
      <c r="I48"/>
      <c r="L48"/>
      <c r="M48"/>
      <c r="N48" s="50"/>
      <c r="O48"/>
    </row>
    <row r="49" spans="1:15" x14ac:dyDescent="0.2">
      <c r="A49"/>
      <c r="B49" s="50"/>
      <c r="C49" s="50"/>
      <c r="F49"/>
      <c r="G49"/>
      <c r="H49"/>
      <c r="I49"/>
      <c r="L49"/>
      <c r="M49"/>
      <c r="N49" s="50"/>
      <c r="O49"/>
    </row>
    <row r="50" spans="1:15" x14ac:dyDescent="0.2">
      <c r="A50"/>
      <c r="B50" s="50"/>
      <c r="C50" s="50"/>
      <c r="F50"/>
      <c r="G50"/>
      <c r="L50"/>
      <c r="M50"/>
      <c r="N50" s="50"/>
      <c r="O50"/>
    </row>
    <row r="51" spans="1:15" x14ac:dyDescent="0.2">
      <c r="A51"/>
      <c r="B51" s="50"/>
      <c r="C51" s="50"/>
      <c r="F51"/>
      <c r="G51"/>
      <c r="H51"/>
      <c r="J51"/>
      <c r="K51"/>
      <c r="L51"/>
      <c r="M51"/>
      <c r="N51" s="50"/>
      <c r="O51"/>
    </row>
    <row r="52" spans="1:15" x14ac:dyDescent="0.2">
      <c r="A52"/>
      <c r="B52" s="50"/>
      <c r="C52" s="50"/>
      <c r="F52"/>
      <c r="G52"/>
      <c r="H52"/>
      <c r="I52"/>
      <c r="L52"/>
      <c r="M52"/>
      <c r="N52" s="50"/>
      <c r="O52"/>
    </row>
    <row r="53" spans="1:15" x14ac:dyDescent="0.2">
      <c r="A53"/>
      <c r="B53" s="50"/>
      <c r="C53" s="50"/>
      <c r="F53"/>
      <c r="G53"/>
      <c r="L53"/>
      <c r="M53"/>
      <c r="N53" s="50"/>
      <c r="O53"/>
    </row>
    <row r="54" spans="1:15" x14ac:dyDescent="0.2">
      <c r="A54"/>
      <c r="B54" s="50"/>
      <c r="C54" s="50"/>
      <c r="F54"/>
      <c r="G54"/>
      <c r="L54"/>
      <c r="M54"/>
      <c r="N54" s="50"/>
      <c r="O54"/>
    </row>
    <row r="55" spans="1:15" x14ac:dyDescent="0.2">
      <c r="A55"/>
      <c r="B55" s="50"/>
      <c r="C55" s="50"/>
      <c r="F55"/>
      <c r="G55"/>
      <c r="I55"/>
      <c r="L55"/>
      <c r="M55"/>
      <c r="N55" s="50"/>
      <c r="O55"/>
    </row>
    <row r="56" spans="1:15" x14ac:dyDescent="0.2">
      <c r="A56"/>
      <c r="B56" s="50"/>
      <c r="C56" s="50"/>
      <c r="F56"/>
      <c r="G56"/>
      <c r="H56"/>
      <c r="I56"/>
      <c r="L56"/>
      <c r="N56" s="50"/>
      <c r="O56"/>
    </row>
    <row r="57" spans="1:15" x14ac:dyDescent="0.2">
      <c r="A57"/>
      <c r="B57" s="50"/>
      <c r="C57" s="50"/>
      <c r="F57"/>
      <c r="G57"/>
      <c r="M57"/>
      <c r="N57" s="50"/>
      <c r="O57"/>
    </row>
    <row r="58" spans="1:15" x14ac:dyDescent="0.2">
      <c r="A58"/>
      <c r="B58" s="50"/>
      <c r="C58" s="50"/>
      <c r="F58"/>
      <c r="G58"/>
      <c r="I58"/>
      <c r="L58"/>
      <c r="M58"/>
      <c r="N58" s="50"/>
      <c r="O58"/>
    </row>
    <row r="59" spans="1:15" x14ac:dyDescent="0.2">
      <c r="A59"/>
      <c r="B59" s="50"/>
      <c r="C59" s="50"/>
      <c r="F59"/>
      <c r="G59"/>
      <c r="H59"/>
      <c r="I59"/>
      <c r="L59"/>
      <c r="N59" s="50"/>
      <c r="O59"/>
    </row>
    <row r="60" spans="1:15" x14ac:dyDescent="0.2">
      <c r="A60"/>
      <c r="B60" s="50"/>
      <c r="C60" s="50"/>
      <c r="F60"/>
      <c r="G60"/>
      <c r="I60"/>
      <c r="L60"/>
      <c r="M60"/>
      <c r="N60" s="50"/>
      <c r="O60"/>
    </row>
    <row r="61" spans="1:15" x14ac:dyDescent="0.2">
      <c r="A61"/>
      <c r="B61" s="50"/>
      <c r="C61" s="50"/>
      <c r="F61"/>
      <c r="G61"/>
      <c r="I61"/>
      <c r="L61"/>
      <c r="N61" s="50"/>
      <c r="O61"/>
    </row>
    <row r="62" spans="1:15" x14ac:dyDescent="0.2">
      <c r="A62"/>
      <c r="B62" s="50"/>
      <c r="C62" s="50"/>
      <c r="F62"/>
      <c r="G62"/>
      <c r="I62"/>
      <c r="L62"/>
      <c r="M62"/>
      <c r="N62" s="50"/>
      <c r="O62"/>
    </row>
    <row r="63" spans="1:15" x14ac:dyDescent="0.2">
      <c r="A63"/>
      <c r="B63" s="50"/>
      <c r="C63" s="50"/>
      <c r="F63"/>
      <c r="G63"/>
      <c r="H63"/>
      <c r="I63"/>
      <c r="L63"/>
      <c r="M63"/>
      <c r="N63" s="50"/>
      <c r="O63"/>
    </row>
    <row r="64" spans="1:15" x14ac:dyDescent="0.2">
      <c r="A64"/>
      <c r="B64" s="50"/>
      <c r="C64" s="50"/>
      <c r="F64"/>
      <c r="G64"/>
      <c r="H64"/>
      <c r="I64"/>
      <c r="L64"/>
      <c r="N64" s="50"/>
      <c r="O64"/>
    </row>
    <row r="65" spans="1:15" x14ac:dyDescent="0.2">
      <c r="A65"/>
      <c r="B65" s="50"/>
      <c r="C65" s="50"/>
      <c r="F65"/>
      <c r="G65"/>
      <c r="I65"/>
      <c r="L65"/>
      <c r="M65"/>
      <c r="N65" s="50"/>
      <c r="O65"/>
    </row>
    <row r="66" spans="1:15" x14ac:dyDescent="0.2">
      <c r="A66"/>
      <c r="B66" s="50"/>
      <c r="C66" s="50"/>
      <c r="F66"/>
      <c r="G66"/>
      <c r="I66"/>
      <c r="L66"/>
      <c r="M66"/>
      <c r="N66" s="50"/>
      <c r="O66"/>
    </row>
    <row r="67" spans="1:15" x14ac:dyDescent="0.2">
      <c r="A67"/>
      <c r="B67" s="50"/>
      <c r="C67" s="50"/>
      <c r="F67"/>
      <c r="G67"/>
      <c r="H67"/>
      <c r="I67"/>
      <c r="L67"/>
      <c r="N67" s="50"/>
      <c r="O67"/>
    </row>
    <row r="68" spans="1:15" x14ac:dyDescent="0.2">
      <c r="A68"/>
      <c r="B68" s="50"/>
      <c r="C68" s="50"/>
      <c r="F68"/>
      <c r="G68"/>
      <c r="I68"/>
      <c r="L68"/>
      <c r="M68"/>
      <c r="N68" s="50"/>
      <c r="O68"/>
    </row>
    <row r="69" spans="1:15" x14ac:dyDescent="0.2">
      <c r="A69"/>
      <c r="B69" s="50"/>
      <c r="C69" s="50"/>
      <c r="F69"/>
      <c r="G69"/>
      <c r="H69"/>
      <c r="I69"/>
      <c r="L69"/>
      <c r="N69" s="50"/>
      <c r="O69"/>
    </row>
    <row r="70" spans="1:15" x14ac:dyDescent="0.2">
      <c r="A70"/>
      <c r="B70" s="50"/>
      <c r="C70" s="50"/>
      <c r="F70"/>
      <c r="G70"/>
      <c r="I70"/>
      <c r="L70"/>
      <c r="M70"/>
      <c r="N70" s="50"/>
      <c r="O70"/>
    </row>
    <row r="71" spans="1:15" x14ac:dyDescent="0.2">
      <c r="A71"/>
      <c r="B71" s="50"/>
      <c r="C71" s="50"/>
      <c r="F71"/>
      <c r="G71"/>
      <c r="L71"/>
      <c r="M71"/>
      <c r="N71" s="50"/>
      <c r="O71"/>
    </row>
    <row r="72" spans="1:15" x14ac:dyDescent="0.2">
      <c r="A72"/>
      <c r="B72" s="50"/>
      <c r="C72" s="50"/>
      <c r="F72"/>
      <c r="G72"/>
      <c r="L72"/>
      <c r="M72"/>
      <c r="N72" s="50"/>
      <c r="O72"/>
    </row>
    <row r="73" spans="1:15" x14ac:dyDescent="0.2">
      <c r="A73"/>
      <c r="B73" s="50"/>
      <c r="C73" s="50"/>
      <c r="F73"/>
      <c r="G73"/>
      <c r="L73"/>
      <c r="M73"/>
      <c r="N73" s="50"/>
      <c r="O73"/>
    </row>
    <row r="74" spans="1:15" x14ac:dyDescent="0.2">
      <c r="A74"/>
      <c r="B74" s="50"/>
      <c r="C74" s="50"/>
      <c r="F74"/>
      <c r="G74"/>
      <c r="I74"/>
      <c r="L74"/>
      <c r="M74"/>
      <c r="N74" s="50"/>
      <c r="O74"/>
    </row>
    <row r="75" spans="1:15" x14ac:dyDescent="0.2">
      <c r="A75"/>
      <c r="B75" s="50"/>
      <c r="C75" s="50"/>
      <c r="F75"/>
      <c r="G75"/>
      <c r="I75"/>
      <c r="L75"/>
      <c r="M75"/>
      <c r="N75" s="50"/>
      <c r="O75"/>
    </row>
    <row r="76" spans="1:15" x14ac:dyDescent="0.2">
      <c r="A76"/>
      <c r="B76" s="50"/>
      <c r="C76" s="50"/>
      <c r="F76"/>
      <c r="G76"/>
      <c r="I76"/>
      <c r="L76"/>
      <c r="M76"/>
      <c r="N76" s="50"/>
      <c r="O76"/>
    </row>
    <row r="77" spans="1:15" x14ac:dyDescent="0.2">
      <c r="A77"/>
      <c r="B77" s="50"/>
      <c r="C77" s="50"/>
      <c r="F77"/>
      <c r="G77"/>
      <c r="I77"/>
      <c r="L77"/>
      <c r="M77"/>
      <c r="N77" s="50"/>
      <c r="O77"/>
    </row>
    <row r="78" spans="1:15" x14ac:dyDescent="0.2">
      <c r="A78"/>
      <c r="B78" s="50"/>
      <c r="C78" s="50"/>
      <c r="F78"/>
      <c r="G78"/>
      <c r="M78"/>
      <c r="N78" s="50"/>
      <c r="O78"/>
    </row>
    <row r="79" spans="1:15" x14ac:dyDescent="0.2">
      <c r="A79"/>
      <c r="B79" s="50"/>
      <c r="C79" s="50"/>
      <c r="F79"/>
      <c r="G79"/>
      <c r="I79"/>
      <c r="L79"/>
      <c r="M79"/>
      <c r="N79" s="50"/>
      <c r="O79"/>
    </row>
    <row r="80" spans="1:15" x14ac:dyDescent="0.2">
      <c r="A80"/>
      <c r="B80" s="50"/>
      <c r="C80" s="50"/>
      <c r="F80"/>
      <c r="G80"/>
      <c r="I80"/>
      <c r="L80"/>
      <c r="M80"/>
      <c r="N80" s="50"/>
      <c r="O80"/>
    </row>
    <row r="81" spans="1:15" x14ac:dyDescent="0.2">
      <c r="A81"/>
      <c r="B81" s="50"/>
      <c r="C81" s="50"/>
      <c r="F81"/>
      <c r="G81"/>
      <c r="H81"/>
      <c r="I81"/>
      <c r="L81"/>
      <c r="N81" s="50"/>
      <c r="O81"/>
    </row>
    <row r="82" spans="1:15" x14ac:dyDescent="0.2">
      <c r="A82"/>
      <c r="B82" s="50"/>
      <c r="C82" s="50"/>
      <c r="F82"/>
      <c r="G82"/>
      <c r="H82"/>
      <c r="J82"/>
      <c r="K82"/>
      <c r="L82"/>
      <c r="M82"/>
      <c r="N82" s="50"/>
      <c r="O82"/>
    </row>
    <row r="83" spans="1:15" x14ac:dyDescent="0.2">
      <c r="A83"/>
      <c r="B83" s="50"/>
      <c r="C83" s="50"/>
      <c r="F83"/>
      <c r="G83"/>
      <c r="H83"/>
      <c r="I83"/>
      <c r="L83"/>
      <c r="N83" s="50"/>
      <c r="O83"/>
    </row>
    <row r="84" spans="1:15" x14ac:dyDescent="0.2">
      <c r="A84"/>
      <c r="B84" s="50"/>
      <c r="C84" s="50"/>
      <c r="F84"/>
      <c r="G84"/>
      <c r="I84"/>
      <c r="J84"/>
      <c r="K84"/>
      <c r="L84"/>
      <c r="M84"/>
      <c r="N84" s="50"/>
      <c r="O84"/>
    </row>
    <row r="85" spans="1:15" x14ac:dyDescent="0.2">
      <c r="A85"/>
      <c r="B85" s="50"/>
      <c r="C85" s="50"/>
      <c r="F85"/>
      <c r="G85"/>
      <c r="I85"/>
      <c r="L85"/>
      <c r="M85"/>
      <c r="N85" s="50"/>
      <c r="O85"/>
    </row>
    <row r="86" spans="1:15" x14ac:dyDescent="0.2">
      <c r="A86"/>
      <c r="B86" s="50"/>
      <c r="C86" s="50"/>
      <c r="F86"/>
      <c r="G86"/>
      <c r="I86"/>
      <c r="L86"/>
      <c r="M86"/>
      <c r="N86" s="50"/>
      <c r="O86"/>
    </row>
    <row r="87" spans="1:15" x14ac:dyDescent="0.2">
      <c r="A87"/>
      <c r="B87" s="50"/>
      <c r="C87" s="50"/>
      <c r="F87"/>
      <c r="G87"/>
      <c r="I87"/>
      <c r="L87"/>
      <c r="M87"/>
      <c r="N87" s="50"/>
      <c r="O87"/>
    </row>
    <row r="88" spans="1:15" x14ac:dyDescent="0.2">
      <c r="A88"/>
      <c r="B88" s="50"/>
      <c r="C88" s="50"/>
      <c r="F88"/>
      <c r="G88"/>
      <c r="I88"/>
      <c r="J88"/>
      <c r="K88"/>
      <c r="L88"/>
      <c r="M88"/>
      <c r="N88" s="50"/>
      <c r="O88"/>
    </row>
    <row r="89" spans="1:15" x14ac:dyDescent="0.2">
      <c r="A89"/>
      <c r="B89" s="50"/>
      <c r="C89" s="50"/>
      <c r="F89"/>
      <c r="G89"/>
      <c r="I89"/>
      <c r="L89"/>
      <c r="M89"/>
      <c r="N89" s="50"/>
      <c r="O89"/>
    </row>
    <row r="90" spans="1:15" x14ac:dyDescent="0.2">
      <c r="A90"/>
      <c r="B90" s="50"/>
      <c r="C90" s="50"/>
      <c r="F90"/>
      <c r="G90"/>
      <c r="I90"/>
      <c r="L90"/>
      <c r="M90"/>
      <c r="N90" s="50"/>
      <c r="O90"/>
    </row>
    <row r="91" spans="1:15" x14ac:dyDescent="0.2">
      <c r="A91"/>
      <c r="B91" s="50"/>
      <c r="C91" s="50"/>
      <c r="F91"/>
      <c r="G91"/>
      <c r="L91"/>
      <c r="M91"/>
      <c r="N91" s="50"/>
      <c r="O91"/>
    </row>
    <row r="92" spans="1:15" x14ac:dyDescent="0.2">
      <c r="A92"/>
      <c r="B92" s="50"/>
      <c r="C92" s="50"/>
      <c r="F92"/>
      <c r="G92"/>
      <c r="I92"/>
      <c r="J92"/>
      <c r="L92"/>
      <c r="M92"/>
      <c r="N92" s="50"/>
      <c r="O92"/>
    </row>
    <row r="93" spans="1:15" x14ac:dyDescent="0.2">
      <c r="A93"/>
      <c r="B93" s="50"/>
      <c r="C93" s="50"/>
      <c r="F93"/>
      <c r="G93"/>
      <c r="I93"/>
      <c r="L93"/>
      <c r="M93"/>
      <c r="N93" s="50"/>
      <c r="O93"/>
    </row>
    <row r="94" spans="1:15" x14ac:dyDescent="0.2">
      <c r="A94"/>
      <c r="B94" s="50"/>
      <c r="C94" s="50"/>
      <c r="F94"/>
      <c r="G94"/>
      <c r="I94"/>
      <c r="L94"/>
      <c r="M94"/>
      <c r="N94" s="50"/>
      <c r="O94"/>
    </row>
    <row r="95" spans="1:15" x14ac:dyDescent="0.2">
      <c r="A95"/>
      <c r="B95" s="50"/>
      <c r="C95" s="50"/>
      <c r="F95"/>
      <c r="G95"/>
      <c r="I95"/>
      <c r="L95"/>
      <c r="M95"/>
      <c r="N95" s="50"/>
      <c r="O95"/>
    </row>
    <row r="96" spans="1:15" x14ac:dyDescent="0.2">
      <c r="A96"/>
      <c r="B96" s="50"/>
      <c r="C96" s="50"/>
      <c r="F96"/>
      <c r="G96"/>
      <c r="N96" s="50"/>
      <c r="O96"/>
    </row>
    <row r="97" spans="1:15" x14ac:dyDescent="0.2">
      <c r="A97"/>
      <c r="B97" s="50"/>
      <c r="C97" s="50"/>
      <c r="F97"/>
      <c r="G97"/>
      <c r="L97"/>
      <c r="M97"/>
      <c r="N97" s="50"/>
      <c r="O97"/>
    </row>
    <row r="98" spans="1:15" x14ac:dyDescent="0.2">
      <c r="A98"/>
      <c r="B98" s="50"/>
      <c r="C98" s="50"/>
      <c r="F98"/>
      <c r="G98"/>
      <c r="L98"/>
      <c r="M98"/>
      <c r="N98" s="50"/>
      <c r="O98"/>
    </row>
    <row r="99" spans="1:15" x14ac:dyDescent="0.2">
      <c r="A99"/>
      <c r="B99" s="50"/>
      <c r="C99" s="50"/>
      <c r="F99"/>
      <c r="G99"/>
      <c r="I99"/>
      <c r="L99"/>
      <c r="M99"/>
      <c r="N99" s="50"/>
      <c r="O99"/>
    </row>
    <row r="100" spans="1:15" x14ac:dyDescent="0.2">
      <c r="A100"/>
      <c r="B100" s="50"/>
      <c r="C100" s="50"/>
      <c r="F100"/>
      <c r="G100"/>
      <c r="I100"/>
      <c r="L100"/>
      <c r="M100"/>
      <c r="N100" s="50"/>
      <c r="O100"/>
    </row>
    <row r="101" spans="1:15" x14ac:dyDescent="0.2">
      <c r="A101"/>
      <c r="B101" s="50"/>
      <c r="C101" s="50"/>
      <c r="F101"/>
      <c r="G101"/>
      <c r="I101"/>
      <c r="L101"/>
      <c r="M101"/>
      <c r="N101" s="50"/>
      <c r="O101"/>
    </row>
    <row r="102" spans="1:15" x14ac:dyDescent="0.2">
      <c r="A102"/>
      <c r="B102" s="50"/>
      <c r="C102" s="50"/>
      <c r="F102"/>
      <c r="G102"/>
      <c r="I102"/>
      <c r="L102"/>
      <c r="M102"/>
      <c r="N102" s="50"/>
      <c r="O102"/>
    </row>
    <row r="103" spans="1:15" x14ac:dyDescent="0.2">
      <c r="A103"/>
      <c r="B103" s="50"/>
      <c r="C103" s="50"/>
      <c r="F103"/>
      <c r="G103"/>
      <c r="L103"/>
      <c r="M103"/>
      <c r="N103" s="50"/>
      <c r="O103"/>
    </row>
    <row r="104" spans="1:15" x14ac:dyDescent="0.2">
      <c r="A104"/>
      <c r="B104" s="50"/>
      <c r="C104" s="50"/>
      <c r="F104"/>
      <c r="G104"/>
      <c r="L104"/>
      <c r="M104"/>
      <c r="N104" s="50"/>
      <c r="O104"/>
    </row>
    <row r="105" spans="1:15" x14ac:dyDescent="0.2">
      <c r="A105"/>
      <c r="B105" s="50"/>
      <c r="C105" s="50"/>
      <c r="F105"/>
      <c r="G105"/>
      <c r="H105"/>
      <c r="J105"/>
      <c r="K105"/>
      <c r="L105"/>
      <c r="M105"/>
      <c r="N105" s="50"/>
      <c r="O105"/>
    </row>
    <row r="106" spans="1:15" x14ac:dyDescent="0.2">
      <c r="A106"/>
      <c r="B106" s="50"/>
      <c r="C106" s="50"/>
      <c r="F106"/>
      <c r="G106"/>
      <c r="L106"/>
      <c r="M106"/>
      <c r="N106" s="50"/>
      <c r="O106"/>
    </row>
    <row r="107" spans="1:15" x14ac:dyDescent="0.2">
      <c r="A107"/>
      <c r="B107" s="50"/>
      <c r="C107" s="50"/>
      <c r="F107"/>
      <c r="G107"/>
      <c r="I107"/>
      <c r="L107"/>
      <c r="M107"/>
      <c r="N107" s="50"/>
      <c r="O107"/>
    </row>
    <row r="108" spans="1:15" x14ac:dyDescent="0.2">
      <c r="A108"/>
      <c r="B108" s="50"/>
      <c r="C108" s="50"/>
      <c r="F108"/>
      <c r="G108"/>
      <c r="I108"/>
      <c r="L108"/>
      <c r="M108"/>
      <c r="N108" s="50"/>
      <c r="O108"/>
    </row>
    <row r="109" spans="1:15" x14ac:dyDescent="0.2">
      <c r="A109"/>
      <c r="B109" s="50"/>
      <c r="C109" s="50"/>
      <c r="F109"/>
      <c r="G109"/>
      <c r="L109"/>
      <c r="M109"/>
      <c r="N109" s="50"/>
      <c r="O109"/>
    </row>
    <row r="110" spans="1:15" x14ac:dyDescent="0.2">
      <c r="A110"/>
      <c r="B110" s="50"/>
      <c r="C110" s="50"/>
      <c r="F110"/>
      <c r="G110"/>
      <c r="M110"/>
      <c r="N110" s="50"/>
      <c r="O110"/>
    </row>
    <row r="111" spans="1:15" x14ac:dyDescent="0.2">
      <c r="A111"/>
      <c r="B111" s="50"/>
      <c r="C111" s="50"/>
      <c r="F111"/>
      <c r="G111"/>
      <c r="I111"/>
      <c r="L111"/>
      <c r="M111"/>
      <c r="N111" s="50"/>
      <c r="O111"/>
    </row>
    <row r="112" spans="1:15" x14ac:dyDescent="0.2">
      <c r="A112"/>
      <c r="B112" s="50"/>
      <c r="C112" s="50"/>
      <c r="F112"/>
      <c r="G112"/>
      <c r="L112"/>
      <c r="M112"/>
      <c r="N112" s="50"/>
      <c r="O112"/>
    </row>
    <row r="113" spans="1:15" x14ac:dyDescent="0.2">
      <c r="A113"/>
      <c r="B113" s="50"/>
      <c r="C113" s="50"/>
      <c r="F113"/>
      <c r="G113"/>
      <c r="I113"/>
      <c r="L113"/>
      <c r="M113"/>
      <c r="N113" s="50"/>
      <c r="O113"/>
    </row>
    <row r="114" spans="1:15" x14ac:dyDescent="0.2">
      <c r="A114"/>
      <c r="B114" s="50"/>
      <c r="C114" s="50"/>
      <c r="F114"/>
      <c r="G114"/>
      <c r="I114"/>
      <c r="L114"/>
      <c r="M114"/>
      <c r="N114" s="50"/>
      <c r="O114"/>
    </row>
    <row r="115" spans="1:15" x14ac:dyDescent="0.2">
      <c r="A115"/>
      <c r="B115" s="50"/>
      <c r="C115" s="50"/>
      <c r="F115"/>
      <c r="G115"/>
      <c r="L115"/>
      <c r="M115"/>
      <c r="N115" s="50"/>
      <c r="O115"/>
    </row>
    <row r="116" spans="1:15" x14ac:dyDescent="0.2">
      <c r="A116"/>
      <c r="B116" s="50"/>
      <c r="C116" s="50"/>
      <c r="F116"/>
      <c r="G116"/>
      <c r="I116"/>
      <c r="L116"/>
      <c r="M116"/>
      <c r="N116" s="50"/>
      <c r="O116"/>
    </row>
    <row r="117" spans="1:15" x14ac:dyDescent="0.2">
      <c r="A117"/>
      <c r="B117" s="50"/>
      <c r="C117" s="50"/>
      <c r="F117"/>
      <c r="G117"/>
      <c r="H117"/>
      <c r="I117"/>
      <c r="L117"/>
      <c r="N117" s="50"/>
      <c r="O117"/>
    </row>
    <row r="118" spans="1:15" x14ac:dyDescent="0.2">
      <c r="A118"/>
      <c r="B118" s="50"/>
      <c r="C118" s="50"/>
      <c r="F118"/>
      <c r="G118"/>
      <c r="L118"/>
      <c r="M118"/>
      <c r="N118" s="50"/>
      <c r="O118"/>
    </row>
    <row r="119" spans="1:15" x14ac:dyDescent="0.2">
      <c r="A119"/>
      <c r="B119" s="50"/>
      <c r="C119" s="50"/>
      <c r="F119"/>
      <c r="G119"/>
      <c r="L119"/>
      <c r="M119"/>
      <c r="N119" s="50"/>
      <c r="O119"/>
    </row>
    <row r="120" spans="1:15" x14ac:dyDescent="0.2">
      <c r="A120"/>
      <c r="B120" s="50"/>
      <c r="C120" s="50"/>
      <c r="F120"/>
      <c r="G120"/>
      <c r="H120"/>
      <c r="I120"/>
      <c r="L120"/>
      <c r="N120" s="50"/>
      <c r="O120"/>
    </row>
    <row r="121" spans="1:15" x14ac:dyDescent="0.2">
      <c r="A121"/>
      <c r="B121" s="50"/>
      <c r="C121" s="50"/>
      <c r="F121"/>
      <c r="G121"/>
      <c r="H121"/>
      <c r="J121"/>
      <c r="K121"/>
      <c r="L121"/>
      <c r="M121"/>
      <c r="N121" s="50"/>
      <c r="O121"/>
    </row>
    <row r="122" spans="1:15" x14ac:dyDescent="0.2">
      <c r="A122"/>
      <c r="B122" s="50"/>
      <c r="C122" s="50"/>
      <c r="F122"/>
      <c r="G122"/>
      <c r="I122"/>
      <c r="L122"/>
      <c r="M122"/>
      <c r="N122" s="50"/>
      <c r="O122"/>
    </row>
    <row r="123" spans="1:15" x14ac:dyDescent="0.2">
      <c r="A123"/>
      <c r="B123" s="50"/>
      <c r="C123" s="50"/>
      <c r="F123"/>
      <c r="G123"/>
      <c r="H123"/>
      <c r="I123"/>
      <c r="L123"/>
      <c r="N123" s="50"/>
      <c r="O123"/>
    </row>
    <row r="124" spans="1:15" x14ac:dyDescent="0.2">
      <c r="A124"/>
      <c r="B124" s="50"/>
      <c r="C124" s="50"/>
      <c r="F124"/>
      <c r="G124"/>
      <c r="I124"/>
      <c r="L124"/>
      <c r="M124"/>
      <c r="N124" s="50"/>
      <c r="O124"/>
    </row>
    <row r="125" spans="1:15" x14ac:dyDescent="0.2">
      <c r="A125"/>
      <c r="B125" s="50"/>
      <c r="C125" s="50"/>
      <c r="F125"/>
      <c r="G125"/>
      <c r="I125"/>
      <c r="L125"/>
      <c r="M125"/>
      <c r="N125" s="50"/>
      <c r="O125"/>
    </row>
    <row r="126" spans="1:15" x14ac:dyDescent="0.2">
      <c r="A126"/>
      <c r="B126" s="50"/>
      <c r="C126" s="50"/>
      <c r="F126"/>
      <c r="G126"/>
      <c r="I126"/>
      <c r="L126"/>
      <c r="M126"/>
      <c r="N126" s="50"/>
      <c r="O126"/>
    </row>
    <row r="127" spans="1:15" x14ac:dyDescent="0.2">
      <c r="A127"/>
      <c r="B127" s="50"/>
      <c r="C127" s="50"/>
      <c r="F127"/>
      <c r="G127"/>
      <c r="I127"/>
      <c r="L127"/>
      <c r="M127"/>
      <c r="N127" s="50"/>
      <c r="O127"/>
    </row>
    <row r="128" spans="1:15" x14ac:dyDescent="0.2">
      <c r="A128"/>
      <c r="B128" s="50"/>
      <c r="C128" s="50"/>
      <c r="F128"/>
      <c r="G128"/>
      <c r="I128"/>
      <c r="L128"/>
      <c r="M128"/>
      <c r="N128" s="50"/>
      <c r="O128"/>
    </row>
    <row r="129" spans="1:15" x14ac:dyDescent="0.2">
      <c r="A129"/>
      <c r="B129" s="50"/>
      <c r="C129" s="50"/>
      <c r="F129"/>
      <c r="G129"/>
      <c r="L129"/>
      <c r="M129"/>
      <c r="N129" s="50"/>
      <c r="O129"/>
    </row>
    <row r="130" spans="1:15" x14ac:dyDescent="0.2">
      <c r="A130"/>
      <c r="B130" s="50"/>
      <c r="C130" s="50"/>
      <c r="F130"/>
      <c r="G130"/>
      <c r="I130"/>
      <c r="L130"/>
      <c r="M130"/>
      <c r="N130" s="50"/>
      <c r="O130"/>
    </row>
    <row r="131" spans="1:15" x14ac:dyDescent="0.2">
      <c r="A131"/>
      <c r="B131" s="50"/>
      <c r="C131" s="50"/>
      <c r="F131"/>
      <c r="G131"/>
      <c r="I131"/>
      <c r="L131"/>
      <c r="M131"/>
      <c r="N131" s="50"/>
      <c r="O131"/>
    </row>
    <row r="132" spans="1:15" x14ac:dyDescent="0.2">
      <c r="A132"/>
      <c r="B132" s="50"/>
      <c r="C132" s="50"/>
      <c r="F132"/>
      <c r="G132"/>
      <c r="I132"/>
      <c r="L132"/>
      <c r="M132"/>
      <c r="N132" s="50"/>
      <c r="O132"/>
    </row>
    <row r="133" spans="1:15" x14ac:dyDescent="0.2">
      <c r="A133"/>
      <c r="B133" s="50"/>
      <c r="C133" s="50"/>
      <c r="F133"/>
      <c r="G133"/>
      <c r="M133"/>
      <c r="N133" s="50"/>
      <c r="O133"/>
    </row>
    <row r="134" spans="1:15" x14ac:dyDescent="0.2">
      <c r="A134"/>
      <c r="B134" s="50"/>
      <c r="C134" s="50"/>
      <c r="F134"/>
      <c r="G134"/>
      <c r="L134"/>
      <c r="M134"/>
      <c r="N134" s="50"/>
      <c r="O134"/>
    </row>
    <row r="135" spans="1:15" x14ac:dyDescent="0.2">
      <c r="A135"/>
      <c r="B135" s="50"/>
      <c r="C135" s="50"/>
      <c r="F135"/>
      <c r="G135"/>
      <c r="I135"/>
      <c r="L135"/>
      <c r="M135"/>
      <c r="N135" s="50"/>
      <c r="O135"/>
    </row>
    <row r="136" spans="1:15" x14ac:dyDescent="0.2">
      <c r="A136"/>
      <c r="B136" s="50"/>
      <c r="C136" s="50"/>
      <c r="F136"/>
      <c r="G136"/>
      <c r="I136"/>
      <c r="L136"/>
      <c r="M136"/>
      <c r="N136" s="50"/>
      <c r="O136"/>
    </row>
    <row r="137" spans="1:15" x14ac:dyDescent="0.2">
      <c r="A137"/>
      <c r="B137" s="50"/>
      <c r="C137" s="50"/>
      <c r="F137"/>
      <c r="G137"/>
      <c r="L137"/>
      <c r="M137"/>
      <c r="N137" s="50"/>
      <c r="O137"/>
    </row>
    <row r="138" spans="1:15" x14ac:dyDescent="0.2">
      <c r="A138"/>
      <c r="B138" s="50"/>
      <c r="C138" s="50"/>
      <c r="F138"/>
      <c r="G138"/>
      <c r="J138"/>
      <c r="K138"/>
      <c r="L138"/>
      <c r="M138"/>
      <c r="N138" s="50"/>
      <c r="O138"/>
    </row>
    <row r="139" spans="1:15" x14ac:dyDescent="0.2">
      <c r="A139"/>
      <c r="B139" s="50"/>
      <c r="C139" s="50"/>
      <c r="F139"/>
      <c r="G139"/>
      <c r="H139"/>
      <c r="J139"/>
      <c r="K139"/>
      <c r="L139"/>
      <c r="M139"/>
      <c r="N139" s="50"/>
      <c r="O139"/>
    </row>
    <row r="140" spans="1:15" x14ac:dyDescent="0.2">
      <c r="A140"/>
      <c r="B140" s="50"/>
      <c r="C140" s="50"/>
      <c r="F140"/>
      <c r="G140"/>
      <c r="H140"/>
      <c r="J140"/>
      <c r="K140"/>
      <c r="L140"/>
      <c r="M140"/>
      <c r="N140" s="50"/>
      <c r="O140"/>
    </row>
    <row r="141" spans="1:15" x14ac:dyDescent="0.2">
      <c r="A141"/>
      <c r="B141" s="50"/>
      <c r="C141" s="50"/>
      <c r="F141"/>
      <c r="G141"/>
      <c r="L141"/>
      <c r="M141"/>
      <c r="N141" s="50"/>
      <c r="O141"/>
    </row>
    <row r="142" spans="1:15" x14ac:dyDescent="0.2">
      <c r="A142"/>
      <c r="B142" s="50"/>
      <c r="C142" s="50"/>
      <c r="F142"/>
      <c r="G142"/>
      <c r="H142"/>
      <c r="J142"/>
      <c r="K142"/>
      <c r="L142"/>
      <c r="M142"/>
      <c r="N142" s="50"/>
      <c r="O142"/>
    </row>
    <row r="143" spans="1:15" x14ac:dyDescent="0.2">
      <c r="A143"/>
      <c r="B143" s="50"/>
      <c r="C143" s="50"/>
      <c r="F143"/>
      <c r="G143"/>
      <c r="J143"/>
      <c r="K143"/>
      <c r="L143"/>
      <c r="M143"/>
      <c r="N143" s="50"/>
      <c r="O143"/>
    </row>
    <row r="144" spans="1:15" x14ac:dyDescent="0.2">
      <c r="A144"/>
      <c r="B144" s="50"/>
      <c r="C144" s="50"/>
      <c r="F144"/>
      <c r="G144"/>
      <c r="H144"/>
      <c r="J144"/>
      <c r="K144"/>
      <c r="L144"/>
      <c r="M144"/>
      <c r="N144" s="50"/>
      <c r="O144"/>
    </row>
    <row r="145" spans="1:15" x14ac:dyDescent="0.2">
      <c r="A145"/>
      <c r="B145" s="50"/>
      <c r="C145" s="50"/>
      <c r="F145"/>
      <c r="G145"/>
      <c r="I145"/>
      <c r="L145"/>
      <c r="M145"/>
      <c r="N145" s="50"/>
      <c r="O145"/>
    </row>
    <row r="146" spans="1:15" x14ac:dyDescent="0.2">
      <c r="A146"/>
      <c r="B146" s="50"/>
      <c r="C146" s="50"/>
      <c r="F146"/>
      <c r="G146"/>
      <c r="I146"/>
      <c r="L146"/>
      <c r="M146"/>
      <c r="N146" s="50"/>
      <c r="O146"/>
    </row>
    <row r="147" spans="1:15" x14ac:dyDescent="0.2">
      <c r="A147"/>
      <c r="B147" s="50"/>
      <c r="C147" s="50"/>
      <c r="F147"/>
      <c r="G147"/>
      <c r="H147"/>
      <c r="I147"/>
      <c r="L147"/>
      <c r="M147"/>
      <c r="N147" s="50"/>
      <c r="O147"/>
    </row>
    <row r="148" spans="1:15" x14ac:dyDescent="0.2">
      <c r="A148"/>
      <c r="B148" s="50"/>
      <c r="C148" s="50"/>
      <c r="F148"/>
      <c r="G148"/>
      <c r="H148"/>
      <c r="I148"/>
      <c r="L148"/>
      <c r="M148"/>
      <c r="N148" s="50"/>
      <c r="O148"/>
    </row>
    <row r="149" spans="1:15" x14ac:dyDescent="0.2">
      <c r="A149"/>
      <c r="B149" s="50"/>
      <c r="C149" s="50"/>
      <c r="F149"/>
      <c r="G149"/>
      <c r="I149"/>
      <c r="L149"/>
      <c r="M149"/>
      <c r="N149" s="50"/>
      <c r="O149"/>
    </row>
    <row r="150" spans="1:15" x14ac:dyDescent="0.2">
      <c r="A150"/>
      <c r="B150" s="50"/>
      <c r="C150" s="50"/>
      <c r="F150"/>
      <c r="G150"/>
      <c r="L150"/>
      <c r="M150"/>
      <c r="N150" s="50"/>
      <c r="O150"/>
    </row>
    <row r="151" spans="1:15" x14ac:dyDescent="0.2">
      <c r="A151"/>
      <c r="B151" s="50"/>
      <c r="C151" s="50"/>
      <c r="F151"/>
      <c r="G151"/>
      <c r="I151"/>
      <c r="L151"/>
      <c r="M151"/>
      <c r="N151" s="50"/>
      <c r="O151"/>
    </row>
    <row r="152" spans="1:15" x14ac:dyDescent="0.2">
      <c r="A152"/>
      <c r="B152" s="50"/>
      <c r="C152" s="50"/>
      <c r="F152"/>
      <c r="G152"/>
      <c r="L152"/>
      <c r="M152"/>
      <c r="N152" s="50"/>
      <c r="O152"/>
    </row>
    <row r="153" spans="1:15" x14ac:dyDescent="0.2">
      <c r="A153"/>
      <c r="B153" s="50"/>
      <c r="C153" s="50"/>
      <c r="F153"/>
      <c r="G153"/>
      <c r="L153"/>
      <c r="M153"/>
      <c r="N153" s="50"/>
      <c r="O153"/>
    </row>
    <row r="154" spans="1:15" x14ac:dyDescent="0.2">
      <c r="A154"/>
      <c r="B154" s="50"/>
      <c r="C154" s="50"/>
      <c r="F154"/>
      <c r="G154"/>
      <c r="H154"/>
      <c r="I154"/>
      <c r="L154"/>
      <c r="M154"/>
      <c r="N154" s="50"/>
      <c r="O154"/>
    </row>
    <row r="155" spans="1:15" x14ac:dyDescent="0.2">
      <c r="A155"/>
      <c r="B155" s="50"/>
      <c r="C155" s="50"/>
      <c r="F155"/>
      <c r="G155"/>
      <c r="H155"/>
      <c r="I155"/>
      <c r="L155"/>
      <c r="M155"/>
      <c r="N155" s="50"/>
      <c r="O155"/>
    </row>
    <row r="156" spans="1:15" x14ac:dyDescent="0.2">
      <c r="A156"/>
      <c r="B156" s="50"/>
      <c r="C156" s="50"/>
      <c r="F156"/>
      <c r="G156"/>
      <c r="I156"/>
      <c r="L156"/>
      <c r="M156"/>
      <c r="N156" s="50"/>
      <c r="O156"/>
    </row>
    <row r="157" spans="1:15" x14ac:dyDescent="0.2">
      <c r="A157"/>
      <c r="B157" s="50"/>
      <c r="C157" s="50"/>
      <c r="F157"/>
      <c r="G157"/>
      <c r="H157"/>
      <c r="I157"/>
      <c r="L157"/>
      <c r="M157"/>
      <c r="N157" s="50"/>
      <c r="O157"/>
    </row>
    <row r="158" spans="1:15" x14ac:dyDescent="0.2">
      <c r="A158"/>
      <c r="B158" s="50"/>
      <c r="C158" s="50"/>
      <c r="F158"/>
      <c r="G158"/>
      <c r="M158"/>
      <c r="N158" s="50"/>
      <c r="O158"/>
    </row>
    <row r="159" spans="1:15" x14ac:dyDescent="0.2">
      <c r="A159"/>
      <c r="B159" s="50"/>
      <c r="C159" s="50"/>
      <c r="F159"/>
      <c r="G159"/>
      <c r="I159"/>
      <c r="L159"/>
      <c r="M159"/>
      <c r="N159" s="50"/>
      <c r="O159"/>
    </row>
    <row r="160" spans="1:15" x14ac:dyDescent="0.2">
      <c r="A160"/>
      <c r="B160" s="50"/>
      <c r="C160" s="50"/>
      <c r="F160"/>
      <c r="G160"/>
      <c r="H160"/>
      <c r="I160"/>
      <c r="L160"/>
      <c r="N160" s="50"/>
      <c r="O160"/>
    </row>
    <row r="161" spans="1:15" x14ac:dyDescent="0.2">
      <c r="A161"/>
      <c r="B161" s="50"/>
      <c r="C161" s="50"/>
      <c r="F161"/>
      <c r="G161"/>
      <c r="H161"/>
      <c r="I161"/>
      <c r="L161"/>
      <c r="M161"/>
      <c r="N161" s="50"/>
      <c r="O161"/>
    </row>
    <row r="162" spans="1:15" x14ac:dyDescent="0.2">
      <c r="A162"/>
      <c r="B162" s="50"/>
      <c r="C162" s="50"/>
      <c r="F162"/>
      <c r="G162"/>
      <c r="H162"/>
      <c r="J162"/>
      <c r="K162"/>
      <c r="L162"/>
      <c r="M162"/>
      <c r="N162" s="50"/>
      <c r="O162"/>
    </row>
    <row r="163" spans="1:15" x14ac:dyDescent="0.2">
      <c r="A163"/>
      <c r="B163" s="50"/>
      <c r="C163" s="50"/>
      <c r="F163"/>
      <c r="G163"/>
      <c r="H163"/>
      <c r="I163"/>
      <c r="L163"/>
      <c r="M163"/>
      <c r="N163" s="50"/>
      <c r="O163"/>
    </row>
    <row r="164" spans="1:15" x14ac:dyDescent="0.2">
      <c r="A164"/>
      <c r="B164" s="50"/>
      <c r="C164" s="50"/>
      <c r="F164"/>
      <c r="G164"/>
      <c r="I164"/>
      <c r="L164"/>
      <c r="M164"/>
      <c r="N164" s="50"/>
      <c r="O164"/>
    </row>
    <row r="165" spans="1:15" x14ac:dyDescent="0.2">
      <c r="A165"/>
      <c r="B165" s="50"/>
      <c r="C165" s="50"/>
      <c r="F165"/>
      <c r="G165"/>
      <c r="H165"/>
      <c r="I165"/>
      <c r="L165"/>
      <c r="M165"/>
      <c r="N165" s="50"/>
      <c r="O165"/>
    </row>
    <row r="166" spans="1:15" x14ac:dyDescent="0.2">
      <c r="A166"/>
      <c r="B166" s="50"/>
      <c r="C166" s="50"/>
      <c r="F166"/>
      <c r="G166"/>
      <c r="H166"/>
      <c r="I166"/>
      <c r="L166"/>
      <c r="N166" s="50"/>
      <c r="O166"/>
    </row>
    <row r="167" spans="1:15" x14ac:dyDescent="0.2">
      <c r="A167"/>
      <c r="B167" s="50"/>
      <c r="C167" s="50"/>
      <c r="F167"/>
      <c r="G167"/>
      <c r="H167"/>
      <c r="I167"/>
      <c r="L167"/>
      <c r="M167"/>
      <c r="N167" s="50"/>
      <c r="O167"/>
    </row>
    <row r="168" spans="1:15" x14ac:dyDescent="0.2">
      <c r="A168"/>
      <c r="B168" s="50"/>
      <c r="C168" s="50"/>
      <c r="F168"/>
      <c r="G168"/>
      <c r="H168"/>
      <c r="I168"/>
      <c r="L168"/>
      <c r="M168"/>
      <c r="N168" s="50"/>
      <c r="O168"/>
    </row>
    <row r="169" spans="1:15" x14ac:dyDescent="0.2">
      <c r="A169"/>
      <c r="B169" s="50"/>
      <c r="C169" s="50"/>
      <c r="F169"/>
      <c r="G169"/>
      <c r="H169"/>
      <c r="I169"/>
      <c r="L169"/>
      <c r="M169"/>
      <c r="N169" s="50"/>
      <c r="O169"/>
    </row>
    <row r="170" spans="1:15" x14ac:dyDescent="0.2">
      <c r="A170"/>
      <c r="B170" s="50"/>
      <c r="C170" s="50"/>
      <c r="F170"/>
      <c r="G170"/>
      <c r="M170"/>
      <c r="N170" s="50"/>
      <c r="O170"/>
    </row>
    <row r="171" spans="1:15" x14ac:dyDescent="0.2">
      <c r="A171"/>
      <c r="B171" s="50"/>
      <c r="C171" s="50"/>
      <c r="F171"/>
      <c r="G171"/>
      <c r="H171"/>
      <c r="J171"/>
      <c r="K171"/>
      <c r="L171"/>
      <c r="M171"/>
      <c r="N171" s="50"/>
      <c r="O171"/>
    </row>
    <row r="172" spans="1:15" x14ac:dyDescent="0.2">
      <c r="A172"/>
      <c r="B172" s="50"/>
      <c r="C172" s="50"/>
      <c r="F172"/>
      <c r="G172"/>
      <c r="H172"/>
      <c r="J172"/>
      <c r="K172"/>
      <c r="L172"/>
      <c r="M172"/>
      <c r="N172" s="50"/>
      <c r="O172"/>
    </row>
    <row r="173" spans="1:15" x14ac:dyDescent="0.2">
      <c r="A173"/>
      <c r="B173" s="50"/>
      <c r="C173" s="50"/>
      <c r="F173"/>
      <c r="G173"/>
      <c r="L173"/>
      <c r="M173"/>
      <c r="N173" s="50"/>
      <c r="O173"/>
    </row>
    <row r="174" spans="1:15" x14ac:dyDescent="0.2">
      <c r="A174"/>
      <c r="B174" s="50"/>
      <c r="C174" s="50"/>
      <c r="F174"/>
      <c r="G174"/>
      <c r="H174"/>
      <c r="J174"/>
      <c r="K174"/>
      <c r="L174"/>
      <c r="M174"/>
      <c r="N174" s="50"/>
      <c r="O174"/>
    </row>
    <row r="175" spans="1:15" x14ac:dyDescent="0.2">
      <c r="A175"/>
      <c r="B175" s="50"/>
      <c r="C175" s="50"/>
      <c r="F175"/>
      <c r="G175"/>
      <c r="H175"/>
      <c r="I175"/>
      <c r="J175"/>
      <c r="K175"/>
      <c r="L175"/>
      <c r="M175"/>
      <c r="N175" s="50"/>
      <c r="O175"/>
    </row>
    <row r="176" spans="1:15" x14ac:dyDescent="0.2">
      <c r="A176"/>
      <c r="B176" s="50"/>
      <c r="C176" s="50"/>
      <c r="F176"/>
      <c r="G176"/>
      <c r="I176"/>
      <c r="L176"/>
      <c r="M176"/>
      <c r="N176" s="50"/>
      <c r="O176"/>
    </row>
    <row r="177" spans="1:15" x14ac:dyDescent="0.2">
      <c r="A177"/>
      <c r="B177" s="50"/>
      <c r="C177" s="50"/>
      <c r="F177"/>
      <c r="G177"/>
      <c r="H177"/>
      <c r="I177"/>
      <c r="L177"/>
      <c r="M177"/>
      <c r="N177" s="50"/>
      <c r="O177"/>
    </row>
    <row r="178" spans="1:15" x14ac:dyDescent="0.2">
      <c r="A178"/>
      <c r="B178" s="50"/>
      <c r="C178" s="50"/>
      <c r="F178"/>
      <c r="G178"/>
      <c r="H178"/>
      <c r="I178"/>
      <c r="L178"/>
      <c r="M178"/>
      <c r="N178" s="50"/>
      <c r="O178"/>
    </row>
    <row r="179" spans="1:15" x14ac:dyDescent="0.2">
      <c r="A179"/>
      <c r="B179" s="50"/>
      <c r="C179" s="50"/>
      <c r="F179"/>
      <c r="G179"/>
      <c r="I179"/>
      <c r="L179"/>
      <c r="M179"/>
      <c r="N179" s="50"/>
      <c r="O179"/>
    </row>
    <row r="180" spans="1:15" x14ac:dyDescent="0.2">
      <c r="A180"/>
      <c r="B180" s="50"/>
      <c r="C180" s="50"/>
      <c r="F180"/>
      <c r="G180"/>
      <c r="M180"/>
      <c r="N180" s="50"/>
      <c r="O180"/>
    </row>
    <row r="181" spans="1:15" x14ac:dyDescent="0.2">
      <c r="A181"/>
      <c r="B181" s="50"/>
      <c r="C181" s="50"/>
      <c r="F181"/>
      <c r="G181"/>
      <c r="H181"/>
      <c r="I181"/>
      <c r="L181"/>
      <c r="N181" s="50"/>
      <c r="O181"/>
    </row>
    <row r="182" spans="1:15" x14ac:dyDescent="0.2">
      <c r="A182"/>
      <c r="B182" s="50"/>
      <c r="C182" s="50"/>
      <c r="F182"/>
      <c r="G182"/>
      <c r="I182"/>
      <c r="L182"/>
      <c r="M182"/>
      <c r="N182" s="50"/>
      <c r="O182"/>
    </row>
    <row r="183" spans="1:15" x14ac:dyDescent="0.2">
      <c r="A183"/>
      <c r="B183" s="50"/>
      <c r="C183" s="50"/>
      <c r="F183"/>
      <c r="G183"/>
      <c r="H183"/>
      <c r="I183"/>
      <c r="L183"/>
      <c r="M183"/>
      <c r="N183" s="50"/>
      <c r="O183"/>
    </row>
    <row r="184" spans="1:15" x14ac:dyDescent="0.2">
      <c r="A184"/>
      <c r="B184" s="50"/>
      <c r="C184" s="50"/>
      <c r="F184"/>
      <c r="G184"/>
      <c r="H184"/>
      <c r="I184"/>
      <c r="L184"/>
      <c r="M184"/>
      <c r="N184" s="50"/>
      <c r="O184"/>
    </row>
    <row r="185" spans="1:15" x14ac:dyDescent="0.2">
      <c r="A185"/>
      <c r="B185" s="50"/>
      <c r="C185" s="50"/>
      <c r="F185"/>
      <c r="G185"/>
      <c r="L185"/>
      <c r="M185"/>
      <c r="N185" s="50"/>
      <c r="O185"/>
    </row>
    <row r="186" spans="1:15" x14ac:dyDescent="0.2">
      <c r="A186"/>
      <c r="B186" s="50"/>
      <c r="C186" s="50"/>
      <c r="F186"/>
      <c r="G186"/>
      <c r="M186"/>
      <c r="N186" s="50"/>
      <c r="O186"/>
    </row>
    <row r="187" spans="1:15" x14ac:dyDescent="0.2">
      <c r="A187"/>
      <c r="B187" s="50"/>
      <c r="C187" s="50"/>
      <c r="F187"/>
      <c r="G187"/>
      <c r="M187"/>
      <c r="N187" s="50"/>
      <c r="O187"/>
    </row>
    <row r="188" spans="1:15" x14ac:dyDescent="0.2">
      <c r="A188"/>
      <c r="B188" s="50"/>
      <c r="C188" s="50"/>
      <c r="F188"/>
      <c r="G188"/>
      <c r="H188"/>
      <c r="I188"/>
      <c r="L188"/>
      <c r="M188"/>
      <c r="N188" s="50"/>
      <c r="O188"/>
    </row>
    <row r="189" spans="1:15" x14ac:dyDescent="0.2">
      <c r="A189"/>
      <c r="B189" s="50"/>
      <c r="C189" s="50"/>
      <c r="F189"/>
      <c r="G189"/>
      <c r="H189"/>
      <c r="I189"/>
      <c r="L189"/>
      <c r="M189"/>
      <c r="N189" s="50"/>
      <c r="O189"/>
    </row>
    <row r="190" spans="1:15" x14ac:dyDescent="0.2">
      <c r="A190"/>
      <c r="B190" s="50"/>
      <c r="C190" s="50"/>
      <c r="F190"/>
      <c r="G190"/>
      <c r="H190"/>
      <c r="I190"/>
      <c r="L190"/>
      <c r="M190"/>
      <c r="N190" s="50"/>
      <c r="O190"/>
    </row>
    <row r="191" spans="1:15" x14ac:dyDescent="0.2">
      <c r="A191"/>
      <c r="B191" s="50"/>
      <c r="C191" s="50"/>
      <c r="F191"/>
      <c r="G191"/>
      <c r="H191"/>
      <c r="I191"/>
      <c r="L191"/>
      <c r="M191"/>
      <c r="N191" s="50"/>
      <c r="O191"/>
    </row>
    <row r="192" spans="1:15" x14ac:dyDescent="0.2">
      <c r="A192"/>
      <c r="B192" s="50"/>
      <c r="C192" s="50"/>
      <c r="F192"/>
      <c r="G192"/>
      <c r="L192"/>
      <c r="M192"/>
      <c r="N192" s="50"/>
      <c r="O192"/>
    </row>
    <row r="193" spans="1:15" x14ac:dyDescent="0.2">
      <c r="A193"/>
      <c r="B193" s="50"/>
      <c r="C193" s="50"/>
      <c r="F193"/>
      <c r="G193"/>
      <c r="L193"/>
      <c r="M193"/>
      <c r="N193" s="50"/>
      <c r="O193"/>
    </row>
    <row r="194" spans="1:15" x14ac:dyDescent="0.2">
      <c r="A194"/>
      <c r="B194" s="50"/>
      <c r="C194" s="50"/>
      <c r="F194"/>
      <c r="G194"/>
      <c r="H194"/>
      <c r="I194"/>
      <c r="L194"/>
      <c r="M194"/>
      <c r="N194" s="50"/>
      <c r="O194"/>
    </row>
    <row r="195" spans="1:15" x14ac:dyDescent="0.2">
      <c r="A195"/>
      <c r="B195" s="50"/>
      <c r="C195" s="50"/>
      <c r="F195"/>
      <c r="G195"/>
      <c r="I195"/>
      <c r="L195"/>
      <c r="M195"/>
      <c r="N195" s="50"/>
      <c r="O195"/>
    </row>
    <row r="196" spans="1:15" x14ac:dyDescent="0.2">
      <c r="A196"/>
      <c r="B196" s="50"/>
      <c r="C196" s="50"/>
      <c r="F196"/>
      <c r="G196"/>
      <c r="I196"/>
      <c r="L196"/>
      <c r="M196"/>
      <c r="N196" s="50"/>
      <c r="O196"/>
    </row>
    <row r="197" spans="1:15" x14ac:dyDescent="0.2">
      <c r="A197"/>
      <c r="B197" s="50"/>
      <c r="C197" s="50"/>
      <c r="F197"/>
      <c r="G197"/>
      <c r="I197"/>
      <c r="L197"/>
      <c r="M197"/>
      <c r="N197" s="50"/>
      <c r="O197"/>
    </row>
    <row r="198" spans="1:15" x14ac:dyDescent="0.2">
      <c r="A198"/>
      <c r="B198" s="50"/>
      <c r="C198" s="50"/>
      <c r="F198"/>
      <c r="G198"/>
      <c r="L198"/>
      <c r="M198"/>
      <c r="N198" s="50"/>
      <c r="O198"/>
    </row>
    <row r="199" spans="1:15" x14ac:dyDescent="0.2">
      <c r="A199"/>
      <c r="B199" s="50"/>
      <c r="C199" s="50"/>
      <c r="F199"/>
      <c r="G199"/>
      <c r="H199"/>
      <c r="L199"/>
      <c r="M199"/>
      <c r="N199" s="50"/>
      <c r="O199"/>
    </row>
    <row r="200" spans="1:15" x14ac:dyDescent="0.2">
      <c r="A200"/>
      <c r="B200" s="50"/>
      <c r="C200" s="50"/>
      <c r="F200"/>
      <c r="G200"/>
      <c r="H200"/>
      <c r="I200"/>
      <c r="L200"/>
      <c r="N200" s="50"/>
      <c r="O200"/>
    </row>
    <row r="201" spans="1:15" x14ac:dyDescent="0.2">
      <c r="A201"/>
      <c r="B201" s="50"/>
      <c r="C201" s="50"/>
      <c r="F201"/>
      <c r="G201"/>
      <c r="L201"/>
      <c r="M201"/>
      <c r="N201" s="50"/>
      <c r="O201"/>
    </row>
    <row r="202" spans="1:15" x14ac:dyDescent="0.2">
      <c r="A202"/>
      <c r="B202" s="50"/>
      <c r="C202" s="50"/>
      <c r="F202"/>
      <c r="G202"/>
      <c r="H202"/>
      <c r="I202"/>
      <c r="L202"/>
      <c r="M202"/>
      <c r="N202" s="50"/>
      <c r="O202"/>
    </row>
    <row r="203" spans="1:15" x14ac:dyDescent="0.2">
      <c r="A203"/>
      <c r="B203" s="50"/>
      <c r="C203" s="50"/>
      <c r="F203"/>
      <c r="G203"/>
      <c r="H203"/>
      <c r="I203"/>
      <c r="L203"/>
      <c r="M203"/>
      <c r="N203" s="50"/>
      <c r="O203"/>
    </row>
    <row r="204" spans="1:15" x14ac:dyDescent="0.2">
      <c r="A204"/>
      <c r="B204" s="50"/>
      <c r="C204" s="50"/>
      <c r="F204"/>
      <c r="G204"/>
      <c r="H204"/>
      <c r="I204"/>
      <c r="L204"/>
      <c r="M204"/>
      <c r="N204" s="50"/>
      <c r="O204"/>
    </row>
    <row r="205" spans="1:15" x14ac:dyDescent="0.2">
      <c r="A205"/>
      <c r="B205" s="50"/>
      <c r="C205" s="50"/>
      <c r="F205"/>
      <c r="G205"/>
      <c r="H205"/>
      <c r="I205"/>
      <c r="L205"/>
      <c r="M205"/>
      <c r="N205" s="50"/>
      <c r="O205"/>
    </row>
    <row r="206" spans="1:15" x14ac:dyDescent="0.2">
      <c r="A206"/>
      <c r="B206" s="50"/>
      <c r="C206" s="50"/>
      <c r="F206"/>
      <c r="G206"/>
      <c r="I206"/>
      <c r="L206"/>
      <c r="M206"/>
      <c r="N206" s="50"/>
      <c r="O206"/>
    </row>
    <row r="207" spans="1:15" x14ac:dyDescent="0.2">
      <c r="A207"/>
      <c r="B207" s="50"/>
      <c r="C207" s="50"/>
      <c r="F207"/>
      <c r="G207"/>
      <c r="I207"/>
      <c r="L207"/>
      <c r="M207"/>
      <c r="N207" s="50"/>
      <c r="O207"/>
    </row>
    <row r="208" spans="1:15" x14ac:dyDescent="0.2">
      <c r="A208"/>
      <c r="B208" s="50"/>
      <c r="C208" s="50"/>
      <c r="F208"/>
      <c r="G208"/>
      <c r="H208"/>
      <c r="I208"/>
      <c r="L208"/>
      <c r="M208"/>
      <c r="N208" s="50"/>
      <c r="O208"/>
    </row>
    <row r="209" spans="1:15" x14ac:dyDescent="0.2">
      <c r="A209"/>
      <c r="B209" s="50"/>
      <c r="C209" s="50"/>
      <c r="F209"/>
      <c r="G209"/>
      <c r="H209"/>
      <c r="I209"/>
      <c r="J209"/>
      <c r="K209"/>
      <c r="L209"/>
      <c r="M209"/>
      <c r="N209" s="50"/>
      <c r="O209"/>
    </row>
    <row r="210" spans="1:15" x14ac:dyDescent="0.2">
      <c r="A210"/>
      <c r="B210" s="50"/>
      <c r="C210" s="50"/>
      <c r="F210"/>
      <c r="G210"/>
      <c r="L210"/>
      <c r="M210"/>
      <c r="N210" s="50"/>
      <c r="O210"/>
    </row>
    <row r="211" spans="1:15" x14ac:dyDescent="0.2">
      <c r="A211"/>
      <c r="B211" s="50"/>
      <c r="C211" s="50"/>
      <c r="F211"/>
      <c r="G211"/>
      <c r="H211"/>
      <c r="I211"/>
      <c r="L211"/>
      <c r="M211"/>
      <c r="N211" s="50"/>
      <c r="O211"/>
    </row>
    <row r="212" spans="1:15" x14ac:dyDescent="0.2">
      <c r="A212"/>
      <c r="B212" s="50"/>
      <c r="C212" s="50"/>
      <c r="F212"/>
      <c r="G212"/>
      <c r="H212"/>
      <c r="I212"/>
      <c r="L212"/>
      <c r="M212"/>
      <c r="N212" s="50"/>
      <c r="O212"/>
    </row>
    <row r="213" spans="1:15" x14ac:dyDescent="0.2">
      <c r="A213"/>
      <c r="B213" s="50"/>
      <c r="C213" s="50"/>
      <c r="F213"/>
      <c r="G213"/>
      <c r="I213"/>
      <c r="L213"/>
      <c r="M213"/>
      <c r="N213" s="50"/>
      <c r="O213"/>
    </row>
    <row r="214" spans="1:15" x14ac:dyDescent="0.2">
      <c r="A214"/>
      <c r="B214" s="50"/>
      <c r="C214" s="50"/>
      <c r="F214"/>
      <c r="G214"/>
      <c r="H214"/>
      <c r="I214"/>
      <c r="L214"/>
      <c r="M214"/>
      <c r="N214" s="50"/>
      <c r="O214"/>
    </row>
    <row r="215" spans="1:15" x14ac:dyDescent="0.2">
      <c r="A215"/>
      <c r="B215" s="50"/>
      <c r="C215" s="50"/>
      <c r="F215"/>
      <c r="G215"/>
      <c r="I215"/>
      <c r="L215"/>
      <c r="M215"/>
      <c r="N215" s="50"/>
      <c r="O215"/>
    </row>
    <row r="216" spans="1:15" x14ac:dyDescent="0.2">
      <c r="A216"/>
      <c r="B216" s="50"/>
      <c r="C216" s="50"/>
      <c r="F216"/>
      <c r="G216"/>
      <c r="L216"/>
      <c r="M216"/>
      <c r="N216" s="50"/>
      <c r="O216"/>
    </row>
    <row r="217" spans="1:15" x14ac:dyDescent="0.2">
      <c r="A217"/>
      <c r="B217" s="50"/>
      <c r="C217" s="50"/>
      <c r="F217"/>
      <c r="G217"/>
      <c r="M217"/>
      <c r="N217" s="50"/>
      <c r="O217"/>
    </row>
    <row r="218" spans="1:15" x14ac:dyDescent="0.2">
      <c r="A218"/>
      <c r="B218" s="50"/>
      <c r="C218" s="50"/>
      <c r="F218"/>
      <c r="G218"/>
      <c r="H218"/>
      <c r="I218"/>
      <c r="L218"/>
      <c r="M218"/>
      <c r="N218" s="50"/>
      <c r="O218"/>
    </row>
    <row r="219" spans="1:15" x14ac:dyDescent="0.2">
      <c r="A219"/>
      <c r="B219" s="50"/>
      <c r="C219" s="50"/>
      <c r="F219"/>
      <c r="G219"/>
      <c r="I219"/>
      <c r="L219"/>
      <c r="M219"/>
      <c r="N219" s="50"/>
      <c r="O219"/>
    </row>
    <row r="220" spans="1:15" x14ac:dyDescent="0.2">
      <c r="A220"/>
      <c r="B220" s="50"/>
      <c r="C220" s="50"/>
      <c r="F220"/>
      <c r="G220"/>
      <c r="H220"/>
      <c r="I220"/>
      <c r="L220"/>
      <c r="M220"/>
      <c r="N220" s="50"/>
      <c r="O220"/>
    </row>
    <row r="221" spans="1:15" x14ac:dyDescent="0.2">
      <c r="A221"/>
      <c r="B221" s="50"/>
      <c r="C221" s="50"/>
      <c r="F221"/>
      <c r="G221"/>
      <c r="L221"/>
      <c r="M221"/>
      <c r="N221" s="50"/>
      <c r="O221"/>
    </row>
    <row r="222" spans="1:15" x14ac:dyDescent="0.2">
      <c r="A222"/>
      <c r="B222" s="50"/>
      <c r="C222" s="50"/>
      <c r="F222"/>
      <c r="G222"/>
      <c r="L222"/>
      <c r="M222"/>
      <c r="N222" s="50"/>
      <c r="O222"/>
    </row>
    <row r="223" spans="1:15" x14ac:dyDescent="0.2">
      <c r="A223"/>
      <c r="B223" s="50"/>
      <c r="C223" s="50"/>
      <c r="F223"/>
      <c r="G223"/>
      <c r="I223"/>
      <c r="L223"/>
      <c r="M223"/>
      <c r="N223" s="50"/>
      <c r="O223"/>
    </row>
    <row r="224" spans="1:15" x14ac:dyDescent="0.2">
      <c r="A224"/>
      <c r="B224" s="50"/>
      <c r="C224" s="50"/>
      <c r="F224"/>
      <c r="G224"/>
      <c r="H224"/>
      <c r="I224"/>
      <c r="L224"/>
      <c r="M224"/>
      <c r="N224" s="50"/>
      <c r="O224"/>
    </row>
    <row r="225" spans="1:15" x14ac:dyDescent="0.2">
      <c r="A225"/>
      <c r="B225" s="50"/>
      <c r="C225" s="50"/>
      <c r="F225"/>
      <c r="G225"/>
      <c r="I225"/>
      <c r="L225"/>
      <c r="M225"/>
      <c r="N225" s="50"/>
      <c r="O225"/>
    </row>
    <row r="226" spans="1:15" x14ac:dyDescent="0.2">
      <c r="A226"/>
      <c r="B226" s="50"/>
      <c r="C226" s="50"/>
      <c r="F226"/>
      <c r="G226"/>
      <c r="I226"/>
      <c r="L226"/>
      <c r="M226"/>
      <c r="N226" s="50"/>
      <c r="O226"/>
    </row>
    <row r="227" spans="1:15" x14ac:dyDescent="0.2">
      <c r="A227"/>
      <c r="B227" s="50"/>
      <c r="C227" s="50"/>
      <c r="F227"/>
      <c r="G227"/>
      <c r="I227"/>
      <c r="L227"/>
      <c r="M227"/>
      <c r="N227" s="50"/>
      <c r="O227"/>
    </row>
    <row r="228" spans="1:15" x14ac:dyDescent="0.2">
      <c r="A228"/>
      <c r="B228" s="50"/>
      <c r="C228" s="50"/>
      <c r="F228"/>
      <c r="G228"/>
      <c r="L228"/>
      <c r="M228"/>
      <c r="N228" s="50"/>
      <c r="O228"/>
    </row>
    <row r="229" spans="1:15" x14ac:dyDescent="0.2">
      <c r="A229"/>
      <c r="B229" s="50"/>
      <c r="C229" s="50"/>
      <c r="F229"/>
      <c r="G229"/>
      <c r="H229"/>
      <c r="I229"/>
      <c r="L229"/>
      <c r="M229"/>
      <c r="N229" s="50"/>
      <c r="O229"/>
    </row>
    <row r="230" spans="1:15" x14ac:dyDescent="0.2">
      <c r="A230"/>
      <c r="B230" s="50"/>
      <c r="C230" s="50"/>
      <c r="F230"/>
      <c r="G230"/>
      <c r="H230"/>
      <c r="I230"/>
      <c r="L230"/>
      <c r="M230"/>
      <c r="N230" s="50"/>
      <c r="O230"/>
    </row>
    <row r="231" spans="1:15" x14ac:dyDescent="0.2">
      <c r="A231"/>
      <c r="B231" s="50"/>
      <c r="C231" s="50"/>
      <c r="F231"/>
      <c r="G231"/>
      <c r="H231"/>
      <c r="I231"/>
      <c r="L231"/>
      <c r="M231"/>
      <c r="N231" s="50"/>
      <c r="O231"/>
    </row>
    <row r="232" spans="1:15" x14ac:dyDescent="0.2">
      <c r="A232"/>
      <c r="B232" s="50"/>
      <c r="C232" s="50"/>
      <c r="F232"/>
      <c r="G232"/>
      <c r="L232"/>
      <c r="M232"/>
      <c r="N232" s="50"/>
      <c r="O232"/>
    </row>
    <row r="233" spans="1:15" x14ac:dyDescent="0.2">
      <c r="A233"/>
      <c r="B233" s="50"/>
      <c r="C233" s="50"/>
      <c r="F233"/>
      <c r="G233"/>
      <c r="H233"/>
      <c r="L233"/>
      <c r="M233"/>
      <c r="N233" s="50"/>
      <c r="O233"/>
    </row>
    <row r="234" spans="1:15" x14ac:dyDescent="0.2">
      <c r="A234"/>
      <c r="B234" s="50"/>
      <c r="C234" s="50"/>
      <c r="F234"/>
      <c r="G234"/>
      <c r="I234"/>
      <c r="L234"/>
      <c r="M234"/>
      <c r="N234" s="50"/>
      <c r="O234"/>
    </row>
    <row r="235" spans="1:15" x14ac:dyDescent="0.2">
      <c r="A235"/>
      <c r="B235" s="50"/>
      <c r="C235" s="50"/>
      <c r="F235"/>
      <c r="G235"/>
      <c r="H235"/>
      <c r="I235"/>
      <c r="L235"/>
      <c r="M235"/>
      <c r="N235" s="50"/>
      <c r="O235"/>
    </row>
    <row r="236" spans="1:15" x14ac:dyDescent="0.2">
      <c r="A236"/>
      <c r="B236" s="50"/>
      <c r="C236" s="50"/>
      <c r="F236"/>
      <c r="G236"/>
      <c r="H236"/>
      <c r="J236"/>
      <c r="K236"/>
      <c r="L236"/>
      <c r="M236"/>
      <c r="N236" s="50"/>
      <c r="O236"/>
    </row>
    <row r="237" spans="1:15" x14ac:dyDescent="0.2">
      <c r="A237"/>
      <c r="B237" s="50"/>
      <c r="C237" s="50"/>
      <c r="F237"/>
      <c r="G237"/>
      <c r="H237"/>
      <c r="J237"/>
      <c r="K237"/>
      <c r="L237"/>
      <c r="M237"/>
      <c r="N237" s="50"/>
      <c r="O237"/>
    </row>
    <row r="238" spans="1:15" x14ac:dyDescent="0.2">
      <c r="A238"/>
      <c r="B238" s="50"/>
      <c r="C238" s="50"/>
      <c r="F238"/>
      <c r="G238"/>
      <c r="H238"/>
      <c r="J238"/>
      <c r="K238"/>
      <c r="L238"/>
      <c r="M238"/>
      <c r="N238" s="50"/>
      <c r="O238"/>
    </row>
    <row r="239" spans="1:15" x14ac:dyDescent="0.2">
      <c r="A239"/>
      <c r="B239" s="50"/>
      <c r="C239" s="50"/>
      <c r="F239"/>
      <c r="G239"/>
      <c r="J239"/>
      <c r="K239"/>
      <c r="L239"/>
      <c r="M239"/>
      <c r="N239" s="50"/>
      <c r="O239"/>
    </row>
    <row r="240" spans="1:15" x14ac:dyDescent="0.2">
      <c r="A240"/>
      <c r="B240" s="50"/>
      <c r="C240" s="50"/>
      <c r="F240"/>
      <c r="G240"/>
      <c r="M240"/>
      <c r="N240" s="50"/>
      <c r="O240"/>
    </row>
    <row r="241" spans="1:15" x14ac:dyDescent="0.2">
      <c r="A241"/>
      <c r="B241" s="50"/>
      <c r="C241" s="50"/>
      <c r="F241"/>
      <c r="G241"/>
      <c r="H241"/>
      <c r="I241"/>
      <c r="L241"/>
      <c r="M241"/>
      <c r="N241" s="50"/>
      <c r="O241"/>
    </row>
    <row r="242" spans="1:15" x14ac:dyDescent="0.2">
      <c r="A242"/>
      <c r="B242" s="50"/>
      <c r="C242" s="50"/>
      <c r="F242"/>
      <c r="G242"/>
      <c r="L242"/>
      <c r="M242"/>
      <c r="N242" s="50"/>
      <c r="O242"/>
    </row>
    <row r="243" spans="1:15" x14ac:dyDescent="0.2">
      <c r="A243"/>
      <c r="B243" s="50"/>
      <c r="C243" s="50"/>
      <c r="F243"/>
      <c r="G243"/>
      <c r="H243"/>
      <c r="I243"/>
      <c r="L243"/>
      <c r="M243"/>
      <c r="N243" s="50"/>
      <c r="O243"/>
    </row>
    <row r="244" spans="1:15" x14ac:dyDescent="0.2">
      <c r="A244"/>
      <c r="B244" s="50"/>
      <c r="C244" s="50"/>
      <c r="F244"/>
      <c r="G244"/>
      <c r="H244"/>
      <c r="I244"/>
      <c r="L244"/>
      <c r="M244"/>
      <c r="N244" s="50"/>
      <c r="O244"/>
    </row>
    <row r="245" spans="1:15" x14ac:dyDescent="0.2">
      <c r="A245"/>
      <c r="B245" s="50"/>
      <c r="C245" s="50"/>
      <c r="F245"/>
      <c r="G245"/>
      <c r="H245"/>
      <c r="I245"/>
      <c r="L245"/>
      <c r="M245"/>
      <c r="N245" s="50"/>
      <c r="O245"/>
    </row>
    <row r="246" spans="1:15" x14ac:dyDescent="0.2">
      <c r="A246"/>
      <c r="B246" s="50"/>
      <c r="C246" s="50"/>
      <c r="F246"/>
      <c r="G246"/>
      <c r="H246"/>
      <c r="J246"/>
      <c r="K246"/>
      <c r="L246"/>
      <c r="M246"/>
      <c r="N246" s="50"/>
      <c r="O246"/>
    </row>
    <row r="247" spans="1:15" x14ac:dyDescent="0.2">
      <c r="A247"/>
      <c r="B247" s="50"/>
      <c r="C247" s="50"/>
      <c r="F247"/>
      <c r="G247"/>
      <c r="L247"/>
      <c r="M247"/>
      <c r="N247" s="50"/>
      <c r="O247"/>
    </row>
    <row r="248" spans="1:15" x14ac:dyDescent="0.2">
      <c r="A248"/>
      <c r="B248" s="50"/>
      <c r="C248" s="50"/>
      <c r="F248"/>
      <c r="G248"/>
      <c r="I248"/>
      <c r="L248"/>
      <c r="M248"/>
      <c r="N248" s="50"/>
      <c r="O248"/>
    </row>
    <row r="249" spans="1:15" x14ac:dyDescent="0.2">
      <c r="A249"/>
      <c r="B249" s="50"/>
      <c r="C249" s="50"/>
      <c r="F249"/>
      <c r="G249"/>
      <c r="H249"/>
      <c r="I249"/>
      <c r="L249"/>
      <c r="N249" s="50"/>
      <c r="O249"/>
    </row>
    <row r="250" spans="1:15" x14ac:dyDescent="0.2">
      <c r="A250"/>
      <c r="B250" s="50"/>
      <c r="C250" s="50"/>
      <c r="F250"/>
      <c r="G250"/>
      <c r="H250"/>
      <c r="J250"/>
      <c r="K250"/>
      <c r="L250"/>
      <c r="M250"/>
      <c r="N250" s="50"/>
      <c r="O250"/>
    </row>
    <row r="251" spans="1:15" x14ac:dyDescent="0.2">
      <c r="A251"/>
      <c r="B251" s="50"/>
      <c r="C251" s="50"/>
      <c r="F251"/>
      <c r="G251"/>
      <c r="L251"/>
      <c r="M251"/>
      <c r="N251" s="50"/>
      <c r="O251"/>
    </row>
    <row r="252" spans="1:15" x14ac:dyDescent="0.2">
      <c r="A252"/>
      <c r="B252" s="50"/>
      <c r="C252" s="50"/>
      <c r="F252"/>
      <c r="G252"/>
      <c r="H252"/>
      <c r="I252"/>
      <c r="L252"/>
      <c r="M252"/>
      <c r="N252" s="50"/>
      <c r="O252"/>
    </row>
    <row r="253" spans="1:15" x14ac:dyDescent="0.2">
      <c r="A253"/>
      <c r="B253" s="50"/>
      <c r="C253" s="50"/>
      <c r="F253"/>
      <c r="G253"/>
      <c r="I253"/>
      <c r="L253"/>
      <c r="M253"/>
      <c r="N253" s="50"/>
      <c r="O253"/>
    </row>
    <row r="254" spans="1:15" x14ac:dyDescent="0.2">
      <c r="A254"/>
      <c r="B254" s="50"/>
      <c r="C254" s="50"/>
      <c r="F254"/>
      <c r="G254"/>
      <c r="H254"/>
      <c r="J254"/>
      <c r="K254"/>
      <c r="L254"/>
      <c r="M254"/>
      <c r="N254" s="50"/>
      <c r="O254"/>
    </row>
    <row r="255" spans="1:15" x14ac:dyDescent="0.2">
      <c r="A255"/>
      <c r="B255" s="50"/>
      <c r="C255" s="50"/>
      <c r="F255"/>
      <c r="G255"/>
      <c r="J255"/>
      <c r="L255"/>
      <c r="M255"/>
      <c r="N255" s="50"/>
      <c r="O255"/>
    </row>
    <row r="256" spans="1:15" x14ac:dyDescent="0.2">
      <c r="A256"/>
      <c r="B256" s="50"/>
      <c r="C256" s="50"/>
      <c r="F256"/>
      <c r="G256"/>
      <c r="I256"/>
      <c r="L256"/>
      <c r="M256"/>
      <c r="N256" s="50"/>
      <c r="O256"/>
    </row>
    <row r="257" spans="1:15" x14ac:dyDescent="0.2">
      <c r="A257"/>
      <c r="B257" s="50"/>
      <c r="C257" s="50"/>
      <c r="F257"/>
      <c r="G257"/>
      <c r="I257"/>
      <c r="L257"/>
      <c r="M257"/>
      <c r="N257" s="50"/>
      <c r="O257"/>
    </row>
    <row r="258" spans="1:15" x14ac:dyDescent="0.2">
      <c r="A258"/>
      <c r="B258" s="50"/>
      <c r="C258" s="50"/>
      <c r="F258"/>
      <c r="G258"/>
      <c r="L258"/>
      <c r="M258"/>
      <c r="N258" s="50"/>
      <c r="O258"/>
    </row>
    <row r="259" spans="1:15" x14ac:dyDescent="0.2">
      <c r="A259"/>
      <c r="B259" s="50"/>
      <c r="C259" s="50"/>
      <c r="F259"/>
      <c r="G259"/>
      <c r="H259"/>
      <c r="I259"/>
      <c r="L259"/>
      <c r="M259"/>
      <c r="N259" s="50"/>
      <c r="O259"/>
    </row>
    <row r="260" spans="1:15" x14ac:dyDescent="0.2">
      <c r="A260"/>
      <c r="B260" s="50"/>
      <c r="C260" s="50"/>
      <c r="F260"/>
      <c r="G260"/>
      <c r="I260"/>
      <c r="L260"/>
      <c r="M260"/>
      <c r="N260" s="50"/>
      <c r="O260"/>
    </row>
    <row r="261" spans="1:15" x14ac:dyDescent="0.2">
      <c r="A261"/>
      <c r="B261" s="50"/>
      <c r="C261" s="50"/>
      <c r="F261"/>
      <c r="G261"/>
      <c r="L261"/>
      <c r="M261"/>
      <c r="N261" s="50"/>
      <c r="O261"/>
    </row>
    <row r="262" spans="1:15" x14ac:dyDescent="0.2">
      <c r="A262"/>
      <c r="B262" s="50"/>
      <c r="C262" s="50"/>
      <c r="F262"/>
      <c r="G262"/>
      <c r="H262"/>
      <c r="I262"/>
      <c r="L262"/>
      <c r="M262"/>
      <c r="N262" s="50"/>
      <c r="O262"/>
    </row>
    <row r="263" spans="1:15" x14ac:dyDescent="0.2">
      <c r="A263"/>
      <c r="B263" s="50"/>
      <c r="C263" s="50"/>
      <c r="F263"/>
      <c r="G263"/>
      <c r="H263"/>
      <c r="I263"/>
      <c r="L263"/>
      <c r="M263"/>
      <c r="N263" s="50"/>
      <c r="O263"/>
    </row>
    <row r="264" spans="1:15" x14ac:dyDescent="0.2">
      <c r="A264"/>
      <c r="B264" s="50"/>
      <c r="C264" s="50"/>
      <c r="F264"/>
      <c r="G264"/>
      <c r="I264"/>
      <c r="L264"/>
      <c r="M264"/>
      <c r="N264" s="50"/>
      <c r="O264"/>
    </row>
    <row r="265" spans="1:15" x14ac:dyDescent="0.2">
      <c r="A265"/>
      <c r="B265" s="50"/>
      <c r="C265" s="50"/>
      <c r="F265"/>
      <c r="G265"/>
      <c r="I265"/>
      <c r="L265"/>
      <c r="M265"/>
      <c r="N265" s="50"/>
      <c r="O265"/>
    </row>
    <row r="266" spans="1:15" x14ac:dyDescent="0.2">
      <c r="A266"/>
      <c r="B266" s="50"/>
      <c r="C266" s="50"/>
      <c r="F266"/>
      <c r="G266"/>
      <c r="H266"/>
      <c r="I266"/>
      <c r="L266"/>
      <c r="M266"/>
      <c r="N266" s="50"/>
      <c r="O266"/>
    </row>
    <row r="267" spans="1:15" x14ac:dyDescent="0.2">
      <c r="A267"/>
      <c r="B267" s="50"/>
      <c r="C267" s="50"/>
      <c r="F267"/>
      <c r="G267"/>
      <c r="H267"/>
      <c r="I267"/>
      <c r="L267"/>
      <c r="M267"/>
      <c r="N267" s="50"/>
      <c r="O267"/>
    </row>
    <row r="268" spans="1:15" x14ac:dyDescent="0.2">
      <c r="A268"/>
      <c r="B268" s="50"/>
      <c r="C268" s="50"/>
      <c r="F268"/>
      <c r="G268"/>
      <c r="L268"/>
      <c r="M268"/>
      <c r="N268" s="50"/>
      <c r="O268"/>
    </row>
    <row r="269" spans="1:15" x14ac:dyDescent="0.2">
      <c r="A269"/>
      <c r="B269" s="50"/>
      <c r="C269" s="50"/>
      <c r="F269"/>
      <c r="G269"/>
      <c r="H269"/>
      <c r="I269"/>
      <c r="L269"/>
      <c r="M269"/>
      <c r="N269" s="50"/>
      <c r="O269"/>
    </row>
    <row r="270" spans="1:15" x14ac:dyDescent="0.2">
      <c r="A270"/>
      <c r="B270" s="50"/>
      <c r="C270" s="50"/>
      <c r="F270"/>
      <c r="G270"/>
      <c r="H270"/>
      <c r="I270"/>
      <c r="L270"/>
      <c r="M270"/>
      <c r="N270" s="50"/>
      <c r="O270"/>
    </row>
    <row r="271" spans="1:15" x14ac:dyDescent="0.2">
      <c r="A271"/>
      <c r="B271" s="50"/>
      <c r="C271" s="50"/>
      <c r="F271"/>
      <c r="G271"/>
      <c r="H271"/>
      <c r="I271"/>
      <c r="L271"/>
      <c r="M271"/>
      <c r="N271" s="50"/>
      <c r="O271"/>
    </row>
    <row r="272" spans="1:15" x14ac:dyDescent="0.2">
      <c r="A272"/>
      <c r="B272" s="50"/>
      <c r="C272" s="50"/>
      <c r="F272"/>
      <c r="G272"/>
      <c r="N272" s="50"/>
      <c r="O272"/>
    </row>
    <row r="273" spans="1:15" x14ac:dyDescent="0.2">
      <c r="A273"/>
      <c r="B273" s="50"/>
      <c r="C273" s="50"/>
      <c r="F273"/>
      <c r="G273"/>
      <c r="I273"/>
      <c r="L273"/>
      <c r="M273"/>
      <c r="N273" s="50"/>
      <c r="O273"/>
    </row>
    <row r="274" spans="1:15" x14ac:dyDescent="0.2">
      <c r="A274"/>
      <c r="B274" s="50"/>
      <c r="C274" s="50"/>
      <c r="F274"/>
      <c r="G274"/>
      <c r="H274"/>
      <c r="I274"/>
      <c r="L274"/>
      <c r="M274"/>
      <c r="N274" s="50"/>
      <c r="O274"/>
    </row>
    <row r="275" spans="1:15" x14ac:dyDescent="0.2">
      <c r="A275"/>
      <c r="B275" s="50"/>
      <c r="C275" s="50"/>
      <c r="F275"/>
      <c r="G275"/>
      <c r="H275"/>
      <c r="I275"/>
      <c r="L275"/>
      <c r="M275"/>
      <c r="N275" s="50"/>
      <c r="O275"/>
    </row>
    <row r="276" spans="1:15" x14ac:dyDescent="0.2">
      <c r="A276"/>
      <c r="B276" s="50"/>
      <c r="C276" s="50"/>
      <c r="F276"/>
      <c r="G276"/>
      <c r="I276"/>
      <c r="L276"/>
      <c r="M276"/>
      <c r="N276" s="50"/>
      <c r="O276"/>
    </row>
    <row r="277" spans="1:15" x14ac:dyDescent="0.2">
      <c r="A277"/>
      <c r="B277" s="50"/>
      <c r="C277" s="50"/>
      <c r="F277"/>
      <c r="G277"/>
      <c r="H277"/>
      <c r="I277"/>
      <c r="L277"/>
      <c r="M277"/>
      <c r="N277" s="50"/>
      <c r="O277"/>
    </row>
    <row r="278" spans="1:15" x14ac:dyDescent="0.2">
      <c r="A278"/>
      <c r="B278" s="50"/>
      <c r="C278" s="50"/>
      <c r="F278"/>
      <c r="G278"/>
      <c r="I278"/>
      <c r="L278"/>
      <c r="M278"/>
      <c r="N278" s="50"/>
      <c r="O278"/>
    </row>
    <row r="279" spans="1:15" x14ac:dyDescent="0.2">
      <c r="A279"/>
      <c r="B279" s="50"/>
      <c r="C279" s="50"/>
      <c r="F279"/>
      <c r="G279"/>
      <c r="H279"/>
      <c r="I279"/>
      <c r="L279"/>
      <c r="M279"/>
      <c r="N279" s="50"/>
      <c r="O279"/>
    </row>
    <row r="280" spans="1:15" x14ac:dyDescent="0.2">
      <c r="A280"/>
      <c r="B280" s="50"/>
      <c r="C280" s="50"/>
      <c r="F280"/>
      <c r="G280"/>
      <c r="I280"/>
      <c r="L280"/>
      <c r="M280"/>
      <c r="N280" s="50"/>
      <c r="O280"/>
    </row>
    <row r="281" spans="1:15" x14ac:dyDescent="0.2">
      <c r="A281"/>
      <c r="B281" s="50"/>
      <c r="C281" s="50"/>
      <c r="F281"/>
      <c r="G281"/>
      <c r="I281"/>
      <c r="L281"/>
      <c r="M281"/>
      <c r="N281" s="50"/>
      <c r="O281"/>
    </row>
    <row r="282" spans="1:15" x14ac:dyDescent="0.2">
      <c r="A282"/>
      <c r="B282" s="50"/>
      <c r="C282" s="50"/>
      <c r="F282"/>
      <c r="G282"/>
      <c r="H282"/>
      <c r="I282"/>
      <c r="L282"/>
      <c r="M282"/>
      <c r="N282" s="50"/>
      <c r="O282"/>
    </row>
    <row r="283" spans="1:15" x14ac:dyDescent="0.2">
      <c r="A283"/>
      <c r="B283" s="50"/>
      <c r="C283" s="50"/>
      <c r="F283"/>
      <c r="G283"/>
      <c r="H283"/>
      <c r="I283"/>
      <c r="L283"/>
      <c r="M283"/>
      <c r="N283" s="50"/>
      <c r="O283"/>
    </row>
    <row r="284" spans="1:15" x14ac:dyDescent="0.2">
      <c r="A284"/>
      <c r="B284" s="50"/>
      <c r="C284" s="50"/>
      <c r="F284"/>
      <c r="G284"/>
      <c r="H284"/>
      <c r="I284"/>
      <c r="L284"/>
      <c r="M284"/>
      <c r="N284" s="50"/>
      <c r="O284"/>
    </row>
    <row r="285" spans="1:15" x14ac:dyDescent="0.2">
      <c r="A285"/>
      <c r="B285" s="50"/>
      <c r="C285" s="50"/>
      <c r="F285"/>
      <c r="G285"/>
      <c r="H285"/>
      <c r="I285"/>
      <c r="L285"/>
      <c r="M285"/>
      <c r="N285" s="50"/>
      <c r="O285"/>
    </row>
    <row r="286" spans="1:15" x14ac:dyDescent="0.2">
      <c r="A286"/>
      <c r="B286" s="50"/>
      <c r="C286" s="50"/>
      <c r="F286"/>
      <c r="G286"/>
      <c r="H286"/>
      <c r="I286"/>
      <c r="L286"/>
      <c r="M286"/>
      <c r="N286" s="50"/>
      <c r="O286"/>
    </row>
    <row r="287" spans="1:15" x14ac:dyDescent="0.2">
      <c r="A287"/>
      <c r="B287" s="50"/>
      <c r="C287" s="50"/>
      <c r="F287"/>
      <c r="G287"/>
      <c r="I287"/>
      <c r="L287"/>
      <c r="M287"/>
      <c r="N287" s="50"/>
      <c r="O287"/>
    </row>
    <row r="288" spans="1:15" x14ac:dyDescent="0.2">
      <c r="A288"/>
      <c r="B288" s="50"/>
      <c r="C288" s="50"/>
      <c r="F288"/>
      <c r="G288"/>
      <c r="L288"/>
      <c r="M288"/>
      <c r="N288" s="50"/>
      <c r="O288"/>
    </row>
    <row r="289" spans="1:15" x14ac:dyDescent="0.2">
      <c r="A289"/>
      <c r="B289" s="50"/>
      <c r="C289" s="50"/>
      <c r="F289"/>
      <c r="G289"/>
      <c r="H289"/>
      <c r="I289"/>
      <c r="L289"/>
      <c r="M289"/>
      <c r="N289" s="50"/>
      <c r="O289"/>
    </row>
    <row r="290" spans="1:15" x14ac:dyDescent="0.2">
      <c r="A290"/>
      <c r="B290" s="50"/>
      <c r="C290" s="50"/>
      <c r="F290"/>
      <c r="G290"/>
      <c r="H290"/>
      <c r="I290"/>
      <c r="L290"/>
      <c r="M290"/>
      <c r="N290" s="50"/>
      <c r="O290"/>
    </row>
    <row r="291" spans="1:15" x14ac:dyDescent="0.2">
      <c r="A291"/>
      <c r="B291" s="50"/>
      <c r="C291" s="50"/>
      <c r="F291"/>
      <c r="G291"/>
      <c r="H291"/>
      <c r="I291"/>
      <c r="L291"/>
      <c r="M291"/>
      <c r="N291" s="50"/>
      <c r="O291"/>
    </row>
    <row r="292" spans="1:15" x14ac:dyDescent="0.2">
      <c r="A292"/>
      <c r="B292" s="50"/>
      <c r="C292" s="50"/>
      <c r="F292"/>
      <c r="G292"/>
      <c r="H292"/>
      <c r="I292"/>
      <c r="L292"/>
      <c r="M292"/>
      <c r="N292" s="50"/>
      <c r="O292"/>
    </row>
    <row r="293" spans="1:15" x14ac:dyDescent="0.2">
      <c r="A293"/>
      <c r="B293" s="50"/>
      <c r="C293" s="50"/>
      <c r="F293"/>
      <c r="G293"/>
      <c r="H293"/>
      <c r="I293"/>
      <c r="L293"/>
      <c r="M293"/>
      <c r="N293" s="50"/>
      <c r="O293"/>
    </row>
    <row r="294" spans="1:15" x14ac:dyDescent="0.2">
      <c r="A294"/>
      <c r="B294" s="50"/>
      <c r="C294" s="50"/>
      <c r="F294"/>
      <c r="G294"/>
      <c r="H294"/>
      <c r="I294"/>
      <c r="L294"/>
      <c r="N294" s="50"/>
      <c r="O294"/>
    </row>
    <row r="295" spans="1:15" x14ac:dyDescent="0.2">
      <c r="A295"/>
      <c r="B295" s="50"/>
      <c r="C295" s="50"/>
      <c r="F295"/>
      <c r="G295"/>
      <c r="H295"/>
      <c r="I295"/>
      <c r="L295"/>
      <c r="M295"/>
      <c r="N295" s="50"/>
      <c r="O295"/>
    </row>
    <row r="296" spans="1:15" x14ac:dyDescent="0.2">
      <c r="A296"/>
      <c r="B296" s="50"/>
      <c r="C296" s="50"/>
      <c r="F296"/>
      <c r="G296"/>
      <c r="H296"/>
      <c r="I296"/>
      <c r="L296"/>
      <c r="M296"/>
      <c r="N296" s="50"/>
      <c r="O296"/>
    </row>
    <row r="297" spans="1:15" x14ac:dyDescent="0.2">
      <c r="A297"/>
      <c r="B297" s="50"/>
      <c r="C297" s="50"/>
      <c r="F297"/>
      <c r="G297"/>
      <c r="H297"/>
      <c r="I297"/>
      <c r="L297"/>
      <c r="M297"/>
      <c r="N297" s="50"/>
      <c r="O297"/>
    </row>
    <row r="298" spans="1:15" x14ac:dyDescent="0.2">
      <c r="A298"/>
      <c r="B298" s="50"/>
      <c r="C298" s="50"/>
      <c r="F298"/>
      <c r="G298"/>
      <c r="H298"/>
      <c r="I298"/>
      <c r="L298"/>
      <c r="M298"/>
      <c r="N298" s="50"/>
      <c r="O298"/>
    </row>
    <row r="299" spans="1:15" x14ac:dyDescent="0.2">
      <c r="A299"/>
      <c r="B299" s="50"/>
      <c r="C299" s="50"/>
      <c r="F299"/>
      <c r="G299"/>
      <c r="H299"/>
      <c r="I299"/>
      <c r="L299"/>
      <c r="M299"/>
      <c r="N299" s="50"/>
      <c r="O299"/>
    </row>
    <row r="300" spans="1:15" x14ac:dyDescent="0.2">
      <c r="A300"/>
      <c r="B300" s="50"/>
      <c r="C300" s="50"/>
      <c r="F300"/>
      <c r="G300"/>
      <c r="H300"/>
      <c r="I300"/>
      <c r="L300"/>
      <c r="M300"/>
      <c r="N300" s="50"/>
      <c r="O300"/>
    </row>
    <row r="301" spans="1:15" x14ac:dyDescent="0.2">
      <c r="A301"/>
      <c r="B301" s="50"/>
      <c r="C301" s="50"/>
      <c r="F301"/>
      <c r="G301"/>
      <c r="H301"/>
      <c r="I301"/>
      <c r="L301"/>
      <c r="M301"/>
      <c r="N301" s="50"/>
      <c r="O301"/>
    </row>
    <row r="302" spans="1:15" x14ac:dyDescent="0.2">
      <c r="A302"/>
      <c r="B302" s="50"/>
      <c r="C302" s="50"/>
      <c r="F302"/>
      <c r="G302"/>
      <c r="H302"/>
      <c r="I302"/>
      <c r="L302"/>
      <c r="M302"/>
      <c r="N302" s="50"/>
      <c r="O302"/>
    </row>
    <row r="303" spans="1:15" x14ac:dyDescent="0.2">
      <c r="A303"/>
      <c r="B303" s="50"/>
      <c r="C303" s="50"/>
      <c r="F303"/>
      <c r="G303"/>
      <c r="H303"/>
      <c r="I303"/>
      <c r="L303"/>
      <c r="M303"/>
      <c r="N303" s="50"/>
      <c r="O303"/>
    </row>
    <row r="304" spans="1:15" x14ac:dyDescent="0.2">
      <c r="A304"/>
      <c r="B304" s="50"/>
      <c r="C304" s="50"/>
      <c r="F304"/>
      <c r="G304"/>
      <c r="H304"/>
      <c r="I304"/>
      <c r="L304"/>
      <c r="M304"/>
      <c r="N304" s="50"/>
      <c r="O304"/>
    </row>
    <row r="305" spans="1:15" x14ac:dyDescent="0.2">
      <c r="A305"/>
      <c r="B305" s="50"/>
      <c r="C305" s="50"/>
      <c r="F305"/>
      <c r="G305"/>
      <c r="H305"/>
      <c r="I305"/>
      <c r="L305"/>
      <c r="M305"/>
      <c r="N305" s="50"/>
      <c r="O305"/>
    </row>
    <row r="306" spans="1:15" x14ac:dyDescent="0.2">
      <c r="A306"/>
      <c r="B306" s="50"/>
      <c r="C306" s="50"/>
      <c r="F306"/>
      <c r="G306"/>
      <c r="H306"/>
      <c r="I306"/>
      <c r="L306"/>
      <c r="M306"/>
      <c r="N306" s="50"/>
      <c r="O306"/>
    </row>
    <row r="307" spans="1:15" x14ac:dyDescent="0.2">
      <c r="A307"/>
      <c r="B307" s="50"/>
      <c r="C307" s="50"/>
      <c r="F307"/>
      <c r="G307"/>
      <c r="H307"/>
      <c r="I307"/>
      <c r="L307"/>
      <c r="N307" s="50"/>
      <c r="O307"/>
    </row>
    <row r="308" spans="1:15" x14ac:dyDescent="0.2">
      <c r="A308"/>
      <c r="B308" s="50"/>
      <c r="C308" s="50"/>
      <c r="F308"/>
      <c r="G308"/>
      <c r="H308"/>
      <c r="I308"/>
      <c r="L308"/>
      <c r="M308"/>
      <c r="N308" s="50"/>
      <c r="O308"/>
    </row>
    <row r="309" spans="1:15" x14ac:dyDescent="0.2">
      <c r="A309"/>
      <c r="B309" s="50"/>
      <c r="C309" s="50"/>
      <c r="F309"/>
      <c r="G309"/>
      <c r="H309"/>
      <c r="I309"/>
      <c r="L309"/>
      <c r="N309" s="50"/>
      <c r="O309"/>
    </row>
    <row r="310" spans="1:15" x14ac:dyDescent="0.2">
      <c r="A310"/>
      <c r="B310" s="50"/>
      <c r="C310" s="50"/>
      <c r="F310"/>
      <c r="G310"/>
      <c r="H310"/>
      <c r="I310"/>
      <c r="L310"/>
      <c r="M310"/>
      <c r="N310" s="50"/>
      <c r="O310"/>
    </row>
    <row r="311" spans="1:15" x14ac:dyDescent="0.2">
      <c r="A311"/>
      <c r="B311" s="50"/>
      <c r="C311" s="50"/>
      <c r="F311"/>
      <c r="G311"/>
      <c r="L311"/>
      <c r="M311"/>
      <c r="N311" s="50"/>
      <c r="O311"/>
    </row>
    <row r="312" spans="1:15" x14ac:dyDescent="0.2">
      <c r="A312"/>
      <c r="B312" s="50"/>
      <c r="C312" s="50"/>
      <c r="F312"/>
      <c r="G312"/>
      <c r="H312"/>
      <c r="I312"/>
      <c r="L312"/>
      <c r="M312"/>
      <c r="N312" s="50"/>
      <c r="O312"/>
    </row>
    <row r="313" spans="1:15" x14ac:dyDescent="0.2">
      <c r="A313"/>
      <c r="B313" s="50"/>
      <c r="C313" s="50"/>
      <c r="F313"/>
      <c r="G313"/>
      <c r="H313"/>
      <c r="I313"/>
      <c r="L313"/>
      <c r="M313"/>
      <c r="N313" s="50"/>
      <c r="O313"/>
    </row>
    <row r="314" spans="1:15" x14ac:dyDescent="0.2">
      <c r="A314"/>
      <c r="B314" s="50"/>
      <c r="C314" s="50"/>
      <c r="F314"/>
      <c r="G314"/>
      <c r="H314"/>
      <c r="I314"/>
      <c r="L314"/>
      <c r="M314"/>
      <c r="N314" s="50"/>
      <c r="O314"/>
    </row>
    <row r="315" spans="1:15" x14ac:dyDescent="0.2">
      <c r="A315"/>
      <c r="B315" s="50"/>
      <c r="C315" s="50"/>
      <c r="F315"/>
      <c r="G315"/>
      <c r="H315"/>
      <c r="I315"/>
      <c r="L315"/>
      <c r="M315"/>
      <c r="N315" s="50"/>
      <c r="O315"/>
    </row>
    <row r="316" spans="1:15" x14ac:dyDescent="0.2">
      <c r="A316"/>
      <c r="B316" s="50"/>
      <c r="C316" s="50"/>
      <c r="F316"/>
      <c r="G316"/>
      <c r="H316"/>
      <c r="I316"/>
      <c r="L316"/>
      <c r="M316"/>
      <c r="N316" s="50"/>
      <c r="O316"/>
    </row>
    <row r="317" spans="1:15" x14ac:dyDescent="0.2">
      <c r="A317"/>
      <c r="B317" s="50"/>
      <c r="C317" s="50"/>
      <c r="F317"/>
      <c r="G317"/>
      <c r="H317"/>
      <c r="I317"/>
      <c r="L317"/>
      <c r="M317"/>
      <c r="N317" s="50"/>
      <c r="O317"/>
    </row>
    <row r="318" spans="1:15" x14ac:dyDescent="0.2">
      <c r="A318"/>
      <c r="B318" s="50"/>
      <c r="C318" s="50"/>
      <c r="F318"/>
      <c r="G318"/>
      <c r="H318"/>
      <c r="I318"/>
      <c r="L318"/>
      <c r="M318"/>
      <c r="N318" s="50"/>
      <c r="O318"/>
    </row>
    <row r="319" spans="1:15" x14ac:dyDescent="0.2">
      <c r="A319"/>
      <c r="B319" s="50"/>
      <c r="C319" s="50"/>
      <c r="F319"/>
      <c r="G319"/>
      <c r="H319"/>
      <c r="I319"/>
      <c r="L319"/>
      <c r="M319"/>
      <c r="N319" s="50"/>
      <c r="O319"/>
    </row>
    <row r="320" spans="1:15" x14ac:dyDescent="0.2">
      <c r="A320"/>
      <c r="B320" s="50"/>
      <c r="C320" s="50"/>
      <c r="F320"/>
      <c r="G320"/>
      <c r="H320"/>
      <c r="I320"/>
      <c r="L320"/>
      <c r="M320"/>
      <c r="N320" s="50"/>
      <c r="O320"/>
    </row>
    <row r="321" spans="1:15" x14ac:dyDescent="0.2">
      <c r="A321"/>
      <c r="B321" s="50"/>
      <c r="C321" s="50"/>
      <c r="F321"/>
      <c r="G321"/>
      <c r="H321"/>
      <c r="I321"/>
      <c r="L321"/>
      <c r="M321"/>
      <c r="N321" s="50"/>
      <c r="O321"/>
    </row>
    <row r="322" spans="1:15" x14ac:dyDescent="0.2">
      <c r="A322"/>
      <c r="B322" s="50"/>
      <c r="C322" s="50"/>
      <c r="F322"/>
      <c r="G322"/>
      <c r="H322"/>
      <c r="I322"/>
      <c r="L322"/>
      <c r="N322" s="50"/>
      <c r="O322"/>
    </row>
    <row r="323" spans="1:15" x14ac:dyDescent="0.2">
      <c r="A323"/>
      <c r="B323" s="50"/>
      <c r="C323" s="50"/>
      <c r="F323"/>
      <c r="G323"/>
      <c r="H323"/>
      <c r="I323"/>
      <c r="L323"/>
      <c r="M323"/>
      <c r="N323" s="50"/>
      <c r="O323"/>
    </row>
    <row r="324" spans="1:15" x14ac:dyDescent="0.2">
      <c r="A324"/>
      <c r="B324" s="50"/>
      <c r="C324" s="50"/>
      <c r="F324"/>
      <c r="G324"/>
      <c r="H324"/>
      <c r="I324"/>
      <c r="L324"/>
      <c r="M324"/>
      <c r="N324" s="50"/>
      <c r="O324"/>
    </row>
    <row r="325" spans="1:15" x14ac:dyDescent="0.2">
      <c r="A325"/>
      <c r="B325" s="50"/>
      <c r="C325" s="50"/>
      <c r="F325"/>
      <c r="G325"/>
      <c r="H325"/>
      <c r="I325"/>
      <c r="L325"/>
      <c r="M325"/>
      <c r="N325" s="50"/>
      <c r="O325"/>
    </row>
    <row r="326" spans="1:15" x14ac:dyDescent="0.2">
      <c r="A326"/>
      <c r="B326" s="50"/>
      <c r="C326" s="50"/>
      <c r="F326"/>
      <c r="G326"/>
      <c r="H326"/>
      <c r="I326"/>
      <c r="L326"/>
      <c r="M326"/>
      <c r="N326" s="50"/>
      <c r="O326"/>
    </row>
    <row r="327" spans="1:15" x14ac:dyDescent="0.2">
      <c r="A327"/>
      <c r="B327" s="50"/>
      <c r="C327" s="50"/>
      <c r="F327"/>
      <c r="G327"/>
      <c r="I327"/>
      <c r="L327"/>
      <c r="M327"/>
      <c r="N327" s="50"/>
      <c r="O327"/>
    </row>
    <row r="328" spans="1:15" x14ac:dyDescent="0.2">
      <c r="A328"/>
      <c r="B328" s="50"/>
      <c r="C328" s="50"/>
      <c r="F328"/>
      <c r="G328"/>
      <c r="I328"/>
      <c r="L328"/>
      <c r="M328"/>
      <c r="N328" s="50"/>
      <c r="O328"/>
    </row>
    <row r="329" spans="1:15" x14ac:dyDescent="0.2">
      <c r="A329"/>
      <c r="B329" s="50"/>
      <c r="C329" s="50"/>
      <c r="F329"/>
      <c r="G329"/>
      <c r="H329"/>
      <c r="I329"/>
      <c r="L329"/>
      <c r="M329"/>
      <c r="N329" s="50"/>
      <c r="O329"/>
    </row>
    <row r="330" spans="1:15" x14ac:dyDescent="0.2">
      <c r="A330"/>
      <c r="B330" s="50"/>
      <c r="C330" s="50"/>
      <c r="F330"/>
      <c r="G330"/>
      <c r="H330"/>
      <c r="I330"/>
      <c r="L330"/>
      <c r="M330"/>
      <c r="N330" s="50"/>
      <c r="O330"/>
    </row>
    <row r="331" spans="1:15" x14ac:dyDescent="0.2">
      <c r="A331"/>
      <c r="B331" s="50"/>
      <c r="C331" s="50"/>
      <c r="F331"/>
      <c r="G331"/>
      <c r="H331"/>
      <c r="I331"/>
      <c r="L331"/>
      <c r="M331"/>
      <c r="N331" s="50"/>
      <c r="O331"/>
    </row>
    <row r="332" spans="1:15" x14ac:dyDescent="0.2">
      <c r="A332"/>
      <c r="B332" s="50"/>
      <c r="C332" s="50"/>
      <c r="F332"/>
      <c r="G332"/>
      <c r="H332"/>
      <c r="I332"/>
      <c r="L332"/>
      <c r="N332" s="50"/>
      <c r="O332"/>
    </row>
    <row r="333" spans="1:15" x14ac:dyDescent="0.2">
      <c r="A333"/>
      <c r="B333" s="50"/>
      <c r="C333" s="50"/>
      <c r="F333"/>
      <c r="G333"/>
      <c r="H333"/>
      <c r="I333"/>
      <c r="L333"/>
      <c r="M333"/>
      <c r="N333" s="50"/>
      <c r="O333"/>
    </row>
    <row r="334" spans="1:15" x14ac:dyDescent="0.2">
      <c r="A334"/>
      <c r="B334" s="50"/>
      <c r="C334" s="50"/>
      <c r="F334"/>
      <c r="G334"/>
      <c r="J334"/>
      <c r="K334"/>
      <c r="L334"/>
      <c r="M334"/>
      <c r="N334" s="50"/>
      <c r="O334"/>
    </row>
    <row r="335" spans="1:15" x14ac:dyDescent="0.2">
      <c r="A335"/>
      <c r="B335" s="50"/>
      <c r="C335" s="50"/>
      <c r="F335"/>
      <c r="G335"/>
      <c r="H335"/>
      <c r="J335"/>
      <c r="K335"/>
      <c r="L335"/>
      <c r="M335"/>
      <c r="N335" s="50"/>
      <c r="O335"/>
    </row>
    <row r="336" spans="1:15" x14ac:dyDescent="0.2">
      <c r="A336"/>
      <c r="B336" s="50"/>
      <c r="C336" s="50"/>
      <c r="F336"/>
      <c r="G336"/>
      <c r="M336"/>
      <c r="N336" s="50"/>
      <c r="O336"/>
    </row>
    <row r="337" spans="1:15" x14ac:dyDescent="0.2">
      <c r="A337"/>
      <c r="B337" s="50"/>
      <c r="C337" s="50"/>
      <c r="F337"/>
      <c r="G337"/>
      <c r="H337"/>
      <c r="I337"/>
      <c r="L337"/>
      <c r="M337"/>
      <c r="N337" s="50"/>
      <c r="O337"/>
    </row>
    <row r="338" spans="1:15" x14ac:dyDescent="0.2">
      <c r="A338"/>
      <c r="B338" s="50"/>
      <c r="C338" s="50"/>
      <c r="F338"/>
      <c r="G338"/>
      <c r="I338"/>
      <c r="L338"/>
      <c r="M338"/>
      <c r="N338" s="50"/>
      <c r="O338"/>
    </row>
    <row r="339" spans="1:15" x14ac:dyDescent="0.2">
      <c r="A339"/>
      <c r="B339" s="50"/>
      <c r="C339" s="50"/>
      <c r="F339"/>
      <c r="G339"/>
      <c r="H339"/>
      <c r="I339"/>
      <c r="L339"/>
      <c r="M339"/>
      <c r="N339" s="50"/>
      <c r="O339"/>
    </row>
    <row r="340" spans="1:15" x14ac:dyDescent="0.2">
      <c r="A340"/>
      <c r="B340" s="50"/>
      <c r="C340" s="50"/>
      <c r="F340"/>
      <c r="G340"/>
      <c r="H340"/>
      <c r="J340"/>
      <c r="K340"/>
      <c r="L340"/>
      <c r="M340"/>
      <c r="N340" s="50"/>
      <c r="O340"/>
    </row>
    <row r="341" spans="1:15" x14ac:dyDescent="0.2">
      <c r="A341"/>
      <c r="B341" s="50"/>
      <c r="C341" s="50"/>
      <c r="F341"/>
      <c r="G341"/>
      <c r="M341"/>
      <c r="N341" s="50"/>
      <c r="O341"/>
    </row>
    <row r="342" spans="1:15" x14ac:dyDescent="0.2">
      <c r="A342"/>
      <c r="B342" s="50"/>
      <c r="C342" s="50"/>
      <c r="F342"/>
      <c r="G342"/>
      <c r="L342"/>
      <c r="M342"/>
      <c r="N342" s="50"/>
      <c r="O342"/>
    </row>
    <row r="343" spans="1:15" x14ac:dyDescent="0.2">
      <c r="A343"/>
      <c r="B343" s="50"/>
      <c r="C343" s="50"/>
      <c r="F343"/>
      <c r="G343"/>
      <c r="H343"/>
      <c r="I343"/>
      <c r="J343"/>
      <c r="K343"/>
      <c r="L343"/>
      <c r="M343"/>
      <c r="N343" s="50"/>
      <c r="O343"/>
    </row>
    <row r="344" spans="1:15" x14ac:dyDescent="0.2">
      <c r="A344"/>
      <c r="B344" s="50"/>
      <c r="C344" s="50"/>
      <c r="F344"/>
      <c r="G344"/>
      <c r="H344"/>
      <c r="I344"/>
      <c r="L344"/>
      <c r="M344"/>
      <c r="N344" s="50"/>
      <c r="O344"/>
    </row>
    <row r="345" spans="1:15" x14ac:dyDescent="0.2">
      <c r="A345"/>
      <c r="B345" s="50"/>
      <c r="C345" s="50"/>
      <c r="F345"/>
      <c r="G345"/>
      <c r="H345"/>
      <c r="I345"/>
      <c r="L345"/>
      <c r="M345"/>
      <c r="N345" s="50"/>
      <c r="O345"/>
    </row>
    <row r="346" spans="1:15" x14ac:dyDescent="0.2">
      <c r="A346"/>
      <c r="B346" s="50"/>
      <c r="C346" s="50"/>
      <c r="F346"/>
      <c r="G346"/>
      <c r="H346"/>
      <c r="I346"/>
      <c r="L346"/>
      <c r="M346"/>
      <c r="N346" s="50"/>
      <c r="O346"/>
    </row>
    <row r="347" spans="1:15" x14ac:dyDescent="0.2">
      <c r="A347"/>
      <c r="B347" s="50"/>
      <c r="C347" s="50"/>
      <c r="F347"/>
      <c r="G347"/>
      <c r="I347"/>
      <c r="L347"/>
      <c r="M347"/>
      <c r="N347" s="50"/>
      <c r="O347"/>
    </row>
    <row r="348" spans="1:15" x14ac:dyDescent="0.2">
      <c r="A348"/>
      <c r="B348" s="50"/>
      <c r="C348" s="50"/>
      <c r="F348"/>
      <c r="G348"/>
      <c r="I348"/>
      <c r="L348"/>
      <c r="M348"/>
      <c r="N348" s="50"/>
      <c r="O348"/>
    </row>
    <row r="349" spans="1:15" x14ac:dyDescent="0.2">
      <c r="A349"/>
      <c r="B349" s="50"/>
      <c r="C349" s="50"/>
      <c r="F349"/>
      <c r="G349"/>
      <c r="J349"/>
      <c r="L349"/>
      <c r="M349"/>
      <c r="N349" s="50"/>
      <c r="O349"/>
    </row>
    <row r="350" spans="1:15" x14ac:dyDescent="0.2">
      <c r="A350"/>
      <c r="B350" s="50"/>
      <c r="C350" s="50"/>
      <c r="F350"/>
      <c r="G350"/>
      <c r="H350"/>
      <c r="I350"/>
      <c r="L350"/>
      <c r="M350"/>
      <c r="N350" s="50"/>
      <c r="O350"/>
    </row>
    <row r="351" spans="1:15" x14ac:dyDescent="0.2">
      <c r="A351"/>
      <c r="B351" s="50"/>
      <c r="C351" s="50"/>
      <c r="F351"/>
      <c r="G351"/>
      <c r="I351"/>
      <c r="L351"/>
      <c r="M351"/>
      <c r="N351" s="50"/>
      <c r="O351"/>
    </row>
    <row r="352" spans="1:15" x14ac:dyDescent="0.2">
      <c r="A352"/>
      <c r="B352" s="50"/>
      <c r="C352" s="50"/>
      <c r="F352"/>
      <c r="G352"/>
      <c r="H352"/>
      <c r="I352"/>
      <c r="L352"/>
      <c r="M352"/>
      <c r="N352" s="50"/>
      <c r="O352"/>
    </row>
    <row r="353" spans="1:15" x14ac:dyDescent="0.2">
      <c r="A353"/>
      <c r="B353" s="50"/>
      <c r="C353" s="50"/>
      <c r="F353"/>
      <c r="G353"/>
      <c r="H353"/>
      <c r="I353"/>
      <c r="L353"/>
      <c r="M353"/>
      <c r="N353" s="50"/>
      <c r="O353"/>
    </row>
    <row r="354" spans="1:15" x14ac:dyDescent="0.2">
      <c r="A354"/>
      <c r="B354" s="50"/>
      <c r="C354" s="50"/>
      <c r="F354"/>
      <c r="G354"/>
      <c r="H354"/>
      <c r="I354"/>
      <c r="L354"/>
      <c r="M354"/>
      <c r="N354" s="50"/>
      <c r="O354"/>
    </row>
    <row r="355" spans="1:15" x14ac:dyDescent="0.2">
      <c r="A355"/>
      <c r="B355" s="50"/>
      <c r="C355" s="50"/>
      <c r="F355"/>
      <c r="G355"/>
      <c r="H355"/>
      <c r="I355"/>
      <c r="L355"/>
      <c r="M355"/>
      <c r="N355" s="50"/>
      <c r="O355"/>
    </row>
    <row r="356" spans="1:15" x14ac:dyDescent="0.2">
      <c r="A356"/>
      <c r="B356" s="50"/>
      <c r="C356" s="50"/>
      <c r="F356"/>
      <c r="G356"/>
      <c r="M356"/>
      <c r="N356" s="50"/>
      <c r="O356"/>
    </row>
    <row r="357" spans="1:15" x14ac:dyDescent="0.2">
      <c r="A357"/>
      <c r="B357" s="50"/>
      <c r="C357" s="50"/>
      <c r="F357"/>
      <c r="G357"/>
      <c r="H357"/>
      <c r="I357"/>
      <c r="L357"/>
      <c r="M357"/>
      <c r="N357" s="50"/>
      <c r="O357"/>
    </row>
    <row r="358" spans="1:15" x14ac:dyDescent="0.2">
      <c r="A358"/>
      <c r="B358" s="50"/>
      <c r="C358" s="50"/>
      <c r="F358"/>
      <c r="G358"/>
      <c r="H358"/>
      <c r="I358"/>
      <c r="L358"/>
      <c r="M358"/>
      <c r="N358" s="50"/>
      <c r="O358"/>
    </row>
    <row r="359" spans="1:15" x14ac:dyDescent="0.2">
      <c r="A359"/>
      <c r="B359" s="50"/>
      <c r="C359" s="50"/>
      <c r="F359"/>
      <c r="G359"/>
      <c r="H359"/>
      <c r="I359"/>
      <c r="L359"/>
      <c r="N359" s="50"/>
      <c r="O359"/>
    </row>
    <row r="360" spans="1:15" x14ac:dyDescent="0.2">
      <c r="A360"/>
      <c r="B360" s="50"/>
      <c r="C360" s="50"/>
      <c r="F360"/>
      <c r="G360"/>
      <c r="H360"/>
      <c r="I360"/>
      <c r="L360"/>
      <c r="M360"/>
      <c r="N360" s="50"/>
      <c r="O360"/>
    </row>
    <row r="361" spans="1:15" x14ac:dyDescent="0.2">
      <c r="A361"/>
      <c r="B361" s="50"/>
      <c r="C361" s="50"/>
      <c r="F361"/>
      <c r="G361"/>
      <c r="L361"/>
      <c r="M361"/>
      <c r="N361" s="50"/>
      <c r="O361"/>
    </row>
    <row r="362" spans="1:15" x14ac:dyDescent="0.2">
      <c r="A362"/>
      <c r="B362" s="50"/>
      <c r="C362" s="50"/>
      <c r="F362"/>
      <c r="G362"/>
      <c r="I362"/>
      <c r="L362"/>
      <c r="M362"/>
      <c r="N362" s="50"/>
      <c r="O362"/>
    </row>
    <row r="363" spans="1:15" x14ac:dyDescent="0.2">
      <c r="A363"/>
      <c r="B363" s="50"/>
      <c r="C363" s="50"/>
      <c r="F363"/>
      <c r="G363"/>
      <c r="H363"/>
      <c r="I363"/>
      <c r="L363"/>
      <c r="N363" s="50"/>
      <c r="O363"/>
    </row>
    <row r="364" spans="1:15" x14ac:dyDescent="0.2">
      <c r="A364"/>
      <c r="B364" s="50"/>
      <c r="C364" s="50"/>
      <c r="F364"/>
      <c r="G364"/>
      <c r="I364"/>
      <c r="L364"/>
      <c r="M364"/>
      <c r="N364" s="50"/>
      <c r="O364"/>
    </row>
    <row r="365" spans="1:15" x14ac:dyDescent="0.2">
      <c r="A365"/>
      <c r="B365" s="50"/>
      <c r="C365" s="50"/>
      <c r="F365"/>
      <c r="G365"/>
      <c r="L365"/>
      <c r="M365"/>
      <c r="N365" s="50"/>
      <c r="O365"/>
    </row>
    <row r="366" spans="1:15" x14ac:dyDescent="0.2">
      <c r="A366"/>
      <c r="B366" s="50"/>
      <c r="C366" s="50"/>
      <c r="F366"/>
      <c r="G366"/>
      <c r="H366"/>
      <c r="I366"/>
      <c r="L366"/>
      <c r="M366"/>
      <c r="N366" s="50"/>
      <c r="O366"/>
    </row>
    <row r="367" spans="1:15" x14ac:dyDescent="0.2">
      <c r="A367"/>
      <c r="B367" s="50"/>
      <c r="C367" s="50"/>
      <c r="F367"/>
      <c r="G367"/>
      <c r="H367"/>
      <c r="I367"/>
      <c r="L367"/>
      <c r="M367"/>
      <c r="N367" s="50"/>
      <c r="O367"/>
    </row>
    <row r="368" spans="1:15" x14ac:dyDescent="0.2">
      <c r="A368"/>
      <c r="B368" s="50"/>
      <c r="C368" s="50"/>
      <c r="F368"/>
      <c r="G368"/>
      <c r="H368"/>
      <c r="I368"/>
      <c r="L368"/>
      <c r="M368"/>
      <c r="N368" s="50"/>
      <c r="O368"/>
    </row>
    <row r="369" spans="1:15" x14ac:dyDescent="0.2">
      <c r="A369"/>
      <c r="B369" s="50"/>
      <c r="C369" s="50"/>
      <c r="F369"/>
      <c r="G369"/>
      <c r="I369"/>
      <c r="L369"/>
      <c r="M369"/>
      <c r="N369" s="50"/>
      <c r="O369"/>
    </row>
    <row r="370" spans="1:15" x14ac:dyDescent="0.2">
      <c r="A370"/>
      <c r="B370" s="50"/>
      <c r="C370" s="50"/>
      <c r="F370"/>
      <c r="G370"/>
      <c r="I370"/>
      <c r="L370"/>
      <c r="M370"/>
      <c r="N370" s="50"/>
      <c r="O370"/>
    </row>
    <row r="371" spans="1:15" x14ac:dyDescent="0.2">
      <c r="A371"/>
      <c r="B371" s="50"/>
      <c r="C371" s="50"/>
      <c r="F371"/>
      <c r="G371"/>
      <c r="L371"/>
      <c r="N371" s="50"/>
      <c r="O371"/>
    </row>
    <row r="372" spans="1:15" x14ac:dyDescent="0.2">
      <c r="A372"/>
      <c r="B372" s="50"/>
      <c r="C372" s="50"/>
      <c r="F372"/>
      <c r="G372"/>
      <c r="H372"/>
      <c r="I372"/>
      <c r="L372"/>
      <c r="M372"/>
      <c r="N372" s="50"/>
      <c r="O372"/>
    </row>
    <row r="373" spans="1:15" x14ac:dyDescent="0.2">
      <c r="A373"/>
      <c r="B373" s="50"/>
      <c r="C373" s="50"/>
      <c r="F373"/>
      <c r="G373"/>
      <c r="H373"/>
      <c r="I373"/>
      <c r="L373"/>
      <c r="M373"/>
      <c r="N373" s="50"/>
      <c r="O373"/>
    </row>
    <row r="374" spans="1:15" x14ac:dyDescent="0.2">
      <c r="A374"/>
      <c r="B374" s="50"/>
      <c r="C374" s="50"/>
      <c r="F374"/>
      <c r="G374"/>
      <c r="H374"/>
      <c r="I374"/>
      <c r="L374"/>
      <c r="M374"/>
      <c r="N374" s="50"/>
      <c r="O374"/>
    </row>
    <row r="375" spans="1:15" x14ac:dyDescent="0.2">
      <c r="A375"/>
      <c r="B375" s="50"/>
      <c r="C375" s="50"/>
      <c r="F375"/>
      <c r="G375"/>
      <c r="L375"/>
      <c r="M375"/>
      <c r="N375" s="50"/>
      <c r="O375"/>
    </row>
    <row r="376" spans="1:15" x14ac:dyDescent="0.2">
      <c r="A376"/>
      <c r="B376" s="50"/>
      <c r="C376" s="50"/>
      <c r="F376"/>
      <c r="G376"/>
      <c r="J376"/>
      <c r="K376"/>
      <c r="L376"/>
      <c r="M376"/>
      <c r="N376" s="50"/>
      <c r="O376"/>
    </row>
    <row r="377" spans="1:15" x14ac:dyDescent="0.2">
      <c r="A377"/>
      <c r="B377" s="50"/>
      <c r="C377" s="50"/>
      <c r="F377"/>
      <c r="G377"/>
      <c r="I377"/>
      <c r="L377"/>
      <c r="M377"/>
      <c r="N377" s="50"/>
      <c r="O377"/>
    </row>
    <row r="378" spans="1:15" x14ac:dyDescent="0.2">
      <c r="A378"/>
      <c r="B378" s="50"/>
      <c r="C378" s="50"/>
      <c r="F378"/>
      <c r="G378"/>
      <c r="I378"/>
      <c r="L378"/>
      <c r="M378"/>
      <c r="N378" s="50"/>
      <c r="O378"/>
    </row>
    <row r="379" spans="1:15" x14ac:dyDescent="0.2">
      <c r="A379"/>
      <c r="B379" s="50"/>
      <c r="C379" s="50"/>
      <c r="F379"/>
      <c r="G379"/>
      <c r="H379"/>
      <c r="I379"/>
      <c r="L379"/>
      <c r="M379"/>
      <c r="N379" s="50"/>
      <c r="O379"/>
    </row>
    <row r="380" spans="1:15" x14ac:dyDescent="0.2">
      <c r="A380"/>
      <c r="B380" s="50"/>
      <c r="C380" s="50"/>
      <c r="F380"/>
      <c r="G380"/>
      <c r="H380"/>
      <c r="I380"/>
      <c r="L380"/>
      <c r="M380"/>
      <c r="N380" s="50"/>
      <c r="O380"/>
    </row>
    <row r="381" spans="1:15" x14ac:dyDescent="0.2">
      <c r="A381"/>
      <c r="B381" s="50"/>
      <c r="C381" s="50"/>
      <c r="F381"/>
      <c r="G381"/>
      <c r="H381"/>
      <c r="I381"/>
      <c r="L381"/>
      <c r="M381"/>
      <c r="N381" s="50"/>
      <c r="O381"/>
    </row>
    <row r="382" spans="1:15" x14ac:dyDescent="0.2">
      <c r="A382"/>
      <c r="B382" s="50"/>
      <c r="C382" s="50"/>
      <c r="F382"/>
      <c r="G382"/>
      <c r="M382"/>
      <c r="N382" s="50"/>
      <c r="O382"/>
    </row>
    <row r="383" spans="1:15" x14ac:dyDescent="0.2">
      <c r="A383"/>
      <c r="B383" s="50"/>
      <c r="C383" s="50"/>
      <c r="F383"/>
      <c r="G383"/>
      <c r="J383"/>
      <c r="K383"/>
      <c r="L383"/>
      <c r="M383"/>
      <c r="N383" s="50"/>
      <c r="O383"/>
    </row>
    <row r="384" spans="1:15" x14ac:dyDescent="0.2">
      <c r="A384"/>
      <c r="B384" s="50"/>
      <c r="C384" s="50"/>
      <c r="F384"/>
      <c r="G384"/>
      <c r="H384"/>
      <c r="I384"/>
      <c r="L384"/>
      <c r="M384"/>
      <c r="N384" s="50"/>
      <c r="O384"/>
    </row>
    <row r="385" spans="1:15" x14ac:dyDescent="0.2">
      <c r="A385"/>
      <c r="B385" s="50"/>
      <c r="C385" s="50"/>
      <c r="F385"/>
      <c r="G385"/>
      <c r="I385"/>
      <c r="L385"/>
      <c r="M385"/>
      <c r="N385" s="50"/>
      <c r="O385"/>
    </row>
    <row r="386" spans="1:15" x14ac:dyDescent="0.2">
      <c r="A386"/>
      <c r="B386" s="50"/>
      <c r="C386" s="50"/>
      <c r="F386"/>
      <c r="G386"/>
      <c r="H386"/>
      <c r="I386"/>
      <c r="L386"/>
      <c r="M386"/>
      <c r="N386" s="50"/>
      <c r="O386"/>
    </row>
    <row r="387" spans="1:15" x14ac:dyDescent="0.2">
      <c r="A387"/>
      <c r="B387" s="50"/>
      <c r="C387" s="50"/>
      <c r="F387"/>
      <c r="G387"/>
      <c r="I387"/>
      <c r="L387"/>
      <c r="M387"/>
      <c r="N387" s="50"/>
      <c r="O387"/>
    </row>
    <row r="388" spans="1:15" x14ac:dyDescent="0.2">
      <c r="A388"/>
      <c r="B388" s="50"/>
      <c r="C388" s="50"/>
      <c r="F388"/>
      <c r="G388"/>
      <c r="J388"/>
      <c r="K388"/>
      <c r="L388"/>
      <c r="M388"/>
      <c r="N388" s="50"/>
      <c r="O388"/>
    </row>
    <row r="389" spans="1:15" x14ac:dyDescent="0.2">
      <c r="A389"/>
      <c r="B389" s="50"/>
      <c r="C389" s="50"/>
      <c r="F389"/>
      <c r="G389"/>
      <c r="I389"/>
      <c r="L389"/>
      <c r="M389"/>
      <c r="N389" s="50"/>
      <c r="O389"/>
    </row>
    <row r="390" spans="1:15" x14ac:dyDescent="0.2">
      <c r="A390"/>
      <c r="B390" s="50"/>
      <c r="C390" s="50"/>
      <c r="F390"/>
      <c r="G390"/>
      <c r="H390"/>
      <c r="I390"/>
      <c r="L390"/>
      <c r="N390" s="50"/>
      <c r="O390"/>
    </row>
    <row r="391" spans="1:15" x14ac:dyDescent="0.2">
      <c r="A391"/>
      <c r="B391" s="50"/>
      <c r="C391" s="50"/>
      <c r="F391"/>
      <c r="G391"/>
      <c r="H391"/>
      <c r="I391"/>
      <c r="L391"/>
      <c r="M391"/>
      <c r="N391" s="50"/>
      <c r="O391"/>
    </row>
    <row r="392" spans="1:15" x14ac:dyDescent="0.2">
      <c r="A392"/>
      <c r="B392" s="50"/>
      <c r="C392" s="50"/>
      <c r="F392"/>
      <c r="G392"/>
      <c r="H392"/>
      <c r="I392"/>
      <c r="L392"/>
      <c r="M392"/>
      <c r="N392" s="50"/>
      <c r="O392"/>
    </row>
    <row r="393" spans="1:15" x14ac:dyDescent="0.2">
      <c r="A393"/>
      <c r="B393" s="50"/>
      <c r="C393" s="50"/>
      <c r="F393"/>
      <c r="G393"/>
      <c r="L393"/>
      <c r="M393"/>
      <c r="N393" s="50"/>
      <c r="O393"/>
    </row>
    <row r="394" spans="1:15" x14ac:dyDescent="0.2">
      <c r="A394"/>
      <c r="B394" s="50"/>
      <c r="C394" s="50"/>
      <c r="F394"/>
      <c r="G394"/>
      <c r="I394"/>
      <c r="L394"/>
      <c r="M394"/>
      <c r="N394" s="50"/>
      <c r="O394"/>
    </row>
    <row r="395" spans="1:15" x14ac:dyDescent="0.2">
      <c r="A395"/>
      <c r="B395" s="50"/>
      <c r="C395" s="50"/>
      <c r="F395"/>
      <c r="G395"/>
      <c r="H395"/>
      <c r="I395"/>
      <c r="L395"/>
      <c r="M395"/>
      <c r="N395" s="50"/>
      <c r="O395"/>
    </row>
    <row r="396" spans="1:15" x14ac:dyDescent="0.2">
      <c r="A396"/>
      <c r="B396" s="50"/>
      <c r="C396" s="50"/>
      <c r="F396"/>
      <c r="G396"/>
      <c r="M396"/>
      <c r="N396" s="50"/>
      <c r="O396"/>
    </row>
    <row r="397" spans="1:15" x14ac:dyDescent="0.2">
      <c r="A397"/>
      <c r="B397" s="50"/>
      <c r="C397" s="50"/>
      <c r="F397"/>
      <c r="G397"/>
      <c r="H397"/>
      <c r="J397"/>
      <c r="K397"/>
      <c r="L397"/>
      <c r="M397"/>
      <c r="N397" s="50"/>
      <c r="O397"/>
    </row>
    <row r="398" spans="1:15" x14ac:dyDescent="0.2">
      <c r="A398"/>
      <c r="B398" s="50"/>
      <c r="C398" s="50"/>
      <c r="F398"/>
      <c r="G398"/>
      <c r="H398"/>
      <c r="J398"/>
      <c r="K398"/>
      <c r="L398"/>
      <c r="M398"/>
      <c r="N398" s="50"/>
      <c r="O398"/>
    </row>
    <row r="399" spans="1:15" x14ac:dyDescent="0.2">
      <c r="A399"/>
      <c r="B399" s="50"/>
      <c r="C399" s="50"/>
      <c r="F399"/>
      <c r="G399"/>
      <c r="H399"/>
      <c r="L399"/>
      <c r="M399"/>
      <c r="N399" s="50"/>
      <c r="O399"/>
    </row>
    <row r="400" spans="1:15" x14ac:dyDescent="0.2">
      <c r="A400"/>
      <c r="B400" s="50"/>
      <c r="C400" s="50"/>
      <c r="F400"/>
      <c r="G400"/>
      <c r="J400"/>
      <c r="K400"/>
      <c r="L400"/>
      <c r="M400"/>
      <c r="N400" s="50"/>
      <c r="O400"/>
    </row>
    <row r="401" spans="1:15" x14ac:dyDescent="0.2">
      <c r="A401"/>
      <c r="B401" s="50"/>
      <c r="C401" s="50"/>
      <c r="F401"/>
      <c r="G401"/>
      <c r="H401"/>
      <c r="J401"/>
      <c r="K401"/>
      <c r="L401"/>
      <c r="M401"/>
      <c r="N401" s="50"/>
      <c r="O401"/>
    </row>
    <row r="402" spans="1:15" x14ac:dyDescent="0.2">
      <c r="A402"/>
      <c r="B402" s="50"/>
      <c r="C402" s="50"/>
      <c r="G402"/>
      <c r="M402"/>
      <c r="N402" s="50"/>
      <c r="O402"/>
    </row>
    <row r="403" spans="1:15" x14ac:dyDescent="0.2">
      <c r="A403"/>
      <c r="B403" s="50"/>
      <c r="C403" s="50"/>
      <c r="F403"/>
      <c r="G403"/>
      <c r="H403"/>
      <c r="J403"/>
      <c r="K403"/>
      <c r="L403"/>
      <c r="M403"/>
      <c r="N403" s="50"/>
      <c r="O403"/>
    </row>
    <row r="404" spans="1:15" x14ac:dyDescent="0.2">
      <c r="A404"/>
      <c r="B404" s="50"/>
      <c r="C404" s="50"/>
      <c r="F404"/>
      <c r="G404"/>
      <c r="H404"/>
      <c r="K404"/>
      <c r="L404"/>
      <c r="M404"/>
      <c r="N404" s="50"/>
      <c r="O404"/>
    </row>
    <row r="405" spans="1:15" x14ac:dyDescent="0.2">
      <c r="A405"/>
      <c r="B405" s="50"/>
      <c r="C405" s="50"/>
      <c r="F405"/>
      <c r="G405"/>
      <c r="H405"/>
      <c r="I405"/>
      <c r="L405"/>
      <c r="N405" s="50"/>
      <c r="O405"/>
    </row>
    <row r="406" spans="1:15" x14ac:dyDescent="0.2">
      <c r="A406"/>
      <c r="B406" s="50"/>
      <c r="C406" s="50"/>
      <c r="F406"/>
      <c r="G406"/>
      <c r="J406"/>
      <c r="K406"/>
      <c r="L406"/>
      <c r="M406"/>
      <c r="N406" s="50"/>
      <c r="O406"/>
    </row>
    <row r="407" spans="1:15" x14ac:dyDescent="0.2">
      <c r="A407"/>
      <c r="B407" s="50"/>
      <c r="C407" s="50"/>
      <c r="F407"/>
      <c r="G407"/>
      <c r="H407"/>
      <c r="J407"/>
      <c r="K407"/>
      <c r="L407"/>
      <c r="M407"/>
      <c r="N407" s="50"/>
      <c r="O407"/>
    </row>
    <row r="408" spans="1:15" x14ac:dyDescent="0.2">
      <c r="A408"/>
      <c r="B408" s="50"/>
      <c r="C408" s="50"/>
      <c r="F408"/>
      <c r="G408"/>
      <c r="H408"/>
      <c r="J408"/>
      <c r="K408"/>
      <c r="L408"/>
      <c r="M408"/>
      <c r="N408" s="50"/>
      <c r="O408"/>
    </row>
    <row r="409" spans="1:15" x14ac:dyDescent="0.2">
      <c r="A409"/>
      <c r="B409" s="50"/>
      <c r="C409" s="50"/>
      <c r="F409"/>
      <c r="G409"/>
      <c r="H409"/>
      <c r="J409"/>
      <c r="K409"/>
      <c r="L409"/>
      <c r="M409"/>
      <c r="N409" s="50"/>
      <c r="O409"/>
    </row>
    <row r="410" spans="1:15" x14ac:dyDescent="0.2">
      <c r="A410"/>
      <c r="B410" s="50"/>
      <c r="C410" s="50"/>
      <c r="F410"/>
      <c r="G410"/>
      <c r="H410"/>
      <c r="J410"/>
      <c r="K410"/>
      <c r="L410"/>
      <c r="M410"/>
      <c r="N410" s="50"/>
      <c r="O410"/>
    </row>
    <row r="411" spans="1:15" x14ac:dyDescent="0.2">
      <c r="A411"/>
      <c r="B411" s="50"/>
      <c r="C411" s="50"/>
      <c r="F411"/>
      <c r="G411"/>
      <c r="H411"/>
      <c r="J411"/>
      <c r="K411"/>
      <c r="M411"/>
      <c r="N411" s="50"/>
      <c r="O411"/>
    </row>
    <row r="412" spans="1:15" x14ac:dyDescent="0.2">
      <c r="A412"/>
      <c r="B412" s="50"/>
      <c r="C412" s="50"/>
      <c r="F412"/>
      <c r="G412"/>
      <c r="H412"/>
      <c r="J412"/>
      <c r="K412"/>
      <c r="L412"/>
      <c r="M412"/>
      <c r="N412" s="50"/>
      <c r="O412"/>
    </row>
    <row r="413" spans="1:15" x14ac:dyDescent="0.2">
      <c r="A413"/>
      <c r="B413" s="50"/>
      <c r="C413" s="50"/>
      <c r="F413"/>
      <c r="G413"/>
      <c r="H413"/>
      <c r="I413"/>
      <c r="L413"/>
      <c r="M413"/>
      <c r="N413" s="50"/>
      <c r="O413"/>
    </row>
    <row r="414" spans="1:15" x14ac:dyDescent="0.2">
      <c r="A414"/>
      <c r="B414" s="50"/>
      <c r="C414" s="50"/>
      <c r="F414"/>
      <c r="G414"/>
      <c r="H414"/>
      <c r="I414"/>
      <c r="L414"/>
      <c r="M414"/>
      <c r="N414" s="50"/>
      <c r="O414"/>
    </row>
    <row r="415" spans="1:15" x14ac:dyDescent="0.2">
      <c r="A415"/>
      <c r="B415" s="50"/>
      <c r="C415" s="50"/>
      <c r="F415"/>
      <c r="G415"/>
      <c r="L415"/>
      <c r="M415"/>
      <c r="N415" s="50"/>
      <c r="O415"/>
    </row>
    <row r="416" spans="1:15" x14ac:dyDescent="0.2">
      <c r="A416"/>
      <c r="B416" s="50"/>
      <c r="C416" s="50"/>
      <c r="F416"/>
      <c r="G416"/>
      <c r="I416"/>
      <c r="L416"/>
      <c r="M416"/>
      <c r="N416" s="50"/>
      <c r="O416"/>
    </row>
    <row r="417" spans="1:15" x14ac:dyDescent="0.2">
      <c r="A417"/>
      <c r="B417" s="50"/>
      <c r="C417" s="50"/>
      <c r="F417"/>
      <c r="G417"/>
      <c r="H417"/>
      <c r="I417"/>
      <c r="L417"/>
      <c r="N417" s="50"/>
      <c r="O417"/>
    </row>
    <row r="418" spans="1:15" x14ac:dyDescent="0.2">
      <c r="A418"/>
      <c r="B418" s="50"/>
      <c r="C418" s="50"/>
      <c r="F418"/>
      <c r="G418"/>
      <c r="I418"/>
      <c r="L418"/>
      <c r="M418"/>
      <c r="N418" s="50"/>
      <c r="O418"/>
    </row>
    <row r="419" spans="1:15" x14ac:dyDescent="0.2">
      <c r="A419"/>
      <c r="B419" s="50"/>
      <c r="C419" s="50"/>
      <c r="F419"/>
      <c r="G419"/>
      <c r="I419"/>
      <c r="L419"/>
      <c r="M419"/>
      <c r="N419" s="50"/>
      <c r="O419"/>
    </row>
    <row r="420" spans="1:15" x14ac:dyDescent="0.2">
      <c r="A420"/>
      <c r="B420" s="50"/>
      <c r="C420" s="50"/>
      <c r="F420"/>
      <c r="G420"/>
      <c r="H420"/>
      <c r="I420"/>
      <c r="L420"/>
      <c r="M420"/>
      <c r="N420" s="50"/>
      <c r="O420"/>
    </row>
    <row r="421" spans="1:15" x14ac:dyDescent="0.2">
      <c r="A421"/>
      <c r="B421" s="50"/>
      <c r="C421" s="50"/>
      <c r="F421"/>
      <c r="G421"/>
      <c r="H421"/>
      <c r="I421"/>
      <c r="L421"/>
      <c r="M421"/>
      <c r="N421" s="50"/>
      <c r="O421"/>
    </row>
    <row r="422" spans="1:15" x14ac:dyDescent="0.2">
      <c r="A422"/>
      <c r="B422" s="50"/>
      <c r="C422" s="50"/>
      <c r="F422"/>
      <c r="G422"/>
      <c r="H422"/>
      <c r="I422"/>
      <c r="L422"/>
      <c r="N422" s="50"/>
      <c r="O422"/>
    </row>
    <row r="423" spans="1:15" x14ac:dyDescent="0.2">
      <c r="A423"/>
      <c r="B423" s="50"/>
      <c r="C423" s="50"/>
      <c r="F423"/>
      <c r="G423"/>
      <c r="H423"/>
      <c r="I423"/>
      <c r="L423"/>
      <c r="N423" s="50"/>
      <c r="O423"/>
    </row>
    <row r="424" spans="1:15" x14ac:dyDescent="0.2">
      <c r="A424"/>
      <c r="B424" s="50"/>
      <c r="C424" s="50"/>
      <c r="F424"/>
      <c r="G424"/>
      <c r="H424"/>
      <c r="I424"/>
      <c r="L424"/>
      <c r="M424"/>
      <c r="N424" s="50"/>
      <c r="O424"/>
    </row>
    <row r="425" spans="1:15" x14ac:dyDescent="0.2">
      <c r="A425"/>
      <c r="B425" s="50"/>
      <c r="C425" s="50"/>
      <c r="F425"/>
      <c r="G425"/>
      <c r="H425"/>
      <c r="I425"/>
      <c r="L425"/>
      <c r="M425"/>
      <c r="N425" s="50"/>
      <c r="O425"/>
    </row>
    <row r="426" spans="1:15" x14ac:dyDescent="0.2">
      <c r="A426"/>
      <c r="B426" s="50"/>
      <c r="C426" s="50"/>
      <c r="F426"/>
      <c r="G426"/>
      <c r="H426"/>
      <c r="I426"/>
      <c r="L426"/>
      <c r="M426"/>
      <c r="N426" s="50"/>
      <c r="O426"/>
    </row>
    <row r="427" spans="1:15" x14ac:dyDescent="0.2">
      <c r="A427"/>
      <c r="B427" s="50"/>
      <c r="C427" s="50"/>
      <c r="F427"/>
      <c r="G427"/>
      <c r="H427"/>
      <c r="I427"/>
      <c r="L427"/>
      <c r="M427"/>
      <c r="N427" s="50"/>
      <c r="O427"/>
    </row>
    <row r="428" spans="1:15" x14ac:dyDescent="0.2">
      <c r="A428"/>
      <c r="B428" s="50"/>
      <c r="C428" s="50"/>
      <c r="F428"/>
      <c r="G428"/>
      <c r="H428"/>
      <c r="I428"/>
      <c r="L428"/>
      <c r="M428"/>
      <c r="N428" s="50"/>
      <c r="O428"/>
    </row>
    <row r="429" spans="1:15" x14ac:dyDescent="0.2">
      <c r="A429"/>
      <c r="B429" s="50"/>
      <c r="C429" s="50"/>
      <c r="F429"/>
      <c r="G429"/>
      <c r="H429"/>
      <c r="I429"/>
      <c r="L429"/>
      <c r="M429"/>
      <c r="N429" s="50"/>
      <c r="O429"/>
    </row>
    <row r="430" spans="1:15" x14ac:dyDescent="0.2">
      <c r="A430"/>
      <c r="B430" s="50"/>
      <c r="C430" s="50"/>
      <c r="F430"/>
      <c r="G430"/>
      <c r="H430"/>
      <c r="I430"/>
      <c r="L430"/>
      <c r="N430" s="50"/>
      <c r="O430"/>
    </row>
    <row r="431" spans="1:15" x14ac:dyDescent="0.2">
      <c r="A431"/>
      <c r="B431" s="50"/>
      <c r="C431" s="50"/>
      <c r="F431"/>
      <c r="G431"/>
      <c r="H431"/>
      <c r="I431"/>
      <c r="L431"/>
      <c r="N431" s="50"/>
      <c r="O431"/>
    </row>
    <row r="432" spans="1:15" x14ac:dyDescent="0.2">
      <c r="A432"/>
      <c r="B432" s="50"/>
      <c r="C432" s="50"/>
      <c r="F432"/>
      <c r="G432"/>
      <c r="I432"/>
      <c r="L432"/>
      <c r="M432"/>
      <c r="N432" s="50"/>
      <c r="O432"/>
    </row>
    <row r="433" spans="1:15" x14ac:dyDescent="0.2">
      <c r="A433"/>
      <c r="B433" s="50"/>
      <c r="C433" s="50"/>
      <c r="F433"/>
      <c r="G433"/>
      <c r="L433"/>
      <c r="M433"/>
      <c r="N433" s="50"/>
      <c r="O433"/>
    </row>
    <row r="434" spans="1:15" x14ac:dyDescent="0.2">
      <c r="A434"/>
      <c r="B434" s="50"/>
      <c r="C434" s="50"/>
      <c r="F434"/>
      <c r="G434"/>
      <c r="H434"/>
      <c r="I434"/>
      <c r="L434"/>
      <c r="M434"/>
      <c r="N434" s="50"/>
      <c r="O434"/>
    </row>
    <row r="435" spans="1:15" x14ac:dyDescent="0.2">
      <c r="A435"/>
      <c r="B435" s="50"/>
      <c r="C435" s="50"/>
      <c r="F435"/>
      <c r="G435"/>
      <c r="H435"/>
      <c r="I435"/>
      <c r="L435"/>
      <c r="M435"/>
      <c r="N435" s="50"/>
      <c r="O435"/>
    </row>
    <row r="436" spans="1:15" x14ac:dyDescent="0.2">
      <c r="A436"/>
      <c r="B436" s="50"/>
      <c r="C436" s="50"/>
      <c r="F436"/>
      <c r="G436"/>
      <c r="H436"/>
      <c r="I436"/>
      <c r="L436"/>
      <c r="M436"/>
      <c r="N436" s="50"/>
      <c r="O436"/>
    </row>
    <row r="437" spans="1:15" x14ac:dyDescent="0.2">
      <c r="A437"/>
      <c r="B437" s="50"/>
      <c r="C437" s="50"/>
      <c r="F437"/>
      <c r="G437"/>
      <c r="H437"/>
      <c r="I437"/>
      <c r="L437"/>
      <c r="N437" s="50"/>
      <c r="O437"/>
    </row>
    <row r="438" spans="1:15" x14ac:dyDescent="0.2">
      <c r="A438"/>
      <c r="B438" s="50"/>
      <c r="C438" s="50"/>
      <c r="F438"/>
      <c r="G438"/>
      <c r="H438"/>
      <c r="I438"/>
      <c r="L438"/>
      <c r="M438"/>
      <c r="N438" s="50"/>
      <c r="O438"/>
    </row>
    <row r="439" spans="1:15" x14ac:dyDescent="0.2">
      <c r="A439"/>
      <c r="B439" s="50"/>
      <c r="C439" s="50"/>
      <c r="F439"/>
      <c r="G439"/>
      <c r="H439"/>
      <c r="I439"/>
      <c r="L439"/>
      <c r="M439"/>
      <c r="N439" s="50"/>
      <c r="O439"/>
    </row>
    <row r="440" spans="1:15" x14ac:dyDescent="0.2">
      <c r="A440"/>
      <c r="B440" s="50"/>
      <c r="C440" s="50"/>
      <c r="F440"/>
      <c r="G440"/>
      <c r="H440"/>
      <c r="I440"/>
      <c r="L440"/>
      <c r="N440" s="50"/>
      <c r="O440"/>
    </row>
    <row r="441" spans="1:15" x14ac:dyDescent="0.2">
      <c r="A441"/>
      <c r="B441" s="50"/>
      <c r="C441" s="50"/>
      <c r="F441"/>
      <c r="G441"/>
      <c r="H441"/>
      <c r="I441"/>
      <c r="L441"/>
      <c r="M441"/>
      <c r="N441" s="50"/>
      <c r="O441"/>
    </row>
    <row r="442" spans="1:15" x14ac:dyDescent="0.2">
      <c r="A442"/>
      <c r="B442" s="50"/>
      <c r="C442" s="50"/>
      <c r="F442"/>
      <c r="G442"/>
      <c r="H442"/>
      <c r="I442"/>
      <c r="L442"/>
      <c r="M442"/>
      <c r="N442" s="50"/>
      <c r="O442"/>
    </row>
    <row r="443" spans="1:15" x14ac:dyDescent="0.2">
      <c r="A443"/>
      <c r="B443" s="50"/>
      <c r="C443" s="50"/>
      <c r="F443"/>
      <c r="G443"/>
      <c r="I443"/>
      <c r="L443"/>
      <c r="N443" s="50"/>
      <c r="O443"/>
    </row>
    <row r="444" spans="1:15" x14ac:dyDescent="0.2">
      <c r="A444"/>
      <c r="B444" s="50"/>
      <c r="C444" s="50"/>
      <c r="F444"/>
      <c r="G444"/>
      <c r="H444"/>
      <c r="I444"/>
      <c r="L444"/>
      <c r="M444"/>
      <c r="N444" s="50"/>
      <c r="O444"/>
    </row>
    <row r="445" spans="1:15" x14ac:dyDescent="0.2">
      <c r="A445"/>
      <c r="B445" s="50"/>
      <c r="C445" s="50"/>
      <c r="F445"/>
      <c r="G445"/>
      <c r="H445"/>
      <c r="I445"/>
      <c r="L445"/>
      <c r="M445"/>
      <c r="N445" s="50"/>
      <c r="O445"/>
    </row>
    <row r="446" spans="1:15" x14ac:dyDescent="0.2">
      <c r="A446"/>
      <c r="B446" s="50"/>
      <c r="C446" s="50"/>
      <c r="F446"/>
      <c r="G446"/>
      <c r="L446"/>
      <c r="M446"/>
      <c r="N446" s="50"/>
      <c r="O446"/>
    </row>
    <row r="447" spans="1:15" x14ac:dyDescent="0.2">
      <c r="A447"/>
      <c r="B447" s="50"/>
      <c r="C447" s="50"/>
      <c r="F447"/>
      <c r="G447"/>
      <c r="H447"/>
      <c r="I447"/>
      <c r="L447"/>
      <c r="M447"/>
      <c r="N447" s="50"/>
      <c r="O447"/>
    </row>
    <row r="448" spans="1:15" x14ac:dyDescent="0.2">
      <c r="A448"/>
      <c r="B448" s="50"/>
      <c r="C448" s="50"/>
      <c r="F448"/>
      <c r="G448"/>
      <c r="H448"/>
      <c r="I448"/>
      <c r="L448"/>
      <c r="M448"/>
      <c r="N448" s="50"/>
      <c r="O448"/>
    </row>
    <row r="449" spans="1:15" x14ac:dyDescent="0.2">
      <c r="A449"/>
      <c r="B449" s="50"/>
      <c r="C449" s="50"/>
      <c r="F449"/>
      <c r="G449"/>
      <c r="H449"/>
      <c r="I449"/>
      <c r="L449"/>
      <c r="M449"/>
      <c r="N449" s="50"/>
      <c r="O449"/>
    </row>
    <row r="450" spans="1:15" x14ac:dyDescent="0.2">
      <c r="A450"/>
      <c r="B450" s="50"/>
      <c r="C450" s="50"/>
      <c r="F450"/>
      <c r="G450"/>
      <c r="H450"/>
      <c r="I450"/>
      <c r="L450"/>
      <c r="M450"/>
      <c r="N450" s="50"/>
      <c r="O450"/>
    </row>
    <row r="451" spans="1:15" x14ac:dyDescent="0.2">
      <c r="A451"/>
      <c r="B451" s="50"/>
      <c r="C451" s="50"/>
      <c r="F451"/>
      <c r="G451"/>
      <c r="I451"/>
      <c r="L451"/>
      <c r="M451"/>
      <c r="N451" s="50"/>
      <c r="O451"/>
    </row>
    <row r="452" spans="1:15" x14ac:dyDescent="0.2">
      <c r="A452"/>
      <c r="B452" s="50"/>
      <c r="C452" s="50"/>
      <c r="F452"/>
      <c r="G452"/>
      <c r="I452"/>
      <c r="L452"/>
      <c r="M452"/>
      <c r="N452" s="50"/>
      <c r="O452"/>
    </row>
    <row r="453" spans="1:15" x14ac:dyDescent="0.2">
      <c r="A453"/>
      <c r="B453" s="50"/>
      <c r="C453" s="50"/>
      <c r="F453"/>
      <c r="G453"/>
      <c r="M453"/>
      <c r="N453" s="50"/>
      <c r="O453"/>
    </row>
    <row r="454" spans="1:15" x14ac:dyDescent="0.2">
      <c r="A454"/>
      <c r="B454" s="50"/>
      <c r="C454" s="50"/>
      <c r="F454"/>
      <c r="G454"/>
      <c r="H454"/>
      <c r="I454"/>
      <c r="L454"/>
      <c r="M454"/>
      <c r="N454" s="50"/>
      <c r="O454"/>
    </row>
    <row r="455" spans="1:15" x14ac:dyDescent="0.2">
      <c r="A455"/>
      <c r="B455" s="50"/>
      <c r="C455" s="50"/>
      <c r="F455"/>
      <c r="G455"/>
      <c r="M455"/>
      <c r="N455" s="50"/>
      <c r="O455"/>
    </row>
    <row r="456" spans="1:15" x14ac:dyDescent="0.2">
      <c r="A456"/>
      <c r="B456" s="50"/>
      <c r="C456" s="50"/>
      <c r="F456"/>
      <c r="G456"/>
      <c r="I456"/>
      <c r="L456"/>
      <c r="M456"/>
      <c r="N456" s="50"/>
      <c r="O456"/>
    </row>
    <row r="457" spans="1:15" x14ac:dyDescent="0.2">
      <c r="A457"/>
      <c r="B457" s="50"/>
      <c r="C457" s="50"/>
      <c r="F457"/>
      <c r="G457"/>
      <c r="H457"/>
      <c r="I457"/>
      <c r="J457"/>
      <c r="K457"/>
      <c r="L457"/>
      <c r="M457"/>
      <c r="N457" s="50"/>
      <c r="O457"/>
    </row>
    <row r="458" spans="1:15" x14ac:dyDescent="0.2">
      <c r="A458"/>
      <c r="B458" s="50"/>
      <c r="C458" s="50"/>
      <c r="F458"/>
      <c r="G458"/>
      <c r="I458"/>
      <c r="L458"/>
      <c r="M458"/>
      <c r="N458" s="50"/>
      <c r="O458"/>
    </row>
    <row r="459" spans="1:15" x14ac:dyDescent="0.2">
      <c r="A459"/>
      <c r="B459" s="50"/>
      <c r="C459" s="50"/>
      <c r="F459"/>
      <c r="G459"/>
      <c r="L459"/>
      <c r="M459"/>
      <c r="N459" s="50"/>
      <c r="O459"/>
    </row>
    <row r="460" spans="1:15" x14ac:dyDescent="0.2">
      <c r="A460"/>
      <c r="B460" s="50"/>
      <c r="C460" s="50"/>
      <c r="F460"/>
      <c r="G460"/>
      <c r="H460"/>
      <c r="I460"/>
      <c r="L460"/>
      <c r="M460"/>
      <c r="N460" s="50"/>
      <c r="O460"/>
    </row>
    <row r="461" spans="1:15" x14ac:dyDescent="0.2">
      <c r="A461"/>
      <c r="B461" s="50"/>
      <c r="C461" s="50"/>
      <c r="F461"/>
      <c r="G461"/>
      <c r="I461"/>
      <c r="L461"/>
      <c r="M461"/>
      <c r="N461" s="50"/>
      <c r="O461"/>
    </row>
    <row r="462" spans="1:15" x14ac:dyDescent="0.2">
      <c r="A462"/>
      <c r="B462" s="50"/>
      <c r="C462" s="50"/>
      <c r="F462"/>
      <c r="G462"/>
      <c r="H462"/>
      <c r="I462"/>
      <c r="L462"/>
      <c r="M462"/>
      <c r="N462" s="50"/>
      <c r="O462"/>
    </row>
    <row r="463" spans="1:15" x14ac:dyDescent="0.2">
      <c r="A463"/>
      <c r="B463" s="50"/>
      <c r="C463" s="50"/>
      <c r="F463"/>
      <c r="G463"/>
      <c r="H463"/>
      <c r="I463"/>
      <c r="L463"/>
      <c r="M463"/>
      <c r="N463" s="50"/>
      <c r="O463"/>
    </row>
    <row r="464" spans="1:15" x14ac:dyDescent="0.2">
      <c r="A464"/>
      <c r="B464" s="50"/>
      <c r="C464" s="50"/>
      <c r="F464"/>
      <c r="G464"/>
      <c r="H464"/>
      <c r="I464"/>
      <c r="L464"/>
      <c r="M464"/>
      <c r="N464" s="50"/>
      <c r="O464"/>
    </row>
    <row r="465" spans="1:15" x14ac:dyDescent="0.2">
      <c r="A465"/>
      <c r="B465" s="50"/>
      <c r="C465" s="50"/>
      <c r="F465"/>
      <c r="G465"/>
      <c r="H465"/>
      <c r="J465"/>
      <c r="K465"/>
      <c r="L465"/>
      <c r="M465"/>
      <c r="N465" s="50"/>
      <c r="O465"/>
    </row>
    <row r="466" spans="1:15" x14ac:dyDescent="0.2">
      <c r="A466"/>
      <c r="B466" s="50"/>
      <c r="C466" s="50"/>
      <c r="F466"/>
      <c r="G466"/>
      <c r="J466"/>
      <c r="K466"/>
      <c r="L466"/>
      <c r="M466"/>
      <c r="N466" s="50"/>
      <c r="O466"/>
    </row>
    <row r="467" spans="1:15" x14ac:dyDescent="0.2">
      <c r="A467"/>
      <c r="B467" s="50"/>
      <c r="C467" s="50"/>
      <c r="F467"/>
      <c r="G467"/>
      <c r="J467"/>
      <c r="K467"/>
      <c r="L467"/>
      <c r="M467"/>
      <c r="N467" s="50"/>
      <c r="O467"/>
    </row>
    <row r="468" spans="1:15" x14ac:dyDescent="0.2">
      <c r="A468"/>
      <c r="B468" s="50"/>
      <c r="C468" s="50"/>
      <c r="F468"/>
      <c r="G468"/>
      <c r="H468"/>
      <c r="I468"/>
      <c r="L468"/>
      <c r="N468" s="50"/>
      <c r="O468"/>
    </row>
    <row r="469" spans="1:15" x14ac:dyDescent="0.2">
      <c r="A469"/>
      <c r="B469" s="50"/>
      <c r="C469" s="50"/>
      <c r="F469"/>
      <c r="G469"/>
      <c r="J469"/>
      <c r="K469"/>
      <c r="L469"/>
      <c r="M469"/>
      <c r="N469" s="50"/>
      <c r="O469"/>
    </row>
    <row r="470" spans="1:15" x14ac:dyDescent="0.2">
      <c r="A470"/>
      <c r="B470" s="50"/>
      <c r="C470" s="50"/>
      <c r="F470"/>
      <c r="G470"/>
      <c r="I470"/>
      <c r="L470"/>
      <c r="M470"/>
      <c r="N470" s="50"/>
      <c r="O470"/>
    </row>
    <row r="471" spans="1:15" x14ac:dyDescent="0.2">
      <c r="A471"/>
      <c r="B471" s="50"/>
      <c r="C471" s="50"/>
      <c r="F471"/>
      <c r="G471"/>
      <c r="H471"/>
      <c r="I471"/>
      <c r="L471"/>
      <c r="M471"/>
      <c r="N471" s="50"/>
      <c r="O471"/>
    </row>
    <row r="472" spans="1:15" x14ac:dyDescent="0.2">
      <c r="A472"/>
      <c r="B472" s="50"/>
      <c r="C472" s="50"/>
      <c r="F472"/>
      <c r="G472"/>
      <c r="L472"/>
      <c r="M472"/>
      <c r="N472" s="50"/>
      <c r="O472"/>
    </row>
    <row r="473" spans="1:15" x14ac:dyDescent="0.2">
      <c r="A473"/>
      <c r="B473" s="50"/>
      <c r="C473" s="50"/>
      <c r="F473"/>
      <c r="G473"/>
      <c r="L473"/>
      <c r="M473"/>
      <c r="N473" s="50"/>
      <c r="O473"/>
    </row>
    <row r="474" spans="1:15" x14ac:dyDescent="0.2">
      <c r="A474"/>
      <c r="B474" s="50"/>
      <c r="C474" s="50"/>
      <c r="F474"/>
      <c r="G474"/>
      <c r="L474"/>
      <c r="M474"/>
      <c r="N474" s="50"/>
      <c r="O474"/>
    </row>
    <row r="475" spans="1:15" x14ac:dyDescent="0.2">
      <c r="A475"/>
      <c r="B475" s="50"/>
      <c r="C475" s="50"/>
      <c r="F475"/>
      <c r="G475"/>
      <c r="L475"/>
      <c r="M475"/>
      <c r="N475" s="50"/>
      <c r="O475"/>
    </row>
    <row r="476" spans="1:15" x14ac:dyDescent="0.2">
      <c r="A476"/>
      <c r="B476" s="50"/>
      <c r="C476" s="50"/>
      <c r="F476"/>
      <c r="G476"/>
      <c r="H476"/>
      <c r="I476"/>
      <c r="L476"/>
      <c r="M476"/>
      <c r="N476" s="50"/>
      <c r="O476"/>
    </row>
    <row r="477" spans="1:15" x14ac:dyDescent="0.2">
      <c r="A477"/>
      <c r="B477" s="50"/>
      <c r="C477" s="50"/>
      <c r="F477"/>
      <c r="G477"/>
      <c r="H477"/>
      <c r="I477"/>
      <c r="L477"/>
      <c r="M477"/>
      <c r="N477" s="50"/>
      <c r="O477"/>
    </row>
    <row r="478" spans="1:15" x14ac:dyDescent="0.2">
      <c r="A478"/>
      <c r="B478" s="50"/>
      <c r="C478" s="50"/>
      <c r="F478"/>
      <c r="G478"/>
      <c r="H478"/>
      <c r="I478"/>
      <c r="L478"/>
      <c r="M478"/>
      <c r="N478" s="50"/>
      <c r="O478"/>
    </row>
    <row r="479" spans="1:15" x14ac:dyDescent="0.2">
      <c r="A479"/>
      <c r="B479" s="50"/>
      <c r="C479" s="50"/>
      <c r="F479"/>
      <c r="G479"/>
      <c r="I479"/>
      <c r="L479"/>
      <c r="M479"/>
      <c r="N479" s="50"/>
      <c r="O479"/>
    </row>
    <row r="480" spans="1:15" x14ac:dyDescent="0.2">
      <c r="A480"/>
      <c r="B480" s="50"/>
      <c r="C480" s="50"/>
      <c r="F480"/>
      <c r="G480"/>
      <c r="I480"/>
      <c r="L480"/>
      <c r="M480"/>
      <c r="N480" s="50"/>
      <c r="O480"/>
    </row>
    <row r="481" spans="1:15" x14ac:dyDescent="0.2">
      <c r="A481"/>
      <c r="B481" s="50"/>
      <c r="C481" s="50"/>
      <c r="F481"/>
      <c r="G481"/>
      <c r="H481"/>
      <c r="I481"/>
      <c r="L481"/>
      <c r="M481"/>
      <c r="N481" s="50"/>
      <c r="O481"/>
    </row>
    <row r="482" spans="1:15" x14ac:dyDescent="0.2">
      <c r="A482"/>
      <c r="B482" s="50"/>
      <c r="C482" s="50"/>
      <c r="F482"/>
      <c r="G482"/>
      <c r="H482"/>
      <c r="I482"/>
      <c r="L482"/>
      <c r="M482"/>
      <c r="N482" s="50"/>
      <c r="O482"/>
    </row>
    <row r="483" spans="1:15" x14ac:dyDescent="0.2">
      <c r="A483"/>
      <c r="B483" s="50"/>
      <c r="C483" s="50"/>
      <c r="F483"/>
      <c r="G483"/>
      <c r="H483"/>
      <c r="I483"/>
      <c r="L483"/>
      <c r="M483"/>
      <c r="N483" s="50"/>
      <c r="O483"/>
    </row>
    <row r="484" spans="1:15" x14ac:dyDescent="0.2">
      <c r="A484"/>
      <c r="B484" s="50"/>
      <c r="C484" s="50"/>
      <c r="F484"/>
      <c r="G484"/>
      <c r="J484"/>
      <c r="L484"/>
      <c r="M484"/>
      <c r="N484" s="50"/>
      <c r="O484"/>
    </row>
    <row r="485" spans="1:15" x14ac:dyDescent="0.2">
      <c r="A485"/>
      <c r="B485" s="50"/>
      <c r="C485" s="50"/>
      <c r="F485"/>
      <c r="G485"/>
      <c r="H485"/>
      <c r="I485"/>
      <c r="L485"/>
      <c r="M485"/>
      <c r="N485" s="50"/>
      <c r="O485"/>
    </row>
    <row r="486" spans="1:15" x14ac:dyDescent="0.2">
      <c r="A486"/>
      <c r="B486" s="50"/>
      <c r="C486" s="50"/>
      <c r="F486"/>
      <c r="G486"/>
      <c r="I486"/>
      <c r="L486"/>
      <c r="M486"/>
      <c r="N486" s="50"/>
      <c r="O486"/>
    </row>
    <row r="487" spans="1:15" x14ac:dyDescent="0.2">
      <c r="A487"/>
      <c r="B487" s="50"/>
      <c r="C487" s="50"/>
      <c r="F487"/>
      <c r="G487"/>
      <c r="I487"/>
      <c r="L487"/>
      <c r="M487"/>
      <c r="N487" s="50"/>
      <c r="O487"/>
    </row>
    <row r="488" spans="1:15" x14ac:dyDescent="0.2">
      <c r="A488"/>
      <c r="B488" s="50"/>
      <c r="C488" s="50"/>
      <c r="F488"/>
      <c r="G488"/>
      <c r="I488"/>
      <c r="L488"/>
      <c r="M488"/>
      <c r="N488" s="50"/>
      <c r="O488"/>
    </row>
    <row r="489" spans="1:15" x14ac:dyDescent="0.2">
      <c r="A489"/>
      <c r="B489" s="50"/>
      <c r="C489" s="50"/>
      <c r="F489"/>
      <c r="G489"/>
      <c r="H489"/>
      <c r="I489"/>
      <c r="L489"/>
      <c r="M489"/>
      <c r="N489" s="50"/>
      <c r="O489"/>
    </row>
    <row r="490" spans="1:15" x14ac:dyDescent="0.2">
      <c r="A490"/>
      <c r="B490" s="50"/>
      <c r="C490" s="50"/>
      <c r="F490"/>
      <c r="G490"/>
      <c r="I490"/>
      <c r="L490"/>
      <c r="M490"/>
      <c r="N490" s="50"/>
      <c r="O490"/>
    </row>
    <row r="491" spans="1:15" x14ac:dyDescent="0.2">
      <c r="A491"/>
      <c r="B491" s="50"/>
      <c r="C491" s="50"/>
      <c r="F491"/>
      <c r="G491"/>
      <c r="L491"/>
      <c r="M491"/>
      <c r="N491" s="50"/>
      <c r="O491"/>
    </row>
    <row r="492" spans="1:15" x14ac:dyDescent="0.2">
      <c r="A492"/>
      <c r="B492" s="50"/>
      <c r="C492" s="50"/>
      <c r="F492"/>
      <c r="G492"/>
      <c r="I492"/>
      <c r="L492"/>
      <c r="M492"/>
      <c r="N492" s="50"/>
      <c r="O492"/>
    </row>
    <row r="493" spans="1:15" x14ac:dyDescent="0.2">
      <c r="A493"/>
      <c r="B493" s="50"/>
      <c r="C493" s="50"/>
      <c r="F493"/>
      <c r="G493"/>
      <c r="H493"/>
      <c r="I493"/>
      <c r="L493"/>
      <c r="M493"/>
      <c r="N493" s="50"/>
      <c r="O493"/>
    </row>
    <row r="494" spans="1:15" x14ac:dyDescent="0.2">
      <c r="A494"/>
      <c r="B494" s="50"/>
      <c r="C494" s="50"/>
      <c r="F494"/>
      <c r="G494"/>
      <c r="I494"/>
      <c r="L494"/>
      <c r="M494"/>
      <c r="N494" s="50"/>
      <c r="O494"/>
    </row>
    <row r="495" spans="1:15" x14ac:dyDescent="0.2">
      <c r="A495"/>
      <c r="B495" s="50"/>
      <c r="C495" s="50"/>
      <c r="F495"/>
      <c r="G495"/>
      <c r="H495"/>
      <c r="J495"/>
      <c r="K495"/>
      <c r="L495"/>
      <c r="M495"/>
      <c r="N495" s="50"/>
      <c r="O495"/>
    </row>
    <row r="496" spans="1:15" x14ac:dyDescent="0.2">
      <c r="A496"/>
      <c r="B496" s="50"/>
      <c r="C496" s="50"/>
      <c r="F496"/>
      <c r="G496"/>
      <c r="H496"/>
      <c r="I496"/>
      <c r="L496"/>
      <c r="M496"/>
      <c r="N496" s="50"/>
      <c r="O496"/>
    </row>
    <row r="497" spans="1:15" x14ac:dyDescent="0.2">
      <c r="A497"/>
      <c r="B497" s="50"/>
      <c r="C497" s="50"/>
      <c r="F497"/>
      <c r="G497"/>
      <c r="I497"/>
      <c r="L497"/>
      <c r="M497"/>
      <c r="N497" s="50"/>
      <c r="O497"/>
    </row>
    <row r="498" spans="1:15" x14ac:dyDescent="0.2">
      <c r="A498"/>
      <c r="B498" s="50"/>
      <c r="C498" s="50"/>
      <c r="F498"/>
      <c r="G498"/>
      <c r="H498"/>
      <c r="I498"/>
      <c r="L498"/>
      <c r="M498"/>
      <c r="N498" s="50"/>
      <c r="O498"/>
    </row>
    <row r="499" spans="1:15" x14ac:dyDescent="0.2">
      <c r="A499"/>
      <c r="B499" s="50"/>
      <c r="C499" s="50"/>
      <c r="F499"/>
      <c r="G499"/>
      <c r="H499"/>
      <c r="I499"/>
      <c r="L499"/>
      <c r="M499"/>
      <c r="N499" s="50"/>
      <c r="O499"/>
    </row>
    <row r="500" spans="1:15" x14ac:dyDescent="0.2">
      <c r="A500"/>
      <c r="B500" s="50"/>
      <c r="C500" s="50"/>
      <c r="F500"/>
      <c r="G500"/>
      <c r="H500"/>
      <c r="I500"/>
      <c r="L500"/>
      <c r="M500"/>
      <c r="N500" s="50"/>
      <c r="O500"/>
    </row>
    <row r="501" spans="1:15" x14ac:dyDescent="0.2">
      <c r="A501"/>
      <c r="B501" s="50"/>
      <c r="C501" s="50"/>
      <c r="F501"/>
      <c r="G501"/>
      <c r="H501"/>
      <c r="J501"/>
      <c r="K501"/>
      <c r="L501"/>
      <c r="M501"/>
      <c r="N501" s="50"/>
      <c r="O501"/>
    </row>
    <row r="502" spans="1:15" x14ac:dyDescent="0.2">
      <c r="A502"/>
      <c r="B502" s="50"/>
      <c r="C502" s="50"/>
      <c r="F502"/>
      <c r="G502"/>
      <c r="M502"/>
      <c r="N502" s="50"/>
      <c r="O502"/>
    </row>
    <row r="503" spans="1:15" x14ac:dyDescent="0.2">
      <c r="A503"/>
      <c r="B503" s="50"/>
      <c r="C503" s="50"/>
      <c r="F503"/>
      <c r="G503"/>
      <c r="H503"/>
      <c r="I503"/>
      <c r="L503"/>
      <c r="M503"/>
      <c r="N503" s="50"/>
      <c r="O503"/>
    </row>
    <row r="504" spans="1:15" x14ac:dyDescent="0.2">
      <c r="A504"/>
      <c r="B504" s="50"/>
      <c r="C504" s="50"/>
      <c r="F504"/>
      <c r="G504"/>
      <c r="I504"/>
      <c r="L504"/>
      <c r="M504"/>
      <c r="N504" s="50"/>
      <c r="O504"/>
    </row>
    <row r="505" spans="1:15" x14ac:dyDescent="0.2">
      <c r="A505"/>
      <c r="B505" s="50"/>
      <c r="C505" s="50"/>
      <c r="F505"/>
      <c r="G505"/>
      <c r="H505"/>
      <c r="I505"/>
      <c r="L505"/>
      <c r="M505"/>
      <c r="N505" s="50"/>
      <c r="O505"/>
    </row>
    <row r="506" spans="1:15" x14ac:dyDescent="0.2">
      <c r="A506"/>
      <c r="B506" s="50"/>
      <c r="C506" s="50"/>
      <c r="F506"/>
      <c r="G506"/>
      <c r="H506"/>
      <c r="I506"/>
      <c r="L506"/>
      <c r="M506"/>
      <c r="N506" s="50"/>
      <c r="O506"/>
    </row>
    <row r="507" spans="1:15" x14ac:dyDescent="0.2">
      <c r="A507"/>
      <c r="B507" s="50"/>
      <c r="C507" s="50"/>
      <c r="F507"/>
      <c r="G507"/>
      <c r="I507"/>
      <c r="L507"/>
      <c r="M507"/>
      <c r="N507" s="50"/>
      <c r="O507"/>
    </row>
    <row r="508" spans="1:15" x14ac:dyDescent="0.2">
      <c r="A508"/>
      <c r="B508" s="50"/>
      <c r="C508" s="50"/>
      <c r="F508"/>
      <c r="G508"/>
      <c r="H508"/>
      <c r="J508"/>
      <c r="K508"/>
      <c r="L508"/>
      <c r="M508"/>
      <c r="N508" s="50"/>
      <c r="O508"/>
    </row>
    <row r="509" spans="1:15" x14ac:dyDescent="0.2">
      <c r="A509"/>
      <c r="B509" s="50"/>
      <c r="C509" s="50"/>
      <c r="F509"/>
      <c r="G509"/>
      <c r="H509"/>
      <c r="I509"/>
      <c r="L509"/>
      <c r="M509"/>
      <c r="N509" s="50"/>
      <c r="O509"/>
    </row>
    <row r="510" spans="1:15" x14ac:dyDescent="0.2">
      <c r="A510"/>
      <c r="B510" s="50"/>
      <c r="C510" s="50"/>
      <c r="F510"/>
      <c r="G510"/>
      <c r="H510"/>
      <c r="J510"/>
      <c r="K510"/>
      <c r="L510"/>
      <c r="M510"/>
      <c r="N510" s="50"/>
      <c r="O510"/>
    </row>
    <row r="511" spans="1:15" x14ac:dyDescent="0.2">
      <c r="A511"/>
      <c r="B511" s="50"/>
      <c r="C511" s="50"/>
      <c r="F511"/>
      <c r="G511"/>
      <c r="H511"/>
      <c r="I511"/>
      <c r="L511"/>
      <c r="M511"/>
      <c r="N511" s="50"/>
      <c r="O511"/>
    </row>
    <row r="512" spans="1:15" x14ac:dyDescent="0.2">
      <c r="A512"/>
      <c r="B512" s="50"/>
      <c r="C512" s="50"/>
      <c r="F512"/>
      <c r="G512"/>
      <c r="I512"/>
      <c r="L512"/>
      <c r="M512"/>
      <c r="N512" s="50"/>
      <c r="O512"/>
    </row>
    <row r="513" spans="1:15" x14ac:dyDescent="0.2">
      <c r="A513"/>
      <c r="B513" s="50"/>
      <c r="C513" s="50"/>
      <c r="F513"/>
      <c r="G513"/>
      <c r="I513"/>
      <c r="L513"/>
      <c r="M513"/>
      <c r="N513" s="50"/>
      <c r="O513"/>
    </row>
    <row r="514" spans="1:15" x14ac:dyDescent="0.2">
      <c r="A514"/>
      <c r="B514" s="50"/>
      <c r="C514" s="50"/>
      <c r="F514"/>
      <c r="G514"/>
      <c r="I514"/>
      <c r="L514"/>
      <c r="M514"/>
      <c r="N514" s="50"/>
      <c r="O514"/>
    </row>
    <row r="515" spans="1:15" x14ac:dyDescent="0.2">
      <c r="A515"/>
      <c r="B515" s="50"/>
      <c r="C515" s="50"/>
      <c r="F515"/>
      <c r="G515"/>
      <c r="I515"/>
      <c r="L515"/>
      <c r="M515"/>
      <c r="N515" s="50"/>
      <c r="O515"/>
    </row>
    <row r="516" spans="1:15" x14ac:dyDescent="0.2">
      <c r="A516"/>
      <c r="B516" s="50"/>
      <c r="C516" s="50"/>
      <c r="F516"/>
      <c r="G516"/>
      <c r="H516"/>
      <c r="I516"/>
      <c r="L516"/>
      <c r="M516"/>
      <c r="N516" s="50"/>
      <c r="O516"/>
    </row>
    <row r="517" spans="1:15" x14ac:dyDescent="0.2">
      <c r="A517"/>
      <c r="B517" s="50"/>
      <c r="C517" s="50"/>
      <c r="F517"/>
      <c r="G517"/>
      <c r="H517"/>
      <c r="I517"/>
      <c r="L517"/>
      <c r="M517"/>
      <c r="N517" s="50"/>
      <c r="O517"/>
    </row>
    <row r="518" spans="1:15" x14ac:dyDescent="0.2">
      <c r="A518"/>
      <c r="B518" s="50"/>
      <c r="C518" s="50"/>
      <c r="F518"/>
      <c r="G518"/>
      <c r="H518"/>
      <c r="I518"/>
      <c r="L518"/>
      <c r="M518"/>
      <c r="N518" s="50"/>
      <c r="O518"/>
    </row>
    <row r="519" spans="1:15" x14ac:dyDescent="0.2">
      <c r="A519"/>
      <c r="B519" s="50"/>
      <c r="C519" s="50"/>
      <c r="F519"/>
      <c r="G519"/>
      <c r="H519"/>
      <c r="I519"/>
      <c r="L519"/>
      <c r="M519"/>
      <c r="N519" s="50"/>
      <c r="O519"/>
    </row>
    <row r="520" spans="1:15" x14ac:dyDescent="0.2">
      <c r="A520"/>
      <c r="B520" s="50"/>
      <c r="C520" s="50"/>
      <c r="F520"/>
      <c r="G520"/>
      <c r="H520"/>
      <c r="I520"/>
      <c r="L520"/>
      <c r="M520"/>
      <c r="N520" s="50"/>
      <c r="O520"/>
    </row>
    <row r="521" spans="1:15" x14ac:dyDescent="0.2">
      <c r="A521"/>
      <c r="B521" s="50"/>
      <c r="C521" s="50"/>
      <c r="F521"/>
      <c r="G521"/>
      <c r="J521"/>
      <c r="L521"/>
      <c r="M521"/>
      <c r="N521" s="50"/>
      <c r="O521"/>
    </row>
    <row r="522" spans="1:15" x14ac:dyDescent="0.2">
      <c r="A522"/>
      <c r="B522" s="50"/>
      <c r="C522" s="50"/>
      <c r="F522"/>
      <c r="G522"/>
      <c r="H522"/>
      <c r="L522"/>
      <c r="M522"/>
      <c r="N522" s="50"/>
      <c r="O522"/>
    </row>
    <row r="523" spans="1:15" x14ac:dyDescent="0.2">
      <c r="A523"/>
      <c r="B523" s="50"/>
      <c r="C523" s="50"/>
      <c r="F523"/>
      <c r="G523"/>
      <c r="J523"/>
      <c r="K523"/>
      <c r="L523"/>
      <c r="M523"/>
      <c r="N523" s="50"/>
      <c r="O523"/>
    </row>
    <row r="524" spans="1:15" x14ac:dyDescent="0.2">
      <c r="A524"/>
      <c r="B524" s="50"/>
      <c r="C524" s="50"/>
      <c r="F524"/>
      <c r="G524"/>
      <c r="L524"/>
      <c r="M524"/>
      <c r="N524" s="50"/>
      <c r="O524"/>
    </row>
    <row r="525" spans="1:15" x14ac:dyDescent="0.2">
      <c r="A525"/>
      <c r="B525" s="50"/>
      <c r="C525" s="50"/>
      <c r="F525"/>
      <c r="G525"/>
      <c r="H525"/>
      <c r="J525"/>
      <c r="K525"/>
      <c r="L525"/>
      <c r="M525"/>
      <c r="N525" s="50"/>
      <c r="O525"/>
    </row>
    <row r="526" spans="1:15" x14ac:dyDescent="0.2">
      <c r="A526"/>
      <c r="B526" s="50"/>
      <c r="C526" s="50"/>
      <c r="F526"/>
      <c r="G526"/>
      <c r="L526"/>
      <c r="M526"/>
      <c r="N526" s="50"/>
      <c r="O526"/>
    </row>
    <row r="527" spans="1:15" x14ac:dyDescent="0.2">
      <c r="A527"/>
      <c r="B527" s="50"/>
      <c r="C527" s="50"/>
      <c r="F527"/>
      <c r="G527"/>
      <c r="L527"/>
      <c r="M527"/>
      <c r="N527" s="50"/>
      <c r="O527"/>
    </row>
    <row r="528" spans="1:15" x14ac:dyDescent="0.2">
      <c r="A528"/>
      <c r="B528" s="50"/>
      <c r="C528" s="50"/>
      <c r="F528"/>
      <c r="G528"/>
      <c r="L528"/>
      <c r="M528"/>
      <c r="N528" s="50"/>
      <c r="O528"/>
    </row>
    <row r="529" spans="1:15" x14ac:dyDescent="0.2">
      <c r="A529"/>
      <c r="B529" s="50"/>
      <c r="C529" s="50"/>
      <c r="F529"/>
      <c r="G529"/>
      <c r="L529"/>
      <c r="M529"/>
      <c r="N529" s="50"/>
      <c r="O529"/>
    </row>
    <row r="530" spans="1:15" x14ac:dyDescent="0.2">
      <c r="A530"/>
      <c r="B530" s="50"/>
      <c r="C530" s="50"/>
      <c r="F530"/>
      <c r="G530"/>
      <c r="L530"/>
      <c r="M530"/>
      <c r="N530" s="50"/>
      <c r="O530"/>
    </row>
    <row r="531" spans="1:15" x14ac:dyDescent="0.2">
      <c r="A531"/>
      <c r="B531" s="50"/>
      <c r="C531" s="50"/>
      <c r="F531"/>
      <c r="G531"/>
      <c r="L531"/>
      <c r="M531"/>
      <c r="N531" s="50"/>
      <c r="O531"/>
    </row>
    <row r="532" spans="1:15" x14ac:dyDescent="0.2">
      <c r="A532"/>
      <c r="B532" s="50"/>
      <c r="C532" s="50"/>
      <c r="F532"/>
      <c r="G532"/>
      <c r="I532"/>
      <c r="L532"/>
      <c r="M532"/>
      <c r="N532" s="50"/>
      <c r="O532"/>
    </row>
    <row r="533" spans="1:15" x14ac:dyDescent="0.2">
      <c r="A533"/>
      <c r="B533" s="50"/>
      <c r="C533" s="50"/>
      <c r="F533"/>
      <c r="G533"/>
      <c r="I533"/>
      <c r="L533"/>
      <c r="M533"/>
      <c r="N533" s="50"/>
      <c r="O533"/>
    </row>
    <row r="534" spans="1:15" x14ac:dyDescent="0.2">
      <c r="A534"/>
      <c r="B534" s="50"/>
      <c r="C534" s="50"/>
      <c r="F534"/>
      <c r="G534"/>
      <c r="I534"/>
      <c r="L534"/>
      <c r="M534"/>
      <c r="N534" s="50"/>
      <c r="O534"/>
    </row>
    <row r="535" spans="1:15" x14ac:dyDescent="0.2">
      <c r="A535"/>
      <c r="B535" s="50"/>
      <c r="C535" s="50"/>
      <c r="F535"/>
      <c r="G535"/>
      <c r="H535"/>
      <c r="I535"/>
      <c r="L535"/>
      <c r="M535"/>
      <c r="N535" s="50"/>
      <c r="O535"/>
    </row>
    <row r="536" spans="1:15" x14ac:dyDescent="0.2">
      <c r="A536"/>
      <c r="B536" s="50"/>
      <c r="C536" s="50"/>
      <c r="F536"/>
      <c r="G536"/>
      <c r="L536"/>
      <c r="M536"/>
      <c r="N536" s="50"/>
      <c r="O536"/>
    </row>
    <row r="537" spans="1:15" x14ac:dyDescent="0.2">
      <c r="A537"/>
      <c r="B537" s="50"/>
      <c r="C537" s="50"/>
      <c r="F537"/>
      <c r="G537"/>
      <c r="L537"/>
      <c r="M537"/>
      <c r="N537" s="50"/>
      <c r="O537"/>
    </row>
    <row r="538" spans="1:15" x14ac:dyDescent="0.2">
      <c r="A538"/>
      <c r="B538" s="50"/>
      <c r="C538" s="50"/>
      <c r="F538"/>
      <c r="G538"/>
      <c r="H538"/>
      <c r="I538"/>
      <c r="L538"/>
      <c r="M538"/>
      <c r="N538" s="50"/>
      <c r="O538"/>
    </row>
    <row r="539" spans="1:15" x14ac:dyDescent="0.2">
      <c r="A539"/>
      <c r="B539" s="50"/>
      <c r="C539" s="50"/>
      <c r="F539"/>
      <c r="G539"/>
      <c r="I539"/>
      <c r="L539"/>
      <c r="M539"/>
      <c r="N539" s="50"/>
      <c r="O539"/>
    </row>
    <row r="540" spans="1:15" x14ac:dyDescent="0.2">
      <c r="A540"/>
      <c r="B540" s="50"/>
      <c r="C540" s="50"/>
      <c r="F540"/>
      <c r="G540"/>
      <c r="H540"/>
      <c r="I540"/>
      <c r="L540"/>
      <c r="M540"/>
      <c r="N540" s="50"/>
      <c r="O540"/>
    </row>
    <row r="541" spans="1:15" x14ac:dyDescent="0.2">
      <c r="A541"/>
      <c r="B541" s="50"/>
      <c r="C541" s="50"/>
      <c r="F541"/>
      <c r="G541"/>
      <c r="H541"/>
      <c r="I541"/>
      <c r="L541"/>
      <c r="M541"/>
      <c r="N541" s="50"/>
      <c r="O541"/>
    </row>
    <row r="542" spans="1:15" x14ac:dyDescent="0.2">
      <c r="A542"/>
      <c r="B542" s="50"/>
      <c r="C542" s="50"/>
      <c r="F542"/>
      <c r="G542"/>
      <c r="M542"/>
      <c r="N542" s="50"/>
      <c r="O542"/>
    </row>
    <row r="543" spans="1:15" x14ac:dyDescent="0.2">
      <c r="A543"/>
      <c r="B543" s="50"/>
      <c r="C543" s="50"/>
      <c r="F543"/>
      <c r="G543"/>
      <c r="H543"/>
      <c r="I543"/>
      <c r="L543"/>
      <c r="M543"/>
      <c r="N543" s="50"/>
      <c r="O543"/>
    </row>
    <row r="544" spans="1:15" x14ac:dyDescent="0.2">
      <c r="A544"/>
      <c r="B544" s="50"/>
      <c r="C544" s="50"/>
      <c r="F544"/>
      <c r="G544"/>
      <c r="I544"/>
      <c r="L544"/>
      <c r="M544"/>
      <c r="N544" s="50"/>
      <c r="O544"/>
    </row>
    <row r="545" spans="1:15" x14ac:dyDescent="0.2">
      <c r="A545"/>
      <c r="B545" s="50"/>
      <c r="C545" s="50"/>
      <c r="F545"/>
      <c r="G545"/>
      <c r="M545"/>
      <c r="N545" s="50"/>
      <c r="O545"/>
    </row>
    <row r="546" spans="1:15" x14ac:dyDescent="0.2">
      <c r="A546"/>
      <c r="B546" s="50"/>
      <c r="C546" s="50"/>
      <c r="F546"/>
      <c r="G546"/>
      <c r="H546"/>
      <c r="I546"/>
      <c r="L546"/>
      <c r="M546"/>
      <c r="N546" s="50"/>
      <c r="O546"/>
    </row>
    <row r="547" spans="1:15" x14ac:dyDescent="0.2">
      <c r="A547"/>
      <c r="B547" s="50"/>
      <c r="C547" s="50"/>
      <c r="F547"/>
      <c r="G547"/>
      <c r="H547"/>
      <c r="I547"/>
      <c r="L547"/>
      <c r="M547"/>
      <c r="N547" s="50"/>
      <c r="O547"/>
    </row>
    <row r="548" spans="1:15" x14ac:dyDescent="0.2">
      <c r="A548"/>
      <c r="B548" s="50"/>
      <c r="C548" s="50"/>
      <c r="F548"/>
      <c r="G548"/>
      <c r="H548"/>
      <c r="I548"/>
      <c r="L548"/>
      <c r="M548"/>
      <c r="N548" s="50"/>
      <c r="O548"/>
    </row>
    <row r="549" spans="1:15" x14ac:dyDescent="0.2">
      <c r="A549"/>
      <c r="B549" s="50"/>
      <c r="C549" s="50"/>
      <c r="F549"/>
      <c r="G549"/>
      <c r="L549"/>
      <c r="M549"/>
      <c r="N549" s="50"/>
      <c r="O549"/>
    </row>
    <row r="550" spans="1:15" x14ac:dyDescent="0.2">
      <c r="A550"/>
      <c r="B550" s="50"/>
      <c r="C550" s="50"/>
      <c r="F550"/>
      <c r="G550"/>
      <c r="H550"/>
      <c r="I550"/>
      <c r="L550"/>
      <c r="M550"/>
      <c r="N550" s="50"/>
      <c r="O550"/>
    </row>
    <row r="551" spans="1:15" x14ac:dyDescent="0.2">
      <c r="A551"/>
      <c r="B551" s="50"/>
      <c r="C551" s="50"/>
      <c r="F551"/>
      <c r="G551"/>
      <c r="I551"/>
      <c r="L551"/>
      <c r="M551"/>
      <c r="N551" s="50"/>
      <c r="O551"/>
    </row>
    <row r="552" spans="1:15" x14ac:dyDescent="0.2">
      <c r="A552"/>
      <c r="B552" s="50"/>
      <c r="C552" s="50"/>
      <c r="F552"/>
      <c r="G552"/>
      <c r="I552"/>
      <c r="L552"/>
      <c r="M552"/>
      <c r="N552" s="50"/>
      <c r="O552"/>
    </row>
    <row r="553" spans="1:15" x14ac:dyDescent="0.2">
      <c r="A553"/>
      <c r="B553" s="50"/>
      <c r="C553" s="50"/>
      <c r="F553"/>
      <c r="G553"/>
      <c r="H553"/>
      <c r="I553"/>
      <c r="L553"/>
      <c r="N553" s="50"/>
      <c r="O553"/>
    </row>
    <row r="554" spans="1:15" x14ac:dyDescent="0.2">
      <c r="A554"/>
      <c r="B554" s="50"/>
      <c r="C554" s="50"/>
      <c r="F554"/>
      <c r="G554"/>
      <c r="H554"/>
      <c r="I554"/>
      <c r="L554"/>
      <c r="N554" s="50"/>
      <c r="O554"/>
    </row>
    <row r="555" spans="1:15" x14ac:dyDescent="0.2">
      <c r="A555"/>
      <c r="B555" s="50"/>
      <c r="C555" s="50"/>
      <c r="F555"/>
      <c r="G555"/>
      <c r="M555"/>
      <c r="N555" s="50"/>
      <c r="O555"/>
    </row>
    <row r="556" spans="1:15" x14ac:dyDescent="0.2">
      <c r="A556"/>
      <c r="B556" s="50"/>
      <c r="C556" s="50"/>
      <c r="F556"/>
      <c r="G556"/>
      <c r="I556"/>
      <c r="L556"/>
      <c r="M556"/>
      <c r="N556" s="50"/>
      <c r="O556"/>
    </row>
    <row r="557" spans="1:15" x14ac:dyDescent="0.2">
      <c r="A557"/>
      <c r="B557" s="50"/>
      <c r="C557" s="50"/>
      <c r="F557"/>
      <c r="G557"/>
      <c r="H557"/>
      <c r="I557"/>
      <c r="L557"/>
      <c r="M557"/>
      <c r="N557" s="50"/>
      <c r="O557"/>
    </row>
    <row r="558" spans="1:15" x14ac:dyDescent="0.2">
      <c r="A558"/>
      <c r="B558" s="50"/>
      <c r="C558" s="50"/>
      <c r="F558"/>
      <c r="G558"/>
      <c r="L558"/>
      <c r="M558"/>
      <c r="N558" s="50"/>
      <c r="O558"/>
    </row>
    <row r="559" spans="1:15" x14ac:dyDescent="0.2">
      <c r="A559"/>
      <c r="B559" s="50"/>
      <c r="C559" s="50"/>
      <c r="F559"/>
      <c r="G559"/>
      <c r="H559"/>
      <c r="I559"/>
      <c r="L559"/>
      <c r="M559"/>
      <c r="N559" s="50"/>
      <c r="O559"/>
    </row>
    <row r="560" spans="1:15" x14ac:dyDescent="0.2">
      <c r="A560"/>
      <c r="B560" s="50"/>
      <c r="C560" s="50"/>
      <c r="F560"/>
      <c r="G560"/>
      <c r="J560"/>
      <c r="K560"/>
      <c r="L560"/>
      <c r="M560"/>
      <c r="N560" s="50"/>
      <c r="O560"/>
    </row>
    <row r="561" spans="1:15" x14ac:dyDescent="0.2">
      <c r="A561"/>
      <c r="B561" s="50"/>
      <c r="C561" s="50"/>
      <c r="F561"/>
      <c r="G561"/>
      <c r="H561"/>
      <c r="I561"/>
      <c r="L561"/>
      <c r="M561"/>
      <c r="N561" s="50"/>
      <c r="O561"/>
    </row>
    <row r="562" spans="1:15" x14ac:dyDescent="0.2">
      <c r="A562"/>
      <c r="B562" s="50"/>
      <c r="C562" s="50"/>
      <c r="F562"/>
      <c r="G562"/>
      <c r="H562"/>
      <c r="I562"/>
      <c r="L562"/>
      <c r="M562"/>
      <c r="N562" s="50"/>
      <c r="O562"/>
    </row>
    <row r="563" spans="1:15" x14ac:dyDescent="0.2">
      <c r="A563"/>
      <c r="B563" s="50"/>
      <c r="C563" s="50"/>
      <c r="F563"/>
      <c r="G563"/>
      <c r="H563"/>
      <c r="I563"/>
      <c r="L563"/>
      <c r="M563"/>
      <c r="N563" s="50"/>
      <c r="O563"/>
    </row>
    <row r="564" spans="1:15" x14ac:dyDescent="0.2">
      <c r="A564"/>
      <c r="B564" s="50"/>
      <c r="C564" s="50"/>
      <c r="F564"/>
      <c r="G564"/>
      <c r="J564"/>
      <c r="M564"/>
      <c r="N564" s="50"/>
      <c r="O564"/>
    </row>
    <row r="565" spans="1:15" x14ac:dyDescent="0.2">
      <c r="A565"/>
      <c r="B565" s="50"/>
      <c r="C565" s="50"/>
      <c r="F565"/>
      <c r="G565"/>
      <c r="H565"/>
      <c r="I565"/>
      <c r="L565"/>
      <c r="M565"/>
      <c r="N565" s="50"/>
      <c r="O565"/>
    </row>
    <row r="566" spans="1:15" x14ac:dyDescent="0.2">
      <c r="A566"/>
      <c r="B566" s="50"/>
      <c r="C566" s="50"/>
      <c r="F566"/>
      <c r="G566"/>
      <c r="H566"/>
      <c r="I566"/>
      <c r="L566"/>
      <c r="M566"/>
      <c r="N566" s="50"/>
      <c r="O566"/>
    </row>
    <row r="567" spans="1:15" x14ac:dyDescent="0.2">
      <c r="A567"/>
      <c r="B567" s="50"/>
      <c r="C567" s="50"/>
      <c r="F567"/>
      <c r="G567"/>
      <c r="H567"/>
      <c r="I567"/>
      <c r="L567"/>
      <c r="M567"/>
      <c r="N567" s="50"/>
      <c r="O567"/>
    </row>
    <row r="568" spans="1:15" x14ac:dyDescent="0.2">
      <c r="A568"/>
      <c r="B568" s="50"/>
      <c r="C568" s="50"/>
      <c r="F568"/>
      <c r="G568"/>
      <c r="H568"/>
      <c r="I568"/>
      <c r="L568"/>
      <c r="N568" s="50"/>
      <c r="O568"/>
    </row>
    <row r="569" spans="1:15" x14ac:dyDescent="0.2">
      <c r="A569"/>
      <c r="B569" s="50"/>
      <c r="C569" s="50"/>
      <c r="F569"/>
      <c r="G569"/>
      <c r="H569"/>
      <c r="L569"/>
      <c r="M569"/>
      <c r="N569" s="50"/>
      <c r="O569"/>
    </row>
    <row r="570" spans="1:15" x14ac:dyDescent="0.2">
      <c r="A570"/>
      <c r="B570" s="50"/>
      <c r="C570" s="50"/>
      <c r="F570"/>
      <c r="G570"/>
      <c r="H570"/>
      <c r="I570"/>
      <c r="L570"/>
      <c r="M570"/>
      <c r="N570" s="50"/>
      <c r="O570"/>
    </row>
    <row r="571" spans="1:15" x14ac:dyDescent="0.2">
      <c r="A571"/>
      <c r="B571" s="50"/>
      <c r="C571" s="50"/>
      <c r="F571"/>
      <c r="G571"/>
      <c r="H571"/>
      <c r="I571"/>
      <c r="L571"/>
      <c r="M571"/>
      <c r="N571" s="50"/>
      <c r="O571"/>
    </row>
    <row r="572" spans="1:15" x14ac:dyDescent="0.2">
      <c r="A572"/>
      <c r="B572" s="50"/>
      <c r="C572" s="50"/>
      <c r="F572"/>
      <c r="G572"/>
      <c r="I572"/>
      <c r="L572"/>
      <c r="M572"/>
      <c r="N572" s="50"/>
      <c r="O572"/>
    </row>
    <row r="573" spans="1:15" x14ac:dyDescent="0.2">
      <c r="A573"/>
      <c r="B573" s="50"/>
      <c r="C573" s="50"/>
      <c r="F573"/>
      <c r="G573"/>
      <c r="H573"/>
      <c r="I573"/>
      <c r="L573"/>
      <c r="M573"/>
      <c r="N573" s="50"/>
      <c r="O573"/>
    </row>
    <row r="574" spans="1:15" x14ac:dyDescent="0.2">
      <c r="A574"/>
      <c r="B574" s="50"/>
      <c r="C574" s="50"/>
      <c r="F574"/>
      <c r="G574"/>
      <c r="I574"/>
      <c r="L574"/>
      <c r="M574"/>
      <c r="N574" s="50"/>
      <c r="O574"/>
    </row>
    <row r="575" spans="1:15" x14ac:dyDescent="0.2">
      <c r="A575"/>
      <c r="B575" s="50"/>
      <c r="C575" s="50"/>
      <c r="F575"/>
      <c r="G575"/>
      <c r="H575"/>
      <c r="I575"/>
      <c r="L575"/>
      <c r="M575"/>
      <c r="N575" s="50"/>
      <c r="O575"/>
    </row>
    <row r="576" spans="1:15" x14ac:dyDescent="0.2">
      <c r="A576"/>
      <c r="B576" s="50"/>
      <c r="C576" s="50"/>
      <c r="F576"/>
      <c r="G576"/>
      <c r="H576"/>
      <c r="I576"/>
      <c r="L576"/>
      <c r="M576"/>
      <c r="N576" s="50"/>
      <c r="O576"/>
    </row>
    <row r="577" spans="1:15" x14ac:dyDescent="0.2">
      <c r="A577"/>
      <c r="B577" s="50"/>
      <c r="C577" s="50"/>
      <c r="F577"/>
      <c r="G577"/>
      <c r="H577"/>
      <c r="J577"/>
      <c r="K577"/>
      <c r="L577"/>
      <c r="M577"/>
      <c r="N577" s="50"/>
      <c r="O577"/>
    </row>
    <row r="578" spans="1:15" x14ac:dyDescent="0.2">
      <c r="A578"/>
      <c r="B578" s="50"/>
      <c r="C578" s="50"/>
      <c r="F578"/>
      <c r="G578"/>
      <c r="H578"/>
      <c r="J578"/>
      <c r="K578"/>
      <c r="L578"/>
      <c r="M578"/>
      <c r="N578" s="50"/>
      <c r="O578"/>
    </row>
    <row r="579" spans="1:15" x14ac:dyDescent="0.2">
      <c r="A579"/>
      <c r="B579" s="50"/>
      <c r="C579" s="50"/>
      <c r="F579"/>
      <c r="G579"/>
      <c r="L579"/>
      <c r="M579"/>
      <c r="N579" s="50"/>
      <c r="O579"/>
    </row>
    <row r="580" spans="1:15" x14ac:dyDescent="0.2">
      <c r="A580"/>
      <c r="B580" s="50"/>
      <c r="C580" s="50"/>
      <c r="F580"/>
      <c r="G580"/>
      <c r="H580"/>
      <c r="I580"/>
      <c r="L580"/>
      <c r="M580"/>
      <c r="N580" s="50"/>
      <c r="O580"/>
    </row>
    <row r="581" spans="1:15" x14ac:dyDescent="0.2">
      <c r="A581"/>
      <c r="B581" s="50"/>
      <c r="C581" s="50"/>
      <c r="F581"/>
      <c r="G581"/>
      <c r="I581"/>
      <c r="L581"/>
      <c r="M581"/>
      <c r="N581" s="50"/>
      <c r="O581"/>
    </row>
    <row r="582" spans="1:15" x14ac:dyDescent="0.2">
      <c r="A582"/>
      <c r="B582" s="50"/>
      <c r="C582" s="50"/>
      <c r="F582"/>
      <c r="G582"/>
      <c r="L582"/>
      <c r="M582"/>
      <c r="N582" s="50"/>
      <c r="O582"/>
    </row>
    <row r="583" spans="1:15" x14ac:dyDescent="0.2">
      <c r="A583"/>
      <c r="B583" s="50"/>
      <c r="C583" s="50"/>
      <c r="F583"/>
      <c r="G583"/>
      <c r="J583"/>
      <c r="K583"/>
      <c r="L583"/>
      <c r="M583"/>
      <c r="N583" s="50"/>
      <c r="O583"/>
    </row>
    <row r="584" spans="1:15" x14ac:dyDescent="0.2">
      <c r="A584"/>
      <c r="B584" s="50"/>
      <c r="C584" s="50"/>
      <c r="F584"/>
      <c r="G584"/>
      <c r="H584"/>
      <c r="J584"/>
      <c r="K584"/>
      <c r="L584"/>
      <c r="M584"/>
      <c r="N584" s="50"/>
      <c r="O584"/>
    </row>
    <row r="585" spans="1:15" x14ac:dyDescent="0.2">
      <c r="A585"/>
      <c r="B585" s="50"/>
      <c r="C585" s="50"/>
      <c r="F585"/>
      <c r="G585"/>
      <c r="M585"/>
      <c r="N585" s="50"/>
      <c r="O585"/>
    </row>
    <row r="586" spans="1:15" x14ac:dyDescent="0.2">
      <c r="A586"/>
      <c r="B586" s="50"/>
      <c r="C586" s="50"/>
      <c r="F586"/>
      <c r="G586"/>
      <c r="L586"/>
      <c r="M586"/>
      <c r="N586" s="50"/>
      <c r="O586"/>
    </row>
    <row r="587" spans="1:15" x14ac:dyDescent="0.2">
      <c r="A587"/>
      <c r="B587" s="50"/>
      <c r="C587" s="50"/>
      <c r="F587"/>
      <c r="G587"/>
      <c r="H587"/>
      <c r="I587"/>
      <c r="L587"/>
      <c r="N587" s="50"/>
      <c r="O587"/>
    </row>
    <row r="588" spans="1:15" x14ac:dyDescent="0.2">
      <c r="A588"/>
      <c r="B588" s="50"/>
      <c r="C588" s="50"/>
      <c r="F588"/>
      <c r="G588"/>
      <c r="H588"/>
      <c r="I588"/>
      <c r="L588"/>
      <c r="M588"/>
      <c r="N588" s="50"/>
      <c r="O588"/>
    </row>
    <row r="589" spans="1:15" x14ac:dyDescent="0.2">
      <c r="A589"/>
      <c r="B589" s="50"/>
      <c r="C589" s="50"/>
      <c r="F589"/>
      <c r="G589"/>
      <c r="L589"/>
      <c r="M589"/>
      <c r="N589" s="50"/>
      <c r="O589"/>
    </row>
    <row r="590" spans="1:15" x14ac:dyDescent="0.2">
      <c r="A590"/>
      <c r="B590" s="50"/>
      <c r="C590" s="50"/>
      <c r="F590"/>
      <c r="G590"/>
      <c r="H590"/>
      <c r="I590"/>
      <c r="L590"/>
      <c r="M590"/>
      <c r="N590" s="50"/>
      <c r="O590"/>
    </row>
    <row r="591" spans="1:15" x14ac:dyDescent="0.2">
      <c r="A591"/>
      <c r="B591" s="50"/>
      <c r="C591" s="50"/>
      <c r="F591"/>
      <c r="G591"/>
      <c r="I591"/>
      <c r="L591"/>
      <c r="M591"/>
      <c r="N591" s="50"/>
      <c r="O591"/>
    </row>
    <row r="592" spans="1:15" x14ac:dyDescent="0.2">
      <c r="A592"/>
      <c r="B592" s="50"/>
      <c r="C592" s="50"/>
      <c r="F592"/>
      <c r="G592"/>
      <c r="I592"/>
      <c r="L592"/>
      <c r="M592"/>
      <c r="N592" s="50"/>
      <c r="O592"/>
    </row>
    <row r="593" spans="1:15" x14ac:dyDescent="0.2">
      <c r="A593"/>
      <c r="B593" s="50"/>
      <c r="C593" s="50"/>
      <c r="F593"/>
      <c r="G593"/>
      <c r="H593"/>
      <c r="L593"/>
      <c r="M593"/>
      <c r="N593" s="50"/>
      <c r="O593"/>
    </row>
    <row r="594" spans="1:15" x14ac:dyDescent="0.2">
      <c r="A594"/>
      <c r="B594" s="50"/>
      <c r="C594" s="50"/>
      <c r="F594"/>
      <c r="G594"/>
      <c r="H594"/>
      <c r="I594"/>
      <c r="L594"/>
      <c r="M594"/>
      <c r="N594" s="50"/>
      <c r="O594"/>
    </row>
    <row r="595" spans="1:15" x14ac:dyDescent="0.2">
      <c r="A595"/>
      <c r="B595" s="50"/>
      <c r="C595" s="50"/>
      <c r="F595"/>
      <c r="G595"/>
      <c r="H595"/>
      <c r="I595"/>
      <c r="L595"/>
      <c r="M595"/>
      <c r="N595" s="50"/>
      <c r="O595"/>
    </row>
    <row r="596" spans="1:15" x14ac:dyDescent="0.2">
      <c r="A596"/>
      <c r="B596" s="50"/>
      <c r="C596" s="50"/>
      <c r="F596"/>
      <c r="G596"/>
      <c r="H596"/>
      <c r="I596"/>
      <c r="L596"/>
      <c r="M596"/>
      <c r="N596" s="50"/>
      <c r="O596"/>
    </row>
    <row r="597" spans="1:15" x14ac:dyDescent="0.2">
      <c r="A597"/>
      <c r="B597" s="50"/>
      <c r="C597" s="50"/>
      <c r="F597"/>
      <c r="G597"/>
      <c r="H597"/>
      <c r="I597"/>
      <c r="L597"/>
      <c r="M597"/>
      <c r="N597" s="50"/>
      <c r="O597"/>
    </row>
    <row r="598" spans="1:15" x14ac:dyDescent="0.2">
      <c r="A598"/>
      <c r="B598" s="50"/>
      <c r="C598" s="50"/>
      <c r="F598"/>
      <c r="G598"/>
      <c r="H598"/>
      <c r="I598"/>
      <c r="L598"/>
      <c r="M598"/>
      <c r="N598" s="50"/>
      <c r="O598"/>
    </row>
    <row r="599" spans="1:15" x14ac:dyDescent="0.2">
      <c r="A599"/>
      <c r="B599" s="50"/>
      <c r="C599" s="50"/>
      <c r="F599"/>
      <c r="G599"/>
      <c r="H599"/>
      <c r="I599"/>
      <c r="L599"/>
      <c r="M599"/>
      <c r="N599" s="50"/>
      <c r="O599"/>
    </row>
    <row r="600" spans="1:15" x14ac:dyDescent="0.2">
      <c r="A600"/>
      <c r="B600" s="50"/>
      <c r="C600" s="50"/>
      <c r="F600"/>
      <c r="G600"/>
      <c r="H600"/>
      <c r="J600"/>
      <c r="K600"/>
      <c r="L600"/>
      <c r="M600"/>
      <c r="N600" s="50"/>
      <c r="O600"/>
    </row>
    <row r="601" spans="1:15" x14ac:dyDescent="0.2">
      <c r="A601"/>
      <c r="B601" s="50"/>
      <c r="C601" s="50"/>
      <c r="F601"/>
      <c r="G601"/>
      <c r="M601"/>
      <c r="N601" s="50"/>
      <c r="O601"/>
    </row>
    <row r="602" spans="1:15" x14ac:dyDescent="0.2">
      <c r="A602"/>
      <c r="B602" s="50"/>
      <c r="C602" s="50"/>
      <c r="F602"/>
      <c r="G602"/>
      <c r="I602"/>
      <c r="L602"/>
      <c r="M602"/>
      <c r="N602" s="50"/>
      <c r="O602"/>
    </row>
    <row r="603" spans="1:15" x14ac:dyDescent="0.2">
      <c r="A603"/>
      <c r="B603" s="50"/>
      <c r="C603" s="50"/>
      <c r="F603"/>
      <c r="G603"/>
      <c r="H603"/>
      <c r="I603"/>
      <c r="L603"/>
      <c r="M603"/>
      <c r="N603" s="50"/>
      <c r="O603"/>
    </row>
    <row r="604" spans="1:15" x14ac:dyDescent="0.2">
      <c r="A604"/>
      <c r="B604" s="50"/>
      <c r="C604" s="50"/>
      <c r="F604"/>
      <c r="G604"/>
      <c r="I604"/>
      <c r="L604"/>
      <c r="M604"/>
      <c r="N604" s="50"/>
      <c r="O604"/>
    </row>
    <row r="605" spans="1:15" x14ac:dyDescent="0.2">
      <c r="A605"/>
      <c r="B605" s="50"/>
      <c r="C605" s="50"/>
      <c r="F605"/>
      <c r="G605"/>
      <c r="H605"/>
      <c r="I605"/>
      <c r="L605"/>
      <c r="M605"/>
      <c r="N605" s="50"/>
      <c r="O605"/>
    </row>
    <row r="606" spans="1:15" x14ac:dyDescent="0.2">
      <c r="A606"/>
      <c r="B606" s="50"/>
      <c r="C606" s="50"/>
      <c r="F606"/>
      <c r="G606"/>
      <c r="I606"/>
      <c r="L606"/>
      <c r="M606"/>
      <c r="N606" s="50"/>
      <c r="O606"/>
    </row>
    <row r="607" spans="1:15" x14ac:dyDescent="0.2">
      <c r="A607"/>
      <c r="B607" s="50"/>
      <c r="C607" s="50"/>
      <c r="F607"/>
      <c r="G607"/>
      <c r="I607"/>
      <c r="L607"/>
      <c r="M607"/>
      <c r="N607" s="50"/>
      <c r="O607"/>
    </row>
    <row r="608" spans="1:15" x14ac:dyDescent="0.2">
      <c r="A608"/>
      <c r="B608" s="50"/>
      <c r="C608" s="50"/>
      <c r="F608"/>
      <c r="G608"/>
      <c r="L608"/>
      <c r="M608"/>
      <c r="N608" s="50"/>
      <c r="O608"/>
    </row>
    <row r="609" spans="1:15" x14ac:dyDescent="0.2">
      <c r="A609"/>
      <c r="B609" s="50"/>
      <c r="C609" s="50"/>
      <c r="F609"/>
      <c r="G609"/>
      <c r="I609"/>
      <c r="L609"/>
      <c r="M609"/>
      <c r="N609" s="50"/>
      <c r="O609"/>
    </row>
    <row r="610" spans="1:15" x14ac:dyDescent="0.2">
      <c r="A610"/>
      <c r="B610" s="50"/>
      <c r="C610" s="50"/>
      <c r="F610"/>
      <c r="G610"/>
      <c r="H610"/>
      <c r="I610"/>
      <c r="L610"/>
      <c r="M610"/>
      <c r="N610" s="50"/>
      <c r="O610"/>
    </row>
    <row r="611" spans="1:15" x14ac:dyDescent="0.2">
      <c r="A611"/>
      <c r="B611" s="50"/>
      <c r="C611" s="50"/>
      <c r="F611"/>
      <c r="G611"/>
      <c r="I611"/>
      <c r="L611"/>
      <c r="M611"/>
      <c r="N611" s="50"/>
      <c r="O611"/>
    </row>
    <row r="612" spans="1:15" x14ac:dyDescent="0.2">
      <c r="A612"/>
      <c r="B612" s="50"/>
      <c r="C612" s="50"/>
      <c r="F612"/>
      <c r="G612"/>
      <c r="I612"/>
      <c r="L612"/>
      <c r="M612"/>
      <c r="N612" s="50"/>
      <c r="O612"/>
    </row>
    <row r="613" spans="1:15" x14ac:dyDescent="0.2">
      <c r="A613"/>
      <c r="B613" s="50"/>
      <c r="C613" s="50"/>
      <c r="F613"/>
      <c r="G613"/>
      <c r="I613"/>
      <c r="L613"/>
      <c r="M613"/>
      <c r="N613" s="50"/>
      <c r="O613"/>
    </row>
    <row r="614" spans="1:15" x14ac:dyDescent="0.2">
      <c r="A614"/>
      <c r="B614" s="50"/>
      <c r="C614" s="50"/>
      <c r="F614"/>
      <c r="G614"/>
      <c r="I614"/>
      <c r="L614"/>
      <c r="M614"/>
      <c r="N614" s="50"/>
      <c r="O614"/>
    </row>
    <row r="615" spans="1:15" x14ac:dyDescent="0.2">
      <c r="A615"/>
      <c r="B615" s="50"/>
      <c r="C615" s="50"/>
      <c r="F615"/>
      <c r="G615"/>
      <c r="I615"/>
      <c r="L615"/>
      <c r="M615"/>
      <c r="N615" s="50"/>
      <c r="O615"/>
    </row>
    <row r="616" spans="1:15" x14ac:dyDescent="0.2">
      <c r="A616"/>
      <c r="B616" s="50"/>
      <c r="C616" s="50"/>
      <c r="F616"/>
      <c r="G616"/>
      <c r="I616"/>
      <c r="L616"/>
      <c r="M616"/>
      <c r="N616" s="50"/>
      <c r="O616"/>
    </row>
    <row r="617" spans="1:15" x14ac:dyDescent="0.2">
      <c r="A617"/>
      <c r="B617" s="50"/>
      <c r="C617" s="50"/>
      <c r="F617"/>
      <c r="G617"/>
      <c r="L617"/>
      <c r="M617"/>
      <c r="N617" s="50"/>
      <c r="O617"/>
    </row>
    <row r="618" spans="1:15" x14ac:dyDescent="0.2">
      <c r="A618"/>
      <c r="B618" s="50"/>
      <c r="C618" s="50"/>
      <c r="F618"/>
      <c r="G618"/>
      <c r="J618"/>
      <c r="K618"/>
      <c r="L618"/>
      <c r="M618"/>
      <c r="N618" s="50"/>
      <c r="O618"/>
    </row>
    <row r="619" spans="1:15" x14ac:dyDescent="0.2">
      <c r="A619"/>
      <c r="B619" s="50"/>
      <c r="C619" s="50"/>
      <c r="F619"/>
      <c r="G619"/>
      <c r="L619"/>
      <c r="M619"/>
      <c r="N619" s="50"/>
      <c r="O619"/>
    </row>
    <row r="620" spans="1:15" x14ac:dyDescent="0.2">
      <c r="A620"/>
      <c r="B620" s="50"/>
      <c r="C620" s="50"/>
      <c r="F620"/>
      <c r="G620"/>
      <c r="H620"/>
      <c r="I620"/>
      <c r="L620"/>
      <c r="M620"/>
      <c r="N620" s="50"/>
      <c r="O620"/>
    </row>
    <row r="621" spans="1:15" x14ac:dyDescent="0.2">
      <c r="A621"/>
      <c r="B621" s="50"/>
      <c r="C621" s="50"/>
      <c r="F621"/>
      <c r="G621"/>
      <c r="M621"/>
      <c r="N621" s="50"/>
      <c r="O621"/>
    </row>
    <row r="622" spans="1:15" x14ac:dyDescent="0.2">
      <c r="A622"/>
      <c r="B622" s="50"/>
      <c r="C622" s="50"/>
      <c r="F622"/>
      <c r="G622"/>
      <c r="I622"/>
      <c r="L622"/>
      <c r="M622"/>
      <c r="N622" s="50"/>
      <c r="O622"/>
    </row>
    <row r="623" spans="1:15" x14ac:dyDescent="0.2">
      <c r="A623"/>
      <c r="B623" s="50"/>
      <c r="C623" s="50"/>
      <c r="F623"/>
      <c r="G623"/>
      <c r="H623"/>
      <c r="I623"/>
      <c r="L623"/>
      <c r="M623"/>
      <c r="N623" s="50"/>
      <c r="O623"/>
    </row>
    <row r="624" spans="1:15" x14ac:dyDescent="0.2">
      <c r="A624"/>
      <c r="B624" s="50"/>
      <c r="C624" s="50"/>
      <c r="F624"/>
      <c r="G624"/>
      <c r="L624"/>
      <c r="M624"/>
      <c r="N624" s="50"/>
      <c r="O624"/>
    </row>
    <row r="625" spans="1:15" x14ac:dyDescent="0.2">
      <c r="A625"/>
      <c r="B625" s="50"/>
      <c r="C625" s="50"/>
      <c r="F625"/>
      <c r="G625"/>
      <c r="H625"/>
      <c r="I625"/>
      <c r="L625"/>
      <c r="M625"/>
      <c r="N625" s="50"/>
      <c r="O625"/>
    </row>
    <row r="626" spans="1:15" x14ac:dyDescent="0.2">
      <c r="A626"/>
      <c r="B626" s="50"/>
      <c r="C626" s="50"/>
      <c r="F626"/>
      <c r="G626"/>
      <c r="H626"/>
      <c r="I626"/>
      <c r="L626"/>
      <c r="M626"/>
      <c r="N626" s="50"/>
      <c r="O626"/>
    </row>
    <row r="627" spans="1:15" x14ac:dyDescent="0.2">
      <c r="A627"/>
      <c r="B627" s="50"/>
      <c r="C627" s="50"/>
      <c r="F627"/>
      <c r="G627"/>
      <c r="I627"/>
      <c r="L627"/>
      <c r="M627"/>
      <c r="N627" s="50"/>
      <c r="O627"/>
    </row>
    <row r="628" spans="1:15" x14ac:dyDescent="0.2">
      <c r="A628"/>
      <c r="B628" s="50"/>
      <c r="C628" s="50"/>
      <c r="F628"/>
      <c r="G628"/>
      <c r="H628"/>
      <c r="I628"/>
      <c r="L628"/>
      <c r="M628"/>
      <c r="N628" s="50"/>
      <c r="O628"/>
    </row>
    <row r="629" spans="1:15" x14ac:dyDescent="0.2">
      <c r="A629"/>
      <c r="B629" s="50"/>
      <c r="C629" s="50"/>
      <c r="F629"/>
      <c r="G629"/>
      <c r="H629"/>
      <c r="I629"/>
      <c r="L629"/>
      <c r="M629"/>
      <c r="N629" s="50"/>
      <c r="O629"/>
    </row>
    <row r="630" spans="1:15" x14ac:dyDescent="0.2">
      <c r="A630"/>
      <c r="B630" s="50"/>
      <c r="C630" s="50"/>
      <c r="F630"/>
      <c r="G630"/>
      <c r="H630"/>
      <c r="J630"/>
      <c r="K630"/>
      <c r="L630"/>
      <c r="M630"/>
      <c r="N630" s="50"/>
      <c r="O630"/>
    </row>
    <row r="631" spans="1:15" x14ac:dyDescent="0.2">
      <c r="A631"/>
      <c r="B631" s="50"/>
      <c r="C631" s="50"/>
      <c r="F631"/>
      <c r="G631"/>
      <c r="H631"/>
      <c r="I631"/>
      <c r="L631"/>
      <c r="M631"/>
      <c r="N631" s="50"/>
      <c r="O631"/>
    </row>
    <row r="632" spans="1:15" x14ac:dyDescent="0.2">
      <c r="A632"/>
      <c r="B632" s="50"/>
      <c r="C632" s="50"/>
      <c r="F632"/>
      <c r="G632"/>
      <c r="H632"/>
      <c r="I632"/>
      <c r="L632"/>
      <c r="M632"/>
      <c r="N632" s="50"/>
      <c r="O632"/>
    </row>
    <row r="633" spans="1:15" x14ac:dyDescent="0.2">
      <c r="A633"/>
      <c r="B633" s="50"/>
      <c r="C633" s="50"/>
      <c r="F633"/>
      <c r="G633"/>
      <c r="I633"/>
      <c r="L633"/>
      <c r="M633"/>
      <c r="N633" s="50"/>
      <c r="O633"/>
    </row>
    <row r="634" spans="1:15" x14ac:dyDescent="0.2">
      <c r="A634"/>
      <c r="B634" s="50"/>
      <c r="C634" s="50"/>
      <c r="F634"/>
      <c r="G634"/>
      <c r="I634"/>
      <c r="L634"/>
      <c r="M634"/>
      <c r="N634" s="50"/>
      <c r="O634"/>
    </row>
    <row r="635" spans="1:15" x14ac:dyDescent="0.2">
      <c r="A635"/>
      <c r="B635" s="50"/>
      <c r="C635" s="50"/>
      <c r="F635"/>
      <c r="G635"/>
      <c r="I635"/>
      <c r="L635"/>
      <c r="M635"/>
      <c r="N635" s="50"/>
      <c r="O635"/>
    </row>
    <row r="636" spans="1:15" x14ac:dyDescent="0.2">
      <c r="A636"/>
      <c r="B636" s="50"/>
      <c r="C636" s="50"/>
      <c r="F636"/>
      <c r="G636"/>
      <c r="H636"/>
      <c r="I636"/>
      <c r="L636"/>
      <c r="N636" s="50"/>
      <c r="O636"/>
    </row>
    <row r="637" spans="1:15" x14ac:dyDescent="0.2">
      <c r="A637"/>
      <c r="B637" s="50"/>
      <c r="C637" s="50"/>
      <c r="F637"/>
      <c r="G637"/>
      <c r="H637"/>
      <c r="I637"/>
      <c r="L637"/>
      <c r="N637" s="50"/>
      <c r="O637"/>
    </row>
    <row r="638" spans="1:15" x14ac:dyDescent="0.2">
      <c r="A638"/>
      <c r="B638" s="50"/>
      <c r="C638" s="50"/>
      <c r="F638"/>
      <c r="G638"/>
      <c r="H638"/>
      <c r="I638"/>
      <c r="L638"/>
      <c r="M638"/>
      <c r="N638" s="50"/>
      <c r="O638"/>
    </row>
    <row r="639" spans="1:15" x14ac:dyDescent="0.2">
      <c r="A639"/>
      <c r="B639" s="50"/>
      <c r="C639" s="50"/>
      <c r="F639"/>
      <c r="G639"/>
      <c r="H639"/>
      <c r="I639"/>
      <c r="L639"/>
      <c r="M639"/>
      <c r="N639" s="50"/>
      <c r="O639"/>
    </row>
    <row r="640" spans="1:15" x14ac:dyDescent="0.2">
      <c r="A640"/>
      <c r="B640" s="50"/>
      <c r="C640" s="50"/>
      <c r="F640"/>
      <c r="G640"/>
      <c r="I640"/>
      <c r="L640"/>
      <c r="M640"/>
      <c r="N640" s="50"/>
      <c r="O640"/>
    </row>
    <row r="641" spans="1:15" x14ac:dyDescent="0.2">
      <c r="A641"/>
      <c r="B641" s="50"/>
      <c r="C641" s="50"/>
      <c r="F641"/>
      <c r="G641"/>
      <c r="H641"/>
      <c r="I641"/>
      <c r="L641"/>
      <c r="M641"/>
      <c r="N641" s="50"/>
      <c r="O641"/>
    </row>
    <row r="642" spans="1:15" x14ac:dyDescent="0.2">
      <c r="A642"/>
      <c r="B642" s="50"/>
      <c r="C642" s="50"/>
      <c r="F642"/>
      <c r="G642"/>
      <c r="I642"/>
      <c r="L642"/>
      <c r="M642"/>
      <c r="N642" s="50"/>
      <c r="O642"/>
    </row>
    <row r="643" spans="1:15" x14ac:dyDescent="0.2">
      <c r="A643"/>
      <c r="B643" s="50"/>
      <c r="C643" s="50"/>
      <c r="F643"/>
      <c r="G643"/>
      <c r="M643"/>
      <c r="N643" s="50"/>
      <c r="O643"/>
    </row>
    <row r="644" spans="1:15" x14ac:dyDescent="0.2">
      <c r="A644"/>
      <c r="B644" s="50"/>
      <c r="C644" s="50"/>
      <c r="F644"/>
      <c r="G644"/>
      <c r="H644"/>
      <c r="I644"/>
      <c r="L644"/>
      <c r="M644"/>
      <c r="N644" s="50"/>
      <c r="O644"/>
    </row>
    <row r="645" spans="1:15" x14ac:dyDescent="0.2">
      <c r="A645"/>
      <c r="B645" s="50"/>
      <c r="C645" s="50"/>
      <c r="F645"/>
      <c r="G645"/>
      <c r="H645"/>
      <c r="I645"/>
      <c r="L645"/>
      <c r="M645"/>
      <c r="N645" s="50"/>
      <c r="O645"/>
    </row>
    <row r="646" spans="1:15" x14ac:dyDescent="0.2">
      <c r="A646"/>
      <c r="B646" s="50"/>
      <c r="C646" s="50"/>
      <c r="F646"/>
      <c r="G646"/>
      <c r="H646"/>
      <c r="I646"/>
      <c r="L646"/>
      <c r="M646"/>
      <c r="N646" s="50"/>
      <c r="O646"/>
    </row>
    <row r="647" spans="1:15" x14ac:dyDescent="0.2">
      <c r="A647"/>
      <c r="B647" s="50"/>
      <c r="C647" s="50"/>
      <c r="F647"/>
      <c r="G647"/>
      <c r="H647"/>
      <c r="I647"/>
      <c r="L647"/>
      <c r="M647"/>
      <c r="N647" s="50"/>
      <c r="O647"/>
    </row>
    <row r="648" spans="1:15" x14ac:dyDescent="0.2">
      <c r="A648"/>
      <c r="B648" s="50"/>
      <c r="C648" s="50"/>
      <c r="F648"/>
      <c r="G648"/>
      <c r="L648"/>
      <c r="M648"/>
      <c r="N648" s="50"/>
      <c r="O648"/>
    </row>
    <row r="649" spans="1:15" x14ac:dyDescent="0.2">
      <c r="A649"/>
      <c r="B649" s="50"/>
      <c r="C649" s="50"/>
      <c r="F649"/>
      <c r="G649"/>
      <c r="H649"/>
      <c r="I649"/>
      <c r="L649"/>
      <c r="M649"/>
      <c r="N649" s="50"/>
      <c r="O649"/>
    </row>
    <row r="650" spans="1:15" x14ac:dyDescent="0.2">
      <c r="A650"/>
      <c r="B650" s="50"/>
      <c r="C650" s="50"/>
      <c r="F650"/>
      <c r="G650"/>
      <c r="H650"/>
      <c r="I650"/>
      <c r="L650"/>
      <c r="M650"/>
      <c r="N650" s="50"/>
      <c r="O650"/>
    </row>
    <row r="651" spans="1:15" x14ac:dyDescent="0.2">
      <c r="A651"/>
      <c r="B651" s="50"/>
      <c r="C651" s="50"/>
      <c r="F651"/>
      <c r="G651"/>
      <c r="H651"/>
      <c r="I651"/>
      <c r="L651"/>
      <c r="N651" s="50"/>
      <c r="O651"/>
    </row>
    <row r="652" spans="1:15" x14ac:dyDescent="0.2">
      <c r="A652"/>
      <c r="B652" s="50"/>
      <c r="C652" s="50"/>
      <c r="F652"/>
      <c r="G652"/>
      <c r="H652"/>
      <c r="I652"/>
      <c r="L652"/>
      <c r="M652"/>
      <c r="N652" s="50"/>
      <c r="O652"/>
    </row>
    <row r="653" spans="1:15" x14ac:dyDescent="0.2">
      <c r="A653"/>
      <c r="B653" s="50"/>
      <c r="C653" s="50"/>
      <c r="F653"/>
      <c r="G653"/>
      <c r="J653"/>
      <c r="K653"/>
      <c r="L653"/>
      <c r="M653"/>
      <c r="N653" s="50"/>
      <c r="O653"/>
    </row>
    <row r="654" spans="1:15" x14ac:dyDescent="0.2">
      <c r="A654"/>
      <c r="B654" s="50"/>
      <c r="C654" s="50"/>
      <c r="F654"/>
      <c r="G654"/>
      <c r="H654"/>
      <c r="I654"/>
      <c r="L654"/>
      <c r="M654"/>
      <c r="N654" s="50"/>
      <c r="O654"/>
    </row>
    <row r="655" spans="1:15" x14ac:dyDescent="0.2">
      <c r="A655"/>
      <c r="B655" s="50"/>
      <c r="C655" s="50"/>
      <c r="F655"/>
      <c r="G655"/>
      <c r="H655"/>
      <c r="I655"/>
      <c r="L655"/>
      <c r="M655"/>
      <c r="N655" s="50"/>
      <c r="O655"/>
    </row>
    <row r="656" spans="1:15" x14ac:dyDescent="0.2">
      <c r="A656"/>
      <c r="B656" s="50"/>
      <c r="C656" s="50"/>
      <c r="F656"/>
      <c r="G656"/>
      <c r="I656"/>
      <c r="L656"/>
      <c r="M656"/>
      <c r="N656" s="50"/>
      <c r="O656"/>
    </row>
    <row r="657" spans="1:15" x14ac:dyDescent="0.2">
      <c r="A657"/>
      <c r="B657" s="50"/>
      <c r="C657" s="50"/>
      <c r="F657"/>
      <c r="G657"/>
      <c r="H657"/>
      <c r="I657"/>
      <c r="L657"/>
      <c r="M657"/>
      <c r="N657" s="50"/>
      <c r="O657"/>
    </row>
    <row r="658" spans="1:15" x14ac:dyDescent="0.2">
      <c r="A658"/>
      <c r="B658" s="50"/>
      <c r="C658" s="50"/>
      <c r="F658"/>
      <c r="G658"/>
      <c r="H658"/>
      <c r="I658"/>
      <c r="L658"/>
      <c r="M658"/>
      <c r="N658" s="50"/>
      <c r="O658"/>
    </row>
    <row r="659" spans="1:15" x14ac:dyDescent="0.2">
      <c r="A659"/>
      <c r="B659" s="50"/>
      <c r="C659" s="50"/>
      <c r="F659"/>
      <c r="G659"/>
      <c r="H659"/>
      <c r="I659"/>
      <c r="L659"/>
      <c r="M659"/>
      <c r="N659" s="50"/>
      <c r="O659"/>
    </row>
    <row r="660" spans="1:15" x14ac:dyDescent="0.2">
      <c r="A660"/>
      <c r="B660" s="50"/>
      <c r="C660" s="50"/>
      <c r="F660"/>
      <c r="G660"/>
      <c r="I660"/>
      <c r="L660"/>
      <c r="M660"/>
      <c r="N660" s="50"/>
      <c r="O660"/>
    </row>
    <row r="661" spans="1:15" x14ac:dyDescent="0.2">
      <c r="A661"/>
      <c r="B661" s="50"/>
      <c r="C661" s="50"/>
      <c r="F661"/>
      <c r="G661"/>
      <c r="H661"/>
      <c r="I661"/>
      <c r="L661"/>
      <c r="M661"/>
      <c r="N661" s="50"/>
      <c r="O661"/>
    </row>
    <row r="662" spans="1:15" x14ac:dyDescent="0.2">
      <c r="A662"/>
      <c r="B662" s="50"/>
      <c r="C662" s="50"/>
      <c r="F662"/>
      <c r="G662"/>
      <c r="L662"/>
      <c r="M662"/>
      <c r="N662" s="50"/>
      <c r="O662"/>
    </row>
    <row r="663" spans="1:15" x14ac:dyDescent="0.2">
      <c r="A663"/>
      <c r="B663" s="50"/>
      <c r="C663" s="50"/>
      <c r="F663"/>
      <c r="G663"/>
      <c r="I663"/>
      <c r="L663"/>
      <c r="M663"/>
      <c r="N663" s="50"/>
      <c r="O663"/>
    </row>
    <row r="664" spans="1:15" x14ac:dyDescent="0.2">
      <c r="A664"/>
      <c r="B664" s="50"/>
      <c r="C664" s="50"/>
      <c r="F664"/>
      <c r="G664"/>
      <c r="H664"/>
      <c r="I664"/>
      <c r="L664"/>
      <c r="M664"/>
      <c r="N664" s="50"/>
      <c r="O664"/>
    </row>
    <row r="665" spans="1:15" x14ac:dyDescent="0.2">
      <c r="A665"/>
      <c r="B665" s="50"/>
      <c r="C665" s="50"/>
      <c r="F665"/>
      <c r="G665"/>
      <c r="H665"/>
      <c r="I665"/>
      <c r="L665"/>
      <c r="N665" s="50"/>
      <c r="O665"/>
    </row>
    <row r="666" spans="1:15" x14ac:dyDescent="0.2">
      <c r="A666"/>
      <c r="B666" s="50"/>
      <c r="C666" s="50"/>
      <c r="F666"/>
      <c r="G666"/>
      <c r="H666"/>
      <c r="I666"/>
      <c r="L666"/>
      <c r="M666"/>
      <c r="N666" s="50"/>
      <c r="O666"/>
    </row>
    <row r="667" spans="1:15" x14ac:dyDescent="0.2">
      <c r="A667"/>
      <c r="B667" s="50"/>
      <c r="C667" s="50"/>
      <c r="F667"/>
      <c r="G667"/>
      <c r="H667"/>
      <c r="J667"/>
      <c r="L667"/>
      <c r="M667"/>
      <c r="N667" s="50"/>
      <c r="O667"/>
    </row>
    <row r="668" spans="1:15" x14ac:dyDescent="0.2">
      <c r="A668"/>
      <c r="B668" s="50"/>
      <c r="C668" s="50"/>
      <c r="F668"/>
      <c r="G668"/>
      <c r="H668"/>
      <c r="I668"/>
      <c r="L668"/>
      <c r="M668"/>
      <c r="N668" s="50"/>
      <c r="O668"/>
    </row>
    <row r="669" spans="1:15" x14ac:dyDescent="0.2">
      <c r="A669"/>
      <c r="B669" s="50"/>
      <c r="C669" s="50"/>
      <c r="F669"/>
      <c r="G669"/>
      <c r="I669"/>
      <c r="L669"/>
      <c r="M669"/>
      <c r="N669" s="50"/>
      <c r="O669"/>
    </row>
    <row r="670" spans="1:15" x14ac:dyDescent="0.2">
      <c r="A670"/>
      <c r="B670" s="50"/>
      <c r="C670" s="50"/>
      <c r="F670"/>
      <c r="G670"/>
      <c r="M670"/>
      <c r="N670" s="50"/>
      <c r="O670"/>
    </row>
    <row r="671" spans="1:15" x14ac:dyDescent="0.2">
      <c r="A671"/>
      <c r="B671" s="50"/>
      <c r="C671" s="50"/>
      <c r="F671"/>
      <c r="G671"/>
      <c r="H671"/>
      <c r="M671"/>
      <c r="N671" s="50"/>
      <c r="O671"/>
    </row>
    <row r="672" spans="1:15" x14ac:dyDescent="0.2">
      <c r="A672"/>
      <c r="B672" s="50"/>
      <c r="C672" s="50"/>
      <c r="F672"/>
      <c r="G672"/>
      <c r="L672"/>
      <c r="M672"/>
      <c r="N672" s="50"/>
      <c r="O672"/>
    </row>
    <row r="673" spans="1:15" x14ac:dyDescent="0.2">
      <c r="A673"/>
      <c r="B673" s="50"/>
      <c r="C673" s="50"/>
      <c r="F673"/>
      <c r="G673"/>
      <c r="H673"/>
      <c r="I673"/>
      <c r="L673"/>
      <c r="M673"/>
      <c r="N673" s="50"/>
      <c r="O673"/>
    </row>
    <row r="674" spans="1:15" x14ac:dyDescent="0.2">
      <c r="A674"/>
      <c r="B674" s="50"/>
      <c r="C674" s="50"/>
      <c r="F674"/>
      <c r="G674"/>
      <c r="H674"/>
      <c r="I674"/>
      <c r="L674"/>
      <c r="M674"/>
      <c r="N674" s="50"/>
      <c r="O674"/>
    </row>
    <row r="675" spans="1:15" x14ac:dyDescent="0.2">
      <c r="A675"/>
      <c r="B675" s="50"/>
      <c r="C675" s="50"/>
      <c r="F675"/>
      <c r="G675"/>
      <c r="M675"/>
      <c r="N675" s="50"/>
      <c r="O675"/>
    </row>
    <row r="676" spans="1:15" x14ac:dyDescent="0.2">
      <c r="A676"/>
      <c r="B676" s="50"/>
      <c r="C676" s="50"/>
      <c r="F676"/>
      <c r="G676"/>
      <c r="H676"/>
      <c r="I676"/>
      <c r="L676"/>
      <c r="M676"/>
      <c r="N676" s="50"/>
      <c r="O676"/>
    </row>
    <row r="677" spans="1:15" x14ac:dyDescent="0.2">
      <c r="A677"/>
      <c r="B677" s="50"/>
      <c r="C677" s="50"/>
      <c r="F677"/>
      <c r="G677"/>
      <c r="L677"/>
      <c r="M677"/>
      <c r="N677" s="50"/>
      <c r="O677"/>
    </row>
    <row r="678" spans="1:15" x14ac:dyDescent="0.2">
      <c r="A678"/>
      <c r="B678" s="50"/>
      <c r="C678" s="50"/>
      <c r="F678"/>
      <c r="G678"/>
      <c r="H678"/>
      <c r="I678"/>
      <c r="L678"/>
      <c r="M678"/>
      <c r="N678" s="50"/>
      <c r="O678"/>
    </row>
    <row r="679" spans="1:15" x14ac:dyDescent="0.2">
      <c r="A679"/>
      <c r="B679" s="50"/>
      <c r="C679" s="50"/>
      <c r="F679"/>
      <c r="G679"/>
      <c r="H679"/>
      <c r="I679"/>
      <c r="L679"/>
      <c r="M679"/>
      <c r="N679" s="50"/>
      <c r="O679"/>
    </row>
    <row r="680" spans="1:15" x14ac:dyDescent="0.2">
      <c r="A680"/>
      <c r="B680" s="50"/>
      <c r="C680" s="50"/>
      <c r="F680"/>
      <c r="G680"/>
      <c r="H680"/>
      <c r="I680"/>
      <c r="L680"/>
      <c r="M680"/>
      <c r="N680" s="50"/>
      <c r="O680"/>
    </row>
    <row r="681" spans="1:15" x14ac:dyDescent="0.2">
      <c r="A681"/>
      <c r="B681" s="50"/>
      <c r="C681" s="50"/>
      <c r="F681"/>
      <c r="G681"/>
      <c r="H681"/>
      <c r="I681"/>
      <c r="L681"/>
      <c r="M681"/>
      <c r="N681" s="50"/>
      <c r="O681"/>
    </row>
    <row r="682" spans="1:15" x14ac:dyDescent="0.2">
      <c r="A682"/>
      <c r="B682" s="50"/>
      <c r="C682" s="50"/>
      <c r="F682"/>
      <c r="G682"/>
      <c r="M682"/>
      <c r="N682" s="50"/>
      <c r="O682"/>
    </row>
    <row r="683" spans="1:15" x14ac:dyDescent="0.2">
      <c r="A683"/>
      <c r="B683" s="50"/>
      <c r="C683" s="50"/>
      <c r="F683"/>
      <c r="G683"/>
      <c r="L683"/>
      <c r="M683"/>
      <c r="N683" s="50"/>
      <c r="O683"/>
    </row>
    <row r="684" spans="1:15" x14ac:dyDescent="0.2">
      <c r="A684"/>
      <c r="B684" s="50"/>
      <c r="C684" s="50"/>
      <c r="F684"/>
      <c r="G684"/>
      <c r="I684"/>
      <c r="L684"/>
      <c r="M684"/>
      <c r="N684" s="50"/>
      <c r="O684"/>
    </row>
    <row r="685" spans="1:15" x14ac:dyDescent="0.2">
      <c r="A685"/>
      <c r="B685" s="50"/>
      <c r="C685" s="50"/>
      <c r="F685"/>
      <c r="G685"/>
      <c r="H685"/>
      <c r="I685"/>
      <c r="L685"/>
      <c r="M685"/>
      <c r="N685" s="50"/>
      <c r="O685"/>
    </row>
    <row r="686" spans="1:15" x14ac:dyDescent="0.2">
      <c r="A686"/>
      <c r="B686" s="50"/>
      <c r="C686" s="50"/>
      <c r="F686"/>
      <c r="G686"/>
      <c r="H686"/>
      <c r="I686"/>
      <c r="L686"/>
      <c r="M686"/>
      <c r="N686" s="50"/>
      <c r="O686"/>
    </row>
    <row r="687" spans="1:15" x14ac:dyDescent="0.2">
      <c r="A687"/>
      <c r="B687" s="50"/>
      <c r="C687" s="50"/>
      <c r="F687"/>
      <c r="G687"/>
      <c r="H687"/>
      <c r="I687"/>
      <c r="L687"/>
      <c r="M687"/>
      <c r="N687" s="50"/>
      <c r="O687"/>
    </row>
    <row r="688" spans="1:15" x14ac:dyDescent="0.2">
      <c r="A688"/>
      <c r="B688" s="50"/>
      <c r="C688" s="50"/>
      <c r="F688"/>
      <c r="G688"/>
      <c r="H688"/>
      <c r="I688"/>
      <c r="L688"/>
      <c r="M688"/>
      <c r="N688" s="50"/>
      <c r="O688"/>
    </row>
    <row r="689" spans="1:15" x14ac:dyDescent="0.2">
      <c r="A689"/>
      <c r="B689" s="50"/>
      <c r="C689" s="50"/>
      <c r="F689"/>
      <c r="G689"/>
      <c r="H689"/>
      <c r="I689"/>
      <c r="L689"/>
      <c r="N689" s="50"/>
      <c r="O689"/>
    </row>
    <row r="690" spans="1:15" x14ac:dyDescent="0.2">
      <c r="A690"/>
      <c r="B690" s="50"/>
      <c r="C690" s="50"/>
      <c r="F690"/>
      <c r="G690"/>
      <c r="M690"/>
      <c r="N690" s="50"/>
      <c r="O690"/>
    </row>
    <row r="691" spans="1:15" x14ac:dyDescent="0.2">
      <c r="A691"/>
      <c r="B691" s="50"/>
      <c r="C691" s="50"/>
      <c r="F691"/>
      <c r="G691"/>
      <c r="H691"/>
      <c r="I691"/>
      <c r="L691"/>
      <c r="M691"/>
      <c r="N691" s="50"/>
      <c r="O691"/>
    </row>
    <row r="692" spans="1:15" x14ac:dyDescent="0.2">
      <c r="A692"/>
      <c r="B692" s="50"/>
      <c r="C692" s="50"/>
      <c r="F692"/>
      <c r="G692"/>
      <c r="H692"/>
      <c r="I692"/>
      <c r="L692"/>
      <c r="M692"/>
      <c r="N692" s="50"/>
      <c r="O692"/>
    </row>
    <row r="693" spans="1:15" x14ac:dyDescent="0.2">
      <c r="A693"/>
      <c r="B693" s="50"/>
      <c r="C693" s="50"/>
      <c r="F693"/>
      <c r="G693"/>
      <c r="M693"/>
      <c r="N693" s="50"/>
      <c r="O693"/>
    </row>
    <row r="694" spans="1:15" x14ac:dyDescent="0.2">
      <c r="A694"/>
      <c r="B694" s="50"/>
      <c r="C694" s="50"/>
      <c r="F694"/>
      <c r="G694"/>
      <c r="I694"/>
      <c r="L694"/>
      <c r="M694"/>
      <c r="N694" s="50"/>
      <c r="O694"/>
    </row>
    <row r="695" spans="1:15" x14ac:dyDescent="0.2">
      <c r="A695"/>
      <c r="B695" s="50"/>
      <c r="C695" s="50"/>
      <c r="F695"/>
      <c r="G695"/>
      <c r="J695"/>
      <c r="K695"/>
      <c r="L695"/>
      <c r="M695"/>
      <c r="N695" s="50"/>
      <c r="O695"/>
    </row>
    <row r="696" spans="1:15" x14ac:dyDescent="0.2">
      <c r="A696"/>
      <c r="B696" s="50"/>
      <c r="C696" s="50"/>
      <c r="F696"/>
      <c r="G696"/>
      <c r="H696"/>
      <c r="I696"/>
      <c r="L696"/>
      <c r="M696"/>
      <c r="N696" s="50"/>
      <c r="O696"/>
    </row>
    <row r="697" spans="1:15" x14ac:dyDescent="0.2">
      <c r="A697"/>
      <c r="B697" s="50"/>
      <c r="C697" s="50"/>
      <c r="F697"/>
      <c r="G697"/>
      <c r="I697"/>
      <c r="L697"/>
      <c r="M697"/>
      <c r="N697" s="50"/>
      <c r="O697"/>
    </row>
    <row r="698" spans="1:15" x14ac:dyDescent="0.2">
      <c r="A698"/>
      <c r="B698" s="50"/>
      <c r="C698" s="50"/>
      <c r="F698"/>
      <c r="G698"/>
      <c r="L698"/>
      <c r="M698"/>
      <c r="N698" s="50"/>
      <c r="O698"/>
    </row>
    <row r="699" spans="1:15" x14ac:dyDescent="0.2">
      <c r="A699"/>
      <c r="B699" s="50"/>
      <c r="C699" s="50"/>
      <c r="F699"/>
      <c r="G699"/>
      <c r="H699"/>
      <c r="J699"/>
      <c r="K699"/>
      <c r="L699"/>
      <c r="M699"/>
      <c r="N699" s="50"/>
      <c r="O699"/>
    </row>
    <row r="700" spans="1:15" x14ac:dyDescent="0.2">
      <c r="A700"/>
      <c r="B700" s="50"/>
      <c r="C700" s="50"/>
      <c r="F700"/>
      <c r="G700"/>
      <c r="H700"/>
      <c r="J700"/>
      <c r="K700"/>
      <c r="L700"/>
      <c r="M700"/>
      <c r="N700" s="50"/>
      <c r="O700"/>
    </row>
    <row r="701" spans="1:15" x14ac:dyDescent="0.2">
      <c r="A701"/>
      <c r="B701" s="50"/>
      <c r="C701" s="50"/>
      <c r="F701"/>
      <c r="G701"/>
      <c r="H701"/>
      <c r="J701"/>
      <c r="K701"/>
      <c r="L701"/>
      <c r="M701"/>
      <c r="N701" s="50"/>
      <c r="O701"/>
    </row>
    <row r="702" spans="1:15" x14ac:dyDescent="0.2">
      <c r="A702"/>
      <c r="B702" s="50"/>
      <c r="C702" s="50"/>
      <c r="F702"/>
      <c r="G702"/>
      <c r="I702"/>
      <c r="L702"/>
      <c r="M702"/>
      <c r="N702" s="50"/>
      <c r="O702"/>
    </row>
    <row r="703" spans="1:15" x14ac:dyDescent="0.2">
      <c r="A703"/>
      <c r="B703" s="50"/>
      <c r="C703" s="50"/>
      <c r="F703"/>
      <c r="G703"/>
      <c r="I703"/>
      <c r="L703"/>
      <c r="M703"/>
      <c r="N703" s="50"/>
      <c r="O703"/>
    </row>
    <row r="704" spans="1:15" x14ac:dyDescent="0.2">
      <c r="A704"/>
      <c r="B704" s="50"/>
      <c r="C704" s="50"/>
      <c r="F704"/>
      <c r="G704"/>
      <c r="J704"/>
      <c r="K704"/>
      <c r="L704"/>
      <c r="M704"/>
      <c r="N704" s="50"/>
      <c r="O704"/>
    </row>
    <row r="705" spans="1:15" x14ac:dyDescent="0.2">
      <c r="A705"/>
      <c r="B705" s="50"/>
      <c r="C705" s="50"/>
      <c r="F705"/>
      <c r="G705"/>
      <c r="H705"/>
      <c r="I705"/>
      <c r="J705"/>
      <c r="K705"/>
      <c r="L705"/>
      <c r="M705"/>
      <c r="N705" s="50"/>
      <c r="O705"/>
    </row>
    <row r="706" spans="1:15" x14ac:dyDescent="0.2">
      <c r="A706"/>
      <c r="B706" s="50"/>
      <c r="C706" s="50"/>
      <c r="F706"/>
      <c r="G706"/>
      <c r="H706"/>
      <c r="I706"/>
      <c r="L706"/>
      <c r="M706"/>
      <c r="N706" s="50"/>
      <c r="O706"/>
    </row>
    <row r="707" spans="1:15" x14ac:dyDescent="0.2">
      <c r="A707"/>
      <c r="B707" s="50"/>
      <c r="C707" s="50"/>
      <c r="F707"/>
      <c r="G707"/>
      <c r="H707"/>
      <c r="I707"/>
      <c r="J707"/>
      <c r="K707"/>
      <c r="L707"/>
      <c r="M707"/>
      <c r="N707" s="50"/>
      <c r="O707"/>
    </row>
    <row r="708" spans="1:15" x14ac:dyDescent="0.2">
      <c r="A708"/>
      <c r="B708" s="50"/>
      <c r="C708" s="50"/>
      <c r="F708"/>
      <c r="G708"/>
      <c r="I708"/>
      <c r="L708"/>
      <c r="M708"/>
      <c r="N708" s="50"/>
      <c r="O708"/>
    </row>
    <row r="709" spans="1:15" x14ac:dyDescent="0.2">
      <c r="A709"/>
      <c r="B709" s="50"/>
      <c r="C709" s="50"/>
      <c r="F709"/>
      <c r="G709"/>
      <c r="H709"/>
      <c r="I709"/>
      <c r="L709"/>
      <c r="M709"/>
      <c r="N709" s="50"/>
      <c r="O709"/>
    </row>
    <row r="710" spans="1:15" x14ac:dyDescent="0.2">
      <c r="A710"/>
      <c r="B710" s="50"/>
      <c r="C710" s="50"/>
      <c r="F710"/>
      <c r="G710"/>
      <c r="H710"/>
      <c r="I710"/>
      <c r="L710"/>
      <c r="M710"/>
      <c r="N710" s="50"/>
      <c r="O710"/>
    </row>
    <row r="711" spans="1:15" x14ac:dyDescent="0.2">
      <c r="A711"/>
      <c r="B711" s="50"/>
      <c r="C711" s="50"/>
      <c r="F711"/>
      <c r="G711"/>
      <c r="H711"/>
      <c r="I711"/>
      <c r="L711"/>
      <c r="M711"/>
      <c r="N711" s="50"/>
      <c r="O711"/>
    </row>
    <row r="712" spans="1:15" x14ac:dyDescent="0.2">
      <c r="A712"/>
      <c r="B712" s="50"/>
      <c r="C712" s="50"/>
      <c r="F712"/>
      <c r="G712"/>
      <c r="H712"/>
      <c r="I712"/>
      <c r="L712"/>
      <c r="M712"/>
      <c r="N712" s="50"/>
      <c r="O712"/>
    </row>
    <row r="713" spans="1:15" x14ac:dyDescent="0.2">
      <c r="A713"/>
      <c r="B713" s="50"/>
      <c r="C713" s="50"/>
      <c r="F713"/>
      <c r="G713"/>
      <c r="I713"/>
      <c r="L713"/>
      <c r="M713"/>
      <c r="N713" s="50"/>
      <c r="O713"/>
    </row>
    <row r="714" spans="1:15" x14ac:dyDescent="0.2">
      <c r="A714"/>
      <c r="B714" s="50"/>
      <c r="C714" s="50"/>
      <c r="F714"/>
      <c r="G714"/>
      <c r="H714"/>
      <c r="I714"/>
      <c r="L714"/>
      <c r="M714"/>
      <c r="N714" s="50"/>
      <c r="O714"/>
    </row>
    <row r="715" spans="1:15" x14ac:dyDescent="0.2">
      <c r="A715"/>
      <c r="B715" s="50"/>
      <c r="C715" s="50"/>
      <c r="F715"/>
      <c r="G715"/>
      <c r="H715"/>
      <c r="I715"/>
      <c r="L715"/>
      <c r="M715"/>
      <c r="N715" s="50"/>
      <c r="O715"/>
    </row>
    <row r="716" spans="1:15" x14ac:dyDescent="0.2">
      <c r="A716"/>
      <c r="B716" s="50"/>
      <c r="C716" s="50"/>
      <c r="F716"/>
      <c r="G716"/>
      <c r="H716"/>
      <c r="I716"/>
      <c r="L716"/>
      <c r="M716"/>
      <c r="N716" s="50"/>
      <c r="O716"/>
    </row>
    <row r="717" spans="1:15" x14ac:dyDescent="0.2">
      <c r="A717"/>
      <c r="B717" s="50"/>
      <c r="C717" s="50"/>
      <c r="F717"/>
      <c r="G717"/>
      <c r="L717"/>
      <c r="M717"/>
      <c r="N717" s="50"/>
      <c r="O717"/>
    </row>
    <row r="718" spans="1:15" x14ac:dyDescent="0.2">
      <c r="A718"/>
      <c r="B718" s="50"/>
      <c r="C718" s="50"/>
      <c r="F718"/>
      <c r="G718"/>
      <c r="H718"/>
      <c r="I718"/>
      <c r="L718"/>
      <c r="M718"/>
      <c r="N718" s="50"/>
      <c r="O718"/>
    </row>
    <row r="719" spans="1:15" x14ac:dyDescent="0.2">
      <c r="A719"/>
      <c r="B719" s="50"/>
      <c r="C719" s="50"/>
      <c r="F719"/>
      <c r="G719"/>
      <c r="H719"/>
      <c r="I719"/>
      <c r="L719"/>
      <c r="M719"/>
      <c r="N719" s="50"/>
      <c r="O719"/>
    </row>
    <row r="720" spans="1:15" x14ac:dyDescent="0.2">
      <c r="A720"/>
      <c r="B720" s="50"/>
      <c r="C720" s="50"/>
      <c r="F720"/>
      <c r="G720"/>
      <c r="I720"/>
      <c r="L720"/>
      <c r="M720"/>
      <c r="N720" s="50"/>
      <c r="O720"/>
    </row>
    <row r="721" spans="1:15" x14ac:dyDescent="0.2">
      <c r="A721"/>
      <c r="B721" s="50"/>
      <c r="C721" s="50"/>
      <c r="F721"/>
      <c r="G721"/>
      <c r="L721"/>
      <c r="M721"/>
      <c r="N721" s="50"/>
      <c r="O721"/>
    </row>
    <row r="722" spans="1:15" x14ac:dyDescent="0.2">
      <c r="A722"/>
      <c r="B722" s="50"/>
      <c r="C722" s="50"/>
      <c r="F722"/>
      <c r="G722"/>
      <c r="H722"/>
      <c r="J722"/>
      <c r="K722"/>
      <c r="L722"/>
      <c r="M722"/>
      <c r="N722" s="50"/>
      <c r="O722"/>
    </row>
    <row r="723" spans="1:15" x14ac:dyDescent="0.2">
      <c r="A723"/>
      <c r="B723" s="50"/>
      <c r="C723" s="50"/>
      <c r="F723"/>
      <c r="G723"/>
      <c r="H723"/>
      <c r="I723"/>
      <c r="L723"/>
      <c r="M723"/>
      <c r="N723" s="50"/>
      <c r="O723"/>
    </row>
    <row r="724" spans="1:15" x14ac:dyDescent="0.2">
      <c r="A724"/>
      <c r="B724" s="50"/>
      <c r="C724" s="50"/>
      <c r="F724"/>
      <c r="G724"/>
      <c r="J724"/>
      <c r="K724"/>
      <c r="L724"/>
      <c r="M724"/>
      <c r="N724" s="50"/>
      <c r="O724"/>
    </row>
    <row r="725" spans="1:15" x14ac:dyDescent="0.2">
      <c r="A725"/>
      <c r="B725" s="50"/>
      <c r="C725" s="50"/>
      <c r="F725"/>
      <c r="G725"/>
      <c r="H725"/>
      <c r="I725"/>
      <c r="L725"/>
      <c r="M725"/>
      <c r="N725" s="50"/>
      <c r="O725"/>
    </row>
    <row r="726" spans="1:15" x14ac:dyDescent="0.2">
      <c r="A726"/>
      <c r="B726" s="50"/>
      <c r="C726" s="50"/>
      <c r="F726"/>
      <c r="G726"/>
      <c r="H726"/>
      <c r="I726"/>
      <c r="L726"/>
      <c r="M726"/>
      <c r="N726" s="50"/>
      <c r="O726"/>
    </row>
    <row r="727" spans="1:15" x14ac:dyDescent="0.2">
      <c r="A727"/>
      <c r="B727" s="50"/>
      <c r="C727" s="50"/>
      <c r="F727"/>
      <c r="G727"/>
      <c r="I727"/>
      <c r="K727"/>
      <c r="L727"/>
      <c r="M727"/>
      <c r="N727" s="50"/>
      <c r="O727"/>
    </row>
    <row r="728" spans="1:15" x14ac:dyDescent="0.2">
      <c r="A728"/>
      <c r="B728" s="50"/>
      <c r="C728" s="50"/>
      <c r="F728"/>
      <c r="G728"/>
      <c r="L728"/>
      <c r="M728"/>
      <c r="N728" s="50"/>
      <c r="O728"/>
    </row>
    <row r="729" spans="1:15" x14ac:dyDescent="0.2">
      <c r="A729"/>
      <c r="B729" s="50"/>
      <c r="C729" s="50"/>
      <c r="F729"/>
      <c r="G729"/>
      <c r="L729"/>
      <c r="M729"/>
      <c r="N729" s="50"/>
      <c r="O729"/>
    </row>
    <row r="730" spans="1:15" x14ac:dyDescent="0.2">
      <c r="A730"/>
      <c r="B730" s="50"/>
      <c r="C730" s="50"/>
      <c r="F730"/>
      <c r="G730"/>
      <c r="H730"/>
      <c r="I730"/>
      <c r="L730"/>
      <c r="M730"/>
      <c r="N730" s="50"/>
      <c r="O730"/>
    </row>
    <row r="731" spans="1:15" x14ac:dyDescent="0.2">
      <c r="A731"/>
      <c r="B731" s="50"/>
      <c r="C731" s="50"/>
      <c r="F731"/>
      <c r="G731"/>
      <c r="J731"/>
      <c r="L731"/>
      <c r="M731"/>
      <c r="N731" s="50"/>
      <c r="O731"/>
    </row>
    <row r="732" spans="1:15" x14ac:dyDescent="0.2">
      <c r="A732"/>
      <c r="B732" s="50"/>
      <c r="C732" s="50"/>
      <c r="F732"/>
      <c r="G732"/>
      <c r="H732"/>
      <c r="L732"/>
      <c r="M732"/>
      <c r="N732" s="50"/>
      <c r="O732"/>
    </row>
    <row r="733" spans="1:15" x14ac:dyDescent="0.2">
      <c r="A733"/>
      <c r="B733" s="50"/>
      <c r="C733" s="50"/>
      <c r="F733"/>
      <c r="G733"/>
      <c r="H733"/>
      <c r="I733"/>
      <c r="L733"/>
      <c r="M733"/>
      <c r="N733" s="50"/>
      <c r="O733"/>
    </row>
    <row r="734" spans="1:15" x14ac:dyDescent="0.2">
      <c r="A734"/>
      <c r="B734" s="50"/>
      <c r="C734" s="50"/>
      <c r="F734"/>
      <c r="G734"/>
      <c r="L734"/>
      <c r="M734"/>
      <c r="N734" s="50"/>
      <c r="O734"/>
    </row>
    <row r="735" spans="1:15" x14ac:dyDescent="0.2">
      <c r="A735"/>
      <c r="B735" s="50"/>
      <c r="C735" s="50"/>
      <c r="F735"/>
      <c r="G735"/>
      <c r="J735"/>
      <c r="K735"/>
      <c r="L735"/>
      <c r="M735"/>
      <c r="N735" s="50"/>
      <c r="O735"/>
    </row>
    <row r="736" spans="1:15" x14ac:dyDescent="0.2">
      <c r="A736"/>
      <c r="B736" s="50"/>
      <c r="C736" s="50"/>
      <c r="F736"/>
      <c r="G736"/>
      <c r="H736"/>
      <c r="I736"/>
      <c r="L736"/>
      <c r="M736"/>
      <c r="N736" s="50"/>
      <c r="O736"/>
    </row>
    <row r="737" spans="1:15" x14ac:dyDescent="0.2">
      <c r="A737"/>
      <c r="B737" s="50"/>
      <c r="C737" s="50"/>
      <c r="F737"/>
      <c r="G737"/>
      <c r="M737"/>
      <c r="N737" s="50"/>
      <c r="O737"/>
    </row>
    <row r="738" spans="1:15" x14ac:dyDescent="0.2">
      <c r="A738"/>
      <c r="B738" s="50"/>
      <c r="C738" s="50"/>
      <c r="F738"/>
      <c r="G738"/>
      <c r="H738"/>
      <c r="I738"/>
      <c r="L738"/>
      <c r="M738"/>
      <c r="N738" s="50"/>
      <c r="O738"/>
    </row>
    <row r="739" spans="1:15" x14ac:dyDescent="0.2">
      <c r="A739"/>
      <c r="B739" s="50"/>
      <c r="C739" s="50"/>
      <c r="F739"/>
      <c r="G739"/>
      <c r="I739"/>
      <c r="L739"/>
      <c r="M739"/>
      <c r="N739" s="50"/>
      <c r="O739"/>
    </row>
    <row r="740" spans="1:15" x14ac:dyDescent="0.2">
      <c r="A740"/>
      <c r="B740" s="50"/>
      <c r="C740" s="50"/>
      <c r="F740"/>
      <c r="G740"/>
      <c r="H740"/>
      <c r="I740"/>
      <c r="L740"/>
      <c r="M740"/>
      <c r="N740" s="50"/>
      <c r="O740"/>
    </row>
    <row r="741" spans="1:15" x14ac:dyDescent="0.2">
      <c r="A741"/>
      <c r="B741" s="50"/>
      <c r="C741" s="50"/>
      <c r="F741"/>
      <c r="G741"/>
      <c r="H741"/>
      <c r="I741"/>
      <c r="L741"/>
      <c r="M741"/>
      <c r="N741" s="50"/>
      <c r="O741"/>
    </row>
    <row r="742" spans="1:15" x14ac:dyDescent="0.2">
      <c r="A742"/>
      <c r="B742" s="50"/>
      <c r="C742" s="50"/>
      <c r="F742"/>
      <c r="G742"/>
      <c r="H742"/>
      <c r="I742"/>
      <c r="L742"/>
      <c r="N742" s="50"/>
      <c r="O742"/>
    </row>
    <row r="743" spans="1:15" x14ac:dyDescent="0.2">
      <c r="A743"/>
      <c r="B743" s="50"/>
      <c r="C743" s="50"/>
      <c r="F743"/>
      <c r="G743"/>
      <c r="H743"/>
      <c r="I743"/>
      <c r="L743"/>
      <c r="M743"/>
      <c r="N743" s="50"/>
      <c r="O743"/>
    </row>
    <row r="744" spans="1:15" x14ac:dyDescent="0.2">
      <c r="A744"/>
      <c r="B744" s="50"/>
      <c r="C744" s="50"/>
      <c r="F744"/>
      <c r="G744"/>
      <c r="L744"/>
      <c r="M744"/>
      <c r="N744" s="50"/>
      <c r="O744"/>
    </row>
    <row r="745" spans="1:15" x14ac:dyDescent="0.2">
      <c r="A745"/>
      <c r="B745" s="50"/>
      <c r="C745" s="50"/>
      <c r="F745"/>
      <c r="G745"/>
      <c r="H745"/>
      <c r="I745"/>
      <c r="L745"/>
      <c r="M745"/>
      <c r="N745" s="50"/>
      <c r="O745"/>
    </row>
    <row r="746" spans="1:15" x14ac:dyDescent="0.2">
      <c r="A746"/>
      <c r="B746" s="50"/>
      <c r="C746" s="50"/>
      <c r="F746"/>
      <c r="G746"/>
      <c r="L746"/>
      <c r="M746"/>
      <c r="N746" s="50"/>
      <c r="O746"/>
    </row>
    <row r="747" spans="1:15" x14ac:dyDescent="0.2">
      <c r="A747"/>
      <c r="B747" s="50"/>
      <c r="C747" s="50"/>
      <c r="F747"/>
      <c r="G747"/>
      <c r="H747"/>
      <c r="I747"/>
      <c r="L747"/>
      <c r="M747"/>
      <c r="N747" s="50"/>
      <c r="O747"/>
    </row>
    <row r="748" spans="1:15" x14ac:dyDescent="0.2">
      <c r="A748"/>
      <c r="B748" s="50"/>
      <c r="C748" s="50"/>
      <c r="F748"/>
      <c r="G748"/>
      <c r="H748"/>
      <c r="I748"/>
      <c r="L748"/>
      <c r="M748"/>
      <c r="N748" s="50"/>
      <c r="O748"/>
    </row>
    <row r="749" spans="1:15" x14ac:dyDescent="0.2">
      <c r="A749"/>
      <c r="B749" s="50"/>
      <c r="C749" s="50"/>
      <c r="F749"/>
      <c r="G749"/>
      <c r="H749"/>
      <c r="I749"/>
      <c r="L749"/>
      <c r="M749"/>
      <c r="N749" s="50"/>
      <c r="O749"/>
    </row>
    <row r="750" spans="1:15" x14ac:dyDescent="0.2">
      <c r="A750"/>
      <c r="B750" s="50"/>
      <c r="C750" s="50"/>
      <c r="F750"/>
      <c r="G750"/>
      <c r="L750"/>
      <c r="M750"/>
      <c r="N750" s="50"/>
      <c r="O750"/>
    </row>
    <row r="751" spans="1:15" x14ac:dyDescent="0.2">
      <c r="A751"/>
      <c r="B751" s="50"/>
      <c r="C751" s="50"/>
      <c r="F751"/>
      <c r="G751"/>
      <c r="H751"/>
      <c r="I751"/>
      <c r="L751"/>
      <c r="M751"/>
      <c r="N751" s="50"/>
      <c r="O751"/>
    </row>
    <row r="752" spans="1:15" x14ac:dyDescent="0.2">
      <c r="A752"/>
      <c r="B752" s="50"/>
      <c r="C752" s="50"/>
      <c r="F752"/>
      <c r="G752"/>
      <c r="H752"/>
      <c r="I752"/>
      <c r="L752"/>
      <c r="M752"/>
      <c r="N752" s="50"/>
      <c r="O752"/>
    </row>
    <row r="753" spans="1:15" x14ac:dyDescent="0.2">
      <c r="A753"/>
      <c r="B753" s="50"/>
      <c r="C753" s="50"/>
      <c r="F753"/>
      <c r="G753"/>
      <c r="M753"/>
      <c r="N753" s="50"/>
      <c r="O753"/>
    </row>
    <row r="754" spans="1:15" x14ac:dyDescent="0.2">
      <c r="A754"/>
      <c r="B754" s="50"/>
      <c r="C754" s="50"/>
      <c r="F754"/>
      <c r="G754"/>
      <c r="H754"/>
      <c r="I754"/>
      <c r="L754"/>
      <c r="M754"/>
      <c r="N754" s="50"/>
      <c r="O754"/>
    </row>
    <row r="755" spans="1:15" x14ac:dyDescent="0.2">
      <c r="A755"/>
      <c r="B755" s="50"/>
      <c r="C755" s="50"/>
      <c r="F755"/>
      <c r="G755"/>
      <c r="H755"/>
      <c r="I755"/>
      <c r="L755"/>
      <c r="M755"/>
      <c r="N755" s="50"/>
      <c r="O755"/>
    </row>
    <row r="756" spans="1:15" x14ac:dyDescent="0.2">
      <c r="A756"/>
      <c r="B756" s="50"/>
      <c r="C756" s="50"/>
      <c r="F756"/>
      <c r="G756"/>
      <c r="H756"/>
      <c r="I756"/>
      <c r="L756"/>
      <c r="M756"/>
      <c r="N756" s="50"/>
      <c r="O756"/>
    </row>
    <row r="757" spans="1:15" x14ac:dyDescent="0.2">
      <c r="A757"/>
      <c r="B757" s="50"/>
      <c r="C757" s="50"/>
      <c r="F757"/>
      <c r="G757"/>
      <c r="H757"/>
      <c r="J757"/>
      <c r="K757"/>
      <c r="L757"/>
      <c r="M757"/>
      <c r="N757" s="50"/>
      <c r="O757"/>
    </row>
    <row r="758" spans="1:15" x14ac:dyDescent="0.2">
      <c r="A758"/>
      <c r="B758" s="50"/>
      <c r="C758" s="50"/>
      <c r="F758"/>
      <c r="G758"/>
      <c r="H758"/>
      <c r="L758"/>
      <c r="M758"/>
      <c r="N758" s="50"/>
      <c r="O758"/>
    </row>
    <row r="759" spans="1:15" x14ac:dyDescent="0.2">
      <c r="A759"/>
      <c r="B759" s="50"/>
      <c r="C759" s="50"/>
      <c r="F759"/>
      <c r="G759"/>
      <c r="H759"/>
      <c r="I759"/>
      <c r="L759"/>
      <c r="M759"/>
      <c r="N759" s="50"/>
      <c r="O759"/>
    </row>
    <row r="760" spans="1:15" x14ac:dyDescent="0.2">
      <c r="A760"/>
      <c r="B760" s="50"/>
      <c r="C760" s="50"/>
      <c r="F760"/>
      <c r="G760"/>
      <c r="I760"/>
      <c r="L760"/>
      <c r="M760"/>
      <c r="N760" s="50"/>
      <c r="O760"/>
    </row>
    <row r="761" spans="1:15" x14ac:dyDescent="0.2">
      <c r="A761"/>
      <c r="B761" s="50"/>
      <c r="C761" s="50"/>
      <c r="F761"/>
      <c r="G761"/>
      <c r="H761"/>
      <c r="I761"/>
      <c r="L761"/>
      <c r="M761"/>
      <c r="N761" s="50"/>
      <c r="O761"/>
    </row>
    <row r="762" spans="1:15" x14ac:dyDescent="0.2">
      <c r="A762"/>
      <c r="B762" s="50"/>
      <c r="C762" s="50"/>
      <c r="F762"/>
      <c r="G762"/>
      <c r="H762"/>
      <c r="I762"/>
      <c r="L762"/>
      <c r="M762"/>
      <c r="N762" s="50"/>
      <c r="O762"/>
    </row>
    <row r="763" spans="1:15" x14ac:dyDescent="0.2">
      <c r="A763"/>
      <c r="B763" s="50"/>
      <c r="C763" s="50"/>
      <c r="F763"/>
      <c r="G763"/>
      <c r="H763"/>
      <c r="I763"/>
      <c r="L763"/>
      <c r="M763"/>
      <c r="N763" s="50"/>
      <c r="O763"/>
    </row>
    <row r="764" spans="1:15" x14ac:dyDescent="0.2">
      <c r="A764"/>
      <c r="B764" s="50"/>
      <c r="C764" s="50"/>
      <c r="F764"/>
      <c r="G764"/>
      <c r="H764"/>
      <c r="I764"/>
      <c r="L764"/>
      <c r="M764"/>
      <c r="N764" s="50"/>
      <c r="O764"/>
    </row>
    <row r="765" spans="1:15" x14ac:dyDescent="0.2">
      <c r="A765"/>
      <c r="B765" s="50"/>
      <c r="C765" s="50"/>
      <c r="F765"/>
      <c r="G765"/>
      <c r="L765"/>
      <c r="M765"/>
      <c r="N765" s="50"/>
      <c r="O765"/>
    </row>
    <row r="766" spans="1:15" x14ac:dyDescent="0.2">
      <c r="A766"/>
      <c r="B766" s="50"/>
      <c r="C766" s="50"/>
      <c r="F766"/>
      <c r="G766"/>
      <c r="M766"/>
      <c r="N766" s="50"/>
      <c r="O766"/>
    </row>
    <row r="767" spans="1:15" x14ac:dyDescent="0.2">
      <c r="A767"/>
      <c r="B767" s="50"/>
      <c r="C767" s="50"/>
      <c r="F767"/>
      <c r="G767"/>
      <c r="I767"/>
      <c r="L767"/>
      <c r="M767"/>
      <c r="N767" s="50"/>
      <c r="O767"/>
    </row>
    <row r="768" spans="1:15" x14ac:dyDescent="0.2">
      <c r="A768"/>
      <c r="B768" s="50"/>
      <c r="C768" s="50"/>
      <c r="F768"/>
      <c r="G768"/>
      <c r="H768"/>
      <c r="I768"/>
      <c r="L768"/>
      <c r="M768"/>
      <c r="N768" s="50"/>
      <c r="O768"/>
    </row>
    <row r="769" spans="1:15" x14ac:dyDescent="0.2">
      <c r="A769"/>
      <c r="B769" s="50"/>
      <c r="C769" s="50"/>
      <c r="F769"/>
      <c r="G769"/>
      <c r="H769"/>
      <c r="I769"/>
      <c r="L769"/>
      <c r="M769"/>
      <c r="N769" s="50"/>
      <c r="O769"/>
    </row>
    <row r="770" spans="1:15" x14ac:dyDescent="0.2">
      <c r="A770"/>
      <c r="B770" s="50"/>
      <c r="C770" s="50"/>
      <c r="F770"/>
      <c r="G770"/>
      <c r="H770"/>
      <c r="I770"/>
      <c r="L770"/>
      <c r="M770"/>
      <c r="N770" s="50"/>
      <c r="O770"/>
    </row>
    <row r="771" spans="1:15" x14ac:dyDescent="0.2">
      <c r="A771"/>
      <c r="B771" s="50"/>
      <c r="C771" s="50"/>
      <c r="F771"/>
      <c r="G771"/>
      <c r="L771"/>
      <c r="M771"/>
      <c r="N771" s="50"/>
      <c r="O771"/>
    </row>
    <row r="772" spans="1:15" x14ac:dyDescent="0.2">
      <c r="A772"/>
      <c r="B772" s="50"/>
      <c r="C772" s="50"/>
      <c r="F772"/>
      <c r="G772"/>
      <c r="L772"/>
      <c r="M772"/>
      <c r="N772" s="50"/>
      <c r="O772"/>
    </row>
    <row r="773" spans="1:15" x14ac:dyDescent="0.2">
      <c r="A773"/>
      <c r="B773" s="50"/>
      <c r="C773" s="50"/>
      <c r="F773"/>
      <c r="G773"/>
      <c r="H773"/>
      <c r="J773"/>
      <c r="K773"/>
      <c r="L773"/>
      <c r="M773"/>
      <c r="N773" s="50"/>
      <c r="O773"/>
    </row>
    <row r="774" spans="1:15" x14ac:dyDescent="0.2">
      <c r="A774"/>
      <c r="B774" s="50"/>
      <c r="C774" s="50"/>
      <c r="F774"/>
      <c r="G774"/>
      <c r="H774"/>
      <c r="I774"/>
      <c r="L774"/>
      <c r="M774"/>
      <c r="N774" s="50"/>
      <c r="O774"/>
    </row>
    <row r="775" spans="1:15" x14ac:dyDescent="0.2">
      <c r="A775"/>
      <c r="B775" s="50"/>
      <c r="C775" s="50"/>
      <c r="F775"/>
      <c r="G775"/>
      <c r="L775"/>
      <c r="M775"/>
      <c r="N775" s="50"/>
      <c r="O775"/>
    </row>
    <row r="776" spans="1:15" x14ac:dyDescent="0.2">
      <c r="A776"/>
      <c r="B776" s="50"/>
      <c r="C776" s="50"/>
      <c r="F776"/>
      <c r="G776"/>
      <c r="M776"/>
      <c r="N776" s="50"/>
      <c r="O776"/>
    </row>
    <row r="777" spans="1:15" x14ac:dyDescent="0.2">
      <c r="A777"/>
      <c r="B777" s="50"/>
      <c r="C777" s="50"/>
      <c r="F777"/>
      <c r="G777"/>
      <c r="H777"/>
      <c r="I777"/>
      <c r="L777"/>
      <c r="N777" s="50"/>
      <c r="O777"/>
    </row>
    <row r="778" spans="1:15" x14ac:dyDescent="0.2">
      <c r="A778"/>
      <c r="B778" s="50"/>
      <c r="C778" s="50"/>
      <c r="F778"/>
      <c r="G778"/>
      <c r="H778"/>
      <c r="J778"/>
      <c r="K778"/>
      <c r="L778"/>
      <c r="M778"/>
      <c r="N778" s="50"/>
      <c r="O778"/>
    </row>
    <row r="779" spans="1:15" x14ac:dyDescent="0.2">
      <c r="A779"/>
      <c r="B779" s="50"/>
      <c r="C779" s="50"/>
      <c r="F779"/>
      <c r="G779"/>
      <c r="H779"/>
      <c r="J779"/>
      <c r="K779"/>
      <c r="L779"/>
      <c r="M779"/>
      <c r="N779" s="50"/>
      <c r="O779"/>
    </row>
    <row r="780" spans="1:15" x14ac:dyDescent="0.2">
      <c r="A780"/>
      <c r="B780" s="50"/>
      <c r="C780" s="50"/>
      <c r="F780"/>
      <c r="G780"/>
      <c r="H780"/>
      <c r="J780"/>
      <c r="K780"/>
      <c r="L780"/>
      <c r="M780"/>
      <c r="N780" s="50"/>
      <c r="O780"/>
    </row>
    <row r="781" spans="1:15" x14ac:dyDescent="0.2">
      <c r="A781"/>
      <c r="B781" s="50"/>
      <c r="C781" s="50"/>
      <c r="F781"/>
      <c r="G781"/>
      <c r="H781"/>
      <c r="I781"/>
      <c r="L781"/>
      <c r="M781"/>
      <c r="N781" s="50"/>
      <c r="O781"/>
    </row>
    <row r="782" spans="1:15" x14ac:dyDescent="0.2">
      <c r="A782"/>
      <c r="B782" s="50"/>
      <c r="C782" s="50"/>
      <c r="F782"/>
      <c r="G782"/>
      <c r="L782"/>
      <c r="M782"/>
      <c r="N782" s="50"/>
      <c r="O782"/>
    </row>
    <row r="783" spans="1:15" x14ac:dyDescent="0.2">
      <c r="A783"/>
      <c r="B783" s="50"/>
      <c r="C783" s="50"/>
      <c r="F783"/>
      <c r="G783"/>
      <c r="H783"/>
      <c r="I783"/>
      <c r="L783"/>
      <c r="M783"/>
      <c r="N783" s="50"/>
      <c r="O783"/>
    </row>
    <row r="784" spans="1:15" x14ac:dyDescent="0.2">
      <c r="A784"/>
      <c r="B784" s="50"/>
      <c r="C784" s="50"/>
      <c r="F784"/>
      <c r="G784"/>
      <c r="L784"/>
      <c r="M784"/>
      <c r="N784" s="50"/>
      <c r="O784"/>
    </row>
    <row r="785" spans="1:15" x14ac:dyDescent="0.2">
      <c r="A785"/>
      <c r="B785" s="50"/>
      <c r="C785" s="50"/>
      <c r="F785"/>
      <c r="G785"/>
      <c r="L785"/>
      <c r="M785"/>
      <c r="N785" s="50"/>
      <c r="O785"/>
    </row>
    <row r="786" spans="1:15" x14ac:dyDescent="0.2">
      <c r="A786"/>
      <c r="B786" s="50"/>
      <c r="C786" s="50"/>
      <c r="F786"/>
      <c r="G786"/>
      <c r="I786"/>
      <c r="L786"/>
      <c r="M786"/>
      <c r="N786" s="50"/>
      <c r="O786"/>
    </row>
    <row r="787" spans="1:15" x14ac:dyDescent="0.2">
      <c r="A787"/>
      <c r="B787" s="50"/>
      <c r="C787" s="50"/>
      <c r="F787"/>
      <c r="G787"/>
      <c r="H787"/>
      <c r="I787"/>
      <c r="L787"/>
      <c r="M787"/>
      <c r="N787" s="50"/>
      <c r="O787"/>
    </row>
    <row r="788" spans="1:15" x14ac:dyDescent="0.2">
      <c r="A788"/>
      <c r="B788" s="50"/>
      <c r="C788" s="50"/>
      <c r="F788"/>
      <c r="G788"/>
      <c r="H788"/>
      <c r="I788"/>
      <c r="L788"/>
      <c r="N788" s="50"/>
      <c r="O788"/>
    </row>
    <row r="789" spans="1:15" x14ac:dyDescent="0.2">
      <c r="A789"/>
      <c r="B789" s="50"/>
      <c r="C789" s="50"/>
      <c r="F789"/>
      <c r="G789"/>
      <c r="H789"/>
      <c r="L789"/>
      <c r="M789"/>
      <c r="N789" s="50"/>
      <c r="O789"/>
    </row>
    <row r="790" spans="1:15" x14ac:dyDescent="0.2">
      <c r="A790"/>
      <c r="B790" s="50"/>
      <c r="C790" s="50"/>
      <c r="F790"/>
      <c r="G790"/>
      <c r="L790"/>
      <c r="M790"/>
      <c r="N790" s="50"/>
      <c r="O790"/>
    </row>
    <row r="791" spans="1:15" x14ac:dyDescent="0.2">
      <c r="A791"/>
      <c r="B791" s="50"/>
      <c r="C791" s="50"/>
      <c r="F791"/>
      <c r="G791"/>
      <c r="I791"/>
      <c r="L791"/>
      <c r="M791"/>
      <c r="N791" s="50"/>
      <c r="O791"/>
    </row>
    <row r="792" spans="1:15" x14ac:dyDescent="0.2">
      <c r="A792"/>
      <c r="B792" s="50"/>
      <c r="C792" s="50"/>
      <c r="F792"/>
      <c r="G792"/>
      <c r="L792"/>
      <c r="M792"/>
      <c r="N792" s="50"/>
      <c r="O792"/>
    </row>
    <row r="793" spans="1:15" x14ac:dyDescent="0.2">
      <c r="A793"/>
      <c r="B793" s="50"/>
      <c r="C793" s="50"/>
      <c r="F793"/>
      <c r="G793"/>
      <c r="H793"/>
      <c r="I793"/>
      <c r="J793"/>
      <c r="K793"/>
      <c r="L793"/>
      <c r="M793"/>
      <c r="N793" s="50"/>
      <c r="O793"/>
    </row>
    <row r="794" spans="1:15" x14ac:dyDescent="0.2">
      <c r="A794"/>
      <c r="B794" s="50"/>
      <c r="C794" s="50"/>
      <c r="F794"/>
      <c r="G794"/>
      <c r="J794"/>
      <c r="M794"/>
      <c r="N794" s="50"/>
      <c r="O794"/>
    </row>
    <row r="795" spans="1:15" x14ac:dyDescent="0.2">
      <c r="A795"/>
      <c r="B795" s="50"/>
      <c r="C795" s="50"/>
      <c r="F795"/>
      <c r="G795"/>
      <c r="I795"/>
      <c r="L795"/>
      <c r="M795"/>
      <c r="N795" s="50"/>
      <c r="O795"/>
    </row>
    <row r="796" spans="1:15" x14ac:dyDescent="0.2">
      <c r="A796"/>
      <c r="B796" s="50"/>
      <c r="C796" s="50"/>
      <c r="F796"/>
      <c r="G796"/>
      <c r="H796"/>
      <c r="J796"/>
      <c r="K796"/>
      <c r="L796"/>
      <c r="M796"/>
      <c r="N796" s="50"/>
      <c r="O796"/>
    </row>
    <row r="797" spans="1:15" x14ac:dyDescent="0.2">
      <c r="A797"/>
      <c r="B797" s="50"/>
      <c r="C797" s="50"/>
      <c r="F797"/>
      <c r="G797"/>
      <c r="L797"/>
      <c r="M797"/>
      <c r="N797" s="50"/>
      <c r="O797"/>
    </row>
    <row r="798" spans="1:15" x14ac:dyDescent="0.2">
      <c r="A798"/>
      <c r="B798" s="50"/>
      <c r="C798" s="50"/>
      <c r="F798"/>
      <c r="G798"/>
      <c r="L798"/>
      <c r="M798"/>
      <c r="N798" s="50"/>
      <c r="O798"/>
    </row>
    <row r="799" spans="1:15" x14ac:dyDescent="0.2">
      <c r="A799"/>
      <c r="B799" s="50"/>
      <c r="C799" s="50"/>
      <c r="F799"/>
      <c r="G799"/>
      <c r="J799"/>
      <c r="K799"/>
      <c r="L799"/>
      <c r="M799"/>
      <c r="N799" s="50"/>
      <c r="O799"/>
    </row>
    <row r="800" spans="1:15" x14ac:dyDescent="0.2">
      <c r="A800"/>
      <c r="B800" s="50"/>
      <c r="C800" s="50"/>
      <c r="F800"/>
      <c r="G800"/>
      <c r="I800"/>
      <c r="L800"/>
      <c r="M800"/>
      <c r="N800" s="50"/>
      <c r="O800"/>
    </row>
    <row r="801" spans="1:15" x14ac:dyDescent="0.2">
      <c r="A801"/>
      <c r="B801" s="50"/>
      <c r="C801" s="50"/>
      <c r="F801"/>
      <c r="G801"/>
      <c r="H801"/>
      <c r="I801"/>
      <c r="L801"/>
      <c r="M801"/>
      <c r="N801" s="50"/>
      <c r="O801"/>
    </row>
    <row r="802" spans="1:15" x14ac:dyDescent="0.2">
      <c r="A802"/>
      <c r="B802" s="50"/>
      <c r="C802" s="50"/>
      <c r="F802"/>
      <c r="G802"/>
      <c r="L802"/>
      <c r="M802"/>
      <c r="N802" s="50"/>
      <c r="O802"/>
    </row>
    <row r="803" spans="1:15" x14ac:dyDescent="0.2">
      <c r="A803"/>
      <c r="B803" s="50"/>
      <c r="C803" s="50"/>
      <c r="F803"/>
      <c r="G803"/>
      <c r="L803"/>
      <c r="M803"/>
      <c r="N803" s="50"/>
      <c r="O803"/>
    </row>
    <row r="804" spans="1:15" x14ac:dyDescent="0.2">
      <c r="A804"/>
      <c r="B804" s="50"/>
      <c r="C804" s="50"/>
      <c r="F804"/>
      <c r="G804"/>
      <c r="H804"/>
      <c r="I804"/>
      <c r="L804"/>
      <c r="M804"/>
      <c r="N804" s="50"/>
      <c r="O804"/>
    </row>
    <row r="805" spans="1:15" x14ac:dyDescent="0.2">
      <c r="A805"/>
      <c r="B805" s="50"/>
      <c r="C805" s="50"/>
      <c r="F805"/>
      <c r="G805"/>
      <c r="L805"/>
      <c r="M805"/>
      <c r="N805" s="50"/>
      <c r="O805"/>
    </row>
    <row r="806" spans="1:15" x14ac:dyDescent="0.2">
      <c r="A806"/>
      <c r="B806" s="50"/>
      <c r="C806" s="50"/>
      <c r="F806"/>
      <c r="G806"/>
      <c r="H806"/>
      <c r="J806"/>
      <c r="K806"/>
      <c r="L806"/>
      <c r="M806"/>
      <c r="N806" s="50"/>
      <c r="O806"/>
    </row>
    <row r="807" spans="1:15" x14ac:dyDescent="0.2">
      <c r="A807"/>
      <c r="B807" s="50"/>
      <c r="C807" s="50"/>
      <c r="F807"/>
      <c r="G807"/>
      <c r="H807"/>
      <c r="I807"/>
      <c r="L807"/>
      <c r="M807"/>
      <c r="N807" s="50"/>
      <c r="O807"/>
    </row>
    <row r="808" spans="1:15" x14ac:dyDescent="0.2">
      <c r="A808"/>
      <c r="B808" s="50"/>
      <c r="C808" s="50"/>
      <c r="F808"/>
      <c r="G808"/>
      <c r="I808"/>
      <c r="L808"/>
      <c r="M808"/>
      <c r="N808" s="50"/>
      <c r="O808"/>
    </row>
    <row r="809" spans="1:15" x14ac:dyDescent="0.2">
      <c r="A809"/>
      <c r="B809" s="50"/>
      <c r="C809" s="50"/>
      <c r="F809"/>
      <c r="G809"/>
      <c r="H809"/>
      <c r="I809"/>
      <c r="L809"/>
      <c r="M809"/>
      <c r="N809" s="50"/>
      <c r="O809"/>
    </row>
    <row r="810" spans="1:15" x14ac:dyDescent="0.2">
      <c r="A810"/>
      <c r="B810" s="50"/>
      <c r="C810" s="50"/>
      <c r="F810"/>
      <c r="G810"/>
      <c r="H810"/>
      <c r="I810"/>
      <c r="L810"/>
      <c r="M810"/>
      <c r="N810" s="50"/>
      <c r="O810"/>
    </row>
    <row r="811" spans="1:15" x14ac:dyDescent="0.2">
      <c r="A811"/>
      <c r="B811" s="50"/>
      <c r="C811" s="50"/>
      <c r="F811"/>
      <c r="G811"/>
      <c r="L811"/>
      <c r="M811"/>
      <c r="N811" s="50"/>
      <c r="O811"/>
    </row>
    <row r="812" spans="1:15" x14ac:dyDescent="0.2">
      <c r="A812"/>
      <c r="B812" s="50"/>
      <c r="C812" s="50"/>
      <c r="F812"/>
      <c r="G812"/>
      <c r="H812"/>
      <c r="I812"/>
      <c r="L812"/>
      <c r="M812"/>
      <c r="N812" s="50"/>
      <c r="O812"/>
    </row>
    <row r="813" spans="1:15" x14ac:dyDescent="0.2">
      <c r="A813"/>
      <c r="B813" s="50"/>
      <c r="C813" s="50"/>
      <c r="F813"/>
      <c r="G813"/>
      <c r="J813"/>
      <c r="K813"/>
      <c r="L813"/>
      <c r="M813"/>
      <c r="N813" s="50"/>
      <c r="O813"/>
    </row>
    <row r="814" spans="1:15" x14ac:dyDescent="0.2">
      <c r="A814"/>
      <c r="B814" s="50"/>
      <c r="C814" s="50"/>
      <c r="F814"/>
      <c r="G814"/>
      <c r="L814"/>
      <c r="M814"/>
      <c r="N814" s="50"/>
      <c r="O814"/>
    </row>
    <row r="815" spans="1:15" x14ac:dyDescent="0.2">
      <c r="A815"/>
      <c r="B815" s="50"/>
      <c r="C815" s="50"/>
      <c r="F815"/>
      <c r="G815"/>
      <c r="M815"/>
      <c r="N815" s="50"/>
      <c r="O815"/>
    </row>
    <row r="816" spans="1:15" x14ac:dyDescent="0.2">
      <c r="A816"/>
      <c r="B816" s="50"/>
      <c r="C816" s="50"/>
      <c r="F816"/>
      <c r="G816"/>
      <c r="H816"/>
      <c r="I816"/>
      <c r="L816"/>
      <c r="M816"/>
      <c r="N816" s="50"/>
      <c r="O816"/>
    </row>
    <row r="817" spans="1:15" x14ac:dyDescent="0.2">
      <c r="A817"/>
      <c r="B817" s="50"/>
      <c r="C817" s="50"/>
      <c r="F817"/>
      <c r="G817"/>
      <c r="H817"/>
      <c r="L817"/>
      <c r="M817"/>
      <c r="N817" s="50"/>
      <c r="O817"/>
    </row>
    <row r="818" spans="1:15" x14ac:dyDescent="0.2">
      <c r="A818"/>
      <c r="B818" s="50"/>
      <c r="C818" s="50"/>
      <c r="F818"/>
      <c r="G818"/>
      <c r="H818"/>
      <c r="I818"/>
      <c r="L818"/>
      <c r="M818"/>
      <c r="N818" s="50"/>
      <c r="O818"/>
    </row>
    <row r="819" spans="1:15" x14ac:dyDescent="0.2">
      <c r="A819"/>
      <c r="B819" s="50"/>
      <c r="C819" s="50"/>
      <c r="F819"/>
      <c r="G819"/>
      <c r="H819"/>
      <c r="I819"/>
      <c r="L819"/>
      <c r="M819"/>
      <c r="N819" s="50"/>
      <c r="O819"/>
    </row>
    <row r="820" spans="1:15" x14ac:dyDescent="0.2">
      <c r="A820"/>
      <c r="B820" s="50"/>
      <c r="C820" s="50"/>
      <c r="F820"/>
      <c r="G820"/>
      <c r="L820"/>
      <c r="M820"/>
      <c r="N820" s="50"/>
      <c r="O820"/>
    </row>
    <row r="821" spans="1:15" x14ac:dyDescent="0.2">
      <c r="A821"/>
      <c r="B821" s="50"/>
      <c r="C821" s="50"/>
      <c r="F821"/>
      <c r="G821"/>
      <c r="I821"/>
      <c r="L821"/>
      <c r="M821"/>
      <c r="N821" s="50"/>
      <c r="O821"/>
    </row>
    <row r="822" spans="1:15" x14ac:dyDescent="0.2">
      <c r="A822"/>
      <c r="B822" s="50"/>
      <c r="C822" s="50"/>
      <c r="F822"/>
      <c r="G822"/>
      <c r="H822"/>
      <c r="I822"/>
      <c r="L822"/>
      <c r="N822" s="50"/>
      <c r="O822"/>
    </row>
    <row r="823" spans="1:15" x14ac:dyDescent="0.2">
      <c r="A823"/>
      <c r="B823" s="50"/>
      <c r="C823" s="50"/>
      <c r="F823"/>
      <c r="G823"/>
      <c r="I823"/>
      <c r="L823"/>
      <c r="M823"/>
      <c r="N823" s="50"/>
      <c r="O823"/>
    </row>
    <row r="824" spans="1:15" x14ac:dyDescent="0.2">
      <c r="A824"/>
      <c r="B824" s="50"/>
      <c r="C824" s="50"/>
      <c r="F824"/>
      <c r="G824"/>
      <c r="H824"/>
      <c r="L824"/>
      <c r="M824"/>
      <c r="N824" s="50"/>
      <c r="O824"/>
    </row>
    <row r="825" spans="1:15" x14ac:dyDescent="0.2">
      <c r="A825"/>
      <c r="B825" s="50"/>
      <c r="C825" s="50"/>
      <c r="F825"/>
      <c r="G825"/>
      <c r="H825"/>
      <c r="I825"/>
      <c r="L825"/>
      <c r="M825"/>
      <c r="N825" s="50"/>
      <c r="O825"/>
    </row>
    <row r="826" spans="1:15" x14ac:dyDescent="0.2">
      <c r="A826"/>
      <c r="B826" s="50"/>
      <c r="C826" s="50"/>
      <c r="F826"/>
      <c r="G826"/>
      <c r="H826"/>
      <c r="I826"/>
      <c r="L826"/>
      <c r="M826"/>
      <c r="N826" s="50"/>
      <c r="O826"/>
    </row>
    <row r="827" spans="1:15" x14ac:dyDescent="0.2">
      <c r="A827"/>
      <c r="B827" s="50"/>
      <c r="C827" s="50"/>
      <c r="F827"/>
      <c r="G827"/>
      <c r="H827"/>
      <c r="I827"/>
      <c r="L827"/>
      <c r="M827"/>
      <c r="N827" s="50"/>
      <c r="O827"/>
    </row>
    <row r="828" spans="1:15" x14ac:dyDescent="0.2">
      <c r="A828"/>
      <c r="B828" s="50"/>
      <c r="C828" s="50"/>
      <c r="F828"/>
      <c r="G828"/>
      <c r="M828"/>
      <c r="N828" s="50"/>
      <c r="O828"/>
    </row>
    <row r="829" spans="1:15" x14ac:dyDescent="0.2">
      <c r="A829"/>
      <c r="B829" s="50"/>
      <c r="C829" s="50"/>
      <c r="F829"/>
      <c r="G829"/>
      <c r="H829"/>
      <c r="M829"/>
      <c r="N829" s="50"/>
      <c r="O829"/>
    </row>
    <row r="830" spans="1:15" x14ac:dyDescent="0.2">
      <c r="A830"/>
      <c r="B830" s="50"/>
      <c r="C830" s="50"/>
      <c r="F830"/>
      <c r="G830"/>
      <c r="I830"/>
      <c r="L830"/>
      <c r="M830"/>
      <c r="N830" s="50"/>
      <c r="O830"/>
    </row>
    <row r="831" spans="1:15" x14ac:dyDescent="0.2">
      <c r="A831"/>
      <c r="B831" s="50"/>
      <c r="C831" s="50"/>
      <c r="F831"/>
      <c r="G831"/>
      <c r="M831"/>
      <c r="N831" s="50"/>
      <c r="O831"/>
    </row>
    <row r="832" spans="1:15" x14ac:dyDescent="0.2">
      <c r="A832"/>
      <c r="B832" s="50"/>
      <c r="C832" s="50"/>
      <c r="F832"/>
      <c r="G832"/>
      <c r="H832"/>
      <c r="I832"/>
      <c r="L832"/>
      <c r="M832"/>
      <c r="N832" s="50"/>
      <c r="O832"/>
    </row>
    <row r="833" spans="1:15" x14ac:dyDescent="0.2">
      <c r="A833"/>
      <c r="B833" s="50"/>
      <c r="C833" s="50"/>
      <c r="F833"/>
      <c r="G833"/>
      <c r="H833"/>
      <c r="I833"/>
      <c r="L833"/>
      <c r="M833"/>
      <c r="N833" s="50"/>
      <c r="O833"/>
    </row>
    <row r="834" spans="1:15" x14ac:dyDescent="0.2">
      <c r="A834"/>
      <c r="B834" s="50"/>
      <c r="C834" s="50"/>
      <c r="F834"/>
      <c r="G834"/>
      <c r="M834"/>
      <c r="N834" s="50"/>
      <c r="O834"/>
    </row>
    <row r="835" spans="1:15" x14ac:dyDescent="0.2">
      <c r="A835"/>
      <c r="B835" s="50"/>
      <c r="C835" s="50"/>
      <c r="F835"/>
      <c r="G835"/>
      <c r="L835"/>
      <c r="M835"/>
      <c r="N835" s="50"/>
      <c r="O835"/>
    </row>
    <row r="836" spans="1:15" x14ac:dyDescent="0.2">
      <c r="A836"/>
      <c r="B836" s="50"/>
      <c r="C836" s="50"/>
      <c r="F836"/>
      <c r="G836"/>
      <c r="H836"/>
      <c r="I836"/>
      <c r="L836"/>
      <c r="M836"/>
      <c r="N836" s="50"/>
      <c r="O836"/>
    </row>
    <row r="837" spans="1:15" x14ac:dyDescent="0.2">
      <c r="A837"/>
      <c r="B837" s="50"/>
      <c r="C837" s="50"/>
      <c r="F837"/>
      <c r="G837"/>
      <c r="L837"/>
      <c r="M837"/>
      <c r="N837" s="50"/>
      <c r="O837"/>
    </row>
    <row r="838" spans="1:15" x14ac:dyDescent="0.2">
      <c r="A838"/>
      <c r="B838" s="50"/>
      <c r="C838" s="50"/>
      <c r="F838"/>
      <c r="G838"/>
      <c r="L838"/>
      <c r="M838"/>
      <c r="N838" s="50"/>
      <c r="O838"/>
    </row>
    <row r="839" spans="1:15" x14ac:dyDescent="0.2">
      <c r="A839"/>
      <c r="B839" s="50"/>
      <c r="C839" s="50"/>
      <c r="F839"/>
      <c r="G839"/>
      <c r="H839"/>
      <c r="I839"/>
      <c r="J839"/>
      <c r="K839"/>
      <c r="L839"/>
      <c r="M839"/>
      <c r="N839" s="50"/>
      <c r="O839"/>
    </row>
    <row r="840" spans="1:15" x14ac:dyDescent="0.2">
      <c r="A840"/>
      <c r="B840" s="50"/>
      <c r="C840" s="50"/>
      <c r="F840"/>
      <c r="G840"/>
      <c r="I840"/>
      <c r="L840"/>
      <c r="M840"/>
      <c r="N840" s="50"/>
      <c r="O840"/>
    </row>
    <row r="841" spans="1:15" x14ac:dyDescent="0.2">
      <c r="A841"/>
      <c r="B841" s="50"/>
      <c r="C841" s="50"/>
      <c r="F841"/>
      <c r="G841"/>
      <c r="H841"/>
      <c r="I841"/>
      <c r="L841"/>
      <c r="M841"/>
      <c r="N841" s="50"/>
      <c r="O841"/>
    </row>
    <row r="842" spans="1:15" x14ac:dyDescent="0.2">
      <c r="A842"/>
      <c r="B842" s="50"/>
      <c r="C842" s="50"/>
      <c r="F842"/>
      <c r="G842"/>
      <c r="I842"/>
      <c r="L842"/>
      <c r="M842"/>
      <c r="N842" s="50"/>
      <c r="O842"/>
    </row>
    <row r="843" spans="1:15" x14ac:dyDescent="0.2">
      <c r="A843"/>
      <c r="B843" s="50"/>
      <c r="C843" s="50"/>
      <c r="F843"/>
      <c r="G843"/>
      <c r="H843"/>
      <c r="I843"/>
      <c r="L843"/>
      <c r="M843"/>
      <c r="N843" s="50"/>
      <c r="O843"/>
    </row>
    <row r="844" spans="1:15" x14ac:dyDescent="0.2">
      <c r="A844"/>
      <c r="B844" s="50"/>
      <c r="C844" s="50"/>
      <c r="F844"/>
      <c r="G844"/>
      <c r="L844"/>
      <c r="M844"/>
      <c r="N844" s="50"/>
      <c r="O844"/>
    </row>
    <row r="845" spans="1:15" x14ac:dyDescent="0.2">
      <c r="A845"/>
      <c r="B845" s="50"/>
      <c r="C845" s="50"/>
      <c r="F845"/>
      <c r="G845"/>
      <c r="J845"/>
      <c r="K845"/>
      <c r="L845"/>
      <c r="M845"/>
      <c r="N845" s="50"/>
      <c r="O845"/>
    </row>
    <row r="846" spans="1:15" x14ac:dyDescent="0.2">
      <c r="A846"/>
      <c r="B846" s="50"/>
      <c r="C846" s="50"/>
      <c r="F846"/>
      <c r="G846"/>
      <c r="I846"/>
      <c r="L846"/>
      <c r="M846"/>
      <c r="N846" s="50"/>
      <c r="O846"/>
    </row>
    <row r="847" spans="1:15" x14ac:dyDescent="0.2">
      <c r="A847"/>
      <c r="B847" s="50"/>
      <c r="C847" s="50"/>
      <c r="F847"/>
      <c r="G847"/>
      <c r="H847"/>
      <c r="I847"/>
      <c r="L847"/>
      <c r="N847" s="50"/>
      <c r="O847"/>
    </row>
    <row r="848" spans="1:15" x14ac:dyDescent="0.2">
      <c r="A848"/>
      <c r="B848" s="50"/>
      <c r="C848" s="50"/>
      <c r="F848"/>
      <c r="G848"/>
      <c r="H848"/>
      <c r="I848"/>
      <c r="L848"/>
      <c r="M848"/>
      <c r="N848" s="50"/>
      <c r="O848"/>
    </row>
    <row r="849" spans="1:15" x14ac:dyDescent="0.2">
      <c r="A849"/>
      <c r="B849" s="50"/>
      <c r="C849" s="50"/>
      <c r="F849"/>
      <c r="G849"/>
      <c r="J849"/>
      <c r="K849"/>
      <c r="L849"/>
      <c r="M849"/>
      <c r="N849" s="50"/>
      <c r="O849"/>
    </row>
    <row r="850" spans="1:15" x14ac:dyDescent="0.2">
      <c r="A850"/>
      <c r="B850" s="50"/>
      <c r="C850" s="50"/>
      <c r="F850"/>
      <c r="G850"/>
      <c r="H850"/>
      <c r="I850"/>
      <c r="L850"/>
      <c r="M850"/>
      <c r="N850" s="50"/>
      <c r="O850"/>
    </row>
    <row r="851" spans="1:15" x14ac:dyDescent="0.2">
      <c r="A851"/>
      <c r="B851" s="50"/>
      <c r="C851" s="50"/>
      <c r="F851"/>
      <c r="G851"/>
      <c r="H851"/>
      <c r="I851"/>
      <c r="L851"/>
      <c r="M851"/>
      <c r="N851" s="50"/>
      <c r="O851"/>
    </row>
    <row r="852" spans="1:15" x14ac:dyDescent="0.2">
      <c r="A852"/>
      <c r="B852" s="50"/>
      <c r="C852" s="50"/>
      <c r="F852"/>
      <c r="G852"/>
      <c r="L852"/>
      <c r="M852"/>
      <c r="N852" s="50"/>
      <c r="O852"/>
    </row>
    <row r="853" spans="1:15" x14ac:dyDescent="0.2">
      <c r="A853"/>
      <c r="B853" s="50"/>
      <c r="C853" s="50"/>
      <c r="F853"/>
      <c r="G853"/>
      <c r="L853"/>
      <c r="M853"/>
      <c r="N853" s="50"/>
      <c r="O853"/>
    </row>
    <row r="854" spans="1:15" x14ac:dyDescent="0.2">
      <c r="A854"/>
      <c r="B854" s="50"/>
      <c r="C854" s="50"/>
      <c r="F854"/>
      <c r="G854"/>
      <c r="H854"/>
      <c r="J854"/>
      <c r="K854"/>
      <c r="L854"/>
      <c r="M854"/>
      <c r="N854" s="50"/>
      <c r="O854"/>
    </row>
    <row r="855" spans="1:15" x14ac:dyDescent="0.2">
      <c r="A855"/>
      <c r="B855" s="50"/>
      <c r="C855" s="50"/>
      <c r="F855"/>
      <c r="G855"/>
      <c r="J855"/>
      <c r="K855"/>
      <c r="L855"/>
      <c r="M855"/>
      <c r="N855" s="50"/>
      <c r="O855"/>
    </row>
    <row r="856" spans="1:15" x14ac:dyDescent="0.2">
      <c r="A856"/>
      <c r="B856" s="50"/>
      <c r="C856" s="50"/>
      <c r="F856"/>
      <c r="G856"/>
      <c r="H856"/>
      <c r="J856"/>
      <c r="K856"/>
      <c r="L856"/>
      <c r="M856"/>
      <c r="N856" s="50"/>
      <c r="O856"/>
    </row>
    <row r="857" spans="1:15" x14ac:dyDescent="0.2">
      <c r="A857"/>
      <c r="B857" s="50"/>
      <c r="C857" s="50"/>
      <c r="F857"/>
      <c r="G857"/>
      <c r="J857"/>
      <c r="K857"/>
      <c r="L857"/>
      <c r="M857"/>
      <c r="N857" s="50"/>
      <c r="O857"/>
    </row>
    <row r="858" spans="1:15" x14ac:dyDescent="0.2">
      <c r="A858"/>
      <c r="B858" s="50"/>
      <c r="C858" s="50"/>
      <c r="F858"/>
      <c r="G858"/>
      <c r="H858"/>
      <c r="J858"/>
      <c r="K858"/>
      <c r="L858"/>
      <c r="M858"/>
      <c r="N858" s="50"/>
      <c r="O858"/>
    </row>
    <row r="859" spans="1:15" x14ac:dyDescent="0.2">
      <c r="A859"/>
      <c r="B859" s="50"/>
      <c r="C859" s="50"/>
      <c r="F859"/>
      <c r="G859"/>
      <c r="H859"/>
      <c r="I859"/>
      <c r="L859"/>
      <c r="N859" s="50"/>
      <c r="O859"/>
    </row>
    <row r="860" spans="1:15" x14ac:dyDescent="0.2">
      <c r="A860"/>
      <c r="B860" s="50"/>
      <c r="C860" s="50"/>
      <c r="F860"/>
      <c r="G860"/>
      <c r="I860"/>
      <c r="L860"/>
      <c r="M860"/>
      <c r="N860" s="50"/>
      <c r="O860"/>
    </row>
    <row r="861" spans="1:15" x14ac:dyDescent="0.2">
      <c r="A861"/>
      <c r="B861" s="50"/>
      <c r="C861" s="50"/>
      <c r="F861"/>
      <c r="G861"/>
      <c r="L861"/>
      <c r="M861"/>
      <c r="N861" s="50"/>
      <c r="O861"/>
    </row>
    <row r="862" spans="1:15" x14ac:dyDescent="0.2">
      <c r="A862"/>
      <c r="B862" s="50"/>
      <c r="C862" s="50"/>
      <c r="F862"/>
      <c r="G862"/>
      <c r="H862"/>
      <c r="J862"/>
      <c r="K862"/>
      <c r="L862"/>
      <c r="M862"/>
      <c r="N862" s="50"/>
      <c r="O862"/>
    </row>
    <row r="863" spans="1:15" x14ac:dyDescent="0.2">
      <c r="A863"/>
      <c r="B863" s="50"/>
      <c r="C863" s="50"/>
      <c r="F863"/>
      <c r="G863"/>
      <c r="H863"/>
      <c r="I863"/>
      <c r="L863"/>
      <c r="M863"/>
      <c r="N863" s="50"/>
      <c r="O863"/>
    </row>
    <row r="864" spans="1:15" x14ac:dyDescent="0.2">
      <c r="A864"/>
      <c r="B864" s="50"/>
      <c r="C864" s="50"/>
      <c r="F864"/>
      <c r="G864"/>
      <c r="H864"/>
      <c r="I864"/>
      <c r="L864"/>
      <c r="N864" s="50"/>
      <c r="O864"/>
    </row>
    <row r="865" spans="1:15" x14ac:dyDescent="0.2">
      <c r="A865"/>
      <c r="B865" s="50"/>
      <c r="C865" s="50"/>
      <c r="F865"/>
      <c r="G865"/>
      <c r="H865"/>
      <c r="I865"/>
      <c r="L865"/>
      <c r="M865"/>
      <c r="N865" s="50"/>
      <c r="O865"/>
    </row>
    <row r="866" spans="1:15" x14ac:dyDescent="0.2">
      <c r="A866"/>
      <c r="B866" s="50"/>
      <c r="C866" s="50"/>
      <c r="F866"/>
      <c r="G866"/>
      <c r="H866"/>
      <c r="I866"/>
      <c r="L866"/>
      <c r="M866"/>
      <c r="N866" s="50"/>
      <c r="O866"/>
    </row>
    <row r="867" spans="1:15" x14ac:dyDescent="0.2">
      <c r="A867"/>
      <c r="B867" s="50"/>
      <c r="C867" s="50"/>
      <c r="F867"/>
      <c r="G867"/>
      <c r="H867"/>
      <c r="I867"/>
      <c r="L867"/>
      <c r="M867"/>
      <c r="N867" s="50"/>
      <c r="O867"/>
    </row>
    <row r="868" spans="1:15" x14ac:dyDescent="0.2">
      <c r="A868"/>
      <c r="B868" s="50"/>
      <c r="C868" s="50"/>
      <c r="F868"/>
      <c r="G868"/>
      <c r="I868"/>
      <c r="L868"/>
      <c r="M868"/>
      <c r="N868" s="50"/>
      <c r="O868"/>
    </row>
    <row r="869" spans="1:15" x14ac:dyDescent="0.2">
      <c r="A869"/>
      <c r="B869" s="50"/>
      <c r="C869" s="50"/>
      <c r="F869"/>
      <c r="G869"/>
      <c r="L869"/>
      <c r="M869"/>
      <c r="N869" s="50"/>
      <c r="O869"/>
    </row>
    <row r="870" spans="1:15" x14ac:dyDescent="0.2">
      <c r="A870"/>
      <c r="B870" s="50"/>
      <c r="C870" s="50"/>
      <c r="F870"/>
      <c r="G870"/>
      <c r="H870"/>
      <c r="J870"/>
      <c r="K870"/>
      <c r="L870"/>
      <c r="M870"/>
      <c r="N870" s="50"/>
      <c r="O870"/>
    </row>
    <row r="871" spans="1:15" x14ac:dyDescent="0.2">
      <c r="A871"/>
      <c r="B871" s="50"/>
      <c r="C871" s="50"/>
      <c r="F871"/>
      <c r="G871"/>
      <c r="I871"/>
      <c r="L871"/>
      <c r="M871"/>
      <c r="N871" s="50"/>
      <c r="O871"/>
    </row>
    <row r="872" spans="1:15" x14ac:dyDescent="0.2">
      <c r="A872"/>
      <c r="B872" s="50"/>
      <c r="C872" s="50"/>
      <c r="F872"/>
      <c r="G872"/>
      <c r="I872"/>
      <c r="L872"/>
      <c r="M872"/>
      <c r="N872" s="50"/>
      <c r="O872"/>
    </row>
    <row r="873" spans="1:15" x14ac:dyDescent="0.2">
      <c r="A873"/>
      <c r="B873" s="50"/>
      <c r="C873" s="50"/>
      <c r="F873"/>
      <c r="G873"/>
      <c r="M873"/>
      <c r="N873" s="50"/>
      <c r="O873"/>
    </row>
    <row r="874" spans="1:15" x14ac:dyDescent="0.2">
      <c r="A874"/>
      <c r="B874" s="50"/>
      <c r="C874" s="50"/>
      <c r="F874"/>
      <c r="G874"/>
      <c r="I874"/>
      <c r="L874"/>
      <c r="M874"/>
      <c r="N874" s="50"/>
      <c r="O874"/>
    </row>
    <row r="875" spans="1:15" x14ac:dyDescent="0.2">
      <c r="A875"/>
      <c r="B875" s="50"/>
      <c r="C875" s="50"/>
      <c r="F875"/>
      <c r="G875"/>
      <c r="I875"/>
      <c r="L875"/>
      <c r="M875"/>
      <c r="N875" s="50"/>
      <c r="O875"/>
    </row>
    <row r="876" spans="1:15" x14ac:dyDescent="0.2">
      <c r="A876"/>
      <c r="B876" s="50"/>
      <c r="C876" s="50"/>
      <c r="F876"/>
      <c r="G876"/>
      <c r="I876"/>
      <c r="L876"/>
      <c r="M876"/>
      <c r="N876" s="50"/>
      <c r="O876"/>
    </row>
    <row r="877" spans="1:15" x14ac:dyDescent="0.2">
      <c r="A877"/>
      <c r="B877" s="50"/>
      <c r="C877" s="50"/>
      <c r="F877"/>
      <c r="G877"/>
      <c r="I877"/>
      <c r="L877"/>
      <c r="M877"/>
      <c r="N877" s="50"/>
      <c r="O877"/>
    </row>
    <row r="878" spans="1:15" x14ac:dyDescent="0.2">
      <c r="A878"/>
      <c r="B878" s="50"/>
      <c r="C878" s="50"/>
      <c r="F878"/>
      <c r="G878"/>
      <c r="H878"/>
      <c r="I878"/>
      <c r="L878"/>
      <c r="M878"/>
      <c r="N878" s="50"/>
      <c r="O878"/>
    </row>
    <row r="879" spans="1:15" x14ac:dyDescent="0.2">
      <c r="A879"/>
      <c r="B879" s="50"/>
      <c r="C879" s="50"/>
      <c r="F879"/>
      <c r="G879"/>
      <c r="H879"/>
      <c r="I879"/>
      <c r="L879"/>
      <c r="M879"/>
      <c r="N879" s="50"/>
      <c r="O879"/>
    </row>
    <row r="880" spans="1:15" x14ac:dyDescent="0.2">
      <c r="A880"/>
      <c r="B880" s="50"/>
      <c r="C880" s="50"/>
      <c r="F880"/>
      <c r="G880"/>
      <c r="H880"/>
      <c r="I880"/>
      <c r="L880"/>
      <c r="M880"/>
      <c r="N880" s="50"/>
      <c r="O880"/>
    </row>
    <row r="881" spans="1:15" x14ac:dyDescent="0.2">
      <c r="A881"/>
      <c r="B881" s="50"/>
      <c r="C881" s="50"/>
      <c r="F881"/>
      <c r="G881"/>
      <c r="L881"/>
      <c r="M881"/>
      <c r="N881" s="50"/>
      <c r="O881"/>
    </row>
    <row r="882" spans="1:15" x14ac:dyDescent="0.2">
      <c r="A882"/>
      <c r="B882" s="50"/>
      <c r="C882" s="50"/>
      <c r="F882"/>
      <c r="G882"/>
      <c r="H882"/>
      <c r="I882"/>
      <c r="L882"/>
      <c r="M882"/>
      <c r="N882" s="50"/>
      <c r="O882"/>
    </row>
    <row r="883" spans="1:15" x14ac:dyDescent="0.2">
      <c r="A883"/>
      <c r="B883" s="50"/>
      <c r="C883" s="50"/>
      <c r="F883"/>
      <c r="G883"/>
      <c r="H883"/>
      <c r="I883"/>
      <c r="L883"/>
      <c r="M883"/>
      <c r="N883" s="50"/>
      <c r="O883"/>
    </row>
    <row r="884" spans="1:15" x14ac:dyDescent="0.2">
      <c r="A884"/>
      <c r="B884" s="50"/>
      <c r="C884" s="50"/>
      <c r="F884"/>
      <c r="G884"/>
      <c r="L884"/>
      <c r="M884"/>
      <c r="N884" s="50"/>
      <c r="O884"/>
    </row>
    <row r="885" spans="1:15" x14ac:dyDescent="0.2">
      <c r="A885"/>
      <c r="B885" s="50"/>
      <c r="C885" s="50"/>
      <c r="F885"/>
      <c r="G885"/>
      <c r="H885"/>
      <c r="I885"/>
      <c r="L885"/>
      <c r="M885"/>
      <c r="N885" s="50"/>
      <c r="O885"/>
    </row>
    <row r="886" spans="1:15" x14ac:dyDescent="0.2">
      <c r="A886"/>
      <c r="B886" s="50"/>
      <c r="C886" s="50"/>
      <c r="F886"/>
      <c r="G886"/>
      <c r="H886"/>
      <c r="I886"/>
      <c r="L886"/>
      <c r="M886"/>
      <c r="N886" s="50"/>
      <c r="O886"/>
    </row>
    <row r="887" spans="1:15" x14ac:dyDescent="0.2">
      <c r="A887"/>
      <c r="B887" s="50"/>
      <c r="C887" s="50"/>
      <c r="F887"/>
      <c r="G887"/>
      <c r="M887"/>
      <c r="N887" s="50"/>
      <c r="O887"/>
    </row>
    <row r="888" spans="1:15" x14ac:dyDescent="0.2">
      <c r="A888"/>
      <c r="B888" s="50"/>
      <c r="C888" s="50"/>
      <c r="F888"/>
      <c r="G888"/>
      <c r="H888"/>
      <c r="I888"/>
      <c r="L888"/>
      <c r="M888"/>
      <c r="N888" s="50"/>
      <c r="O888"/>
    </row>
    <row r="889" spans="1:15" x14ac:dyDescent="0.2">
      <c r="A889"/>
      <c r="B889" s="50"/>
      <c r="C889" s="50"/>
      <c r="F889"/>
      <c r="G889"/>
      <c r="H889"/>
      <c r="I889"/>
      <c r="L889"/>
      <c r="M889"/>
      <c r="N889" s="50"/>
      <c r="O889"/>
    </row>
    <row r="890" spans="1:15" x14ac:dyDescent="0.2">
      <c r="A890"/>
      <c r="B890" s="50"/>
      <c r="C890" s="50"/>
      <c r="F890"/>
      <c r="G890"/>
      <c r="L890"/>
      <c r="M890"/>
      <c r="N890" s="50"/>
      <c r="O890"/>
    </row>
    <row r="891" spans="1:15" x14ac:dyDescent="0.2">
      <c r="A891"/>
      <c r="B891" s="50"/>
      <c r="C891" s="50"/>
      <c r="F891"/>
      <c r="G891"/>
      <c r="I891"/>
      <c r="J891"/>
      <c r="K891"/>
      <c r="L891"/>
      <c r="M891"/>
      <c r="N891" s="50"/>
      <c r="O891"/>
    </row>
    <row r="892" spans="1:15" x14ac:dyDescent="0.2">
      <c r="A892"/>
      <c r="B892" s="50"/>
      <c r="C892" s="50"/>
      <c r="F892"/>
      <c r="G892"/>
      <c r="I892"/>
      <c r="L892"/>
      <c r="M892"/>
      <c r="N892" s="50"/>
      <c r="O892"/>
    </row>
    <row r="893" spans="1:15" x14ac:dyDescent="0.2">
      <c r="A893"/>
      <c r="B893" s="50"/>
      <c r="C893" s="50"/>
      <c r="F893"/>
      <c r="G893"/>
      <c r="I893"/>
      <c r="L893"/>
      <c r="M893"/>
      <c r="N893" s="50"/>
      <c r="O893"/>
    </row>
    <row r="894" spans="1:15" x14ac:dyDescent="0.2">
      <c r="A894"/>
      <c r="B894" s="50"/>
      <c r="C894" s="50"/>
      <c r="F894"/>
      <c r="G894"/>
      <c r="I894"/>
      <c r="L894"/>
      <c r="M894"/>
      <c r="N894" s="50"/>
      <c r="O894"/>
    </row>
    <row r="895" spans="1:15" x14ac:dyDescent="0.2">
      <c r="A895"/>
      <c r="B895" s="50"/>
      <c r="C895" s="50"/>
      <c r="F895"/>
      <c r="G895"/>
      <c r="H895"/>
      <c r="I895"/>
      <c r="L895"/>
      <c r="M895"/>
      <c r="N895" s="50"/>
      <c r="O895"/>
    </row>
    <row r="896" spans="1:15" x14ac:dyDescent="0.2">
      <c r="A896"/>
      <c r="B896" s="50"/>
      <c r="C896" s="50"/>
      <c r="F896"/>
      <c r="G896"/>
      <c r="H896"/>
      <c r="I896"/>
      <c r="L896"/>
      <c r="M896"/>
      <c r="N896" s="50"/>
      <c r="O896"/>
    </row>
    <row r="897" spans="1:15" x14ac:dyDescent="0.2">
      <c r="A897"/>
      <c r="B897" s="50"/>
      <c r="C897" s="50"/>
      <c r="F897"/>
      <c r="G897"/>
      <c r="H897"/>
      <c r="I897"/>
      <c r="L897"/>
      <c r="M897"/>
      <c r="N897" s="50"/>
      <c r="O897"/>
    </row>
    <row r="898" spans="1:15" x14ac:dyDescent="0.2">
      <c r="A898"/>
      <c r="B898" s="50"/>
      <c r="C898" s="50"/>
      <c r="F898"/>
      <c r="G898"/>
      <c r="H898"/>
      <c r="I898"/>
      <c r="L898"/>
      <c r="M898"/>
      <c r="N898" s="50"/>
      <c r="O898"/>
    </row>
    <row r="899" spans="1:15" x14ac:dyDescent="0.2">
      <c r="A899"/>
      <c r="B899" s="50"/>
      <c r="C899" s="50"/>
      <c r="F899"/>
      <c r="G899"/>
      <c r="I899"/>
      <c r="L899"/>
      <c r="M899"/>
      <c r="N899" s="50"/>
      <c r="O899"/>
    </row>
    <row r="900" spans="1:15" x14ac:dyDescent="0.2">
      <c r="A900"/>
      <c r="B900" s="50"/>
      <c r="C900" s="50"/>
      <c r="F900"/>
      <c r="G900"/>
      <c r="I900"/>
      <c r="L900"/>
      <c r="M900"/>
      <c r="N900" s="50"/>
      <c r="O900"/>
    </row>
    <row r="901" spans="1:15" x14ac:dyDescent="0.2">
      <c r="A901"/>
      <c r="B901" s="50"/>
      <c r="C901" s="50"/>
      <c r="F901"/>
      <c r="G901"/>
      <c r="H901"/>
      <c r="I901"/>
      <c r="L901"/>
      <c r="M901"/>
      <c r="N901" s="50"/>
      <c r="O901"/>
    </row>
    <row r="902" spans="1:15" x14ac:dyDescent="0.2">
      <c r="A902"/>
      <c r="B902" s="50"/>
      <c r="C902" s="50"/>
      <c r="F902"/>
      <c r="G902"/>
      <c r="H902"/>
      <c r="I902"/>
      <c r="L902"/>
      <c r="M902"/>
      <c r="N902" s="50"/>
      <c r="O902"/>
    </row>
    <row r="903" spans="1:15" x14ac:dyDescent="0.2">
      <c r="A903"/>
      <c r="B903" s="50"/>
      <c r="C903" s="50"/>
      <c r="F903"/>
      <c r="G903"/>
      <c r="I903"/>
      <c r="L903"/>
      <c r="M903"/>
      <c r="N903" s="50"/>
      <c r="O903"/>
    </row>
    <row r="904" spans="1:15" x14ac:dyDescent="0.2">
      <c r="A904"/>
      <c r="B904" s="50"/>
      <c r="C904" s="50"/>
      <c r="F904"/>
      <c r="G904"/>
      <c r="J904"/>
      <c r="K904"/>
      <c r="L904"/>
      <c r="M904"/>
      <c r="N904" s="50"/>
      <c r="O904"/>
    </row>
    <row r="905" spans="1:15" x14ac:dyDescent="0.2">
      <c r="A905"/>
      <c r="B905" s="50"/>
      <c r="C905" s="50"/>
      <c r="F905"/>
      <c r="G905"/>
      <c r="H905"/>
      <c r="I905"/>
      <c r="L905"/>
      <c r="M905"/>
      <c r="N905" s="50"/>
      <c r="O905"/>
    </row>
    <row r="906" spans="1:15" x14ac:dyDescent="0.2">
      <c r="A906"/>
      <c r="B906" s="50"/>
      <c r="C906" s="50"/>
      <c r="F906"/>
      <c r="G906"/>
      <c r="H906"/>
      <c r="I906"/>
      <c r="L906"/>
      <c r="M906"/>
      <c r="N906" s="50"/>
      <c r="O906"/>
    </row>
    <row r="907" spans="1:15" x14ac:dyDescent="0.2">
      <c r="A907"/>
      <c r="B907" s="50"/>
      <c r="C907" s="50"/>
      <c r="F907"/>
      <c r="G907"/>
      <c r="I907"/>
      <c r="L907"/>
      <c r="M907"/>
      <c r="N907" s="50"/>
      <c r="O907"/>
    </row>
    <row r="908" spans="1:15" x14ac:dyDescent="0.2">
      <c r="A908"/>
      <c r="B908" s="50"/>
      <c r="C908" s="50"/>
      <c r="F908"/>
      <c r="G908"/>
      <c r="H908"/>
      <c r="I908"/>
      <c r="L908"/>
      <c r="M908"/>
      <c r="N908" s="50"/>
      <c r="O908"/>
    </row>
    <row r="909" spans="1:15" x14ac:dyDescent="0.2">
      <c r="A909"/>
      <c r="B909" s="50"/>
      <c r="C909" s="50"/>
      <c r="F909"/>
      <c r="G909"/>
      <c r="I909"/>
      <c r="L909"/>
      <c r="M909"/>
      <c r="N909" s="50"/>
      <c r="O909"/>
    </row>
    <row r="910" spans="1:15" x14ac:dyDescent="0.2">
      <c r="A910"/>
      <c r="B910" s="50"/>
      <c r="C910" s="50"/>
      <c r="F910"/>
      <c r="G910"/>
      <c r="H910"/>
      <c r="I910"/>
      <c r="L910"/>
      <c r="M910"/>
      <c r="N910" s="50"/>
      <c r="O910"/>
    </row>
    <row r="911" spans="1:15" x14ac:dyDescent="0.2">
      <c r="A911"/>
      <c r="B911" s="50"/>
      <c r="C911" s="50"/>
      <c r="F911"/>
      <c r="G911"/>
      <c r="H911"/>
      <c r="I911"/>
      <c r="L911"/>
      <c r="M911"/>
      <c r="N911" s="50"/>
      <c r="O911"/>
    </row>
    <row r="912" spans="1:15" x14ac:dyDescent="0.2">
      <c r="A912"/>
      <c r="B912" s="50"/>
      <c r="C912" s="50"/>
      <c r="F912"/>
      <c r="G912"/>
      <c r="H912"/>
      <c r="J912"/>
      <c r="K912"/>
      <c r="L912"/>
      <c r="M912"/>
      <c r="N912" s="50"/>
      <c r="O912"/>
    </row>
    <row r="913" spans="1:15" x14ac:dyDescent="0.2">
      <c r="A913"/>
      <c r="B913" s="50"/>
      <c r="C913" s="50"/>
      <c r="F913"/>
      <c r="G913"/>
      <c r="H913"/>
      <c r="J913"/>
      <c r="K913"/>
      <c r="L913"/>
      <c r="M913"/>
      <c r="N913" s="50"/>
      <c r="O913"/>
    </row>
    <row r="914" spans="1:15" x14ac:dyDescent="0.2">
      <c r="A914"/>
      <c r="B914" s="50"/>
      <c r="C914" s="50"/>
      <c r="F914"/>
      <c r="G914"/>
      <c r="L914"/>
      <c r="M914"/>
      <c r="N914" s="50"/>
      <c r="O914"/>
    </row>
    <row r="915" spans="1:15" x14ac:dyDescent="0.2">
      <c r="A915"/>
      <c r="B915" s="50"/>
      <c r="C915" s="50"/>
      <c r="F915"/>
      <c r="G915"/>
      <c r="H915"/>
      <c r="J915"/>
      <c r="K915"/>
      <c r="L915"/>
      <c r="M915"/>
      <c r="N915" s="50"/>
      <c r="O915"/>
    </row>
    <row r="916" spans="1:15" x14ac:dyDescent="0.2">
      <c r="A916"/>
      <c r="B916" s="50"/>
      <c r="C916" s="50"/>
      <c r="F916"/>
      <c r="G916"/>
      <c r="H916"/>
      <c r="I916"/>
      <c r="L916"/>
      <c r="M916"/>
      <c r="N916" s="50"/>
      <c r="O916"/>
    </row>
    <row r="917" spans="1:15" x14ac:dyDescent="0.2">
      <c r="A917"/>
      <c r="B917" s="50"/>
      <c r="C917" s="50"/>
      <c r="F917"/>
      <c r="G917"/>
      <c r="H917"/>
      <c r="I917"/>
      <c r="L917"/>
      <c r="M917"/>
      <c r="N917" s="50"/>
      <c r="O917"/>
    </row>
    <row r="918" spans="1:15" x14ac:dyDescent="0.2">
      <c r="A918"/>
      <c r="B918" s="50"/>
      <c r="C918" s="50"/>
      <c r="F918"/>
      <c r="G918"/>
      <c r="H918"/>
      <c r="I918"/>
      <c r="L918"/>
      <c r="M918"/>
      <c r="N918" s="50"/>
      <c r="O918"/>
    </row>
    <row r="919" spans="1:15" x14ac:dyDescent="0.2">
      <c r="A919"/>
      <c r="B919" s="50"/>
      <c r="C919" s="50"/>
      <c r="F919"/>
      <c r="G919"/>
      <c r="H919"/>
      <c r="I919"/>
      <c r="L919"/>
      <c r="M919"/>
      <c r="N919" s="50"/>
      <c r="O919"/>
    </row>
    <row r="920" spans="1:15" x14ac:dyDescent="0.2">
      <c r="A920"/>
      <c r="B920" s="50"/>
      <c r="C920" s="50"/>
      <c r="F920"/>
      <c r="G920"/>
      <c r="H920"/>
      <c r="J920"/>
      <c r="K920"/>
      <c r="L920"/>
      <c r="M920"/>
      <c r="N920" s="50"/>
      <c r="O920"/>
    </row>
    <row r="921" spans="1:15" x14ac:dyDescent="0.2">
      <c r="A921"/>
      <c r="B921" s="50"/>
      <c r="C921" s="50"/>
      <c r="F921"/>
      <c r="G921"/>
      <c r="H921"/>
      <c r="I921"/>
      <c r="L921"/>
      <c r="N921" s="50"/>
      <c r="O921"/>
    </row>
    <row r="922" spans="1:15" x14ac:dyDescent="0.2">
      <c r="A922"/>
      <c r="B922" s="50"/>
      <c r="C922" s="50"/>
      <c r="F922"/>
      <c r="G922"/>
      <c r="H922"/>
      <c r="I922"/>
      <c r="L922"/>
      <c r="M922"/>
      <c r="N922" s="50"/>
      <c r="O922"/>
    </row>
    <row r="923" spans="1:15" x14ac:dyDescent="0.2">
      <c r="A923"/>
      <c r="B923" s="50"/>
      <c r="C923" s="50"/>
      <c r="F923"/>
      <c r="G923"/>
      <c r="H923"/>
      <c r="I923"/>
      <c r="L923"/>
      <c r="M923"/>
      <c r="N923" s="50"/>
      <c r="O923"/>
    </row>
    <row r="924" spans="1:15" x14ac:dyDescent="0.2">
      <c r="A924"/>
      <c r="B924" s="50"/>
      <c r="C924" s="50"/>
      <c r="F924"/>
      <c r="G924"/>
      <c r="L924"/>
      <c r="M924"/>
      <c r="N924" s="50"/>
      <c r="O924"/>
    </row>
    <row r="925" spans="1:15" x14ac:dyDescent="0.2">
      <c r="A925"/>
      <c r="B925" s="50"/>
      <c r="C925" s="50"/>
      <c r="F925"/>
      <c r="G925"/>
      <c r="I925"/>
      <c r="L925"/>
      <c r="M925"/>
      <c r="N925" s="50"/>
      <c r="O925"/>
    </row>
    <row r="926" spans="1:15" x14ac:dyDescent="0.2">
      <c r="A926"/>
      <c r="B926" s="50"/>
      <c r="C926" s="50"/>
      <c r="F926"/>
      <c r="G926"/>
      <c r="H926"/>
      <c r="I926"/>
      <c r="L926"/>
      <c r="M926"/>
      <c r="N926" s="50"/>
      <c r="O926"/>
    </row>
    <row r="927" spans="1:15" x14ac:dyDescent="0.2">
      <c r="A927"/>
      <c r="B927" s="50"/>
      <c r="C927" s="50"/>
      <c r="F927"/>
      <c r="G927"/>
      <c r="L927"/>
      <c r="M927"/>
      <c r="N927" s="50"/>
      <c r="O927"/>
    </row>
    <row r="928" spans="1:15" x14ac:dyDescent="0.2">
      <c r="A928"/>
      <c r="B928" s="50"/>
      <c r="C928" s="50"/>
      <c r="F928"/>
      <c r="G928"/>
      <c r="I928"/>
      <c r="L928"/>
      <c r="M928"/>
      <c r="N928" s="50"/>
      <c r="O928"/>
    </row>
    <row r="929" spans="1:15" x14ac:dyDescent="0.2">
      <c r="A929"/>
      <c r="B929" s="50"/>
      <c r="C929" s="50"/>
      <c r="F929"/>
      <c r="G929"/>
      <c r="I929"/>
      <c r="L929"/>
      <c r="M929"/>
      <c r="N929" s="50"/>
      <c r="O929"/>
    </row>
    <row r="930" spans="1:15" x14ac:dyDescent="0.2">
      <c r="A930"/>
      <c r="B930" s="50"/>
      <c r="C930" s="50"/>
      <c r="F930"/>
      <c r="G930"/>
      <c r="H930"/>
      <c r="I930"/>
      <c r="L930"/>
      <c r="M930"/>
      <c r="N930" s="50"/>
      <c r="O930"/>
    </row>
    <row r="931" spans="1:15" x14ac:dyDescent="0.2">
      <c r="A931"/>
      <c r="B931" s="50"/>
      <c r="C931" s="50"/>
      <c r="F931"/>
      <c r="G931"/>
      <c r="H931"/>
      <c r="I931"/>
      <c r="L931"/>
      <c r="M931"/>
      <c r="N931" s="50"/>
      <c r="O931"/>
    </row>
    <row r="932" spans="1:15" x14ac:dyDescent="0.2">
      <c r="A932"/>
      <c r="B932" s="50"/>
      <c r="C932" s="50"/>
      <c r="F932"/>
      <c r="G932"/>
      <c r="H932"/>
      <c r="I932"/>
      <c r="L932"/>
      <c r="M932"/>
      <c r="N932" s="50"/>
      <c r="O932"/>
    </row>
    <row r="933" spans="1:15" x14ac:dyDescent="0.2">
      <c r="A933"/>
      <c r="B933" s="50"/>
      <c r="C933" s="50"/>
      <c r="F933"/>
      <c r="G933"/>
      <c r="H933"/>
      <c r="I933"/>
      <c r="L933"/>
      <c r="M933"/>
      <c r="N933" s="50"/>
      <c r="O933"/>
    </row>
    <row r="934" spans="1:15" x14ac:dyDescent="0.2">
      <c r="A934"/>
      <c r="B934" s="50"/>
      <c r="C934" s="50"/>
      <c r="F934"/>
      <c r="G934"/>
      <c r="I934"/>
      <c r="L934"/>
      <c r="M934"/>
      <c r="N934" s="50"/>
      <c r="O934"/>
    </row>
    <row r="935" spans="1:15" x14ac:dyDescent="0.2">
      <c r="A935"/>
      <c r="B935" s="50"/>
      <c r="C935" s="50"/>
      <c r="F935"/>
      <c r="G935"/>
      <c r="H935"/>
      <c r="I935"/>
      <c r="L935"/>
      <c r="M935"/>
      <c r="N935" s="50"/>
      <c r="O935"/>
    </row>
    <row r="936" spans="1:15" x14ac:dyDescent="0.2">
      <c r="A936"/>
      <c r="B936" s="50"/>
      <c r="C936" s="50"/>
      <c r="F936"/>
      <c r="G936"/>
      <c r="H936"/>
      <c r="I936"/>
      <c r="L936"/>
      <c r="M936"/>
      <c r="N936" s="50"/>
      <c r="O936"/>
    </row>
    <row r="937" spans="1:15" x14ac:dyDescent="0.2">
      <c r="A937"/>
      <c r="B937" s="50"/>
      <c r="C937" s="50"/>
      <c r="F937"/>
      <c r="G937"/>
      <c r="H937"/>
      <c r="I937"/>
      <c r="L937"/>
      <c r="M937"/>
      <c r="N937" s="50"/>
      <c r="O937"/>
    </row>
    <row r="938" spans="1:15" x14ac:dyDescent="0.2">
      <c r="A938"/>
      <c r="B938" s="50"/>
      <c r="C938" s="50"/>
      <c r="F938"/>
      <c r="G938"/>
      <c r="I938"/>
      <c r="L938"/>
      <c r="M938"/>
      <c r="N938" s="50"/>
      <c r="O938"/>
    </row>
    <row r="939" spans="1:15" x14ac:dyDescent="0.2">
      <c r="A939"/>
      <c r="B939" s="50"/>
      <c r="C939" s="50"/>
      <c r="F939"/>
      <c r="G939"/>
      <c r="H939"/>
      <c r="I939"/>
      <c r="L939"/>
      <c r="M939"/>
      <c r="N939" s="50"/>
      <c r="O939"/>
    </row>
    <row r="940" spans="1:15" x14ac:dyDescent="0.2">
      <c r="A940"/>
      <c r="B940" s="50"/>
      <c r="C940" s="50"/>
      <c r="F940"/>
      <c r="G940"/>
      <c r="H940"/>
      <c r="I940"/>
      <c r="L940"/>
      <c r="M940"/>
      <c r="N940" s="50"/>
      <c r="O940"/>
    </row>
    <row r="941" spans="1:15" x14ac:dyDescent="0.2">
      <c r="A941"/>
      <c r="B941" s="50"/>
      <c r="C941" s="50"/>
      <c r="F941"/>
      <c r="G941"/>
      <c r="L941"/>
      <c r="M941"/>
      <c r="N941" s="50"/>
      <c r="O941"/>
    </row>
    <row r="942" spans="1:15" x14ac:dyDescent="0.2">
      <c r="A942"/>
      <c r="B942" s="50"/>
      <c r="C942" s="50"/>
      <c r="F942"/>
      <c r="G942"/>
      <c r="H942"/>
      <c r="I942"/>
      <c r="L942"/>
      <c r="M942"/>
      <c r="N942" s="50"/>
      <c r="O942"/>
    </row>
    <row r="943" spans="1:15" x14ac:dyDescent="0.2">
      <c r="A943"/>
      <c r="B943" s="50"/>
      <c r="C943" s="50"/>
      <c r="F943"/>
      <c r="G943"/>
      <c r="H943"/>
      <c r="I943"/>
      <c r="L943"/>
      <c r="M943"/>
      <c r="N943" s="50"/>
      <c r="O943"/>
    </row>
    <row r="944" spans="1:15" x14ac:dyDescent="0.2">
      <c r="A944"/>
      <c r="B944" s="50"/>
      <c r="C944" s="50"/>
      <c r="F944"/>
      <c r="G944"/>
      <c r="H944"/>
      <c r="I944"/>
      <c r="J944"/>
      <c r="K944"/>
      <c r="L944"/>
      <c r="M944"/>
      <c r="N944" s="50"/>
      <c r="O944"/>
    </row>
    <row r="945" spans="1:15" x14ac:dyDescent="0.2">
      <c r="A945"/>
      <c r="B945" s="50"/>
      <c r="C945" s="50"/>
      <c r="F945"/>
      <c r="G945"/>
      <c r="H945"/>
      <c r="I945"/>
      <c r="L945"/>
      <c r="M945"/>
      <c r="N945" s="50"/>
      <c r="O945"/>
    </row>
    <row r="946" spans="1:15" x14ac:dyDescent="0.2">
      <c r="A946"/>
      <c r="B946" s="50"/>
      <c r="C946" s="50"/>
      <c r="F946"/>
      <c r="G946"/>
      <c r="H946"/>
      <c r="I946"/>
      <c r="L946"/>
      <c r="M946"/>
      <c r="N946" s="50"/>
      <c r="O946"/>
    </row>
    <row r="947" spans="1:15" x14ac:dyDescent="0.2">
      <c r="A947"/>
      <c r="B947" s="50"/>
      <c r="C947" s="50"/>
      <c r="F947"/>
      <c r="G947"/>
      <c r="H947"/>
      <c r="I947"/>
      <c r="L947"/>
      <c r="M947"/>
      <c r="N947" s="50"/>
      <c r="O947"/>
    </row>
    <row r="948" spans="1:15" x14ac:dyDescent="0.2">
      <c r="A948"/>
      <c r="B948" s="50"/>
      <c r="C948" s="50"/>
      <c r="F948"/>
      <c r="G948"/>
      <c r="I948"/>
      <c r="L948"/>
      <c r="M948"/>
      <c r="N948" s="50"/>
      <c r="O948"/>
    </row>
    <row r="949" spans="1:15" x14ac:dyDescent="0.2">
      <c r="A949"/>
      <c r="B949" s="50"/>
      <c r="C949" s="50"/>
      <c r="F949"/>
      <c r="G949"/>
      <c r="H949"/>
      <c r="I949"/>
      <c r="L949"/>
      <c r="M949"/>
      <c r="N949" s="50"/>
      <c r="O949"/>
    </row>
    <row r="950" spans="1:15" x14ac:dyDescent="0.2">
      <c r="A950"/>
      <c r="B950" s="50"/>
      <c r="C950" s="50"/>
      <c r="F950"/>
      <c r="G950"/>
      <c r="H950"/>
      <c r="J950"/>
      <c r="K950"/>
      <c r="L950"/>
      <c r="M950"/>
      <c r="N950" s="50"/>
      <c r="O950"/>
    </row>
    <row r="951" spans="1:15" x14ac:dyDescent="0.2">
      <c r="A951"/>
      <c r="B951" s="50"/>
      <c r="C951" s="50"/>
      <c r="F951"/>
      <c r="G951"/>
      <c r="L951"/>
      <c r="M951"/>
      <c r="N951" s="50"/>
      <c r="O951"/>
    </row>
    <row r="952" spans="1:15" x14ac:dyDescent="0.2">
      <c r="A952"/>
      <c r="B952" s="50"/>
      <c r="C952" s="50"/>
      <c r="F952"/>
      <c r="G952"/>
      <c r="H952"/>
      <c r="I952"/>
      <c r="L952"/>
      <c r="M952"/>
      <c r="N952" s="50"/>
      <c r="O952"/>
    </row>
    <row r="953" spans="1:15" x14ac:dyDescent="0.2">
      <c r="A953"/>
      <c r="B953" s="50"/>
      <c r="C953" s="50"/>
      <c r="F953"/>
      <c r="G953"/>
      <c r="I953"/>
      <c r="L953"/>
      <c r="M953"/>
      <c r="N953" s="50"/>
      <c r="O953"/>
    </row>
    <row r="954" spans="1:15" x14ac:dyDescent="0.2">
      <c r="A954"/>
      <c r="B954" s="50"/>
      <c r="C954" s="50"/>
      <c r="F954"/>
      <c r="G954"/>
      <c r="I954"/>
      <c r="L954"/>
      <c r="M954"/>
      <c r="N954" s="50"/>
      <c r="O954"/>
    </row>
    <row r="955" spans="1:15" x14ac:dyDescent="0.2">
      <c r="A955"/>
      <c r="B955" s="50"/>
      <c r="C955" s="50"/>
      <c r="F955"/>
      <c r="G955"/>
      <c r="I955"/>
      <c r="L955"/>
      <c r="M955"/>
      <c r="N955" s="50"/>
      <c r="O955"/>
    </row>
    <row r="956" spans="1:15" x14ac:dyDescent="0.2">
      <c r="A956"/>
      <c r="B956" s="50"/>
      <c r="C956" s="50"/>
      <c r="F956"/>
      <c r="G956"/>
      <c r="I956"/>
      <c r="L956"/>
      <c r="M956"/>
      <c r="N956" s="50"/>
      <c r="O956"/>
    </row>
    <row r="957" spans="1:15" x14ac:dyDescent="0.2">
      <c r="A957"/>
      <c r="B957" s="50"/>
      <c r="C957" s="50"/>
      <c r="F957"/>
      <c r="G957"/>
      <c r="H957"/>
      <c r="I957"/>
      <c r="L957"/>
      <c r="M957"/>
      <c r="N957" s="50"/>
      <c r="O957"/>
    </row>
    <row r="958" spans="1:15" x14ac:dyDescent="0.2">
      <c r="A958"/>
      <c r="B958" s="50"/>
      <c r="C958" s="50"/>
      <c r="F958"/>
      <c r="G958"/>
      <c r="H958"/>
      <c r="I958"/>
      <c r="L958"/>
      <c r="M958"/>
      <c r="N958" s="50"/>
      <c r="O958"/>
    </row>
    <row r="959" spans="1:15" x14ac:dyDescent="0.2">
      <c r="A959"/>
      <c r="B959" s="50"/>
      <c r="C959" s="50"/>
      <c r="F959"/>
      <c r="G959"/>
      <c r="H959"/>
      <c r="J959"/>
      <c r="K959"/>
      <c r="L959"/>
      <c r="M959"/>
      <c r="N959" s="50"/>
      <c r="O959"/>
    </row>
    <row r="960" spans="1:15" x14ac:dyDescent="0.2">
      <c r="A960"/>
      <c r="B960" s="50"/>
      <c r="C960" s="50"/>
      <c r="F960"/>
      <c r="G960"/>
      <c r="H960"/>
      <c r="J960"/>
      <c r="K960"/>
      <c r="L960"/>
      <c r="M960"/>
      <c r="N960" s="50"/>
      <c r="O960"/>
    </row>
    <row r="961" spans="1:15" x14ac:dyDescent="0.2">
      <c r="A961"/>
      <c r="B961" s="50"/>
      <c r="C961" s="50"/>
      <c r="F961"/>
      <c r="G961"/>
      <c r="H961"/>
      <c r="I961"/>
      <c r="L961"/>
      <c r="M961"/>
      <c r="N961" s="50"/>
      <c r="O961"/>
    </row>
    <row r="962" spans="1:15" x14ac:dyDescent="0.2">
      <c r="A962"/>
      <c r="B962" s="50"/>
      <c r="C962" s="50"/>
      <c r="F962"/>
      <c r="G962"/>
      <c r="H962"/>
      <c r="I962"/>
      <c r="L962"/>
      <c r="M962"/>
      <c r="N962" s="50"/>
      <c r="O962"/>
    </row>
    <row r="963" spans="1:15" x14ac:dyDescent="0.2">
      <c r="A963"/>
      <c r="B963" s="50"/>
      <c r="C963" s="50"/>
      <c r="F963"/>
      <c r="G963"/>
      <c r="H963"/>
      <c r="I963"/>
      <c r="L963"/>
      <c r="M963"/>
      <c r="N963" s="50"/>
      <c r="O963"/>
    </row>
    <row r="964" spans="1:15" x14ac:dyDescent="0.2">
      <c r="A964"/>
      <c r="B964" s="50"/>
      <c r="C964" s="50"/>
      <c r="F964"/>
      <c r="G964"/>
      <c r="L964"/>
      <c r="M964"/>
      <c r="N964" s="50"/>
      <c r="O964"/>
    </row>
    <row r="965" spans="1:15" x14ac:dyDescent="0.2">
      <c r="A965"/>
      <c r="B965" s="50"/>
      <c r="C965" s="50"/>
      <c r="F965"/>
      <c r="G965"/>
      <c r="L965"/>
      <c r="M965"/>
      <c r="N965" s="50"/>
      <c r="O965"/>
    </row>
    <row r="966" spans="1:15" x14ac:dyDescent="0.2">
      <c r="A966"/>
      <c r="B966" s="50"/>
      <c r="C966" s="50"/>
      <c r="F966"/>
      <c r="G966"/>
      <c r="H966"/>
      <c r="I966"/>
      <c r="L966"/>
      <c r="M966"/>
      <c r="N966" s="50"/>
      <c r="O966"/>
    </row>
    <row r="967" spans="1:15" x14ac:dyDescent="0.2">
      <c r="A967"/>
      <c r="B967" s="50"/>
      <c r="C967" s="50"/>
      <c r="F967"/>
      <c r="G967"/>
      <c r="I967"/>
      <c r="L967"/>
      <c r="M967"/>
      <c r="N967" s="50"/>
      <c r="O967"/>
    </row>
    <row r="968" spans="1:15" x14ac:dyDescent="0.2">
      <c r="A968"/>
      <c r="B968" s="50"/>
      <c r="C968" s="50"/>
      <c r="F968"/>
      <c r="G968"/>
      <c r="H968"/>
      <c r="I968"/>
      <c r="L968"/>
      <c r="M968"/>
      <c r="N968" s="50"/>
      <c r="O968"/>
    </row>
    <row r="969" spans="1:15" x14ac:dyDescent="0.2">
      <c r="A969"/>
      <c r="B969" s="50"/>
      <c r="C969" s="50"/>
      <c r="F969"/>
      <c r="G969"/>
      <c r="I969"/>
      <c r="L969"/>
      <c r="M969"/>
      <c r="N969" s="50"/>
      <c r="O969"/>
    </row>
    <row r="970" spans="1:15" x14ac:dyDescent="0.2">
      <c r="A970"/>
      <c r="B970" s="50"/>
      <c r="C970" s="50"/>
      <c r="F970"/>
      <c r="G970"/>
      <c r="I970"/>
      <c r="L970"/>
      <c r="M970"/>
      <c r="N970" s="50"/>
      <c r="O970"/>
    </row>
    <row r="971" spans="1:15" x14ac:dyDescent="0.2">
      <c r="A971"/>
      <c r="B971" s="50"/>
      <c r="C971" s="50"/>
      <c r="F971"/>
      <c r="G971"/>
      <c r="I971"/>
      <c r="L971"/>
      <c r="M971"/>
      <c r="N971" s="50"/>
      <c r="O971"/>
    </row>
    <row r="972" spans="1:15" x14ac:dyDescent="0.2">
      <c r="A972"/>
      <c r="B972" s="50"/>
      <c r="C972" s="50"/>
      <c r="F972"/>
      <c r="G972"/>
      <c r="L972"/>
      <c r="M972"/>
      <c r="N972" s="50"/>
      <c r="O972"/>
    </row>
    <row r="973" spans="1:15" x14ac:dyDescent="0.2">
      <c r="A973"/>
      <c r="B973" s="50"/>
      <c r="C973" s="50"/>
      <c r="F973"/>
      <c r="G973"/>
      <c r="H973"/>
      <c r="I973"/>
      <c r="L973"/>
      <c r="M973"/>
      <c r="N973" s="50"/>
      <c r="O973"/>
    </row>
    <row r="974" spans="1:15" x14ac:dyDescent="0.2">
      <c r="A974"/>
      <c r="B974" s="50"/>
      <c r="C974" s="50"/>
      <c r="F974"/>
      <c r="G974"/>
      <c r="I974"/>
      <c r="L974"/>
      <c r="M974"/>
      <c r="N974" s="50"/>
      <c r="O974"/>
    </row>
    <row r="975" spans="1:15" x14ac:dyDescent="0.2">
      <c r="A975"/>
      <c r="B975" s="50"/>
      <c r="C975" s="50"/>
      <c r="F975"/>
      <c r="G975"/>
      <c r="M975"/>
      <c r="N975" s="50"/>
      <c r="O975"/>
    </row>
    <row r="976" spans="1:15" x14ac:dyDescent="0.2">
      <c r="A976"/>
      <c r="B976" s="50"/>
      <c r="C976" s="50"/>
      <c r="F976"/>
      <c r="G976"/>
      <c r="M976"/>
      <c r="N976" s="50"/>
      <c r="O976"/>
    </row>
    <row r="977" spans="1:15" x14ac:dyDescent="0.2">
      <c r="A977"/>
      <c r="B977" s="50"/>
      <c r="C977" s="50"/>
      <c r="F977"/>
      <c r="G977"/>
      <c r="H977"/>
      <c r="I977"/>
      <c r="L977"/>
      <c r="M977"/>
      <c r="N977" s="50"/>
      <c r="O977"/>
    </row>
    <row r="978" spans="1:15" x14ac:dyDescent="0.2">
      <c r="A978"/>
      <c r="B978" s="50"/>
      <c r="C978" s="50"/>
      <c r="F978"/>
      <c r="G978"/>
      <c r="H978"/>
      <c r="I978"/>
      <c r="L978"/>
      <c r="M978"/>
      <c r="N978" s="50"/>
      <c r="O978"/>
    </row>
    <row r="979" spans="1:15" x14ac:dyDescent="0.2">
      <c r="A979"/>
      <c r="B979" s="50"/>
      <c r="C979" s="50"/>
      <c r="F979"/>
      <c r="G979"/>
      <c r="H979"/>
      <c r="I979"/>
      <c r="L979"/>
      <c r="M979"/>
      <c r="N979" s="50"/>
      <c r="O979"/>
    </row>
    <row r="980" spans="1:15" x14ac:dyDescent="0.2">
      <c r="A980"/>
      <c r="B980" s="50"/>
      <c r="C980" s="50"/>
      <c r="F980"/>
      <c r="G980"/>
      <c r="I980"/>
      <c r="L980"/>
      <c r="M980"/>
      <c r="N980" s="50"/>
      <c r="O980"/>
    </row>
    <row r="981" spans="1:15" x14ac:dyDescent="0.2">
      <c r="A981"/>
      <c r="B981" s="50"/>
      <c r="C981" s="50"/>
      <c r="F981"/>
      <c r="G981"/>
      <c r="I981"/>
      <c r="L981"/>
      <c r="M981"/>
      <c r="N981" s="50"/>
      <c r="O981"/>
    </row>
    <row r="982" spans="1:15" x14ac:dyDescent="0.2">
      <c r="A982"/>
      <c r="B982" s="50"/>
      <c r="C982" s="50"/>
      <c r="F982"/>
      <c r="G982"/>
      <c r="H982"/>
      <c r="I982"/>
      <c r="L982"/>
      <c r="M982"/>
      <c r="N982" s="50"/>
      <c r="O982"/>
    </row>
    <row r="983" spans="1:15" x14ac:dyDescent="0.2">
      <c r="A983"/>
      <c r="B983" s="50"/>
      <c r="C983" s="50"/>
      <c r="F983"/>
      <c r="G983"/>
      <c r="J983"/>
      <c r="K983"/>
      <c r="L983"/>
      <c r="M983"/>
      <c r="N983" s="50"/>
      <c r="O983"/>
    </row>
    <row r="984" spans="1:15" x14ac:dyDescent="0.2">
      <c r="A984"/>
      <c r="B984" s="50"/>
      <c r="C984" s="50"/>
      <c r="F984"/>
      <c r="G984"/>
      <c r="H984"/>
      <c r="I984"/>
      <c r="L984"/>
      <c r="M984"/>
      <c r="N984" s="50"/>
      <c r="O984"/>
    </row>
    <row r="985" spans="1:15" x14ac:dyDescent="0.2">
      <c r="A985"/>
      <c r="B985" s="50"/>
      <c r="C985" s="50"/>
      <c r="F985"/>
      <c r="G985"/>
      <c r="I985"/>
      <c r="L985"/>
      <c r="M985"/>
      <c r="N985" s="50"/>
      <c r="O985"/>
    </row>
    <row r="986" spans="1:15" x14ac:dyDescent="0.2">
      <c r="A986"/>
      <c r="B986" s="50"/>
      <c r="C986" s="50"/>
      <c r="F986"/>
      <c r="G986"/>
      <c r="I986"/>
      <c r="L986"/>
      <c r="M986"/>
      <c r="N986" s="50"/>
      <c r="O986"/>
    </row>
    <row r="987" spans="1:15" x14ac:dyDescent="0.2">
      <c r="A987"/>
      <c r="B987" s="50"/>
      <c r="C987" s="50"/>
      <c r="F987"/>
      <c r="G987"/>
      <c r="H987"/>
      <c r="I987"/>
      <c r="L987"/>
      <c r="M987"/>
      <c r="N987" s="50"/>
      <c r="O987"/>
    </row>
    <row r="988" spans="1:15" x14ac:dyDescent="0.2">
      <c r="A988"/>
      <c r="B988" s="50"/>
      <c r="C988" s="50"/>
      <c r="F988"/>
      <c r="G988"/>
      <c r="H988"/>
      <c r="I988"/>
      <c r="L988"/>
      <c r="M988"/>
      <c r="N988" s="50"/>
      <c r="O988"/>
    </row>
    <row r="989" spans="1:15" x14ac:dyDescent="0.2">
      <c r="A989"/>
      <c r="B989" s="50"/>
      <c r="C989" s="50"/>
      <c r="F989"/>
      <c r="G989"/>
      <c r="H989"/>
      <c r="I989"/>
      <c r="L989"/>
      <c r="M989"/>
      <c r="N989" s="50"/>
      <c r="O989"/>
    </row>
    <row r="990" spans="1:15" x14ac:dyDescent="0.2">
      <c r="A990"/>
      <c r="B990" s="50"/>
      <c r="C990" s="50"/>
      <c r="F990"/>
      <c r="G990"/>
      <c r="H990"/>
      <c r="I990"/>
      <c r="L990"/>
      <c r="M990"/>
      <c r="N990" s="50"/>
      <c r="O990"/>
    </row>
    <row r="991" spans="1:15" x14ac:dyDescent="0.2">
      <c r="A991"/>
      <c r="B991" s="50"/>
      <c r="C991" s="50"/>
      <c r="F991"/>
      <c r="G991"/>
      <c r="L991"/>
      <c r="M991"/>
      <c r="N991" s="50"/>
      <c r="O991"/>
    </row>
    <row r="992" spans="1:15" x14ac:dyDescent="0.2">
      <c r="A992"/>
      <c r="B992" s="50"/>
      <c r="C992" s="50"/>
      <c r="F992"/>
      <c r="G992"/>
      <c r="H992"/>
      <c r="I992"/>
      <c r="L992"/>
      <c r="M992"/>
      <c r="N992" s="50"/>
      <c r="O992"/>
    </row>
    <row r="993" spans="1:15" x14ac:dyDescent="0.2">
      <c r="A993"/>
      <c r="B993" s="50"/>
      <c r="C993" s="50"/>
      <c r="F993"/>
      <c r="G993"/>
      <c r="L993"/>
      <c r="M993"/>
      <c r="N993" s="50"/>
      <c r="O993"/>
    </row>
    <row r="994" spans="1:15" x14ac:dyDescent="0.2">
      <c r="A994"/>
      <c r="B994" s="50"/>
      <c r="C994" s="50"/>
      <c r="F994"/>
      <c r="G994"/>
      <c r="H994"/>
      <c r="I994"/>
      <c r="L994"/>
      <c r="M994"/>
      <c r="N994" s="50"/>
      <c r="O994"/>
    </row>
    <row r="995" spans="1:15" x14ac:dyDescent="0.2">
      <c r="A995"/>
      <c r="B995" s="50"/>
      <c r="C995" s="50"/>
      <c r="F995"/>
      <c r="G995"/>
      <c r="I995"/>
      <c r="L995"/>
      <c r="M995"/>
      <c r="N995" s="50"/>
      <c r="O995"/>
    </row>
    <row r="996" spans="1:15" x14ac:dyDescent="0.2">
      <c r="A996"/>
      <c r="B996" s="50"/>
      <c r="C996" s="50"/>
      <c r="F996"/>
      <c r="G996"/>
      <c r="H996"/>
      <c r="I996"/>
      <c r="L996"/>
      <c r="M996"/>
      <c r="N996" s="50"/>
      <c r="O996"/>
    </row>
    <row r="997" spans="1:15" x14ac:dyDescent="0.2">
      <c r="A997"/>
      <c r="B997" s="50"/>
      <c r="C997" s="50"/>
      <c r="F997"/>
      <c r="G997"/>
      <c r="H997"/>
      <c r="I997"/>
      <c r="L997"/>
      <c r="M997"/>
      <c r="N997" s="50"/>
      <c r="O997"/>
    </row>
    <row r="998" spans="1:15" x14ac:dyDescent="0.2">
      <c r="A998"/>
      <c r="B998" s="50"/>
      <c r="C998" s="50"/>
      <c r="F998"/>
      <c r="G998"/>
      <c r="H998"/>
      <c r="I998"/>
      <c r="L998"/>
      <c r="M998"/>
      <c r="N998" s="50"/>
      <c r="O998"/>
    </row>
    <row r="999" spans="1:15" x14ac:dyDescent="0.2">
      <c r="A999"/>
      <c r="B999" s="50"/>
      <c r="C999" s="50"/>
      <c r="F999"/>
      <c r="G999"/>
      <c r="H999"/>
      <c r="I999"/>
      <c r="L999"/>
      <c r="M999"/>
      <c r="N999" s="50"/>
      <c r="O999"/>
    </row>
    <row r="1000" spans="1:15" x14ac:dyDescent="0.2">
      <c r="A1000"/>
      <c r="B1000" s="50"/>
      <c r="C1000" s="50"/>
      <c r="F1000"/>
      <c r="G1000"/>
      <c r="H1000"/>
      <c r="I1000"/>
      <c r="L1000"/>
      <c r="M1000"/>
      <c r="N1000" s="50"/>
      <c r="O1000"/>
    </row>
    <row r="1001" spans="1:15" x14ac:dyDescent="0.2">
      <c r="A1001"/>
      <c r="B1001" s="50"/>
      <c r="C1001" s="50"/>
      <c r="F1001"/>
      <c r="G1001"/>
      <c r="H1001"/>
      <c r="I1001"/>
      <c r="L1001"/>
      <c r="M1001"/>
      <c r="N1001" s="50"/>
      <c r="O1001"/>
    </row>
    <row r="1002" spans="1:15" x14ac:dyDescent="0.2">
      <c r="A1002"/>
      <c r="B1002" s="50"/>
      <c r="C1002" s="50"/>
      <c r="F1002"/>
      <c r="G1002"/>
      <c r="I1002"/>
      <c r="L1002"/>
      <c r="M1002"/>
      <c r="N1002" s="50"/>
      <c r="O1002"/>
    </row>
    <row r="1003" spans="1:15" x14ac:dyDescent="0.2">
      <c r="A1003"/>
      <c r="B1003" s="50"/>
      <c r="C1003" s="50"/>
      <c r="F1003"/>
      <c r="G1003"/>
      <c r="I1003"/>
      <c r="L1003"/>
      <c r="M1003"/>
      <c r="N1003" s="50"/>
      <c r="O1003"/>
    </row>
    <row r="1004" spans="1:15" x14ac:dyDescent="0.2">
      <c r="A1004"/>
      <c r="B1004" s="50"/>
      <c r="C1004" s="50"/>
      <c r="F1004"/>
      <c r="G1004"/>
      <c r="I1004"/>
      <c r="J1004"/>
      <c r="K1004"/>
      <c r="L1004"/>
      <c r="M1004"/>
      <c r="N1004" s="50"/>
      <c r="O1004"/>
    </row>
    <row r="1005" spans="1:15" x14ac:dyDescent="0.2">
      <c r="A1005"/>
      <c r="B1005" s="50"/>
      <c r="C1005" s="50"/>
      <c r="F1005"/>
      <c r="G1005"/>
      <c r="H1005"/>
      <c r="I1005"/>
      <c r="L1005"/>
      <c r="M1005"/>
      <c r="N1005" s="50"/>
      <c r="O1005"/>
    </row>
    <row r="1006" spans="1:15" x14ac:dyDescent="0.2">
      <c r="A1006"/>
      <c r="B1006" s="50"/>
      <c r="C1006" s="50"/>
      <c r="F1006"/>
      <c r="G1006"/>
      <c r="H1006"/>
      <c r="I1006"/>
      <c r="L1006"/>
      <c r="M1006"/>
      <c r="N1006" s="50"/>
      <c r="O1006"/>
    </row>
    <row r="1007" spans="1:15" x14ac:dyDescent="0.2">
      <c r="A1007"/>
      <c r="B1007" s="50"/>
      <c r="C1007" s="50"/>
      <c r="F1007"/>
      <c r="G1007"/>
      <c r="L1007"/>
      <c r="M1007"/>
      <c r="N1007" s="50"/>
      <c r="O1007"/>
    </row>
    <row r="1008" spans="1:15" x14ac:dyDescent="0.2">
      <c r="A1008"/>
      <c r="B1008" s="50"/>
      <c r="C1008" s="50"/>
      <c r="F1008"/>
      <c r="G1008"/>
      <c r="I1008"/>
      <c r="L1008"/>
      <c r="M1008"/>
      <c r="N1008" s="50"/>
      <c r="O1008"/>
    </row>
    <row r="1009" spans="1:15" x14ac:dyDescent="0.2">
      <c r="A1009"/>
      <c r="B1009" s="50"/>
      <c r="C1009" s="50"/>
      <c r="F1009"/>
      <c r="G1009"/>
      <c r="H1009"/>
      <c r="I1009"/>
      <c r="L1009"/>
      <c r="M1009"/>
      <c r="N1009" s="50"/>
      <c r="O1009"/>
    </row>
    <row r="1010" spans="1:15" x14ac:dyDescent="0.2">
      <c r="A1010"/>
      <c r="B1010" s="50"/>
      <c r="C1010" s="50"/>
      <c r="F1010"/>
      <c r="G1010"/>
      <c r="H1010"/>
      <c r="I1010"/>
      <c r="L1010"/>
      <c r="M1010"/>
      <c r="N1010" s="50"/>
      <c r="O1010"/>
    </row>
    <row r="1011" spans="1:15" x14ac:dyDescent="0.2">
      <c r="A1011"/>
      <c r="B1011" s="50"/>
      <c r="C1011" s="50"/>
      <c r="F1011"/>
      <c r="G1011"/>
      <c r="H1011"/>
      <c r="I1011"/>
      <c r="L1011"/>
      <c r="M1011"/>
      <c r="N1011" s="50"/>
      <c r="O1011"/>
    </row>
    <row r="1012" spans="1:15" x14ac:dyDescent="0.2">
      <c r="A1012"/>
      <c r="B1012" s="50"/>
      <c r="C1012" s="50"/>
      <c r="F1012"/>
      <c r="G1012"/>
      <c r="H1012"/>
      <c r="I1012"/>
      <c r="L1012"/>
      <c r="M1012"/>
      <c r="N1012" s="50"/>
      <c r="O1012"/>
    </row>
    <row r="1013" spans="1:15" x14ac:dyDescent="0.2">
      <c r="A1013"/>
      <c r="B1013" s="50"/>
      <c r="C1013" s="50"/>
      <c r="F1013"/>
      <c r="G1013"/>
      <c r="L1013"/>
      <c r="M1013"/>
      <c r="N1013" s="50"/>
      <c r="O1013"/>
    </row>
    <row r="1014" spans="1:15" x14ac:dyDescent="0.2">
      <c r="A1014"/>
      <c r="B1014" s="50"/>
      <c r="C1014" s="50"/>
      <c r="F1014"/>
      <c r="G1014"/>
      <c r="H1014"/>
      <c r="I1014"/>
      <c r="L1014"/>
      <c r="M1014"/>
      <c r="N1014" s="50"/>
      <c r="O1014"/>
    </row>
    <row r="1015" spans="1:15" x14ac:dyDescent="0.2">
      <c r="A1015"/>
      <c r="B1015" s="50"/>
      <c r="C1015" s="50"/>
      <c r="F1015"/>
      <c r="G1015"/>
      <c r="J1015"/>
      <c r="K1015"/>
      <c r="M1015"/>
      <c r="N1015" s="50"/>
      <c r="O1015"/>
    </row>
    <row r="1016" spans="1:15" x14ac:dyDescent="0.2">
      <c r="A1016"/>
      <c r="B1016" s="50"/>
      <c r="C1016" s="50"/>
      <c r="F1016"/>
      <c r="G1016"/>
      <c r="H1016"/>
      <c r="I1016"/>
      <c r="L1016"/>
      <c r="M1016"/>
      <c r="N1016" s="50"/>
      <c r="O1016"/>
    </row>
    <row r="1017" spans="1:15" x14ac:dyDescent="0.2">
      <c r="A1017"/>
      <c r="B1017" s="50"/>
      <c r="C1017" s="50"/>
      <c r="F1017"/>
      <c r="G1017"/>
      <c r="H1017"/>
      <c r="I1017"/>
      <c r="L1017"/>
      <c r="M1017"/>
      <c r="N1017" s="50"/>
      <c r="O1017"/>
    </row>
    <row r="1018" spans="1:15" x14ac:dyDescent="0.2">
      <c r="A1018"/>
      <c r="B1018" s="50"/>
      <c r="C1018" s="50"/>
      <c r="F1018"/>
      <c r="G1018"/>
      <c r="I1018"/>
      <c r="L1018"/>
      <c r="M1018"/>
      <c r="N1018" s="50"/>
      <c r="O1018"/>
    </row>
    <row r="1019" spans="1:15" x14ac:dyDescent="0.2">
      <c r="A1019"/>
      <c r="B1019" s="50"/>
      <c r="C1019" s="50"/>
      <c r="F1019"/>
      <c r="G1019"/>
      <c r="H1019"/>
      <c r="I1019"/>
      <c r="L1019"/>
      <c r="M1019"/>
      <c r="N1019" s="50"/>
      <c r="O1019"/>
    </row>
    <row r="1020" spans="1:15" x14ac:dyDescent="0.2">
      <c r="A1020"/>
      <c r="B1020" s="50"/>
      <c r="C1020" s="50"/>
      <c r="F1020"/>
      <c r="G1020"/>
      <c r="H1020"/>
      <c r="I1020"/>
      <c r="L1020"/>
      <c r="M1020"/>
      <c r="N1020" s="50"/>
      <c r="O1020"/>
    </row>
    <row r="1021" spans="1:15" x14ac:dyDescent="0.2">
      <c r="A1021"/>
      <c r="B1021" s="50"/>
      <c r="C1021" s="50"/>
      <c r="F1021"/>
      <c r="G1021"/>
      <c r="H1021"/>
      <c r="I1021"/>
      <c r="L1021"/>
      <c r="M1021"/>
      <c r="N1021" s="50"/>
      <c r="O1021"/>
    </row>
    <row r="1022" spans="1:15" x14ac:dyDescent="0.2">
      <c r="A1022"/>
      <c r="B1022" s="50"/>
      <c r="C1022" s="50"/>
      <c r="F1022"/>
      <c r="G1022"/>
      <c r="I1022"/>
      <c r="L1022"/>
      <c r="M1022"/>
      <c r="N1022" s="50"/>
      <c r="O1022"/>
    </row>
    <row r="1023" spans="1:15" x14ac:dyDescent="0.2">
      <c r="A1023"/>
      <c r="B1023" s="50"/>
      <c r="C1023" s="50"/>
      <c r="F1023"/>
      <c r="G1023"/>
      <c r="H1023"/>
      <c r="I1023"/>
      <c r="L1023"/>
      <c r="M1023"/>
      <c r="N1023" s="50"/>
      <c r="O1023"/>
    </row>
    <row r="1024" spans="1:15" x14ac:dyDescent="0.2">
      <c r="A1024"/>
      <c r="B1024" s="50"/>
      <c r="C1024" s="50"/>
      <c r="F1024"/>
      <c r="G1024"/>
      <c r="I1024"/>
      <c r="L1024"/>
      <c r="M1024"/>
      <c r="N1024" s="50"/>
      <c r="O1024"/>
    </row>
    <row r="1025" spans="1:15" x14ac:dyDescent="0.2">
      <c r="A1025"/>
      <c r="B1025" s="50"/>
      <c r="C1025" s="50"/>
      <c r="F1025"/>
      <c r="G1025"/>
      <c r="I1025"/>
      <c r="L1025"/>
      <c r="M1025"/>
      <c r="N1025" s="50"/>
      <c r="O1025"/>
    </row>
    <row r="1026" spans="1:15" x14ac:dyDescent="0.2">
      <c r="A1026"/>
      <c r="B1026" s="50"/>
      <c r="C1026" s="50"/>
      <c r="F1026"/>
      <c r="G1026"/>
      <c r="L1026"/>
      <c r="M1026"/>
      <c r="N1026" s="50"/>
      <c r="O1026"/>
    </row>
    <row r="1027" spans="1:15" x14ac:dyDescent="0.2">
      <c r="A1027"/>
      <c r="B1027" s="50"/>
      <c r="C1027" s="50"/>
      <c r="F1027"/>
      <c r="G1027"/>
      <c r="H1027"/>
      <c r="I1027"/>
      <c r="L1027"/>
      <c r="M1027"/>
      <c r="N1027" s="50"/>
      <c r="O1027"/>
    </row>
    <row r="1028" spans="1:15" x14ac:dyDescent="0.2">
      <c r="A1028"/>
      <c r="B1028" s="50"/>
      <c r="C1028" s="50"/>
      <c r="F1028"/>
      <c r="G1028"/>
      <c r="H1028"/>
      <c r="I1028"/>
      <c r="L1028"/>
      <c r="M1028"/>
      <c r="N1028" s="50"/>
      <c r="O1028"/>
    </row>
    <row r="1029" spans="1:15" x14ac:dyDescent="0.2">
      <c r="A1029"/>
      <c r="B1029" s="50"/>
      <c r="C1029" s="50"/>
      <c r="F1029"/>
      <c r="G1029"/>
      <c r="H1029"/>
      <c r="I1029"/>
      <c r="L1029"/>
      <c r="M1029"/>
      <c r="N1029" s="50"/>
      <c r="O1029"/>
    </row>
    <row r="1030" spans="1:15" x14ac:dyDescent="0.2">
      <c r="A1030"/>
      <c r="B1030" s="50"/>
      <c r="C1030" s="50"/>
      <c r="F1030"/>
      <c r="G1030"/>
      <c r="H1030"/>
      <c r="J1030"/>
      <c r="K1030"/>
      <c r="L1030"/>
      <c r="M1030"/>
      <c r="N1030" s="50"/>
      <c r="O1030"/>
    </row>
    <row r="1031" spans="1:15" x14ac:dyDescent="0.2">
      <c r="A1031"/>
      <c r="B1031" s="50"/>
      <c r="C1031" s="50"/>
      <c r="F1031"/>
      <c r="G1031"/>
      <c r="I1031"/>
      <c r="L1031"/>
      <c r="M1031"/>
      <c r="N1031" s="50"/>
      <c r="O1031"/>
    </row>
    <row r="1032" spans="1:15" x14ac:dyDescent="0.2">
      <c r="A1032"/>
      <c r="B1032" s="50"/>
      <c r="C1032" s="50"/>
      <c r="F1032"/>
      <c r="G1032"/>
      <c r="H1032"/>
      <c r="I1032"/>
      <c r="J1032"/>
      <c r="K1032"/>
      <c r="L1032"/>
      <c r="M1032"/>
      <c r="N1032" s="50"/>
      <c r="O1032"/>
    </row>
    <row r="1033" spans="1:15" x14ac:dyDescent="0.2">
      <c r="A1033"/>
      <c r="B1033" s="50"/>
      <c r="C1033" s="50"/>
      <c r="F1033"/>
      <c r="G1033"/>
      <c r="H1033"/>
      <c r="I1033"/>
      <c r="L1033"/>
      <c r="M1033"/>
      <c r="N1033" s="50"/>
      <c r="O1033"/>
    </row>
    <row r="1034" spans="1:15" x14ac:dyDescent="0.2">
      <c r="A1034"/>
      <c r="B1034" s="50"/>
      <c r="C1034" s="50"/>
      <c r="F1034"/>
      <c r="G1034"/>
      <c r="H1034"/>
      <c r="I1034"/>
      <c r="L1034"/>
      <c r="M1034"/>
      <c r="N1034" s="50"/>
      <c r="O1034"/>
    </row>
    <row r="1035" spans="1:15" x14ac:dyDescent="0.2">
      <c r="A1035"/>
      <c r="B1035" s="50"/>
      <c r="C1035" s="50"/>
      <c r="F1035"/>
      <c r="G1035"/>
      <c r="J1035"/>
      <c r="K1035"/>
      <c r="L1035"/>
      <c r="M1035"/>
      <c r="N1035" s="50"/>
      <c r="O1035"/>
    </row>
    <row r="1036" spans="1:15" x14ac:dyDescent="0.2">
      <c r="A1036"/>
      <c r="B1036" s="50"/>
      <c r="C1036" s="50"/>
      <c r="F1036"/>
      <c r="G1036"/>
      <c r="H1036"/>
      <c r="I1036"/>
      <c r="L1036"/>
      <c r="M1036"/>
      <c r="N1036" s="50"/>
      <c r="O1036"/>
    </row>
    <row r="1037" spans="1:15" x14ac:dyDescent="0.2">
      <c r="A1037"/>
      <c r="B1037" s="50"/>
      <c r="C1037" s="50"/>
      <c r="F1037"/>
      <c r="G1037"/>
      <c r="H1037"/>
      <c r="I1037"/>
      <c r="L1037"/>
      <c r="M1037"/>
      <c r="N1037" s="50"/>
      <c r="O1037"/>
    </row>
    <row r="1038" spans="1:15" x14ac:dyDescent="0.2">
      <c r="A1038"/>
      <c r="B1038" s="50"/>
      <c r="C1038" s="50"/>
      <c r="F1038"/>
      <c r="G1038"/>
      <c r="H1038"/>
      <c r="J1038"/>
      <c r="K1038"/>
      <c r="L1038"/>
      <c r="M1038"/>
      <c r="N1038" s="50"/>
      <c r="O1038"/>
    </row>
    <row r="1039" spans="1:15" x14ac:dyDescent="0.2">
      <c r="A1039"/>
      <c r="B1039" s="50"/>
      <c r="C1039" s="50"/>
      <c r="F1039"/>
      <c r="G1039"/>
      <c r="H1039"/>
      <c r="J1039"/>
      <c r="K1039"/>
      <c r="L1039"/>
      <c r="M1039"/>
      <c r="N1039" s="50"/>
      <c r="O1039"/>
    </row>
    <row r="1040" spans="1:15" x14ac:dyDescent="0.2">
      <c r="A1040"/>
      <c r="B1040" s="50"/>
      <c r="C1040" s="50"/>
      <c r="F1040"/>
      <c r="G1040"/>
      <c r="H1040"/>
      <c r="I1040"/>
      <c r="L1040"/>
      <c r="N1040" s="50"/>
      <c r="O1040"/>
    </row>
    <row r="1041" spans="1:15" x14ac:dyDescent="0.2">
      <c r="A1041"/>
      <c r="B1041" s="50"/>
      <c r="C1041" s="50"/>
      <c r="F1041"/>
      <c r="G1041"/>
      <c r="H1041"/>
      <c r="J1041"/>
      <c r="K1041"/>
      <c r="L1041"/>
      <c r="M1041"/>
      <c r="N1041" s="50"/>
      <c r="O1041"/>
    </row>
    <row r="1042" spans="1:15" x14ac:dyDescent="0.2">
      <c r="A1042"/>
      <c r="B1042" s="50"/>
      <c r="C1042" s="50"/>
      <c r="F1042"/>
      <c r="G1042"/>
      <c r="H1042"/>
      <c r="J1042"/>
      <c r="K1042"/>
      <c r="L1042"/>
      <c r="M1042"/>
      <c r="N1042" s="50"/>
      <c r="O1042"/>
    </row>
    <row r="1043" spans="1:15" x14ac:dyDescent="0.2">
      <c r="A1043"/>
      <c r="B1043" s="50"/>
      <c r="C1043" s="50"/>
      <c r="F1043"/>
      <c r="G1043"/>
      <c r="H1043"/>
      <c r="I1043"/>
      <c r="L1043"/>
      <c r="M1043"/>
      <c r="N1043" s="50"/>
      <c r="O1043"/>
    </row>
    <row r="1044" spans="1:15" x14ac:dyDescent="0.2">
      <c r="A1044"/>
      <c r="B1044" s="50"/>
      <c r="C1044" s="50"/>
      <c r="F1044"/>
      <c r="G1044"/>
      <c r="H1044"/>
      <c r="J1044"/>
      <c r="K1044"/>
      <c r="L1044"/>
      <c r="M1044"/>
      <c r="N1044" s="50"/>
      <c r="O1044"/>
    </row>
    <row r="1045" spans="1:15" x14ac:dyDescent="0.2">
      <c r="A1045"/>
      <c r="B1045" s="50"/>
      <c r="C1045" s="50"/>
      <c r="G1045"/>
      <c r="J1045"/>
      <c r="K1045"/>
      <c r="L1045"/>
      <c r="M1045"/>
      <c r="N1045" s="50"/>
      <c r="O1045"/>
    </row>
    <row r="1046" spans="1:15" x14ac:dyDescent="0.2">
      <c r="A1046"/>
      <c r="B1046" s="50"/>
      <c r="C1046" s="50"/>
      <c r="F1046"/>
      <c r="G1046"/>
      <c r="H1046"/>
      <c r="I1046"/>
      <c r="L1046"/>
      <c r="N1046" s="50"/>
      <c r="O1046"/>
    </row>
    <row r="1047" spans="1:15" x14ac:dyDescent="0.2">
      <c r="A1047"/>
      <c r="B1047" s="50"/>
      <c r="C1047" s="50"/>
      <c r="F1047"/>
      <c r="G1047"/>
      <c r="L1047"/>
      <c r="M1047"/>
      <c r="N1047" s="50"/>
      <c r="O1047"/>
    </row>
    <row r="1048" spans="1:15" x14ac:dyDescent="0.2">
      <c r="A1048"/>
      <c r="B1048" s="50"/>
      <c r="C1048" s="50"/>
      <c r="F1048"/>
      <c r="G1048"/>
      <c r="J1048"/>
      <c r="K1048"/>
      <c r="L1048"/>
      <c r="M1048"/>
      <c r="N1048" s="50"/>
      <c r="O1048"/>
    </row>
    <row r="1049" spans="1:15" x14ac:dyDescent="0.2">
      <c r="A1049"/>
      <c r="B1049" s="50"/>
      <c r="C1049" s="50"/>
      <c r="F1049"/>
      <c r="G1049"/>
      <c r="H1049"/>
      <c r="I1049"/>
      <c r="L1049"/>
      <c r="M1049"/>
      <c r="N1049" s="50"/>
      <c r="O1049"/>
    </row>
    <row r="1050" spans="1:15" x14ac:dyDescent="0.2">
      <c r="A1050"/>
      <c r="B1050" s="50"/>
      <c r="C1050" s="50"/>
      <c r="F1050"/>
      <c r="G1050"/>
      <c r="H1050"/>
      <c r="I1050"/>
      <c r="L1050"/>
      <c r="M1050"/>
      <c r="N1050" s="50"/>
      <c r="O1050"/>
    </row>
    <row r="1051" spans="1:15" x14ac:dyDescent="0.2">
      <c r="A1051"/>
      <c r="B1051" s="50"/>
      <c r="C1051" s="50"/>
      <c r="F1051"/>
      <c r="G1051"/>
      <c r="L1051"/>
      <c r="M1051"/>
      <c r="N1051" s="50"/>
      <c r="O1051"/>
    </row>
    <row r="1052" spans="1:15" x14ac:dyDescent="0.2">
      <c r="A1052"/>
      <c r="B1052" s="50"/>
      <c r="C1052" s="50"/>
      <c r="F1052"/>
      <c r="G1052"/>
      <c r="I1052"/>
      <c r="L1052"/>
      <c r="M1052"/>
      <c r="N1052" s="50"/>
      <c r="O1052"/>
    </row>
    <row r="1053" spans="1:15" x14ac:dyDescent="0.2">
      <c r="A1053"/>
      <c r="B1053" s="50"/>
      <c r="C1053" s="50"/>
      <c r="F1053"/>
      <c r="G1053"/>
      <c r="H1053"/>
      <c r="I1053"/>
      <c r="L1053"/>
      <c r="M1053"/>
      <c r="N1053" s="50"/>
      <c r="O1053"/>
    </row>
    <row r="1054" spans="1:15" x14ac:dyDescent="0.2">
      <c r="A1054"/>
      <c r="B1054" s="50"/>
      <c r="C1054" s="50"/>
      <c r="F1054"/>
      <c r="G1054"/>
      <c r="H1054"/>
      <c r="I1054"/>
      <c r="L1054"/>
      <c r="M1054"/>
      <c r="N1054" s="50"/>
      <c r="O1054"/>
    </row>
    <row r="1055" spans="1:15" x14ac:dyDescent="0.2">
      <c r="A1055"/>
      <c r="B1055" s="50"/>
      <c r="C1055" s="50"/>
      <c r="F1055"/>
      <c r="G1055"/>
      <c r="M1055"/>
      <c r="N1055" s="50"/>
      <c r="O1055"/>
    </row>
    <row r="1056" spans="1:15" x14ac:dyDescent="0.2">
      <c r="A1056"/>
      <c r="B1056" s="50"/>
      <c r="C1056" s="50"/>
      <c r="F1056"/>
      <c r="G1056"/>
      <c r="M1056"/>
      <c r="N1056" s="50"/>
      <c r="O1056"/>
    </row>
    <row r="1057" spans="1:15" x14ac:dyDescent="0.2">
      <c r="A1057"/>
      <c r="B1057" s="50"/>
      <c r="C1057" s="50"/>
      <c r="F1057"/>
      <c r="G1057"/>
      <c r="N1057" s="50"/>
      <c r="O1057"/>
    </row>
    <row r="1058" spans="1:15" x14ac:dyDescent="0.2">
      <c r="A1058"/>
      <c r="B1058" s="50"/>
      <c r="C1058" s="50"/>
      <c r="F1058"/>
      <c r="G1058"/>
      <c r="H1058"/>
      <c r="I1058"/>
      <c r="L1058"/>
      <c r="M1058"/>
      <c r="N1058" s="50"/>
      <c r="O1058"/>
    </row>
    <row r="1059" spans="1:15" x14ac:dyDescent="0.2">
      <c r="A1059"/>
      <c r="B1059" s="50"/>
      <c r="C1059" s="50"/>
      <c r="F1059"/>
      <c r="G1059"/>
      <c r="L1059"/>
      <c r="M1059"/>
      <c r="N1059" s="50"/>
      <c r="O1059"/>
    </row>
    <row r="1060" spans="1:15" x14ac:dyDescent="0.2">
      <c r="A1060"/>
      <c r="B1060" s="50"/>
      <c r="C1060" s="50"/>
      <c r="F1060"/>
      <c r="G1060"/>
      <c r="H1060"/>
      <c r="I1060"/>
      <c r="L1060"/>
      <c r="M1060"/>
      <c r="N1060" s="50"/>
      <c r="O1060"/>
    </row>
    <row r="1061" spans="1:15" x14ac:dyDescent="0.2">
      <c r="A1061"/>
      <c r="B1061" s="50"/>
      <c r="C1061" s="50"/>
      <c r="F1061"/>
      <c r="G1061"/>
      <c r="H1061"/>
      <c r="I1061"/>
      <c r="L1061"/>
      <c r="N1061" s="50"/>
      <c r="O1061"/>
    </row>
    <row r="1062" spans="1:15" x14ac:dyDescent="0.2">
      <c r="A1062"/>
      <c r="B1062" s="50"/>
      <c r="C1062" s="50"/>
      <c r="F1062"/>
      <c r="G1062"/>
      <c r="I1062"/>
      <c r="L1062"/>
      <c r="M1062"/>
      <c r="N1062" s="50"/>
      <c r="O1062"/>
    </row>
    <row r="1063" spans="1:15" x14ac:dyDescent="0.2">
      <c r="A1063"/>
      <c r="B1063" s="50"/>
      <c r="C1063" s="50"/>
      <c r="F1063"/>
      <c r="G1063"/>
      <c r="H1063"/>
      <c r="I1063"/>
      <c r="L1063"/>
      <c r="M1063"/>
      <c r="N1063" s="50"/>
      <c r="O1063"/>
    </row>
    <row r="1064" spans="1:15" x14ac:dyDescent="0.2">
      <c r="A1064"/>
      <c r="B1064" s="50"/>
      <c r="C1064" s="50"/>
      <c r="F1064"/>
      <c r="G1064"/>
      <c r="H1064"/>
      <c r="I1064"/>
      <c r="L1064"/>
      <c r="M1064"/>
      <c r="N1064" s="50"/>
      <c r="O1064"/>
    </row>
    <row r="1065" spans="1:15" x14ac:dyDescent="0.2">
      <c r="A1065"/>
      <c r="B1065" s="50"/>
      <c r="C1065" s="50"/>
      <c r="F1065"/>
      <c r="G1065"/>
      <c r="I1065"/>
      <c r="L1065"/>
      <c r="M1065"/>
      <c r="N1065" s="50"/>
      <c r="O1065"/>
    </row>
    <row r="1066" spans="1:15" x14ac:dyDescent="0.2">
      <c r="A1066"/>
      <c r="B1066" s="50"/>
      <c r="C1066" s="50"/>
      <c r="F1066"/>
      <c r="G1066"/>
      <c r="I1066"/>
      <c r="L1066"/>
      <c r="M1066"/>
      <c r="N1066" s="50"/>
      <c r="O1066"/>
    </row>
    <row r="1067" spans="1:15" x14ac:dyDescent="0.2">
      <c r="A1067"/>
      <c r="B1067" s="50"/>
      <c r="C1067" s="50"/>
      <c r="F1067"/>
      <c r="G1067"/>
      <c r="L1067"/>
      <c r="M1067"/>
      <c r="N1067" s="50"/>
      <c r="O1067"/>
    </row>
    <row r="1068" spans="1:15" x14ac:dyDescent="0.2">
      <c r="A1068"/>
      <c r="B1068" s="50"/>
      <c r="C1068" s="50"/>
      <c r="F1068"/>
      <c r="G1068"/>
      <c r="H1068"/>
      <c r="I1068"/>
      <c r="L1068"/>
      <c r="M1068"/>
      <c r="N1068" s="50"/>
      <c r="O1068"/>
    </row>
    <row r="1069" spans="1:15" x14ac:dyDescent="0.2">
      <c r="A1069"/>
      <c r="B1069" s="50"/>
      <c r="C1069" s="50"/>
      <c r="F1069"/>
      <c r="G1069"/>
      <c r="L1069"/>
      <c r="M1069"/>
      <c r="N1069" s="50"/>
      <c r="O1069"/>
    </row>
    <row r="1070" spans="1:15" x14ac:dyDescent="0.2">
      <c r="A1070"/>
      <c r="B1070" s="50"/>
      <c r="C1070" s="50"/>
      <c r="F1070"/>
      <c r="G1070"/>
      <c r="H1070"/>
      <c r="I1070"/>
      <c r="L1070"/>
      <c r="M1070"/>
      <c r="N1070" s="50"/>
      <c r="O1070"/>
    </row>
    <row r="1071" spans="1:15" x14ac:dyDescent="0.2">
      <c r="A1071"/>
      <c r="B1071" s="50"/>
      <c r="C1071" s="50"/>
      <c r="F1071"/>
      <c r="G1071"/>
      <c r="M1071"/>
      <c r="N1071" s="50"/>
      <c r="O1071"/>
    </row>
    <row r="1072" spans="1:15" x14ac:dyDescent="0.2">
      <c r="A1072"/>
      <c r="B1072" s="50"/>
      <c r="C1072" s="50"/>
      <c r="F1072"/>
      <c r="G1072"/>
      <c r="H1072"/>
      <c r="I1072"/>
      <c r="L1072"/>
      <c r="M1072"/>
      <c r="N1072" s="50"/>
      <c r="O1072"/>
    </row>
    <row r="1073" spans="1:15" x14ac:dyDescent="0.2">
      <c r="A1073"/>
      <c r="B1073" s="50"/>
      <c r="C1073" s="50"/>
      <c r="F1073"/>
      <c r="G1073"/>
      <c r="H1073"/>
      <c r="I1073"/>
      <c r="L1073"/>
      <c r="M1073"/>
      <c r="N1073" s="50"/>
      <c r="O1073"/>
    </row>
    <row r="1074" spans="1:15" x14ac:dyDescent="0.2">
      <c r="A1074"/>
      <c r="B1074" s="50"/>
      <c r="C1074" s="50"/>
      <c r="F1074"/>
      <c r="G1074"/>
      <c r="H1074"/>
      <c r="I1074"/>
      <c r="L1074"/>
      <c r="M1074"/>
      <c r="N1074" s="50"/>
      <c r="O1074"/>
    </row>
    <row r="1075" spans="1:15" x14ac:dyDescent="0.2">
      <c r="A1075"/>
      <c r="B1075" s="50"/>
      <c r="C1075" s="50"/>
      <c r="F1075"/>
      <c r="G1075"/>
      <c r="H1075"/>
      <c r="I1075"/>
      <c r="L1075"/>
      <c r="M1075"/>
      <c r="N1075" s="50"/>
      <c r="O1075"/>
    </row>
    <row r="1076" spans="1:15" x14ac:dyDescent="0.2">
      <c r="A1076"/>
      <c r="B1076" s="50"/>
      <c r="C1076" s="50"/>
      <c r="F1076"/>
      <c r="G1076"/>
      <c r="H1076"/>
      <c r="J1076"/>
      <c r="K1076"/>
      <c r="L1076"/>
      <c r="M1076"/>
      <c r="N1076" s="50"/>
      <c r="O1076"/>
    </row>
    <row r="1077" spans="1:15" x14ac:dyDescent="0.2">
      <c r="A1077"/>
      <c r="B1077" s="50"/>
      <c r="C1077" s="50"/>
      <c r="F1077"/>
      <c r="G1077"/>
      <c r="H1077"/>
      <c r="J1077"/>
      <c r="K1077"/>
      <c r="L1077"/>
      <c r="M1077"/>
      <c r="N1077" s="50"/>
      <c r="O1077"/>
    </row>
    <row r="1078" spans="1:15" x14ac:dyDescent="0.2">
      <c r="A1078"/>
      <c r="B1078" s="50"/>
      <c r="C1078" s="50"/>
      <c r="F1078"/>
      <c r="G1078"/>
      <c r="H1078"/>
      <c r="J1078"/>
      <c r="K1078"/>
      <c r="L1078"/>
      <c r="M1078"/>
      <c r="N1078" s="50"/>
      <c r="O1078"/>
    </row>
    <row r="1079" spans="1:15" x14ac:dyDescent="0.2">
      <c r="A1079"/>
      <c r="B1079" s="50"/>
      <c r="C1079" s="50"/>
      <c r="F1079"/>
      <c r="G1079"/>
      <c r="H1079"/>
      <c r="L1079"/>
      <c r="M1079"/>
      <c r="N1079" s="50"/>
      <c r="O1079"/>
    </row>
    <row r="1080" spans="1:15" x14ac:dyDescent="0.2">
      <c r="A1080"/>
      <c r="B1080" s="50"/>
      <c r="C1080" s="50"/>
      <c r="F1080"/>
      <c r="G1080"/>
      <c r="I1080"/>
      <c r="L1080"/>
      <c r="M1080"/>
      <c r="N1080" s="50"/>
      <c r="O1080"/>
    </row>
    <row r="1081" spans="1:15" x14ac:dyDescent="0.2">
      <c r="A1081"/>
      <c r="B1081" s="50"/>
      <c r="C1081" s="50"/>
      <c r="F1081"/>
      <c r="G1081"/>
      <c r="I1081"/>
      <c r="L1081"/>
      <c r="M1081"/>
      <c r="N1081" s="50"/>
      <c r="O1081"/>
    </row>
    <row r="1082" spans="1:15" x14ac:dyDescent="0.2">
      <c r="A1082"/>
      <c r="B1082" s="50"/>
      <c r="C1082" s="50"/>
      <c r="F1082"/>
      <c r="G1082"/>
      <c r="M1082"/>
      <c r="N1082" s="50"/>
      <c r="O1082"/>
    </row>
    <row r="1083" spans="1:15" x14ac:dyDescent="0.2">
      <c r="A1083"/>
      <c r="B1083" s="50"/>
      <c r="C1083" s="50"/>
      <c r="F1083"/>
      <c r="G1083"/>
      <c r="H1083"/>
      <c r="I1083"/>
      <c r="L1083"/>
      <c r="M1083"/>
      <c r="N1083" s="50"/>
      <c r="O1083"/>
    </row>
    <row r="1084" spans="1:15" x14ac:dyDescent="0.2">
      <c r="A1084"/>
      <c r="B1084" s="50"/>
      <c r="C1084" s="50"/>
      <c r="F1084"/>
      <c r="G1084"/>
      <c r="J1084"/>
      <c r="K1084"/>
      <c r="L1084"/>
      <c r="M1084"/>
      <c r="N1084" s="50"/>
      <c r="O1084"/>
    </row>
    <row r="1085" spans="1:15" x14ac:dyDescent="0.2">
      <c r="A1085"/>
      <c r="B1085" s="50"/>
      <c r="C1085" s="50"/>
      <c r="F1085"/>
      <c r="G1085"/>
      <c r="H1085"/>
      <c r="I1085"/>
      <c r="L1085"/>
      <c r="M1085"/>
      <c r="N1085" s="50"/>
      <c r="O1085"/>
    </row>
    <row r="1086" spans="1:15" x14ac:dyDescent="0.2">
      <c r="A1086"/>
      <c r="B1086" s="50"/>
      <c r="C1086" s="50"/>
      <c r="F1086"/>
      <c r="G1086"/>
      <c r="H1086"/>
      <c r="I1086"/>
      <c r="L1086"/>
      <c r="N1086" s="50"/>
      <c r="O1086"/>
    </row>
    <row r="1087" spans="1:15" x14ac:dyDescent="0.2">
      <c r="A1087"/>
      <c r="B1087" s="50"/>
      <c r="C1087" s="50"/>
      <c r="F1087"/>
      <c r="G1087"/>
      <c r="H1087"/>
      <c r="J1087"/>
      <c r="K1087"/>
      <c r="L1087"/>
      <c r="M1087"/>
      <c r="N1087" s="50"/>
      <c r="O1087"/>
    </row>
    <row r="1088" spans="1:15" x14ac:dyDescent="0.2">
      <c r="A1088"/>
      <c r="B1088" s="50"/>
      <c r="C1088" s="50"/>
      <c r="F1088"/>
      <c r="G1088"/>
      <c r="H1088"/>
      <c r="I1088"/>
      <c r="L1088"/>
      <c r="M1088"/>
      <c r="N1088" s="50"/>
      <c r="O1088"/>
    </row>
    <row r="1089" spans="1:15" x14ac:dyDescent="0.2">
      <c r="A1089"/>
      <c r="B1089" s="50"/>
      <c r="C1089" s="50"/>
      <c r="F1089"/>
      <c r="G1089"/>
      <c r="I1089"/>
      <c r="L1089"/>
      <c r="M1089"/>
      <c r="N1089" s="50"/>
      <c r="O1089"/>
    </row>
    <row r="1090" spans="1:15" x14ac:dyDescent="0.2">
      <c r="A1090"/>
      <c r="B1090" s="50"/>
      <c r="C1090" s="50"/>
      <c r="F1090"/>
      <c r="G1090"/>
      <c r="H1090"/>
      <c r="I1090"/>
      <c r="L1090"/>
      <c r="M1090"/>
      <c r="N1090" s="50"/>
      <c r="O1090"/>
    </row>
    <row r="1091" spans="1:15" x14ac:dyDescent="0.2">
      <c r="A1091"/>
      <c r="B1091" s="50"/>
      <c r="C1091" s="50"/>
      <c r="F1091"/>
      <c r="G1091"/>
      <c r="L1091"/>
      <c r="M1091"/>
      <c r="N1091" s="50"/>
      <c r="O1091"/>
    </row>
    <row r="1092" spans="1:15" x14ac:dyDescent="0.2">
      <c r="A1092"/>
      <c r="B1092" s="50"/>
      <c r="C1092" s="50"/>
      <c r="F1092"/>
      <c r="G1092"/>
      <c r="L1092"/>
      <c r="M1092"/>
      <c r="N1092" s="50"/>
      <c r="O1092"/>
    </row>
    <row r="1093" spans="1:15" x14ac:dyDescent="0.2">
      <c r="A1093"/>
      <c r="B1093" s="50"/>
      <c r="C1093" s="50"/>
      <c r="F1093"/>
      <c r="G1093"/>
      <c r="L1093"/>
      <c r="M1093"/>
      <c r="N1093" s="50"/>
      <c r="O1093"/>
    </row>
    <row r="1094" spans="1:15" x14ac:dyDescent="0.2">
      <c r="A1094"/>
      <c r="B1094" s="50"/>
      <c r="C1094" s="50"/>
      <c r="F1094"/>
      <c r="G1094"/>
      <c r="I1094"/>
      <c r="L1094"/>
      <c r="M1094"/>
      <c r="N1094" s="50"/>
      <c r="O1094"/>
    </row>
    <row r="1095" spans="1:15" x14ac:dyDescent="0.2">
      <c r="A1095"/>
      <c r="B1095" s="50"/>
      <c r="C1095" s="50"/>
      <c r="F1095"/>
      <c r="G1095"/>
      <c r="I1095"/>
      <c r="L1095"/>
      <c r="M1095"/>
      <c r="N1095" s="50"/>
      <c r="O1095"/>
    </row>
    <row r="1096" spans="1:15" x14ac:dyDescent="0.2">
      <c r="A1096"/>
      <c r="B1096" s="50"/>
      <c r="C1096" s="50"/>
      <c r="F1096"/>
      <c r="G1096"/>
      <c r="I1096"/>
      <c r="L1096"/>
      <c r="M1096"/>
      <c r="N1096" s="50"/>
      <c r="O1096"/>
    </row>
    <row r="1097" spans="1:15" x14ac:dyDescent="0.2">
      <c r="A1097"/>
      <c r="B1097" s="50"/>
      <c r="C1097" s="50"/>
      <c r="F1097"/>
      <c r="G1097"/>
      <c r="H1097"/>
      <c r="I1097"/>
      <c r="L1097"/>
      <c r="M1097"/>
      <c r="N1097" s="50"/>
      <c r="O1097"/>
    </row>
    <row r="1098" spans="1:15" x14ac:dyDescent="0.2">
      <c r="A1098"/>
      <c r="B1098" s="50"/>
      <c r="C1098" s="50"/>
      <c r="F1098"/>
      <c r="G1098"/>
      <c r="H1098"/>
      <c r="L1098"/>
      <c r="M1098"/>
      <c r="N1098" s="50"/>
      <c r="O1098"/>
    </row>
    <row r="1099" spans="1:15" x14ac:dyDescent="0.2">
      <c r="A1099"/>
      <c r="B1099" s="50"/>
      <c r="C1099" s="50"/>
      <c r="F1099"/>
      <c r="G1099"/>
      <c r="I1099"/>
      <c r="L1099"/>
      <c r="M1099"/>
      <c r="N1099" s="50"/>
      <c r="O1099"/>
    </row>
    <row r="1100" spans="1:15" x14ac:dyDescent="0.2">
      <c r="A1100"/>
      <c r="B1100" s="50"/>
      <c r="C1100" s="50"/>
      <c r="F1100"/>
      <c r="G1100"/>
      <c r="N1100" s="50"/>
      <c r="O1100"/>
    </row>
    <row r="1101" spans="1:15" x14ac:dyDescent="0.2">
      <c r="A1101"/>
      <c r="B1101" s="50"/>
      <c r="C1101" s="50"/>
      <c r="F1101"/>
      <c r="G1101"/>
      <c r="I1101"/>
      <c r="L1101"/>
      <c r="M1101"/>
      <c r="N1101" s="50"/>
      <c r="O1101"/>
    </row>
    <row r="1102" spans="1:15" x14ac:dyDescent="0.2">
      <c r="A1102"/>
      <c r="B1102" s="50"/>
      <c r="C1102" s="50"/>
      <c r="F1102"/>
      <c r="G1102"/>
      <c r="L1102"/>
      <c r="M1102"/>
      <c r="N1102" s="50"/>
      <c r="O1102"/>
    </row>
    <row r="1103" spans="1:15" x14ac:dyDescent="0.2">
      <c r="A1103"/>
      <c r="B1103" s="50"/>
      <c r="C1103" s="50"/>
      <c r="F1103"/>
      <c r="G1103"/>
      <c r="I1103"/>
      <c r="L1103"/>
      <c r="M1103"/>
      <c r="N1103" s="50"/>
      <c r="O1103"/>
    </row>
    <row r="1104" spans="1:15" x14ac:dyDescent="0.2">
      <c r="A1104"/>
      <c r="B1104" s="50"/>
      <c r="C1104" s="50"/>
      <c r="F1104"/>
      <c r="G1104"/>
      <c r="H1104"/>
      <c r="I1104"/>
      <c r="L1104"/>
      <c r="M1104"/>
      <c r="N1104" s="50"/>
      <c r="O1104"/>
    </row>
    <row r="1105" spans="1:15" x14ac:dyDescent="0.2">
      <c r="A1105"/>
      <c r="B1105" s="50"/>
      <c r="C1105" s="50"/>
      <c r="F1105"/>
      <c r="G1105"/>
      <c r="H1105"/>
      <c r="J1105"/>
      <c r="K1105"/>
      <c r="L1105"/>
      <c r="M1105"/>
      <c r="N1105" s="50"/>
      <c r="O1105"/>
    </row>
    <row r="1106" spans="1:15" x14ac:dyDescent="0.2">
      <c r="A1106"/>
      <c r="B1106" s="50"/>
      <c r="C1106" s="50"/>
      <c r="F1106"/>
      <c r="G1106"/>
      <c r="I1106"/>
      <c r="L1106"/>
      <c r="M1106"/>
      <c r="N1106" s="50"/>
      <c r="O1106"/>
    </row>
    <row r="1107" spans="1:15" x14ac:dyDescent="0.2">
      <c r="A1107"/>
      <c r="B1107" s="50"/>
      <c r="C1107" s="50"/>
      <c r="F1107"/>
      <c r="G1107"/>
      <c r="J1107"/>
      <c r="K1107"/>
      <c r="L1107"/>
      <c r="M1107"/>
      <c r="N1107" s="50"/>
      <c r="O1107"/>
    </row>
    <row r="1108" spans="1:15" x14ac:dyDescent="0.2">
      <c r="A1108"/>
      <c r="B1108" s="50"/>
      <c r="C1108" s="50"/>
      <c r="F1108"/>
      <c r="G1108"/>
      <c r="I1108"/>
      <c r="L1108"/>
      <c r="M1108"/>
      <c r="N1108" s="50"/>
      <c r="O1108"/>
    </row>
    <row r="1109" spans="1:15" x14ac:dyDescent="0.2">
      <c r="A1109"/>
      <c r="B1109" s="50"/>
      <c r="C1109" s="50"/>
      <c r="F1109"/>
      <c r="G1109"/>
      <c r="I1109"/>
      <c r="L1109"/>
      <c r="M1109"/>
      <c r="N1109" s="50"/>
      <c r="O1109"/>
    </row>
    <row r="1110" spans="1:15" x14ac:dyDescent="0.2">
      <c r="A1110"/>
      <c r="B1110" s="50"/>
      <c r="C1110" s="50"/>
      <c r="F1110"/>
      <c r="G1110"/>
      <c r="M1110"/>
      <c r="N1110" s="50"/>
      <c r="O1110"/>
    </row>
    <row r="1111" spans="1:15" x14ac:dyDescent="0.2">
      <c r="A1111"/>
      <c r="B1111" s="50"/>
      <c r="C1111" s="50"/>
      <c r="F1111"/>
      <c r="G1111"/>
      <c r="H1111"/>
      <c r="L1111"/>
      <c r="M1111"/>
      <c r="N1111" s="50"/>
      <c r="O1111"/>
    </row>
    <row r="1112" spans="1:15" x14ac:dyDescent="0.2">
      <c r="A1112"/>
      <c r="B1112" s="50"/>
      <c r="C1112" s="50"/>
      <c r="F1112"/>
      <c r="G1112"/>
      <c r="I1112"/>
      <c r="L1112"/>
      <c r="M1112"/>
      <c r="N1112" s="50"/>
      <c r="O1112"/>
    </row>
    <row r="1113" spans="1:15" x14ac:dyDescent="0.2">
      <c r="A1113"/>
      <c r="B1113" s="50"/>
      <c r="C1113" s="50"/>
      <c r="F1113"/>
      <c r="G1113"/>
      <c r="H1113"/>
      <c r="I1113"/>
      <c r="L1113"/>
      <c r="M1113"/>
      <c r="N1113" s="50"/>
      <c r="O1113"/>
    </row>
    <row r="1114" spans="1:15" x14ac:dyDescent="0.2">
      <c r="A1114"/>
      <c r="B1114" s="50"/>
      <c r="C1114" s="50"/>
      <c r="F1114"/>
      <c r="G1114"/>
      <c r="H1114"/>
      <c r="I1114"/>
      <c r="L1114"/>
      <c r="M1114"/>
      <c r="N1114" s="50"/>
      <c r="O1114"/>
    </row>
    <row r="1115" spans="1:15" x14ac:dyDescent="0.2">
      <c r="A1115"/>
      <c r="B1115" s="50"/>
      <c r="C1115" s="50"/>
      <c r="F1115"/>
      <c r="G1115"/>
      <c r="H1115"/>
      <c r="J1115"/>
      <c r="K1115"/>
      <c r="L1115"/>
      <c r="M1115"/>
      <c r="N1115" s="50"/>
      <c r="O1115"/>
    </row>
    <row r="1116" spans="1:15" x14ac:dyDescent="0.2">
      <c r="A1116"/>
      <c r="B1116" s="50"/>
      <c r="C1116" s="50"/>
      <c r="F1116"/>
      <c r="G1116"/>
      <c r="L1116"/>
      <c r="M1116"/>
      <c r="N1116" s="50"/>
      <c r="O1116"/>
    </row>
    <row r="1117" spans="1:15" x14ac:dyDescent="0.2">
      <c r="A1117"/>
      <c r="B1117" s="50"/>
      <c r="C1117" s="50"/>
      <c r="F1117"/>
      <c r="G1117"/>
      <c r="H1117"/>
      <c r="L1117"/>
      <c r="M1117"/>
      <c r="N1117" s="50"/>
      <c r="O1117"/>
    </row>
    <row r="1118" spans="1:15" x14ac:dyDescent="0.2">
      <c r="A1118"/>
      <c r="B1118" s="50"/>
      <c r="C1118" s="50"/>
      <c r="F1118"/>
      <c r="G1118"/>
      <c r="J1118"/>
      <c r="K1118"/>
      <c r="L1118"/>
      <c r="M1118"/>
      <c r="N1118" s="50"/>
      <c r="O1118"/>
    </row>
    <row r="1119" spans="1:15" x14ac:dyDescent="0.2">
      <c r="A1119"/>
      <c r="B1119" s="50"/>
      <c r="C1119" s="50"/>
      <c r="F1119"/>
      <c r="G1119"/>
      <c r="L1119"/>
      <c r="M1119"/>
      <c r="N1119" s="50"/>
      <c r="O1119"/>
    </row>
    <row r="1120" spans="1:15" x14ac:dyDescent="0.2">
      <c r="A1120"/>
      <c r="B1120" s="50"/>
      <c r="C1120" s="50"/>
      <c r="F1120"/>
      <c r="G1120"/>
      <c r="L1120"/>
      <c r="M1120"/>
      <c r="N1120" s="50"/>
      <c r="O1120"/>
    </row>
    <row r="1121" spans="1:15" x14ac:dyDescent="0.2">
      <c r="A1121"/>
      <c r="B1121" s="50"/>
      <c r="C1121" s="50"/>
      <c r="F1121"/>
      <c r="G1121"/>
      <c r="H1121"/>
      <c r="L1121"/>
      <c r="M1121"/>
      <c r="N1121" s="50"/>
      <c r="O1121"/>
    </row>
    <row r="1122" spans="1:15" x14ac:dyDescent="0.2">
      <c r="A1122"/>
      <c r="B1122" s="50"/>
      <c r="C1122" s="50"/>
      <c r="F1122"/>
      <c r="G1122"/>
      <c r="H1122"/>
      <c r="I1122"/>
      <c r="L1122"/>
      <c r="M1122"/>
      <c r="N1122" s="50"/>
      <c r="O1122"/>
    </row>
    <row r="1123" spans="1:15" x14ac:dyDescent="0.2">
      <c r="A1123"/>
      <c r="B1123" s="50"/>
      <c r="C1123" s="50"/>
      <c r="F1123"/>
      <c r="G1123"/>
      <c r="L1123"/>
      <c r="M1123"/>
      <c r="N1123" s="50"/>
      <c r="O1123"/>
    </row>
    <row r="1124" spans="1:15" x14ac:dyDescent="0.2">
      <c r="A1124"/>
      <c r="B1124" s="50"/>
      <c r="C1124" s="50"/>
      <c r="F1124"/>
      <c r="G1124"/>
      <c r="L1124"/>
      <c r="M1124"/>
      <c r="N1124" s="50"/>
      <c r="O1124"/>
    </row>
    <row r="1125" spans="1:15" x14ac:dyDescent="0.2">
      <c r="A1125"/>
      <c r="B1125" s="50"/>
      <c r="C1125" s="50"/>
      <c r="F1125"/>
      <c r="G1125"/>
      <c r="H1125"/>
      <c r="I1125"/>
      <c r="L1125"/>
      <c r="M1125"/>
      <c r="N1125" s="50"/>
      <c r="O1125"/>
    </row>
    <row r="1126" spans="1:15" x14ac:dyDescent="0.2">
      <c r="A1126"/>
      <c r="B1126" s="50"/>
      <c r="C1126" s="50"/>
      <c r="F1126"/>
      <c r="G1126"/>
      <c r="J1126"/>
      <c r="K1126"/>
      <c r="L1126"/>
      <c r="M1126"/>
      <c r="N1126" s="50"/>
      <c r="O1126"/>
    </row>
    <row r="1127" spans="1:15" x14ac:dyDescent="0.2">
      <c r="A1127"/>
      <c r="B1127" s="50"/>
      <c r="C1127" s="50"/>
      <c r="F1127"/>
      <c r="G1127"/>
      <c r="I1127"/>
      <c r="L1127"/>
      <c r="M1127"/>
      <c r="N1127" s="50"/>
      <c r="O1127"/>
    </row>
    <row r="1128" spans="1:15" x14ac:dyDescent="0.2">
      <c r="A1128"/>
      <c r="B1128" s="50"/>
      <c r="C1128" s="50"/>
      <c r="F1128"/>
      <c r="G1128"/>
      <c r="H1128"/>
      <c r="I1128"/>
      <c r="L1128"/>
      <c r="M1128"/>
      <c r="N1128" s="50"/>
      <c r="O1128"/>
    </row>
    <row r="1129" spans="1:15" x14ac:dyDescent="0.2">
      <c r="A1129"/>
      <c r="B1129" s="50"/>
      <c r="C1129" s="50"/>
      <c r="F1129"/>
      <c r="G1129"/>
      <c r="H1129"/>
      <c r="J1129"/>
      <c r="L1129"/>
      <c r="M1129"/>
      <c r="N1129" s="50"/>
      <c r="O1129"/>
    </row>
    <row r="1130" spans="1:15" x14ac:dyDescent="0.2">
      <c r="A1130"/>
      <c r="B1130" s="50"/>
      <c r="C1130" s="50"/>
      <c r="F1130"/>
      <c r="G1130"/>
      <c r="H1130"/>
      <c r="I1130"/>
      <c r="L1130"/>
      <c r="M1130"/>
      <c r="N1130" s="50"/>
      <c r="O1130"/>
    </row>
    <row r="1131" spans="1:15" x14ac:dyDescent="0.2">
      <c r="A1131"/>
      <c r="B1131" s="50"/>
      <c r="C1131" s="50"/>
      <c r="F1131"/>
      <c r="G1131"/>
      <c r="H1131"/>
      <c r="I1131"/>
      <c r="L1131"/>
      <c r="M1131"/>
      <c r="N1131" s="50"/>
      <c r="O1131"/>
    </row>
    <row r="1132" spans="1:15" x14ac:dyDescent="0.2">
      <c r="A1132"/>
      <c r="B1132" s="50"/>
      <c r="C1132" s="50"/>
      <c r="F1132"/>
      <c r="G1132"/>
      <c r="L1132"/>
      <c r="M1132"/>
      <c r="N1132" s="50"/>
      <c r="O1132"/>
    </row>
    <row r="1133" spans="1:15" x14ac:dyDescent="0.2">
      <c r="A1133"/>
      <c r="B1133" s="50"/>
      <c r="C1133" s="50"/>
      <c r="F1133"/>
      <c r="G1133"/>
      <c r="H1133"/>
      <c r="I1133"/>
      <c r="L1133"/>
      <c r="M1133"/>
      <c r="N1133" s="50"/>
      <c r="O1133"/>
    </row>
    <row r="1134" spans="1:15" x14ac:dyDescent="0.2">
      <c r="A1134"/>
      <c r="B1134" s="50"/>
      <c r="C1134" s="50"/>
      <c r="F1134"/>
      <c r="G1134"/>
      <c r="H1134"/>
      <c r="I1134"/>
      <c r="L1134"/>
      <c r="M1134"/>
      <c r="N1134" s="50"/>
      <c r="O1134"/>
    </row>
    <row r="1135" spans="1:15" x14ac:dyDescent="0.2">
      <c r="A1135"/>
      <c r="B1135" s="50"/>
      <c r="C1135" s="50"/>
      <c r="F1135"/>
      <c r="G1135"/>
      <c r="I1135"/>
      <c r="L1135"/>
      <c r="M1135"/>
      <c r="N1135" s="50"/>
      <c r="O1135"/>
    </row>
    <row r="1136" spans="1:15" x14ac:dyDescent="0.2">
      <c r="A1136"/>
      <c r="B1136" s="50"/>
      <c r="C1136" s="50"/>
      <c r="F1136"/>
      <c r="G1136"/>
      <c r="H1136"/>
      <c r="I1136"/>
      <c r="L1136"/>
      <c r="N1136" s="50"/>
      <c r="O1136"/>
    </row>
    <row r="1137" spans="1:15" x14ac:dyDescent="0.2">
      <c r="A1137"/>
      <c r="B1137" s="50"/>
      <c r="C1137" s="50"/>
      <c r="F1137"/>
      <c r="G1137"/>
      <c r="I1137"/>
      <c r="L1137"/>
      <c r="M1137"/>
      <c r="N1137" s="50"/>
      <c r="O1137"/>
    </row>
    <row r="1138" spans="1:15" x14ac:dyDescent="0.2">
      <c r="A1138"/>
      <c r="B1138" s="50"/>
      <c r="C1138" s="50"/>
      <c r="F1138"/>
      <c r="G1138"/>
      <c r="I1138"/>
      <c r="L1138"/>
      <c r="M1138"/>
      <c r="N1138" s="50"/>
      <c r="O1138"/>
    </row>
    <row r="1139" spans="1:15" x14ac:dyDescent="0.2">
      <c r="A1139"/>
      <c r="B1139" s="50"/>
      <c r="C1139" s="50"/>
      <c r="F1139"/>
      <c r="G1139"/>
      <c r="J1139"/>
      <c r="K1139"/>
      <c r="L1139"/>
      <c r="M1139"/>
      <c r="N1139" s="50"/>
      <c r="O1139"/>
    </row>
    <row r="1140" spans="1:15" x14ac:dyDescent="0.2">
      <c r="A1140"/>
      <c r="B1140" s="50"/>
      <c r="C1140" s="50"/>
      <c r="F1140"/>
      <c r="G1140"/>
      <c r="I1140"/>
      <c r="L1140"/>
      <c r="M1140"/>
      <c r="N1140" s="50"/>
      <c r="O1140"/>
    </row>
    <row r="1141" spans="1:15" x14ac:dyDescent="0.2">
      <c r="A1141"/>
      <c r="B1141" s="50"/>
      <c r="C1141" s="50"/>
      <c r="F1141"/>
      <c r="G1141"/>
      <c r="I1141"/>
      <c r="L1141"/>
      <c r="M1141"/>
      <c r="N1141" s="50"/>
      <c r="O1141"/>
    </row>
    <row r="1142" spans="1:15" x14ac:dyDescent="0.2">
      <c r="A1142"/>
      <c r="B1142" s="50"/>
      <c r="C1142" s="50"/>
      <c r="F1142"/>
      <c r="G1142"/>
      <c r="H1142"/>
      <c r="I1142"/>
      <c r="L1142"/>
      <c r="M1142"/>
      <c r="N1142" s="50"/>
      <c r="O1142"/>
    </row>
    <row r="1143" spans="1:15" x14ac:dyDescent="0.2">
      <c r="A1143"/>
      <c r="B1143" s="50"/>
      <c r="C1143" s="50"/>
      <c r="F1143"/>
      <c r="G1143"/>
      <c r="H1143"/>
      <c r="I1143"/>
      <c r="L1143"/>
      <c r="M1143"/>
      <c r="N1143" s="50"/>
      <c r="O1143"/>
    </row>
    <row r="1144" spans="1:15" x14ac:dyDescent="0.2">
      <c r="A1144"/>
      <c r="B1144" s="50"/>
      <c r="C1144" s="50"/>
      <c r="F1144"/>
      <c r="G1144"/>
      <c r="H1144"/>
      <c r="I1144"/>
      <c r="L1144"/>
      <c r="M1144"/>
      <c r="N1144" s="50"/>
      <c r="O1144"/>
    </row>
    <row r="1145" spans="1:15" x14ac:dyDescent="0.2">
      <c r="A1145"/>
      <c r="B1145" s="50"/>
      <c r="C1145" s="50"/>
      <c r="F1145"/>
      <c r="G1145"/>
      <c r="H1145"/>
      <c r="I1145"/>
      <c r="L1145"/>
      <c r="M1145"/>
      <c r="N1145" s="50"/>
      <c r="O1145"/>
    </row>
    <row r="1146" spans="1:15" x14ac:dyDescent="0.2">
      <c r="A1146"/>
      <c r="B1146" s="50"/>
      <c r="C1146" s="50"/>
      <c r="F1146"/>
      <c r="G1146"/>
      <c r="I1146"/>
      <c r="L1146"/>
      <c r="M1146"/>
      <c r="N1146" s="50"/>
      <c r="O1146"/>
    </row>
    <row r="1147" spans="1:15" x14ac:dyDescent="0.2">
      <c r="A1147"/>
      <c r="B1147" s="50"/>
      <c r="C1147" s="50"/>
      <c r="F1147"/>
      <c r="G1147"/>
      <c r="H1147"/>
      <c r="I1147"/>
      <c r="L1147"/>
      <c r="M1147"/>
      <c r="N1147" s="50"/>
      <c r="O1147"/>
    </row>
    <row r="1148" spans="1:15" x14ac:dyDescent="0.2">
      <c r="A1148"/>
      <c r="B1148" s="50"/>
      <c r="C1148" s="50"/>
      <c r="F1148"/>
      <c r="G1148"/>
      <c r="H1148"/>
      <c r="I1148"/>
      <c r="L1148"/>
      <c r="N1148" s="50"/>
      <c r="O1148"/>
    </row>
    <row r="1149" spans="1:15" x14ac:dyDescent="0.2">
      <c r="A1149"/>
      <c r="B1149" s="50"/>
      <c r="C1149" s="50"/>
      <c r="F1149"/>
      <c r="G1149"/>
      <c r="I1149"/>
      <c r="L1149"/>
      <c r="M1149"/>
      <c r="N1149" s="50"/>
      <c r="O1149"/>
    </row>
    <row r="1150" spans="1:15" x14ac:dyDescent="0.2">
      <c r="A1150"/>
      <c r="B1150" s="50"/>
      <c r="C1150" s="50"/>
      <c r="F1150"/>
      <c r="G1150"/>
      <c r="H1150"/>
      <c r="I1150"/>
      <c r="L1150"/>
      <c r="M1150"/>
      <c r="N1150" s="50"/>
      <c r="O1150"/>
    </row>
    <row r="1151" spans="1:15" x14ac:dyDescent="0.2">
      <c r="A1151"/>
      <c r="B1151" s="50"/>
      <c r="C1151" s="50"/>
      <c r="F1151"/>
      <c r="G1151"/>
      <c r="L1151"/>
      <c r="M1151"/>
      <c r="N1151" s="50"/>
      <c r="O1151"/>
    </row>
    <row r="1152" spans="1:15" x14ac:dyDescent="0.2">
      <c r="A1152"/>
      <c r="B1152" s="50"/>
      <c r="C1152" s="50"/>
      <c r="F1152"/>
      <c r="G1152"/>
      <c r="H1152"/>
      <c r="L1152"/>
      <c r="M1152"/>
      <c r="N1152" s="50"/>
      <c r="O1152"/>
    </row>
    <row r="1153" spans="1:15" x14ac:dyDescent="0.2">
      <c r="A1153"/>
      <c r="B1153" s="50"/>
      <c r="C1153" s="50"/>
      <c r="F1153"/>
      <c r="G1153"/>
      <c r="H1153"/>
      <c r="I1153"/>
      <c r="L1153"/>
      <c r="M1153"/>
      <c r="N1153" s="50"/>
      <c r="O1153"/>
    </row>
    <row r="1154" spans="1:15" x14ac:dyDescent="0.2">
      <c r="A1154"/>
      <c r="B1154" s="50"/>
      <c r="C1154" s="50"/>
      <c r="F1154"/>
      <c r="G1154"/>
      <c r="H1154"/>
      <c r="J1154"/>
      <c r="K1154"/>
      <c r="L1154"/>
      <c r="M1154"/>
      <c r="N1154" s="50"/>
      <c r="O1154"/>
    </row>
    <row r="1155" spans="1:15" x14ac:dyDescent="0.2">
      <c r="A1155"/>
      <c r="B1155" s="50"/>
      <c r="C1155" s="50"/>
      <c r="F1155"/>
      <c r="G1155"/>
      <c r="H1155"/>
      <c r="I1155"/>
      <c r="L1155"/>
      <c r="M1155"/>
      <c r="N1155" s="50"/>
      <c r="O1155"/>
    </row>
    <row r="1156" spans="1:15" x14ac:dyDescent="0.2">
      <c r="A1156"/>
      <c r="B1156" s="50"/>
      <c r="C1156" s="50"/>
      <c r="F1156"/>
      <c r="G1156"/>
      <c r="L1156"/>
      <c r="M1156"/>
      <c r="N1156" s="50"/>
      <c r="O1156"/>
    </row>
    <row r="1157" spans="1:15" x14ac:dyDescent="0.2">
      <c r="A1157"/>
      <c r="B1157" s="50"/>
      <c r="C1157" s="50"/>
      <c r="F1157"/>
      <c r="G1157"/>
      <c r="H1157"/>
      <c r="I1157"/>
      <c r="L1157"/>
      <c r="M1157"/>
      <c r="N1157" s="50"/>
      <c r="O1157"/>
    </row>
    <row r="1158" spans="1:15" x14ac:dyDescent="0.2">
      <c r="A1158"/>
      <c r="B1158" s="50"/>
      <c r="C1158" s="50"/>
      <c r="F1158"/>
      <c r="G1158"/>
      <c r="M1158"/>
      <c r="N1158" s="50"/>
      <c r="O1158"/>
    </row>
    <row r="1159" spans="1:15" x14ac:dyDescent="0.2">
      <c r="A1159"/>
      <c r="B1159" s="50"/>
      <c r="C1159" s="50"/>
      <c r="F1159"/>
      <c r="G1159"/>
      <c r="H1159"/>
      <c r="L1159"/>
      <c r="M1159"/>
      <c r="N1159" s="50"/>
      <c r="O1159"/>
    </row>
    <row r="1160" spans="1:15" x14ac:dyDescent="0.2">
      <c r="A1160"/>
      <c r="B1160" s="50"/>
      <c r="C1160" s="50"/>
      <c r="F1160"/>
      <c r="G1160"/>
      <c r="H1160"/>
      <c r="I1160"/>
      <c r="L1160"/>
      <c r="M1160"/>
      <c r="N1160" s="50"/>
      <c r="O1160"/>
    </row>
    <row r="1161" spans="1:15" x14ac:dyDescent="0.2">
      <c r="A1161"/>
      <c r="B1161" s="50"/>
      <c r="C1161" s="50"/>
      <c r="F1161"/>
      <c r="G1161"/>
      <c r="L1161"/>
      <c r="M1161"/>
      <c r="N1161" s="50"/>
      <c r="O1161"/>
    </row>
    <row r="1162" spans="1:15" x14ac:dyDescent="0.2">
      <c r="A1162"/>
      <c r="B1162" s="50"/>
      <c r="C1162" s="50"/>
      <c r="F1162"/>
      <c r="G1162"/>
      <c r="I1162"/>
      <c r="L1162"/>
      <c r="M1162"/>
      <c r="N1162" s="50"/>
      <c r="O1162"/>
    </row>
    <row r="1163" spans="1:15" x14ac:dyDescent="0.2">
      <c r="A1163"/>
      <c r="B1163" s="50"/>
      <c r="C1163" s="50"/>
      <c r="F1163"/>
      <c r="G1163"/>
      <c r="H1163"/>
      <c r="J1163"/>
      <c r="K1163"/>
      <c r="L1163"/>
      <c r="M1163"/>
      <c r="N1163" s="50"/>
      <c r="O1163"/>
    </row>
    <row r="1164" spans="1:15" x14ac:dyDescent="0.2">
      <c r="A1164"/>
      <c r="B1164" s="50"/>
      <c r="C1164" s="50"/>
      <c r="F1164"/>
      <c r="G1164"/>
      <c r="L1164"/>
      <c r="M1164"/>
      <c r="N1164" s="50"/>
      <c r="O1164"/>
    </row>
    <row r="1165" spans="1:15" x14ac:dyDescent="0.2">
      <c r="A1165"/>
      <c r="B1165" s="50"/>
      <c r="C1165" s="50"/>
      <c r="F1165"/>
      <c r="G1165"/>
      <c r="H1165"/>
      <c r="J1165"/>
      <c r="K1165"/>
      <c r="L1165"/>
      <c r="M1165"/>
      <c r="N1165" s="50"/>
      <c r="O1165"/>
    </row>
    <row r="1166" spans="1:15" x14ac:dyDescent="0.2">
      <c r="A1166"/>
      <c r="B1166" s="50"/>
      <c r="C1166" s="50"/>
      <c r="F1166"/>
      <c r="G1166"/>
      <c r="H1166"/>
      <c r="J1166"/>
      <c r="K1166"/>
      <c r="L1166"/>
      <c r="M1166"/>
      <c r="N1166" s="50"/>
      <c r="O1166"/>
    </row>
    <row r="1167" spans="1:15" x14ac:dyDescent="0.2">
      <c r="A1167"/>
      <c r="B1167" s="50"/>
      <c r="C1167" s="50"/>
      <c r="F1167"/>
      <c r="G1167"/>
      <c r="H1167"/>
      <c r="L1167"/>
      <c r="M1167"/>
      <c r="N1167" s="50"/>
      <c r="O1167"/>
    </row>
    <row r="1168" spans="1:15" x14ac:dyDescent="0.2">
      <c r="A1168"/>
      <c r="B1168" s="50"/>
      <c r="C1168" s="50"/>
      <c r="F1168"/>
      <c r="G1168"/>
      <c r="H1168"/>
      <c r="J1168"/>
      <c r="K1168"/>
      <c r="L1168"/>
      <c r="M1168"/>
      <c r="N1168" s="50"/>
      <c r="O1168"/>
    </row>
    <row r="1169" spans="1:15" x14ac:dyDescent="0.2">
      <c r="A1169"/>
      <c r="B1169" s="50"/>
      <c r="C1169" s="50"/>
      <c r="F1169"/>
      <c r="G1169"/>
      <c r="H1169"/>
      <c r="I1169"/>
      <c r="L1169"/>
      <c r="M1169"/>
      <c r="N1169" s="50"/>
      <c r="O1169"/>
    </row>
    <row r="1170" spans="1:15" x14ac:dyDescent="0.2">
      <c r="A1170"/>
      <c r="B1170" s="50"/>
      <c r="C1170" s="50"/>
      <c r="F1170"/>
      <c r="G1170"/>
      <c r="H1170"/>
      <c r="I1170"/>
      <c r="L1170"/>
      <c r="M1170"/>
      <c r="N1170" s="50"/>
      <c r="O1170"/>
    </row>
    <row r="1171" spans="1:15" x14ac:dyDescent="0.2">
      <c r="A1171"/>
      <c r="B1171" s="50"/>
      <c r="C1171" s="50"/>
      <c r="F1171"/>
      <c r="G1171"/>
      <c r="H1171"/>
      <c r="I1171"/>
      <c r="L1171"/>
      <c r="M1171"/>
      <c r="N1171" s="50"/>
      <c r="O1171"/>
    </row>
    <row r="1172" spans="1:15" x14ac:dyDescent="0.2">
      <c r="A1172"/>
      <c r="B1172" s="50"/>
      <c r="C1172" s="50"/>
      <c r="F1172"/>
      <c r="G1172"/>
      <c r="H1172"/>
      <c r="I1172"/>
      <c r="L1172"/>
      <c r="M1172"/>
      <c r="N1172" s="50"/>
      <c r="O1172"/>
    </row>
    <row r="1173" spans="1:15" x14ac:dyDescent="0.2">
      <c r="A1173"/>
      <c r="B1173" s="50"/>
      <c r="C1173" s="50"/>
      <c r="F1173"/>
      <c r="G1173"/>
      <c r="H1173"/>
      <c r="I1173"/>
      <c r="L1173"/>
      <c r="M1173"/>
      <c r="N1173" s="50"/>
      <c r="O1173"/>
    </row>
    <row r="1174" spans="1:15" x14ac:dyDescent="0.2">
      <c r="A1174"/>
      <c r="B1174" s="50"/>
      <c r="C1174" s="50"/>
      <c r="F1174"/>
      <c r="G1174"/>
      <c r="J1174"/>
      <c r="K1174"/>
      <c r="L1174"/>
      <c r="M1174"/>
      <c r="N1174" s="50"/>
      <c r="O1174"/>
    </row>
    <row r="1175" spans="1:15" x14ac:dyDescent="0.2">
      <c r="A1175"/>
      <c r="B1175" s="50"/>
      <c r="C1175" s="50"/>
      <c r="F1175"/>
      <c r="G1175"/>
      <c r="H1175"/>
      <c r="I1175"/>
      <c r="L1175"/>
      <c r="M1175"/>
      <c r="N1175" s="50"/>
      <c r="O1175"/>
    </row>
    <row r="1176" spans="1:15" x14ac:dyDescent="0.2">
      <c r="A1176"/>
      <c r="B1176" s="50"/>
      <c r="C1176" s="50"/>
      <c r="F1176"/>
      <c r="G1176"/>
      <c r="I1176"/>
      <c r="L1176"/>
      <c r="M1176"/>
      <c r="N1176" s="50"/>
      <c r="O1176"/>
    </row>
    <row r="1177" spans="1:15" x14ac:dyDescent="0.2">
      <c r="A1177"/>
      <c r="B1177" s="50"/>
      <c r="C1177" s="50"/>
      <c r="F1177"/>
      <c r="G1177"/>
      <c r="H1177"/>
      <c r="I1177"/>
      <c r="L1177"/>
      <c r="M1177"/>
      <c r="N1177" s="50"/>
      <c r="O1177"/>
    </row>
    <row r="1178" spans="1:15" x14ac:dyDescent="0.2">
      <c r="A1178"/>
      <c r="B1178" s="50"/>
      <c r="C1178" s="50"/>
      <c r="F1178"/>
      <c r="G1178"/>
      <c r="H1178"/>
      <c r="I1178"/>
      <c r="L1178"/>
      <c r="M1178"/>
      <c r="N1178" s="50"/>
      <c r="O1178"/>
    </row>
    <row r="1179" spans="1:15" x14ac:dyDescent="0.2">
      <c r="A1179"/>
      <c r="B1179" s="50"/>
      <c r="C1179" s="50"/>
      <c r="F1179"/>
      <c r="G1179"/>
      <c r="H1179"/>
      <c r="I1179"/>
      <c r="L1179"/>
      <c r="M1179"/>
      <c r="N1179" s="50"/>
      <c r="O1179"/>
    </row>
    <row r="1180" spans="1:15" x14ac:dyDescent="0.2">
      <c r="A1180"/>
      <c r="B1180" s="50"/>
      <c r="C1180" s="50"/>
      <c r="F1180"/>
      <c r="G1180"/>
      <c r="J1180"/>
      <c r="K1180"/>
      <c r="L1180"/>
      <c r="M1180"/>
      <c r="N1180" s="50"/>
      <c r="O1180"/>
    </row>
    <row r="1181" spans="1:15" x14ac:dyDescent="0.2">
      <c r="A1181"/>
      <c r="B1181" s="50"/>
      <c r="C1181" s="50"/>
      <c r="F1181"/>
      <c r="G1181"/>
      <c r="H1181"/>
      <c r="I1181"/>
      <c r="L1181"/>
      <c r="N1181" s="50"/>
      <c r="O1181"/>
    </row>
    <row r="1182" spans="1:15" x14ac:dyDescent="0.2">
      <c r="A1182"/>
      <c r="B1182" s="50"/>
      <c r="C1182" s="50"/>
      <c r="F1182"/>
      <c r="G1182"/>
      <c r="J1182"/>
      <c r="K1182"/>
      <c r="L1182"/>
      <c r="M1182"/>
      <c r="N1182" s="50"/>
      <c r="O1182"/>
    </row>
    <row r="1183" spans="1:15" x14ac:dyDescent="0.2">
      <c r="A1183"/>
      <c r="B1183" s="50"/>
      <c r="C1183" s="50"/>
      <c r="F1183"/>
      <c r="G1183"/>
      <c r="H1183"/>
      <c r="I1183"/>
      <c r="L1183"/>
      <c r="M1183"/>
      <c r="N1183" s="50"/>
      <c r="O1183"/>
    </row>
    <row r="1184" spans="1:15" x14ac:dyDescent="0.2">
      <c r="A1184"/>
      <c r="B1184" s="50"/>
      <c r="C1184" s="50"/>
      <c r="F1184"/>
      <c r="G1184"/>
      <c r="I1184"/>
      <c r="L1184"/>
      <c r="M1184"/>
      <c r="N1184" s="50"/>
      <c r="O1184"/>
    </row>
    <row r="1185" spans="1:15" x14ac:dyDescent="0.2">
      <c r="A1185"/>
      <c r="B1185" s="50"/>
      <c r="C1185" s="50"/>
      <c r="F1185"/>
      <c r="G1185"/>
      <c r="J1185"/>
      <c r="K1185"/>
      <c r="L1185"/>
      <c r="M1185"/>
      <c r="N1185" s="50"/>
      <c r="O1185"/>
    </row>
    <row r="1186" spans="1:15" x14ac:dyDescent="0.2">
      <c r="A1186"/>
      <c r="B1186" s="50"/>
      <c r="C1186" s="50"/>
      <c r="F1186"/>
      <c r="G1186"/>
      <c r="L1186"/>
      <c r="M1186"/>
      <c r="N1186" s="50"/>
      <c r="O1186"/>
    </row>
    <row r="1187" spans="1:15" x14ac:dyDescent="0.2">
      <c r="A1187"/>
      <c r="B1187" s="50"/>
      <c r="C1187" s="50"/>
      <c r="F1187"/>
      <c r="G1187"/>
      <c r="H1187"/>
      <c r="I1187"/>
      <c r="L1187"/>
      <c r="M1187"/>
      <c r="N1187" s="50"/>
      <c r="O1187"/>
    </row>
    <row r="1188" spans="1:15" x14ac:dyDescent="0.2">
      <c r="A1188"/>
      <c r="B1188" s="50"/>
      <c r="C1188" s="50"/>
      <c r="F1188"/>
      <c r="G1188"/>
      <c r="I1188"/>
      <c r="L1188"/>
      <c r="M1188"/>
      <c r="N1188" s="50"/>
      <c r="O1188"/>
    </row>
    <row r="1189" spans="1:15" x14ac:dyDescent="0.2">
      <c r="A1189"/>
      <c r="B1189" s="50"/>
      <c r="C1189" s="50"/>
      <c r="F1189"/>
      <c r="G1189"/>
      <c r="I1189"/>
      <c r="L1189"/>
      <c r="M1189"/>
      <c r="N1189" s="50"/>
      <c r="O1189"/>
    </row>
    <row r="1190" spans="1:15" x14ac:dyDescent="0.2">
      <c r="A1190"/>
      <c r="B1190" s="50"/>
      <c r="C1190" s="50"/>
      <c r="F1190"/>
      <c r="G1190"/>
      <c r="H1190"/>
      <c r="L1190"/>
      <c r="M1190"/>
      <c r="N1190" s="50"/>
      <c r="O1190"/>
    </row>
    <row r="1191" spans="1:15" x14ac:dyDescent="0.2">
      <c r="A1191"/>
      <c r="B1191" s="50"/>
      <c r="C1191" s="50"/>
      <c r="F1191"/>
      <c r="G1191"/>
      <c r="H1191"/>
      <c r="I1191"/>
      <c r="L1191"/>
      <c r="M1191"/>
      <c r="N1191" s="50"/>
      <c r="O1191"/>
    </row>
    <row r="1192" spans="1:15" x14ac:dyDescent="0.2">
      <c r="A1192"/>
      <c r="B1192" s="50"/>
      <c r="C1192" s="50"/>
      <c r="F1192"/>
      <c r="G1192"/>
      <c r="I1192"/>
      <c r="L1192"/>
      <c r="M1192"/>
      <c r="N1192" s="50"/>
      <c r="O1192"/>
    </row>
    <row r="1193" spans="1:15" x14ac:dyDescent="0.2">
      <c r="A1193"/>
      <c r="B1193" s="50"/>
      <c r="C1193" s="50"/>
      <c r="F1193"/>
      <c r="G1193"/>
      <c r="H1193"/>
      <c r="J1193"/>
      <c r="K1193"/>
      <c r="L1193"/>
      <c r="M1193"/>
      <c r="N1193" s="50"/>
      <c r="O1193"/>
    </row>
    <row r="1194" spans="1:15" x14ac:dyDescent="0.2">
      <c r="A1194"/>
      <c r="B1194" s="50"/>
      <c r="C1194" s="50"/>
      <c r="F1194"/>
      <c r="G1194"/>
      <c r="H1194"/>
      <c r="I1194"/>
      <c r="L1194"/>
      <c r="M1194"/>
      <c r="N1194" s="50"/>
      <c r="O1194"/>
    </row>
    <row r="1195" spans="1:15" x14ac:dyDescent="0.2">
      <c r="A1195"/>
      <c r="B1195" s="50"/>
      <c r="C1195" s="50"/>
      <c r="F1195"/>
      <c r="G1195"/>
      <c r="H1195"/>
      <c r="I1195"/>
      <c r="L1195"/>
      <c r="M1195"/>
      <c r="N1195" s="50"/>
      <c r="O1195"/>
    </row>
    <row r="1196" spans="1:15" x14ac:dyDescent="0.2">
      <c r="A1196"/>
      <c r="B1196" s="50"/>
      <c r="C1196" s="50"/>
      <c r="F1196"/>
      <c r="G1196"/>
      <c r="L1196"/>
      <c r="M1196"/>
      <c r="N1196" s="50"/>
      <c r="O1196"/>
    </row>
    <row r="1197" spans="1:15" x14ac:dyDescent="0.2">
      <c r="A1197"/>
      <c r="B1197" s="50"/>
      <c r="C1197" s="50"/>
      <c r="F1197"/>
      <c r="G1197"/>
      <c r="H1197"/>
      <c r="I1197"/>
      <c r="L1197"/>
      <c r="M1197"/>
      <c r="N1197" s="50"/>
      <c r="O1197"/>
    </row>
    <row r="1198" spans="1:15" x14ac:dyDescent="0.2">
      <c r="A1198"/>
      <c r="B1198" s="50"/>
      <c r="C1198" s="50"/>
      <c r="F1198"/>
      <c r="G1198"/>
      <c r="H1198"/>
      <c r="I1198"/>
      <c r="L1198"/>
      <c r="M1198"/>
      <c r="N1198" s="50"/>
      <c r="O1198"/>
    </row>
    <row r="1199" spans="1:15" x14ac:dyDescent="0.2">
      <c r="A1199"/>
      <c r="B1199" s="50"/>
      <c r="C1199" s="50"/>
      <c r="F1199"/>
      <c r="G1199"/>
      <c r="H1199"/>
      <c r="I1199"/>
      <c r="L1199"/>
      <c r="M1199"/>
      <c r="N1199" s="50"/>
      <c r="O1199"/>
    </row>
    <row r="1200" spans="1:15" x14ac:dyDescent="0.2">
      <c r="A1200"/>
      <c r="B1200" s="50"/>
      <c r="C1200" s="50"/>
      <c r="F1200"/>
      <c r="G1200"/>
      <c r="I1200"/>
      <c r="L1200"/>
      <c r="M1200"/>
      <c r="N1200" s="50"/>
      <c r="O1200"/>
    </row>
    <row r="1201" spans="1:15" x14ac:dyDescent="0.2">
      <c r="A1201"/>
      <c r="B1201" s="50"/>
      <c r="C1201" s="50"/>
      <c r="F1201"/>
      <c r="G1201"/>
      <c r="H1201"/>
      <c r="I1201"/>
      <c r="L1201"/>
      <c r="M1201"/>
      <c r="N1201" s="50"/>
      <c r="O1201"/>
    </row>
    <row r="1202" spans="1:15" x14ac:dyDescent="0.2">
      <c r="A1202"/>
      <c r="B1202" s="50"/>
      <c r="C1202" s="50"/>
      <c r="F1202"/>
      <c r="G1202"/>
      <c r="I1202"/>
      <c r="L1202"/>
      <c r="M1202"/>
      <c r="N1202" s="50"/>
      <c r="O1202"/>
    </row>
    <row r="1203" spans="1:15" x14ac:dyDescent="0.2">
      <c r="A1203"/>
      <c r="B1203" s="50"/>
      <c r="C1203" s="50"/>
      <c r="F1203"/>
      <c r="G1203"/>
      <c r="L1203"/>
      <c r="M1203"/>
      <c r="N1203" s="50"/>
      <c r="O1203"/>
    </row>
    <row r="1204" spans="1:15" x14ac:dyDescent="0.2">
      <c r="A1204"/>
      <c r="B1204" s="50"/>
      <c r="C1204" s="50"/>
      <c r="F1204"/>
      <c r="G1204"/>
      <c r="I1204"/>
      <c r="L1204"/>
      <c r="M1204"/>
      <c r="N1204" s="50"/>
      <c r="O1204"/>
    </row>
    <row r="1205" spans="1:15" x14ac:dyDescent="0.2">
      <c r="A1205"/>
      <c r="B1205" s="50"/>
      <c r="C1205" s="50"/>
      <c r="F1205"/>
      <c r="G1205"/>
      <c r="H1205"/>
      <c r="I1205"/>
      <c r="L1205"/>
      <c r="M1205"/>
      <c r="N1205" s="50"/>
      <c r="O1205"/>
    </row>
    <row r="1206" spans="1:15" x14ac:dyDescent="0.2">
      <c r="A1206"/>
      <c r="B1206" s="50"/>
      <c r="C1206" s="50"/>
      <c r="F1206"/>
      <c r="G1206"/>
      <c r="H1206"/>
      <c r="I1206"/>
      <c r="L1206"/>
      <c r="M1206"/>
      <c r="N1206" s="50"/>
      <c r="O1206"/>
    </row>
    <row r="1207" spans="1:15" x14ac:dyDescent="0.2">
      <c r="A1207"/>
      <c r="B1207" s="50"/>
      <c r="C1207" s="50"/>
      <c r="F1207"/>
      <c r="G1207"/>
      <c r="H1207"/>
      <c r="L1207"/>
      <c r="M1207"/>
      <c r="N1207" s="50"/>
      <c r="O1207"/>
    </row>
    <row r="1208" spans="1:15" x14ac:dyDescent="0.2">
      <c r="A1208"/>
      <c r="B1208" s="50"/>
      <c r="C1208" s="50"/>
      <c r="F1208"/>
      <c r="G1208"/>
      <c r="H1208"/>
      <c r="M1208"/>
      <c r="N1208" s="50"/>
      <c r="O1208"/>
    </row>
    <row r="1209" spans="1:15" x14ac:dyDescent="0.2">
      <c r="A1209"/>
      <c r="B1209" s="50"/>
      <c r="C1209" s="50"/>
      <c r="F1209"/>
      <c r="G1209"/>
      <c r="H1209"/>
      <c r="I1209"/>
      <c r="L1209"/>
      <c r="M1209"/>
      <c r="N1209" s="50"/>
      <c r="O1209"/>
    </row>
    <row r="1210" spans="1:15" x14ac:dyDescent="0.2">
      <c r="A1210"/>
      <c r="B1210" s="50"/>
      <c r="C1210" s="50"/>
      <c r="F1210"/>
      <c r="G1210"/>
      <c r="H1210"/>
      <c r="I1210"/>
      <c r="L1210"/>
      <c r="M1210"/>
      <c r="N1210" s="50"/>
      <c r="O1210"/>
    </row>
    <row r="1211" spans="1:15" x14ac:dyDescent="0.2">
      <c r="A1211"/>
      <c r="B1211" s="50"/>
      <c r="C1211" s="50"/>
      <c r="F1211"/>
      <c r="G1211"/>
      <c r="L1211"/>
      <c r="M1211"/>
      <c r="N1211" s="50"/>
      <c r="O1211"/>
    </row>
    <row r="1212" spans="1:15" x14ac:dyDescent="0.2">
      <c r="A1212"/>
      <c r="B1212" s="50"/>
      <c r="C1212" s="50"/>
      <c r="F1212"/>
      <c r="G1212"/>
      <c r="H1212"/>
      <c r="I1212"/>
      <c r="J1212"/>
      <c r="K1212"/>
      <c r="L1212"/>
      <c r="M1212"/>
      <c r="N1212" s="50"/>
      <c r="O1212"/>
    </row>
    <row r="1213" spans="1:15" x14ac:dyDescent="0.2">
      <c r="A1213"/>
      <c r="B1213" s="50"/>
      <c r="C1213" s="50"/>
      <c r="F1213"/>
      <c r="G1213"/>
      <c r="H1213"/>
      <c r="I1213"/>
      <c r="L1213"/>
      <c r="M1213"/>
      <c r="N1213" s="50"/>
      <c r="O1213"/>
    </row>
    <row r="1214" spans="1:15" x14ac:dyDescent="0.2">
      <c r="A1214"/>
      <c r="B1214" s="50"/>
      <c r="C1214" s="50"/>
      <c r="F1214"/>
      <c r="G1214"/>
      <c r="H1214"/>
      <c r="J1214"/>
      <c r="K1214"/>
      <c r="L1214"/>
      <c r="M1214"/>
      <c r="N1214" s="50"/>
      <c r="O1214"/>
    </row>
    <row r="1215" spans="1:15" x14ac:dyDescent="0.2">
      <c r="A1215"/>
      <c r="B1215" s="50"/>
      <c r="C1215" s="50"/>
      <c r="F1215"/>
      <c r="G1215"/>
      <c r="H1215"/>
      <c r="J1215"/>
      <c r="K1215"/>
      <c r="L1215"/>
      <c r="M1215"/>
      <c r="N1215" s="50"/>
      <c r="O1215"/>
    </row>
    <row r="1216" spans="1:15" x14ac:dyDescent="0.2">
      <c r="A1216"/>
      <c r="B1216" s="50"/>
      <c r="C1216" s="50"/>
      <c r="F1216"/>
      <c r="G1216"/>
      <c r="H1216"/>
      <c r="J1216"/>
      <c r="K1216"/>
      <c r="L1216"/>
      <c r="M1216"/>
      <c r="N1216" s="50"/>
      <c r="O1216"/>
    </row>
    <row r="1217" spans="1:15" x14ac:dyDescent="0.2">
      <c r="A1217"/>
      <c r="B1217" s="50"/>
      <c r="C1217" s="50"/>
      <c r="F1217"/>
      <c r="G1217"/>
      <c r="H1217"/>
      <c r="J1217"/>
      <c r="K1217"/>
      <c r="L1217"/>
      <c r="M1217"/>
      <c r="N1217" s="50"/>
      <c r="O1217"/>
    </row>
    <row r="1218" spans="1:15" x14ac:dyDescent="0.2">
      <c r="A1218"/>
      <c r="B1218" s="50"/>
      <c r="C1218" s="50"/>
      <c r="F1218"/>
      <c r="G1218"/>
      <c r="H1218"/>
      <c r="I1218"/>
      <c r="J1218"/>
      <c r="K1218"/>
      <c r="L1218"/>
      <c r="M1218"/>
      <c r="N1218" s="50"/>
      <c r="O1218"/>
    </row>
    <row r="1219" spans="1:15" x14ac:dyDescent="0.2">
      <c r="A1219"/>
      <c r="B1219" s="50"/>
      <c r="C1219" s="50"/>
      <c r="F1219"/>
      <c r="G1219"/>
      <c r="H1219"/>
      <c r="J1219"/>
      <c r="K1219"/>
      <c r="L1219"/>
      <c r="M1219"/>
      <c r="N1219" s="50"/>
      <c r="O1219"/>
    </row>
    <row r="1220" spans="1:15" x14ac:dyDescent="0.2">
      <c r="A1220"/>
      <c r="B1220" s="50"/>
      <c r="C1220" s="50"/>
      <c r="F1220"/>
      <c r="G1220"/>
      <c r="J1220"/>
      <c r="K1220"/>
      <c r="L1220"/>
      <c r="M1220"/>
      <c r="N1220" s="50"/>
      <c r="O1220"/>
    </row>
    <row r="1221" spans="1:15" x14ac:dyDescent="0.2">
      <c r="A1221"/>
      <c r="B1221" s="50"/>
      <c r="C1221" s="50"/>
      <c r="F1221"/>
      <c r="G1221"/>
      <c r="H1221"/>
      <c r="J1221"/>
      <c r="K1221"/>
      <c r="L1221"/>
      <c r="M1221"/>
      <c r="N1221" s="50"/>
      <c r="O1221"/>
    </row>
    <row r="1222" spans="1:15" x14ac:dyDescent="0.2">
      <c r="A1222"/>
      <c r="B1222" s="50"/>
      <c r="C1222" s="50"/>
      <c r="F1222"/>
      <c r="G1222"/>
      <c r="H1222"/>
      <c r="J1222"/>
      <c r="K1222"/>
      <c r="L1222"/>
      <c r="M1222"/>
      <c r="N1222" s="50"/>
      <c r="O1222"/>
    </row>
    <row r="1223" spans="1:15" x14ac:dyDescent="0.2">
      <c r="A1223"/>
      <c r="B1223" s="50"/>
      <c r="C1223" s="50"/>
      <c r="F1223"/>
      <c r="G1223"/>
      <c r="H1223"/>
      <c r="I1223"/>
      <c r="L1223"/>
      <c r="M1223"/>
      <c r="N1223" s="50"/>
      <c r="O1223"/>
    </row>
    <row r="1224" spans="1:15" x14ac:dyDescent="0.2">
      <c r="A1224"/>
      <c r="B1224" s="50"/>
      <c r="C1224" s="50"/>
      <c r="F1224"/>
      <c r="G1224"/>
      <c r="H1224"/>
      <c r="J1224"/>
      <c r="K1224"/>
      <c r="L1224"/>
      <c r="M1224"/>
      <c r="N1224" s="50"/>
      <c r="O1224"/>
    </row>
    <row r="1225" spans="1:15" x14ac:dyDescent="0.2">
      <c r="A1225"/>
      <c r="B1225" s="50"/>
      <c r="C1225" s="50"/>
      <c r="F1225"/>
      <c r="G1225"/>
      <c r="H1225"/>
      <c r="I1225"/>
      <c r="L1225"/>
      <c r="M1225"/>
      <c r="N1225" s="50"/>
      <c r="O1225"/>
    </row>
    <row r="1226" spans="1:15" x14ac:dyDescent="0.2">
      <c r="A1226"/>
      <c r="B1226" s="50"/>
      <c r="C1226" s="50"/>
      <c r="F1226"/>
      <c r="G1226"/>
      <c r="H1226"/>
      <c r="I1226"/>
      <c r="L1226"/>
      <c r="M1226"/>
      <c r="N1226" s="50"/>
      <c r="O1226"/>
    </row>
    <row r="1227" spans="1:15" x14ac:dyDescent="0.2">
      <c r="A1227"/>
      <c r="B1227" s="50"/>
      <c r="C1227" s="50"/>
      <c r="F1227"/>
      <c r="G1227"/>
      <c r="L1227"/>
      <c r="M1227"/>
      <c r="N1227" s="50"/>
      <c r="O1227"/>
    </row>
    <row r="1228" spans="1:15" x14ac:dyDescent="0.2">
      <c r="A1228"/>
      <c r="B1228" s="50"/>
      <c r="C1228" s="50"/>
      <c r="F1228"/>
      <c r="G1228"/>
      <c r="H1228"/>
      <c r="I1228"/>
      <c r="L1228"/>
      <c r="M1228"/>
      <c r="N1228" s="50"/>
      <c r="O1228"/>
    </row>
    <row r="1229" spans="1:15" x14ac:dyDescent="0.2">
      <c r="A1229"/>
      <c r="B1229" s="50"/>
      <c r="C1229" s="50"/>
      <c r="F1229"/>
      <c r="G1229"/>
      <c r="L1229"/>
      <c r="M1229"/>
      <c r="N1229" s="50"/>
      <c r="O1229"/>
    </row>
    <row r="1230" spans="1:15" x14ac:dyDescent="0.2">
      <c r="A1230"/>
      <c r="B1230" s="50"/>
      <c r="C1230" s="50"/>
      <c r="F1230"/>
      <c r="G1230"/>
      <c r="H1230"/>
      <c r="I1230"/>
      <c r="L1230"/>
      <c r="M1230"/>
      <c r="N1230" s="50"/>
      <c r="O1230"/>
    </row>
    <row r="1231" spans="1:15" x14ac:dyDescent="0.2">
      <c r="A1231"/>
      <c r="B1231" s="50"/>
      <c r="C1231" s="50"/>
      <c r="F1231"/>
      <c r="G1231"/>
      <c r="L1231"/>
      <c r="M1231"/>
      <c r="N1231" s="50"/>
      <c r="O1231"/>
    </row>
    <row r="1232" spans="1:15" x14ac:dyDescent="0.2">
      <c r="A1232"/>
      <c r="B1232" s="50"/>
      <c r="C1232" s="50"/>
      <c r="F1232"/>
      <c r="G1232"/>
      <c r="I1232"/>
      <c r="L1232"/>
      <c r="M1232"/>
      <c r="N1232" s="50"/>
      <c r="O1232"/>
    </row>
    <row r="1233" spans="1:15" x14ac:dyDescent="0.2">
      <c r="A1233"/>
      <c r="B1233" s="50"/>
      <c r="C1233" s="50"/>
      <c r="F1233"/>
      <c r="G1233"/>
      <c r="J1233"/>
      <c r="K1233"/>
      <c r="L1233"/>
      <c r="M1233"/>
      <c r="N1233" s="50"/>
      <c r="O1233"/>
    </row>
    <row r="1234" spans="1:15" x14ac:dyDescent="0.2">
      <c r="A1234"/>
      <c r="B1234" s="50"/>
      <c r="C1234" s="50"/>
      <c r="F1234"/>
      <c r="G1234"/>
      <c r="H1234"/>
      <c r="I1234"/>
      <c r="L1234"/>
      <c r="M1234"/>
      <c r="N1234" s="50"/>
      <c r="O1234"/>
    </row>
    <row r="1235" spans="1:15" x14ac:dyDescent="0.2">
      <c r="A1235"/>
      <c r="B1235" s="50"/>
      <c r="C1235" s="50"/>
      <c r="F1235"/>
      <c r="G1235"/>
      <c r="L1235"/>
      <c r="M1235"/>
      <c r="N1235" s="50"/>
      <c r="O1235"/>
    </row>
    <row r="1236" spans="1:15" x14ac:dyDescent="0.2">
      <c r="A1236"/>
      <c r="B1236" s="50"/>
      <c r="C1236" s="50"/>
      <c r="F1236"/>
      <c r="G1236"/>
      <c r="I1236"/>
      <c r="L1236"/>
      <c r="M1236"/>
      <c r="N1236" s="50"/>
      <c r="O1236"/>
    </row>
    <row r="1237" spans="1:15" x14ac:dyDescent="0.2">
      <c r="A1237"/>
      <c r="B1237" s="50"/>
      <c r="C1237" s="50"/>
      <c r="F1237"/>
      <c r="G1237"/>
      <c r="H1237"/>
      <c r="I1237"/>
      <c r="L1237"/>
      <c r="M1237"/>
      <c r="N1237" s="50"/>
      <c r="O1237"/>
    </row>
    <row r="1238" spans="1:15" x14ac:dyDescent="0.2">
      <c r="A1238"/>
      <c r="B1238" s="50"/>
      <c r="C1238" s="50"/>
      <c r="F1238"/>
      <c r="G1238"/>
      <c r="H1238"/>
      <c r="I1238"/>
      <c r="L1238"/>
      <c r="M1238"/>
      <c r="N1238" s="50"/>
      <c r="O1238"/>
    </row>
    <row r="1239" spans="1:15" x14ac:dyDescent="0.2">
      <c r="A1239"/>
      <c r="B1239" s="50"/>
      <c r="C1239" s="50"/>
      <c r="F1239"/>
      <c r="G1239"/>
      <c r="H1239"/>
      <c r="I1239"/>
      <c r="L1239"/>
      <c r="M1239"/>
      <c r="N1239" s="50"/>
      <c r="O1239"/>
    </row>
    <row r="1240" spans="1:15" x14ac:dyDescent="0.2">
      <c r="A1240"/>
      <c r="B1240" s="50"/>
      <c r="C1240" s="50"/>
      <c r="F1240"/>
      <c r="G1240"/>
      <c r="I1240"/>
      <c r="L1240"/>
      <c r="M1240"/>
      <c r="N1240" s="50"/>
      <c r="O1240"/>
    </row>
    <row r="1241" spans="1:15" x14ac:dyDescent="0.2">
      <c r="A1241"/>
      <c r="B1241" s="50"/>
      <c r="C1241" s="50"/>
      <c r="F1241"/>
      <c r="G1241"/>
      <c r="I1241"/>
      <c r="L1241"/>
      <c r="M1241"/>
      <c r="N1241" s="50"/>
      <c r="O1241"/>
    </row>
    <row r="1242" spans="1:15" x14ac:dyDescent="0.2">
      <c r="A1242"/>
      <c r="B1242" s="50"/>
      <c r="C1242" s="50"/>
      <c r="F1242"/>
      <c r="G1242"/>
      <c r="H1242"/>
      <c r="I1242"/>
      <c r="L1242"/>
      <c r="M1242"/>
      <c r="N1242" s="50"/>
      <c r="O1242"/>
    </row>
    <row r="1243" spans="1:15" x14ac:dyDescent="0.2">
      <c r="A1243"/>
      <c r="B1243" s="50"/>
      <c r="C1243" s="50"/>
      <c r="F1243"/>
      <c r="G1243"/>
      <c r="L1243"/>
      <c r="M1243"/>
      <c r="N1243" s="50"/>
      <c r="O1243"/>
    </row>
    <row r="1244" spans="1:15" x14ac:dyDescent="0.2">
      <c r="A1244"/>
      <c r="B1244" s="50"/>
      <c r="C1244" s="50"/>
      <c r="F1244"/>
      <c r="G1244"/>
      <c r="H1244"/>
      <c r="I1244"/>
      <c r="L1244"/>
      <c r="M1244"/>
      <c r="N1244" s="50"/>
      <c r="O1244"/>
    </row>
    <row r="1245" spans="1:15" x14ac:dyDescent="0.2">
      <c r="A1245"/>
      <c r="B1245" s="50"/>
      <c r="C1245" s="50"/>
      <c r="F1245"/>
      <c r="G1245"/>
      <c r="I1245"/>
      <c r="L1245"/>
      <c r="M1245"/>
      <c r="N1245" s="50"/>
      <c r="O1245"/>
    </row>
    <row r="1246" spans="1:15" x14ac:dyDescent="0.2">
      <c r="A1246"/>
      <c r="B1246" s="50"/>
      <c r="C1246" s="50"/>
      <c r="F1246"/>
      <c r="G1246"/>
      <c r="H1246"/>
      <c r="I1246"/>
      <c r="L1246"/>
      <c r="M1246"/>
      <c r="N1246" s="50"/>
      <c r="O1246"/>
    </row>
    <row r="1247" spans="1:15" x14ac:dyDescent="0.2">
      <c r="A1247"/>
      <c r="B1247" s="50"/>
      <c r="C1247" s="50"/>
      <c r="F1247"/>
      <c r="G1247"/>
      <c r="I1247"/>
      <c r="L1247"/>
      <c r="M1247"/>
      <c r="N1247" s="50"/>
      <c r="O1247"/>
    </row>
    <row r="1248" spans="1:15" x14ac:dyDescent="0.2">
      <c r="A1248"/>
      <c r="B1248" s="50"/>
      <c r="C1248" s="50"/>
      <c r="F1248"/>
      <c r="G1248"/>
      <c r="H1248"/>
      <c r="I1248"/>
      <c r="L1248"/>
      <c r="M1248"/>
      <c r="N1248" s="50"/>
      <c r="O1248"/>
    </row>
    <row r="1249" spans="1:15" x14ac:dyDescent="0.2">
      <c r="A1249"/>
      <c r="B1249" s="50"/>
      <c r="C1249" s="50"/>
      <c r="F1249"/>
      <c r="G1249"/>
      <c r="H1249"/>
      <c r="I1249"/>
      <c r="L1249"/>
      <c r="M1249"/>
      <c r="N1249" s="50"/>
      <c r="O1249"/>
    </row>
    <row r="1250" spans="1:15" x14ac:dyDescent="0.2">
      <c r="A1250"/>
      <c r="B1250" s="50"/>
      <c r="C1250" s="50"/>
      <c r="F1250"/>
      <c r="G1250"/>
      <c r="H1250"/>
      <c r="J1250"/>
      <c r="K1250"/>
      <c r="L1250"/>
      <c r="M1250"/>
      <c r="N1250" s="50"/>
      <c r="O1250"/>
    </row>
    <row r="1251" spans="1:15" x14ac:dyDescent="0.2">
      <c r="A1251"/>
      <c r="B1251" s="50"/>
      <c r="C1251" s="50"/>
      <c r="F1251"/>
      <c r="G1251"/>
      <c r="H1251"/>
      <c r="J1251"/>
      <c r="K1251"/>
      <c r="L1251"/>
      <c r="M1251"/>
      <c r="N1251" s="50"/>
      <c r="O1251"/>
    </row>
    <row r="1252" spans="1:15" x14ac:dyDescent="0.2">
      <c r="A1252"/>
      <c r="B1252" s="50"/>
      <c r="C1252" s="50"/>
      <c r="F1252"/>
      <c r="G1252"/>
      <c r="L1252"/>
      <c r="M1252"/>
      <c r="N1252" s="50"/>
      <c r="O1252"/>
    </row>
    <row r="1253" spans="1:15" x14ac:dyDescent="0.2">
      <c r="A1253"/>
      <c r="B1253" s="50"/>
      <c r="C1253" s="50"/>
      <c r="F1253"/>
      <c r="G1253"/>
      <c r="H1253"/>
      <c r="I1253"/>
      <c r="L1253"/>
      <c r="M1253"/>
      <c r="N1253" s="50"/>
      <c r="O1253"/>
    </row>
    <row r="1254" spans="1:15" x14ac:dyDescent="0.2">
      <c r="A1254"/>
      <c r="B1254" s="50"/>
      <c r="C1254" s="50"/>
      <c r="F1254"/>
      <c r="G1254"/>
      <c r="H1254"/>
      <c r="I1254"/>
      <c r="L1254"/>
      <c r="M1254"/>
      <c r="N1254" s="50"/>
      <c r="O1254"/>
    </row>
    <row r="1255" spans="1:15" x14ac:dyDescent="0.2">
      <c r="A1255"/>
      <c r="B1255" s="50"/>
      <c r="C1255" s="50"/>
      <c r="F1255"/>
      <c r="G1255"/>
      <c r="H1255"/>
      <c r="J1255"/>
      <c r="K1255"/>
      <c r="L1255"/>
      <c r="M1255"/>
      <c r="N1255" s="50"/>
      <c r="O1255"/>
    </row>
    <row r="1256" spans="1:15" x14ac:dyDescent="0.2">
      <c r="A1256"/>
      <c r="B1256" s="50"/>
      <c r="C1256" s="50"/>
      <c r="F1256"/>
      <c r="G1256"/>
      <c r="H1256"/>
      <c r="I1256"/>
      <c r="L1256"/>
      <c r="M1256"/>
      <c r="N1256" s="50"/>
      <c r="O1256"/>
    </row>
    <row r="1257" spans="1:15" x14ac:dyDescent="0.2">
      <c r="A1257"/>
      <c r="B1257" s="50"/>
      <c r="C1257" s="50"/>
      <c r="F1257"/>
      <c r="G1257"/>
      <c r="H1257"/>
      <c r="I1257"/>
      <c r="L1257"/>
      <c r="M1257"/>
      <c r="N1257" s="50"/>
      <c r="O1257"/>
    </row>
    <row r="1258" spans="1:15" x14ac:dyDescent="0.2">
      <c r="A1258"/>
      <c r="B1258" s="50"/>
      <c r="C1258" s="50"/>
      <c r="F1258"/>
      <c r="G1258"/>
      <c r="J1258"/>
      <c r="K1258"/>
      <c r="L1258"/>
      <c r="M1258"/>
      <c r="N1258" s="50"/>
      <c r="O1258"/>
    </row>
    <row r="1259" spans="1:15" x14ac:dyDescent="0.2">
      <c r="A1259"/>
      <c r="B1259" s="50"/>
      <c r="C1259" s="50"/>
      <c r="F1259"/>
      <c r="G1259"/>
      <c r="L1259"/>
      <c r="M1259"/>
      <c r="N1259" s="50"/>
      <c r="O1259"/>
    </row>
    <row r="1260" spans="1:15" x14ac:dyDescent="0.2">
      <c r="A1260"/>
      <c r="B1260" s="50"/>
      <c r="C1260" s="50"/>
      <c r="F1260"/>
      <c r="G1260"/>
      <c r="H1260"/>
      <c r="I1260"/>
      <c r="L1260"/>
      <c r="M1260"/>
      <c r="N1260" s="50"/>
      <c r="O1260"/>
    </row>
    <row r="1261" spans="1:15" x14ac:dyDescent="0.2">
      <c r="A1261"/>
      <c r="B1261" s="50"/>
      <c r="C1261" s="50"/>
      <c r="F1261"/>
      <c r="G1261"/>
      <c r="H1261"/>
      <c r="I1261"/>
      <c r="L1261"/>
      <c r="M1261"/>
      <c r="N1261" s="50"/>
      <c r="O1261"/>
    </row>
    <row r="1262" spans="1:15" x14ac:dyDescent="0.2">
      <c r="A1262"/>
      <c r="B1262" s="50"/>
      <c r="C1262" s="50"/>
      <c r="F1262"/>
      <c r="G1262"/>
      <c r="I1262"/>
      <c r="L1262"/>
      <c r="M1262"/>
      <c r="N1262" s="50"/>
      <c r="O1262"/>
    </row>
    <row r="1263" spans="1:15" x14ac:dyDescent="0.2">
      <c r="A1263"/>
      <c r="B1263" s="50"/>
      <c r="C1263" s="50"/>
      <c r="F1263"/>
      <c r="G1263"/>
      <c r="H1263"/>
      <c r="I1263"/>
      <c r="L1263"/>
      <c r="M1263"/>
      <c r="N1263" s="50"/>
      <c r="O1263"/>
    </row>
    <row r="1264" spans="1:15" x14ac:dyDescent="0.2">
      <c r="A1264"/>
      <c r="B1264" s="50"/>
      <c r="C1264" s="50"/>
      <c r="F1264"/>
      <c r="G1264"/>
      <c r="H1264"/>
      <c r="J1264"/>
      <c r="K1264"/>
      <c r="L1264"/>
      <c r="M1264"/>
      <c r="N1264" s="50"/>
      <c r="O1264"/>
    </row>
    <row r="1265" spans="1:15" x14ac:dyDescent="0.2">
      <c r="A1265"/>
      <c r="B1265" s="50"/>
      <c r="C1265" s="50"/>
      <c r="F1265"/>
      <c r="G1265"/>
      <c r="H1265"/>
      <c r="I1265"/>
      <c r="L1265"/>
      <c r="M1265"/>
      <c r="N1265" s="50"/>
      <c r="O1265"/>
    </row>
    <row r="1266" spans="1:15" x14ac:dyDescent="0.2">
      <c r="A1266"/>
      <c r="B1266" s="50"/>
      <c r="C1266" s="50"/>
      <c r="F1266"/>
      <c r="G1266"/>
      <c r="I1266"/>
      <c r="L1266"/>
      <c r="M1266"/>
      <c r="N1266" s="50"/>
      <c r="O1266"/>
    </row>
    <row r="1267" spans="1:15" x14ac:dyDescent="0.2">
      <c r="A1267"/>
      <c r="B1267" s="50"/>
      <c r="C1267" s="50"/>
      <c r="F1267"/>
      <c r="G1267"/>
      <c r="H1267"/>
      <c r="I1267"/>
      <c r="L1267"/>
      <c r="M1267"/>
      <c r="N1267" s="50"/>
      <c r="O1267"/>
    </row>
    <row r="1268" spans="1:15" x14ac:dyDescent="0.2">
      <c r="A1268"/>
      <c r="B1268" s="50"/>
      <c r="C1268" s="50"/>
      <c r="F1268"/>
      <c r="G1268"/>
      <c r="I1268"/>
      <c r="L1268"/>
      <c r="M1268"/>
      <c r="N1268" s="50"/>
      <c r="O1268"/>
    </row>
    <row r="1269" spans="1:15" x14ac:dyDescent="0.2">
      <c r="A1269"/>
      <c r="B1269" s="50"/>
      <c r="C1269" s="50"/>
      <c r="F1269"/>
      <c r="G1269"/>
      <c r="I1269"/>
      <c r="L1269"/>
      <c r="M1269"/>
      <c r="N1269" s="50"/>
      <c r="O1269"/>
    </row>
    <row r="1270" spans="1:15" x14ac:dyDescent="0.2">
      <c r="A1270"/>
      <c r="B1270" s="50"/>
      <c r="C1270" s="50"/>
      <c r="F1270"/>
      <c r="G1270"/>
      <c r="H1270"/>
      <c r="I1270"/>
      <c r="L1270"/>
      <c r="M1270"/>
      <c r="N1270" s="50"/>
      <c r="O1270"/>
    </row>
    <row r="1271" spans="1:15" x14ac:dyDescent="0.2">
      <c r="A1271"/>
      <c r="B1271" s="50"/>
      <c r="C1271" s="50"/>
      <c r="F1271"/>
      <c r="G1271"/>
      <c r="H1271"/>
      <c r="I1271"/>
      <c r="L1271"/>
      <c r="M1271"/>
      <c r="N1271" s="50"/>
      <c r="O1271"/>
    </row>
    <row r="1272" spans="1:15" x14ac:dyDescent="0.2">
      <c r="A1272"/>
      <c r="B1272" s="50"/>
      <c r="C1272" s="50"/>
      <c r="F1272"/>
      <c r="G1272"/>
      <c r="H1272"/>
      <c r="I1272"/>
      <c r="L1272"/>
      <c r="M1272"/>
      <c r="N1272" s="50"/>
      <c r="O1272"/>
    </row>
    <row r="1273" spans="1:15" x14ac:dyDescent="0.2">
      <c r="A1273"/>
      <c r="B1273" s="50"/>
      <c r="C1273" s="50"/>
      <c r="F1273"/>
      <c r="G1273"/>
      <c r="H1273"/>
      <c r="I1273"/>
      <c r="L1273"/>
      <c r="M1273"/>
      <c r="N1273" s="50"/>
      <c r="O1273"/>
    </row>
    <row r="1274" spans="1:15" x14ac:dyDescent="0.2">
      <c r="A1274"/>
      <c r="B1274" s="50"/>
      <c r="C1274" s="50"/>
      <c r="F1274"/>
      <c r="G1274"/>
      <c r="H1274"/>
      <c r="I1274"/>
      <c r="L1274"/>
      <c r="N1274" s="50"/>
      <c r="O1274"/>
    </row>
    <row r="1275" spans="1:15" x14ac:dyDescent="0.2">
      <c r="A1275"/>
      <c r="B1275" s="50"/>
      <c r="C1275" s="50"/>
      <c r="F1275"/>
      <c r="G1275"/>
      <c r="I1275"/>
      <c r="L1275"/>
      <c r="M1275"/>
      <c r="N1275" s="50"/>
      <c r="O1275"/>
    </row>
    <row r="1276" spans="1:15" x14ac:dyDescent="0.2">
      <c r="A1276"/>
      <c r="B1276" s="50"/>
      <c r="C1276" s="50"/>
      <c r="F1276"/>
      <c r="G1276"/>
      <c r="I1276"/>
      <c r="L1276"/>
      <c r="M1276"/>
      <c r="N1276" s="50"/>
      <c r="O1276"/>
    </row>
    <row r="1277" spans="1:15" x14ac:dyDescent="0.2">
      <c r="A1277"/>
      <c r="B1277" s="50"/>
      <c r="C1277" s="50"/>
      <c r="F1277"/>
      <c r="G1277"/>
      <c r="I1277"/>
      <c r="L1277"/>
      <c r="M1277"/>
      <c r="N1277" s="50"/>
      <c r="O1277"/>
    </row>
    <row r="1278" spans="1:15" x14ac:dyDescent="0.2">
      <c r="A1278"/>
      <c r="B1278" s="50"/>
      <c r="C1278" s="50"/>
      <c r="F1278"/>
      <c r="G1278"/>
      <c r="H1278"/>
      <c r="I1278"/>
      <c r="L1278"/>
      <c r="M1278"/>
      <c r="N1278" s="50"/>
      <c r="O1278"/>
    </row>
    <row r="1279" spans="1:15" x14ac:dyDescent="0.2">
      <c r="A1279"/>
      <c r="B1279" s="50"/>
      <c r="C1279" s="50"/>
      <c r="F1279"/>
      <c r="G1279"/>
      <c r="H1279"/>
      <c r="I1279"/>
      <c r="L1279"/>
      <c r="M1279"/>
      <c r="N1279" s="50"/>
      <c r="O1279"/>
    </row>
    <row r="1280" spans="1:15" x14ac:dyDescent="0.2">
      <c r="A1280"/>
      <c r="B1280" s="50"/>
      <c r="C1280" s="50"/>
      <c r="F1280"/>
      <c r="G1280"/>
      <c r="H1280"/>
      <c r="I1280"/>
      <c r="L1280"/>
      <c r="M1280"/>
      <c r="N1280" s="50"/>
      <c r="O1280"/>
    </row>
    <row r="1281" spans="1:15" x14ac:dyDescent="0.2">
      <c r="A1281"/>
      <c r="B1281" s="50"/>
      <c r="C1281" s="50"/>
      <c r="F1281"/>
      <c r="G1281"/>
      <c r="H1281"/>
      <c r="I1281"/>
      <c r="L1281"/>
      <c r="M1281"/>
      <c r="N1281" s="50"/>
      <c r="O1281"/>
    </row>
    <row r="1282" spans="1:15" x14ac:dyDescent="0.2">
      <c r="A1282"/>
      <c r="B1282" s="50"/>
      <c r="C1282" s="50"/>
      <c r="F1282"/>
      <c r="G1282"/>
      <c r="I1282"/>
      <c r="L1282"/>
      <c r="M1282"/>
      <c r="N1282" s="50"/>
      <c r="O1282"/>
    </row>
    <row r="1283" spans="1:15" x14ac:dyDescent="0.2">
      <c r="A1283"/>
      <c r="B1283" s="50"/>
      <c r="C1283" s="50"/>
      <c r="F1283"/>
      <c r="G1283"/>
      <c r="I1283"/>
      <c r="L1283"/>
      <c r="M1283"/>
      <c r="N1283" s="50"/>
      <c r="O1283"/>
    </row>
    <row r="1284" spans="1:15" x14ac:dyDescent="0.2">
      <c r="A1284"/>
      <c r="B1284" s="50"/>
      <c r="C1284" s="50"/>
      <c r="F1284"/>
      <c r="G1284"/>
      <c r="I1284"/>
      <c r="L1284"/>
      <c r="M1284"/>
      <c r="N1284" s="50"/>
      <c r="O1284"/>
    </row>
    <row r="1285" spans="1:15" x14ac:dyDescent="0.2">
      <c r="A1285"/>
      <c r="B1285" s="50"/>
      <c r="C1285" s="50"/>
      <c r="F1285"/>
      <c r="G1285"/>
      <c r="M1285"/>
      <c r="N1285" s="50"/>
      <c r="O1285"/>
    </row>
    <row r="1286" spans="1:15" x14ac:dyDescent="0.2">
      <c r="A1286"/>
      <c r="B1286" s="50"/>
      <c r="C1286" s="50"/>
      <c r="F1286"/>
      <c r="G1286"/>
      <c r="H1286"/>
      <c r="I1286"/>
      <c r="L1286"/>
      <c r="M1286"/>
      <c r="N1286" s="50"/>
      <c r="O1286"/>
    </row>
    <row r="1287" spans="1:15" x14ac:dyDescent="0.2">
      <c r="A1287"/>
      <c r="B1287" s="50"/>
      <c r="C1287" s="50"/>
      <c r="F1287"/>
      <c r="G1287"/>
      <c r="H1287"/>
      <c r="I1287"/>
      <c r="L1287"/>
      <c r="M1287"/>
      <c r="N1287" s="50"/>
      <c r="O1287"/>
    </row>
    <row r="1288" spans="1:15" x14ac:dyDescent="0.2">
      <c r="A1288"/>
      <c r="B1288" s="50"/>
      <c r="C1288" s="50"/>
      <c r="F1288"/>
      <c r="G1288"/>
      <c r="H1288"/>
      <c r="I1288"/>
      <c r="L1288"/>
      <c r="M1288"/>
      <c r="N1288" s="50"/>
      <c r="O1288"/>
    </row>
    <row r="1289" spans="1:15" x14ac:dyDescent="0.2">
      <c r="A1289"/>
      <c r="B1289" s="50"/>
      <c r="C1289" s="50"/>
      <c r="F1289"/>
      <c r="G1289"/>
      <c r="H1289"/>
      <c r="I1289"/>
      <c r="L1289"/>
      <c r="M1289"/>
      <c r="N1289" s="50"/>
      <c r="O1289"/>
    </row>
    <row r="1290" spans="1:15" x14ac:dyDescent="0.2">
      <c r="A1290"/>
      <c r="B1290" s="50"/>
      <c r="C1290" s="50"/>
      <c r="F1290"/>
      <c r="G1290"/>
      <c r="H1290"/>
      <c r="J1290"/>
      <c r="K1290"/>
      <c r="L1290"/>
      <c r="M1290"/>
      <c r="N1290" s="50"/>
      <c r="O1290"/>
    </row>
    <row r="1291" spans="1:15" x14ac:dyDescent="0.2">
      <c r="A1291"/>
      <c r="B1291" s="50"/>
      <c r="C1291" s="50"/>
      <c r="F1291"/>
      <c r="G1291"/>
      <c r="H1291"/>
      <c r="J1291"/>
      <c r="K1291"/>
      <c r="L1291"/>
      <c r="M1291"/>
      <c r="N1291" s="50"/>
      <c r="O1291"/>
    </row>
    <row r="1292" spans="1:15" x14ac:dyDescent="0.2">
      <c r="A1292"/>
      <c r="B1292" s="50"/>
      <c r="C1292" s="50"/>
      <c r="F1292"/>
      <c r="G1292"/>
      <c r="J1292"/>
      <c r="K1292"/>
      <c r="L1292"/>
      <c r="M1292"/>
      <c r="N1292" s="50"/>
      <c r="O1292"/>
    </row>
    <row r="1293" spans="1:15" x14ac:dyDescent="0.2">
      <c r="A1293"/>
      <c r="B1293" s="50"/>
      <c r="C1293" s="50"/>
      <c r="F1293"/>
      <c r="G1293"/>
      <c r="H1293"/>
      <c r="I1293"/>
      <c r="L1293"/>
      <c r="N1293" s="50"/>
      <c r="O1293"/>
    </row>
    <row r="1294" spans="1:15" x14ac:dyDescent="0.2">
      <c r="A1294"/>
      <c r="B1294" s="50"/>
      <c r="C1294" s="50"/>
      <c r="F1294"/>
      <c r="G1294"/>
      <c r="I1294"/>
      <c r="L1294"/>
      <c r="M1294"/>
      <c r="N1294" s="50"/>
      <c r="O1294"/>
    </row>
    <row r="1295" spans="1:15" x14ac:dyDescent="0.2">
      <c r="A1295"/>
      <c r="B1295" s="50"/>
      <c r="C1295" s="50"/>
      <c r="F1295"/>
      <c r="G1295"/>
      <c r="L1295"/>
      <c r="M1295"/>
      <c r="N1295" s="50"/>
      <c r="O1295"/>
    </row>
    <row r="1296" spans="1:15" x14ac:dyDescent="0.2">
      <c r="A1296"/>
      <c r="B1296" s="50"/>
      <c r="C1296" s="50"/>
      <c r="F1296"/>
      <c r="G1296"/>
      <c r="I1296"/>
      <c r="L1296"/>
      <c r="M1296"/>
      <c r="N1296" s="50"/>
      <c r="O1296"/>
    </row>
    <row r="1297" spans="1:15" x14ac:dyDescent="0.2">
      <c r="A1297"/>
      <c r="B1297" s="50"/>
      <c r="C1297" s="50"/>
      <c r="F1297"/>
      <c r="G1297"/>
      <c r="L1297"/>
      <c r="M1297"/>
      <c r="N1297" s="50"/>
      <c r="O1297"/>
    </row>
    <row r="1298" spans="1:15" x14ac:dyDescent="0.2">
      <c r="A1298"/>
      <c r="B1298" s="50"/>
      <c r="C1298" s="50"/>
      <c r="F1298"/>
      <c r="G1298"/>
      <c r="L1298"/>
      <c r="M1298"/>
      <c r="N1298" s="50"/>
      <c r="O1298"/>
    </row>
    <row r="1299" spans="1:15" x14ac:dyDescent="0.2">
      <c r="A1299"/>
      <c r="B1299" s="50"/>
      <c r="C1299" s="50"/>
      <c r="F1299"/>
      <c r="G1299"/>
      <c r="I1299"/>
      <c r="L1299"/>
      <c r="M1299"/>
      <c r="N1299" s="50"/>
      <c r="O1299"/>
    </row>
    <row r="1300" spans="1:15" x14ac:dyDescent="0.2">
      <c r="A1300"/>
      <c r="B1300" s="50"/>
      <c r="C1300" s="50"/>
      <c r="F1300"/>
      <c r="G1300"/>
      <c r="H1300"/>
      <c r="I1300"/>
      <c r="L1300"/>
      <c r="M1300"/>
      <c r="N1300" s="50"/>
      <c r="O1300"/>
    </row>
    <row r="1301" spans="1:15" x14ac:dyDescent="0.2">
      <c r="A1301"/>
      <c r="B1301" s="50"/>
      <c r="C1301" s="50"/>
      <c r="F1301"/>
      <c r="G1301"/>
      <c r="L1301"/>
      <c r="M1301"/>
      <c r="N1301" s="50"/>
      <c r="O1301"/>
    </row>
    <row r="1302" spans="1:15" x14ac:dyDescent="0.2">
      <c r="A1302"/>
      <c r="B1302" s="50"/>
      <c r="C1302" s="50"/>
      <c r="F1302"/>
      <c r="G1302"/>
      <c r="H1302"/>
      <c r="I1302"/>
      <c r="L1302"/>
      <c r="M1302"/>
      <c r="N1302" s="50"/>
      <c r="O1302"/>
    </row>
    <row r="1303" spans="1:15" x14ac:dyDescent="0.2">
      <c r="A1303"/>
      <c r="B1303" s="50"/>
      <c r="C1303" s="50"/>
      <c r="F1303"/>
      <c r="G1303"/>
      <c r="H1303"/>
      <c r="I1303"/>
      <c r="L1303"/>
      <c r="M1303"/>
      <c r="N1303" s="50"/>
      <c r="O1303"/>
    </row>
    <row r="1304" spans="1:15" x14ac:dyDescent="0.2">
      <c r="A1304"/>
      <c r="B1304" s="50"/>
      <c r="C1304" s="50"/>
      <c r="F1304"/>
      <c r="G1304"/>
      <c r="H1304"/>
      <c r="I1304"/>
      <c r="L1304"/>
      <c r="M1304"/>
      <c r="N1304" s="50"/>
      <c r="O1304"/>
    </row>
    <row r="1305" spans="1:15" x14ac:dyDescent="0.2">
      <c r="A1305"/>
      <c r="B1305" s="50"/>
      <c r="C1305" s="50"/>
      <c r="F1305"/>
      <c r="G1305"/>
      <c r="H1305"/>
      <c r="I1305"/>
      <c r="L1305"/>
      <c r="M1305"/>
      <c r="N1305" s="50"/>
      <c r="O1305"/>
    </row>
    <row r="1306" spans="1:15" x14ac:dyDescent="0.2">
      <c r="A1306"/>
      <c r="B1306" s="50"/>
      <c r="C1306" s="50"/>
      <c r="F1306"/>
      <c r="G1306"/>
      <c r="I1306"/>
      <c r="L1306"/>
      <c r="M1306"/>
      <c r="N1306" s="50"/>
      <c r="O1306"/>
    </row>
    <row r="1307" spans="1:15" x14ac:dyDescent="0.2">
      <c r="A1307"/>
      <c r="B1307" s="50"/>
      <c r="C1307" s="50"/>
      <c r="F1307"/>
      <c r="G1307"/>
      <c r="H1307"/>
      <c r="I1307"/>
      <c r="L1307"/>
      <c r="N1307" s="50"/>
      <c r="O1307"/>
    </row>
    <row r="1308" spans="1:15" x14ac:dyDescent="0.2">
      <c r="A1308"/>
      <c r="B1308" s="50"/>
      <c r="C1308" s="50"/>
      <c r="F1308"/>
      <c r="G1308"/>
      <c r="I1308"/>
      <c r="L1308"/>
      <c r="M1308"/>
      <c r="N1308" s="50"/>
      <c r="O1308"/>
    </row>
    <row r="1309" spans="1:15" x14ac:dyDescent="0.2">
      <c r="A1309"/>
      <c r="B1309" s="50"/>
      <c r="C1309" s="50"/>
      <c r="F1309"/>
      <c r="G1309"/>
      <c r="I1309"/>
      <c r="L1309"/>
      <c r="M1309"/>
      <c r="N1309" s="50"/>
      <c r="O1309"/>
    </row>
    <row r="1310" spans="1:15" x14ac:dyDescent="0.2">
      <c r="A1310"/>
      <c r="B1310" s="50"/>
      <c r="C1310" s="50"/>
      <c r="F1310"/>
      <c r="G1310"/>
      <c r="H1310"/>
      <c r="I1310"/>
      <c r="L1310"/>
      <c r="M1310"/>
      <c r="N1310" s="50"/>
      <c r="O1310"/>
    </row>
    <row r="1311" spans="1:15" x14ac:dyDescent="0.2">
      <c r="A1311"/>
      <c r="B1311" s="50"/>
      <c r="C1311" s="50"/>
      <c r="F1311"/>
      <c r="G1311"/>
      <c r="J1311"/>
      <c r="K1311"/>
      <c r="L1311"/>
      <c r="M1311"/>
      <c r="N1311" s="50"/>
      <c r="O1311"/>
    </row>
    <row r="1312" spans="1:15" x14ac:dyDescent="0.2">
      <c r="A1312"/>
      <c r="B1312" s="50"/>
      <c r="C1312" s="50"/>
      <c r="F1312"/>
      <c r="G1312"/>
      <c r="H1312"/>
      <c r="I1312"/>
      <c r="L1312"/>
      <c r="M1312"/>
      <c r="N1312" s="50"/>
      <c r="O1312"/>
    </row>
    <row r="1313" spans="1:15" x14ac:dyDescent="0.2">
      <c r="A1313"/>
      <c r="B1313" s="50"/>
      <c r="C1313" s="50"/>
      <c r="F1313"/>
      <c r="G1313"/>
      <c r="H1313"/>
      <c r="I1313"/>
      <c r="L1313"/>
      <c r="M1313"/>
      <c r="N1313" s="50"/>
      <c r="O1313"/>
    </row>
    <row r="1314" spans="1:15" x14ac:dyDescent="0.2">
      <c r="A1314"/>
      <c r="B1314" s="50"/>
      <c r="C1314" s="50"/>
      <c r="F1314"/>
      <c r="G1314"/>
      <c r="I1314"/>
      <c r="L1314"/>
      <c r="M1314"/>
      <c r="N1314" s="50"/>
      <c r="O1314"/>
    </row>
    <row r="1315" spans="1:15" x14ac:dyDescent="0.2">
      <c r="A1315"/>
      <c r="B1315" s="50"/>
      <c r="C1315" s="50"/>
      <c r="F1315"/>
      <c r="G1315"/>
      <c r="I1315"/>
      <c r="L1315"/>
      <c r="M1315"/>
      <c r="N1315" s="50"/>
      <c r="O1315"/>
    </row>
    <row r="1316" spans="1:15" x14ac:dyDescent="0.2">
      <c r="A1316"/>
      <c r="B1316" s="50"/>
      <c r="C1316" s="50"/>
      <c r="F1316"/>
      <c r="G1316"/>
      <c r="H1316"/>
      <c r="I1316"/>
      <c r="L1316"/>
      <c r="M1316"/>
      <c r="N1316" s="50"/>
      <c r="O1316"/>
    </row>
    <row r="1317" spans="1:15" x14ac:dyDescent="0.2">
      <c r="A1317"/>
      <c r="B1317" s="50"/>
      <c r="C1317" s="50"/>
      <c r="F1317"/>
      <c r="G1317"/>
      <c r="L1317"/>
      <c r="M1317"/>
      <c r="N1317" s="50"/>
      <c r="O1317"/>
    </row>
    <row r="1318" spans="1:15" x14ac:dyDescent="0.2">
      <c r="A1318"/>
      <c r="B1318" s="50"/>
      <c r="C1318" s="50"/>
      <c r="F1318"/>
      <c r="G1318"/>
      <c r="M1318"/>
      <c r="N1318" s="50"/>
      <c r="O1318"/>
    </row>
    <row r="1319" spans="1:15" x14ac:dyDescent="0.2">
      <c r="A1319"/>
      <c r="B1319" s="50"/>
      <c r="C1319" s="50"/>
      <c r="F1319"/>
      <c r="G1319"/>
      <c r="H1319"/>
      <c r="I1319"/>
      <c r="L1319"/>
      <c r="M1319"/>
      <c r="N1319" s="50"/>
      <c r="O1319"/>
    </row>
    <row r="1320" spans="1:15" x14ac:dyDescent="0.2">
      <c r="A1320"/>
      <c r="B1320" s="50"/>
      <c r="C1320" s="50"/>
      <c r="F1320"/>
      <c r="G1320"/>
      <c r="H1320"/>
      <c r="I1320"/>
      <c r="L1320"/>
      <c r="M1320"/>
      <c r="N1320" s="50"/>
      <c r="O1320"/>
    </row>
    <row r="1321" spans="1:15" x14ac:dyDescent="0.2">
      <c r="A1321"/>
      <c r="B1321" s="50"/>
      <c r="C1321" s="50"/>
      <c r="F1321"/>
      <c r="G1321"/>
      <c r="I1321"/>
      <c r="L1321"/>
      <c r="M1321"/>
      <c r="N1321" s="50"/>
      <c r="O1321"/>
    </row>
    <row r="1322" spans="1:15" x14ac:dyDescent="0.2">
      <c r="A1322"/>
      <c r="B1322" s="50"/>
      <c r="C1322" s="50"/>
      <c r="F1322"/>
      <c r="G1322"/>
      <c r="I1322"/>
      <c r="L1322"/>
      <c r="M1322"/>
      <c r="N1322" s="50"/>
      <c r="O1322"/>
    </row>
    <row r="1323" spans="1:15" x14ac:dyDescent="0.2">
      <c r="A1323"/>
      <c r="B1323" s="50"/>
      <c r="C1323" s="50"/>
      <c r="F1323"/>
      <c r="G1323"/>
      <c r="H1323"/>
      <c r="I1323"/>
      <c r="L1323"/>
      <c r="M1323"/>
      <c r="N1323" s="50"/>
      <c r="O1323"/>
    </row>
    <row r="1324" spans="1:15" x14ac:dyDescent="0.2">
      <c r="A1324"/>
      <c r="B1324" s="50"/>
      <c r="C1324" s="50"/>
      <c r="F1324"/>
      <c r="G1324"/>
      <c r="H1324"/>
      <c r="I1324"/>
      <c r="L1324"/>
      <c r="M1324"/>
      <c r="N1324" s="50"/>
      <c r="O1324"/>
    </row>
    <row r="1325" spans="1:15" x14ac:dyDescent="0.2">
      <c r="A1325"/>
      <c r="B1325" s="50"/>
      <c r="C1325" s="50"/>
      <c r="F1325"/>
      <c r="G1325"/>
      <c r="I1325"/>
      <c r="L1325"/>
      <c r="M1325"/>
      <c r="N1325" s="50"/>
      <c r="O1325"/>
    </row>
    <row r="1326" spans="1:15" x14ac:dyDescent="0.2">
      <c r="A1326"/>
      <c r="B1326" s="50"/>
      <c r="C1326" s="50"/>
      <c r="F1326"/>
      <c r="G1326"/>
      <c r="I1326"/>
      <c r="L1326"/>
      <c r="M1326"/>
      <c r="N1326" s="50"/>
      <c r="O1326"/>
    </row>
    <row r="1327" spans="1:15" x14ac:dyDescent="0.2">
      <c r="A1327"/>
      <c r="B1327" s="50"/>
      <c r="C1327" s="50"/>
      <c r="F1327"/>
      <c r="G1327"/>
      <c r="H1327"/>
      <c r="I1327"/>
      <c r="L1327"/>
      <c r="M1327"/>
      <c r="N1327" s="50"/>
      <c r="O1327"/>
    </row>
    <row r="1328" spans="1:15" x14ac:dyDescent="0.2">
      <c r="A1328"/>
      <c r="B1328" s="50"/>
      <c r="C1328" s="50"/>
      <c r="F1328"/>
      <c r="G1328"/>
      <c r="I1328"/>
      <c r="L1328"/>
      <c r="M1328"/>
      <c r="N1328" s="50"/>
      <c r="O1328"/>
    </row>
    <row r="1329" spans="1:15" x14ac:dyDescent="0.2">
      <c r="A1329"/>
      <c r="B1329" s="50"/>
      <c r="C1329" s="50"/>
      <c r="F1329"/>
      <c r="G1329"/>
      <c r="I1329"/>
      <c r="L1329"/>
      <c r="M1329"/>
      <c r="N1329" s="50"/>
      <c r="O1329"/>
    </row>
    <row r="1330" spans="1:15" x14ac:dyDescent="0.2">
      <c r="A1330"/>
      <c r="B1330" s="50"/>
      <c r="C1330" s="50"/>
      <c r="F1330"/>
      <c r="G1330"/>
      <c r="H1330"/>
      <c r="I1330"/>
      <c r="L1330"/>
      <c r="M1330"/>
      <c r="N1330" s="50"/>
      <c r="O1330"/>
    </row>
    <row r="1331" spans="1:15" x14ac:dyDescent="0.2">
      <c r="A1331"/>
      <c r="B1331" s="50"/>
      <c r="C1331" s="50"/>
      <c r="F1331"/>
      <c r="G1331"/>
      <c r="J1331"/>
      <c r="K1331"/>
      <c r="L1331"/>
      <c r="M1331"/>
      <c r="N1331" s="50"/>
      <c r="O1331"/>
    </row>
    <row r="1332" spans="1:15" x14ac:dyDescent="0.2">
      <c r="A1332"/>
      <c r="B1332" s="50"/>
      <c r="C1332" s="50"/>
      <c r="F1332"/>
      <c r="G1332"/>
      <c r="H1332"/>
      <c r="I1332"/>
      <c r="L1332"/>
      <c r="M1332"/>
      <c r="N1332" s="50"/>
      <c r="O1332"/>
    </row>
    <row r="1333" spans="1:15" x14ac:dyDescent="0.2">
      <c r="A1333"/>
      <c r="B1333" s="50"/>
      <c r="C1333" s="50"/>
      <c r="F1333"/>
      <c r="G1333"/>
      <c r="I1333"/>
      <c r="L1333"/>
      <c r="M1333"/>
      <c r="N1333" s="50"/>
      <c r="O1333"/>
    </row>
    <row r="1334" spans="1:15" x14ac:dyDescent="0.2">
      <c r="A1334"/>
      <c r="B1334" s="50"/>
      <c r="C1334" s="50"/>
      <c r="F1334"/>
      <c r="G1334"/>
      <c r="L1334"/>
      <c r="M1334"/>
      <c r="N1334" s="50"/>
      <c r="O1334"/>
    </row>
    <row r="1335" spans="1:15" x14ac:dyDescent="0.2">
      <c r="A1335"/>
      <c r="B1335" s="50"/>
      <c r="C1335" s="50"/>
      <c r="F1335"/>
      <c r="G1335"/>
      <c r="H1335"/>
      <c r="I1335"/>
      <c r="L1335"/>
      <c r="M1335"/>
      <c r="N1335" s="50"/>
      <c r="O1335"/>
    </row>
    <row r="1336" spans="1:15" x14ac:dyDescent="0.2">
      <c r="A1336"/>
      <c r="B1336" s="50"/>
      <c r="C1336" s="50"/>
      <c r="F1336"/>
      <c r="G1336"/>
      <c r="J1336"/>
      <c r="K1336"/>
      <c r="L1336"/>
      <c r="M1336"/>
      <c r="N1336" s="50"/>
      <c r="O1336"/>
    </row>
    <row r="1337" spans="1:15" x14ac:dyDescent="0.2">
      <c r="A1337"/>
      <c r="B1337" s="50"/>
      <c r="C1337" s="50"/>
      <c r="F1337"/>
      <c r="G1337"/>
      <c r="H1337"/>
      <c r="I1337"/>
      <c r="L1337"/>
      <c r="M1337"/>
      <c r="N1337" s="50"/>
      <c r="O1337"/>
    </row>
    <row r="1338" spans="1:15" x14ac:dyDescent="0.2">
      <c r="A1338"/>
      <c r="B1338" s="50"/>
      <c r="C1338" s="50"/>
      <c r="F1338"/>
      <c r="G1338"/>
      <c r="H1338"/>
      <c r="I1338"/>
      <c r="L1338"/>
      <c r="M1338"/>
      <c r="N1338" s="50"/>
      <c r="O1338"/>
    </row>
    <row r="1339" spans="1:15" x14ac:dyDescent="0.2">
      <c r="A1339"/>
      <c r="B1339" s="50"/>
      <c r="C1339" s="50"/>
      <c r="F1339"/>
      <c r="G1339"/>
      <c r="I1339"/>
      <c r="L1339"/>
      <c r="M1339"/>
      <c r="N1339" s="50"/>
      <c r="O1339"/>
    </row>
    <row r="1340" spans="1:15" x14ac:dyDescent="0.2">
      <c r="A1340"/>
      <c r="B1340" s="50"/>
      <c r="C1340" s="50"/>
      <c r="F1340"/>
      <c r="G1340"/>
      <c r="L1340"/>
      <c r="M1340"/>
      <c r="N1340" s="50"/>
      <c r="O1340"/>
    </row>
    <row r="1341" spans="1:15" x14ac:dyDescent="0.2">
      <c r="A1341"/>
      <c r="B1341" s="50"/>
      <c r="C1341" s="50"/>
      <c r="F1341"/>
      <c r="G1341"/>
      <c r="I1341"/>
      <c r="L1341"/>
      <c r="M1341"/>
      <c r="N1341" s="50"/>
      <c r="O1341"/>
    </row>
    <row r="1342" spans="1:15" x14ac:dyDescent="0.2">
      <c r="A1342"/>
      <c r="B1342" s="50"/>
      <c r="C1342" s="50"/>
      <c r="F1342"/>
      <c r="G1342"/>
      <c r="H1342"/>
      <c r="I1342"/>
      <c r="L1342"/>
      <c r="M1342"/>
      <c r="N1342" s="50"/>
      <c r="O1342"/>
    </row>
    <row r="1343" spans="1:15" x14ac:dyDescent="0.2">
      <c r="A1343"/>
      <c r="B1343" s="50"/>
      <c r="C1343" s="50"/>
      <c r="F1343"/>
      <c r="G1343"/>
      <c r="I1343"/>
      <c r="L1343"/>
      <c r="M1343"/>
      <c r="N1343" s="50"/>
      <c r="O1343"/>
    </row>
    <row r="1344" spans="1:15" x14ac:dyDescent="0.2">
      <c r="A1344"/>
      <c r="B1344" s="50"/>
      <c r="C1344" s="50"/>
      <c r="F1344"/>
      <c r="G1344"/>
      <c r="H1344"/>
      <c r="I1344"/>
      <c r="L1344"/>
      <c r="M1344"/>
      <c r="N1344" s="50"/>
      <c r="O1344"/>
    </row>
    <row r="1345" spans="1:15" x14ac:dyDescent="0.2">
      <c r="A1345"/>
      <c r="B1345" s="50"/>
      <c r="C1345" s="50"/>
      <c r="F1345"/>
      <c r="G1345"/>
      <c r="H1345"/>
      <c r="J1345"/>
      <c r="K1345"/>
      <c r="L1345"/>
      <c r="M1345"/>
      <c r="N1345" s="50"/>
      <c r="O1345"/>
    </row>
    <row r="1346" spans="1:15" x14ac:dyDescent="0.2">
      <c r="A1346"/>
      <c r="B1346" s="50"/>
      <c r="C1346" s="50"/>
      <c r="F1346"/>
      <c r="G1346"/>
      <c r="H1346"/>
      <c r="I1346"/>
      <c r="L1346"/>
      <c r="M1346"/>
      <c r="N1346" s="50"/>
      <c r="O1346"/>
    </row>
    <row r="1347" spans="1:15" x14ac:dyDescent="0.2">
      <c r="A1347"/>
      <c r="B1347" s="50"/>
      <c r="C1347" s="50"/>
      <c r="F1347"/>
      <c r="G1347"/>
      <c r="H1347"/>
      <c r="I1347"/>
      <c r="L1347"/>
      <c r="M1347"/>
      <c r="N1347" s="50"/>
      <c r="O1347"/>
    </row>
    <row r="1348" spans="1:15" x14ac:dyDescent="0.2">
      <c r="A1348"/>
      <c r="B1348" s="50"/>
      <c r="C1348" s="50"/>
      <c r="F1348"/>
      <c r="G1348"/>
      <c r="I1348"/>
      <c r="L1348"/>
      <c r="M1348"/>
      <c r="N1348" s="50"/>
      <c r="O1348"/>
    </row>
    <row r="1349" spans="1:15" x14ac:dyDescent="0.2">
      <c r="A1349"/>
      <c r="B1349" s="50"/>
      <c r="C1349" s="50"/>
      <c r="F1349"/>
      <c r="G1349"/>
      <c r="L1349"/>
      <c r="M1349"/>
      <c r="N1349" s="50"/>
      <c r="O1349"/>
    </row>
    <row r="1350" spans="1:15" x14ac:dyDescent="0.2">
      <c r="A1350"/>
      <c r="B1350" s="50"/>
      <c r="C1350" s="50"/>
      <c r="F1350"/>
      <c r="G1350"/>
      <c r="H1350"/>
      <c r="I1350"/>
      <c r="L1350"/>
      <c r="M1350"/>
      <c r="N1350" s="50"/>
      <c r="O1350"/>
    </row>
    <row r="1351" spans="1:15" x14ac:dyDescent="0.2">
      <c r="A1351"/>
      <c r="B1351" s="50"/>
      <c r="C1351" s="50"/>
      <c r="F1351"/>
      <c r="G1351"/>
      <c r="L1351"/>
      <c r="M1351"/>
      <c r="N1351" s="50"/>
      <c r="O1351"/>
    </row>
    <row r="1352" spans="1:15" x14ac:dyDescent="0.2">
      <c r="A1352"/>
      <c r="B1352" s="50"/>
      <c r="C1352" s="50"/>
      <c r="F1352"/>
      <c r="G1352"/>
      <c r="H1352"/>
      <c r="J1352"/>
      <c r="K1352"/>
      <c r="L1352"/>
      <c r="N1352" s="50"/>
      <c r="O1352"/>
    </row>
    <row r="1353" spans="1:15" x14ac:dyDescent="0.2">
      <c r="A1353"/>
      <c r="B1353" s="50"/>
      <c r="C1353" s="50"/>
      <c r="F1353"/>
      <c r="G1353"/>
      <c r="L1353"/>
      <c r="M1353"/>
      <c r="N1353" s="50"/>
      <c r="O1353"/>
    </row>
    <row r="1354" spans="1:15" x14ac:dyDescent="0.2">
      <c r="A1354"/>
      <c r="B1354" s="50"/>
      <c r="C1354" s="50"/>
      <c r="F1354"/>
      <c r="G1354"/>
      <c r="H1354"/>
      <c r="I1354"/>
      <c r="L1354"/>
      <c r="M1354"/>
      <c r="N1354" s="50"/>
      <c r="O1354"/>
    </row>
    <row r="1355" spans="1:15" x14ac:dyDescent="0.2">
      <c r="A1355"/>
      <c r="B1355" s="50"/>
      <c r="C1355" s="50"/>
      <c r="F1355"/>
      <c r="G1355"/>
      <c r="H1355"/>
      <c r="I1355"/>
      <c r="L1355"/>
      <c r="M1355"/>
      <c r="N1355" s="50"/>
      <c r="O1355"/>
    </row>
    <row r="1356" spans="1:15" x14ac:dyDescent="0.2">
      <c r="A1356"/>
      <c r="B1356" s="50"/>
      <c r="C1356" s="50"/>
      <c r="F1356"/>
      <c r="G1356"/>
      <c r="L1356"/>
      <c r="M1356"/>
      <c r="N1356" s="50"/>
      <c r="O1356"/>
    </row>
    <row r="1357" spans="1:15" x14ac:dyDescent="0.2">
      <c r="A1357"/>
      <c r="B1357" s="50"/>
      <c r="C1357" s="50"/>
      <c r="F1357"/>
      <c r="G1357"/>
      <c r="L1357"/>
      <c r="M1357"/>
      <c r="N1357" s="50"/>
      <c r="O1357"/>
    </row>
    <row r="1358" spans="1:15" x14ac:dyDescent="0.2">
      <c r="A1358"/>
      <c r="B1358" s="50"/>
      <c r="C1358" s="50"/>
      <c r="F1358"/>
      <c r="G1358"/>
      <c r="J1358"/>
      <c r="K1358"/>
      <c r="L1358"/>
      <c r="M1358"/>
      <c r="N1358" s="50"/>
      <c r="O1358"/>
    </row>
    <row r="1359" spans="1:15" x14ac:dyDescent="0.2">
      <c r="A1359"/>
      <c r="B1359" s="50"/>
      <c r="C1359" s="50"/>
      <c r="F1359"/>
      <c r="G1359"/>
      <c r="H1359"/>
      <c r="I1359"/>
      <c r="L1359"/>
      <c r="M1359"/>
      <c r="N1359" s="50"/>
      <c r="O1359"/>
    </row>
    <row r="1360" spans="1:15" x14ac:dyDescent="0.2">
      <c r="A1360"/>
      <c r="B1360" s="50"/>
      <c r="C1360" s="50"/>
      <c r="F1360"/>
      <c r="G1360"/>
      <c r="I1360"/>
      <c r="L1360"/>
      <c r="M1360"/>
      <c r="N1360" s="50"/>
      <c r="O1360"/>
    </row>
    <row r="1361" spans="1:15" x14ac:dyDescent="0.2">
      <c r="A1361"/>
      <c r="B1361" s="50"/>
      <c r="C1361" s="50"/>
      <c r="F1361"/>
      <c r="G1361"/>
      <c r="I1361"/>
      <c r="L1361"/>
      <c r="M1361"/>
      <c r="N1361" s="50"/>
      <c r="O1361"/>
    </row>
    <row r="1362" spans="1:15" x14ac:dyDescent="0.2">
      <c r="A1362"/>
      <c r="B1362" s="50"/>
      <c r="C1362" s="50"/>
      <c r="F1362"/>
      <c r="G1362"/>
      <c r="H1362"/>
      <c r="I1362"/>
      <c r="L1362"/>
      <c r="M1362"/>
      <c r="N1362" s="50"/>
      <c r="O1362"/>
    </row>
    <row r="1363" spans="1:15" x14ac:dyDescent="0.2">
      <c r="A1363"/>
      <c r="B1363" s="50"/>
      <c r="C1363" s="50"/>
      <c r="F1363"/>
      <c r="G1363"/>
      <c r="H1363"/>
      <c r="I1363"/>
      <c r="L1363"/>
      <c r="M1363"/>
      <c r="N1363" s="50"/>
      <c r="O1363"/>
    </row>
    <row r="1364" spans="1:15" x14ac:dyDescent="0.2">
      <c r="A1364"/>
      <c r="B1364" s="50"/>
      <c r="C1364" s="50"/>
      <c r="F1364"/>
      <c r="G1364"/>
      <c r="I1364"/>
      <c r="L1364"/>
      <c r="M1364"/>
      <c r="N1364" s="50"/>
      <c r="O1364"/>
    </row>
    <row r="1365" spans="1:15" x14ac:dyDescent="0.2">
      <c r="A1365"/>
      <c r="B1365" s="50"/>
      <c r="C1365" s="50"/>
      <c r="F1365"/>
      <c r="G1365"/>
      <c r="H1365"/>
      <c r="L1365"/>
      <c r="M1365"/>
      <c r="N1365" s="50"/>
      <c r="O1365"/>
    </row>
    <row r="1366" spans="1:15" x14ac:dyDescent="0.2">
      <c r="A1366"/>
      <c r="B1366" s="50"/>
      <c r="C1366" s="50"/>
      <c r="F1366"/>
      <c r="G1366"/>
      <c r="H1366"/>
      <c r="I1366"/>
      <c r="L1366"/>
      <c r="M1366"/>
      <c r="N1366" s="50"/>
      <c r="O1366"/>
    </row>
    <row r="1367" spans="1:15" x14ac:dyDescent="0.2">
      <c r="A1367"/>
      <c r="B1367" s="50"/>
      <c r="C1367" s="50"/>
      <c r="F1367"/>
      <c r="G1367"/>
      <c r="H1367"/>
      <c r="M1367"/>
      <c r="N1367" s="50"/>
      <c r="O1367"/>
    </row>
    <row r="1368" spans="1:15" x14ac:dyDescent="0.2">
      <c r="A1368"/>
      <c r="B1368" s="50"/>
      <c r="C1368" s="50"/>
      <c r="F1368"/>
      <c r="G1368"/>
      <c r="L1368"/>
      <c r="M1368"/>
      <c r="N1368" s="50"/>
      <c r="O1368"/>
    </row>
    <row r="1369" spans="1:15" x14ac:dyDescent="0.2">
      <c r="A1369"/>
      <c r="B1369" s="50"/>
      <c r="C1369" s="50"/>
      <c r="F1369"/>
      <c r="G1369"/>
      <c r="H1369"/>
      <c r="I1369"/>
      <c r="L1369"/>
      <c r="M1369"/>
      <c r="N1369" s="50"/>
      <c r="O1369"/>
    </row>
    <row r="1370" spans="1:15" x14ac:dyDescent="0.2">
      <c r="A1370"/>
      <c r="B1370" s="50"/>
      <c r="C1370" s="50"/>
      <c r="F1370"/>
      <c r="G1370"/>
      <c r="H1370"/>
      <c r="I1370"/>
      <c r="L1370"/>
      <c r="M1370"/>
      <c r="N1370" s="50"/>
      <c r="O1370"/>
    </row>
    <row r="1371" spans="1:15" x14ac:dyDescent="0.2">
      <c r="A1371"/>
      <c r="B1371" s="50"/>
      <c r="C1371" s="50"/>
      <c r="F1371"/>
      <c r="G1371"/>
      <c r="H1371"/>
      <c r="I1371"/>
      <c r="L1371"/>
      <c r="M1371"/>
      <c r="N1371" s="50"/>
      <c r="O1371"/>
    </row>
    <row r="1372" spans="1:15" x14ac:dyDescent="0.2">
      <c r="A1372"/>
      <c r="B1372" s="50"/>
      <c r="C1372" s="50"/>
      <c r="F1372"/>
      <c r="G1372"/>
      <c r="I1372"/>
      <c r="L1372"/>
      <c r="M1372"/>
      <c r="N1372" s="50"/>
      <c r="O1372"/>
    </row>
    <row r="1373" spans="1:15" x14ac:dyDescent="0.2">
      <c r="A1373"/>
      <c r="B1373" s="50"/>
      <c r="C1373" s="50"/>
      <c r="F1373"/>
      <c r="G1373"/>
      <c r="H1373"/>
      <c r="L1373"/>
      <c r="M1373"/>
      <c r="N1373" s="50"/>
      <c r="O1373"/>
    </row>
    <row r="1374" spans="1:15" x14ac:dyDescent="0.2">
      <c r="A1374"/>
      <c r="B1374" s="50"/>
      <c r="C1374" s="50"/>
      <c r="F1374"/>
      <c r="G1374"/>
      <c r="H1374"/>
      <c r="I1374"/>
      <c r="L1374"/>
      <c r="M1374"/>
      <c r="N1374" s="50"/>
      <c r="O1374"/>
    </row>
    <row r="1375" spans="1:15" x14ac:dyDescent="0.2">
      <c r="A1375"/>
      <c r="B1375" s="50"/>
      <c r="C1375" s="50"/>
      <c r="F1375"/>
      <c r="G1375"/>
      <c r="H1375"/>
      <c r="I1375"/>
      <c r="L1375"/>
      <c r="M1375"/>
      <c r="N1375" s="50"/>
      <c r="O1375"/>
    </row>
    <row r="1376" spans="1:15" x14ac:dyDescent="0.2">
      <c r="A1376"/>
      <c r="B1376" s="50"/>
      <c r="C1376" s="50"/>
      <c r="F1376"/>
      <c r="G1376"/>
      <c r="H1376"/>
      <c r="I1376"/>
      <c r="L1376"/>
      <c r="M1376"/>
      <c r="N1376" s="50"/>
      <c r="O1376"/>
    </row>
    <row r="1377" spans="1:15" x14ac:dyDescent="0.2">
      <c r="A1377"/>
      <c r="B1377" s="50"/>
      <c r="C1377" s="50"/>
      <c r="F1377"/>
      <c r="G1377"/>
      <c r="H1377"/>
      <c r="I1377"/>
      <c r="L1377"/>
      <c r="M1377"/>
      <c r="N1377" s="50"/>
      <c r="O1377"/>
    </row>
    <row r="1378" spans="1:15" x14ac:dyDescent="0.2">
      <c r="A1378"/>
      <c r="B1378" s="50"/>
      <c r="C1378" s="50"/>
      <c r="F1378"/>
      <c r="G1378"/>
      <c r="L1378"/>
      <c r="M1378"/>
      <c r="N1378" s="50"/>
      <c r="O1378"/>
    </row>
    <row r="1379" spans="1:15" x14ac:dyDescent="0.2">
      <c r="A1379"/>
      <c r="B1379" s="50"/>
      <c r="C1379" s="50"/>
      <c r="F1379"/>
      <c r="G1379"/>
      <c r="I1379"/>
      <c r="L1379"/>
      <c r="M1379"/>
      <c r="N1379" s="50"/>
      <c r="O1379"/>
    </row>
    <row r="1380" spans="1:15" x14ac:dyDescent="0.2">
      <c r="A1380"/>
      <c r="B1380" s="50"/>
      <c r="C1380" s="50"/>
      <c r="F1380"/>
      <c r="G1380"/>
      <c r="H1380"/>
      <c r="I1380"/>
      <c r="L1380"/>
      <c r="M1380"/>
      <c r="N1380" s="50"/>
      <c r="O1380"/>
    </row>
    <row r="1381" spans="1:15" x14ac:dyDescent="0.2">
      <c r="A1381"/>
      <c r="B1381" s="50"/>
      <c r="C1381" s="50"/>
      <c r="F1381"/>
      <c r="G1381"/>
      <c r="H1381"/>
      <c r="I1381"/>
      <c r="L1381"/>
      <c r="M1381"/>
      <c r="N1381" s="50"/>
      <c r="O1381"/>
    </row>
    <row r="1382" spans="1:15" x14ac:dyDescent="0.2">
      <c r="A1382"/>
      <c r="B1382" s="50"/>
      <c r="C1382" s="50"/>
      <c r="F1382"/>
      <c r="G1382"/>
      <c r="H1382"/>
      <c r="I1382"/>
      <c r="L1382"/>
      <c r="M1382"/>
      <c r="N1382" s="50"/>
      <c r="O1382"/>
    </row>
    <row r="1383" spans="1:15" x14ac:dyDescent="0.2">
      <c r="A1383"/>
      <c r="B1383" s="50"/>
      <c r="C1383" s="50"/>
      <c r="F1383"/>
      <c r="G1383"/>
      <c r="L1383"/>
      <c r="M1383"/>
      <c r="N1383" s="50"/>
      <c r="O1383"/>
    </row>
    <row r="1384" spans="1:15" x14ac:dyDescent="0.2">
      <c r="A1384"/>
      <c r="B1384" s="50"/>
      <c r="C1384" s="50"/>
      <c r="F1384"/>
      <c r="G1384"/>
      <c r="L1384"/>
      <c r="M1384"/>
      <c r="N1384" s="50"/>
      <c r="O1384"/>
    </row>
    <row r="1385" spans="1:15" x14ac:dyDescent="0.2">
      <c r="A1385"/>
      <c r="B1385" s="50"/>
      <c r="C1385" s="50"/>
      <c r="F1385"/>
      <c r="G1385"/>
      <c r="J1385"/>
      <c r="K1385"/>
      <c r="L1385"/>
      <c r="M1385"/>
      <c r="N1385" s="50"/>
      <c r="O1385"/>
    </row>
    <row r="1386" spans="1:15" x14ac:dyDescent="0.2">
      <c r="A1386"/>
      <c r="B1386" s="50"/>
      <c r="C1386" s="50"/>
      <c r="F1386"/>
      <c r="G1386"/>
      <c r="L1386"/>
      <c r="M1386"/>
      <c r="N1386" s="50"/>
      <c r="O1386"/>
    </row>
    <row r="1387" spans="1:15" x14ac:dyDescent="0.2">
      <c r="A1387"/>
      <c r="B1387" s="50"/>
      <c r="C1387" s="50"/>
      <c r="F1387"/>
      <c r="G1387"/>
      <c r="I1387"/>
      <c r="L1387"/>
      <c r="M1387"/>
      <c r="N1387" s="50"/>
      <c r="O1387"/>
    </row>
    <row r="1388" spans="1:15" x14ac:dyDescent="0.2">
      <c r="A1388"/>
      <c r="B1388" s="50"/>
      <c r="C1388" s="50"/>
      <c r="F1388"/>
      <c r="G1388"/>
      <c r="H1388"/>
      <c r="I1388"/>
      <c r="L1388"/>
      <c r="M1388"/>
      <c r="N1388" s="50"/>
      <c r="O1388"/>
    </row>
    <row r="1389" spans="1:15" x14ac:dyDescent="0.2">
      <c r="A1389"/>
      <c r="B1389" s="50"/>
      <c r="C1389" s="50"/>
      <c r="F1389"/>
      <c r="G1389"/>
      <c r="L1389"/>
      <c r="M1389"/>
      <c r="N1389" s="50"/>
      <c r="O1389"/>
    </row>
    <row r="1390" spans="1:15" x14ac:dyDescent="0.2">
      <c r="A1390"/>
      <c r="B1390" s="50"/>
      <c r="C1390" s="50"/>
      <c r="F1390"/>
      <c r="G1390"/>
      <c r="I1390"/>
      <c r="L1390"/>
      <c r="M1390"/>
      <c r="N1390" s="50"/>
      <c r="O1390"/>
    </row>
    <row r="1391" spans="1:15" x14ac:dyDescent="0.2">
      <c r="A1391"/>
      <c r="B1391" s="50"/>
      <c r="C1391" s="50"/>
      <c r="F1391"/>
      <c r="G1391"/>
      <c r="H1391"/>
      <c r="J1391"/>
      <c r="K1391"/>
      <c r="L1391"/>
      <c r="M1391"/>
      <c r="N1391" s="50"/>
      <c r="O1391"/>
    </row>
    <row r="1392" spans="1:15" x14ac:dyDescent="0.2">
      <c r="A1392"/>
      <c r="B1392" s="50"/>
      <c r="C1392" s="50"/>
      <c r="F1392"/>
      <c r="G1392"/>
      <c r="H1392"/>
      <c r="I1392"/>
      <c r="L1392"/>
      <c r="M1392"/>
      <c r="N1392" s="50"/>
      <c r="O1392"/>
    </row>
    <row r="1393" spans="1:15" x14ac:dyDescent="0.2">
      <c r="A1393"/>
      <c r="B1393" s="50"/>
      <c r="C1393" s="50"/>
      <c r="F1393"/>
      <c r="G1393"/>
      <c r="H1393"/>
      <c r="I1393"/>
      <c r="L1393"/>
      <c r="M1393"/>
      <c r="N1393" s="50"/>
      <c r="O1393"/>
    </row>
    <row r="1394" spans="1:15" x14ac:dyDescent="0.2">
      <c r="A1394"/>
      <c r="B1394" s="50"/>
      <c r="C1394" s="50"/>
      <c r="F1394"/>
      <c r="G1394"/>
      <c r="H1394"/>
      <c r="I1394"/>
      <c r="L1394"/>
      <c r="M1394"/>
      <c r="N1394" s="50"/>
      <c r="O1394"/>
    </row>
    <row r="1395" spans="1:15" x14ac:dyDescent="0.2">
      <c r="A1395"/>
      <c r="B1395" s="50"/>
      <c r="C1395" s="50"/>
      <c r="F1395"/>
      <c r="G1395"/>
      <c r="H1395"/>
      <c r="I1395"/>
      <c r="L1395"/>
      <c r="M1395"/>
      <c r="N1395" s="50"/>
      <c r="O1395"/>
    </row>
    <row r="1396" spans="1:15" x14ac:dyDescent="0.2">
      <c r="A1396"/>
      <c r="B1396" s="50"/>
      <c r="C1396" s="50"/>
      <c r="F1396"/>
      <c r="G1396"/>
      <c r="I1396"/>
      <c r="L1396"/>
      <c r="M1396"/>
      <c r="N1396" s="50"/>
      <c r="O1396"/>
    </row>
    <row r="1397" spans="1:15" x14ac:dyDescent="0.2">
      <c r="A1397"/>
      <c r="B1397" s="50"/>
      <c r="C1397" s="50"/>
      <c r="F1397"/>
      <c r="G1397"/>
      <c r="H1397"/>
      <c r="I1397"/>
      <c r="L1397"/>
      <c r="M1397"/>
      <c r="N1397" s="50"/>
      <c r="O1397"/>
    </row>
    <row r="1398" spans="1:15" x14ac:dyDescent="0.2">
      <c r="A1398"/>
      <c r="B1398" s="50"/>
      <c r="C1398" s="50"/>
      <c r="F1398"/>
      <c r="G1398"/>
      <c r="H1398"/>
      <c r="I1398"/>
      <c r="L1398"/>
      <c r="N1398" s="50"/>
      <c r="O1398"/>
    </row>
    <row r="1399" spans="1:15" x14ac:dyDescent="0.2">
      <c r="A1399"/>
      <c r="B1399" s="50"/>
      <c r="C1399" s="50"/>
      <c r="F1399"/>
      <c r="G1399"/>
      <c r="J1399"/>
      <c r="K1399"/>
      <c r="L1399"/>
      <c r="M1399"/>
      <c r="N1399" s="50"/>
      <c r="O1399"/>
    </row>
    <row r="1400" spans="1:15" x14ac:dyDescent="0.2">
      <c r="A1400"/>
      <c r="B1400" s="50"/>
      <c r="C1400" s="50"/>
      <c r="F1400"/>
      <c r="G1400"/>
      <c r="H1400"/>
      <c r="J1400"/>
      <c r="K1400"/>
      <c r="L1400"/>
      <c r="M1400"/>
      <c r="N1400" s="50"/>
      <c r="O1400"/>
    </row>
    <row r="1401" spans="1:15" x14ac:dyDescent="0.2">
      <c r="A1401"/>
      <c r="B1401" s="50"/>
      <c r="C1401" s="50"/>
      <c r="F1401"/>
      <c r="G1401"/>
      <c r="L1401"/>
      <c r="M1401"/>
      <c r="N1401" s="50"/>
      <c r="O1401"/>
    </row>
    <row r="1402" spans="1:15" x14ac:dyDescent="0.2">
      <c r="A1402"/>
      <c r="B1402" s="50"/>
      <c r="C1402" s="50"/>
      <c r="F1402"/>
      <c r="G1402"/>
      <c r="H1402"/>
      <c r="I1402"/>
      <c r="J1402"/>
      <c r="K1402"/>
      <c r="L1402"/>
      <c r="M1402"/>
      <c r="N1402" s="50"/>
      <c r="O1402"/>
    </row>
    <row r="1403" spans="1:15" x14ac:dyDescent="0.2">
      <c r="A1403"/>
      <c r="B1403" s="50"/>
      <c r="C1403" s="50"/>
      <c r="F1403"/>
      <c r="G1403"/>
      <c r="H1403"/>
      <c r="J1403"/>
      <c r="K1403"/>
      <c r="M1403"/>
      <c r="N1403" s="50"/>
      <c r="O1403"/>
    </row>
    <row r="1404" spans="1:15" x14ac:dyDescent="0.2">
      <c r="A1404"/>
      <c r="B1404" s="50"/>
      <c r="C1404" s="50"/>
      <c r="F1404"/>
      <c r="G1404"/>
      <c r="H1404"/>
      <c r="J1404"/>
      <c r="K1404"/>
      <c r="L1404"/>
      <c r="M1404"/>
      <c r="N1404" s="50"/>
      <c r="O1404"/>
    </row>
    <row r="1405" spans="1:15" x14ac:dyDescent="0.2">
      <c r="A1405"/>
      <c r="B1405" s="50"/>
      <c r="C1405" s="50"/>
      <c r="F1405"/>
      <c r="G1405"/>
      <c r="J1405"/>
      <c r="K1405"/>
      <c r="L1405"/>
      <c r="M1405"/>
      <c r="N1405" s="50"/>
      <c r="O1405"/>
    </row>
    <row r="1406" spans="1:15" x14ac:dyDescent="0.2">
      <c r="A1406"/>
      <c r="B1406" s="50"/>
      <c r="C1406" s="50"/>
      <c r="F1406"/>
      <c r="G1406"/>
      <c r="H1406"/>
      <c r="I1406"/>
      <c r="J1406"/>
      <c r="K1406"/>
      <c r="L1406"/>
      <c r="M1406"/>
      <c r="N1406" s="50"/>
      <c r="O1406"/>
    </row>
    <row r="1407" spans="1:15" x14ac:dyDescent="0.2">
      <c r="A1407"/>
      <c r="B1407" s="50"/>
      <c r="C1407" s="50"/>
      <c r="F1407"/>
      <c r="G1407"/>
      <c r="J1407"/>
      <c r="L1407"/>
      <c r="M1407"/>
      <c r="N1407" s="50"/>
      <c r="O1407"/>
    </row>
    <row r="1408" spans="1:15" x14ac:dyDescent="0.2">
      <c r="A1408"/>
      <c r="B1408" s="50"/>
      <c r="C1408" s="50"/>
      <c r="F1408"/>
      <c r="G1408"/>
      <c r="I1408"/>
      <c r="L1408"/>
      <c r="N1408" s="50"/>
      <c r="O1408"/>
    </row>
    <row r="1409" spans="1:15" x14ac:dyDescent="0.2">
      <c r="A1409"/>
      <c r="B1409" s="50"/>
      <c r="C1409" s="50"/>
      <c r="F1409"/>
      <c r="G1409"/>
      <c r="L1409"/>
      <c r="M1409"/>
      <c r="N1409" s="50"/>
      <c r="O1409"/>
    </row>
    <row r="1410" spans="1:15" x14ac:dyDescent="0.2">
      <c r="A1410"/>
      <c r="B1410" s="50"/>
      <c r="C1410" s="50"/>
      <c r="F1410"/>
      <c r="G1410"/>
      <c r="H1410"/>
      <c r="J1410"/>
      <c r="K1410"/>
      <c r="L1410"/>
      <c r="M1410"/>
      <c r="N1410" s="50"/>
      <c r="O1410"/>
    </row>
    <row r="1411" spans="1:15" x14ac:dyDescent="0.2">
      <c r="A1411"/>
      <c r="B1411" s="50"/>
      <c r="C1411" s="50"/>
      <c r="F1411"/>
      <c r="G1411"/>
      <c r="J1411"/>
      <c r="K1411"/>
      <c r="L1411"/>
      <c r="M1411"/>
      <c r="N1411" s="50"/>
      <c r="O1411"/>
    </row>
    <row r="1412" spans="1:15" x14ac:dyDescent="0.2">
      <c r="A1412"/>
      <c r="B1412" s="50"/>
      <c r="C1412" s="50"/>
      <c r="F1412"/>
      <c r="G1412"/>
      <c r="H1412"/>
      <c r="I1412"/>
      <c r="L1412"/>
      <c r="M1412"/>
      <c r="N1412" s="50"/>
      <c r="O1412"/>
    </row>
    <row r="1413" spans="1:15" x14ac:dyDescent="0.2">
      <c r="A1413"/>
      <c r="B1413" s="50"/>
      <c r="C1413" s="50"/>
      <c r="F1413"/>
      <c r="G1413"/>
      <c r="H1413"/>
      <c r="L1413"/>
      <c r="M1413"/>
      <c r="N1413" s="50"/>
      <c r="O1413"/>
    </row>
    <row r="1414" spans="1:15" x14ac:dyDescent="0.2">
      <c r="A1414"/>
      <c r="B1414" s="50"/>
      <c r="C1414" s="50"/>
      <c r="F1414"/>
      <c r="G1414"/>
      <c r="H1414"/>
      <c r="I1414"/>
      <c r="L1414"/>
      <c r="N1414" s="50"/>
      <c r="O1414"/>
    </row>
    <row r="1415" spans="1:15" x14ac:dyDescent="0.2">
      <c r="A1415"/>
      <c r="B1415" s="50"/>
      <c r="C1415" s="50"/>
      <c r="F1415"/>
      <c r="G1415"/>
      <c r="I1415"/>
      <c r="L1415"/>
      <c r="M1415"/>
      <c r="N1415" s="50"/>
      <c r="O1415"/>
    </row>
    <row r="1416" spans="1:15" x14ac:dyDescent="0.2">
      <c r="A1416"/>
      <c r="B1416" s="50"/>
      <c r="C1416" s="50"/>
      <c r="F1416"/>
      <c r="G1416"/>
      <c r="L1416"/>
      <c r="M1416"/>
      <c r="N1416" s="50"/>
      <c r="O1416"/>
    </row>
    <row r="1417" spans="1:15" x14ac:dyDescent="0.2">
      <c r="A1417"/>
      <c r="B1417" s="50"/>
      <c r="C1417" s="50"/>
      <c r="F1417"/>
      <c r="G1417"/>
      <c r="L1417"/>
      <c r="M1417"/>
      <c r="N1417" s="50"/>
      <c r="O1417"/>
    </row>
    <row r="1418" spans="1:15" x14ac:dyDescent="0.2">
      <c r="A1418"/>
      <c r="B1418" s="50"/>
      <c r="C1418" s="50"/>
      <c r="F1418"/>
      <c r="G1418"/>
      <c r="H1418"/>
      <c r="I1418"/>
      <c r="L1418"/>
      <c r="M1418"/>
      <c r="N1418" s="50"/>
      <c r="O1418"/>
    </row>
    <row r="1419" spans="1:15" x14ac:dyDescent="0.2">
      <c r="A1419"/>
      <c r="B1419" s="50"/>
      <c r="C1419" s="50"/>
      <c r="F1419"/>
      <c r="G1419"/>
      <c r="L1419"/>
      <c r="M1419"/>
      <c r="N1419" s="50"/>
      <c r="O1419"/>
    </row>
    <row r="1420" spans="1:15" x14ac:dyDescent="0.2">
      <c r="A1420"/>
      <c r="B1420" s="50"/>
      <c r="C1420" s="50"/>
      <c r="F1420"/>
      <c r="G1420"/>
      <c r="H1420"/>
      <c r="I1420"/>
      <c r="L1420"/>
      <c r="M1420"/>
      <c r="N1420" s="50"/>
      <c r="O1420"/>
    </row>
    <row r="1421" spans="1:15" x14ac:dyDescent="0.2">
      <c r="A1421"/>
      <c r="B1421" s="50"/>
      <c r="C1421" s="50"/>
      <c r="F1421"/>
      <c r="G1421"/>
      <c r="H1421"/>
      <c r="I1421"/>
      <c r="L1421"/>
      <c r="M1421"/>
      <c r="N1421" s="50"/>
      <c r="O1421"/>
    </row>
    <row r="1422" spans="1:15" x14ac:dyDescent="0.2">
      <c r="A1422"/>
      <c r="B1422" s="50"/>
      <c r="C1422" s="50"/>
      <c r="F1422"/>
      <c r="G1422"/>
      <c r="H1422"/>
      <c r="I1422"/>
      <c r="L1422"/>
      <c r="M1422"/>
      <c r="N1422" s="50"/>
      <c r="O1422"/>
    </row>
    <row r="1423" spans="1:15" x14ac:dyDescent="0.2">
      <c r="A1423"/>
      <c r="B1423" s="50"/>
      <c r="C1423" s="50"/>
      <c r="F1423"/>
      <c r="G1423"/>
      <c r="H1423"/>
      <c r="I1423"/>
      <c r="L1423"/>
      <c r="M1423"/>
      <c r="N1423" s="50"/>
      <c r="O1423"/>
    </row>
    <row r="1424" spans="1:15" x14ac:dyDescent="0.2">
      <c r="A1424"/>
      <c r="B1424" s="50"/>
      <c r="C1424" s="50"/>
      <c r="F1424"/>
      <c r="G1424"/>
      <c r="H1424"/>
      <c r="I1424"/>
      <c r="L1424"/>
      <c r="M1424"/>
      <c r="N1424" s="50"/>
      <c r="O1424"/>
    </row>
    <row r="1425" spans="1:15" x14ac:dyDescent="0.2">
      <c r="A1425"/>
      <c r="B1425" s="50"/>
      <c r="C1425" s="50"/>
      <c r="F1425"/>
      <c r="G1425"/>
      <c r="H1425"/>
      <c r="I1425"/>
      <c r="L1425"/>
      <c r="M1425"/>
      <c r="N1425" s="50"/>
      <c r="O1425"/>
    </row>
    <row r="1426" spans="1:15" x14ac:dyDescent="0.2">
      <c r="A1426"/>
      <c r="B1426" s="50"/>
      <c r="C1426" s="50"/>
      <c r="F1426"/>
      <c r="G1426"/>
      <c r="J1426"/>
      <c r="K1426"/>
      <c r="L1426"/>
      <c r="M1426"/>
      <c r="N1426" s="50"/>
      <c r="O1426"/>
    </row>
    <row r="1427" spans="1:15" x14ac:dyDescent="0.2">
      <c r="A1427"/>
      <c r="B1427" s="50"/>
      <c r="C1427" s="50"/>
      <c r="F1427"/>
      <c r="G1427"/>
      <c r="H1427"/>
      <c r="I1427"/>
      <c r="L1427"/>
      <c r="M1427"/>
      <c r="N1427" s="50"/>
      <c r="O1427"/>
    </row>
    <row r="1428" spans="1:15" x14ac:dyDescent="0.2">
      <c r="A1428"/>
      <c r="B1428" s="50"/>
      <c r="C1428" s="50"/>
      <c r="F1428"/>
      <c r="G1428"/>
      <c r="I1428"/>
      <c r="L1428"/>
      <c r="M1428"/>
      <c r="N1428" s="50"/>
      <c r="O1428"/>
    </row>
    <row r="1429" spans="1:15" x14ac:dyDescent="0.2">
      <c r="A1429"/>
      <c r="B1429" s="50"/>
      <c r="C1429" s="50"/>
      <c r="F1429"/>
      <c r="G1429"/>
      <c r="H1429"/>
      <c r="I1429"/>
      <c r="L1429"/>
      <c r="M1429"/>
      <c r="N1429" s="50"/>
      <c r="O1429"/>
    </row>
    <row r="1430" spans="1:15" x14ac:dyDescent="0.2">
      <c r="A1430"/>
      <c r="B1430" s="50"/>
      <c r="C1430" s="50"/>
      <c r="F1430"/>
      <c r="G1430"/>
      <c r="I1430"/>
      <c r="L1430"/>
      <c r="M1430"/>
      <c r="N1430" s="50"/>
      <c r="O1430"/>
    </row>
    <row r="1431" spans="1:15" x14ac:dyDescent="0.2">
      <c r="A1431"/>
      <c r="B1431" s="50"/>
      <c r="C1431" s="50"/>
      <c r="F1431"/>
      <c r="G1431"/>
      <c r="L1431"/>
      <c r="M1431"/>
      <c r="N1431" s="50"/>
      <c r="O1431"/>
    </row>
    <row r="1432" spans="1:15" x14ac:dyDescent="0.2">
      <c r="A1432"/>
      <c r="B1432" s="50"/>
      <c r="C1432" s="50"/>
      <c r="F1432"/>
      <c r="G1432"/>
      <c r="H1432"/>
      <c r="I1432"/>
      <c r="L1432"/>
      <c r="M1432"/>
      <c r="N1432" s="50"/>
      <c r="O1432"/>
    </row>
    <row r="1433" spans="1:15" x14ac:dyDescent="0.2">
      <c r="A1433"/>
      <c r="B1433" s="50"/>
      <c r="C1433" s="50"/>
      <c r="F1433"/>
      <c r="G1433"/>
      <c r="H1433"/>
      <c r="I1433"/>
      <c r="L1433"/>
      <c r="N1433" s="50"/>
      <c r="O1433"/>
    </row>
    <row r="1434" spans="1:15" x14ac:dyDescent="0.2">
      <c r="A1434"/>
      <c r="B1434" s="50"/>
      <c r="C1434" s="50"/>
      <c r="F1434"/>
      <c r="G1434"/>
      <c r="I1434"/>
      <c r="L1434"/>
      <c r="M1434"/>
      <c r="N1434" s="50"/>
      <c r="O1434"/>
    </row>
    <row r="1435" spans="1:15" x14ac:dyDescent="0.2">
      <c r="A1435"/>
      <c r="B1435" s="50"/>
      <c r="C1435" s="50"/>
      <c r="F1435"/>
      <c r="G1435"/>
      <c r="L1435"/>
      <c r="M1435"/>
      <c r="N1435" s="50"/>
      <c r="O1435"/>
    </row>
    <row r="1436" spans="1:15" x14ac:dyDescent="0.2">
      <c r="A1436"/>
      <c r="B1436" s="50"/>
      <c r="C1436" s="50"/>
      <c r="F1436"/>
      <c r="G1436"/>
      <c r="H1436"/>
      <c r="I1436"/>
      <c r="L1436"/>
      <c r="M1436"/>
      <c r="N1436" s="50"/>
      <c r="O1436"/>
    </row>
    <row r="1437" spans="1:15" x14ac:dyDescent="0.2">
      <c r="A1437"/>
      <c r="B1437" s="50"/>
      <c r="C1437" s="50"/>
      <c r="F1437"/>
      <c r="G1437"/>
      <c r="H1437"/>
      <c r="J1437"/>
      <c r="K1437"/>
      <c r="L1437"/>
      <c r="M1437"/>
      <c r="N1437" s="50"/>
      <c r="O1437"/>
    </row>
    <row r="1438" spans="1:15" x14ac:dyDescent="0.2">
      <c r="A1438"/>
      <c r="B1438" s="50"/>
      <c r="C1438" s="50"/>
      <c r="F1438"/>
      <c r="G1438"/>
      <c r="L1438"/>
      <c r="M1438"/>
      <c r="N1438" s="50"/>
      <c r="O1438"/>
    </row>
    <row r="1439" spans="1:15" x14ac:dyDescent="0.2">
      <c r="A1439"/>
      <c r="B1439" s="50"/>
      <c r="C1439" s="50"/>
      <c r="F1439"/>
      <c r="G1439"/>
      <c r="H1439"/>
      <c r="I1439"/>
      <c r="L1439"/>
      <c r="M1439"/>
      <c r="N1439" s="50"/>
      <c r="O1439"/>
    </row>
    <row r="1440" spans="1:15" x14ac:dyDescent="0.2">
      <c r="A1440"/>
      <c r="B1440" s="50"/>
      <c r="C1440" s="50"/>
      <c r="F1440"/>
      <c r="G1440"/>
      <c r="H1440"/>
      <c r="I1440"/>
      <c r="L1440"/>
      <c r="M1440"/>
      <c r="N1440" s="50"/>
      <c r="O1440"/>
    </row>
    <row r="1441" spans="1:15" x14ac:dyDescent="0.2">
      <c r="A1441"/>
      <c r="B1441" s="50"/>
      <c r="C1441" s="50"/>
      <c r="F1441"/>
      <c r="G1441"/>
      <c r="H1441"/>
      <c r="L1441"/>
      <c r="M1441"/>
      <c r="N1441" s="50"/>
      <c r="O1441"/>
    </row>
    <row r="1442" spans="1:15" x14ac:dyDescent="0.2">
      <c r="A1442"/>
      <c r="B1442" s="50"/>
      <c r="C1442" s="50"/>
      <c r="F1442"/>
      <c r="G1442"/>
      <c r="H1442"/>
      <c r="I1442"/>
      <c r="L1442"/>
      <c r="M1442"/>
      <c r="N1442" s="50"/>
      <c r="O1442"/>
    </row>
    <row r="1443" spans="1:15" x14ac:dyDescent="0.2">
      <c r="A1443"/>
      <c r="B1443" s="50"/>
      <c r="C1443" s="50"/>
      <c r="F1443"/>
      <c r="G1443"/>
      <c r="H1443"/>
      <c r="I1443"/>
      <c r="L1443"/>
      <c r="N1443" s="50"/>
      <c r="O1443"/>
    </row>
    <row r="1444" spans="1:15" x14ac:dyDescent="0.2">
      <c r="A1444"/>
      <c r="B1444" s="50"/>
      <c r="C1444" s="50"/>
      <c r="F1444"/>
      <c r="G1444"/>
      <c r="H1444"/>
      <c r="I1444"/>
      <c r="L1444"/>
      <c r="M1444"/>
      <c r="N1444" s="50"/>
      <c r="O1444"/>
    </row>
    <row r="1445" spans="1:15" x14ac:dyDescent="0.2">
      <c r="A1445"/>
      <c r="B1445" s="50"/>
      <c r="C1445" s="50"/>
      <c r="F1445"/>
      <c r="G1445"/>
      <c r="H1445"/>
      <c r="I1445"/>
      <c r="J1445"/>
      <c r="K1445"/>
      <c r="L1445"/>
      <c r="M1445"/>
      <c r="N1445" s="50"/>
      <c r="O1445"/>
    </row>
    <row r="1446" spans="1:15" x14ac:dyDescent="0.2">
      <c r="A1446"/>
      <c r="B1446" s="50"/>
      <c r="C1446" s="50"/>
      <c r="F1446"/>
      <c r="G1446"/>
      <c r="H1446"/>
      <c r="J1446"/>
      <c r="K1446"/>
      <c r="L1446"/>
      <c r="M1446"/>
      <c r="N1446" s="50"/>
      <c r="O1446"/>
    </row>
    <row r="1447" spans="1:15" x14ac:dyDescent="0.2">
      <c r="A1447"/>
      <c r="B1447" s="50"/>
      <c r="C1447" s="50"/>
      <c r="F1447"/>
      <c r="G1447"/>
      <c r="L1447"/>
      <c r="M1447"/>
      <c r="N1447" s="50"/>
      <c r="O1447"/>
    </row>
    <row r="1448" spans="1:15" x14ac:dyDescent="0.2">
      <c r="A1448"/>
      <c r="B1448" s="50"/>
      <c r="C1448" s="50"/>
      <c r="F1448"/>
      <c r="G1448"/>
      <c r="H1448"/>
      <c r="I1448"/>
      <c r="L1448"/>
      <c r="M1448"/>
      <c r="N1448" s="50"/>
      <c r="O1448"/>
    </row>
    <row r="1449" spans="1:15" x14ac:dyDescent="0.2">
      <c r="A1449"/>
      <c r="B1449" s="50"/>
      <c r="C1449" s="50"/>
      <c r="F1449"/>
      <c r="G1449"/>
      <c r="M1449"/>
      <c r="N1449" s="50"/>
      <c r="O1449"/>
    </row>
    <row r="1450" spans="1:15" x14ac:dyDescent="0.2">
      <c r="A1450"/>
      <c r="B1450" s="50"/>
      <c r="C1450" s="50"/>
      <c r="F1450"/>
      <c r="G1450"/>
      <c r="L1450"/>
      <c r="M1450"/>
      <c r="N1450" s="50"/>
      <c r="O1450"/>
    </row>
    <row r="1451" spans="1:15" x14ac:dyDescent="0.2">
      <c r="A1451"/>
      <c r="B1451" s="50"/>
      <c r="C1451" s="50"/>
      <c r="F1451"/>
      <c r="G1451"/>
      <c r="M1451"/>
      <c r="N1451" s="50"/>
      <c r="O1451"/>
    </row>
    <row r="1452" spans="1:15" x14ac:dyDescent="0.2">
      <c r="A1452"/>
      <c r="B1452" s="50"/>
      <c r="C1452" s="50"/>
      <c r="F1452"/>
      <c r="G1452"/>
      <c r="L1452"/>
      <c r="M1452"/>
      <c r="N1452" s="50"/>
      <c r="O1452"/>
    </row>
    <row r="1453" spans="1:15" x14ac:dyDescent="0.2">
      <c r="A1453"/>
      <c r="B1453" s="50"/>
      <c r="C1453" s="50"/>
      <c r="F1453"/>
      <c r="G1453"/>
      <c r="H1453"/>
      <c r="I1453"/>
      <c r="L1453"/>
      <c r="N1453" s="50"/>
      <c r="O1453"/>
    </row>
    <row r="1454" spans="1:15" x14ac:dyDescent="0.2">
      <c r="A1454"/>
      <c r="B1454" s="50"/>
      <c r="C1454" s="50"/>
      <c r="F1454"/>
      <c r="G1454"/>
      <c r="L1454"/>
      <c r="M1454"/>
      <c r="N1454" s="50"/>
      <c r="O1454"/>
    </row>
    <row r="1455" spans="1:15" x14ac:dyDescent="0.2">
      <c r="A1455"/>
      <c r="B1455" s="50"/>
      <c r="C1455" s="50"/>
      <c r="F1455"/>
      <c r="G1455"/>
      <c r="J1455"/>
      <c r="K1455"/>
      <c r="L1455"/>
      <c r="M1455"/>
      <c r="N1455" s="50"/>
      <c r="O1455"/>
    </row>
    <row r="1456" spans="1:15" x14ac:dyDescent="0.2">
      <c r="A1456"/>
      <c r="B1456" s="50"/>
      <c r="C1456" s="50"/>
      <c r="F1456"/>
      <c r="G1456"/>
      <c r="H1456"/>
      <c r="I1456"/>
      <c r="L1456"/>
      <c r="N1456" s="50"/>
      <c r="O1456"/>
    </row>
    <row r="1457" spans="1:15" x14ac:dyDescent="0.2">
      <c r="A1457"/>
      <c r="B1457" s="50"/>
      <c r="C1457" s="50"/>
      <c r="F1457"/>
      <c r="G1457"/>
      <c r="H1457"/>
      <c r="I1457"/>
      <c r="L1457"/>
      <c r="M1457"/>
      <c r="N1457" s="50"/>
      <c r="O1457"/>
    </row>
    <row r="1458" spans="1:15" x14ac:dyDescent="0.2">
      <c r="A1458"/>
      <c r="B1458" s="50"/>
      <c r="C1458" s="50"/>
      <c r="F1458"/>
      <c r="G1458"/>
      <c r="H1458"/>
      <c r="I1458"/>
      <c r="L1458"/>
      <c r="M1458"/>
      <c r="N1458" s="50"/>
      <c r="O1458"/>
    </row>
    <row r="1459" spans="1:15" x14ac:dyDescent="0.2">
      <c r="A1459"/>
      <c r="B1459" s="50"/>
      <c r="C1459" s="50"/>
      <c r="F1459"/>
      <c r="G1459"/>
      <c r="L1459"/>
      <c r="M1459"/>
      <c r="N1459" s="50"/>
      <c r="O1459"/>
    </row>
    <row r="1460" spans="1:15" x14ac:dyDescent="0.2">
      <c r="A1460"/>
      <c r="B1460" s="50"/>
      <c r="C1460" s="50"/>
      <c r="F1460"/>
      <c r="G1460"/>
      <c r="H1460"/>
      <c r="I1460"/>
      <c r="L1460"/>
      <c r="M1460"/>
      <c r="N1460" s="50"/>
      <c r="O1460"/>
    </row>
    <row r="1461" spans="1:15" x14ac:dyDescent="0.2">
      <c r="A1461"/>
      <c r="B1461" s="50"/>
      <c r="C1461" s="50"/>
      <c r="F1461"/>
      <c r="G1461"/>
      <c r="H1461"/>
      <c r="I1461"/>
      <c r="L1461"/>
      <c r="M1461"/>
      <c r="N1461" s="50"/>
      <c r="O1461"/>
    </row>
    <row r="1462" spans="1:15" x14ac:dyDescent="0.2">
      <c r="A1462"/>
      <c r="B1462" s="50"/>
      <c r="C1462" s="50"/>
      <c r="F1462"/>
      <c r="G1462"/>
      <c r="H1462"/>
      <c r="L1462"/>
      <c r="M1462"/>
      <c r="N1462" s="50"/>
      <c r="O1462"/>
    </row>
    <row r="1463" spans="1:15" x14ac:dyDescent="0.2">
      <c r="A1463"/>
      <c r="B1463" s="50"/>
      <c r="C1463" s="50"/>
      <c r="F1463"/>
      <c r="G1463"/>
      <c r="L1463"/>
      <c r="M1463"/>
      <c r="N1463" s="50"/>
      <c r="O1463"/>
    </row>
    <row r="1464" spans="1:15" x14ac:dyDescent="0.2">
      <c r="A1464"/>
      <c r="B1464" s="50"/>
      <c r="C1464" s="50"/>
      <c r="F1464"/>
      <c r="G1464"/>
      <c r="M1464"/>
      <c r="N1464" s="50"/>
      <c r="O1464"/>
    </row>
    <row r="1465" spans="1:15" x14ac:dyDescent="0.2">
      <c r="A1465"/>
      <c r="B1465" s="50"/>
      <c r="C1465" s="50"/>
      <c r="F1465"/>
      <c r="G1465"/>
      <c r="H1465"/>
      <c r="I1465"/>
      <c r="L1465"/>
      <c r="M1465"/>
      <c r="N1465" s="50"/>
      <c r="O1465"/>
    </row>
    <row r="1466" spans="1:15" x14ac:dyDescent="0.2">
      <c r="A1466"/>
      <c r="B1466" s="50"/>
      <c r="C1466" s="50"/>
      <c r="F1466"/>
      <c r="G1466"/>
      <c r="I1466"/>
      <c r="L1466"/>
      <c r="M1466"/>
      <c r="N1466" s="50"/>
      <c r="O1466"/>
    </row>
    <row r="1467" spans="1:15" x14ac:dyDescent="0.2">
      <c r="A1467"/>
      <c r="B1467" s="50"/>
      <c r="C1467" s="50"/>
      <c r="F1467"/>
      <c r="G1467"/>
      <c r="H1467"/>
      <c r="I1467"/>
      <c r="L1467"/>
      <c r="M1467"/>
      <c r="N1467" s="50"/>
      <c r="O1467"/>
    </row>
    <row r="1468" spans="1:15" x14ac:dyDescent="0.2">
      <c r="A1468"/>
      <c r="B1468" s="50"/>
      <c r="C1468" s="50"/>
      <c r="F1468"/>
      <c r="G1468"/>
      <c r="H1468"/>
      <c r="J1468"/>
      <c r="K1468"/>
      <c r="L1468"/>
      <c r="M1468"/>
      <c r="N1468" s="50"/>
      <c r="O1468"/>
    </row>
    <row r="1469" spans="1:15" x14ac:dyDescent="0.2">
      <c r="A1469"/>
      <c r="B1469" s="50"/>
      <c r="C1469" s="50"/>
      <c r="F1469"/>
      <c r="G1469"/>
      <c r="H1469"/>
      <c r="I1469"/>
      <c r="L1469"/>
      <c r="M1469"/>
      <c r="N1469" s="50"/>
      <c r="O1469"/>
    </row>
    <row r="1470" spans="1:15" x14ac:dyDescent="0.2">
      <c r="A1470"/>
      <c r="B1470" s="50"/>
      <c r="C1470" s="50"/>
      <c r="F1470"/>
      <c r="G1470"/>
      <c r="L1470"/>
      <c r="M1470"/>
      <c r="N1470" s="50"/>
      <c r="O1470"/>
    </row>
    <row r="1471" spans="1:15" x14ac:dyDescent="0.2">
      <c r="A1471"/>
      <c r="B1471" s="50"/>
      <c r="C1471" s="50"/>
      <c r="F1471"/>
      <c r="G1471"/>
      <c r="H1471"/>
      <c r="I1471"/>
      <c r="L1471"/>
      <c r="M1471"/>
      <c r="N1471" s="50"/>
      <c r="O1471"/>
    </row>
    <row r="1472" spans="1:15" x14ac:dyDescent="0.2">
      <c r="A1472"/>
      <c r="B1472" s="50"/>
      <c r="C1472" s="50"/>
      <c r="F1472"/>
      <c r="G1472"/>
      <c r="H1472"/>
      <c r="I1472"/>
      <c r="L1472"/>
      <c r="N1472" s="50"/>
      <c r="O1472"/>
    </row>
    <row r="1473" spans="1:15" x14ac:dyDescent="0.2">
      <c r="A1473"/>
      <c r="B1473" s="50"/>
      <c r="C1473" s="50"/>
      <c r="F1473"/>
      <c r="G1473"/>
      <c r="L1473"/>
      <c r="M1473"/>
      <c r="N1473" s="50"/>
      <c r="O1473"/>
    </row>
    <row r="1474" spans="1:15" x14ac:dyDescent="0.2">
      <c r="A1474"/>
      <c r="B1474" s="50"/>
      <c r="C1474" s="50"/>
      <c r="F1474"/>
      <c r="G1474"/>
      <c r="H1474"/>
      <c r="J1474"/>
      <c r="K1474"/>
      <c r="L1474"/>
      <c r="M1474"/>
      <c r="N1474" s="50"/>
      <c r="O1474"/>
    </row>
    <row r="1475" spans="1:15" x14ac:dyDescent="0.2">
      <c r="A1475"/>
      <c r="B1475" s="50"/>
      <c r="C1475" s="50"/>
      <c r="F1475"/>
      <c r="G1475"/>
      <c r="H1475"/>
      <c r="I1475"/>
      <c r="L1475"/>
      <c r="N1475" s="50"/>
      <c r="O1475"/>
    </row>
    <row r="1476" spans="1:15" x14ac:dyDescent="0.2">
      <c r="A1476"/>
      <c r="B1476" s="50"/>
      <c r="C1476" s="50"/>
      <c r="F1476"/>
      <c r="G1476"/>
      <c r="L1476"/>
      <c r="M1476"/>
      <c r="N1476" s="50"/>
      <c r="O1476"/>
    </row>
    <row r="1477" spans="1:15" x14ac:dyDescent="0.2">
      <c r="A1477"/>
      <c r="B1477" s="50"/>
      <c r="C1477" s="50"/>
      <c r="F1477"/>
      <c r="G1477"/>
      <c r="H1477"/>
      <c r="I1477"/>
      <c r="L1477"/>
      <c r="M1477"/>
      <c r="N1477" s="50"/>
      <c r="O1477"/>
    </row>
    <row r="1478" spans="1:15" x14ac:dyDescent="0.2">
      <c r="A1478"/>
      <c r="B1478" s="50"/>
      <c r="C1478" s="50"/>
      <c r="F1478"/>
      <c r="G1478"/>
      <c r="H1478"/>
      <c r="I1478"/>
      <c r="L1478"/>
      <c r="M1478"/>
      <c r="N1478" s="50"/>
      <c r="O1478"/>
    </row>
    <row r="1479" spans="1:15" x14ac:dyDescent="0.2">
      <c r="A1479"/>
      <c r="B1479" s="50"/>
      <c r="C1479" s="50"/>
      <c r="F1479"/>
      <c r="G1479"/>
      <c r="I1479"/>
      <c r="L1479"/>
      <c r="M1479"/>
      <c r="N1479" s="50"/>
      <c r="O1479"/>
    </row>
    <row r="1480" spans="1:15" x14ac:dyDescent="0.2">
      <c r="A1480"/>
      <c r="B1480" s="50"/>
      <c r="C1480" s="50"/>
      <c r="F1480"/>
      <c r="G1480"/>
      <c r="I1480"/>
      <c r="L1480"/>
      <c r="M1480"/>
      <c r="N1480" s="50"/>
      <c r="O1480"/>
    </row>
    <row r="1481" spans="1:15" x14ac:dyDescent="0.2">
      <c r="A1481"/>
      <c r="B1481" s="50"/>
      <c r="C1481" s="50"/>
      <c r="F1481"/>
      <c r="G1481"/>
      <c r="L1481"/>
      <c r="M1481"/>
      <c r="N1481" s="50"/>
      <c r="O1481"/>
    </row>
    <row r="1482" spans="1:15" x14ac:dyDescent="0.2">
      <c r="A1482"/>
      <c r="B1482" s="50"/>
      <c r="C1482" s="50"/>
      <c r="F1482"/>
      <c r="G1482"/>
      <c r="H1482"/>
      <c r="I1482"/>
      <c r="L1482"/>
      <c r="M1482"/>
      <c r="N1482" s="50"/>
      <c r="O1482"/>
    </row>
    <row r="1483" spans="1:15" x14ac:dyDescent="0.2">
      <c r="A1483"/>
      <c r="B1483" s="50"/>
      <c r="C1483" s="50"/>
      <c r="F1483"/>
      <c r="G1483"/>
      <c r="J1483"/>
      <c r="K1483"/>
      <c r="L1483"/>
      <c r="M1483"/>
      <c r="N1483" s="50"/>
      <c r="O1483"/>
    </row>
    <row r="1484" spans="1:15" x14ac:dyDescent="0.2">
      <c r="A1484"/>
      <c r="B1484" s="50"/>
      <c r="C1484" s="50"/>
      <c r="F1484"/>
      <c r="G1484"/>
      <c r="M1484"/>
      <c r="N1484" s="50"/>
      <c r="O1484"/>
    </row>
    <row r="1485" spans="1:15" x14ac:dyDescent="0.2">
      <c r="A1485"/>
      <c r="B1485" s="50"/>
      <c r="C1485" s="50"/>
      <c r="F1485"/>
      <c r="G1485"/>
      <c r="L1485"/>
      <c r="M1485"/>
      <c r="N1485" s="50"/>
      <c r="O1485"/>
    </row>
    <row r="1486" spans="1:15" x14ac:dyDescent="0.2">
      <c r="A1486"/>
      <c r="B1486" s="50"/>
      <c r="C1486" s="50"/>
      <c r="F1486"/>
      <c r="G1486"/>
      <c r="L1486"/>
      <c r="M1486"/>
      <c r="N1486" s="50"/>
      <c r="O1486"/>
    </row>
    <row r="1487" spans="1:15" x14ac:dyDescent="0.2">
      <c r="A1487"/>
      <c r="B1487" s="50"/>
      <c r="C1487" s="50"/>
      <c r="F1487"/>
      <c r="G1487"/>
      <c r="H1487"/>
      <c r="I1487"/>
      <c r="J1487"/>
      <c r="K1487"/>
      <c r="L1487"/>
      <c r="M1487"/>
      <c r="N1487" s="50"/>
      <c r="O1487"/>
    </row>
    <row r="1488" spans="1:15" x14ac:dyDescent="0.2">
      <c r="A1488"/>
      <c r="B1488" s="50"/>
      <c r="C1488" s="50"/>
      <c r="F1488"/>
      <c r="G1488"/>
      <c r="I1488"/>
      <c r="L1488"/>
      <c r="M1488"/>
      <c r="N1488" s="50"/>
      <c r="O1488"/>
    </row>
    <row r="1489" spans="1:15" x14ac:dyDescent="0.2">
      <c r="A1489"/>
      <c r="B1489" s="50"/>
      <c r="C1489" s="50"/>
      <c r="F1489"/>
      <c r="G1489"/>
      <c r="I1489"/>
      <c r="L1489"/>
      <c r="M1489"/>
      <c r="N1489" s="50"/>
      <c r="O1489"/>
    </row>
    <row r="1490" spans="1:15" x14ac:dyDescent="0.2">
      <c r="A1490"/>
      <c r="B1490" s="50"/>
      <c r="C1490" s="50"/>
      <c r="F1490"/>
      <c r="G1490"/>
      <c r="N1490" s="50"/>
      <c r="O1490"/>
    </row>
    <row r="1491" spans="1:15" x14ac:dyDescent="0.2">
      <c r="A1491"/>
      <c r="B1491" s="50"/>
      <c r="C1491" s="50"/>
      <c r="F1491"/>
      <c r="G1491"/>
      <c r="H1491"/>
      <c r="I1491"/>
      <c r="L1491"/>
      <c r="M1491"/>
      <c r="N1491" s="50"/>
      <c r="O1491"/>
    </row>
    <row r="1492" spans="1:15" x14ac:dyDescent="0.2">
      <c r="A1492"/>
      <c r="B1492" s="50"/>
      <c r="C1492" s="50"/>
      <c r="F1492"/>
      <c r="G1492"/>
      <c r="L1492"/>
      <c r="M1492"/>
      <c r="N1492" s="50"/>
      <c r="O1492"/>
    </row>
    <row r="1493" spans="1:15" x14ac:dyDescent="0.2">
      <c r="A1493"/>
      <c r="B1493" s="50"/>
      <c r="C1493" s="50"/>
      <c r="F1493"/>
      <c r="G1493"/>
      <c r="L1493"/>
      <c r="M1493"/>
      <c r="N1493" s="50"/>
      <c r="O1493"/>
    </row>
    <row r="1494" spans="1:15" x14ac:dyDescent="0.2">
      <c r="A1494"/>
      <c r="B1494" s="50"/>
      <c r="C1494" s="50"/>
      <c r="F1494"/>
      <c r="G1494"/>
      <c r="H1494"/>
      <c r="J1494"/>
      <c r="K1494"/>
      <c r="M1494"/>
      <c r="N1494" s="50"/>
      <c r="O1494"/>
    </row>
    <row r="1495" spans="1:15" x14ac:dyDescent="0.2">
      <c r="A1495"/>
      <c r="B1495" s="50"/>
      <c r="C1495" s="50"/>
      <c r="F1495"/>
      <c r="G1495"/>
      <c r="H1495"/>
      <c r="I1495"/>
      <c r="L1495"/>
      <c r="M1495"/>
      <c r="N1495" s="50"/>
      <c r="O1495"/>
    </row>
    <row r="1496" spans="1:15" x14ac:dyDescent="0.2">
      <c r="A1496"/>
      <c r="B1496" s="50"/>
      <c r="C1496" s="50"/>
      <c r="F1496"/>
      <c r="G1496"/>
      <c r="H1496"/>
      <c r="I1496"/>
      <c r="L1496"/>
      <c r="M1496"/>
      <c r="N1496" s="50"/>
      <c r="O1496"/>
    </row>
    <row r="1497" spans="1:15" x14ac:dyDescent="0.2">
      <c r="A1497"/>
      <c r="B1497" s="50"/>
      <c r="C1497" s="50"/>
      <c r="F1497"/>
      <c r="G1497"/>
      <c r="H1497"/>
      <c r="I1497"/>
      <c r="L1497"/>
      <c r="M1497"/>
      <c r="N1497" s="50"/>
      <c r="O1497"/>
    </row>
    <row r="1498" spans="1:15" x14ac:dyDescent="0.2">
      <c r="A1498"/>
      <c r="B1498" s="50"/>
      <c r="C1498" s="50"/>
      <c r="F1498"/>
      <c r="G1498"/>
      <c r="H1498"/>
      <c r="I1498"/>
      <c r="L1498"/>
      <c r="M1498"/>
      <c r="N1498" s="50"/>
      <c r="O1498"/>
    </row>
    <row r="1499" spans="1:15" x14ac:dyDescent="0.2">
      <c r="A1499"/>
      <c r="B1499" s="50"/>
      <c r="C1499" s="50"/>
      <c r="F1499"/>
      <c r="G1499"/>
      <c r="H1499"/>
      <c r="I1499"/>
      <c r="L1499"/>
      <c r="M1499"/>
      <c r="N1499" s="50"/>
      <c r="O1499"/>
    </row>
    <row r="1500" spans="1:15" x14ac:dyDescent="0.2">
      <c r="A1500"/>
      <c r="B1500" s="50"/>
      <c r="C1500" s="50"/>
      <c r="F1500"/>
      <c r="G1500"/>
      <c r="H1500"/>
      <c r="I1500"/>
      <c r="L1500"/>
      <c r="M1500"/>
      <c r="N1500" s="50"/>
      <c r="O1500"/>
    </row>
    <row r="1501" spans="1:15" x14ac:dyDescent="0.2">
      <c r="A1501"/>
      <c r="B1501" s="50"/>
      <c r="C1501" s="50"/>
      <c r="F1501"/>
      <c r="G1501"/>
      <c r="I1501"/>
      <c r="L1501"/>
      <c r="M1501"/>
      <c r="N1501" s="50"/>
      <c r="O1501"/>
    </row>
    <row r="1502" spans="1:15" x14ac:dyDescent="0.2">
      <c r="A1502"/>
      <c r="B1502" s="50"/>
      <c r="C1502" s="50"/>
      <c r="F1502"/>
      <c r="G1502"/>
      <c r="L1502"/>
      <c r="M1502"/>
      <c r="N1502" s="50"/>
      <c r="O1502"/>
    </row>
    <row r="1503" spans="1:15" x14ac:dyDescent="0.2">
      <c r="A1503"/>
      <c r="B1503" s="50"/>
      <c r="C1503" s="50"/>
      <c r="F1503"/>
      <c r="G1503"/>
      <c r="H1503"/>
      <c r="I1503"/>
      <c r="L1503"/>
      <c r="M1503"/>
      <c r="N1503" s="50"/>
      <c r="O1503"/>
    </row>
    <row r="1504" spans="1:15" x14ac:dyDescent="0.2">
      <c r="A1504"/>
      <c r="B1504" s="50"/>
      <c r="C1504" s="50"/>
      <c r="F1504"/>
      <c r="G1504"/>
      <c r="H1504"/>
      <c r="N1504" s="50"/>
      <c r="O1504"/>
    </row>
    <row r="1505" spans="1:15" x14ac:dyDescent="0.2">
      <c r="A1505"/>
      <c r="B1505" s="50"/>
      <c r="C1505" s="50"/>
      <c r="F1505"/>
      <c r="G1505"/>
      <c r="H1505"/>
      <c r="I1505"/>
      <c r="L1505"/>
      <c r="M1505"/>
      <c r="N1505" s="50"/>
      <c r="O1505"/>
    </row>
    <row r="1506" spans="1:15" x14ac:dyDescent="0.2">
      <c r="A1506"/>
      <c r="B1506" s="50"/>
      <c r="C1506" s="50"/>
      <c r="F1506"/>
      <c r="G1506"/>
      <c r="H1506"/>
      <c r="I1506"/>
      <c r="L1506"/>
      <c r="M1506"/>
      <c r="N1506" s="50"/>
      <c r="O1506"/>
    </row>
    <row r="1507" spans="1:15" x14ac:dyDescent="0.2">
      <c r="A1507"/>
      <c r="B1507" s="50"/>
      <c r="C1507" s="50"/>
      <c r="F1507"/>
      <c r="G1507"/>
      <c r="H1507"/>
      <c r="I1507"/>
      <c r="L1507"/>
      <c r="M1507"/>
      <c r="N1507" s="50"/>
      <c r="O1507"/>
    </row>
    <row r="1508" spans="1:15" x14ac:dyDescent="0.2">
      <c r="A1508"/>
      <c r="B1508" s="50"/>
      <c r="C1508" s="50"/>
      <c r="F1508"/>
      <c r="G1508"/>
      <c r="H1508"/>
      <c r="I1508"/>
      <c r="L1508"/>
      <c r="M1508"/>
      <c r="N1508" s="50"/>
      <c r="O1508"/>
    </row>
    <row r="1509" spans="1:15" x14ac:dyDescent="0.2">
      <c r="A1509"/>
      <c r="B1509" s="50"/>
      <c r="C1509" s="50"/>
      <c r="F1509"/>
      <c r="G1509"/>
      <c r="H1509"/>
      <c r="I1509"/>
      <c r="L1509"/>
      <c r="M1509"/>
      <c r="N1509" s="50"/>
      <c r="O1509"/>
    </row>
    <row r="1510" spans="1:15" x14ac:dyDescent="0.2">
      <c r="A1510"/>
      <c r="B1510" s="50"/>
      <c r="C1510" s="50"/>
      <c r="F1510"/>
      <c r="G1510"/>
      <c r="I1510"/>
      <c r="L1510"/>
      <c r="M1510"/>
      <c r="N1510" s="50"/>
      <c r="O1510"/>
    </row>
    <row r="1511" spans="1:15" x14ac:dyDescent="0.2">
      <c r="A1511"/>
      <c r="B1511" s="50"/>
      <c r="C1511" s="50"/>
      <c r="F1511"/>
      <c r="G1511"/>
      <c r="M1511"/>
      <c r="N1511" s="50"/>
      <c r="O1511"/>
    </row>
    <row r="1512" spans="1:15" x14ac:dyDescent="0.2">
      <c r="A1512"/>
      <c r="B1512" s="50"/>
      <c r="C1512" s="50"/>
      <c r="F1512"/>
      <c r="G1512"/>
      <c r="L1512"/>
      <c r="M1512"/>
      <c r="N1512" s="50"/>
      <c r="O1512"/>
    </row>
    <row r="1513" spans="1:15" x14ac:dyDescent="0.2">
      <c r="A1513"/>
      <c r="B1513" s="50"/>
      <c r="C1513" s="50"/>
      <c r="F1513"/>
      <c r="G1513"/>
      <c r="H1513"/>
      <c r="I1513"/>
      <c r="J1513"/>
      <c r="K1513"/>
      <c r="L1513"/>
      <c r="M1513"/>
      <c r="N1513" s="50"/>
      <c r="O1513"/>
    </row>
    <row r="1514" spans="1:15" x14ac:dyDescent="0.2">
      <c r="A1514"/>
      <c r="B1514" s="50"/>
      <c r="C1514" s="50"/>
      <c r="F1514"/>
      <c r="G1514"/>
      <c r="H1514"/>
      <c r="I1514"/>
      <c r="L1514"/>
      <c r="M1514"/>
      <c r="N1514" s="50"/>
      <c r="O1514"/>
    </row>
    <row r="1515" spans="1:15" x14ac:dyDescent="0.2">
      <c r="A1515"/>
      <c r="B1515" s="50"/>
      <c r="C1515" s="50"/>
      <c r="F1515"/>
      <c r="G1515"/>
      <c r="J1515"/>
      <c r="K1515"/>
      <c r="L1515"/>
      <c r="M1515"/>
      <c r="N1515" s="50"/>
      <c r="O1515"/>
    </row>
    <row r="1516" spans="1:15" x14ac:dyDescent="0.2">
      <c r="A1516"/>
      <c r="B1516" s="50"/>
      <c r="C1516" s="50"/>
      <c r="F1516"/>
      <c r="G1516"/>
      <c r="L1516"/>
      <c r="M1516"/>
      <c r="N1516" s="50"/>
      <c r="O1516"/>
    </row>
    <row r="1517" spans="1:15" x14ac:dyDescent="0.2">
      <c r="A1517"/>
      <c r="B1517" s="50"/>
      <c r="C1517" s="50"/>
      <c r="F1517"/>
      <c r="G1517"/>
      <c r="H1517"/>
      <c r="J1517"/>
      <c r="K1517"/>
      <c r="L1517"/>
      <c r="M1517"/>
      <c r="N1517" s="50"/>
      <c r="O1517"/>
    </row>
    <row r="1518" spans="1:15" x14ac:dyDescent="0.2">
      <c r="A1518"/>
      <c r="B1518" s="50"/>
      <c r="C1518" s="50"/>
      <c r="F1518"/>
      <c r="G1518"/>
      <c r="H1518"/>
      <c r="I1518"/>
      <c r="J1518"/>
      <c r="K1518"/>
      <c r="L1518"/>
      <c r="M1518"/>
      <c r="N1518" s="50"/>
      <c r="O1518"/>
    </row>
    <row r="1519" spans="1:15" x14ac:dyDescent="0.2">
      <c r="A1519"/>
      <c r="B1519" s="50"/>
      <c r="C1519" s="50"/>
      <c r="F1519"/>
      <c r="G1519"/>
      <c r="H1519"/>
      <c r="J1519"/>
      <c r="K1519"/>
      <c r="L1519"/>
      <c r="M1519"/>
      <c r="N1519" s="50"/>
      <c r="O1519"/>
    </row>
    <row r="1520" spans="1:15" x14ac:dyDescent="0.2">
      <c r="A1520"/>
      <c r="B1520" s="50"/>
      <c r="C1520" s="50"/>
      <c r="F1520"/>
      <c r="G1520"/>
      <c r="L1520"/>
      <c r="M1520"/>
      <c r="N1520" s="50"/>
      <c r="O1520"/>
    </row>
    <row r="1521" spans="1:15" x14ac:dyDescent="0.2">
      <c r="A1521"/>
      <c r="B1521" s="50"/>
      <c r="C1521" s="50"/>
      <c r="F1521"/>
      <c r="G1521"/>
      <c r="H1521"/>
      <c r="J1521"/>
      <c r="K1521"/>
      <c r="L1521"/>
      <c r="M1521"/>
      <c r="N1521" s="50"/>
      <c r="O1521"/>
    </row>
    <row r="1522" spans="1:15" x14ac:dyDescent="0.2">
      <c r="A1522"/>
      <c r="B1522" s="50"/>
      <c r="C1522" s="50"/>
      <c r="F1522"/>
      <c r="G1522"/>
      <c r="H1522"/>
      <c r="L1522"/>
      <c r="M1522"/>
      <c r="N1522" s="50"/>
      <c r="O1522"/>
    </row>
    <row r="1523" spans="1:15" x14ac:dyDescent="0.2">
      <c r="A1523"/>
      <c r="B1523" s="50"/>
      <c r="C1523" s="50"/>
      <c r="F1523"/>
      <c r="G1523"/>
      <c r="H1523"/>
      <c r="I1523"/>
      <c r="L1523"/>
      <c r="M1523"/>
      <c r="N1523" s="50"/>
      <c r="O1523"/>
    </row>
    <row r="1524" spans="1:15" x14ac:dyDescent="0.2">
      <c r="A1524"/>
      <c r="B1524" s="50"/>
      <c r="C1524" s="50"/>
      <c r="F1524"/>
      <c r="G1524"/>
      <c r="J1524"/>
      <c r="K1524"/>
      <c r="L1524"/>
      <c r="M1524"/>
      <c r="N1524" s="50"/>
      <c r="O1524"/>
    </row>
    <row r="1525" spans="1:15" x14ac:dyDescent="0.2">
      <c r="A1525"/>
      <c r="B1525" s="50"/>
      <c r="C1525" s="50"/>
      <c r="F1525"/>
      <c r="G1525"/>
      <c r="H1525"/>
      <c r="I1525"/>
      <c r="L1525"/>
      <c r="M1525"/>
      <c r="N1525" s="50"/>
      <c r="O1525"/>
    </row>
    <row r="1526" spans="1:15" x14ac:dyDescent="0.2">
      <c r="A1526"/>
      <c r="B1526" s="50"/>
      <c r="C1526" s="50"/>
      <c r="F1526"/>
      <c r="G1526"/>
      <c r="H1526"/>
      <c r="I1526"/>
      <c r="L1526"/>
      <c r="M1526"/>
      <c r="N1526" s="50"/>
      <c r="O1526"/>
    </row>
    <row r="1527" spans="1:15" x14ac:dyDescent="0.2">
      <c r="A1527"/>
      <c r="B1527" s="50"/>
      <c r="C1527" s="50"/>
      <c r="F1527"/>
      <c r="G1527"/>
      <c r="H1527"/>
      <c r="I1527"/>
      <c r="L1527"/>
      <c r="M1527"/>
      <c r="N1527" s="50"/>
      <c r="O1527"/>
    </row>
    <row r="1528" spans="1:15" x14ac:dyDescent="0.2">
      <c r="A1528"/>
      <c r="B1528" s="50"/>
      <c r="C1528" s="50"/>
      <c r="F1528"/>
      <c r="G1528"/>
      <c r="H1528"/>
      <c r="I1528"/>
      <c r="L1528"/>
      <c r="M1528"/>
      <c r="N1528" s="50"/>
      <c r="O1528"/>
    </row>
    <row r="1529" spans="1:15" x14ac:dyDescent="0.2">
      <c r="A1529"/>
      <c r="B1529" s="50"/>
      <c r="C1529" s="50"/>
      <c r="F1529"/>
      <c r="G1529"/>
      <c r="H1529"/>
      <c r="I1529"/>
      <c r="L1529"/>
      <c r="M1529"/>
      <c r="N1529" s="50"/>
      <c r="O1529"/>
    </row>
    <row r="1530" spans="1:15" x14ac:dyDescent="0.2">
      <c r="A1530"/>
      <c r="B1530" s="50"/>
      <c r="C1530" s="50"/>
      <c r="F1530"/>
      <c r="G1530"/>
      <c r="I1530"/>
      <c r="L1530"/>
      <c r="M1530"/>
      <c r="N1530" s="50"/>
      <c r="O1530"/>
    </row>
    <row r="1531" spans="1:15" x14ac:dyDescent="0.2">
      <c r="A1531"/>
      <c r="B1531" s="50"/>
      <c r="C1531" s="50"/>
      <c r="F1531"/>
      <c r="G1531"/>
      <c r="I1531"/>
      <c r="L1531"/>
      <c r="M1531"/>
      <c r="N1531" s="50"/>
      <c r="O1531"/>
    </row>
    <row r="1532" spans="1:15" x14ac:dyDescent="0.2">
      <c r="A1532"/>
      <c r="B1532" s="50"/>
      <c r="C1532" s="50"/>
      <c r="F1532"/>
      <c r="G1532"/>
      <c r="H1532"/>
      <c r="I1532"/>
      <c r="L1532"/>
      <c r="M1532"/>
      <c r="N1532" s="50"/>
      <c r="O1532"/>
    </row>
    <row r="1533" spans="1:15" x14ac:dyDescent="0.2">
      <c r="A1533"/>
      <c r="B1533" s="50"/>
      <c r="C1533" s="50"/>
      <c r="F1533"/>
      <c r="G1533"/>
      <c r="H1533"/>
      <c r="I1533"/>
      <c r="L1533"/>
      <c r="M1533"/>
      <c r="N1533" s="50"/>
      <c r="O1533"/>
    </row>
    <row r="1534" spans="1:15" x14ac:dyDescent="0.2">
      <c r="A1534"/>
      <c r="B1534" s="50"/>
      <c r="C1534" s="50"/>
      <c r="F1534"/>
      <c r="G1534"/>
      <c r="H1534"/>
      <c r="I1534"/>
      <c r="L1534"/>
      <c r="M1534"/>
      <c r="N1534" s="50"/>
      <c r="O1534"/>
    </row>
    <row r="1535" spans="1:15" x14ac:dyDescent="0.2">
      <c r="A1535"/>
      <c r="B1535" s="50"/>
      <c r="C1535" s="50"/>
      <c r="F1535"/>
      <c r="G1535"/>
      <c r="I1535"/>
      <c r="L1535"/>
      <c r="M1535"/>
      <c r="N1535" s="50"/>
      <c r="O1535"/>
    </row>
    <row r="1536" spans="1:15" x14ac:dyDescent="0.2">
      <c r="A1536"/>
      <c r="B1536" s="50"/>
      <c r="C1536" s="50"/>
      <c r="F1536"/>
      <c r="G1536"/>
      <c r="I1536"/>
      <c r="L1536"/>
      <c r="M1536"/>
      <c r="N1536" s="50"/>
      <c r="O1536"/>
    </row>
    <row r="1537" spans="1:15" x14ac:dyDescent="0.2">
      <c r="A1537"/>
      <c r="B1537" s="50"/>
      <c r="C1537" s="50"/>
      <c r="F1537"/>
      <c r="G1537"/>
      <c r="H1537"/>
      <c r="I1537"/>
      <c r="L1537"/>
      <c r="M1537"/>
      <c r="N1537" s="50"/>
      <c r="O1537"/>
    </row>
    <row r="1538" spans="1:15" x14ac:dyDescent="0.2">
      <c r="A1538"/>
      <c r="B1538" s="50"/>
      <c r="C1538" s="50"/>
      <c r="F1538"/>
      <c r="G1538"/>
      <c r="J1538"/>
      <c r="K1538"/>
      <c r="L1538"/>
      <c r="M1538"/>
      <c r="N1538" s="50"/>
      <c r="O1538"/>
    </row>
    <row r="1539" spans="1:15" x14ac:dyDescent="0.2">
      <c r="A1539"/>
      <c r="B1539" s="50"/>
      <c r="C1539" s="50"/>
      <c r="F1539"/>
      <c r="G1539"/>
      <c r="H1539"/>
      <c r="I1539"/>
      <c r="L1539"/>
      <c r="M1539"/>
      <c r="N1539" s="50"/>
      <c r="O1539"/>
    </row>
    <row r="1540" spans="1:15" x14ac:dyDescent="0.2">
      <c r="A1540"/>
      <c r="B1540" s="50"/>
      <c r="C1540" s="50"/>
      <c r="F1540"/>
      <c r="G1540"/>
      <c r="L1540"/>
      <c r="M1540"/>
      <c r="N1540" s="50"/>
      <c r="O1540"/>
    </row>
    <row r="1541" spans="1:15" x14ac:dyDescent="0.2">
      <c r="A1541"/>
      <c r="B1541" s="50"/>
      <c r="C1541" s="50"/>
      <c r="F1541"/>
      <c r="G1541"/>
      <c r="H1541"/>
      <c r="I1541"/>
      <c r="L1541"/>
      <c r="M1541"/>
      <c r="N1541" s="50"/>
      <c r="O1541"/>
    </row>
    <row r="1542" spans="1:15" x14ac:dyDescent="0.2">
      <c r="A1542"/>
      <c r="B1542" s="50"/>
      <c r="C1542" s="50"/>
      <c r="F1542"/>
      <c r="G1542"/>
      <c r="H1542"/>
      <c r="J1542"/>
      <c r="K1542"/>
      <c r="L1542"/>
      <c r="M1542"/>
      <c r="N1542" s="50"/>
      <c r="O1542"/>
    </row>
    <row r="1543" spans="1:15" x14ac:dyDescent="0.2">
      <c r="A1543"/>
      <c r="B1543" s="50"/>
      <c r="C1543" s="50"/>
      <c r="F1543"/>
      <c r="G1543"/>
      <c r="H1543"/>
      <c r="I1543"/>
      <c r="L1543"/>
      <c r="M1543"/>
      <c r="N1543" s="50"/>
      <c r="O1543"/>
    </row>
    <row r="1544" spans="1:15" x14ac:dyDescent="0.2">
      <c r="A1544"/>
      <c r="B1544" s="50"/>
      <c r="C1544" s="50"/>
      <c r="F1544"/>
      <c r="G1544"/>
      <c r="H1544"/>
      <c r="J1544"/>
      <c r="K1544"/>
      <c r="L1544"/>
      <c r="M1544"/>
      <c r="N1544" s="50"/>
      <c r="O1544"/>
    </row>
    <row r="1545" spans="1:15" x14ac:dyDescent="0.2">
      <c r="A1545"/>
      <c r="B1545" s="50"/>
      <c r="C1545" s="50"/>
      <c r="F1545"/>
      <c r="G1545"/>
      <c r="J1545"/>
      <c r="K1545"/>
      <c r="L1545"/>
      <c r="M1545"/>
      <c r="N1545" s="50"/>
      <c r="O1545"/>
    </row>
    <row r="1546" spans="1:15" x14ac:dyDescent="0.2">
      <c r="A1546"/>
      <c r="B1546" s="50"/>
      <c r="C1546" s="50"/>
      <c r="F1546"/>
      <c r="G1546"/>
      <c r="J1546"/>
      <c r="K1546"/>
      <c r="L1546"/>
      <c r="M1546"/>
      <c r="N1546" s="50"/>
      <c r="O1546"/>
    </row>
    <row r="1547" spans="1:15" x14ac:dyDescent="0.2">
      <c r="A1547"/>
      <c r="B1547" s="50"/>
      <c r="C1547" s="50"/>
      <c r="F1547"/>
      <c r="G1547"/>
      <c r="H1547"/>
      <c r="J1547"/>
      <c r="K1547"/>
      <c r="L1547"/>
      <c r="M1547"/>
      <c r="N1547" s="50"/>
      <c r="O1547"/>
    </row>
    <row r="1548" spans="1:15" x14ac:dyDescent="0.2">
      <c r="A1548"/>
      <c r="B1548" s="50"/>
      <c r="C1548" s="50"/>
      <c r="F1548"/>
      <c r="G1548"/>
      <c r="H1548"/>
      <c r="J1548"/>
      <c r="K1548"/>
      <c r="L1548"/>
      <c r="M1548"/>
      <c r="N1548" s="50"/>
      <c r="O1548"/>
    </row>
    <row r="1549" spans="1:15" x14ac:dyDescent="0.2">
      <c r="A1549"/>
      <c r="B1549" s="50"/>
      <c r="C1549" s="50"/>
      <c r="F1549"/>
      <c r="G1549"/>
      <c r="H1549"/>
      <c r="I1549"/>
      <c r="L1549"/>
      <c r="M1549"/>
      <c r="N1549" s="50"/>
      <c r="O1549"/>
    </row>
    <row r="1550" spans="1:15" x14ac:dyDescent="0.2">
      <c r="A1550"/>
      <c r="B1550" s="50"/>
      <c r="C1550" s="50"/>
      <c r="F1550"/>
      <c r="G1550"/>
      <c r="I1550"/>
      <c r="L1550"/>
      <c r="M1550"/>
      <c r="N1550" s="50"/>
      <c r="O1550"/>
    </row>
    <row r="1551" spans="1:15" x14ac:dyDescent="0.2">
      <c r="A1551"/>
      <c r="B1551" s="50"/>
      <c r="C1551" s="50"/>
      <c r="F1551"/>
      <c r="G1551"/>
      <c r="H1551"/>
      <c r="I1551"/>
      <c r="L1551"/>
      <c r="N1551" s="50"/>
      <c r="O1551"/>
    </row>
    <row r="1552" spans="1:15" x14ac:dyDescent="0.2">
      <c r="A1552"/>
      <c r="B1552" s="50"/>
      <c r="C1552" s="50"/>
      <c r="F1552"/>
      <c r="G1552"/>
      <c r="H1552"/>
      <c r="I1552"/>
      <c r="L1552"/>
      <c r="M1552"/>
      <c r="N1552" s="50"/>
      <c r="O1552"/>
    </row>
    <row r="1553" spans="1:15" x14ac:dyDescent="0.2">
      <c r="A1553"/>
      <c r="B1553" s="50"/>
      <c r="C1553" s="50"/>
      <c r="F1553"/>
      <c r="G1553"/>
      <c r="H1553"/>
      <c r="I1553"/>
      <c r="L1553"/>
      <c r="N1553" s="50"/>
      <c r="O1553"/>
    </row>
    <row r="1554" spans="1:15" x14ac:dyDescent="0.2">
      <c r="A1554"/>
      <c r="B1554" s="50"/>
      <c r="C1554" s="50"/>
      <c r="F1554"/>
      <c r="G1554"/>
      <c r="I1554"/>
      <c r="L1554"/>
      <c r="M1554"/>
      <c r="N1554" s="50"/>
      <c r="O1554"/>
    </row>
    <row r="1555" spans="1:15" x14ac:dyDescent="0.2">
      <c r="A1555"/>
      <c r="B1555" s="50"/>
      <c r="C1555" s="50"/>
      <c r="F1555"/>
      <c r="G1555"/>
      <c r="H1555"/>
      <c r="I1555"/>
      <c r="L1555"/>
      <c r="M1555"/>
      <c r="N1555" s="50"/>
      <c r="O1555"/>
    </row>
    <row r="1556" spans="1:15" x14ac:dyDescent="0.2">
      <c r="A1556"/>
      <c r="B1556" s="50"/>
      <c r="C1556" s="50"/>
      <c r="F1556"/>
      <c r="G1556"/>
      <c r="I1556"/>
      <c r="L1556"/>
      <c r="M1556"/>
      <c r="N1556" s="50"/>
      <c r="O1556"/>
    </row>
    <row r="1557" spans="1:15" x14ac:dyDescent="0.2">
      <c r="A1557"/>
      <c r="B1557" s="50"/>
      <c r="C1557" s="50"/>
      <c r="F1557"/>
      <c r="G1557"/>
      <c r="I1557"/>
      <c r="L1557"/>
      <c r="M1557"/>
      <c r="N1557" s="50"/>
      <c r="O1557"/>
    </row>
    <row r="1558" spans="1:15" x14ac:dyDescent="0.2">
      <c r="A1558"/>
      <c r="B1558" s="50"/>
      <c r="C1558" s="50"/>
      <c r="F1558"/>
      <c r="G1558"/>
      <c r="I1558"/>
      <c r="L1558"/>
      <c r="M1558"/>
      <c r="N1558" s="50"/>
      <c r="O1558"/>
    </row>
    <row r="1559" spans="1:15" x14ac:dyDescent="0.2">
      <c r="A1559"/>
      <c r="B1559" s="50"/>
      <c r="C1559" s="50"/>
      <c r="F1559"/>
      <c r="G1559"/>
      <c r="H1559"/>
      <c r="I1559"/>
      <c r="L1559"/>
      <c r="M1559"/>
      <c r="N1559" s="50"/>
      <c r="O1559"/>
    </row>
    <row r="1560" spans="1:15" x14ac:dyDescent="0.2">
      <c r="A1560"/>
      <c r="B1560" s="50"/>
      <c r="C1560" s="50"/>
      <c r="F1560"/>
      <c r="G1560"/>
      <c r="L1560"/>
      <c r="M1560"/>
      <c r="N1560" s="50"/>
      <c r="O1560"/>
    </row>
    <row r="1561" spans="1:15" x14ac:dyDescent="0.2">
      <c r="A1561"/>
      <c r="B1561" s="50"/>
      <c r="C1561" s="50"/>
      <c r="F1561"/>
      <c r="G1561"/>
      <c r="H1561"/>
      <c r="I1561"/>
      <c r="L1561"/>
      <c r="M1561"/>
      <c r="N1561" s="50"/>
      <c r="O1561"/>
    </row>
    <row r="1562" spans="1:15" x14ac:dyDescent="0.2">
      <c r="A1562"/>
      <c r="B1562" s="50"/>
      <c r="C1562" s="50"/>
      <c r="F1562"/>
      <c r="G1562"/>
      <c r="J1562"/>
      <c r="K1562"/>
      <c r="L1562"/>
      <c r="M1562"/>
      <c r="N1562" s="50"/>
      <c r="O1562"/>
    </row>
    <row r="1563" spans="1:15" x14ac:dyDescent="0.2">
      <c r="A1563"/>
      <c r="B1563" s="50"/>
      <c r="C1563" s="50"/>
      <c r="F1563"/>
      <c r="G1563"/>
      <c r="I1563"/>
      <c r="L1563"/>
      <c r="M1563"/>
      <c r="N1563" s="50"/>
      <c r="O1563"/>
    </row>
    <row r="1564" spans="1:15" x14ac:dyDescent="0.2">
      <c r="A1564"/>
      <c r="B1564" s="50"/>
      <c r="C1564" s="50"/>
      <c r="F1564"/>
      <c r="G1564"/>
      <c r="H1564"/>
      <c r="I1564"/>
      <c r="L1564"/>
      <c r="N1564" s="50"/>
      <c r="O1564"/>
    </row>
    <row r="1565" spans="1:15" x14ac:dyDescent="0.2">
      <c r="A1565"/>
      <c r="B1565" s="50"/>
      <c r="C1565" s="50"/>
      <c r="F1565"/>
      <c r="G1565"/>
      <c r="M1565"/>
      <c r="N1565" s="50"/>
      <c r="O1565"/>
    </row>
    <row r="1566" spans="1:15" x14ac:dyDescent="0.2">
      <c r="A1566"/>
      <c r="B1566" s="50"/>
      <c r="C1566" s="50"/>
      <c r="F1566"/>
      <c r="G1566"/>
      <c r="M1566"/>
      <c r="N1566" s="50"/>
      <c r="O1566"/>
    </row>
    <row r="1567" spans="1:15" x14ac:dyDescent="0.2">
      <c r="A1567"/>
      <c r="B1567" s="50"/>
      <c r="C1567" s="50"/>
      <c r="F1567"/>
      <c r="G1567"/>
      <c r="H1567"/>
      <c r="I1567"/>
      <c r="L1567"/>
      <c r="N1567" s="50"/>
      <c r="O1567"/>
    </row>
    <row r="1568" spans="1:15" x14ac:dyDescent="0.2">
      <c r="A1568"/>
      <c r="B1568" s="50"/>
      <c r="C1568" s="50"/>
      <c r="F1568"/>
      <c r="G1568"/>
      <c r="H1568"/>
      <c r="I1568"/>
      <c r="L1568"/>
      <c r="M1568"/>
      <c r="N1568" s="50"/>
      <c r="O1568"/>
    </row>
    <row r="1569" spans="1:15" x14ac:dyDescent="0.2">
      <c r="A1569"/>
      <c r="B1569" s="50"/>
      <c r="C1569" s="50"/>
      <c r="F1569"/>
      <c r="G1569"/>
      <c r="H1569"/>
      <c r="I1569"/>
      <c r="L1569"/>
      <c r="M1569"/>
      <c r="N1569" s="50"/>
      <c r="O1569"/>
    </row>
    <row r="1570" spans="1:15" x14ac:dyDescent="0.2">
      <c r="A1570"/>
      <c r="B1570" s="50"/>
      <c r="C1570" s="50"/>
      <c r="F1570"/>
      <c r="G1570"/>
      <c r="I1570"/>
      <c r="L1570"/>
      <c r="M1570"/>
      <c r="N1570" s="50"/>
      <c r="O1570"/>
    </row>
    <row r="1571" spans="1:15" x14ac:dyDescent="0.2">
      <c r="A1571"/>
      <c r="B1571" s="50"/>
      <c r="C1571" s="50"/>
      <c r="F1571"/>
      <c r="G1571"/>
      <c r="H1571"/>
      <c r="I1571"/>
      <c r="L1571"/>
      <c r="M1571"/>
      <c r="N1571" s="50"/>
      <c r="O1571"/>
    </row>
    <row r="1572" spans="1:15" x14ac:dyDescent="0.2">
      <c r="A1572"/>
      <c r="B1572" s="50"/>
      <c r="C1572" s="50"/>
      <c r="F1572"/>
      <c r="G1572"/>
      <c r="H1572"/>
      <c r="I1572"/>
      <c r="L1572"/>
      <c r="M1572"/>
      <c r="N1572" s="50"/>
      <c r="O1572"/>
    </row>
    <row r="1573" spans="1:15" x14ac:dyDescent="0.2">
      <c r="A1573"/>
      <c r="B1573" s="50"/>
      <c r="C1573" s="50"/>
      <c r="F1573"/>
      <c r="G1573"/>
      <c r="I1573"/>
      <c r="L1573"/>
      <c r="M1573"/>
      <c r="N1573" s="50"/>
      <c r="O1573"/>
    </row>
    <row r="1574" spans="1:15" x14ac:dyDescent="0.2">
      <c r="A1574"/>
      <c r="B1574" s="50"/>
      <c r="C1574" s="50"/>
      <c r="F1574"/>
      <c r="G1574"/>
      <c r="I1574"/>
      <c r="L1574"/>
      <c r="M1574"/>
      <c r="N1574" s="50"/>
      <c r="O1574"/>
    </row>
    <row r="1575" spans="1:15" x14ac:dyDescent="0.2">
      <c r="A1575"/>
      <c r="B1575" s="50"/>
      <c r="C1575" s="50"/>
      <c r="F1575"/>
      <c r="G1575"/>
      <c r="I1575"/>
      <c r="L1575"/>
      <c r="M1575"/>
      <c r="N1575" s="50"/>
      <c r="O1575"/>
    </row>
    <row r="1576" spans="1:15" x14ac:dyDescent="0.2">
      <c r="A1576"/>
      <c r="B1576" s="50"/>
      <c r="C1576" s="50"/>
      <c r="F1576"/>
      <c r="G1576"/>
      <c r="H1576"/>
      <c r="J1576"/>
      <c r="L1576"/>
      <c r="M1576"/>
      <c r="N1576" s="50"/>
      <c r="O1576"/>
    </row>
    <row r="1577" spans="1:15" x14ac:dyDescent="0.2">
      <c r="A1577"/>
      <c r="B1577" s="50"/>
      <c r="C1577" s="50"/>
      <c r="F1577"/>
      <c r="G1577"/>
      <c r="L1577"/>
      <c r="M1577"/>
      <c r="N1577" s="50"/>
      <c r="O1577"/>
    </row>
    <row r="1578" spans="1:15" x14ac:dyDescent="0.2">
      <c r="A1578"/>
      <c r="B1578" s="50"/>
      <c r="C1578" s="50"/>
      <c r="F1578"/>
      <c r="G1578"/>
      <c r="H1578"/>
      <c r="J1578"/>
      <c r="K1578"/>
      <c r="L1578"/>
      <c r="M1578"/>
      <c r="N1578" s="50"/>
      <c r="O1578"/>
    </row>
    <row r="1579" spans="1:15" x14ac:dyDescent="0.2">
      <c r="A1579"/>
      <c r="B1579" s="50"/>
      <c r="C1579" s="50"/>
      <c r="F1579"/>
      <c r="G1579"/>
      <c r="H1579"/>
      <c r="I1579"/>
      <c r="L1579"/>
      <c r="M1579"/>
      <c r="N1579" s="50"/>
      <c r="O1579"/>
    </row>
    <row r="1580" spans="1:15" x14ac:dyDescent="0.2">
      <c r="A1580"/>
      <c r="B1580" s="50"/>
      <c r="C1580" s="50"/>
      <c r="F1580"/>
      <c r="G1580"/>
      <c r="H1580"/>
      <c r="I1580"/>
      <c r="L1580"/>
      <c r="M1580"/>
      <c r="N1580" s="50"/>
      <c r="O1580"/>
    </row>
    <row r="1581" spans="1:15" x14ac:dyDescent="0.2">
      <c r="A1581"/>
      <c r="B1581" s="50"/>
      <c r="C1581" s="50"/>
      <c r="F1581"/>
      <c r="G1581"/>
      <c r="H1581"/>
      <c r="I1581"/>
      <c r="L1581"/>
      <c r="M1581"/>
      <c r="N1581" s="50"/>
      <c r="O1581"/>
    </row>
    <row r="1582" spans="1:15" x14ac:dyDescent="0.2">
      <c r="A1582"/>
      <c r="B1582" s="50"/>
      <c r="C1582" s="50"/>
      <c r="F1582"/>
      <c r="G1582"/>
      <c r="H1582"/>
      <c r="I1582"/>
      <c r="L1582"/>
      <c r="M1582"/>
      <c r="N1582" s="50"/>
      <c r="O1582"/>
    </row>
    <row r="1583" spans="1:15" x14ac:dyDescent="0.2">
      <c r="A1583"/>
      <c r="B1583" s="50"/>
      <c r="C1583" s="50"/>
      <c r="F1583"/>
      <c r="G1583"/>
      <c r="I1583"/>
      <c r="L1583"/>
      <c r="M1583"/>
      <c r="N1583" s="50"/>
      <c r="O1583"/>
    </row>
    <row r="1584" spans="1:15" x14ac:dyDescent="0.2">
      <c r="A1584"/>
      <c r="B1584" s="50"/>
      <c r="C1584" s="50"/>
      <c r="F1584"/>
      <c r="G1584"/>
      <c r="H1584"/>
      <c r="I1584"/>
      <c r="L1584"/>
      <c r="M1584"/>
      <c r="N1584" s="50"/>
      <c r="O1584"/>
    </row>
    <row r="1585" spans="1:15" x14ac:dyDescent="0.2">
      <c r="A1585"/>
      <c r="B1585" s="50"/>
      <c r="C1585" s="50"/>
      <c r="F1585"/>
      <c r="G1585"/>
      <c r="I1585"/>
      <c r="L1585"/>
      <c r="M1585"/>
      <c r="N1585" s="50"/>
      <c r="O1585"/>
    </row>
    <row r="1586" spans="1:15" x14ac:dyDescent="0.2">
      <c r="A1586"/>
      <c r="B1586" s="50"/>
      <c r="C1586" s="50"/>
      <c r="F1586"/>
      <c r="G1586"/>
      <c r="H1586"/>
      <c r="J1586"/>
      <c r="K1586"/>
      <c r="L1586"/>
      <c r="M1586"/>
      <c r="N1586" s="50"/>
      <c r="O1586"/>
    </row>
    <row r="1587" spans="1:15" x14ac:dyDescent="0.2">
      <c r="A1587"/>
      <c r="B1587" s="50"/>
      <c r="C1587" s="50"/>
      <c r="F1587"/>
      <c r="G1587"/>
      <c r="I1587"/>
      <c r="L1587"/>
      <c r="M1587"/>
      <c r="N1587" s="50"/>
      <c r="O1587"/>
    </row>
    <row r="1588" spans="1:15" x14ac:dyDescent="0.2">
      <c r="A1588"/>
      <c r="B1588" s="50"/>
      <c r="C1588" s="50"/>
      <c r="F1588"/>
      <c r="G1588"/>
      <c r="J1588"/>
      <c r="K1588"/>
      <c r="L1588"/>
      <c r="M1588"/>
      <c r="N1588" s="50"/>
      <c r="O1588"/>
    </row>
    <row r="1589" spans="1:15" x14ac:dyDescent="0.2">
      <c r="A1589"/>
      <c r="B1589" s="50"/>
      <c r="C1589" s="50"/>
      <c r="F1589"/>
      <c r="G1589"/>
      <c r="L1589"/>
      <c r="M1589"/>
      <c r="N1589" s="50"/>
      <c r="O1589"/>
    </row>
    <row r="1590" spans="1:15" x14ac:dyDescent="0.2">
      <c r="A1590"/>
      <c r="B1590" s="50"/>
      <c r="C1590" s="50"/>
      <c r="F1590"/>
      <c r="G1590"/>
      <c r="H1590"/>
      <c r="I1590"/>
      <c r="L1590"/>
      <c r="N1590" s="50"/>
      <c r="O1590"/>
    </row>
    <row r="1591" spans="1:15" x14ac:dyDescent="0.2">
      <c r="A1591"/>
      <c r="B1591" s="50"/>
      <c r="C1591" s="50"/>
      <c r="F1591"/>
      <c r="G1591"/>
      <c r="I1591"/>
      <c r="L1591"/>
      <c r="M1591"/>
      <c r="N1591" s="50"/>
      <c r="O1591"/>
    </row>
    <row r="1592" spans="1:15" x14ac:dyDescent="0.2">
      <c r="A1592"/>
      <c r="B1592" s="50"/>
      <c r="C1592" s="50"/>
      <c r="F1592"/>
      <c r="G1592"/>
      <c r="I1592"/>
      <c r="L1592"/>
      <c r="M1592"/>
      <c r="N1592" s="50"/>
      <c r="O1592"/>
    </row>
    <row r="1593" spans="1:15" x14ac:dyDescent="0.2">
      <c r="A1593"/>
      <c r="B1593" s="50"/>
      <c r="C1593" s="50"/>
      <c r="F1593"/>
      <c r="G1593"/>
      <c r="H1593"/>
      <c r="I1593"/>
      <c r="L1593"/>
      <c r="N1593" s="50"/>
      <c r="O1593"/>
    </row>
    <row r="1594" spans="1:15" x14ac:dyDescent="0.2">
      <c r="A1594"/>
      <c r="B1594" s="50"/>
      <c r="C1594" s="50"/>
      <c r="F1594"/>
      <c r="G1594"/>
      <c r="H1594"/>
      <c r="I1594"/>
      <c r="L1594"/>
      <c r="M1594"/>
      <c r="N1594" s="50"/>
      <c r="O1594"/>
    </row>
    <row r="1595" spans="1:15" x14ac:dyDescent="0.2">
      <c r="A1595"/>
      <c r="B1595" s="50"/>
      <c r="C1595" s="50"/>
      <c r="F1595"/>
      <c r="G1595"/>
      <c r="I1595"/>
      <c r="L1595"/>
      <c r="M1595"/>
      <c r="N1595" s="50"/>
      <c r="O1595"/>
    </row>
    <row r="1596" spans="1:15" x14ac:dyDescent="0.2">
      <c r="A1596"/>
      <c r="B1596" s="50"/>
      <c r="C1596" s="50"/>
      <c r="F1596"/>
      <c r="G1596"/>
      <c r="J1596"/>
      <c r="K1596"/>
      <c r="M1596"/>
      <c r="N1596" s="50"/>
      <c r="O1596"/>
    </row>
    <row r="1597" spans="1:15" x14ac:dyDescent="0.2">
      <c r="A1597"/>
      <c r="B1597" s="50"/>
      <c r="C1597" s="50"/>
      <c r="F1597"/>
      <c r="G1597"/>
      <c r="H1597"/>
      <c r="I1597"/>
      <c r="L1597"/>
      <c r="M1597"/>
      <c r="N1597" s="50"/>
      <c r="O1597"/>
    </row>
    <row r="1598" spans="1:15" x14ac:dyDescent="0.2">
      <c r="A1598"/>
      <c r="B1598" s="50"/>
      <c r="C1598" s="50"/>
      <c r="F1598"/>
      <c r="G1598"/>
      <c r="I1598"/>
      <c r="L1598"/>
      <c r="M1598"/>
      <c r="N1598" s="50"/>
      <c r="O1598"/>
    </row>
    <row r="1599" spans="1:15" x14ac:dyDescent="0.2">
      <c r="A1599"/>
      <c r="B1599" s="50"/>
      <c r="C1599" s="50"/>
      <c r="F1599"/>
      <c r="G1599"/>
      <c r="I1599"/>
      <c r="L1599"/>
      <c r="M1599"/>
      <c r="N1599" s="50"/>
      <c r="O1599"/>
    </row>
    <row r="1600" spans="1:15" x14ac:dyDescent="0.2">
      <c r="A1600"/>
      <c r="B1600" s="50"/>
      <c r="C1600" s="50"/>
      <c r="F1600"/>
      <c r="G1600"/>
      <c r="H1600"/>
      <c r="I1600"/>
      <c r="L1600"/>
      <c r="M1600"/>
      <c r="N1600" s="50"/>
      <c r="O1600"/>
    </row>
    <row r="1601" spans="1:15" x14ac:dyDescent="0.2">
      <c r="A1601"/>
      <c r="B1601" s="50"/>
      <c r="C1601" s="50"/>
      <c r="F1601"/>
      <c r="G1601"/>
      <c r="H1601"/>
      <c r="I1601"/>
      <c r="L1601"/>
      <c r="N1601" s="50"/>
      <c r="O1601"/>
    </row>
    <row r="1602" spans="1:15" x14ac:dyDescent="0.2">
      <c r="A1602"/>
      <c r="B1602" s="50"/>
      <c r="C1602" s="50"/>
      <c r="F1602"/>
      <c r="G1602"/>
      <c r="I1602"/>
      <c r="L1602"/>
      <c r="M1602"/>
      <c r="N1602" s="50"/>
      <c r="O1602"/>
    </row>
    <row r="1603" spans="1:15" x14ac:dyDescent="0.2">
      <c r="A1603"/>
      <c r="B1603" s="50"/>
      <c r="C1603" s="50"/>
      <c r="F1603"/>
      <c r="G1603"/>
      <c r="I1603"/>
      <c r="L1603"/>
      <c r="M1603"/>
      <c r="N1603" s="50"/>
      <c r="O1603"/>
    </row>
    <row r="1604" spans="1:15" x14ac:dyDescent="0.2">
      <c r="A1604"/>
      <c r="B1604" s="50"/>
      <c r="C1604" s="50"/>
      <c r="F1604"/>
      <c r="G1604"/>
      <c r="L1604"/>
      <c r="M1604"/>
      <c r="N1604" s="50"/>
      <c r="O1604"/>
    </row>
    <row r="1605" spans="1:15" x14ac:dyDescent="0.2">
      <c r="A1605"/>
      <c r="B1605" s="50"/>
      <c r="C1605" s="50"/>
      <c r="F1605"/>
      <c r="G1605"/>
      <c r="L1605"/>
      <c r="M1605"/>
      <c r="N1605" s="50"/>
      <c r="O1605"/>
    </row>
    <row r="1606" spans="1:15" x14ac:dyDescent="0.2">
      <c r="A1606"/>
      <c r="B1606" s="50"/>
      <c r="C1606" s="50"/>
      <c r="F1606"/>
      <c r="G1606"/>
      <c r="H1606"/>
      <c r="L1606"/>
      <c r="M1606"/>
      <c r="N1606" s="50"/>
      <c r="O1606"/>
    </row>
    <row r="1607" spans="1:15" x14ac:dyDescent="0.2">
      <c r="A1607"/>
      <c r="B1607" s="50"/>
      <c r="C1607" s="50"/>
      <c r="F1607"/>
      <c r="G1607"/>
      <c r="H1607"/>
      <c r="I1607"/>
      <c r="L1607"/>
      <c r="M1607"/>
      <c r="N1607" s="50"/>
      <c r="O1607"/>
    </row>
    <row r="1608" spans="1:15" x14ac:dyDescent="0.2">
      <c r="A1608"/>
      <c r="B1608" s="50"/>
      <c r="C1608" s="50"/>
      <c r="F1608"/>
      <c r="G1608"/>
      <c r="L1608"/>
      <c r="M1608"/>
      <c r="N1608" s="50"/>
      <c r="O1608"/>
    </row>
    <row r="1609" spans="1:15" x14ac:dyDescent="0.2">
      <c r="A1609"/>
      <c r="B1609" s="50"/>
      <c r="C1609" s="50"/>
      <c r="F1609"/>
      <c r="G1609"/>
      <c r="H1609"/>
      <c r="I1609"/>
      <c r="L1609"/>
      <c r="M1609"/>
      <c r="N1609" s="50"/>
      <c r="O1609"/>
    </row>
    <row r="1610" spans="1:15" x14ac:dyDescent="0.2">
      <c r="A1610"/>
      <c r="B1610" s="50"/>
      <c r="C1610" s="50"/>
      <c r="F1610"/>
      <c r="G1610"/>
      <c r="H1610"/>
      <c r="I1610"/>
      <c r="L1610"/>
      <c r="M1610"/>
      <c r="N1610" s="50"/>
      <c r="O1610"/>
    </row>
    <row r="1611" spans="1:15" x14ac:dyDescent="0.2">
      <c r="A1611"/>
      <c r="B1611" s="50"/>
      <c r="C1611" s="50"/>
      <c r="F1611"/>
      <c r="G1611"/>
      <c r="L1611"/>
      <c r="M1611"/>
      <c r="N1611" s="50"/>
      <c r="O1611"/>
    </row>
    <row r="1612" spans="1:15" x14ac:dyDescent="0.2">
      <c r="A1612"/>
      <c r="B1612" s="50"/>
      <c r="C1612" s="50"/>
      <c r="F1612"/>
      <c r="G1612"/>
      <c r="I1612"/>
      <c r="L1612"/>
      <c r="M1612"/>
      <c r="N1612" s="50"/>
      <c r="O1612"/>
    </row>
    <row r="1613" spans="1:15" x14ac:dyDescent="0.2">
      <c r="A1613"/>
      <c r="B1613" s="50"/>
      <c r="C1613" s="50"/>
      <c r="F1613"/>
      <c r="G1613"/>
      <c r="I1613"/>
      <c r="L1613"/>
      <c r="M1613"/>
      <c r="N1613" s="50"/>
      <c r="O1613"/>
    </row>
    <row r="1614" spans="1:15" x14ac:dyDescent="0.2">
      <c r="A1614"/>
      <c r="B1614" s="50"/>
      <c r="C1614" s="50"/>
      <c r="F1614"/>
      <c r="G1614"/>
      <c r="H1614"/>
      <c r="I1614"/>
      <c r="L1614"/>
      <c r="M1614"/>
      <c r="N1614" s="50"/>
      <c r="O1614"/>
    </row>
    <row r="1615" spans="1:15" x14ac:dyDescent="0.2">
      <c r="A1615"/>
      <c r="B1615" s="50"/>
      <c r="C1615" s="50"/>
      <c r="F1615"/>
      <c r="G1615"/>
      <c r="H1615"/>
      <c r="I1615"/>
      <c r="L1615"/>
      <c r="M1615"/>
      <c r="N1615" s="50"/>
      <c r="O1615"/>
    </row>
    <row r="1616" spans="1:15" x14ac:dyDescent="0.2">
      <c r="A1616"/>
      <c r="B1616" s="50"/>
      <c r="C1616" s="50"/>
      <c r="F1616"/>
      <c r="G1616"/>
      <c r="I1616"/>
      <c r="L1616"/>
      <c r="M1616"/>
      <c r="N1616" s="50"/>
      <c r="O1616"/>
    </row>
    <row r="1617" spans="1:15" x14ac:dyDescent="0.2">
      <c r="A1617"/>
      <c r="B1617" s="50"/>
      <c r="C1617" s="50"/>
      <c r="F1617"/>
      <c r="G1617"/>
      <c r="H1617"/>
      <c r="I1617"/>
      <c r="L1617"/>
      <c r="M1617"/>
      <c r="N1617" s="50"/>
      <c r="O1617"/>
    </row>
    <row r="1618" spans="1:15" x14ac:dyDescent="0.2">
      <c r="A1618"/>
      <c r="B1618" s="50"/>
      <c r="C1618" s="50"/>
      <c r="F1618"/>
      <c r="G1618"/>
      <c r="H1618"/>
      <c r="I1618"/>
      <c r="L1618"/>
      <c r="M1618"/>
      <c r="N1618" s="50"/>
      <c r="O1618"/>
    </row>
    <row r="1619" spans="1:15" x14ac:dyDescent="0.2">
      <c r="A1619"/>
      <c r="B1619" s="50"/>
      <c r="C1619" s="50"/>
      <c r="F1619"/>
      <c r="G1619"/>
      <c r="H1619"/>
      <c r="I1619"/>
      <c r="L1619"/>
      <c r="M1619"/>
      <c r="N1619" s="50"/>
      <c r="O1619"/>
    </row>
    <row r="1620" spans="1:15" x14ac:dyDescent="0.2">
      <c r="A1620"/>
      <c r="B1620" s="50"/>
      <c r="C1620" s="50"/>
      <c r="F1620"/>
      <c r="G1620"/>
      <c r="L1620"/>
      <c r="M1620"/>
      <c r="N1620" s="50"/>
      <c r="O1620"/>
    </row>
    <row r="1621" spans="1:15" x14ac:dyDescent="0.2">
      <c r="A1621"/>
      <c r="B1621" s="50"/>
      <c r="C1621" s="50"/>
      <c r="F1621"/>
      <c r="G1621"/>
      <c r="I1621"/>
      <c r="L1621"/>
      <c r="M1621"/>
      <c r="N1621" s="50"/>
      <c r="O1621"/>
    </row>
    <row r="1622" spans="1:15" x14ac:dyDescent="0.2">
      <c r="A1622"/>
      <c r="B1622" s="50"/>
      <c r="C1622" s="50"/>
      <c r="F1622"/>
      <c r="G1622"/>
      <c r="H1622"/>
      <c r="I1622"/>
      <c r="L1622"/>
      <c r="M1622"/>
      <c r="N1622" s="50"/>
      <c r="O1622"/>
    </row>
    <row r="1623" spans="1:15" x14ac:dyDescent="0.2">
      <c r="A1623"/>
      <c r="B1623" s="50"/>
      <c r="C1623" s="50"/>
      <c r="F1623"/>
      <c r="G1623"/>
      <c r="L1623"/>
      <c r="M1623"/>
      <c r="N1623" s="50"/>
      <c r="O1623"/>
    </row>
    <row r="1624" spans="1:15" x14ac:dyDescent="0.2">
      <c r="A1624"/>
      <c r="B1624" s="50"/>
      <c r="C1624" s="50"/>
      <c r="F1624"/>
      <c r="G1624"/>
      <c r="H1624"/>
      <c r="I1624"/>
      <c r="L1624"/>
      <c r="M1624"/>
      <c r="N1624" s="50"/>
      <c r="O1624"/>
    </row>
    <row r="1625" spans="1:15" x14ac:dyDescent="0.2">
      <c r="A1625"/>
      <c r="B1625" s="50"/>
      <c r="C1625" s="50"/>
      <c r="F1625"/>
      <c r="G1625"/>
      <c r="H1625"/>
      <c r="I1625"/>
      <c r="L1625"/>
      <c r="M1625"/>
      <c r="N1625" s="50"/>
      <c r="O1625"/>
    </row>
    <row r="1626" spans="1:15" x14ac:dyDescent="0.2">
      <c r="A1626"/>
      <c r="B1626" s="50"/>
      <c r="C1626" s="50"/>
      <c r="F1626"/>
      <c r="G1626"/>
      <c r="H1626"/>
      <c r="I1626"/>
      <c r="L1626"/>
      <c r="M1626"/>
      <c r="N1626" s="50"/>
      <c r="O1626"/>
    </row>
    <row r="1627" spans="1:15" x14ac:dyDescent="0.2">
      <c r="A1627"/>
      <c r="B1627" s="50"/>
      <c r="C1627" s="50"/>
      <c r="F1627"/>
      <c r="G1627"/>
      <c r="H1627"/>
      <c r="I1627"/>
      <c r="L1627"/>
      <c r="M1627"/>
      <c r="N1627" s="50"/>
      <c r="O1627"/>
    </row>
    <row r="1628" spans="1:15" x14ac:dyDescent="0.2">
      <c r="A1628"/>
      <c r="B1628" s="50"/>
      <c r="C1628" s="50"/>
      <c r="F1628"/>
      <c r="G1628"/>
      <c r="H1628"/>
      <c r="I1628"/>
      <c r="L1628"/>
      <c r="M1628"/>
      <c r="N1628" s="50"/>
      <c r="O1628"/>
    </row>
    <row r="1629" spans="1:15" x14ac:dyDescent="0.2">
      <c r="A1629"/>
      <c r="B1629" s="50"/>
      <c r="C1629" s="50"/>
      <c r="F1629"/>
      <c r="G1629"/>
      <c r="H1629"/>
      <c r="I1629"/>
      <c r="L1629"/>
      <c r="M1629"/>
      <c r="N1629" s="50"/>
      <c r="O1629"/>
    </row>
    <row r="1630" spans="1:15" x14ac:dyDescent="0.2">
      <c r="A1630"/>
      <c r="B1630" s="50"/>
      <c r="C1630" s="50"/>
      <c r="F1630"/>
      <c r="G1630"/>
      <c r="H1630"/>
      <c r="I1630"/>
      <c r="L1630"/>
      <c r="M1630"/>
      <c r="N1630" s="50"/>
      <c r="O1630"/>
    </row>
    <row r="1631" spans="1:15" x14ac:dyDescent="0.2">
      <c r="A1631"/>
      <c r="B1631" s="50"/>
      <c r="C1631" s="50"/>
      <c r="F1631"/>
      <c r="G1631"/>
      <c r="H1631"/>
      <c r="I1631"/>
      <c r="L1631"/>
      <c r="M1631"/>
      <c r="N1631" s="50"/>
      <c r="O1631"/>
    </row>
    <row r="1632" spans="1:15" x14ac:dyDescent="0.2">
      <c r="A1632"/>
      <c r="B1632" s="50"/>
      <c r="C1632" s="50"/>
      <c r="F1632"/>
      <c r="G1632"/>
      <c r="H1632"/>
      <c r="I1632"/>
      <c r="L1632"/>
      <c r="M1632"/>
      <c r="N1632" s="50"/>
      <c r="O1632"/>
    </row>
    <row r="1633" spans="1:15" x14ac:dyDescent="0.2">
      <c r="A1633"/>
      <c r="B1633" s="50"/>
      <c r="C1633" s="50"/>
      <c r="F1633"/>
      <c r="G1633"/>
      <c r="H1633"/>
      <c r="I1633"/>
      <c r="J1633"/>
      <c r="K1633"/>
      <c r="L1633"/>
      <c r="M1633"/>
      <c r="N1633" s="50"/>
      <c r="O1633"/>
    </row>
    <row r="1634" spans="1:15" x14ac:dyDescent="0.2">
      <c r="A1634"/>
      <c r="B1634" s="50"/>
      <c r="C1634" s="50"/>
      <c r="F1634"/>
      <c r="G1634"/>
      <c r="I1634"/>
      <c r="L1634"/>
      <c r="M1634"/>
      <c r="N1634" s="50"/>
      <c r="O1634"/>
    </row>
    <row r="1635" spans="1:15" x14ac:dyDescent="0.2">
      <c r="A1635"/>
      <c r="B1635" s="50"/>
      <c r="C1635" s="50"/>
      <c r="F1635"/>
      <c r="G1635"/>
      <c r="H1635"/>
      <c r="I1635"/>
      <c r="L1635"/>
      <c r="M1635"/>
      <c r="N1635" s="50"/>
      <c r="O1635"/>
    </row>
    <row r="1636" spans="1:15" x14ac:dyDescent="0.2">
      <c r="A1636"/>
      <c r="B1636" s="50"/>
      <c r="C1636" s="50"/>
      <c r="F1636"/>
      <c r="G1636"/>
      <c r="H1636"/>
      <c r="I1636"/>
      <c r="L1636"/>
      <c r="M1636"/>
      <c r="N1636" s="50"/>
      <c r="O1636"/>
    </row>
    <row r="1637" spans="1:15" x14ac:dyDescent="0.2">
      <c r="A1637"/>
      <c r="B1637" s="50"/>
      <c r="C1637" s="50"/>
      <c r="F1637"/>
      <c r="G1637"/>
      <c r="H1637"/>
      <c r="J1637"/>
      <c r="K1637"/>
      <c r="L1637"/>
      <c r="M1637"/>
      <c r="N1637" s="50"/>
      <c r="O1637"/>
    </row>
    <row r="1638" spans="1:15" x14ac:dyDescent="0.2">
      <c r="A1638"/>
      <c r="B1638" s="50"/>
      <c r="C1638" s="50"/>
      <c r="F1638"/>
      <c r="G1638"/>
      <c r="H1638"/>
      <c r="J1638"/>
      <c r="K1638"/>
      <c r="L1638"/>
      <c r="M1638"/>
      <c r="N1638" s="50"/>
      <c r="O1638"/>
    </row>
    <row r="1639" spans="1:15" x14ac:dyDescent="0.2">
      <c r="A1639"/>
      <c r="B1639" s="50"/>
      <c r="C1639" s="50"/>
      <c r="F1639"/>
      <c r="G1639"/>
      <c r="H1639"/>
      <c r="J1639"/>
      <c r="K1639"/>
      <c r="L1639"/>
      <c r="M1639"/>
      <c r="N1639" s="50"/>
      <c r="O1639"/>
    </row>
    <row r="1640" spans="1:15" x14ac:dyDescent="0.2">
      <c r="A1640"/>
      <c r="B1640" s="50"/>
      <c r="C1640" s="50"/>
      <c r="F1640"/>
      <c r="G1640"/>
      <c r="H1640"/>
      <c r="L1640"/>
      <c r="M1640"/>
      <c r="N1640" s="50"/>
      <c r="O1640"/>
    </row>
    <row r="1641" spans="1:15" x14ac:dyDescent="0.2">
      <c r="A1641"/>
      <c r="B1641" s="50"/>
      <c r="C1641" s="50"/>
      <c r="F1641"/>
      <c r="G1641"/>
      <c r="H1641"/>
      <c r="J1641"/>
      <c r="K1641"/>
      <c r="L1641"/>
      <c r="M1641"/>
      <c r="N1641" s="50"/>
      <c r="O1641"/>
    </row>
    <row r="1642" spans="1:15" x14ac:dyDescent="0.2">
      <c r="A1642"/>
      <c r="B1642" s="50"/>
      <c r="C1642" s="50"/>
      <c r="F1642"/>
      <c r="G1642"/>
      <c r="H1642"/>
      <c r="L1642"/>
      <c r="M1642"/>
      <c r="N1642" s="50"/>
      <c r="O1642"/>
    </row>
    <row r="1643" spans="1:15" x14ac:dyDescent="0.2">
      <c r="A1643"/>
      <c r="B1643" s="50"/>
      <c r="C1643" s="50"/>
      <c r="F1643"/>
      <c r="G1643"/>
      <c r="H1643"/>
      <c r="J1643"/>
      <c r="K1643"/>
      <c r="L1643"/>
      <c r="M1643"/>
      <c r="N1643" s="50"/>
      <c r="O1643"/>
    </row>
    <row r="1644" spans="1:15" x14ac:dyDescent="0.2">
      <c r="A1644"/>
      <c r="B1644" s="50"/>
      <c r="C1644" s="50"/>
      <c r="F1644"/>
      <c r="G1644"/>
      <c r="I1644"/>
      <c r="L1644"/>
      <c r="M1644"/>
      <c r="N1644" s="50"/>
      <c r="O1644"/>
    </row>
    <row r="1645" spans="1:15" x14ac:dyDescent="0.2">
      <c r="A1645"/>
      <c r="B1645" s="50"/>
      <c r="C1645" s="50"/>
      <c r="F1645"/>
      <c r="G1645"/>
      <c r="I1645"/>
      <c r="L1645"/>
      <c r="M1645"/>
      <c r="N1645" s="50"/>
      <c r="O1645"/>
    </row>
    <row r="1646" spans="1:15" x14ac:dyDescent="0.2">
      <c r="A1646"/>
      <c r="B1646" s="50"/>
      <c r="C1646" s="50"/>
      <c r="F1646"/>
      <c r="G1646"/>
      <c r="L1646"/>
      <c r="M1646"/>
      <c r="N1646" s="50"/>
      <c r="O1646"/>
    </row>
    <row r="1647" spans="1:15" x14ac:dyDescent="0.2">
      <c r="A1647"/>
      <c r="B1647" s="50"/>
      <c r="C1647" s="50"/>
      <c r="F1647"/>
      <c r="G1647"/>
      <c r="H1647"/>
      <c r="I1647"/>
      <c r="L1647"/>
      <c r="M1647"/>
      <c r="N1647" s="50"/>
      <c r="O1647"/>
    </row>
    <row r="1648" spans="1:15" x14ac:dyDescent="0.2">
      <c r="A1648"/>
      <c r="B1648" s="50"/>
      <c r="C1648" s="50"/>
      <c r="F1648"/>
      <c r="G1648"/>
      <c r="H1648"/>
      <c r="I1648"/>
      <c r="L1648"/>
      <c r="M1648"/>
      <c r="N1648" s="50"/>
      <c r="O1648"/>
    </row>
    <row r="1649" spans="1:15" x14ac:dyDescent="0.2">
      <c r="A1649"/>
      <c r="B1649" s="50"/>
      <c r="C1649" s="50"/>
      <c r="F1649"/>
      <c r="G1649"/>
      <c r="I1649"/>
      <c r="L1649"/>
      <c r="M1649"/>
      <c r="N1649" s="50"/>
      <c r="O1649"/>
    </row>
    <row r="1650" spans="1:15" x14ac:dyDescent="0.2">
      <c r="A1650"/>
      <c r="B1650" s="50"/>
      <c r="C1650" s="50"/>
      <c r="F1650"/>
      <c r="G1650"/>
      <c r="I1650"/>
      <c r="L1650"/>
      <c r="M1650"/>
      <c r="N1650" s="50"/>
      <c r="O1650"/>
    </row>
    <row r="1651" spans="1:15" x14ac:dyDescent="0.2">
      <c r="A1651"/>
      <c r="B1651" s="50"/>
      <c r="C1651" s="50"/>
      <c r="F1651"/>
      <c r="G1651"/>
      <c r="H1651"/>
      <c r="I1651"/>
      <c r="L1651"/>
      <c r="M1651"/>
      <c r="N1651" s="50"/>
      <c r="O1651"/>
    </row>
    <row r="1652" spans="1:15" x14ac:dyDescent="0.2">
      <c r="A1652"/>
      <c r="B1652" s="50"/>
      <c r="C1652" s="50"/>
      <c r="F1652"/>
      <c r="G1652"/>
      <c r="H1652"/>
      <c r="I1652"/>
      <c r="L1652"/>
      <c r="N1652" s="50"/>
      <c r="O1652"/>
    </row>
    <row r="1653" spans="1:15" x14ac:dyDescent="0.2">
      <c r="A1653"/>
      <c r="B1653" s="50"/>
      <c r="C1653" s="50"/>
      <c r="F1653"/>
      <c r="G1653"/>
      <c r="H1653"/>
      <c r="I1653"/>
      <c r="L1653"/>
      <c r="M1653"/>
      <c r="N1653" s="50"/>
      <c r="O1653"/>
    </row>
    <row r="1654" spans="1:15" x14ac:dyDescent="0.2">
      <c r="A1654"/>
      <c r="B1654" s="50"/>
      <c r="C1654" s="50"/>
      <c r="F1654"/>
      <c r="G1654"/>
      <c r="H1654"/>
      <c r="I1654"/>
      <c r="L1654"/>
      <c r="N1654" s="50"/>
      <c r="O1654"/>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50"/>
      <c r="K1"/>
      <c r="L1" s="50"/>
      <c r="M1"/>
      <c r="N1"/>
      <c r="O1"/>
      <c r="P1"/>
      <c r="Q1"/>
      <c r="S1" t="s">
        <v>870</v>
      </c>
      <c r="T1" t="s">
        <v>867</v>
      </c>
      <c r="U1" t="s">
        <v>871</v>
      </c>
      <c r="V1" t="s">
        <v>872</v>
      </c>
      <c r="W1" t="s">
        <v>869</v>
      </c>
      <c r="X1" t="s">
        <v>873</v>
      </c>
      <c r="Y1" t="s">
        <v>874</v>
      </c>
      <c r="Z1" t="s">
        <v>875</v>
      </c>
      <c r="AA1" t="s">
        <v>876</v>
      </c>
      <c r="AB1" t="s">
        <v>877</v>
      </c>
      <c r="AC1" t="s">
        <v>878</v>
      </c>
      <c r="AD1" t="s">
        <v>879</v>
      </c>
      <c r="AE1" t="s">
        <v>880</v>
      </c>
      <c r="AF1" t="s">
        <v>881</v>
      </c>
      <c r="AG1" t="s">
        <v>882</v>
      </c>
      <c r="AH1" t="s">
        <v>883</v>
      </c>
      <c r="AI1" t="s">
        <v>868</v>
      </c>
    </row>
    <row r="2" spans="1:35" x14ac:dyDescent="0.2">
      <c r="A2"/>
      <c r="B2"/>
      <c r="C2"/>
      <c r="D2"/>
      <c r="E2"/>
      <c r="F2"/>
      <c r="G2"/>
      <c r="J2" s="50"/>
      <c r="K2"/>
      <c r="L2" s="50"/>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50"/>
      <c r="K3"/>
      <c r="L3" s="50"/>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50"/>
      <c r="K4"/>
      <c r="L4" s="50"/>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50"/>
      <c r="K5"/>
      <c r="L5" s="50"/>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50"/>
      <c r="K6"/>
      <c r="L6" s="50"/>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50"/>
      <c r="K7"/>
      <c r="L7" s="50"/>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50"/>
      <c r="K8"/>
      <c r="L8" s="50"/>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50"/>
      <c r="K9"/>
      <c r="L9" s="50"/>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50"/>
      <c r="K10"/>
      <c r="L10" s="50"/>
      <c r="M10"/>
      <c r="N10"/>
      <c r="O10"/>
      <c r="P10"/>
      <c r="Q10"/>
    </row>
    <row r="11" spans="1:35" x14ac:dyDescent="0.2">
      <c r="A11"/>
      <c r="B11"/>
      <c r="C11"/>
      <c r="D11"/>
      <c r="E11"/>
      <c r="F11"/>
      <c r="G11"/>
      <c r="J11" s="50"/>
      <c r="K11"/>
      <c r="L11" s="50"/>
      <c r="M11"/>
      <c r="N11"/>
      <c r="O11"/>
      <c r="P11"/>
      <c r="Q11"/>
    </row>
    <row r="12" spans="1:35" x14ac:dyDescent="0.2">
      <c r="A12"/>
      <c r="B12"/>
      <c r="C12"/>
      <c r="D12"/>
      <c r="E12"/>
      <c r="F12"/>
      <c r="G12"/>
      <c r="J12" s="50"/>
      <c r="K12"/>
      <c r="L12" s="50"/>
      <c r="M12"/>
      <c r="N12"/>
      <c r="O12"/>
      <c r="P12"/>
      <c r="Q12"/>
    </row>
    <row r="13" spans="1:35" x14ac:dyDescent="0.2">
      <c r="A13"/>
      <c r="B13"/>
      <c r="C13"/>
      <c r="D13"/>
      <c r="E13"/>
      <c r="F13"/>
      <c r="G13"/>
      <c r="J13" s="50"/>
      <c r="K13"/>
      <c r="L13" s="50"/>
      <c r="M13"/>
      <c r="N13"/>
      <c r="O13"/>
      <c r="P13"/>
      <c r="Q13"/>
    </row>
    <row r="14" spans="1:35" x14ac:dyDescent="0.2">
      <c r="A14"/>
      <c r="B14"/>
      <c r="C14"/>
      <c r="D14"/>
      <c r="E14"/>
      <c r="F14"/>
      <c r="G14"/>
      <c r="J14" s="50"/>
      <c r="K14"/>
      <c r="L14" s="50"/>
      <c r="M14"/>
      <c r="N14"/>
      <c r="O14"/>
      <c r="P14"/>
      <c r="Q14"/>
    </row>
    <row r="15" spans="1:35" x14ac:dyDescent="0.2">
      <c r="A15"/>
      <c r="B15"/>
      <c r="C15"/>
      <c r="D15"/>
      <c r="E15"/>
      <c r="F15"/>
      <c r="G15"/>
      <c r="J15" s="50"/>
      <c r="K15"/>
      <c r="L15" s="50"/>
      <c r="M15"/>
      <c r="N15"/>
      <c r="O15"/>
      <c r="P15"/>
      <c r="Q15"/>
    </row>
    <row r="16" spans="1:35" x14ac:dyDescent="0.2">
      <c r="A16"/>
      <c r="B16"/>
      <c r="C16"/>
      <c r="D16"/>
      <c r="E16"/>
      <c r="F16"/>
      <c r="G16"/>
      <c r="J16" s="50"/>
      <c r="K16"/>
      <c r="L16" s="50"/>
      <c r="M16"/>
      <c r="N16"/>
      <c r="O16"/>
      <c r="P16"/>
      <c r="Q16"/>
    </row>
    <row r="17" spans="1:17" x14ac:dyDescent="0.2">
      <c r="A17"/>
      <c r="B17"/>
      <c r="C17"/>
      <c r="D17"/>
      <c r="E17"/>
      <c r="F17"/>
      <c r="G17"/>
      <c r="J17" s="50"/>
      <c r="K17"/>
      <c r="L17" s="50"/>
      <c r="M17"/>
      <c r="N17"/>
      <c r="O17"/>
      <c r="P17"/>
      <c r="Q17"/>
    </row>
    <row r="18" spans="1:17" x14ac:dyDescent="0.2">
      <c r="A18"/>
      <c r="B18"/>
      <c r="C18"/>
      <c r="D18"/>
      <c r="E18"/>
      <c r="G18"/>
      <c r="J18" s="50"/>
      <c r="K18"/>
      <c r="L18" s="50"/>
      <c r="M18"/>
      <c r="N18"/>
      <c r="O18"/>
      <c r="P18"/>
      <c r="Q18"/>
    </row>
    <row r="19" spans="1:17" x14ac:dyDescent="0.2">
      <c r="A19"/>
      <c r="B19"/>
      <c r="C19"/>
      <c r="D19"/>
      <c r="E19"/>
      <c r="G19"/>
      <c r="J19" s="50"/>
      <c r="K19"/>
      <c r="L19" s="50"/>
      <c r="M19"/>
      <c r="N19"/>
      <c r="O19"/>
      <c r="P19"/>
      <c r="Q19"/>
    </row>
    <row r="20" spans="1:17" x14ac:dyDescent="0.2">
      <c r="A20"/>
      <c r="B20"/>
      <c r="C20"/>
      <c r="D20"/>
      <c r="E20"/>
      <c r="G20"/>
      <c r="J20" s="50"/>
      <c r="K20"/>
      <c r="L20" s="50"/>
      <c r="M20"/>
      <c r="N20"/>
      <c r="O20"/>
      <c r="P20"/>
      <c r="Q20"/>
    </row>
    <row r="21" spans="1:17" x14ac:dyDescent="0.2">
      <c r="A21"/>
      <c r="B21"/>
      <c r="C21"/>
      <c r="D21"/>
      <c r="E21"/>
      <c r="G21"/>
      <c r="J21" s="50"/>
      <c r="K21"/>
      <c r="L21" s="50"/>
      <c r="M21"/>
      <c r="N21"/>
      <c r="O21"/>
      <c r="P21"/>
      <c r="Q21"/>
    </row>
    <row r="22" spans="1:17" x14ac:dyDescent="0.2">
      <c r="A22"/>
      <c r="B22"/>
      <c r="C22"/>
      <c r="D22"/>
      <c r="E22"/>
      <c r="G22"/>
      <c r="J22" s="50"/>
      <c r="K22"/>
      <c r="L22" s="50"/>
      <c r="M22"/>
      <c r="N22"/>
      <c r="O22"/>
      <c r="P22"/>
      <c r="Q22"/>
    </row>
    <row r="23" spans="1:17" x14ac:dyDescent="0.2">
      <c r="A23"/>
      <c r="B23"/>
      <c r="C23"/>
      <c r="D23"/>
      <c r="E23"/>
      <c r="G23"/>
      <c r="J23" s="50"/>
      <c r="K23"/>
      <c r="L23" s="50"/>
      <c r="M23"/>
      <c r="N23"/>
      <c r="O23"/>
      <c r="P23"/>
      <c r="Q23"/>
    </row>
    <row r="24" spans="1:17" x14ac:dyDescent="0.2">
      <c r="A24"/>
      <c r="B24"/>
      <c r="C24"/>
      <c r="D24"/>
      <c r="E24"/>
      <c r="G24"/>
      <c r="J24" s="50"/>
      <c r="K24"/>
      <c r="L24" s="50"/>
      <c r="M24"/>
      <c r="N24"/>
      <c r="O24"/>
      <c r="P24"/>
      <c r="Q24"/>
    </row>
    <row r="25" spans="1:17" x14ac:dyDescent="0.2">
      <c r="A25"/>
      <c r="B25"/>
      <c r="C25"/>
      <c r="D25"/>
      <c r="E25"/>
      <c r="G25"/>
      <c r="J25" s="50"/>
      <c r="K25"/>
      <c r="L25" s="50"/>
      <c r="M25"/>
      <c r="N25"/>
      <c r="O25"/>
      <c r="P25"/>
      <c r="Q25"/>
    </row>
    <row r="26" spans="1:17" x14ac:dyDescent="0.2">
      <c r="A26"/>
      <c r="B26"/>
      <c r="C26"/>
      <c r="D26"/>
      <c r="E26"/>
      <c r="G26"/>
      <c r="J26" s="50"/>
      <c r="K26"/>
      <c r="L26" s="50"/>
      <c r="M26"/>
      <c r="N26"/>
      <c r="O26"/>
      <c r="P26"/>
      <c r="Q26"/>
    </row>
    <row r="27" spans="1:17" x14ac:dyDescent="0.2">
      <c r="A27"/>
      <c r="B27"/>
      <c r="C27"/>
      <c r="D27"/>
      <c r="E27"/>
      <c r="G27"/>
      <c r="J27" s="50"/>
      <c r="K27"/>
      <c r="L27" s="50"/>
      <c r="M27"/>
      <c r="N27"/>
      <c r="O27"/>
      <c r="P27"/>
      <c r="Q27"/>
    </row>
    <row r="28" spans="1:17" x14ac:dyDescent="0.2">
      <c r="A28"/>
      <c r="B28"/>
      <c r="C28"/>
      <c r="D28"/>
      <c r="E28"/>
      <c r="G28"/>
      <c r="J28" s="50"/>
      <c r="K28"/>
      <c r="L28" s="50"/>
      <c r="M28"/>
      <c r="N28"/>
      <c r="O28"/>
      <c r="P28"/>
      <c r="Q28"/>
    </row>
    <row r="29" spans="1:17" x14ac:dyDescent="0.2">
      <c r="A29"/>
      <c r="B29"/>
      <c r="C29"/>
      <c r="D29"/>
      <c r="E29"/>
      <c r="G29"/>
      <c r="J29" s="50"/>
      <c r="K29"/>
      <c r="L29" s="50"/>
      <c r="M29"/>
      <c r="N29"/>
      <c r="O29"/>
      <c r="P29"/>
      <c r="Q29"/>
    </row>
    <row r="30" spans="1:17" x14ac:dyDescent="0.2">
      <c r="A30"/>
      <c r="B30"/>
      <c r="C30"/>
      <c r="D30"/>
      <c r="E30"/>
      <c r="G30"/>
      <c r="J30" s="50"/>
      <c r="K30"/>
      <c r="L30" s="50"/>
      <c r="M30"/>
      <c r="N30"/>
      <c r="O30"/>
      <c r="P30"/>
      <c r="Q30"/>
    </row>
    <row r="31" spans="1:17" x14ac:dyDescent="0.2">
      <c r="A31"/>
      <c r="B31"/>
      <c r="C31"/>
      <c r="D31"/>
      <c r="E31"/>
      <c r="G31"/>
      <c r="J31" s="50"/>
      <c r="K31"/>
      <c r="L31" s="50"/>
      <c r="M31"/>
      <c r="N31"/>
      <c r="O31"/>
      <c r="P31"/>
      <c r="Q31"/>
    </row>
    <row r="32" spans="1:17" x14ac:dyDescent="0.2">
      <c r="A32"/>
      <c r="B32"/>
      <c r="C32"/>
      <c r="D32"/>
      <c r="E32"/>
      <c r="G32"/>
      <c r="J32" s="50"/>
      <c r="K32"/>
      <c r="L32" s="50"/>
      <c r="M32"/>
      <c r="N32"/>
      <c r="O32"/>
      <c r="P32"/>
      <c r="Q32"/>
    </row>
    <row r="33" spans="1:17" x14ac:dyDescent="0.2">
      <c r="A33"/>
      <c r="B33"/>
      <c r="C33"/>
      <c r="D33"/>
      <c r="E33"/>
      <c r="G33"/>
      <c r="J33" s="50"/>
      <c r="K33"/>
      <c r="L33" s="50"/>
      <c r="M33"/>
      <c r="N33"/>
      <c r="O33"/>
      <c r="P33"/>
      <c r="Q33"/>
    </row>
    <row r="34" spans="1:17" x14ac:dyDescent="0.2">
      <c r="A34"/>
      <c r="B34"/>
      <c r="C34"/>
      <c r="D34"/>
      <c r="E34"/>
      <c r="G34"/>
      <c r="J34" s="50"/>
      <c r="K34"/>
      <c r="L34" s="50"/>
      <c r="M34"/>
      <c r="N34"/>
      <c r="O34"/>
      <c r="P34"/>
      <c r="Q34"/>
    </row>
    <row r="35" spans="1:17" x14ac:dyDescent="0.2">
      <c r="A35"/>
      <c r="B35"/>
      <c r="C35"/>
      <c r="D35"/>
      <c r="E35"/>
      <c r="G35"/>
      <c r="J35" s="50"/>
      <c r="K35"/>
      <c r="L35" s="50"/>
      <c r="M35"/>
      <c r="N35"/>
      <c r="O35"/>
      <c r="P35"/>
      <c r="Q35"/>
    </row>
    <row r="36" spans="1:17" x14ac:dyDescent="0.2">
      <c r="A36"/>
      <c r="B36"/>
      <c r="C36"/>
      <c r="D36"/>
      <c r="E36"/>
      <c r="G36"/>
      <c r="J36" s="50"/>
      <c r="K36"/>
      <c r="L36" s="50"/>
      <c r="M36"/>
      <c r="N36"/>
      <c r="O36"/>
      <c r="P36"/>
      <c r="Q36"/>
    </row>
    <row r="37" spans="1:17" x14ac:dyDescent="0.2">
      <c r="A37"/>
      <c r="B37"/>
      <c r="C37"/>
      <c r="D37"/>
      <c r="E37"/>
      <c r="G37"/>
      <c r="J37" s="50"/>
      <c r="K37"/>
      <c r="L37" s="50"/>
      <c r="M37"/>
      <c r="N37"/>
      <c r="O37"/>
      <c r="P37"/>
      <c r="Q37"/>
    </row>
    <row r="38" spans="1:17" x14ac:dyDescent="0.2">
      <c r="A38"/>
      <c r="B38"/>
      <c r="C38"/>
      <c r="D38"/>
      <c r="E38"/>
      <c r="G38"/>
      <c r="J38" s="50"/>
      <c r="K38"/>
      <c r="L38" s="50"/>
      <c r="M38"/>
      <c r="N38"/>
      <c r="O38"/>
      <c r="P38"/>
      <c r="Q38"/>
    </row>
    <row r="39" spans="1:17" x14ac:dyDescent="0.2">
      <c r="A39"/>
      <c r="B39"/>
      <c r="C39"/>
      <c r="D39"/>
      <c r="E39"/>
      <c r="G39"/>
      <c r="J39" s="50"/>
      <c r="K39"/>
      <c r="L39" s="50"/>
      <c r="M39"/>
      <c r="N39"/>
      <c r="O39"/>
      <c r="P39"/>
      <c r="Q39"/>
    </row>
    <row r="40" spans="1:17" x14ac:dyDescent="0.2">
      <c r="A40"/>
      <c r="B40"/>
      <c r="C40"/>
      <c r="D40"/>
      <c r="E40"/>
      <c r="G40"/>
      <c r="J40" s="50"/>
      <c r="K40"/>
      <c r="L40" s="50"/>
      <c r="N40"/>
      <c r="O40"/>
      <c r="Q40"/>
    </row>
    <row r="41" spans="1:17" x14ac:dyDescent="0.2">
      <c r="A41"/>
      <c r="B41"/>
      <c r="C41"/>
      <c r="D41"/>
      <c r="E41"/>
      <c r="F41"/>
      <c r="G41"/>
      <c r="J41" s="50"/>
      <c r="K41"/>
      <c r="L41" s="50"/>
      <c r="M41"/>
      <c r="N41"/>
      <c r="O41"/>
      <c r="P41"/>
      <c r="Q41"/>
    </row>
    <row r="42" spans="1:17" x14ac:dyDescent="0.2">
      <c r="A42"/>
      <c r="B42"/>
      <c r="C42"/>
      <c r="D42"/>
      <c r="E42"/>
      <c r="F42"/>
      <c r="G42"/>
      <c r="J42" s="50"/>
      <c r="K42"/>
      <c r="L42" s="50"/>
      <c r="M42"/>
      <c r="N42"/>
      <c r="O42"/>
      <c r="P42"/>
      <c r="Q42"/>
    </row>
    <row r="43" spans="1:17" x14ac:dyDescent="0.2">
      <c r="A43"/>
      <c r="B43"/>
      <c r="C43"/>
      <c r="D43"/>
      <c r="E43"/>
      <c r="F43"/>
      <c r="G43"/>
      <c r="J43" s="50"/>
      <c r="K43"/>
      <c r="L43" s="50"/>
      <c r="M43"/>
      <c r="N43"/>
      <c r="O43"/>
      <c r="P43"/>
      <c r="Q43"/>
    </row>
    <row r="44" spans="1:17" x14ac:dyDescent="0.2">
      <c r="A44"/>
      <c r="B44"/>
      <c r="C44"/>
      <c r="D44"/>
      <c r="E44"/>
      <c r="F44"/>
      <c r="G44"/>
      <c r="J44" s="50"/>
      <c r="K44"/>
      <c r="L44" s="50"/>
      <c r="M44"/>
      <c r="N44"/>
      <c r="O44"/>
      <c r="P44"/>
      <c r="Q44"/>
    </row>
    <row r="45" spans="1:17" x14ac:dyDescent="0.2">
      <c r="A45"/>
      <c r="B45"/>
      <c r="C45"/>
      <c r="D45"/>
      <c r="E45"/>
      <c r="F45"/>
      <c r="G45"/>
      <c r="J45" s="50"/>
      <c r="K45"/>
      <c r="L45" s="50"/>
      <c r="M45"/>
      <c r="N45"/>
      <c r="O45"/>
      <c r="P45"/>
      <c r="Q45"/>
    </row>
    <row r="46" spans="1:17" x14ac:dyDescent="0.2">
      <c r="A46"/>
      <c r="B46"/>
      <c r="C46"/>
      <c r="D46"/>
      <c r="E46"/>
      <c r="F46"/>
      <c r="G46"/>
      <c r="J46" s="50"/>
      <c r="K46"/>
      <c r="L46" s="50"/>
      <c r="M46"/>
      <c r="N46"/>
      <c r="O46"/>
      <c r="P46"/>
      <c r="Q46"/>
    </row>
    <row r="47" spans="1:17" x14ac:dyDescent="0.2">
      <c r="A47"/>
      <c r="B47"/>
      <c r="C47"/>
      <c r="D47"/>
      <c r="E47"/>
      <c r="F47"/>
      <c r="G47"/>
      <c r="J47" s="50"/>
      <c r="K47"/>
      <c r="L47" s="50"/>
      <c r="M47"/>
      <c r="N47"/>
      <c r="O47"/>
      <c r="P47"/>
      <c r="Q47"/>
    </row>
    <row r="48" spans="1:17" x14ac:dyDescent="0.2">
      <c r="A48"/>
      <c r="B48"/>
      <c r="C48"/>
      <c r="D48"/>
      <c r="E48"/>
      <c r="F48"/>
      <c r="G48"/>
      <c r="J48" s="50"/>
      <c r="K48"/>
      <c r="L48" s="50"/>
      <c r="M48"/>
      <c r="N48"/>
      <c r="O48"/>
      <c r="P48"/>
      <c r="Q48"/>
    </row>
    <row r="49" spans="1:17" x14ac:dyDescent="0.2">
      <c r="A49"/>
      <c r="B49"/>
      <c r="C49"/>
      <c r="D49"/>
      <c r="E49"/>
      <c r="G49"/>
      <c r="J49" s="50"/>
      <c r="K49"/>
      <c r="L49" s="50"/>
      <c r="M49"/>
      <c r="N49"/>
      <c r="O49"/>
      <c r="P49"/>
      <c r="Q49"/>
    </row>
    <row r="50" spans="1:17" x14ac:dyDescent="0.2">
      <c r="A50"/>
      <c r="B50"/>
      <c r="C50"/>
      <c r="D50"/>
      <c r="E50"/>
      <c r="G50"/>
      <c r="J50" s="50"/>
      <c r="K50"/>
      <c r="L50" s="50"/>
      <c r="M50"/>
      <c r="N50"/>
      <c r="O50"/>
      <c r="P50"/>
      <c r="Q50"/>
    </row>
    <row r="51" spans="1:17" x14ac:dyDescent="0.2">
      <c r="A51"/>
      <c r="B51"/>
      <c r="C51"/>
      <c r="D51"/>
      <c r="E51"/>
      <c r="G51"/>
      <c r="J51" s="50"/>
      <c r="K51"/>
      <c r="L51" s="50"/>
      <c r="M51"/>
      <c r="N51"/>
      <c r="O51"/>
      <c r="P51"/>
      <c r="Q51"/>
    </row>
    <row r="52" spans="1:17" x14ac:dyDescent="0.2">
      <c r="A52"/>
      <c r="B52"/>
      <c r="C52"/>
      <c r="D52"/>
      <c r="E52"/>
      <c r="G52"/>
      <c r="J52" s="50"/>
      <c r="K52"/>
      <c r="L52" s="50"/>
      <c r="M52"/>
      <c r="N52"/>
      <c r="O52"/>
      <c r="P52"/>
      <c r="Q52"/>
    </row>
    <row r="53" spans="1:17" x14ac:dyDescent="0.2">
      <c r="A53"/>
      <c r="B53"/>
      <c r="C53"/>
      <c r="D53"/>
      <c r="E53"/>
      <c r="F53"/>
      <c r="G53"/>
      <c r="J53" s="50"/>
      <c r="K53"/>
      <c r="L53" s="50"/>
      <c r="N53"/>
      <c r="O53"/>
      <c r="P53"/>
      <c r="Q53"/>
    </row>
    <row r="54" spans="1:17" x14ac:dyDescent="0.2">
      <c r="A54"/>
      <c r="B54"/>
      <c r="C54"/>
      <c r="D54"/>
      <c r="E54"/>
      <c r="F54"/>
      <c r="G54"/>
      <c r="J54" s="50"/>
      <c r="K54"/>
      <c r="L54" s="50"/>
      <c r="M54"/>
      <c r="N54"/>
      <c r="O54"/>
      <c r="P54"/>
      <c r="Q54"/>
    </row>
    <row r="55" spans="1:17" x14ac:dyDescent="0.2">
      <c r="A55"/>
      <c r="B55"/>
      <c r="C55"/>
      <c r="D55"/>
      <c r="E55"/>
      <c r="F55"/>
      <c r="G55"/>
      <c r="J55" s="50"/>
      <c r="K55"/>
      <c r="L55" s="50"/>
      <c r="M55"/>
      <c r="N55"/>
      <c r="O55"/>
      <c r="P55"/>
      <c r="Q55"/>
    </row>
    <row r="56" spans="1:17" x14ac:dyDescent="0.2">
      <c r="A56"/>
      <c r="B56"/>
      <c r="C56"/>
      <c r="D56"/>
      <c r="E56"/>
      <c r="F56"/>
      <c r="G56"/>
      <c r="J56" s="50"/>
      <c r="K56"/>
      <c r="L56" s="50"/>
      <c r="N56"/>
      <c r="O56"/>
      <c r="P56"/>
      <c r="Q56"/>
    </row>
    <row r="57" spans="1:17" x14ac:dyDescent="0.2">
      <c r="A57"/>
      <c r="B57"/>
      <c r="C57"/>
      <c r="D57"/>
      <c r="E57"/>
      <c r="G57"/>
      <c r="J57" s="50"/>
      <c r="K57"/>
      <c r="L57" s="50"/>
      <c r="N57"/>
      <c r="O57"/>
      <c r="P57"/>
      <c r="Q57"/>
    </row>
    <row r="58" spans="1:17" x14ac:dyDescent="0.2">
      <c r="A58"/>
      <c r="B58"/>
      <c r="C58"/>
      <c r="D58"/>
      <c r="E58"/>
      <c r="F58"/>
      <c r="G58"/>
      <c r="J58" s="50"/>
      <c r="K58"/>
      <c r="L58" s="50"/>
      <c r="N58"/>
      <c r="O58"/>
      <c r="P58"/>
      <c r="Q58"/>
    </row>
    <row r="59" spans="1:17" x14ac:dyDescent="0.2">
      <c r="A59"/>
      <c r="B59"/>
      <c r="C59"/>
      <c r="D59"/>
      <c r="E59"/>
      <c r="G59"/>
      <c r="J59" s="50"/>
      <c r="K59"/>
      <c r="L59" s="50"/>
      <c r="M59"/>
      <c r="N59"/>
      <c r="O59"/>
      <c r="P59"/>
      <c r="Q59"/>
    </row>
    <row r="60" spans="1:17" x14ac:dyDescent="0.2">
      <c r="A60"/>
      <c r="B60"/>
      <c r="C60"/>
      <c r="D60"/>
      <c r="E60"/>
      <c r="F60"/>
      <c r="G60"/>
      <c r="J60" s="50"/>
      <c r="K60"/>
      <c r="L60" s="50"/>
      <c r="N60"/>
      <c r="O60"/>
      <c r="P60"/>
      <c r="Q60"/>
    </row>
    <row r="61" spans="1:17" x14ac:dyDescent="0.2">
      <c r="A61"/>
      <c r="B61"/>
      <c r="C61"/>
      <c r="D61"/>
      <c r="E61"/>
      <c r="F61"/>
      <c r="G61"/>
      <c r="J61" s="50"/>
      <c r="K61"/>
      <c r="L61" s="50"/>
      <c r="N61"/>
      <c r="O61"/>
      <c r="P61"/>
      <c r="Q61"/>
    </row>
    <row r="62" spans="1:17" x14ac:dyDescent="0.2">
      <c r="A62"/>
      <c r="B62"/>
      <c r="C62"/>
      <c r="D62"/>
      <c r="E62"/>
      <c r="F62"/>
      <c r="G62"/>
      <c r="J62" s="50"/>
      <c r="K62"/>
      <c r="L62" s="50"/>
      <c r="N62"/>
      <c r="O62"/>
      <c r="P62"/>
      <c r="Q62"/>
    </row>
    <row r="63" spans="1:17" x14ac:dyDescent="0.2">
      <c r="A63"/>
      <c r="B63"/>
      <c r="C63"/>
      <c r="D63"/>
      <c r="E63"/>
      <c r="F63"/>
      <c r="G63"/>
      <c r="J63" s="50"/>
      <c r="K63"/>
      <c r="L63" s="50"/>
      <c r="N63"/>
      <c r="O63"/>
      <c r="P63"/>
      <c r="Q63"/>
    </row>
    <row r="64" spans="1:17" x14ac:dyDescent="0.2">
      <c r="A64"/>
      <c r="B64"/>
      <c r="C64"/>
      <c r="D64"/>
      <c r="E64"/>
      <c r="F64"/>
      <c r="G64"/>
      <c r="J64" s="50"/>
      <c r="K64"/>
      <c r="L64" s="50"/>
      <c r="N64"/>
      <c r="O64"/>
      <c r="P64"/>
      <c r="Q64"/>
    </row>
    <row r="65" spans="1:17" x14ac:dyDescent="0.2">
      <c r="A65"/>
      <c r="B65"/>
      <c r="C65"/>
      <c r="D65"/>
      <c r="E65"/>
      <c r="F65"/>
      <c r="G65"/>
      <c r="J65" s="50"/>
      <c r="K65"/>
      <c r="L65" s="50"/>
      <c r="M65"/>
      <c r="N65"/>
      <c r="O65"/>
      <c r="P65"/>
      <c r="Q65"/>
    </row>
    <row r="66" spans="1:17" x14ac:dyDescent="0.2">
      <c r="A66"/>
      <c r="B66"/>
      <c r="C66"/>
      <c r="D66"/>
      <c r="E66"/>
      <c r="F66"/>
      <c r="G66"/>
      <c r="J66" s="50"/>
      <c r="K66"/>
      <c r="L66" s="50"/>
      <c r="M66"/>
      <c r="N66"/>
      <c r="O66"/>
      <c r="Q66"/>
    </row>
    <row r="67" spans="1:17" x14ac:dyDescent="0.2">
      <c r="A67"/>
      <c r="B67"/>
      <c r="C67"/>
      <c r="D67"/>
      <c r="E67"/>
      <c r="F67"/>
      <c r="G67"/>
      <c r="J67" s="50"/>
      <c r="K67"/>
      <c r="L67" s="50"/>
      <c r="N67"/>
      <c r="O67"/>
      <c r="P67"/>
      <c r="Q67"/>
    </row>
    <row r="68" spans="1:17" x14ac:dyDescent="0.2">
      <c r="A68"/>
      <c r="B68"/>
      <c r="C68"/>
      <c r="D68"/>
      <c r="E68"/>
      <c r="F68"/>
      <c r="G68"/>
      <c r="J68" s="50"/>
      <c r="K68"/>
      <c r="L68" s="50"/>
      <c r="N68"/>
      <c r="O68"/>
      <c r="P68"/>
      <c r="Q68"/>
    </row>
    <row r="69" spans="1:17" x14ac:dyDescent="0.2">
      <c r="A69"/>
      <c r="B69"/>
      <c r="C69"/>
      <c r="D69"/>
      <c r="E69"/>
      <c r="F69"/>
      <c r="G69"/>
      <c r="J69" s="50"/>
      <c r="K69"/>
      <c r="L69" s="50"/>
      <c r="N69"/>
      <c r="O69"/>
      <c r="P69"/>
      <c r="Q69"/>
    </row>
    <row r="70" spans="1:17" x14ac:dyDescent="0.2">
      <c r="A70"/>
      <c r="B70"/>
      <c r="C70"/>
      <c r="D70"/>
      <c r="E70"/>
      <c r="G70"/>
      <c r="J70" s="50"/>
      <c r="K70"/>
      <c r="L70" s="50"/>
      <c r="M70"/>
      <c r="N70"/>
      <c r="O70"/>
      <c r="P70"/>
      <c r="Q70"/>
    </row>
    <row r="71" spans="1:17" x14ac:dyDescent="0.2">
      <c r="A71"/>
      <c r="B71"/>
      <c r="C71"/>
      <c r="D71"/>
      <c r="E71"/>
      <c r="G71"/>
      <c r="J71" s="50"/>
      <c r="K71"/>
      <c r="L71" s="50"/>
      <c r="N71"/>
      <c r="O71"/>
      <c r="Q71"/>
    </row>
  </sheetData>
  <sheetProtection autoFilter="0"/>
  <phoneticPr fontId="22"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9" hidden="1" customWidth="1"/>
    <col min="2" max="2" width="8.7109375" style="47" customWidth="1"/>
    <col min="3" max="3" width="11.85546875" customWidth="1"/>
    <col min="4" max="16" width="8.42578125" customWidth="1"/>
  </cols>
  <sheetData>
    <row r="1" spans="1:18" ht="18" x14ac:dyDescent="0.25">
      <c r="B1" s="125">
        <f>Main!$D$16</f>
        <v>0</v>
      </c>
      <c r="C1" s="119">
        <f>$B$1-$B$2</f>
        <v>0</v>
      </c>
      <c r="D1" s="119"/>
      <c r="E1" s="119">
        <f>B1-D2</f>
        <v>0</v>
      </c>
      <c r="F1" s="127" t="s">
        <v>76</v>
      </c>
      <c r="G1" s="126"/>
      <c r="H1" s="126"/>
      <c r="I1" s="126"/>
      <c r="J1" s="126"/>
      <c r="K1" s="126"/>
      <c r="L1" s="126"/>
      <c r="M1" s="126"/>
      <c r="N1" s="126"/>
      <c r="O1" s="126"/>
      <c r="P1" s="313" t="str">
        <f>IF(Main!$E$30="","A10",ADDRESS(13+(MATCH(Main!$E$30,Data_Sheet!$A$14:$A$903,0)),1,4))</f>
        <v>A10</v>
      </c>
      <c r="Q1" s="313">
        <f>VALUE(MID(P1, 2, LEN(P1)-1))</f>
        <v>10</v>
      </c>
    </row>
    <row r="2" spans="1:18" x14ac:dyDescent="0.2">
      <c r="B2" s="125">
        <f>Main!$D$19</f>
        <v>0</v>
      </c>
      <c r="C2" s="119">
        <f>$B$1+$B$2</f>
        <v>0</v>
      </c>
      <c r="D2" s="119">
        <f>(Main!$D$19)/2</f>
        <v>0</v>
      </c>
      <c r="E2" s="119">
        <f>B1+D2</f>
        <v>0</v>
      </c>
      <c r="F2" s="126"/>
      <c r="G2" s="126"/>
      <c r="H2" s="126"/>
      <c r="I2" s="144" t="s">
        <v>227</v>
      </c>
      <c r="J2" s="126"/>
      <c r="K2" s="126"/>
      <c r="L2" s="126"/>
      <c r="M2" s="610" t="s">
        <v>103</v>
      </c>
      <c r="N2" s="610"/>
      <c r="O2" s="610"/>
      <c r="P2" s="314" t="str">
        <f>IF(Main!$E$30="","A10",ADDRESS(13+Standards_Info!W2+(MATCH(Main!$E$30,Data_Sheet!$A$14:$A$903,0)),1,4))</f>
        <v>A10</v>
      </c>
      <c r="Q2" s="313">
        <f>VALUE(MID(P2, 2, LEN(P2)-1))</f>
        <v>10</v>
      </c>
    </row>
    <row r="3" spans="1:18" ht="14.25" x14ac:dyDescent="0.2">
      <c r="B3" s="129" t="s">
        <v>0</v>
      </c>
      <c r="C3" s="124"/>
      <c r="D3" s="111"/>
      <c r="E3" s="111"/>
      <c r="F3" s="111"/>
      <c r="G3" s="111"/>
      <c r="H3" s="111"/>
      <c r="I3" s="111"/>
      <c r="J3" s="111"/>
      <c r="K3" s="111"/>
      <c r="L3" s="111"/>
      <c r="M3" s="611" t="s">
        <v>104</v>
      </c>
      <c r="N3" s="612"/>
      <c r="O3" s="613"/>
      <c r="P3" s="111"/>
      <c r="Q3" s="111"/>
    </row>
    <row r="4" spans="1:18" ht="15" x14ac:dyDescent="0.25">
      <c r="B4" s="121" t="s">
        <v>25</v>
      </c>
      <c r="C4" s="67"/>
      <c r="D4" s="41"/>
      <c r="E4" s="41"/>
      <c r="F4" s="41"/>
      <c r="G4" s="41"/>
      <c r="H4" s="41"/>
      <c r="I4" s="41"/>
      <c r="J4" s="41"/>
      <c r="K4" s="41"/>
      <c r="L4" s="41"/>
      <c r="M4" s="614" t="s">
        <v>145</v>
      </c>
      <c r="N4" s="615"/>
      <c r="O4" s="616"/>
      <c r="P4" s="93"/>
    </row>
    <row r="5" spans="1:18" x14ac:dyDescent="0.2">
      <c r="B5" s="122" t="s">
        <v>26</v>
      </c>
      <c r="C5" s="61">
        <f>Main!D3</f>
        <v>0</v>
      </c>
      <c r="D5" s="41"/>
      <c r="E5" s="41"/>
      <c r="F5" s="41"/>
      <c r="G5" s="41"/>
      <c r="H5" s="41"/>
      <c r="I5" s="59" t="s">
        <v>4</v>
      </c>
      <c r="J5" s="41" t="e">
        <f>Main!D5</f>
        <v>#N/A</v>
      </c>
      <c r="L5" s="41"/>
      <c r="M5" s="617" t="s">
        <v>144</v>
      </c>
      <c r="N5" s="618"/>
      <c r="O5" s="619"/>
      <c r="P5" s="137"/>
    </row>
    <row r="6" spans="1:18" ht="13.5" thickBot="1" x14ac:dyDescent="0.25">
      <c r="B6" s="122" t="s">
        <v>3</v>
      </c>
      <c r="C6" s="62" t="e">
        <f>Main!D6</f>
        <v>#N/A</v>
      </c>
      <c r="D6" s="41"/>
      <c r="E6" s="41"/>
      <c r="F6" s="41"/>
      <c r="G6" s="41"/>
      <c r="H6" s="41"/>
      <c r="I6" s="59" t="s">
        <v>5</v>
      </c>
      <c r="J6" s="58">
        <f>Main!D16</f>
        <v>0</v>
      </c>
      <c r="L6" s="41"/>
      <c r="M6" s="620" t="s">
        <v>143</v>
      </c>
      <c r="N6" s="621"/>
      <c r="O6" s="622"/>
      <c r="P6" s="94"/>
    </row>
    <row r="7" spans="1:18" ht="13.5" thickBot="1" x14ac:dyDescent="0.25">
      <c r="B7" s="122" t="s">
        <v>27</v>
      </c>
      <c r="C7" s="62" t="str">
        <f>Main!D7</f>
        <v>Jeff Hall</v>
      </c>
      <c r="D7" s="41"/>
      <c r="E7" s="41"/>
      <c r="F7" s="41"/>
      <c r="G7" s="41"/>
      <c r="H7" s="41"/>
      <c r="I7" s="64" t="s">
        <v>169</v>
      </c>
      <c r="J7" s="608">
        <f>Main!$D$30</f>
        <v>0</v>
      </c>
      <c r="K7" s="609"/>
      <c r="L7" s="108"/>
      <c r="M7" s="607" t="s">
        <v>142</v>
      </c>
      <c r="N7" s="607"/>
      <c r="O7" s="607"/>
      <c r="P7" s="46"/>
    </row>
    <row r="8" spans="1:18" x14ac:dyDescent="0.2">
      <c r="B8" s="122"/>
      <c r="C8" s="128"/>
      <c r="D8" s="41"/>
      <c r="E8" s="41"/>
      <c r="F8" s="41"/>
      <c r="G8" s="41"/>
      <c r="H8" s="41"/>
      <c r="I8" s="64"/>
      <c r="J8" s="131"/>
      <c r="K8" s="131"/>
      <c r="L8" s="108"/>
      <c r="M8" s="132"/>
      <c r="N8" s="132"/>
      <c r="O8" s="132"/>
      <c r="P8" s="46"/>
    </row>
    <row r="9" spans="1:18" x14ac:dyDescent="0.2">
      <c r="B9" s="122"/>
      <c r="C9" s="62"/>
      <c r="D9" s="41"/>
      <c r="E9" s="41"/>
      <c r="F9" s="41"/>
      <c r="G9" s="41"/>
      <c r="H9" s="41"/>
      <c r="I9" s="135" t="str">
        <f>IF(Main!K15="SIM Load Hot",Main!N59,"")</f>
        <v/>
      </c>
      <c r="J9" s="131"/>
      <c r="K9" s="131"/>
      <c r="L9" s="108"/>
      <c r="M9" s="132"/>
      <c r="N9" s="132"/>
      <c r="O9" s="132"/>
      <c r="P9" s="46"/>
    </row>
    <row r="10" spans="1:18" s="69" customFormat="1" x14ac:dyDescent="0.2">
      <c r="A10" s="109"/>
      <c r="B10" s="139"/>
      <c r="C10" s="140"/>
      <c r="I10" s="135" t="str">
        <f>IF(AND(Main!E60 &lt;&gt; "", Main!K60 &lt;&gt;""),Main!N60,IF(AND(Main!E61&lt;&gt;"",Main!K61&lt;&gt;""),Main!N61,""))</f>
        <v/>
      </c>
      <c r="J10" s="141"/>
      <c r="K10" s="141"/>
      <c r="L10" s="123"/>
      <c r="M10" s="142"/>
      <c r="N10" s="142"/>
      <c r="O10" s="142"/>
      <c r="P10" s="143"/>
    </row>
    <row r="11" spans="1:18" x14ac:dyDescent="0.2">
      <c r="R11" s="47"/>
    </row>
    <row r="12" spans="1:18" s="461" customFormat="1" x14ac:dyDescent="0.2">
      <c r="A12" s="460"/>
      <c r="B12" s="131" t="str" cm="1">
        <f t="array" ref="B12:P12">_xlfn.LET(
  _xlpm.tbl, DataForChannels1to14[],
  _xlpm.hdrs, DataForChannels1to14[#Headers],
  _xlfn.BYCOL(_xlpm.tbl, _xlfn.LAMBDA(_xlpm.col, IF(COUNTA(_xlpm.col)&gt;0, INDEX(_xlpm.hdrs, 1, COLUMN(_xlpm.col) - COLUMN(INDEX(_xlpm.tbl,1,1)) + 1), "")))
)</f>
        <v/>
      </c>
      <c r="C12" s="59" t="str">
        <v/>
      </c>
      <c r="D12" s="59" t="str">
        <v/>
      </c>
      <c r="E12" s="59" t="str">
        <v/>
      </c>
      <c r="F12" s="59" t="str">
        <v/>
      </c>
      <c r="G12" s="59" t="str">
        <v/>
      </c>
      <c r="H12" s="59" t="str">
        <v/>
      </c>
      <c r="I12" s="59" t="str">
        <v/>
      </c>
      <c r="J12" s="59" t="str">
        <v/>
      </c>
      <c r="K12" s="59" t="str">
        <v/>
      </c>
      <c r="L12" s="59" t="str">
        <v/>
      </c>
      <c r="M12" s="59" t="str">
        <v/>
      </c>
      <c r="N12" s="59" t="str">
        <v/>
      </c>
      <c r="O12" s="59" t="str">
        <v/>
      </c>
      <c r="P12" s="59" t="str">
        <v/>
      </c>
    </row>
    <row r="13" spans="1:18" s="69" customFormat="1" x14ac:dyDescent="0.2">
      <c r="A13" s="109"/>
      <c r="B13" s="108"/>
      <c r="C13" s="41"/>
      <c r="D13" s="41"/>
      <c r="E13" s="41"/>
      <c r="F13" s="41"/>
      <c r="G13" s="41"/>
      <c r="H13" s="41"/>
      <c r="I13" s="41"/>
      <c r="J13" s="41"/>
      <c r="K13" s="41"/>
      <c r="L13" s="41"/>
      <c r="M13" s="41" t="str">
        <f>IF(ISBLANK(DaqBook_RAW_Data!L3),"",DaqBook_RAW_Data!L3)</f>
        <v/>
      </c>
      <c r="N13" s="41" t="str">
        <f>IF(ISBLANK(DaqBook_RAW_Data!M3),"",DaqBook_RAW_Data!M3)</f>
        <v/>
      </c>
      <c r="O13" s="41" t="str">
        <f>IF(ISBLANK(DaqBook_RAW_Data!N3),"",DaqBook_RAW_Data!N3)</f>
        <v/>
      </c>
      <c r="P13" s="41"/>
    </row>
    <row r="14" spans="1:18" s="69" customFormat="1" x14ac:dyDescent="0.2">
      <c r="A14" s="109" t="str" cm="1">
        <f t="array" ref="A14:A903">TEXT(B14:B903, "h:mm")</f>
        <v>0:00</v>
      </c>
      <c r="B14" s="108" cm="1">
        <f t="array" ref="B14:P14">DataForChannels1to14[]</f>
        <v>0</v>
      </c>
      <c r="C14" s="130">
        <v>0</v>
      </c>
      <c r="D14" s="130">
        <v>0</v>
      </c>
      <c r="E14" s="130">
        <v>0</v>
      </c>
      <c r="F14" s="130">
        <v>0</v>
      </c>
      <c r="G14" s="130">
        <v>0</v>
      </c>
      <c r="H14" s="130">
        <v>0</v>
      </c>
      <c r="I14" s="130">
        <v>0</v>
      </c>
      <c r="J14" s="130">
        <v>0</v>
      </c>
      <c r="K14" s="130">
        <v>0</v>
      </c>
      <c r="L14" s="130">
        <v>0</v>
      </c>
      <c r="M14" s="130">
        <v>0</v>
      </c>
      <c r="N14" s="130">
        <v>0</v>
      </c>
      <c r="O14" s="130">
        <v>0</v>
      </c>
      <c r="P14" s="130">
        <v>0</v>
      </c>
    </row>
    <row r="15" spans="1:18" s="69" customFormat="1" x14ac:dyDescent="0.2">
      <c r="A15" s="109" t="str">
        <v>0:00</v>
      </c>
      <c r="B15" s="108"/>
      <c r="C15" s="130"/>
      <c r="D15" s="130"/>
      <c r="E15" s="130"/>
      <c r="F15" s="130"/>
      <c r="G15" s="130"/>
      <c r="H15" s="130"/>
      <c r="I15" s="130"/>
      <c r="J15" s="130"/>
      <c r="K15" s="130"/>
      <c r="L15" s="130"/>
      <c r="M15" s="130"/>
      <c r="N15" s="130"/>
      <c r="O15" s="130"/>
      <c r="P15" s="130"/>
    </row>
    <row r="16" spans="1:18" s="69" customFormat="1" x14ac:dyDescent="0.2">
      <c r="A16" s="109" t="str">
        <v>0:00</v>
      </c>
      <c r="B16" s="108"/>
      <c r="C16" s="130"/>
      <c r="D16" s="130"/>
      <c r="E16" s="130"/>
      <c r="F16" s="130"/>
      <c r="G16" s="130"/>
      <c r="H16" s="130"/>
      <c r="I16" s="130"/>
      <c r="J16" s="130"/>
      <c r="K16" s="130"/>
      <c r="L16" s="130"/>
      <c r="M16" s="130"/>
      <c r="N16" s="130"/>
      <c r="O16" s="130"/>
      <c r="P16" s="130"/>
    </row>
    <row r="17" spans="1:17" s="69" customFormat="1" x14ac:dyDescent="0.2">
      <c r="A17" s="109" t="str">
        <v>0:00</v>
      </c>
      <c r="B17" s="108"/>
      <c r="C17" s="130"/>
      <c r="D17" s="130"/>
      <c r="E17" s="130"/>
      <c r="F17" s="130"/>
      <c r="G17" s="130"/>
      <c r="H17" s="130"/>
      <c r="I17" s="130"/>
      <c r="J17" s="130"/>
      <c r="K17" s="130"/>
      <c r="L17" s="130"/>
      <c r="M17" s="130"/>
      <c r="N17" s="130"/>
      <c r="O17" s="130"/>
      <c r="P17" s="130"/>
    </row>
    <row r="18" spans="1:17" s="69" customFormat="1" x14ac:dyDescent="0.2">
      <c r="A18" s="109" t="str">
        <v>0:00</v>
      </c>
      <c r="B18" s="108"/>
      <c r="C18" s="130"/>
      <c r="D18" s="130"/>
      <c r="E18" s="130"/>
      <c r="F18" s="130"/>
      <c r="G18" s="130"/>
      <c r="H18" s="130"/>
      <c r="I18" s="130"/>
      <c r="J18" s="130"/>
      <c r="K18" s="130"/>
      <c r="L18" s="130"/>
      <c r="M18" s="130"/>
      <c r="N18" s="130"/>
      <c r="O18" s="130"/>
      <c r="P18" s="130"/>
    </row>
    <row r="19" spans="1:17" s="69" customFormat="1" x14ac:dyDescent="0.2">
      <c r="A19" s="109" t="str">
        <v>0:00</v>
      </c>
      <c r="B19" s="108"/>
      <c r="C19" s="130"/>
      <c r="D19" s="130"/>
      <c r="E19" s="130"/>
      <c r="F19" s="130"/>
      <c r="G19" s="130"/>
      <c r="H19" s="130"/>
      <c r="I19" s="130"/>
      <c r="J19" s="130"/>
      <c r="K19" s="130"/>
      <c r="L19" s="130"/>
      <c r="M19" s="130"/>
      <c r="N19" s="130"/>
      <c r="O19" s="130"/>
      <c r="P19" s="130"/>
    </row>
    <row r="20" spans="1:17" s="69" customFormat="1" x14ac:dyDescent="0.2">
      <c r="A20" s="109" t="str">
        <v>0:00</v>
      </c>
      <c r="B20" s="108"/>
      <c r="C20" s="130"/>
      <c r="D20" s="130"/>
      <c r="E20" s="130"/>
      <c r="F20" s="130"/>
      <c r="G20" s="130"/>
      <c r="H20" s="130"/>
      <c r="I20" s="130"/>
      <c r="J20" s="130"/>
      <c r="K20" s="130"/>
      <c r="L20" s="130"/>
      <c r="M20" s="130"/>
      <c r="N20" s="130"/>
      <c r="O20" s="130"/>
      <c r="P20" s="130"/>
    </row>
    <row r="21" spans="1:17" s="69" customFormat="1" x14ac:dyDescent="0.2">
      <c r="A21" s="109" t="str">
        <v>0:00</v>
      </c>
      <c r="B21" s="108"/>
      <c r="C21" s="130"/>
      <c r="D21" s="130"/>
      <c r="E21" s="130"/>
      <c r="F21" s="130"/>
      <c r="G21" s="130"/>
      <c r="H21" s="130"/>
      <c r="I21" s="130"/>
      <c r="J21" s="130"/>
      <c r="K21" s="130"/>
      <c r="L21" s="130"/>
      <c r="M21" s="130"/>
      <c r="N21" s="130"/>
      <c r="O21" s="130"/>
      <c r="P21" s="130"/>
    </row>
    <row r="22" spans="1:17" s="69" customFormat="1" x14ac:dyDescent="0.2">
      <c r="A22" s="109" t="str">
        <v>0:00</v>
      </c>
      <c r="B22" s="108"/>
      <c r="C22" s="130"/>
      <c r="D22" s="130"/>
      <c r="E22" s="130"/>
      <c r="F22" s="130"/>
      <c r="G22" s="130"/>
      <c r="H22" s="130"/>
      <c r="I22" s="130"/>
      <c r="J22" s="130"/>
      <c r="K22" s="130"/>
      <c r="L22" s="130"/>
      <c r="M22" s="130"/>
      <c r="N22" s="130"/>
      <c r="O22" s="130"/>
      <c r="P22" s="130"/>
    </row>
    <row r="23" spans="1:17" s="69" customFormat="1" x14ac:dyDescent="0.2">
      <c r="A23" s="109" t="str">
        <v>0:00</v>
      </c>
      <c r="B23" s="108"/>
      <c r="C23" s="130"/>
      <c r="D23" s="130"/>
      <c r="E23" s="130"/>
      <c r="F23" s="130"/>
      <c r="G23" s="130"/>
      <c r="H23" s="130"/>
      <c r="I23" s="130"/>
      <c r="J23" s="130"/>
      <c r="K23" s="130"/>
      <c r="L23" s="130"/>
      <c r="M23" s="130"/>
      <c r="N23" s="130"/>
      <c r="O23" s="130"/>
      <c r="P23" s="130"/>
    </row>
    <row r="24" spans="1:17" s="69" customFormat="1" x14ac:dyDescent="0.2">
      <c r="A24" s="109" t="str">
        <v>0:00</v>
      </c>
      <c r="B24" s="108"/>
      <c r="C24" s="130"/>
      <c r="D24" s="130"/>
      <c r="E24" s="130"/>
      <c r="F24" s="130"/>
      <c r="G24" s="130"/>
      <c r="H24" s="130"/>
      <c r="I24" s="130"/>
      <c r="J24" s="130"/>
      <c r="K24" s="130"/>
      <c r="L24" s="130"/>
      <c r="M24" s="130"/>
      <c r="N24" s="130"/>
      <c r="O24" s="130"/>
      <c r="P24" s="130"/>
    </row>
    <row r="25" spans="1:17" s="69" customFormat="1" x14ac:dyDescent="0.2">
      <c r="A25" s="109" t="str">
        <v>0:00</v>
      </c>
      <c r="B25" s="108"/>
      <c r="C25" s="130"/>
      <c r="D25" s="130"/>
      <c r="E25" s="130"/>
      <c r="F25" s="130"/>
      <c r="G25" s="130"/>
      <c r="H25" s="130"/>
      <c r="I25" s="130"/>
      <c r="J25" s="130"/>
      <c r="K25" s="130"/>
      <c r="L25" s="130"/>
      <c r="M25" s="130"/>
      <c r="N25" s="130"/>
      <c r="O25" s="130"/>
      <c r="P25" s="130"/>
    </row>
    <row r="26" spans="1:17" s="69" customFormat="1" x14ac:dyDescent="0.2">
      <c r="A26" s="109" t="str">
        <v>0:00</v>
      </c>
      <c r="B26" s="108"/>
      <c r="C26" s="130"/>
      <c r="D26" s="130"/>
      <c r="E26" s="130"/>
      <c r="F26" s="130"/>
      <c r="G26" s="130"/>
      <c r="H26" s="130"/>
      <c r="I26" s="130"/>
      <c r="J26" s="130"/>
      <c r="K26" s="130"/>
      <c r="L26" s="130"/>
      <c r="M26" s="130"/>
      <c r="N26" s="130"/>
      <c r="O26" s="130"/>
      <c r="P26" s="130"/>
    </row>
    <row r="27" spans="1:17" s="69" customFormat="1" x14ac:dyDescent="0.2">
      <c r="A27" s="109" t="str">
        <v>0:00</v>
      </c>
      <c r="B27" s="108"/>
      <c r="C27" s="130"/>
      <c r="D27" s="130"/>
      <c r="E27" s="130"/>
      <c r="F27" s="130"/>
      <c r="G27" s="130"/>
      <c r="H27" s="130"/>
      <c r="I27" s="130"/>
      <c r="J27" s="130"/>
      <c r="K27" s="130"/>
      <c r="L27" s="130"/>
      <c r="M27" s="130"/>
      <c r="N27" s="130"/>
      <c r="O27" s="130"/>
      <c r="P27" s="130"/>
      <c r="Q27" s="110"/>
    </row>
    <row r="28" spans="1:17" s="69" customFormat="1" x14ac:dyDescent="0.2">
      <c r="A28" s="109" t="str">
        <v>0:00</v>
      </c>
      <c r="B28" s="108"/>
      <c r="C28" s="130"/>
      <c r="D28" s="130"/>
      <c r="E28" s="130"/>
      <c r="F28" s="130"/>
      <c r="G28" s="130"/>
      <c r="H28" s="130"/>
      <c r="I28" s="130"/>
      <c r="J28" s="130"/>
      <c r="K28" s="130"/>
      <c r="L28" s="130"/>
      <c r="M28" s="130"/>
      <c r="N28" s="130"/>
      <c r="O28" s="130"/>
      <c r="P28" s="130"/>
    </row>
    <row r="29" spans="1:17" s="69" customFormat="1" x14ac:dyDescent="0.2">
      <c r="A29" s="109" t="str">
        <v>0:00</v>
      </c>
      <c r="B29" s="108"/>
      <c r="C29" s="130"/>
      <c r="D29" s="130"/>
      <c r="E29" s="130"/>
      <c r="F29" s="130"/>
      <c r="G29" s="130"/>
      <c r="H29" s="130"/>
      <c r="I29" s="130"/>
      <c r="J29" s="130"/>
      <c r="K29" s="130"/>
      <c r="L29" s="130"/>
      <c r="M29" s="130"/>
      <c r="N29" s="130"/>
      <c r="O29" s="130"/>
      <c r="P29" s="130"/>
    </row>
    <row r="30" spans="1:17" s="69" customFormat="1" x14ac:dyDescent="0.2">
      <c r="A30" s="109" t="str">
        <v>0:00</v>
      </c>
      <c r="B30" s="108"/>
      <c r="C30" s="130"/>
      <c r="D30" s="130"/>
      <c r="E30" s="130"/>
      <c r="F30" s="130"/>
      <c r="G30" s="130"/>
      <c r="H30" s="130"/>
      <c r="I30" s="130"/>
      <c r="J30" s="130"/>
      <c r="K30" s="130"/>
      <c r="L30" s="130"/>
      <c r="M30" s="130"/>
      <c r="N30" s="130"/>
      <c r="O30" s="130"/>
      <c r="P30" s="130"/>
    </row>
    <row r="31" spans="1:17" s="69" customFormat="1" x14ac:dyDescent="0.2">
      <c r="A31" s="109" t="str">
        <v>0:00</v>
      </c>
      <c r="B31" s="108"/>
      <c r="C31" s="130"/>
      <c r="D31" s="130"/>
      <c r="E31" s="130"/>
      <c r="F31" s="130"/>
      <c r="G31" s="130"/>
      <c r="H31" s="130"/>
      <c r="I31" s="130"/>
      <c r="J31" s="130"/>
      <c r="K31" s="130"/>
      <c r="L31" s="130"/>
      <c r="M31" s="130"/>
      <c r="N31" s="130"/>
      <c r="O31" s="130"/>
      <c r="P31" s="130"/>
    </row>
    <row r="32" spans="1:17" s="69" customFormat="1" x14ac:dyDescent="0.2">
      <c r="A32" s="109" t="str">
        <v>0:00</v>
      </c>
      <c r="B32" s="108"/>
      <c r="C32" s="130"/>
      <c r="D32" s="130"/>
      <c r="E32" s="130"/>
      <c r="F32" s="130"/>
      <c r="G32" s="130"/>
      <c r="H32" s="130"/>
      <c r="I32" s="130"/>
      <c r="J32" s="130"/>
      <c r="K32" s="130"/>
      <c r="L32" s="130"/>
      <c r="M32" s="130"/>
      <c r="N32" s="130"/>
      <c r="O32" s="130"/>
      <c r="P32" s="130"/>
    </row>
    <row r="33" spans="1:16" s="69" customFormat="1" x14ac:dyDescent="0.2">
      <c r="A33" s="109" t="str">
        <v>0:00</v>
      </c>
      <c r="B33" s="108"/>
      <c r="C33" s="130"/>
      <c r="D33" s="130"/>
      <c r="E33" s="130"/>
      <c r="F33" s="130"/>
      <c r="G33" s="130"/>
      <c r="H33" s="130"/>
      <c r="I33" s="130"/>
      <c r="J33" s="130"/>
      <c r="K33" s="130"/>
      <c r="L33" s="130"/>
      <c r="M33" s="130"/>
      <c r="N33" s="130"/>
      <c r="O33" s="130"/>
      <c r="P33" s="130"/>
    </row>
    <row r="34" spans="1:16" s="69" customFormat="1" x14ac:dyDescent="0.2">
      <c r="A34" s="109" t="str">
        <v>0:00</v>
      </c>
      <c r="B34" s="108"/>
      <c r="C34" s="130"/>
      <c r="D34" s="130"/>
      <c r="E34" s="130"/>
      <c r="F34" s="130"/>
      <c r="G34" s="130"/>
      <c r="H34" s="130"/>
      <c r="I34" s="130"/>
      <c r="J34" s="130"/>
      <c r="K34" s="130"/>
      <c r="L34" s="130"/>
      <c r="M34" s="130"/>
      <c r="N34" s="130"/>
      <c r="O34" s="130"/>
      <c r="P34" s="130"/>
    </row>
    <row r="35" spans="1:16" s="69" customFormat="1" x14ac:dyDescent="0.2">
      <c r="A35" s="109" t="str">
        <v>0:00</v>
      </c>
      <c r="B35" s="108"/>
      <c r="C35" s="130"/>
      <c r="D35" s="130"/>
      <c r="E35" s="130"/>
      <c r="F35" s="130"/>
      <c r="G35" s="130"/>
      <c r="H35" s="130"/>
      <c r="I35" s="130"/>
      <c r="J35" s="130"/>
      <c r="K35" s="130"/>
      <c r="L35" s="130"/>
      <c r="M35" s="130"/>
      <c r="N35" s="130"/>
      <c r="O35" s="130"/>
      <c r="P35" s="130"/>
    </row>
    <row r="36" spans="1:16" s="69" customFormat="1" x14ac:dyDescent="0.2">
      <c r="A36" s="109" t="str">
        <v>0:00</v>
      </c>
      <c r="B36" s="108"/>
      <c r="C36" s="130"/>
      <c r="D36" s="130"/>
      <c r="E36" s="130"/>
      <c r="F36" s="130"/>
      <c r="G36" s="130"/>
      <c r="H36" s="130"/>
      <c r="I36" s="130"/>
      <c r="J36" s="130"/>
      <c r="K36" s="130"/>
      <c r="L36" s="130"/>
      <c r="M36" s="130"/>
      <c r="N36" s="130"/>
      <c r="O36" s="130"/>
      <c r="P36" s="130"/>
    </row>
    <row r="37" spans="1:16" s="69" customFormat="1" x14ac:dyDescent="0.2">
      <c r="A37" s="109" t="str">
        <v>0:00</v>
      </c>
      <c r="B37" s="108"/>
      <c r="C37" s="130"/>
      <c r="D37" s="130"/>
      <c r="E37" s="130"/>
      <c r="F37" s="130"/>
      <c r="G37" s="130"/>
      <c r="H37" s="130"/>
      <c r="I37" s="130"/>
      <c r="J37" s="130"/>
      <c r="K37" s="130"/>
      <c r="L37" s="130"/>
      <c r="M37" s="130"/>
      <c r="N37" s="130"/>
      <c r="O37" s="130"/>
      <c r="P37" s="130"/>
    </row>
    <row r="38" spans="1:16" s="69" customFormat="1" x14ac:dyDescent="0.2">
      <c r="A38" s="109" t="str">
        <v>0:00</v>
      </c>
      <c r="B38" s="108"/>
      <c r="C38" s="130"/>
      <c r="D38" s="130"/>
      <c r="E38" s="130"/>
      <c r="F38" s="130"/>
      <c r="G38" s="130"/>
      <c r="H38" s="130"/>
      <c r="I38" s="130"/>
      <c r="J38" s="130"/>
      <c r="K38" s="130"/>
      <c r="L38" s="130"/>
      <c r="M38" s="130"/>
      <c r="N38" s="130"/>
      <c r="O38" s="130"/>
      <c r="P38" s="130"/>
    </row>
    <row r="39" spans="1:16" s="69" customFormat="1" x14ac:dyDescent="0.2">
      <c r="A39" s="109" t="str">
        <v>0:00</v>
      </c>
      <c r="B39" s="108"/>
      <c r="C39" s="130"/>
      <c r="D39" s="130"/>
      <c r="E39" s="130"/>
      <c r="F39" s="130"/>
      <c r="G39" s="130"/>
      <c r="H39" s="130"/>
      <c r="I39" s="130"/>
      <c r="J39" s="130"/>
      <c r="K39" s="130"/>
      <c r="L39" s="130"/>
      <c r="M39" s="130"/>
      <c r="N39" s="130"/>
      <c r="O39" s="130"/>
      <c r="P39" s="130"/>
    </row>
    <row r="40" spans="1:16" s="69" customFormat="1" x14ac:dyDescent="0.2">
      <c r="A40" s="109" t="str">
        <v>0:00</v>
      </c>
      <c r="B40" s="108"/>
      <c r="C40" s="130"/>
      <c r="D40" s="130"/>
      <c r="E40" s="130"/>
      <c r="F40" s="130"/>
      <c r="G40" s="130"/>
      <c r="H40" s="130"/>
      <c r="I40" s="130"/>
      <c r="J40" s="130"/>
      <c r="K40" s="130"/>
      <c r="L40" s="130"/>
      <c r="M40" s="130"/>
      <c r="N40" s="130"/>
      <c r="O40" s="130"/>
      <c r="P40" s="130"/>
    </row>
    <row r="41" spans="1:16" s="69" customFormat="1" x14ac:dyDescent="0.2">
      <c r="A41" s="109" t="str">
        <v>0:00</v>
      </c>
      <c r="B41" s="108"/>
      <c r="C41" s="130"/>
      <c r="D41" s="130"/>
      <c r="E41" s="130"/>
      <c r="F41" s="130"/>
      <c r="G41" s="130"/>
      <c r="H41" s="130"/>
      <c r="I41" s="130"/>
      <c r="J41" s="130"/>
      <c r="K41" s="130"/>
      <c r="L41" s="130"/>
      <c r="M41" s="130"/>
      <c r="N41" s="130"/>
      <c r="O41" s="130"/>
      <c r="P41" s="130"/>
    </row>
    <row r="42" spans="1:16" s="69" customFormat="1" x14ac:dyDescent="0.2">
      <c r="A42" s="109" t="str">
        <v>0:00</v>
      </c>
      <c r="B42" s="108"/>
      <c r="C42" s="130"/>
      <c r="D42" s="130"/>
      <c r="E42" s="130"/>
      <c r="F42" s="130"/>
      <c r="G42" s="130"/>
      <c r="H42" s="130"/>
      <c r="I42" s="130"/>
      <c r="J42" s="130"/>
      <c r="K42" s="130"/>
      <c r="L42" s="130"/>
      <c r="M42" s="130"/>
      <c r="N42" s="130"/>
      <c r="O42" s="130"/>
      <c r="P42" s="130"/>
    </row>
    <row r="43" spans="1:16" s="69" customFormat="1" x14ac:dyDescent="0.2">
      <c r="A43" s="109" t="str">
        <v>0:00</v>
      </c>
      <c r="B43" s="108"/>
      <c r="C43" s="130"/>
      <c r="D43" s="130"/>
      <c r="E43" s="130"/>
      <c r="F43" s="130"/>
      <c r="G43" s="130"/>
      <c r="H43" s="130"/>
      <c r="I43" s="130"/>
      <c r="J43" s="130"/>
      <c r="K43" s="130"/>
      <c r="L43" s="130"/>
      <c r="M43" s="130"/>
      <c r="N43" s="130"/>
      <c r="O43" s="130"/>
      <c r="P43" s="130"/>
    </row>
    <row r="44" spans="1:16" s="69" customFormat="1" x14ac:dyDescent="0.2">
      <c r="A44" s="109" t="str">
        <v>0:00</v>
      </c>
      <c r="B44" s="108"/>
      <c r="C44" s="130"/>
      <c r="D44" s="130"/>
      <c r="E44" s="130"/>
      <c r="F44" s="130"/>
      <c r="G44" s="130"/>
      <c r="H44" s="130"/>
      <c r="I44" s="130"/>
      <c r="J44" s="130"/>
      <c r="K44" s="130"/>
      <c r="L44" s="130"/>
      <c r="M44" s="130"/>
      <c r="N44" s="130"/>
      <c r="O44" s="130"/>
      <c r="P44" s="130"/>
    </row>
    <row r="45" spans="1:16" s="69" customFormat="1" x14ac:dyDescent="0.2">
      <c r="A45" s="109" t="str">
        <v>0:00</v>
      </c>
      <c r="B45" s="108"/>
      <c r="C45" s="130"/>
      <c r="D45" s="130"/>
      <c r="E45" s="130"/>
      <c r="F45" s="130"/>
      <c r="G45" s="130"/>
      <c r="H45" s="130"/>
      <c r="I45" s="130"/>
      <c r="J45" s="130"/>
      <c r="K45" s="130"/>
      <c r="L45" s="130"/>
      <c r="M45" s="130"/>
      <c r="N45" s="130"/>
      <c r="O45" s="130"/>
      <c r="P45" s="130"/>
    </row>
    <row r="46" spans="1:16" s="69" customFormat="1" x14ac:dyDescent="0.2">
      <c r="A46" s="109" t="str">
        <v>0:00</v>
      </c>
      <c r="B46" s="108"/>
      <c r="C46" s="130"/>
      <c r="D46" s="130"/>
      <c r="E46" s="130"/>
      <c r="F46" s="130"/>
      <c r="G46" s="130"/>
      <c r="H46" s="130"/>
      <c r="I46" s="130"/>
      <c r="J46" s="130"/>
      <c r="K46" s="130"/>
      <c r="L46" s="130"/>
      <c r="M46" s="130"/>
      <c r="N46" s="130"/>
      <c r="O46" s="130"/>
      <c r="P46" s="130"/>
    </row>
    <row r="47" spans="1:16" s="69" customFormat="1" x14ac:dyDescent="0.2">
      <c r="A47" s="109" t="str">
        <v>0:00</v>
      </c>
      <c r="B47" s="108"/>
      <c r="C47" s="130"/>
      <c r="D47" s="130"/>
      <c r="E47" s="130"/>
      <c r="F47" s="130"/>
      <c r="G47" s="130"/>
      <c r="H47" s="130"/>
      <c r="I47" s="130"/>
      <c r="J47" s="130"/>
      <c r="K47" s="130"/>
      <c r="L47" s="130"/>
      <c r="M47" s="130"/>
      <c r="N47" s="130"/>
      <c r="O47" s="130"/>
      <c r="P47" s="130"/>
    </row>
    <row r="48" spans="1:16" s="69" customFormat="1" x14ac:dyDescent="0.2">
      <c r="A48" s="109" t="str">
        <v>0:00</v>
      </c>
      <c r="B48" s="108"/>
      <c r="C48" s="130"/>
      <c r="D48" s="130"/>
      <c r="E48" s="130"/>
      <c r="F48" s="130"/>
      <c r="G48" s="130"/>
      <c r="H48" s="130"/>
      <c r="I48" s="130"/>
      <c r="J48" s="130"/>
      <c r="K48" s="130"/>
      <c r="L48" s="130"/>
      <c r="M48" s="130"/>
      <c r="N48" s="130"/>
      <c r="O48" s="130"/>
      <c r="P48" s="130"/>
    </row>
    <row r="49" spans="1:16" s="69" customFormat="1" x14ac:dyDescent="0.2">
      <c r="A49" s="109" t="str">
        <v>0:00</v>
      </c>
      <c r="B49" s="108"/>
      <c r="C49" s="130"/>
      <c r="D49" s="130"/>
      <c r="E49" s="130"/>
      <c r="F49" s="130"/>
      <c r="G49" s="130"/>
      <c r="H49" s="130"/>
      <c r="I49" s="130"/>
      <c r="J49" s="130"/>
      <c r="K49" s="130"/>
      <c r="L49" s="130"/>
      <c r="M49" s="130"/>
      <c r="N49" s="130"/>
      <c r="O49" s="130"/>
      <c r="P49" s="130"/>
    </row>
    <row r="50" spans="1:16" s="69" customFormat="1" x14ac:dyDescent="0.2">
      <c r="A50" s="109" t="str">
        <v>0:00</v>
      </c>
      <c r="B50" s="108"/>
      <c r="C50" s="130"/>
      <c r="D50" s="130"/>
      <c r="E50" s="130"/>
      <c r="F50" s="130"/>
      <c r="G50" s="130"/>
      <c r="H50" s="130"/>
      <c r="I50" s="130"/>
      <c r="J50" s="130"/>
      <c r="K50" s="130"/>
      <c r="L50" s="130"/>
      <c r="M50" s="130"/>
      <c r="N50" s="130"/>
      <c r="O50" s="130"/>
      <c r="P50" s="130"/>
    </row>
    <row r="51" spans="1:16" s="69" customFormat="1" x14ac:dyDescent="0.2">
      <c r="A51" s="109" t="str">
        <v>0:00</v>
      </c>
      <c r="B51" s="108"/>
      <c r="C51" s="130"/>
      <c r="D51" s="130"/>
      <c r="E51" s="130"/>
      <c r="F51" s="130"/>
      <c r="G51" s="130"/>
      <c r="H51" s="130"/>
      <c r="I51" s="130"/>
      <c r="J51" s="130"/>
      <c r="K51" s="130"/>
      <c r="L51" s="130"/>
      <c r="M51" s="130"/>
      <c r="N51" s="130"/>
      <c r="O51" s="130"/>
      <c r="P51" s="130"/>
    </row>
    <row r="52" spans="1:16" s="69" customFormat="1" x14ac:dyDescent="0.2">
      <c r="A52" s="109" t="str">
        <v>0:00</v>
      </c>
      <c r="B52" s="108"/>
      <c r="C52" s="130"/>
      <c r="D52" s="130"/>
      <c r="E52" s="130"/>
      <c r="F52" s="130"/>
      <c r="G52" s="130"/>
      <c r="H52" s="130"/>
      <c r="I52" s="130"/>
      <c r="J52" s="130"/>
      <c r="K52" s="130"/>
      <c r="L52" s="130"/>
      <c r="M52" s="130"/>
      <c r="N52" s="130"/>
      <c r="O52" s="130"/>
      <c r="P52" s="130"/>
    </row>
    <row r="53" spans="1:16" s="69" customFormat="1" x14ac:dyDescent="0.2">
      <c r="A53" s="109" t="str">
        <v>0:00</v>
      </c>
      <c r="B53" s="108"/>
      <c r="C53" s="130"/>
      <c r="D53" s="130"/>
      <c r="E53" s="130"/>
      <c r="F53" s="130"/>
      <c r="G53" s="130"/>
      <c r="H53" s="130"/>
      <c r="I53" s="130"/>
      <c r="J53" s="130"/>
      <c r="K53" s="130"/>
      <c r="L53" s="130"/>
      <c r="M53" s="130"/>
      <c r="N53" s="130"/>
      <c r="O53" s="130"/>
      <c r="P53" s="130"/>
    </row>
    <row r="54" spans="1:16" s="69" customFormat="1" x14ac:dyDescent="0.2">
      <c r="A54" s="109" t="str">
        <v>0:00</v>
      </c>
      <c r="B54" s="108"/>
      <c r="C54" s="130"/>
      <c r="D54" s="130"/>
      <c r="E54" s="130"/>
      <c r="F54" s="130"/>
      <c r="G54" s="130"/>
      <c r="H54" s="130"/>
      <c r="I54" s="130"/>
      <c r="J54" s="130"/>
      <c r="K54" s="130"/>
      <c r="L54" s="130"/>
      <c r="M54" s="130"/>
      <c r="N54" s="130"/>
      <c r="O54" s="130"/>
      <c r="P54" s="130"/>
    </row>
    <row r="55" spans="1:16" s="69" customFormat="1" x14ac:dyDescent="0.2">
      <c r="A55" s="109" t="str">
        <v>0:00</v>
      </c>
      <c r="B55" s="108"/>
      <c r="C55" s="130"/>
      <c r="D55" s="130"/>
      <c r="E55" s="130"/>
      <c r="F55" s="130"/>
      <c r="G55" s="130"/>
      <c r="H55" s="130"/>
      <c r="I55" s="130"/>
      <c r="J55" s="130"/>
      <c r="K55" s="130"/>
      <c r="L55" s="130"/>
      <c r="M55" s="130"/>
      <c r="N55" s="130"/>
      <c r="O55" s="130"/>
      <c r="P55" s="130"/>
    </row>
    <row r="56" spans="1:16" s="69" customFormat="1" x14ac:dyDescent="0.2">
      <c r="A56" s="109" t="str">
        <v>0:00</v>
      </c>
      <c r="B56" s="108"/>
      <c r="C56" s="130"/>
      <c r="D56" s="130"/>
      <c r="E56" s="130"/>
      <c r="F56" s="130"/>
      <c r="G56" s="130"/>
      <c r="H56" s="130"/>
      <c r="I56" s="130"/>
      <c r="J56" s="130"/>
      <c r="K56" s="130"/>
      <c r="L56" s="130"/>
      <c r="M56" s="130"/>
      <c r="N56" s="130"/>
      <c r="O56" s="130"/>
      <c r="P56" s="130"/>
    </row>
    <row r="57" spans="1:16" s="69" customFormat="1" x14ac:dyDescent="0.2">
      <c r="A57" s="109" t="str">
        <v>0:00</v>
      </c>
      <c r="B57" s="108"/>
      <c r="C57" s="130"/>
      <c r="D57" s="130"/>
      <c r="E57" s="130"/>
      <c r="F57" s="130"/>
      <c r="G57" s="130"/>
      <c r="H57" s="130"/>
      <c r="I57" s="130"/>
      <c r="J57" s="130"/>
      <c r="K57" s="130"/>
      <c r="L57" s="130"/>
      <c r="M57" s="130"/>
      <c r="N57" s="130"/>
      <c r="O57" s="130"/>
      <c r="P57" s="130"/>
    </row>
    <row r="58" spans="1:16" s="69" customFormat="1" x14ac:dyDescent="0.2">
      <c r="A58" s="109" t="str">
        <v>0:00</v>
      </c>
      <c r="B58" s="108"/>
      <c r="C58" s="130"/>
      <c r="D58" s="130"/>
      <c r="E58" s="130"/>
      <c r="F58" s="130"/>
      <c r="G58" s="130"/>
      <c r="H58" s="130"/>
      <c r="I58" s="130"/>
      <c r="J58" s="130"/>
      <c r="K58" s="130"/>
      <c r="L58" s="130"/>
      <c r="M58" s="130"/>
      <c r="N58" s="130"/>
      <c r="O58" s="130"/>
      <c r="P58" s="130"/>
    </row>
    <row r="59" spans="1:16" s="69" customFormat="1" x14ac:dyDescent="0.2">
      <c r="A59" s="109" t="str">
        <v>0:00</v>
      </c>
      <c r="B59" s="108"/>
      <c r="C59" s="130"/>
      <c r="D59" s="130"/>
      <c r="E59" s="130"/>
      <c r="F59" s="130"/>
      <c r="G59" s="130"/>
      <c r="H59" s="130"/>
      <c r="I59" s="130"/>
      <c r="J59" s="130"/>
      <c r="K59" s="130"/>
      <c r="L59" s="130"/>
      <c r="M59" s="130"/>
      <c r="N59" s="130"/>
      <c r="O59" s="130"/>
      <c r="P59" s="130"/>
    </row>
    <row r="60" spans="1:16" s="69" customFormat="1" x14ac:dyDescent="0.2">
      <c r="A60" s="109" t="str">
        <v>0:00</v>
      </c>
      <c r="B60" s="108"/>
      <c r="C60" s="130"/>
      <c r="D60" s="130"/>
      <c r="E60" s="130"/>
      <c r="F60" s="130"/>
      <c r="G60" s="130"/>
      <c r="H60" s="130"/>
      <c r="I60" s="130"/>
      <c r="J60" s="130"/>
      <c r="K60" s="130"/>
      <c r="L60" s="130"/>
      <c r="M60" s="130"/>
      <c r="N60" s="130"/>
      <c r="O60" s="130"/>
      <c r="P60" s="130"/>
    </row>
    <row r="61" spans="1:16" s="69" customFormat="1" x14ac:dyDescent="0.2">
      <c r="A61" s="109" t="str">
        <v>0:00</v>
      </c>
      <c r="B61" s="108"/>
      <c r="C61" s="130"/>
      <c r="D61" s="130"/>
      <c r="E61" s="130"/>
      <c r="F61" s="130"/>
      <c r="G61" s="130"/>
      <c r="H61" s="130"/>
      <c r="I61" s="130"/>
      <c r="J61" s="130"/>
      <c r="K61" s="130"/>
      <c r="L61" s="130"/>
      <c r="M61" s="130"/>
      <c r="N61" s="130"/>
      <c r="O61" s="130"/>
      <c r="P61" s="130"/>
    </row>
    <row r="62" spans="1:16" s="69" customFormat="1" x14ac:dyDescent="0.2">
      <c r="A62" s="109" t="str">
        <v>0:00</v>
      </c>
      <c r="B62" s="108"/>
      <c r="C62" s="130"/>
      <c r="D62" s="130"/>
      <c r="E62" s="130"/>
      <c r="F62" s="130"/>
      <c r="G62" s="130"/>
      <c r="H62" s="130"/>
      <c r="I62" s="130"/>
      <c r="J62" s="130"/>
      <c r="K62" s="130"/>
      <c r="L62" s="130"/>
      <c r="M62" s="130"/>
      <c r="N62" s="130"/>
      <c r="O62" s="130"/>
      <c r="P62" s="130"/>
    </row>
    <row r="63" spans="1:16" s="69" customFormat="1" x14ac:dyDescent="0.2">
      <c r="A63" s="109" t="str">
        <v>0:00</v>
      </c>
      <c r="B63" s="108"/>
      <c r="C63" s="130"/>
      <c r="D63" s="130"/>
      <c r="E63" s="130"/>
      <c r="F63" s="130"/>
      <c r="G63" s="130"/>
      <c r="H63" s="130"/>
      <c r="I63" s="130"/>
      <c r="J63" s="130"/>
      <c r="K63" s="130"/>
      <c r="L63" s="130"/>
      <c r="M63" s="130"/>
      <c r="N63" s="130"/>
      <c r="O63" s="130"/>
      <c r="P63" s="130"/>
    </row>
    <row r="64" spans="1:16" s="69" customFormat="1" x14ac:dyDescent="0.2">
      <c r="A64" s="109" t="str">
        <v>0:00</v>
      </c>
      <c r="B64" s="108"/>
      <c r="C64" s="130"/>
      <c r="D64" s="130"/>
      <c r="E64" s="130"/>
      <c r="F64" s="130"/>
      <c r="G64" s="130"/>
      <c r="H64" s="130"/>
      <c r="I64" s="130"/>
      <c r="J64" s="130"/>
      <c r="K64" s="130"/>
      <c r="L64" s="130"/>
      <c r="M64" s="130"/>
      <c r="N64" s="130"/>
      <c r="O64" s="130"/>
      <c r="P64" s="130"/>
    </row>
    <row r="65" spans="1:16" s="69" customFormat="1" x14ac:dyDescent="0.2">
      <c r="A65" s="109" t="str">
        <v>0:00</v>
      </c>
      <c r="B65" s="108"/>
      <c r="C65" s="130"/>
      <c r="D65" s="130"/>
      <c r="E65" s="130"/>
      <c r="F65" s="130"/>
      <c r="G65" s="130"/>
      <c r="H65" s="130"/>
      <c r="I65" s="130"/>
      <c r="J65" s="130"/>
      <c r="K65" s="130"/>
      <c r="L65" s="130"/>
      <c r="M65" s="130"/>
      <c r="N65" s="130"/>
      <c r="O65" s="130"/>
      <c r="P65" s="130"/>
    </row>
    <row r="66" spans="1:16" s="73" customFormat="1" x14ac:dyDescent="0.2">
      <c r="A66" s="72" t="str">
        <v>0:00</v>
      </c>
      <c r="B66" s="108"/>
      <c r="C66" s="130"/>
      <c r="D66" s="130"/>
      <c r="E66" s="130"/>
      <c r="F66" s="130"/>
      <c r="G66" s="130"/>
      <c r="H66" s="130"/>
      <c r="I66" s="130"/>
      <c r="J66" s="130"/>
      <c r="K66" s="130"/>
      <c r="L66" s="130"/>
      <c r="M66" s="130"/>
      <c r="N66" s="130"/>
      <c r="O66" s="130"/>
      <c r="P66" s="130"/>
    </row>
    <row r="67" spans="1:16" s="73" customFormat="1" x14ac:dyDescent="0.2">
      <c r="A67" s="72" t="str">
        <v>0:00</v>
      </c>
      <c r="B67" s="108"/>
      <c r="C67" s="130"/>
      <c r="D67" s="130"/>
      <c r="E67" s="130"/>
      <c r="F67" s="130"/>
      <c r="G67" s="130"/>
      <c r="H67" s="130"/>
      <c r="I67" s="130"/>
      <c r="J67" s="130"/>
      <c r="K67" s="130"/>
      <c r="L67" s="130"/>
      <c r="M67" s="130"/>
      <c r="N67" s="130"/>
      <c r="O67" s="130"/>
      <c r="P67" s="130"/>
    </row>
    <row r="68" spans="1:16" s="73" customFormat="1" x14ac:dyDescent="0.2">
      <c r="A68" s="72" t="str">
        <v>0:00</v>
      </c>
      <c r="B68" s="108"/>
      <c r="C68" s="130"/>
      <c r="D68" s="130"/>
      <c r="E68" s="130"/>
      <c r="F68" s="130"/>
      <c r="G68" s="130"/>
      <c r="H68" s="130"/>
      <c r="I68" s="130"/>
      <c r="J68" s="130"/>
      <c r="K68" s="130"/>
      <c r="L68" s="130"/>
      <c r="M68" s="130"/>
      <c r="N68" s="130"/>
      <c r="O68" s="130"/>
      <c r="P68" s="130"/>
    </row>
    <row r="69" spans="1:16" s="73" customFormat="1" x14ac:dyDescent="0.2">
      <c r="A69" s="72" t="str">
        <v>0:00</v>
      </c>
      <c r="B69" s="108"/>
      <c r="C69" s="130"/>
      <c r="D69" s="130"/>
      <c r="E69" s="130"/>
      <c r="F69" s="130"/>
      <c r="G69" s="130"/>
      <c r="H69" s="130"/>
      <c r="I69" s="130"/>
      <c r="J69" s="130"/>
      <c r="K69" s="130"/>
      <c r="L69" s="130"/>
      <c r="M69" s="130"/>
      <c r="N69" s="130"/>
      <c r="O69" s="130"/>
      <c r="P69" s="130"/>
    </row>
    <row r="70" spans="1:16" s="73" customFormat="1" x14ac:dyDescent="0.2">
      <c r="A70" s="72" t="str">
        <v>0:00</v>
      </c>
      <c r="B70" s="108"/>
      <c r="C70" s="130"/>
      <c r="D70" s="130"/>
      <c r="E70" s="130"/>
      <c r="F70" s="130"/>
      <c r="G70" s="130"/>
      <c r="H70" s="130"/>
      <c r="I70" s="130"/>
      <c r="J70" s="130"/>
      <c r="K70" s="130"/>
      <c r="L70" s="130"/>
      <c r="M70" s="130"/>
      <c r="N70" s="130"/>
      <c r="O70" s="130"/>
      <c r="P70" s="130"/>
    </row>
    <row r="71" spans="1:16" s="73" customFormat="1" x14ac:dyDescent="0.2">
      <c r="A71" s="72" t="str">
        <v>0:00</v>
      </c>
      <c r="B71" s="108"/>
      <c r="C71" s="130"/>
      <c r="D71" s="130"/>
      <c r="E71" s="130"/>
      <c r="F71" s="130"/>
      <c r="G71" s="130"/>
      <c r="H71" s="130"/>
      <c r="I71" s="130"/>
      <c r="J71" s="130"/>
      <c r="K71" s="130"/>
      <c r="L71" s="130"/>
      <c r="M71" s="130"/>
      <c r="N71" s="130"/>
      <c r="O71" s="130"/>
      <c r="P71" s="130"/>
    </row>
    <row r="72" spans="1:16" s="73" customFormat="1" x14ac:dyDescent="0.2">
      <c r="A72" s="72" t="str">
        <v>0:00</v>
      </c>
      <c r="B72" s="108"/>
      <c r="C72" s="130"/>
      <c r="D72" s="130"/>
      <c r="E72" s="130"/>
      <c r="F72" s="130"/>
      <c r="G72" s="130"/>
      <c r="H72" s="130"/>
      <c r="I72" s="130"/>
      <c r="J72" s="130"/>
      <c r="K72" s="130"/>
      <c r="L72" s="130"/>
      <c r="M72" s="130"/>
      <c r="N72" s="130"/>
      <c r="O72" s="130"/>
      <c r="P72" s="130"/>
    </row>
    <row r="73" spans="1:16" s="73" customFormat="1" x14ac:dyDescent="0.2">
      <c r="A73" s="72" t="str">
        <v>0:00</v>
      </c>
      <c r="B73" s="108"/>
      <c r="C73" s="130"/>
      <c r="D73" s="130"/>
      <c r="E73" s="130"/>
      <c r="F73" s="130"/>
      <c r="G73" s="130"/>
      <c r="H73" s="130"/>
      <c r="I73" s="130"/>
      <c r="J73" s="130"/>
      <c r="K73" s="130"/>
      <c r="L73" s="130"/>
      <c r="M73" s="130"/>
      <c r="N73" s="130"/>
      <c r="O73" s="130"/>
      <c r="P73" s="130"/>
    </row>
    <row r="74" spans="1:16" s="73" customFormat="1" x14ac:dyDescent="0.2">
      <c r="A74" s="72" t="str">
        <v>0:00</v>
      </c>
      <c r="B74" s="108"/>
      <c r="C74" s="130"/>
      <c r="D74" s="130"/>
      <c r="E74" s="130"/>
      <c r="F74" s="130"/>
      <c r="G74" s="130"/>
      <c r="H74" s="130"/>
      <c r="I74" s="130"/>
      <c r="J74" s="130"/>
      <c r="K74" s="130"/>
      <c r="L74" s="130"/>
      <c r="M74" s="130"/>
      <c r="N74" s="130"/>
      <c r="O74" s="130"/>
      <c r="P74" s="130"/>
    </row>
    <row r="75" spans="1:16" s="73" customFormat="1" x14ac:dyDescent="0.2">
      <c r="A75" s="72" t="str">
        <v>0:00</v>
      </c>
      <c r="B75" s="108"/>
      <c r="C75" s="130"/>
      <c r="D75" s="130"/>
      <c r="E75" s="130"/>
      <c r="F75" s="130"/>
      <c r="G75" s="130"/>
      <c r="H75" s="130"/>
      <c r="I75" s="130"/>
      <c r="J75" s="130"/>
      <c r="K75" s="130"/>
      <c r="L75" s="130"/>
      <c r="M75" s="130"/>
      <c r="N75" s="130"/>
      <c r="O75" s="130"/>
      <c r="P75" s="130"/>
    </row>
    <row r="76" spans="1:16" s="73" customFormat="1" x14ac:dyDescent="0.2">
      <c r="A76" s="74" t="str">
        <v>0:00</v>
      </c>
      <c r="B76" s="108"/>
      <c r="C76" s="130"/>
      <c r="D76" s="130"/>
      <c r="E76" s="130"/>
      <c r="F76" s="130"/>
      <c r="G76" s="130"/>
      <c r="H76" s="130"/>
      <c r="I76" s="130"/>
      <c r="J76" s="130"/>
      <c r="K76" s="130"/>
      <c r="L76" s="130"/>
      <c r="M76" s="130"/>
      <c r="N76" s="130"/>
      <c r="O76" s="130"/>
      <c r="P76" s="130"/>
    </row>
    <row r="77" spans="1:16" s="73" customFormat="1" x14ac:dyDescent="0.2">
      <c r="A77" s="74" t="str">
        <v>0:00</v>
      </c>
      <c r="B77" s="108"/>
      <c r="C77" s="130"/>
      <c r="D77" s="130"/>
      <c r="E77" s="130"/>
      <c r="F77" s="130"/>
      <c r="G77" s="130"/>
      <c r="H77" s="130"/>
      <c r="I77" s="130"/>
      <c r="J77" s="130"/>
      <c r="K77" s="130"/>
      <c r="L77" s="130"/>
      <c r="M77" s="130"/>
      <c r="N77" s="130"/>
      <c r="O77" s="130"/>
      <c r="P77" s="130"/>
    </row>
    <row r="78" spans="1:16" s="73" customFormat="1" x14ac:dyDescent="0.2">
      <c r="A78" s="74" t="str">
        <v>0:00</v>
      </c>
      <c r="B78" s="108"/>
      <c r="C78" s="130"/>
      <c r="D78" s="130"/>
      <c r="E78" s="130"/>
      <c r="F78" s="130"/>
      <c r="G78" s="130"/>
      <c r="H78" s="130"/>
      <c r="I78" s="130"/>
      <c r="J78" s="130"/>
      <c r="K78" s="130"/>
      <c r="L78" s="130"/>
      <c r="M78" s="130"/>
      <c r="N78" s="130"/>
      <c r="O78" s="130"/>
      <c r="P78" s="130"/>
    </row>
    <row r="79" spans="1:16" s="73" customFormat="1" x14ac:dyDescent="0.2">
      <c r="A79" s="74" t="str">
        <v>0:00</v>
      </c>
      <c r="B79" s="108"/>
      <c r="C79" s="130"/>
      <c r="D79" s="130"/>
      <c r="E79" s="130"/>
      <c r="F79" s="130"/>
      <c r="G79" s="130"/>
      <c r="H79" s="130"/>
      <c r="I79" s="130"/>
      <c r="J79" s="130"/>
      <c r="K79" s="130"/>
      <c r="L79" s="130"/>
      <c r="M79" s="130"/>
      <c r="N79" s="130"/>
      <c r="O79" s="130"/>
      <c r="P79" s="130"/>
    </row>
    <row r="80" spans="1:16" s="73" customFormat="1" x14ac:dyDescent="0.2">
      <c r="A80" s="74" t="str">
        <v>0:00</v>
      </c>
      <c r="B80" s="108"/>
      <c r="C80" s="130"/>
      <c r="D80" s="130"/>
      <c r="E80" s="130"/>
      <c r="F80" s="130"/>
      <c r="G80" s="130"/>
      <c r="H80" s="130"/>
      <c r="I80" s="130"/>
      <c r="J80" s="130"/>
      <c r="K80" s="130"/>
      <c r="L80" s="130"/>
      <c r="M80" s="130"/>
      <c r="N80" s="130"/>
      <c r="O80" s="130"/>
      <c r="P80" s="130"/>
    </row>
    <row r="81" spans="1:16" s="73" customFormat="1" x14ac:dyDescent="0.2">
      <c r="A81" s="74" t="str">
        <v>0:00</v>
      </c>
      <c r="B81" s="108"/>
      <c r="C81" s="130"/>
      <c r="D81" s="130"/>
      <c r="E81" s="130"/>
      <c r="F81" s="130"/>
      <c r="G81" s="130"/>
      <c r="H81" s="130"/>
      <c r="I81" s="130"/>
      <c r="J81" s="130"/>
      <c r="K81" s="130"/>
      <c r="L81" s="130"/>
      <c r="M81" s="130"/>
      <c r="N81" s="130"/>
      <c r="O81" s="130"/>
      <c r="P81" s="130"/>
    </row>
    <row r="82" spans="1:16" s="69" customFormat="1" x14ac:dyDescent="0.2">
      <c r="A82" s="68" t="str">
        <v>0:00</v>
      </c>
      <c r="B82" s="108"/>
      <c r="C82" s="130"/>
      <c r="D82" s="130"/>
      <c r="E82" s="130"/>
      <c r="F82" s="130"/>
      <c r="G82" s="130"/>
      <c r="H82" s="130"/>
      <c r="I82" s="130"/>
      <c r="J82" s="130"/>
      <c r="K82" s="130"/>
      <c r="L82" s="130"/>
      <c r="M82" s="130"/>
      <c r="N82" s="130"/>
      <c r="O82" s="130"/>
      <c r="P82" s="130"/>
    </row>
    <row r="83" spans="1:16" s="69" customFormat="1" x14ac:dyDescent="0.2">
      <c r="A83" s="68" t="str">
        <v>0:00</v>
      </c>
      <c r="B83" s="108"/>
      <c r="C83" s="130"/>
      <c r="D83" s="130"/>
      <c r="E83" s="130"/>
      <c r="F83" s="130"/>
      <c r="G83" s="130"/>
      <c r="H83" s="130"/>
      <c r="I83" s="130"/>
      <c r="J83" s="130"/>
      <c r="K83" s="130"/>
      <c r="L83" s="130"/>
      <c r="M83" s="130"/>
      <c r="N83" s="130"/>
      <c r="O83" s="130"/>
      <c r="P83" s="130"/>
    </row>
    <row r="84" spans="1:16" s="69" customFormat="1" x14ac:dyDescent="0.2">
      <c r="A84" s="68" t="str">
        <v>0:00</v>
      </c>
      <c r="B84" s="108"/>
      <c r="C84" s="130"/>
      <c r="D84" s="130"/>
      <c r="E84" s="130"/>
      <c r="F84" s="130"/>
      <c r="G84" s="130"/>
      <c r="H84" s="130"/>
      <c r="I84" s="130"/>
      <c r="J84" s="130"/>
      <c r="K84" s="130"/>
      <c r="L84" s="130"/>
      <c r="M84" s="130"/>
      <c r="N84" s="130"/>
      <c r="O84" s="130"/>
      <c r="P84" s="130"/>
    </row>
    <row r="85" spans="1:16" s="69" customFormat="1" x14ac:dyDescent="0.2">
      <c r="A85" s="68" t="str">
        <v>0:00</v>
      </c>
      <c r="B85" s="108"/>
      <c r="C85" s="130"/>
      <c r="D85" s="130"/>
      <c r="E85" s="130"/>
      <c r="F85" s="130"/>
      <c r="G85" s="130"/>
      <c r="H85" s="130"/>
      <c r="I85" s="130"/>
      <c r="J85" s="130"/>
      <c r="K85" s="130"/>
      <c r="L85" s="130"/>
      <c r="M85" s="130"/>
      <c r="N85" s="130"/>
      <c r="O85" s="130"/>
      <c r="P85" s="130"/>
    </row>
    <row r="86" spans="1:16" s="69" customFormat="1" x14ac:dyDescent="0.2">
      <c r="A86" s="68" t="str">
        <v>0:00</v>
      </c>
      <c r="B86" s="108"/>
      <c r="C86" s="130"/>
      <c r="D86" s="130"/>
      <c r="E86" s="130"/>
      <c r="F86" s="130"/>
      <c r="G86" s="130"/>
      <c r="H86" s="130"/>
      <c r="I86" s="130"/>
      <c r="J86" s="130"/>
      <c r="K86" s="130"/>
      <c r="L86" s="130"/>
      <c r="M86" s="130"/>
      <c r="N86" s="130"/>
      <c r="O86" s="130"/>
      <c r="P86" s="130"/>
    </row>
    <row r="87" spans="1:16" s="69" customFormat="1" x14ac:dyDescent="0.2">
      <c r="A87" s="68" t="str">
        <v>0:00</v>
      </c>
      <c r="B87" s="108"/>
      <c r="C87" s="130"/>
      <c r="D87" s="130"/>
      <c r="E87" s="130"/>
      <c r="F87" s="130"/>
      <c r="G87" s="130"/>
      <c r="H87" s="130"/>
      <c r="I87" s="130"/>
      <c r="J87" s="130"/>
      <c r="K87" s="130"/>
      <c r="L87" s="130"/>
      <c r="M87" s="130"/>
      <c r="N87" s="130"/>
      <c r="O87" s="130"/>
      <c r="P87" s="130"/>
    </row>
    <row r="88" spans="1:16" s="69" customFormat="1" x14ac:dyDescent="0.2">
      <c r="A88" s="68" t="str">
        <v>0:00</v>
      </c>
      <c r="B88" s="108"/>
      <c r="C88" s="130"/>
      <c r="D88" s="130"/>
      <c r="E88" s="130"/>
      <c r="F88" s="130"/>
      <c r="G88" s="130"/>
      <c r="H88" s="130"/>
      <c r="I88" s="130"/>
      <c r="J88" s="130"/>
      <c r="K88" s="130"/>
      <c r="L88" s="130"/>
      <c r="M88" s="130"/>
      <c r="N88" s="130"/>
      <c r="O88" s="130"/>
      <c r="P88" s="130"/>
    </row>
    <row r="89" spans="1:16" s="69" customFormat="1" x14ac:dyDescent="0.2">
      <c r="A89" s="68" t="str">
        <v>0:00</v>
      </c>
      <c r="B89" s="108"/>
      <c r="C89" s="130"/>
      <c r="D89" s="130"/>
      <c r="E89" s="130"/>
      <c r="F89" s="130"/>
      <c r="G89" s="130"/>
      <c r="H89" s="130"/>
      <c r="I89" s="130"/>
      <c r="J89" s="130"/>
      <c r="K89" s="130"/>
      <c r="L89" s="130"/>
      <c r="M89" s="130"/>
      <c r="N89" s="130"/>
      <c r="O89" s="130"/>
      <c r="P89" s="130"/>
    </row>
    <row r="90" spans="1:16" s="69" customFormat="1" x14ac:dyDescent="0.2">
      <c r="A90" s="68" t="str">
        <v>0:00</v>
      </c>
      <c r="B90" s="108"/>
      <c r="C90" s="130"/>
      <c r="D90" s="130"/>
      <c r="E90" s="130"/>
      <c r="F90" s="130"/>
      <c r="G90" s="130"/>
      <c r="H90" s="130"/>
      <c r="I90" s="130"/>
      <c r="J90" s="130"/>
      <c r="K90" s="130"/>
      <c r="L90" s="130"/>
      <c r="M90" s="130"/>
      <c r="N90" s="130"/>
      <c r="O90" s="130"/>
      <c r="P90" s="130"/>
    </row>
    <row r="91" spans="1:16" s="69" customFormat="1" x14ac:dyDescent="0.2">
      <c r="A91" s="68" t="str">
        <v>0:00</v>
      </c>
      <c r="B91" s="108"/>
      <c r="C91" s="130"/>
      <c r="D91" s="130"/>
      <c r="E91" s="130"/>
      <c r="F91" s="130"/>
      <c r="G91" s="130"/>
      <c r="H91" s="130"/>
      <c r="I91" s="130"/>
      <c r="J91" s="130"/>
      <c r="K91" s="130"/>
      <c r="L91" s="130"/>
      <c r="M91" s="130"/>
      <c r="N91" s="130"/>
      <c r="O91" s="130"/>
      <c r="P91" s="130"/>
    </row>
    <row r="92" spans="1:16" s="69" customFormat="1" x14ac:dyDescent="0.2">
      <c r="A92" s="68" t="str">
        <v>0:00</v>
      </c>
      <c r="B92" s="108"/>
      <c r="C92" s="130"/>
      <c r="D92" s="130"/>
      <c r="E92" s="130"/>
      <c r="F92" s="130"/>
      <c r="G92" s="130"/>
      <c r="H92" s="130"/>
      <c r="I92" s="130"/>
      <c r="J92" s="130"/>
      <c r="K92" s="130"/>
      <c r="L92" s="130"/>
      <c r="M92" s="130"/>
      <c r="N92" s="130"/>
      <c r="O92" s="130"/>
      <c r="P92" s="130"/>
    </row>
    <row r="93" spans="1:16" s="69" customFormat="1" x14ac:dyDescent="0.2">
      <c r="A93" s="109" t="str">
        <v>0:00</v>
      </c>
      <c r="B93" s="108"/>
      <c r="C93" s="130"/>
      <c r="D93" s="130"/>
      <c r="E93" s="130"/>
      <c r="F93" s="130"/>
      <c r="G93" s="130"/>
      <c r="H93" s="130"/>
      <c r="I93" s="130"/>
      <c r="J93" s="130"/>
      <c r="K93" s="130"/>
      <c r="L93" s="130"/>
      <c r="M93" s="130"/>
      <c r="N93" s="130"/>
      <c r="O93" s="130"/>
      <c r="P93" s="130"/>
    </row>
    <row r="94" spans="1:16" s="69" customFormat="1" x14ac:dyDescent="0.2">
      <c r="A94" s="109" t="str">
        <v>0:00</v>
      </c>
      <c r="B94" s="108"/>
      <c r="C94" s="130"/>
      <c r="D94" s="130"/>
      <c r="E94" s="130"/>
      <c r="F94" s="130"/>
      <c r="G94" s="130"/>
      <c r="H94" s="130"/>
      <c r="I94" s="130"/>
      <c r="J94" s="130"/>
      <c r="K94" s="130"/>
      <c r="L94" s="130"/>
      <c r="M94" s="130"/>
      <c r="N94" s="130"/>
      <c r="O94" s="130"/>
      <c r="P94" s="130"/>
    </row>
    <row r="95" spans="1:16" s="69" customFormat="1" x14ac:dyDescent="0.2">
      <c r="A95" s="109" t="str">
        <v>0:00</v>
      </c>
      <c r="B95" s="108"/>
      <c r="C95" s="130"/>
      <c r="D95" s="130"/>
      <c r="E95" s="130"/>
      <c r="F95" s="130"/>
      <c r="G95" s="130"/>
      <c r="H95" s="130"/>
      <c r="I95" s="130"/>
      <c r="J95" s="130"/>
      <c r="K95" s="130"/>
      <c r="L95" s="130"/>
      <c r="M95" s="130"/>
      <c r="N95" s="130"/>
      <c r="O95" s="130"/>
      <c r="P95" s="130"/>
    </row>
    <row r="96" spans="1:16" s="69" customFormat="1" x14ac:dyDescent="0.2">
      <c r="A96" s="109" t="str">
        <v>0:00</v>
      </c>
      <c r="B96" s="108"/>
      <c r="C96" s="130"/>
      <c r="D96" s="130"/>
      <c r="E96" s="130"/>
      <c r="F96" s="130"/>
      <c r="G96" s="130"/>
      <c r="H96" s="130"/>
      <c r="I96" s="130"/>
      <c r="J96" s="130"/>
      <c r="K96" s="130"/>
      <c r="L96" s="130"/>
      <c r="M96" s="130"/>
      <c r="N96" s="130"/>
      <c r="O96" s="130"/>
      <c r="P96" s="130"/>
    </row>
    <row r="97" spans="1:16" s="69" customFormat="1" x14ac:dyDescent="0.2">
      <c r="A97" s="109" t="str">
        <v>0:00</v>
      </c>
      <c r="B97" s="108"/>
      <c r="C97" s="130"/>
      <c r="D97" s="130"/>
      <c r="E97" s="130"/>
      <c r="F97" s="130"/>
      <c r="G97" s="130"/>
      <c r="H97" s="130"/>
      <c r="I97" s="130"/>
      <c r="J97" s="130"/>
      <c r="K97" s="130"/>
      <c r="L97" s="130"/>
      <c r="M97" s="130"/>
      <c r="N97" s="130"/>
      <c r="O97" s="130"/>
      <c r="P97" s="130"/>
    </row>
    <row r="98" spans="1:16" s="69" customFormat="1" x14ac:dyDescent="0.2">
      <c r="A98" s="109" t="str">
        <v>0:00</v>
      </c>
      <c r="B98" s="108"/>
      <c r="C98" s="130"/>
      <c r="D98" s="130"/>
      <c r="E98" s="130"/>
      <c r="F98" s="130"/>
      <c r="G98" s="130"/>
      <c r="H98" s="130"/>
      <c r="I98" s="130"/>
      <c r="J98" s="130"/>
      <c r="K98" s="130"/>
      <c r="L98" s="130"/>
      <c r="M98" s="130"/>
      <c r="N98" s="130"/>
      <c r="O98" s="130"/>
      <c r="P98" s="130"/>
    </row>
    <row r="99" spans="1:16" s="69" customFormat="1" x14ac:dyDescent="0.2">
      <c r="A99" s="109" t="str">
        <v>0:00</v>
      </c>
      <c r="B99" s="108"/>
      <c r="C99" s="130"/>
      <c r="D99" s="130"/>
      <c r="E99" s="130"/>
      <c r="F99" s="130"/>
      <c r="G99" s="130"/>
      <c r="H99" s="130"/>
      <c r="I99" s="130"/>
      <c r="J99" s="130"/>
      <c r="K99" s="130"/>
      <c r="L99" s="130"/>
      <c r="M99" s="130"/>
      <c r="N99" s="130"/>
      <c r="O99" s="130"/>
      <c r="P99" s="130"/>
    </row>
    <row r="100" spans="1:16" s="69" customFormat="1" x14ac:dyDescent="0.2">
      <c r="A100" s="109" t="str">
        <v>0:00</v>
      </c>
      <c r="B100" s="108"/>
      <c r="C100" s="130"/>
      <c r="D100" s="130"/>
      <c r="E100" s="130"/>
      <c r="F100" s="130"/>
      <c r="G100" s="130"/>
      <c r="H100" s="130"/>
      <c r="I100" s="130"/>
      <c r="J100" s="130"/>
      <c r="K100" s="130"/>
      <c r="L100" s="130"/>
      <c r="M100" s="130"/>
      <c r="N100" s="130"/>
      <c r="O100" s="130"/>
      <c r="P100" s="130"/>
    </row>
    <row r="101" spans="1:16" s="69" customFormat="1" x14ac:dyDescent="0.2">
      <c r="A101" s="109" t="str">
        <v>0:00</v>
      </c>
      <c r="B101" s="108"/>
      <c r="C101" s="130"/>
      <c r="D101" s="130"/>
      <c r="E101" s="130"/>
      <c r="F101" s="130"/>
      <c r="G101" s="130"/>
      <c r="H101" s="130"/>
      <c r="I101" s="130"/>
      <c r="J101" s="130"/>
      <c r="K101" s="130"/>
      <c r="L101" s="130"/>
      <c r="M101" s="130"/>
      <c r="N101" s="130"/>
      <c r="O101" s="130"/>
      <c r="P101" s="130"/>
    </row>
    <row r="102" spans="1:16" s="69" customFormat="1" x14ac:dyDescent="0.2">
      <c r="A102" s="109" t="str">
        <v>0:00</v>
      </c>
      <c r="B102" s="108"/>
      <c r="C102" s="130"/>
      <c r="D102" s="130"/>
      <c r="E102" s="130"/>
      <c r="F102" s="130"/>
      <c r="G102" s="130"/>
      <c r="H102" s="130"/>
      <c r="I102" s="130"/>
      <c r="J102" s="130"/>
      <c r="K102" s="130"/>
      <c r="L102" s="130"/>
      <c r="M102" s="130"/>
      <c r="N102" s="130"/>
      <c r="O102" s="130"/>
      <c r="P102" s="130"/>
    </row>
    <row r="103" spans="1:16" s="69" customFormat="1" x14ac:dyDescent="0.2">
      <c r="A103" s="109" t="str">
        <v>0:00</v>
      </c>
      <c r="B103" s="108"/>
      <c r="C103" s="130"/>
      <c r="D103" s="130"/>
      <c r="E103" s="130"/>
      <c r="F103" s="130"/>
      <c r="G103" s="130"/>
      <c r="H103" s="130"/>
      <c r="I103" s="130"/>
      <c r="J103" s="130"/>
      <c r="K103" s="130"/>
      <c r="L103" s="130"/>
      <c r="M103" s="130"/>
      <c r="N103" s="130"/>
      <c r="O103" s="130"/>
      <c r="P103" s="130"/>
    </row>
    <row r="104" spans="1:16" s="69" customFormat="1" x14ac:dyDescent="0.2">
      <c r="A104" s="109" t="str">
        <v>0:00</v>
      </c>
      <c r="B104" s="108"/>
      <c r="C104" s="130"/>
      <c r="D104" s="130"/>
      <c r="E104" s="130"/>
      <c r="F104" s="130"/>
      <c r="G104" s="130"/>
      <c r="H104" s="130"/>
      <c r="I104" s="130"/>
      <c r="J104" s="130"/>
      <c r="K104" s="130"/>
      <c r="L104" s="130"/>
      <c r="M104" s="130"/>
      <c r="N104" s="130"/>
      <c r="O104" s="130"/>
      <c r="P104" s="130"/>
    </row>
    <row r="105" spans="1:16" s="69" customFormat="1" x14ac:dyDescent="0.2">
      <c r="A105" s="109" t="str">
        <v>0:00</v>
      </c>
      <c r="B105" s="108"/>
      <c r="C105" s="130"/>
      <c r="D105" s="130"/>
      <c r="E105" s="130"/>
      <c r="F105" s="130"/>
      <c r="G105" s="130"/>
      <c r="H105" s="130"/>
      <c r="I105" s="130"/>
      <c r="J105" s="130"/>
      <c r="K105" s="130"/>
      <c r="L105" s="130"/>
      <c r="M105" s="130"/>
      <c r="N105" s="130"/>
      <c r="O105" s="130"/>
      <c r="P105" s="130"/>
    </row>
    <row r="106" spans="1:16" x14ac:dyDescent="0.2">
      <c r="A106" s="49" t="str">
        <v>0:00</v>
      </c>
      <c r="B106" s="108"/>
      <c r="C106" s="130"/>
      <c r="D106" s="130"/>
      <c r="E106" s="130"/>
      <c r="F106" s="130"/>
      <c r="G106" s="130"/>
      <c r="H106" s="130"/>
      <c r="I106" s="130"/>
      <c r="J106" s="130"/>
      <c r="K106" s="130"/>
      <c r="L106" s="130"/>
      <c r="M106" s="130"/>
      <c r="N106" s="130"/>
      <c r="O106" s="130"/>
      <c r="P106" s="130"/>
    </row>
    <row r="107" spans="1:16" x14ac:dyDescent="0.2">
      <c r="A107" s="49" t="str">
        <v>0:00</v>
      </c>
      <c r="B107" s="108"/>
      <c r="C107" s="130"/>
      <c r="D107" s="130"/>
      <c r="E107" s="130"/>
      <c r="F107" s="130"/>
      <c r="G107" s="130"/>
      <c r="H107" s="130"/>
      <c r="I107" s="130"/>
      <c r="J107" s="130"/>
      <c r="K107" s="130"/>
      <c r="L107" s="130"/>
      <c r="M107" s="130"/>
      <c r="N107" s="130"/>
      <c r="O107" s="130"/>
      <c r="P107" s="130"/>
    </row>
    <row r="108" spans="1:16" x14ac:dyDescent="0.2">
      <c r="A108" s="49" t="str">
        <v>0:00</v>
      </c>
      <c r="B108" s="108"/>
      <c r="C108" s="130"/>
      <c r="D108" s="130"/>
      <c r="E108" s="130"/>
      <c r="F108" s="130"/>
      <c r="G108" s="130"/>
      <c r="H108" s="130"/>
      <c r="I108" s="130"/>
      <c r="J108" s="130"/>
      <c r="K108" s="130"/>
      <c r="L108" s="130"/>
      <c r="M108" s="130"/>
      <c r="N108" s="130"/>
      <c r="O108" s="130"/>
      <c r="P108" s="130"/>
    </row>
    <row r="109" spans="1:16" x14ac:dyDescent="0.2">
      <c r="A109" s="49" t="str">
        <v>0:00</v>
      </c>
      <c r="B109" s="108"/>
      <c r="C109" s="130"/>
      <c r="D109" s="130"/>
      <c r="E109" s="130"/>
      <c r="F109" s="130"/>
      <c r="G109" s="130"/>
      <c r="H109" s="130"/>
      <c r="I109" s="130"/>
      <c r="J109" s="130"/>
      <c r="K109" s="130"/>
      <c r="L109" s="130"/>
      <c r="M109" s="130"/>
      <c r="N109" s="130"/>
      <c r="O109" s="130"/>
      <c r="P109" s="130"/>
    </row>
    <row r="110" spans="1:16" x14ac:dyDescent="0.2">
      <c r="A110" s="49" t="str">
        <v>0:00</v>
      </c>
      <c r="B110" s="108"/>
      <c r="C110" s="130"/>
      <c r="D110" s="130"/>
      <c r="E110" s="130"/>
      <c r="F110" s="130"/>
      <c r="G110" s="130"/>
      <c r="H110" s="130"/>
      <c r="I110" s="130"/>
      <c r="J110" s="130"/>
      <c r="K110" s="130"/>
      <c r="L110" s="130"/>
      <c r="M110" s="130"/>
      <c r="N110" s="130"/>
      <c r="O110" s="130"/>
      <c r="P110" s="130"/>
    </row>
    <row r="111" spans="1:16" x14ac:dyDescent="0.2">
      <c r="A111" s="49" t="str">
        <v>0:00</v>
      </c>
      <c r="B111" s="108"/>
      <c r="C111" s="130"/>
      <c r="D111" s="130"/>
      <c r="E111" s="130"/>
      <c r="F111" s="130"/>
      <c r="G111" s="130"/>
      <c r="H111" s="130"/>
      <c r="I111" s="130"/>
      <c r="J111" s="130"/>
      <c r="K111" s="130"/>
      <c r="L111" s="130"/>
      <c r="M111" s="130"/>
      <c r="N111" s="130"/>
      <c r="O111" s="130"/>
      <c r="P111" s="130"/>
    </row>
    <row r="112" spans="1:16" x14ac:dyDescent="0.2">
      <c r="A112" s="49" t="str">
        <v>0:00</v>
      </c>
      <c r="B112" s="108"/>
      <c r="C112" s="130"/>
      <c r="D112" s="130"/>
      <c r="E112" s="130"/>
      <c r="F112" s="130"/>
      <c r="G112" s="130"/>
      <c r="H112" s="130"/>
      <c r="I112" s="130"/>
      <c r="J112" s="130"/>
      <c r="K112" s="130"/>
      <c r="L112" s="130"/>
      <c r="M112" s="130"/>
      <c r="N112" s="130"/>
      <c r="O112" s="130"/>
      <c r="P112" s="130"/>
    </row>
    <row r="113" spans="1:16" x14ac:dyDescent="0.2">
      <c r="A113" s="49" t="str">
        <v>0:00</v>
      </c>
      <c r="B113" s="108"/>
      <c r="C113" s="130"/>
      <c r="D113" s="130"/>
      <c r="E113" s="130"/>
      <c r="F113" s="130"/>
      <c r="G113" s="130"/>
      <c r="H113" s="130"/>
      <c r="I113" s="130"/>
      <c r="J113" s="130"/>
      <c r="K113" s="130"/>
      <c r="L113" s="130"/>
      <c r="M113" s="130"/>
      <c r="N113" s="130"/>
      <c r="O113" s="130"/>
      <c r="P113" s="130"/>
    </row>
    <row r="114" spans="1:16" x14ac:dyDescent="0.2">
      <c r="A114" s="49" t="str">
        <v>0:00</v>
      </c>
      <c r="B114" s="108"/>
      <c r="C114" s="130"/>
      <c r="D114" s="130"/>
      <c r="E114" s="130"/>
      <c r="F114" s="130"/>
      <c r="G114" s="130"/>
      <c r="H114" s="130"/>
      <c r="I114" s="130"/>
      <c r="J114" s="130"/>
      <c r="K114" s="130"/>
      <c r="L114" s="130"/>
      <c r="M114" s="130"/>
      <c r="N114" s="130"/>
      <c r="O114" s="130"/>
      <c r="P114" s="130"/>
    </row>
    <row r="115" spans="1:16" x14ac:dyDescent="0.2">
      <c r="A115" s="49" t="str">
        <v>0:00</v>
      </c>
      <c r="B115" s="108"/>
      <c r="C115" s="130"/>
      <c r="D115" s="130"/>
      <c r="E115" s="130"/>
      <c r="F115" s="130"/>
      <c r="G115" s="130"/>
      <c r="H115" s="130"/>
      <c r="I115" s="130"/>
      <c r="J115" s="130"/>
      <c r="K115" s="130"/>
      <c r="L115" s="130"/>
      <c r="M115" s="130"/>
      <c r="N115" s="130"/>
      <c r="O115" s="130"/>
      <c r="P115" s="130"/>
    </row>
    <row r="116" spans="1:16" x14ac:dyDescent="0.2">
      <c r="A116" s="49" t="str">
        <v>0:00</v>
      </c>
      <c r="B116" s="108"/>
      <c r="C116" s="130"/>
      <c r="D116" s="130"/>
      <c r="E116" s="130"/>
      <c r="F116" s="130"/>
      <c r="G116" s="130"/>
      <c r="H116" s="130"/>
      <c r="I116" s="130"/>
      <c r="J116" s="130"/>
      <c r="K116" s="130"/>
      <c r="L116" s="130"/>
      <c r="M116" s="130"/>
      <c r="N116" s="130"/>
      <c r="O116" s="130"/>
      <c r="P116" s="130"/>
    </row>
    <row r="117" spans="1:16" x14ac:dyDescent="0.2">
      <c r="A117" s="49" t="str">
        <v>0:00</v>
      </c>
      <c r="B117" s="108"/>
      <c r="C117" s="130"/>
      <c r="D117" s="130"/>
      <c r="E117" s="130"/>
      <c r="F117" s="130"/>
      <c r="G117" s="130"/>
      <c r="H117" s="130"/>
      <c r="I117" s="130"/>
      <c r="J117" s="130"/>
      <c r="K117" s="130"/>
      <c r="L117" s="130"/>
      <c r="M117" s="130"/>
      <c r="N117" s="130"/>
      <c r="O117" s="130"/>
      <c r="P117" s="130"/>
    </row>
    <row r="118" spans="1:16" x14ac:dyDescent="0.2">
      <c r="A118" s="49" t="str">
        <v>0:00</v>
      </c>
      <c r="B118" s="108"/>
      <c r="C118" s="130"/>
      <c r="D118" s="130"/>
      <c r="E118" s="130"/>
      <c r="F118" s="130"/>
      <c r="G118" s="130"/>
      <c r="H118" s="130"/>
      <c r="I118" s="130"/>
      <c r="J118" s="130"/>
      <c r="K118" s="130"/>
      <c r="L118" s="130"/>
      <c r="M118" s="130"/>
      <c r="N118" s="130"/>
      <c r="O118" s="130"/>
      <c r="P118" s="130"/>
    </row>
    <row r="119" spans="1:16" x14ac:dyDescent="0.2">
      <c r="A119" s="49" t="str">
        <v>0:00</v>
      </c>
      <c r="B119" s="108"/>
      <c r="C119" s="130"/>
      <c r="D119" s="130"/>
      <c r="E119" s="130"/>
      <c r="F119" s="130"/>
      <c r="G119" s="130"/>
      <c r="H119" s="130"/>
      <c r="I119" s="130"/>
      <c r="J119" s="130"/>
      <c r="K119" s="130"/>
      <c r="L119" s="130"/>
      <c r="M119" s="130"/>
      <c r="N119" s="130"/>
      <c r="O119" s="130"/>
      <c r="P119" s="130"/>
    </row>
    <row r="120" spans="1:16" x14ac:dyDescent="0.2">
      <c r="A120" s="49" t="str">
        <v>0:00</v>
      </c>
      <c r="B120" s="108"/>
      <c r="C120" s="130"/>
      <c r="D120" s="130"/>
      <c r="E120" s="130"/>
      <c r="F120" s="130"/>
      <c r="G120" s="130"/>
      <c r="H120" s="130"/>
      <c r="I120" s="130"/>
      <c r="J120" s="130"/>
      <c r="K120" s="130"/>
      <c r="L120" s="130"/>
      <c r="M120" s="130"/>
      <c r="N120" s="130"/>
      <c r="O120" s="130"/>
      <c r="P120" s="130"/>
    </row>
    <row r="121" spans="1:16" x14ac:dyDescent="0.2">
      <c r="A121" s="49" t="str">
        <v>0:00</v>
      </c>
      <c r="B121" s="108"/>
      <c r="C121" s="130"/>
      <c r="D121" s="130"/>
      <c r="E121" s="130"/>
      <c r="F121" s="130"/>
      <c r="G121" s="130"/>
      <c r="H121" s="130"/>
      <c r="I121" s="130"/>
      <c r="J121" s="130"/>
      <c r="K121" s="130"/>
      <c r="L121" s="130"/>
      <c r="M121" s="130"/>
      <c r="N121" s="130"/>
      <c r="O121" s="130"/>
      <c r="P121" s="130"/>
    </row>
    <row r="122" spans="1:16" x14ac:dyDescent="0.2">
      <c r="A122" s="49" t="str">
        <v>0:00</v>
      </c>
      <c r="B122" s="108"/>
      <c r="C122" s="130"/>
      <c r="D122" s="130"/>
      <c r="E122" s="130"/>
      <c r="F122" s="130"/>
      <c r="G122" s="130"/>
      <c r="H122" s="130"/>
      <c r="I122" s="130"/>
      <c r="J122" s="130"/>
      <c r="K122" s="130"/>
      <c r="L122" s="130"/>
      <c r="M122" s="130"/>
      <c r="N122" s="130"/>
      <c r="O122" s="130"/>
      <c r="P122" s="130"/>
    </row>
    <row r="123" spans="1:16" x14ac:dyDescent="0.2">
      <c r="A123" s="49" t="str">
        <v>0:00</v>
      </c>
      <c r="B123" s="108"/>
      <c r="C123" s="130"/>
      <c r="D123" s="130"/>
      <c r="E123" s="130"/>
      <c r="F123" s="130"/>
      <c r="G123" s="130"/>
      <c r="H123" s="130"/>
      <c r="I123" s="130"/>
      <c r="J123" s="130"/>
      <c r="K123" s="130"/>
      <c r="L123" s="130"/>
      <c r="M123" s="130"/>
      <c r="N123" s="130"/>
      <c r="O123" s="130"/>
      <c r="P123" s="130"/>
    </row>
    <row r="124" spans="1:16" x14ac:dyDescent="0.2">
      <c r="A124" s="49" t="str">
        <v>0:00</v>
      </c>
      <c r="B124" s="108"/>
      <c r="C124" s="130"/>
      <c r="D124" s="130"/>
      <c r="E124" s="130"/>
      <c r="F124" s="130"/>
      <c r="G124" s="130"/>
      <c r="H124" s="130"/>
      <c r="I124" s="130"/>
      <c r="J124" s="130"/>
      <c r="K124" s="130"/>
      <c r="L124" s="130"/>
      <c r="M124" s="130"/>
      <c r="N124" s="130"/>
      <c r="O124" s="130"/>
      <c r="P124" s="130"/>
    </row>
    <row r="125" spans="1:16" x14ac:dyDescent="0.2">
      <c r="A125" s="49" t="str">
        <v>0:00</v>
      </c>
      <c r="B125" s="108"/>
      <c r="C125" s="130"/>
      <c r="D125" s="130"/>
      <c r="E125" s="130"/>
      <c r="F125" s="130"/>
      <c r="G125" s="130"/>
      <c r="H125" s="130"/>
      <c r="I125" s="130"/>
      <c r="J125" s="130"/>
      <c r="K125" s="130"/>
      <c r="L125" s="130"/>
      <c r="M125" s="130"/>
      <c r="N125" s="130"/>
      <c r="O125" s="130"/>
      <c r="P125" s="130"/>
    </row>
    <row r="126" spans="1:16" x14ac:dyDescent="0.2">
      <c r="A126" s="49" t="str">
        <v>0:00</v>
      </c>
      <c r="B126" s="108"/>
      <c r="C126" s="130"/>
      <c r="D126" s="130"/>
      <c r="E126" s="130"/>
      <c r="F126" s="130"/>
      <c r="G126" s="130"/>
      <c r="H126" s="130"/>
      <c r="I126" s="130"/>
      <c r="J126" s="130"/>
      <c r="K126" s="130"/>
      <c r="L126" s="130"/>
      <c r="M126" s="130"/>
      <c r="N126" s="130"/>
      <c r="O126" s="130"/>
      <c r="P126" s="130"/>
    </row>
    <row r="127" spans="1:16" x14ac:dyDescent="0.2">
      <c r="A127" s="49" t="str">
        <v>0:00</v>
      </c>
      <c r="B127" s="108"/>
      <c r="C127" s="130"/>
      <c r="D127" s="130"/>
      <c r="E127" s="130"/>
      <c r="F127" s="130"/>
      <c r="G127" s="130"/>
      <c r="H127" s="130"/>
      <c r="I127" s="130"/>
      <c r="J127" s="130"/>
      <c r="K127" s="130"/>
      <c r="L127" s="130"/>
      <c r="M127" s="130"/>
      <c r="N127" s="130"/>
      <c r="O127" s="130"/>
      <c r="P127" s="130"/>
    </row>
    <row r="128" spans="1:16" x14ac:dyDescent="0.2">
      <c r="A128" s="49" t="str">
        <v>0:00</v>
      </c>
      <c r="B128" s="108"/>
      <c r="C128" s="130"/>
      <c r="D128" s="130"/>
      <c r="E128" s="130"/>
      <c r="F128" s="130"/>
      <c r="G128" s="130"/>
      <c r="H128" s="130"/>
      <c r="I128" s="130"/>
      <c r="J128" s="130"/>
      <c r="K128" s="130"/>
      <c r="L128" s="130"/>
      <c r="M128" s="130"/>
      <c r="N128" s="130"/>
      <c r="O128" s="130"/>
      <c r="P128" s="130"/>
    </row>
    <row r="129" spans="1:16" x14ac:dyDescent="0.2">
      <c r="A129" s="49" t="str">
        <v>0:00</v>
      </c>
      <c r="B129" s="108"/>
      <c r="C129" s="130"/>
      <c r="D129" s="130"/>
      <c r="E129" s="130"/>
      <c r="F129" s="130"/>
      <c r="G129" s="130"/>
      <c r="H129" s="130"/>
      <c r="I129" s="130"/>
      <c r="J129" s="130"/>
      <c r="K129" s="130"/>
      <c r="L129" s="130"/>
      <c r="M129" s="130"/>
      <c r="N129" s="130"/>
      <c r="O129" s="130"/>
      <c r="P129" s="130"/>
    </row>
    <row r="130" spans="1:16" x14ac:dyDescent="0.2">
      <c r="A130" s="49" t="str">
        <v>0:00</v>
      </c>
      <c r="B130" s="108"/>
      <c r="C130" s="130"/>
      <c r="D130" s="130"/>
      <c r="E130" s="130"/>
      <c r="F130" s="130"/>
      <c r="G130" s="130"/>
      <c r="H130" s="130"/>
      <c r="I130" s="130"/>
      <c r="J130" s="130"/>
      <c r="K130" s="130"/>
      <c r="L130" s="130"/>
      <c r="M130" s="130"/>
      <c r="N130" s="130"/>
      <c r="O130" s="130"/>
      <c r="P130" s="130"/>
    </row>
    <row r="131" spans="1:16" x14ac:dyDescent="0.2">
      <c r="A131" s="49" t="str">
        <v>0:00</v>
      </c>
      <c r="B131" s="108"/>
      <c r="C131" s="130"/>
      <c r="D131" s="130"/>
      <c r="E131" s="130"/>
      <c r="F131" s="130"/>
      <c r="G131" s="130"/>
      <c r="H131" s="130"/>
      <c r="I131" s="130"/>
      <c r="J131" s="130"/>
      <c r="K131" s="130"/>
      <c r="L131" s="130"/>
      <c r="M131" s="130"/>
      <c r="N131" s="130"/>
      <c r="O131" s="130"/>
      <c r="P131" s="130"/>
    </row>
    <row r="132" spans="1:16" x14ac:dyDescent="0.2">
      <c r="A132" s="49" t="str">
        <v>0:00</v>
      </c>
      <c r="B132" s="108"/>
      <c r="C132" s="130"/>
      <c r="D132" s="130"/>
      <c r="E132" s="130"/>
      <c r="F132" s="130"/>
      <c r="G132" s="130"/>
      <c r="H132" s="130"/>
      <c r="I132" s="130"/>
      <c r="J132" s="130"/>
      <c r="K132" s="130"/>
      <c r="L132" s="130"/>
      <c r="M132" s="130"/>
      <c r="N132" s="130"/>
      <c r="O132" s="130"/>
      <c r="P132" s="130"/>
    </row>
    <row r="133" spans="1:16" x14ac:dyDescent="0.2">
      <c r="A133" s="49" t="str">
        <v>0:00</v>
      </c>
      <c r="B133" s="108"/>
      <c r="C133" s="130"/>
      <c r="D133" s="130"/>
      <c r="E133" s="130"/>
      <c r="F133" s="130"/>
      <c r="G133" s="130"/>
      <c r="H133" s="130"/>
      <c r="I133" s="130"/>
      <c r="J133" s="130"/>
      <c r="K133" s="130"/>
      <c r="L133" s="130"/>
      <c r="M133" s="130"/>
      <c r="N133" s="130"/>
      <c r="O133" s="130"/>
      <c r="P133" s="130"/>
    </row>
    <row r="134" spans="1:16" x14ac:dyDescent="0.2">
      <c r="A134" s="49" t="str">
        <v>0:00</v>
      </c>
      <c r="B134" s="108"/>
      <c r="C134" s="130"/>
      <c r="D134" s="130"/>
      <c r="E134" s="130"/>
      <c r="F134" s="130"/>
      <c r="G134" s="130"/>
      <c r="H134" s="130"/>
      <c r="I134" s="130"/>
      <c r="J134" s="130"/>
      <c r="K134" s="130"/>
      <c r="L134" s="130"/>
      <c r="M134" s="130"/>
      <c r="N134" s="130"/>
      <c r="O134" s="130"/>
      <c r="P134" s="130"/>
    </row>
    <row r="135" spans="1:16" x14ac:dyDescent="0.2">
      <c r="A135" s="49" t="str">
        <v>0:00</v>
      </c>
      <c r="B135" s="108"/>
      <c r="C135" s="130"/>
      <c r="D135" s="130"/>
      <c r="E135" s="130"/>
      <c r="F135" s="130"/>
      <c r="G135" s="130"/>
      <c r="H135" s="130"/>
      <c r="I135" s="130"/>
      <c r="J135" s="130"/>
      <c r="K135" s="130"/>
      <c r="L135" s="130"/>
      <c r="M135" s="130"/>
      <c r="N135" s="130"/>
      <c r="O135" s="130"/>
      <c r="P135" s="130"/>
    </row>
    <row r="136" spans="1:16" x14ac:dyDescent="0.2">
      <c r="A136" s="49" t="str">
        <v>0:00</v>
      </c>
      <c r="B136" s="108"/>
      <c r="C136" s="130"/>
      <c r="D136" s="130"/>
      <c r="E136" s="130"/>
      <c r="F136" s="130"/>
      <c r="G136" s="130"/>
      <c r="H136" s="130"/>
      <c r="I136" s="130"/>
      <c r="J136" s="130"/>
      <c r="K136" s="130"/>
      <c r="L136" s="130"/>
      <c r="M136" s="130"/>
      <c r="N136" s="130"/>
      <c r="O136" s="130"/>
      <c r="P136" s="130"/>
    </row>
    <row r="137" spans="1:16" x14ac:dyDescent="0.2">
      <c r="A137" s="49" t="str">
        <v>0:00</v>
      </c>
      <c r="B137" s="108"/>
      <c r="C137" s="130"/>
      <c r="D137" s="130"/>
      <c r="E137" s="130"/>
      <c r="F137" s="130"/>
      <c r="G137" s="130"/>
      <c r="H137" s="130"/>
      <c r="I137" s="130"/>
      <c r="J137" s="130"/>
      <c r="K137" s="130"/>
      <c r="L137" s="130"/>
      <c r="M137" s="130"/>
      <c r="N137" s="130"/>
      <c r="O137" s="130"/>
      <c r="P137" s="130"/>
    </row>
    <row r="138" spans="1:16" x14ac:dyDescent="0.2">
      <c r="A138" s="49" t="str">
        <v>0:00</v>
      </c>
      <c r="B138" s="108"/>
      <c r="C138" s="130"/>
      <c r="D138" s="130"/>
      <c r="E138" s="130"/>
      <c r="F138" s="130"/>
      <c r="G138" s="130"/>
      <c r="H138" s="130"/>
      <c r="I138" s="130"/>
      <c r="J138" s="130"/>
      <c r="K138" s="130"/>
      <c r="L138" s="130"/>
      <c r="M138" s="130"/>
      <c r="N138" s="130"/>
      <c r="O138" s="130"/>
      <c r="P138" s="130"/>
    </row>
    <row r="139" spans="1:16" x14ac:dyDescent="0.2">
      <c r="A139" s="49" t="str">
        <v>0:00</v>
      </c>
      <c r="B139" s="108"/>
      <c r="C139" s="130"/>
      <c r="D139" s="130"/>
      <c r="E139" s="130"/>
      <c r="F139" s="130"/>
      <c r="G139" s="130"/>
      <c r="H139" s="130"/>
      <c r="I139" s="130"/>
      <c r="J139" s="130"/>
      <c r="K139" s="130"/>
      <c r="L139" s="130"/>
      <c r="M139" s="130"/>
      <c r="N139" s="130"/>
      <c r="O139" s="130"/>
      <c r="P139" s="130"/>
    </row>
    <row r="140" spans="1:16" x14ac:dyDescent="0.2">
      <c r="A140" s="49" t="str">
        <v>0:00</v>
      </c>
      <c r="B140" s="108"/>
      <c r="C140" s="130"/>
      <c r="D140" s="130"/>
      <c r="E140" s="130"/>
      <c r="F140" s="130"/>
      <c r="G140" s="130"/>
      <c r="H140" s="130"/>
      <c r="I140" s="130"/>
      <c r="J140" s="130"/>
      <c r="K140" s="130"/>
      <c r="L140" s="130"/>
      <c r="M140" s="130"/>
      <c r="N140" s="130"/>
      <c r="O140" s="130"/>
      <c r="P140" s="130"/>
    </row>
    <row r="141" spans="1:16" x14ac:dyDescent="0.2">
      <c r="A141" s="49" t="str">
        <v>0:00</v>
      </c>
      <c r="B141" s="108"/>
      <c r="C141" s="130"/>
      <c r="D141" s="130"/>
      <c r="E141" s="130"/>
      <c r="F141" s="130"/>
      <c r="G141" s="130"/>
      <c r="H141" s="130"/>
      <c r="I141" s="130"/>
      <c r="J141" s="130"/>
      <c r="K141" s="130"/>
      <c r="L141" s="130"/>
      <c r="M141" s="130"/>
      <c r="N141" s="130"/>
      <c r="O141" s="130"/>
      <c r="P141" s="130"/>
    </row>
    <row r="142" spans="1:16" x14ac:dyDescent="0.2">
      <c r="A142" s="49" t="str">
        <v>0:00</v>
      </c>
      <c r="B142" s="108"/>
      <c r="C142" s="130"/>
      <c r="D142" s="130"/>
      <c r="E142" s="130"/>
      <c r="F142" s="130"/>
      <c r="G142" s="130"/>
      <c r="H142" s="130"/>
      <c r="I142" s="130"/>
      <c r="J142" s="130"/>
      <c r="K142" s="130"/>
      <c r="L142" s="130"/>
      <c r="M142" s="130"/>
      <c r="N142" s="130"/>
      <c r="O142" s="130"/>
      <c r="P142" s="130"/>
    </row>
    <row r="143" spans="1:16" x14ac:dyDescent="0.2">
      <c r="A143" s="49" t="str">
        <v>0:00</v>
      </c>
      <c r="B143" s="108"/>
      <c r="C143" s="130"/>
      <c r="D143" s="130"/>
      <c r="E143" s="130"/>
      <c r="F143" s="130"/>
      <c r="G143" s="130"/>
      <c r="H143" s="130"/>
      <c r="I143" s="130"/>
      <c r="J143" s="130"/>
      <c r="K143" s="130"/>
      <c r="L143" s="130"/>
      <c r="M143" s="130"/>
      <c r="N143" s="130"/>
      <c r="O143" s="130"/>
      <c r="P143" s="130"/>
    </row>
    <row r="144" spans="1:16" x14ac:dyDescent="0.2">
      <c r="A144" s="49" t="str">
        <v>0:00</v>
      </c>
      <c r="B144" s="108"/>
      <c r="C144" s="130"/>
      <c r="D144" s="130"/>
      <c r="E144" s="130"/>
      <c r="F144" s="130"/>
      <c r="G144" s="130"/>
      <c r="H144" s="130"/>
      <c r="I144" s="130"/>
      <c r="J144" s="130"/>
      <c r="K144" s="130"/>
      <c r="L144" s="130"/>
      <c r="M144" s="130"/>
      <c r="N144" s="130"/>
      <c r="O144" s="130"/>
      <c r="P144" s="130"/>
    </row>
    <row r="145" spans="1:16" x14ac:dyDescent="0.2">
      <c r="A145" s="49" t="str">
        <v>0:00</v>
      </c>
      <c r="B145" s="108"/>
      <c r="C145" s="130"/>
      <c r="D145" s="130"/>
      <c r="E145" s="130"/>
      <c r="F145" s="130"/>
      <c r="G145" s="130"/>
      <c r="H145" s="130"/>
      <c r="I145" s="130"/>
      <c r="J145" s="130"/>
      <c r="K145" s="130"/>
      <c r="L145" s="130"/>
      <c r="M145" s="130"/>
      <c r="N145" s="130"/>
      <c r="O145" s="130"/>
      <c r="P145" s="130"/>
    </row>
    <row r="146" spans="1:16" x14ac:dyDescent="0.2">
      <c r="A146" s="49" t="str">
        <v>0:00</v>
      </c>
      <c r="B146" s="108"/>
      <c r="C146" s="130"/>
      <c r="D146" s="130"/>
      <c r="E146" s="130"/>
      <c r="F146" s="130"/>
      <c r="G146" s="130"/>
      <c r="H146" s="130"/>
      <c r="I146" s="130"/>
      <c r="J146" s="130"/>
      <c r="K146" s="130"/>
      <c r="L146" s="130"/>
      <c r="M146" s="130"/>
      <c r="N146" s="130"/>
      <c r="O146" s="130"/>
      <c r="P146" s="130"/>
    </row>
    <row r="147" spans="1:16" x14ac:dyDescent="0.2">
      <c r="A147" s="49" t="str">
        <v>0:00</v>
      </c>
      <c r="B147" s="108"/>
      <c r="C147" s="130"/>
      <c r="D147" s="130"/>
      <c r="E147" s="130"/>
      <c r="F147" s="130"/>
      <c r="G147" s="130"/>
      <c r="H147" s="130"/>
      <c r="I147" s="130"/>
      <c r="J147" s="130"/>
      <c r="K147" s="130"/>
      <c r="L147" s="130"/>
      <c r="M147" s="130"/>
      <c r="N147" s="130"/>
      <c r="O147" s="130"/>
      <c r="P147" s="130"/>
    </row>
    <row r="148" spans="1:16" x14ac:dyDescent="0.2">
      <c r="A148" s="49" t="str">
        <v>0:00</v>
      </c>
      <c r="B148" s="108"/>
      <c r="C148" s="130"/>
      <c r="D148" s="130"/>
      <c r="E148" s="130"/>
      <c r="F148" s="130"/>
      <c r="G148" s="130"/>
      <c r="H148" s="130"/>
      <c r="I148" s="130"/>
      <c r="J148" s="130"/>
      <c r="K148" s="130"/>
      <c r="L148" s="130"/>
      <c r="M148" s="130"/>
      <c r="N148" s="130"/>
      <c r="O148" s="130"/>
      <c r="P148" s="130"/>
    </row>
    <row r="149" spans="1:16" x14ac:dyDescent="0.2">
      <c r="A149" s="49" t="str">
        <v>0:00</v>
      </c>
      <c r="B149" s="108"/>
      <c r="C149" s="130"/>
      <c r="D149" s="130"/>
      <c r="E149" s="130"/>
      <c r="F149" s="130"/>
      <c r="G149" s="130"/>
      <c r="H149" s="130"/>
      <c r="I149" s="130"/>
      <c r="J149" s="130"/>
      <c r="K149" s="130"/>
      <c r="L149" s="130"/>
      <c r="M149" s="130"/>
      <c r="N149" s="130"/>
      <c r="O149" s="130"/>
      <c r="P149" s="130"/>
    </row>
    <row r="150" spans="1:16" x14ac:dyDescent="0.2">
      <c r="A150" s="49" t="str">
        <v>0:00</v>
      </c>
      <c r="B150" s="108"/>
      <c r="C150" s="130"/>
      <c r="D150" s="130"/>
      <c r="E150" s="130"/>
      <c r="F150" s="130"/>
      <c r="G150" s="130"/>
      <c r="H150" s="130"/>
      <c r="I150" s="130"/>
      <c r="J150" s="130"/>
      <c r="K150" s="130"/>
      <c r="L150" s="130"/>
      <c r="M150" s="130"/>
      <c r="N150" s="130"/>
      <c r="O150" s="130"/>
      <c r="P150" s="130"/>
    </row>
    <row r="151" spans="1:16" x14ac:dyDescent="0.2">
      <c r="A151" s="49" t="str">
        <v>0:00</v>
      </c>
      <c r="B151" s="108"/>
      <c r="C151" s="130"/>
      <c r="D151" s="130"/>
      <c r="E151" s="130"/>
      <c r="F151" s="130"/>
      <c r="G151" s="130"/>
      <c r="H151" s="130"/>
      <c r="I151" s="130"/>
      <c r="J151" s="130"/>
      <c r="K151" s="130"/>
      <c r="L151" s="130"/>
      <c r="M151" s="130"/>
      <c r="N151" s="130"/>
      <c r="O151" s="130"/>
      <c r="P151" s="130"/>
    </row>
    <row r="152" spans="1:16" x14ac:dyDescent="0.2">
      <c r="A152" s="49" t="str">
        <v>0:00</v>
      </c>
      <c r="B152" s="108"/>
      <c r="C152" s="130"/>
      <c r="D152" s="130"/>
      <c r="E152" s="130"/>
      <c r="F152" s="130"/>
      <c r="G152" s="130"/>
      <c r="H152" s="130"/>
      <c r="I152" s="130"/>
      <c r="J152" s="130"/>
      <c r="K152" s="130"/>
      <c r="L152" s="130"/>
      <c r="M152" s="130"/>
      <c r="N152" s="130"/>
      <c r="O152" s="130"/>
      <c r="P152" s="130"/>
    </row>
    <row r="153" spans="1:16" x14ac:dyDescent="0.2">
      <c r="A153" s="49" t="str">
        <v>0:00</v>
      </c>
      <c r="B153" s="108"/>
      <c r="C153" s="130"/>
      <c r="D153" s="130"/>
      <c r="E153" s="130"/>
      <c r="F153" s="130"/>
      <c r="G153" s="130"/>
      <c r="H153" s="130"/>
      <c r="I153" s="130"/>
      <c r="J153" s="130"/>
      <c r="K153" s="130"/>
      <c r="L153" s="130"/>
      <c r="M153" s="130"/>
      <c r="N153" s="130"/>
      <c r="O153" s="130"/>
      <c r="P153" s="130"/>
    </row>
    <row r="154" spans="1:16" x14ac:dyDescent="0.2">
      <c r="A154" s="49" t="str">
        <v>0:00</v>
      </c>
      <c r="B154" s="108"/>
      <c r="C154" s="130"/>
      <c r="D154" s="130"/>
      <c r="E154" s="130"/>
      <c r="F154" s="130"/>
      <c r="G154" s="130"/>
      <c r="H154" s="130"/>
      <c r="I154" s="130"/>
      <c r="J154" s="130"/>
      <c r="K154" s="130"/>
      <c r="L154" s="130"/>
      <c r="M154" s="130"/>
      <c r="N154" s="130"/>
      <c r="O154" s="130"/>
      <c r="P154" s="130"/>
    </row>
    <row r="155" spans="1:16" x14ac:dyDescent="0.2">
      <c r="A155" s="49" t="str">
        <v>0:00</v>
      </c>
      <c r="B155" s="108"/>
      <c r="C155" s="130"/>
      <c r="D155" s="130"/>
      <c r="E155" s="130"/>
      <c r="F155" s="130"/>
      <c r="G155" s="130"/>
      <c r="H155" s="130"/>
      <c r="I155" s="130"/>
      <c r="J155" s="130"/>
      <c r="K155" s="130"/>
      <c r="L155" s="130"/>
      <c r="M155" s="130"/>
      <c r="N155" s="130"/>
      <c r="O155" s="130"/>
      <c r="P155" s="130"/>
    </row>
    <row r="156" spans="1:16" x14ac:dyDescent="0.2">
      <c r="A156" s="49" t="str">
        <v>0:00</v>
      </c>
      <c r="B156" s="108"/>
      <c r="C156" s="130"/>
      <c r="D156" s="130"/>
      <c r="E156" s="130"/>
      <c r="F156" s="130"/>
      <c r="G156" s="130"/>
      <c r="H156" s="130"/>
      <c r="I156" s="130"/>
      <c r="J156" s="130"/>
      <c r="K156" s="130"/>
      <c r="L156" s="130"/>
      <c r="M156" s="130"/>
      <c r="N156" s="130"/>
      <c r="O156" s="130"/>
      <c r="P156" s="130"/>
    </row>
    <row r="157" spans="1:16" x14ac:dyDescent="0.2">
      <c r="A157" s="49" t="str">
        <v>0:00</v>
      </c>
      <c r="B157" s="108"/>
      <c r="C157" s="130"/>
      <c r="D157" s="130"/>
      <c r="E157" s="130"/>
      <c r="F157" s="130"/>
      <c r="G157" s="130"/>
      <c r="H157" s="130"/>
      <c r="I157" s="130"/>
      <c r="J157" s="130"/>
      <c r="K157" s="130"/>
      <c r="L157" s="130"/>
      <c r="M157" s="130"/>
      <c r="N157" s="130"/>
      <c r="O157" s="130"/>
      <c r="P157" s="130"/>
    </row>
    <row r="158" spans="1:16" x14ac:dyDescent="0.2">
      <c r="A158" s="49" t="str">
        <v>0:00</v>
      </c>
      <c r="B158" s="108"/>
      <c r="C158" s="130"/>
      <c r="D158" s="130"/>
      <c r="E158" s="130"/>
      <c r="F158" s="130"/>
      <c r="G158" s="130"/>
      <c r="H158" s="130"/>
      <c r="I158" s="130"/>
      <c r="J158" s="130"/>
      <c r="K158" s="130"/>
      <c r="L158" s="130"/>
      <c r="M158" s="130"/>
      <c r="N158" s="130"/>
      <c r="O158" s="130"/>
      <c r="P158" s="130"/>
    </row>
    <row r="159" spans="1:16" x14ac:dyDescent="0.2">
      <c r="A159" s="49" t="str">
        <v>0:00</v>
      </c>
      <c r="B159" s="108"/>
      <c r="C159" s="130"/>
      <c r="D159" s="130"/>
      <c r="E159" s="130"/>
      <c r="F159" s="130"/>
      <c r="G159" s="130"/>
      <c r="H159" s="130"/>
      <c r="I159" s="130"/>
      <c r="J159" s="130"/>
      <c r="K159" s="130"/>
      <c r="L159" s="130"/>
      <c r="M159" s="130"/>
      <c r="N159" s="130"/>
      <c r="O159" s="130"/>
      <c r="P159" s="130"/>
    </row>
    <row r="160" spans="1:16" x14ac:dyDescent="0.2">
      <c r="A160" s="49" t="str">
        <v>0:00</v>
      </c>
      <c r="B160" s="108"/>
      <c r="C160" s="130"/>
      <c r="D160" s="130"/>
      <c r="E160" s="130"/>
      <c r="F160" s="130"/>
      <c r="G160" s="130"/>
      <c r="H160" s="130"/>
      <c r="I160" s="130"/>
      <c r="J160" s="130"/>
      <c r="K160" s="130"/>
      <c r="L160" s="130"/>
      <c r="M160" s="130"/>
      <c r="N160" s="130"/>
      <c r="O160" s="130"/>
      <c r="P160" s="130"/>
    </row>
    <row r="161" spans="1:16" x14ac:dyDescent="0.2">
      <c r="A161" s="49" t="str">
        <v>0:00</v>
      </c>
      <c r="B161" s="108"/>
      <c r="C161" s="130"/>
      <c r="D161" s="130"/>
      <c r="E161" s="130"/>
      <c r="F161" s="130"/>
      <c r="G161" s="130"/>
      <c r="H161" s="130"/>
      <c r="I161" s="130"/>
      <c r="J161" s="130"/>
      <c r="K161" s="130"/>
      <c r="L161" s="130"/>
      <c r="M161" s="130"/>
      <c r="N161" s="130"/>
      <c r="O161" s="130"/>
      <c r="P161" s="130"/>
    </row>
    <row r="162" spans="1:16" x14ac:dyDescent="0.2">
      <c r="A162" s="49" t="str">
        <v>0:00</v>
      </c>
      <c r="B162" s="108"/>
      <c r="C162" s="130"/>
      <c r="D162" s="130"/>
      <c r="E162" s="130"/>
      <c r="F162" s="130"/>
      <c r="G162" s="130"/>
      <c r="H162" s="130"/>
      <c r="I162" s="130"/>
      <c r="J162" s="130"/>
      <c r="K162" s="130"/>
      <c r="L162" s="130"/>
      <c r="M162" s="130"/>
      <c r="N162" s="130"/>
      <c r="O162" s="130"/>
      <c r="P162" s="130"/>
    </row>
    <row r="163" spans="1:16" x14ac:dyDescent="0.2">
      <c r="A163" s="49" t="str">
        <v>0:00</v>
      </c>
      <c r="B163" s="108"/>
      <c r="C163" s="130"/>
      <c r="D163" s="130"/>
      <c r="E163" s="130"/>
      <c r="F163" s="130"/>
      <c r="G163" s="130"/>
      <c r="H163" s="130"/>
      <c r="I163" s="130"/>
      <c r="J163" s="130"/>
      <c r="K163" s="130"/>
      <c r="L163" s="130"/>
      <c r="M163" s="130"/>
      <c r="N163" s="130"/>
      <c r="O163" s="130"/>
      <c r="P163" s="130"/>
    </row>
    <row r="164" spans="1:16" x14ac:dyDescent="0.2">
      <c r="A164" s="49" t="str">
        <v>0:00</v>
      </c>
      <c r="B164" s="108"/>
      <c r="C164" s="130"/>
      <c r="D164" s="130"/>
      <c r="E164" s="130"/>
      <c r="F164" s="130"/>
      <c r="G164" s="130"/>
      <c r="H164" s="130"/>
      <c r="I164" s="130"/>
      <c r="J164" s="130"/>
      <c r="K164" s="130"/>
      <c r="L164" s="130"/>
      <c r="M164" s="130"/>
      <c r="N164" s="130"/>
      <c r="O164" s="130"/>
      <c r="P164" s="130"/>
    </row>
    <row r="165" spans="1:16" x14ac:dyDescent="0.2">
      <c r="A165" s="49" t="str">
        <v>0:00</v>
      </c>
      <c r="B165" s="108"/>
      <c r="C165" s="130"/>
      <c r="D165" s="130"/>
      <c r="E165" s="130"/>
      <c r="F165" s="130"/>
      <c r="G165" s="130"/>
      <c r="H165" s="130"/>
      <c r="I165" s="130"/>
      <c r="J165" s="130"/>
      <c r="K165" s="130"/>
      <c r="L165" s="130"/>
      <c r="M165" s="130"/>
      <c r="N165" s="130"/>
      <c r="O165" s="130"/>
      <c r="P165" s="130"/>
    </row>
    <row r="166" spans="1:16" x14ac:dyDescent="0.2">
      <c r="A166" s="49" t="str">
        <v>0:00</v>
      </c>
      <c r="B166" s="108"/>
      <c r="C166" s="130"/>
      <c r="D166" s="130"/>
      <c r="E166" s="130"/>
      <c r="F166" s="130"/>
      <c r="G166" s="130"/>
      <c r="H166" s="130"/>
      <c r="I166" s="130"/>
      <c r="J166" s="130"/>
      <c r="K166" s="130"/>
      <c r="L166" s="130"/>
      <c r="M166" s="130"/>
      <c r="N166" s="130"/>
      <c r="O166" s="130"/>
      <c r="P166" s="130"/>
    </row>
    <row r="167" spans="1:16" x14ac:dyDescent="0.2">
      <c r="A167" s="49" t="str">
        <v>0:00</v>
      </c>
      <c r="B167" s="108"/>
      <c r="C167" s="130"/>
      <c r="D167" s="130"/>
      <c r="E167" s="130"/>
      <c r="F167" s="130"/>
      <c r="G167" s="130"/>
      <c r="H167" s="130"/>
      <c r="I167" s="130"/>
      <c r="J167" s="130"/>
      <c r="K167" s="130"/>
      <c r="L167" s="130"/>
      <c r="M167" s="130"/>
      <c r="N167" s="130"/>
      <c r="O167" s="130"/>
      <c r="P167" s="130"/>
    </row>
    <row r="168" spans="1:16" x14ac:dyDescent="0.2">
      <c r="A168" s="49" t="str">
        <v>0:00</v>
      </c>
      <c r="B168" s="108"/>
      <c r="C168" s="130"/>
      <c r="D168" s="130"/>
      <c r="E168" s="130"/>
      <c r="F168" s="130"/>
      <c r="G168" s="130"/>
      <c r="H168" s="130"/>
      <c r="I168" s="130"/>
      <c r="J168" s="130"/>
      <c r="K168" s="130"/>
      <c r="L168" s="130"/>
      <c r="M168" s="130"/>
      <c r="N168" s="130"/>
      <c r="O168" s="130"/>
      <c r="P168" s="130"/>
    </row>
    <row r="169" spans="1:16" x14ac:dyDescent="0.2">
      <c r="A169" s="49" t="str">
        <v>0:00</v>
      </c>
      <c r="B169" s="108"/>
      <c r="C169" s="130"/>
      <c r="D169" s="130"/>
      <c r="E169" s="130"/>
      <c r="F169" s="130"/>
      <c r="G169" s="130"/>
      <c r="H169" s="130"/>
      <c r="I169" s="130"/>
      <c r="J169" s="130"/>
      <c r="K169" s="130"/>
      <c r="L169" s="130"/>
      <c r="M169" s="130"/>
      <c r="N169" s="130"/>
      <c r="O169" s="130"/>
      <c r="P169" s="130"/>
    </row>
    <row r="170" spans="1:16" x14ac:dyDescent="0.2">
      <c r="A170" s="49" t="str">
        <v>0:00</v>
      </c>
      <c r="B170" s="108"/>
      <c r="C170" s="130"/>
      <c r="D170" s="130"/>
      <c r="E170" s="130"/>
      <c r="F170" s="130"/>
      <c r="G170" s="130"/>
      <c r="H170" s="130"/>
      <c r="I170" s="130"/>
      <c r="J170" s="130"/>
      <c r="K170" s="130"/>
      <c r="L170" s="130"/>
      <c r="M170" s="130"/>
      <c r="N170" s="130"/>
      <c r="O170" s="130"/>
      <c r="P170" s="130"/>
    </row>
    <row r="171" spans="1:16" x14ac:dyDescent="0.2">
      <c r="A171" s="49" t="str">
        <v>0:00</v>
      </c>
      <c r="B171" s="108"/>
      <c r="C171" s="130"/>
      <c r="D171" s="130"/>
      <c r="E171" s="130"/>
      <c r="F171" s="130"/>
      <c r="G171" s="130"/>
      <c r="H171" s="130"/>
      <c r="I171" s="130"/>
      <c r="J171" s="130"/>
      <c r="K171" s="130"/>
      <c r="L171" s="130"/>
      <c r="M171" s="130"/>
      <c r="N171" s="130"/>
      <c r="O171" s="130"/>
      <c r="P171" s="130"/>
    </row>
    <row r="172" spans="1:16" x14ac:dyDescent="0.2">
      <c r="A172" s="49" t="str">
        <v>0:00</v>
      </c>
      <c r="B172" s="108"/>
      <c r="C172" s="130"/>
      <c r="D172" s="130"/>
      <c r="E172" s="130"/>
      <c r="F172" s="130"/>
      <c r="G172" s="130"/>
      <c r="H172" s="130"/>
      <c r="I172" s="130"/>
      <c r="J172" s="130"/>
      <c r="K172" s="130"/>
      <c r="L172" s="130"/>
      <c r="M172" s="130"/>
      <c r="N172" s="130"/>
      <c r="O172" s="130"/>
      <c r="P172" s="130"/>
    </row>
    <row r="173" spans="1:16" x14ac:dyDescent="0.2">
      <c r="A173" s="49" t="str">
        <v>0:00</v>
      </c>
      <c r="B173" s="108"/>
      <c r="C173" s="130"/>
      <c r="D173" s="130"/>
      <c r="E173" s="130"/>
      <c r="F173" s="130"/>
      <c r="G173" s="130"/>
      <c r="H173" s="130"/>
      <c r="I173" s="130"/>
      <c r="J173" s="130"/>
      <c r="K173" s="130"/>
      <c r="L173" s="130"/>
      <c r="M173" s="130"/>
      <c r="N173" s="130"/>
      <c r="O173" s="130"/>
      <c r="P173" s="130"/>
    </row>
    <row r="174" spans="1:16" x14ac:dyDescent="0.2">
      <c r="A174" s="49" t="str">
        <v>0:00</v>
      </c>
      <c r="B174" s="108"/>
      <c r="C174" s="130"/>
      <c r="D174" s="130"/>
      <c r="E174" s="130"/>
      <c r="F174" s="130"/>
      <c r="G174" s="130"/>
      <c r="H174" s="130"/>
      <c r="I174" s="130"/>
      <c r="J174" s="130"/>
      <c r="K174" s="130"/>
      <c r="L174" s="130"/>
      <c r="M174" s="130"/>
      <c r="N174" s="130"/>
      <c r="O174" s="130"/>
      <c r="P174" s="130"/>
    </row>
    <row r="175" spans="1:16" x14ac:dyDescent="0.2">
      <c r="A175" s="49" t="str">
        <v>0:00</v>
      </c>
      <c r="B175" s="108"/>
      <c r="C175" s="130"/>
      <c r="D175" s="130"/>
      <c r="E175" s="130"/>
      <c r="F175" s="130"/>
      <c r="G175" s="130"/>
      <c r="H175" s="130"/>
      <c r="I175" s="130"/>
      <c r="J175" s="130"/>
      <c r="K175" s="130"/>
      <c r="L175" s="130"/>
      <c r="M175" s="130"/>
      <c r="N175" s="130"/>
      <c r="O175" s="130"/>
      <c r="P175" s="130"/>
    </row>
    <row r="176" spans="1:16" x14ac:dyDescent="0.2">
      <c r="A176" s="49" t="str">
        <v>0:00</v>
      </c>
      <c r="B176" s="108"/>
      <c r="C176" s="130"/>
      <c r="D176" s="130"/>
      <c r="E176" s="130"/>
      <c r="F176" s="130"/>
      <c r="G176" s="130"/>
      <c r="H176" s="130"/>
      <c r="I176" s="130"/>
      <c r="J176" s="130"/>
      <c r="K176" s="130"/>
      <c r="L176" s="130"/>
      <c r="M176" s="130"/>
      <c r="N176" s="130"/>
      <c r="O176" s="130"/>
      <c r="P176" s="130"/>
    </row>
    <row r="177" spans="1:16" x14ac:dyDescent="0.2">
      <c r="A177" s="49" t="str">
        <v>0:00</v>
      </c>
      <c r="B177" s="108"/>
      <c r="C177" s="130"/>
      <c r="D177" s="130"/>
      <c r="E177" s="130"/>
      <c r="F177" s="130"/>
      <c r="G177" s="130"/>
      <c r="H177" s="130"/>
      <c r="I177" s="130"/>
      <c r="J177" s="130"/>
      <c r="K177" s="130"/>
      <c r="L177" s="130"/>
      <c r="M177" s="130"/>
      <c r="N177" s="130"/>
      <c r="O177" s="130"/>
      <c r="P177" s="130"/>
    </row>
    <row r="178" spans="1:16" x14ac:dyDescent="0.2">
      <c r="A178" s="49" t="str">
        <v>0:00</v>
      </c>
      <c r="B178" s="108"/>
      <c r="C178" s="130"/>
      <c r="D178" s="130"/>
      <c r="E178" s="130"/>
      <c r="F178" s="130"/>
      <c r="G178" s="130"/>
      <c r="H178" s="130"/>
      <c r="I178" s="130"/>
      <c r="J178" s="130"/>
      <c r="K178" s="130"/>
      <c r="L178" s="130"/>
      <c r="M178" s="130"/>
      <c r="N178" s="130"/>
      <c r="O178" s="130"/>
      <c r="P178" s="130"/>
    </row>
    <row r="179" spans="1:16" x14ac:dyDescent="0.2">
      <c r="A179" s="49" t="str">
        <v>0:00</v>
      </c>
      <c r="B179" s="108"/>
      <c r="C179" s="130"/>
      <c r="D179" s="130"/>
      <c r="E179" s="130"/>
      <c r="F179" s="130"/>
      <c r="G179" s="130"/>
      <c r="H179" s="130"/>
      <c r="I179" s="130"/>
      <c r="J179" s="130"/>
      <c r="K179" s="130"/>
      <c r="L179" s="130"/>
      <c r="M179" s="130"/>
      <c r="N179" s="130"/>
      <c r="O179" s="130"/>
      <c r="P179" s="130"/>
    </row>
    <row r="180" spans="1:16" x14ac:dyDescent="0.2">
      <c r="A180" s="49" t="str">
        <v>0:00</v>
      </c>
      <c r="B180" s="108"/>
      <c r="C180" s="130"/>
      <c r="D180" s="130"/>
      <c r="E180" s="130"/>
      <c r="F180" s="130"/>
      <c r="G180" s="130"/>
      <c r="H180" s="130"/>
      <c r="I180" s="130"/>
      <c r="J180" s="130"/>
      <c r="K180" s="130"/>
      <c r="L180" s="130"/>
      <c r="M180" s="130"/>
      <c r="N180" s="130"/>
      <c r="O180" s="130"/>
      <c r="P180" s="130"/>
    </row>
    <row r="181" spans="1:16" x14ac:dyDescent="0.2">
      <c r="A181" s="49" t="str">
        <v>0:00</v>
      </c>
      <c r="B181" s="108"/>
      <c r="C181" s="130"/>
      <c r="D181" s="130"/>
      <c r="E181" s="130"/>
      <c r="F181" s="130"/>
      <c r="G181" s="130"/>
      <c r="H181" s="130"/>
      <c r="I181" s="130"/>
      <c r="J181" s="130"/>
      <c r="K181" s="130"/>
      <c r="L181" s="130"/>
      <c r="M181" s="130"/>
      <c r="N181" s="130"/>
      <c r="O181" s="130"/>
      <c r="P181" s="130"/>
    </row>
    <row r="182" spans="1:16" x14ac:dyDescent="0.2">
      <c r="A182" s="49" t="str">
        <v>0:00</v>
      </c>
      <c r="B182" s="108"/>
      <c r="C182" s="130"/>
      <c r="D182" s="130"/>
      <c r="E182" s="130"/>
      <c r="F182" s="130"/>
      <c r="G182" s="130"/>
      <c r="H182" s="130"/>
      <c r="I182" s="130"/>
      <c r="J182" s="130"/>
      <c r="K182" s="130"/>
      <c r="L182" s="130"/>
      <c r="M182" s="130"/>
      <c r="N182" s="130"/>
      <c r="O182" s="130"/>
      <c r="P182" s="130"/>
    </row>
    <row r="183" spans="1:16" x14ac:dyDescent="0.2">
      <c r="A183" s="49" t="str">
        <v>0:00</v>
      </c>
      <c r="B183" s="108"/>
      <c r="C183" s="130"/>
      <c r="D183" s="130"/>
      <c r="E183" s="130"/>
      <c r="F183" s="130"/>
      <c r="G183" s="130"/>
      <c r="H183" s="130"/>
      <c r="I183" s="130"/>
      <c r="J183" s="130"/>
      <c r="K183" s="130"/>
      <c r="L183" s="130"/>
      <c r="M183" s="130"/>
      <c r="N183" s="130"/>
      <c r="O183" s="130"/>
      <c r="P183" s="130"/>
    </row>
    <row r="184" spans="1:16" x14ac:dyDescent="0.2">
      <c r="A184" s="49" t="str">
        <v>0:00</v>
      </c>
      <c r="B184" s="108"/>
      <c r="C184" s="130"/>
      <c r="D184" s="130"/>
      <c r="E184" s="130"/>
      <c r="F184" s="130"/>
      <c r="G184" s="130"/>
      <c r="H184" s="130"/>
      <c r="I184" s="130"/>
      <c r="J184" s="130"/>
      <c r="K184" s="130"/>
      <c r="L184" s="130"/>
      <c r="M184" s="130"/>
      <c r="N184" s="130"/>
      <c r="O184" s="130"/>
      <c r="P184" s="130"/>
    </row>
    <row r="185" spans="1:16" x14ac:dyDescent="0.2">
      <c r="A185" s="49" t="str">
        <v>0:00</v>
      </c>
      <c r="B185" s="108"/>
      <c r="C185" s="130"/>
      <c r="D185" s="130"/>
      <c r="E185" s="130"/>
      <c r="F185" s="130"/>
      <c r="G185" s="130"/>
      <c r="H185" s="130"/>
      <c r="I185" s="130"/>
      <c r="J185" s="130"/>
      <c r="K185" s="130"/>
      <c r="L185" s="130"/>
      <c r="M185" s="130"/>
      <c r="N185" s="130"/>
      <c r="O185" s="130"/>
      <c r="P185" s="130"/>
    </row>
    <row r="186" spans="1:16" x14ac:dyDescent="0.2">
      <c r="A186" s="49" t="str">
        <v>0:00</v>
      </c>
      <c r="B186" s="108"/>
      <c r="C186" s="130"/>
      <c r="D186" s="130"/>
      <c r="E186" s="130"/>
      <c r="F186" s="130"/>
      <c r="G186" s="130"/>
      <c r="H186" s="130"/>
      <c r="I186" s="130"/>
      <c r="J186" s="130"/>
      <c r="K186" s="130"/>
      <c r="L186" s="130"/>
      <c r="M186" s="130"/>
      <c r="N186" s="130"/>
      <c r="O186" s="130"/>
      <c r="P186" s="130"/>
    </row>
    <row r="187" spans="1:16" x14ac:dyDescent="0.2">
      <c r="A187" s="49" t="str">
        <v>0:00</v>
      </c>
      <c r="B187" s="108"/>
      <c r="C187" s="130"/>
      <c r="D187" s="130"/>
      <c r="E187" s="130"/>
      <c r="F187" s="130"/>
      <c r="G187" s="130"/>
      <c r="H187" s="130"/>
      <c r="I187" s="130"/>
      <c r="J187" s="130"/>
      <c r="K187" s="130"/>
      <c r="L187" s="130"/>
      <c r="M187" s="130"/>
      <c r="N187" s="130"/>
      <c r="O187" s="130"/>
      <c r="P187" s="130"/>
    </row>
    <row r="188" spans="1:16" x14ac:dyDescent="0.2">
      <c r="A188" s="49" t="str">
        <v>0:00</v>
      </c>
      <c r="B188" s="108"/>
      <c r="C188" s="130"/>
      <c r="D188" s="130"/>
      <c r="E188" s="130"/>
      <c r="F188" s="130"/>
      <c r="G188" s="130"/>
      <c r="H188" s="130"/>
      <c r="I188" s="130"/>
      <c r="J188" s="130"/>
      <c r="K188" s="130"/>
      <c r="L188" s="130"/>
      <c r="M188" s="130"/>
      <c r="N188" s="130"/>
      <c r="O188" s="130"/>
      <c r="P188" s="130"/>
    </row>
    <row r="189" spans="1:16" x14ac:dyDescent="0.2">
      <c r="A189" s="49" t="str">
        <v>0:00</v>
      </c>
      <c r="B189" s="108"/>
      <c r="C189" s="130"/>
      <c r="D189" s="130"/>
      <c r="E189" s="130"/>
      <c r="F189" s="130"/>
      <c r="G189" s="130"/>
      <c r="H189" s="130"/>
      <c r="I189" s="130"/>
      <c r="J189" s="130"/>
      <c r="K189" s="130"/>
      <c r="L189" s="130"/>
      <c r="M189" s="130"/>
      <c r="N189" s="130"/>
      <c r="O189" s="130"/>
      <c r="P189" s="130"/>
    </row>
    <row r="190" spans="1:16" x14ac:dyDescent="0.2">
      <c r="A190" s="49" t="str">
        <v>0:00</v>
      </c>
      <c r="B190" s="108"/>
      <c r="C190" s="130"/>
      <c r="D190" s="130"/>
      <c r="E190" s="130"/>
      <c r="F190" s="130"/>
      <c r="G190" s="130"/>
      <c r="H190" s="130"/>
      <c r="I190" s="130"/>
      <c r="J190" s="130"/>
      <c r="K190" s="130"/>
      <c r="L190" s="130"/>
      <c r="M190" s="130"/>
      <c r="N190" s="130"/>
      <c r="O190" s="130"/>
      <c r="P190" s="130"/>
    </row>
    <row r="191" spans="1:16" x14ac:dyDescent="0.2">
      <c r="A191" s="49" t="str">
        <v>0:00</v>
      </c>
      <c r="B191" s="108"/>
      <c r="C191" s="130"/>
      <c r="D191" s="130"/>
      <c r="E191" s="130"/>
      <c r="F191" s="130"/>
      <c r="G191" s="130"/>
      <c r="H191" s="130"/>
      <c r="I191" s="130"/>
      <c r="J191" s="130"/>
      <c r="K191" s="130"/>
      <c r="L191" s="130"/>
      <c r="M191" s="130"/>
      <c r="N191" s="130"/>
      <c r="O191" s="130"/>
      <c r="P191" s="130"/>
    </row>
    <row r="192" spans="1:16" x14ac:dyDescent="0.2">
      <c r="A192" s="49" t="str">
        <v>0:00</v>
      </c>
      <c r="B192" s="108"/>
      <c r="C192" s="130"/>
      <c r="D192" s="130"/>
      <c r="E192" s="130"/>
      <c r="F192" s="130"/>
      <c r="G192" s="130"/>
      <c r="H192" s="130"/>
      <c r="I192" s="130"/>
      <c r="J192" s="130"/>
      <c r="K192" s="130"/>
      <c r="L192" s="130"/>
      <c r="M192" s="130"/>
      <c r="N192" s="130"/>
      <c r="O192" s="130"/>
      <c r="P192" s="130"/>
    </row>
    <row r="193" spans="1:16" x14ac:dyDescent="0.2">
      <c r="A193" s="49" t="str">
        <v>0:00</v>
      </c>
      <c r="B193" s="108"/>
      <c r="C193" s="130"/>
      <c r="D193" s="130"/>
      <c r="E193" s="130"/>
      <c r="F193" s="130"/>
      <c r="G193" s="130"/>
      <c r="H193" s="130"/>
      <c r="I193" s="130"/>
      <c r="J193" s="130"/>
      <c r="K193" s="130"/>
      <c r="L193" s="130"/>
      <c r="M193" s="130"/>
      <c r="N193" s="130"/>
      <c r="O193" s="130"/>
      <c r="P193" s="130"/>
    </row>
    <row r="194" spans="1:16" x14ac:dyDescent="0.2">
      <c r="A194" s="49" t="str">
        <v>0:00</v>
      </c>
      <c r="B194" s="108"/>
      <c r="C194" s="130"/>
      <c r="D194" s="130"/>
      <c r="E194" s="130"/>
      <c r="F194" s="130"/>
      <c r="G194" s="130"/>
      <c r="H194" s="130"/>
      <c r="I194" s="130"/>
      <c r="J194" s="130"/>
      <c r="K194" s="130"/>
      <c r="L194" s="130"/>
      <c r="M194" s="130"/>
      <c r="N194" s="130"/>
      <c r="O194" s="130"/>
      <c r="P194" s="130"/>
    </row>
    <row r="195" spans="1:16" x14ac:dyDescent="0.2">
      <c r="A195" s="49" t="str">
        <v>0:00</v>
      </c>
      <c r="B195" s="108"/>
      <c r="C195" s="130"/>
      <c r="D195" s="130"/>
      <c r="E195" s="130"/>
      <c r="F195" s="130"/>
      <c r="G195" s="130"/>
      <c r="H195" s="130"/>
      <c r="I195" s="130"/>
      <c r="J195" s="130"/>
      <c r="K195" s="130"/>
      <c r="L195" s="130"/>
      <c r="M195" s="130"/>
      <c r="N195" s="130"/>
      <c r="O195" s="130"/>
      <c r="P195" s="130"/>
    </row>
    <row r="196" spans="1:16" x14ac:dyDescent="0.2">
      <c r="A196" s="49" t="str">
        <v>0:00</v>
      </c>
      <c r="B196" s="108"/>
      <c r="C196" s="130"/>
      <c r="D196" s="130"/>
      <c r="E196" s="130"/>
      <c r="F196" s="130"/>
      <c r="G196" s="130"/>
      <c r="H196" s="130"/>
      <c r="I196" s="130"/>
      <c r="J196" s="130"/>
      <c r="K196" s="130"/>
      <c r="L196" s="130"/>
      <c r="M196" s="130"/>
      <c r="N196" s="130"/>
      <c r="O196" s="130"/>
      <c r="P196" s="130"/>
    </row>
    <row r="197" spans="1:16" x14ac:dyDescent="0.2">
      <c r="A197" s="49" t="str">
        <v>0:00</v>
      </c>
      <c r="B197" s="108"/>
      <c r="C197" s="130"/>
      <c r="D197" s="130"/>
      <c r="E197" s="130"/>
      <c r="F197" s="130"/>
      <c r="G197" s="130"/>
      <c r="H197" s="130"/>
      <c r="I197" s="130"/>
      <c r="J197" s="130"/>
      <c r="K197" s="130"/>
      <c r="L197" s="130"/>
      <c r="M197" s="130"/>
      <c r="N197" s="130"/>
      <c r="O197" s="130"/>
      <c r="P197" s="130"/>
    </row>
    <row r="198" spans="1:16" x14ac:dyDescent="0.2">
      <c r="A198" s="49" t="str">
        <v>0:00</v>
      </c>
      <c r="B198" s="108"/>
      <c r="C198" s="130"/>
      <c r="D198" s="130"/>
      <c r="E198" s="130"/>
      <c r="F198" s="130"/>
      <c r="G198" s="130"/>
      <c r="H198" s="130"/>
      <c r="I198" s="130"/>
      <c r="J198" s="130"/>
      <c r="K198" s="130"/>
      <c r="L198" s="130"/>
      <c r="M198" s="130"/>
      <c r="N198" s="130"/>
      <c r="O198" s="130"/>
      <c r="P198" s="130"/>
    </row>
    <row r="199" spans="1:16" x14ac:dyDescent="0.2">
      <c r="A199" s="49" t="str">
        <v>0:00</v>
      </c>
      <c r="B199" s="108"/>
      <c r="C199" s="130"/>
      <c r="D199" s="130"/>
      <c r="E199" s="130"/>
      <c r="F199" s="130"/>
      <c r="G199" s="130"/>
      <c r="H199" s="130"/>
      <c r="I199" s="130"/>
      <c r="J199" s="130"/>
      <c r="K199" s="130"/>
      <c r="L199" s="130"/>
      <c r="M199" s="130"/>
      <c r="N199" s="130"/>
      <c r="O199" s="130"/>
      <c r="P199" s="130"/>
    </row>
    <row r="200" spans="1:16" x14ac:dyDescent="0.2">
      <c r="A200" s="49" t="str">
        <v>0:00</v>
      </c>
      <c r="B200" s="108"/>
      <c r="C200" s="130"/>
      <c r="D200" s="130"/>
      <c r="E200" s="130"/>
      <c r="F200" s="130"/>
      <c r="G200" s="130"/>
      <c r="H200" s="130"/>
      <c r="I200" s="130"/>
      <c r="J200" s="130"/>
      <c r="K200" s="130"/>
      <c r="L200" s="130"/>
      <c r="M200" s="130"/>
      <c r="N200" s="130"/>
      <c r="O200" s="130"/>
      <c r="P200" s="130"/>
    </row>
    <row r="201" spans="1:16" x14ac:dyDescent="0.2">
      <c r="A201" s="49" t="str">
        <v>0:00</v>
      </c>
      <c r="B201" s="108"/>
      <c r="C201" s="130"/>
      <c r="D201" s="130"/>
      <c r="E201" s="130"/>
      <c r="F201" s="130"/>
      <c r="G201" s="130"/>
      <c r="H201" s="130"/>
      <c r="I201" s="130"/>
      <c r="J201" s="130"/>
      <c r="K201" s="130"/>
      <c r="L201" s="130"/>
      <c r="M201" s="130"/>
      <c r="N201" s="130"/>
      <c r="O201" s="130"/>
      <c r="P201" s="130"/>
    </row>
    <row r="202" spans="1:16" x14ac:dyDescent="0.2">
      <c r="A202" s="49" t="str">
        <v>0:00</v>
      </c>
      <c r="B202" s="108"/>
      <c r="C202" s="130"/>
      <c r="D202" s="130"/>
      <c r="E202" s="130"/>
      <c r="F202" s="130"/>
      <c r="G202" s="130"/>
      <c r="H202" s="130"/>
      <c r="I202" s="130"/>
      <c r="J202" s="130"/>
      <c r="K202" s="130"/>
      <c r="L202" s="130"/>
      <c r="M202" s="130"/>
      <c r="N202" s="130"/>
      <c r="O202" s="130"/>
      <c r="P202" s="130"/>
    </row>
    <row r="203" spans="1:16" x14ac:dyDescent="0.2">
      <c r="A203" s="49" t="str">
        <v>0:00</v>
      </c>
      <c r="B203" s="108"/>
      <c r="C203" s="130"/>
      <c r="D203" s="130"/>
      <c r="E203" s="130"/>
      <c r="F203" s="130"/>
      <c r="G203" s="130"/>
      <c r="H203" s="130"/>
      <c r="I203" s="130"/>
      <c r="J203" s="130"/>
      <c r="K203" s="130"/>
      <c r="L203" s="130"/>
      <c r="M203" s="130"/>
      <c r="N203" s="130"/>
      <c r="O203" s="130"/>
      <c r="P203" s="130"/>
    </row>
    <row r="204" spans="1:16" x14ac:dyDescent="0.2">
      <c r="A204" s="49" t="str">
        <v>0:00</v>
      </c>
      <c r="B204" s="108"/>
      <c r="C204" s="130"/>
      <c r="D204" s="130"/>
      <c r="E204" s="130"/>
      <c r="F204" s="130"/>
      <c r="G204" s="130"/>
      <c r="H204" s="130"/>
      <c r="I204" s="130"/>
      <c r="J204" s="130"/>
      <c r="K204" s="130"/>
      <c r="L204" s="130"/>
      <c r="M204" s="130"/>
      <c r="N204" s="130"/>
      <c r="O204" s="130"/>
      <c r="P204" s="130"/>
    </row>
    <row r="205" spans="1:16" x14ac:dyDescent="0.2">
      <c r="A205" s="49" t="str">
        <v>0:00</v>
      </c>
      <c r="B205" s="108"/>
      <c r="C205" s="130"/>
      <c r="D205" s="130"/>
      <c r="E205" s="130"/>
      <c r="F205" s="130"/>
      <c r="G205" s="130"/>
      <c r="H205" s="130"/>
      <c r="I205" s="130"/>
      <c r="J205" s="130"/>
      <c r="K205" s="130"/>
      <c r="L205" s="130"/>
      <c r="M205" s="130"/>
      <c r="N205" s="130"/>
      <c r="O205" s="130"/>
      <c r="P205" s="130"/>
    </row>
    <row r="206" spans="1:16" x14ac:dyDescent="0.2">
      <c r="A206" s="49" t="str">
        <v>0:00</v>
      </c>
      <c r="B206" s="108"/>
      <c r="C206" s="130"/>
      <c r="D206" s="130"/>
      <c r="E206" s="130"/>
      <c r="F206" s="130"/>
      <c r="G206" s="130"/>
      <c r="H206" s="130"/>
      <c r="I206" s="130"/>
      <c r="J206" s="130"/>
      <c r="K206" s="130"/>
      <c r="L206" s="130"/>
      <c r="M206" s="130"/>
      <c r="N206" s="130"/>
      <c r="O206" s="130"/>
      <c r="P206" s="130"/>
    </row>
    <row r="207" spans="1:16" x14ac:dyDescent="0.2">
      <c r="A207" s="49" t="str">
        <v>0:00</v>
      </c>
      <c r="B207" s="108"/>
      <c r="C207" s="130"/>
      <c r="D207" s="130"/>
      <c r="E207" s="130"/>
      <c r="F207" s="130"/>
      <c r="G207" s="130"/>
      <c r="H207" s="130"/>
      <c r="I207" s="130"/>
      <c r="J207" s="130"/>
      <c r="K207" s="130"/>
      <c r="L207" s="130"/>
      <c r="M207" s="130"/>
      <c r="N207" s="130"/>
      <c r="O207" s="130"/>
      <c r="P207" s="130"/>
    </row>
    <row r="208" spans="1:16" x14ac:dyDescent="0.2">
      <c r="A208" s="49" t="str">
        <v>0:00</v>
      </c>
      <c r="B208" s="108"/>
      <c r="C208" s="130"/>
      <c r="D208" s="130"/>
      <c r="E208" s="130"/>
      <c r="F208" s="130"/>
      <c r="G208" s="130"/>
      <c r="H208" s="130"/>
      <c r="I208" s="130"/>
      <c r="J208" s="130"/>
      <c r="K208" s="130"/>
      <c r="L208" s="130"/>
      <c r="M208" s="130"/>
      <c r="N208" s="130"/>
      <c r="O208" s="130"/>
      <c r="P208" s="130"/>
    </row>
    <row r="209" spans="1:16" x14ac:dyDescent="0.2">
      <c r="A209" s="49" t="str">
        <v>0:00</v>
      </c>
      <c r="B209" s="108"/>
      <c r="C209" s="130"/>
      <c r="D209" s="130"/>
      <c r="E209" s="130"/>
      <c r="F209" s="130"/>
      <c r="G209" s="130"/>
      <c r="H209" s="130"/>
      <c r="I209" s="130"/>
      <c r="J209" s="130"/>
      <c r="K209" s="130"/>
      <c r="L209" s="130"/>
      <c r="M209" s="130"/>
      <c r="N209" s="130"/>
      <c r="O209" s="130"/>
      <c r="P209" s="130"/>
    </row>
    <row r="210" spans="1:16" x14ac:dyDescent="0.2">
      <c r="A210" s="49" t="str">
        <v>0:00</v>
      </c>
      <c r="B210" s="108"/>
      <c r="C210" s="130"/>
      <c r="D210" s="130"/>
      <c r="E210" s="130"/>
      <c r="F210" s="130"/>
      <c r="G210" s="130"/>
      <c r="H210" s="130"/>
      <c r="I210" s="130"/>
      <c r="J210" s="130"/>
      <c r="K210" s="130"/>
      <c r="L210" s="130"/>
      <c r="M210" s="130"/>
      <c r="N210" s="130"/>
      <c r="O210" s="130"/>
      <c r="P210" s="130"/>
    </row>
    <row r="211" spans="1:16" x14ac:dyDescent="0.2">
      <c r="A211" s="49" t="str">
        <v>0:00</v>
      </c>
      <c r="B211" s="108"/>
      <c r="C211" s="130"/>
      <c r="D211" s="130"/>
      <c r="E211" s="130"/>
      <c r="F211" s="130"/>
      <c r="G211" s="130"/>
      <c r="H211" s="130"/>
      <c r="I211" s="130"/>
      <c r="J211" s="130"/>
      <c r="K211" s="130"/>
      <c r="L211" s="130"/>
      <c r="M211" s="130"/>
      <c r="N211" s="130"/>
      <c r="O211" s="130"/>
      <c r="P211" s="130"/>
    </row>
    <row r="212" spans="1:16" x14ac:dyDescent="0.2">
      <c r="A212" s="49" t="str">
        <v>0:00</v>
      </c>
      <c r="B212" s="108"/>
      <c r="C212" s="130"/>
      <c r="D212" s="130"/>
      <c r="E212" s="130"/>
      <c r="F212" s="130"/>
      <c r="G212" s="130"/>
      <c r="H212" s="130"/>
      <c r="I212" s="130"/>
      <c r="J212" s="130"/>
      <c r="K212" s="130"/>
      <c r="L212" s="130"/>
      <c r="M212" s="130"/>
      <c r="N212" s="130"/>
      <c r="O212" s="130"/>
      <c r="P212" s="130"/>
    </row>
    <row r="213" spans="1:16" x14ac:dyDescent="0.2">
      <c r="A213" s="49" t="str">
        <v>0:00</v>
      </c>
      <c r="B213" s="108"/>
      <c r="C213" s="130"/>
      <c r="D213" s="130"/>
      <c r="E213" s="130"/>
      <c r="F213" s="130"/>
      <c r="G213" s="130"/>
      <c r="H213" s="130"/>
      <c r="I213" s="130"/>
      <c r="J213" s="130"/>
      <c r="K213" s="130"/>
      <c r="L213" s="130"/>
      <c r="M213" s="130"/>
      <c r="N213" s="130"/>
      <c r="O213" s="130"/>
      <c r="P213" s="130"/>
    </row>
    <row r="214" spans="1:16" x14ac:dyDescent="0.2">
      <c r="A214" s="49" t="str">
        <v>0:00</v>
      </c>
      <c r="B214" s="108"/>
      <c r="C214" s="130"/>
      <c r="D214" s="130"/>
      <c r="E214" s="130"/>
      <c r="F214" s="130"/>
      <c r="G214" s="130"/>
      <c r="H214" s="130"/>
      <c r="I214" s="130"/>
      <c r="J214" s="130"/>
      <c r="K214" s="130"/>
      <c r="L214" s="130"/>
      <c r="M214" s="130"/>
      <c r="N214" s="130"/>
      <c r="O214" s="130"/>
      <c r="P214" s="130"/>
    </row>
    <row r="215" spans="1:16" x14ac:dyDescent="0.2">
      <c r="A215" s="49" t="str">
        <v>0:00</v>
      </c>
      <c r="B215" s="108"/>
      <c r="C215" s="130"/>
      <c r="D215" s="130"/>
      <c r="E215" s="130"/>
      <c r="F215" s="130"/>
      <c r="G215" s="130"/>
      <c r="H215" s="130"/>
      <c r="I215" s="130"/>
      <c r="J215" s="130"/>
      <c r="K215" s="130"/>
      <c r="L215" s="130"/>
      <c r="M215" s="130"/>
      <c r="N215" s="130"/>
      <c r="O215" s="130"/>
      <c r="P215" s="130"/>
    </row>
    <row r="216" spans="1:16" x14ac:dyDescent="0.2">
      <c r="A216" s="49" t="str">
        <v>0:00</v>
      </c>
      <c r="B216" s="108"/>
      <c r="C216" s="130"/>
      <c r="D216" s="130"/>
      <c r="E216" s="130"/>
      <c r="F216" s="130"/>
      <c r="G216" s="130"/>
      <c r="H216" s="130"/>
      <c r="I216" s="130"/>
      <c r="J216" s="130"/>
      <c r="K216" s="130"/>
      <c r="L216" s="130"/>
      <c r="M216" s="130"/>
      <c r="N216" s="130"/>
      <c r="O216" s="130"/>
      <c r="P216" s="130"/>
    </row>
    <row r="217" spans="1:16" x14ac:dyDescent="0.2">
      <c r="A217" s="49" t="str">
        <v>0:00</v>
      </c>
      <c r="B217" s="108"/>
      <c r="C217" s="130"/>
      <c r="D217" s="130"/>
      <c r="E217" s="130"/>
      <c r="F217" s="130"/>
      <c r="G217" s="130"/>
      <c r="H217" s="130"/>
      <c r="I217" s="130"/>
      <c r="J217" s="130"/>
      <c r="K217" s="130"/>
      <c r="L217" s="130"/>
      <c r="M217" s="130"/>
      <c r="N217" s="130"/>
      <c r="O217" s="130"/>
      <c r="P217" s="130"/>
    </row>
    <row r="218" spans="1:16" x14ac:dyDescent="0.2">
      <c r="A218" s="49" t="str">
        <v>0:00</v>
      </c>
      <c r="B218" s="108"/>
      <c r="C218" s="130"/>
      <c r="D218" s="130"/>
      <c r="E218" s="130"/>
      <c r="F218" s="130"/>
      <c r="G218" s="130"/>
      <c r="H218" s="130"/>
      <c r="I218" s="130"/>
      <c r="J218" s="130"/>
      <c r="K218" s="130"/>
      <c r="L218" s="130"/>
      <c r="M218" s="130"/>
      <c r="N218" s="130"/>
      <c r="O218" s="130"/>
      <c r="P218" s="130"/>
    </row>
    <row r="219" spans="1:16" x14ac:dyDescent="0.2">
      <c r="A219" s="49" t="str">
        <v>0:00</v>
      </c>
      <c r="B219" s="108"/>
      <c r="C219" s="130"/>
      <c r="D219" s="130"/>
      <c r="E219" s="130"/>
      <c r="F219" s="130"/>
      <c r="G219" s="130"/>
      <c r="H219" s="130"/>
      <c r="I219" s="130"/>
      <c r="J219" s="130"/>
      <c r="K219" s="130"/>
      <c r="L219" s="130"/>
      <c r="M219" s="130"/>
      <c r="N219" s="130"/>
      <c r="O219" s="130"/>
      <c r="P219" s="130"/>
    </row>
    <row r="220" spans="1:16" x14ac:dyDescent="0.2">
      <c r="A220" s="49" t="str">
        <v>0:00</v>
      </c>
      <c r="B220" s="108"/>
      <c r="C220" s="130"/>
      <c r="D220" s="130"/>
      <c r="E220" s="130"/>
      <c r="F220" s="130"/>
      <c r="G220" s="130"/>
      <c r="H220" s="130"/>
      <c r="I220" s="130"/>
      <c r="J220" s="130"/>
      <c r="K220" s="130"/>
      <c r="L220" s="130"/>
      <c r="M220" s="130"/>
      <c r="N220" s="130"/>
      <c r="O220" s="130"/>
      <c r="P220" s="130"/>
    </row>
    <row r="221" spans="1:16" x14ac:dyDescent="0.2">
      <c r="A221" s="49" t="str">
        <v>0:00</v>
      </c>
      <c r="B221" s="108"/>
      <c r="C221" s="130"/>
      <c r="D221" s="130"/>
      <c r="E221" s="130"/>
      <c r="F221" s="130"/>
      <c r="G221" s="130"/>
      <c r="H221" s="130"/>
      <c r="I221" s="130"/>
      <c r="J221" s="130"/>
      <c r="K221" s="130"/>
      <c r="L221" s="130"/>
      <c r="M221" s="130"/>
      <c r="N221" s="130"/>
      <c r="O221" s="130"/>
      <c r="P221" s="130"/>
    </row>
    <row r="222" spans="1:16" x14ac:dyDescent="0.2">
      <c r="A222" s="49" t="str">
        <v>0:00</v>
      </c>
      <c r="B222" s="108"/>
      <c r="C222" s="130"/>
      <c r="D222" s="130"/>
      <c r="E222" s="130"/>
      <c r="F222" s="130"/>
      <c r="G222" s="130"/>
      <c r="H222" s="130"/>
      <c r="I222" s="130"/>
      <c r="J222" s="130"/>
      <c r="K222" s="130"/>
      <c r="L222" s="130"/>
      <c r="M222" s="130"/>
      <c r="N222" s="130"/>
      <c r="O222" s="130"/>
      <c r="P222" s="130"/>
    </row>
    <row r="223" spans="1:16" x14ac:dyDescent="0.2">
      <c r="A223" s="49" t="str">
        <v>0:00</v>
      </c>
      <c r="B223" s="108"/>
      <c r="C223" s="130"/>
      <c r="D223" s="130"/>
      <c r="E223" s="130"/>
      <c r="F223" s="130"/>
      <c r="G223" s="130"/>
      <c r="H223" s="130"/>
      <c r="I223" s="130"/>
      <c r="J223" s="130"/>
      <c r="K223" s="130"/>
      <c r="L223" s="130"/>
      <c r="M223" s="130"/>
      <c r="N223" s="130"/>
      <c r="O223" s="130"/>
      <c r="P223" s="130"/>
    </row>
    <row r="224" spans="1:16" x14ac:dyDescent="0.2">
      <c r="A224" s="49" t="str">
        <v>0:00</v>
      </c>
      <c r="B224" s="108"/>
      <c r="C224" s="130"/>
      <c r="D224" s="130"/>
      <c r="E224" s="130"/>
      <c r="F224" s="130"/>
      <c r="G224" s="130"/>
      <c r="H224" s="130"/>
      <c r="I224" s="130"/>
      <c r="J224" s="130"/>
      <c r="K224" s="130"/>
      <c r="L224" s="130"/>
      <c r="M224" s="130"/>
      <c r="N224" s="130"/>
      <c r="O224" s="130"/>
      <c r="P224" s="130"/>
    </row>
    <row r="225" spans="1:16" x14ac:dyDescent="0.2">
      <c r="A225" s="49" t="str">
        <v>0:00</v>
      </c>
      <c r="B225" s="108"/>
      <c r="C225" s="130"/>
      <c r="D225" s="130"/>
      <c r="E225" s="130"/>
      <c r="F225" s="130"/>
      <c r="G225" s="130"/>
      <c r="H225" s="130"/>
      <c r="I225" s="130"/>
      <c r="J225" s="130"/>
      <c r="K225" s="130"/>
      <c r="L225" s="130"/>
      <c r="M225" s="130"/>
      <c r="N225" s="130"/>
      <c r="O225" s="130"/>
      <c r="P225" s="130"/>
    </row>
    <row r="226" spans="1:16" x14ac:dyDescent="0.2">
      <c r="A226" s="49" t="str">
        <v>0:00</v>
      </c>
      <c r="B226" s="108"/>
      <c r="C226" s="130"/>
      <c r="D226" s="130"/>
      <c r="E226" s="130"/>
      <c r="F226" s="130"/>
      <c r="G226" s="130"/>
      <c r="H226" s="130"/>
      <c r="I226" s="130"/>
      <c r="J226" s="130"/>
      <c r="K226" s="130"/>
      <c r="L226" s="130"/>
      <c r="M226" s="130"/>
      <c r="N226" s="130"/>
      <c r="O226" s="130"/>
      <c r="P226" s="130"/>
    </row>
    <row r="227" spans="1:16" x14ac:dyDescent="0.2">
      <c r="A227" s="49" t="str">
        <v>0:00</v>
      </c>
      <c r="B227" s="108"/>
      <c r="C227" s="130"/>
      <c r="D227" s="130"/>
      <c r="E227" s="130"/>
      <c r="F227" s="130"/>
      <c r="G227" s="130"/>
      <c r="H227" s="130"/>
      <c r="I227" s="130"/>
      <c r="J227" s="130"/>
      <c r="K227" s="130"/>
      <c r="L227" s="130"/>
      <c r="M227" s="130"/>
      <c r="N227" s="130"/>
      <c r="O227" s="130"/>
      <c r="P227" s="130"/>
    </row>
    <row r="228" spans="1:16" x14ac:dyDescent="0.2">
      <c r="A228" s="49" t="str">
        <v>0:00</v>
      </c>
      <c r="B228" s="108"/>
      <c r="C228" s="130"/>
      <c r="D228" s="130"/>
      <c r="E228" s="130"/>
      <c r="F228" s="130"/>
      <c r="G228" s="130"/>
      <c r="H228" s="130"/>
      <c r="I228" s="130"/>
      <c r="J228" s="130"/>
      <c r="K228" s="130"/>
      <c r="L228" s="130"/>
      <c r="M228" s="130"/>
      <c r="N228" s="130"/>
      <c r="O228" s="130"/>
      <c r="P228" s="130"/>
    </row>
    <row r="229" spans="1:16" x14ac:dyDescent="0.2">
      <c r="A229" s="49" t="str">
        <v>0:00</v>
      </c>
      <c r="B229" s="108"/>
      <c r="C229" s="130"/>
      <c r="D229" s="130"/>
      <c r="E229" s="130"/>
      <c r="F229" s="130"/>
      <c r="G229" s="130"/>
      <c r="H229" s="130"/>
      <c r="I229" s="130"/>
      <c r="J229" s="130"/>
      <c r="K229" s="130"/>
      <c r="L229" s="130"/>
      <c r="M229" s="130"/>
      <c r="N229" s="130"/>
      <c r="O229" s="130"/>
      <c r="P229" s="130"/>
    </row>
    <row r="230" spans="1:16" x14ac:dyDescent="0.2">
      <c r="A230" s="49" t="str">
        <v>0:00</v>
      </c>
      <c r="B230" s="108"/>
      <c r="C230" s="130"/>
      <c r="D230" s="130"/>
      <c r="E230" s="130"/>
      <c r="F230" s="130"/>
      <c r="G230" s="130"/>
      <c r="H230" s="130"/>
      <c r="I230" s="130"/>
      <c r="J230" s="130"/>
      <c r="K230" s="130"/>
      <c r="L230" s="130"/>
      <c r="M230" s="130"/>
      <c r="N230" s="130"/>
      <c r="O230" s="130"/>
      <c r="P230" s="130"/>
    </row>
    <row r="231" spans="1:16" x14ac:dyDescent="0.2">
      <c r="A231" s="49" t="str">
        <v>0:00</v>
      </c>
      <c r="B231" s="108"/>
      <c r="C231" s="130"/>
      <c r="D231" s="130"/>
      <c r="E231" s="130"/>
      <c r="F231" s="130"/>
      <c r="G231" s="130"/>
      <c r="H231" s="130"/>
      <c r="I231" s="130"/>
      <c r="J231" s="130"/>
      <c r="K231" s="130"/>
      <c r="L231" s="130"/>
      <c r="M231" s="130"/>
      <c r="N231" s="130"/>
      <c r="O231" s="130"/>
      <c r="P231" s="130"/>
    </row>
    <row r="232" spans="1:16" x14ac:dyDescent="0.2">
      <c r="A232" s="49" t="str">
        <v>0:00</v>
      </c>
      <c r="B232" s="108"/>
      <c r="C232" s="130"/>
      <c r="D232" s="130"/>
      <c r="E232" s="130"/>
      <c r="F232" s="130"/>
      <c r="G232" s="130"/>
      <c r="H232" s="130"/>
      <c r="I232" s="130"/>
      <c r="J232" s="130"/>
      <c r="K232" s="130"/>
      <c r="L232" s="130"/>
      <c r="M232" s="130"/>
      <c r="N232" s="130"/>
      <c r="O232" s="130"/>
      <c r="P232" s="130"/>
    </row>
    <row r="233" spans="1:16" x14ac:dyDescent="0.2">
      <c r="A233" s="49" t="str">
        <v>0:00</v>
      </c>
      <c r="B233" s="108"/>
      <c r="C233" s="130"/>
      <c r="D233" s="130"/>
      <c r="E233" s="130"/>
      <c r="F233" s="130"/>
      <c r="G233" s="130"/>
      <c r="H233" s="130"/>
      <c r="I233" s="130"/>
      <c r="J233" s="130"/>
      <c r="K233" s="130"/>
      <c r="L233" s="130"/>
      <c r="M233" s="130"/>
      <c r="N233" s="130"/>
      <c r="O233" s="130"/>
      <c r="P233" s="130"/>
    </row>
    <row r="234" spans="1:16" x14ac:dyDescent="0.2">
      <c r="A234" s="49" t="str">
        <v>0:00</v>
      </c>
      <c r="B234" s="108"/>
      <c r="C234" s="130"/>
      <c r="D234" s="130"/>
      <c r="E234" s="130"/>
      <c r="F234" s="130"/>
      <c r="G234" s="130"/>
      <c r="H234" s="130"/>
      <c r="I234" s="130"/>
      <c r="J234" s="130"/>
      <c r="K234" s="130"/>
      <c r="L234" s="130"/>
      <c r="M234" s="130"/>
      <c r="N234" s="130"/>
      <c r="O234" s="130"/>
      <c r="P234" s="130"/>
    </row>
    <row r="235" spans="1:16" x14ac:dyDescent="0.2">
      <c r="A235" s="49" t="str">
        <v>0:00</v>
      </c>
      <c r="B235" s="108"/>
      <c r="C235" s="130"/>
      <c r="D235" s="130"/>
      <c r="E235" s="130"/>
      <c r="F235" s="130"/>
      <c r="G235" s="130"/>
      <c r="H235" s="130"/>
      <c r="I235" s="130"/>
      <c r="J235" s="130"/>
      <c r="K235" s="130"/>
      <c r="L235" s="130"/>
      <c r="M235" s="130"/>
      <c r="N235" s="130"/>
      <c r="O235" s="130"/>
      <c r="P235" s="130"/>
    </row>
    <row r="236" spans="1:16" x14ac:dyDescent="0.2">
      <c r="A236" s="49" t="str">
        <v>0:00</v>
      </c>
      <c r="B236" s="108"/>
      <c r="C236" s="130"/>
      <c r="D236" s="130"/>
      <c r="E236" s="130"/>
      <c r="F236" s="130"/>
      <c r="G236" s="130"/>
      <c r="H236" s="130"/>
      <c r="I236" s="130"/>
      <c r="J236" s="130"/>
      <c r="K236" s="130"/>
      <c r="L236" s="130"/>
      <c r="M236" s="130"/>
      <c r="N236" s="130"/>
      <c r="O236" s="130"/>
      <c r="P236" s="130"/>
    </row>
    <row r="237" spans="1:16" x14ac:dyDescent="0.2">
      <c r="A237" s="49" t="str">
        <v>0:00</v>
      </c>
      <c r="B237" s="108"/>
      <c r="C237" s="130"/>
      <c r="D237" s="130"/>
      <c r="E237" s="130"/>
      <c r="F237" s="130"/>
      <c r="G237" s="130"/>
      <c r="H237" s="130"/>
      <c r="I237" s="130"/>
      <c r="J237" s="130"/>
      <c r="K237" s="130"/>
      <c r="L237" s="130"/>
      <c r="M237" s="130"/>
      <c r="N237" s="130"/>
      <c r="O237" s="130"/>
      <c r="P237" s="130"/>
    </row>
    <row r="238" spans="1:16" x14ac:dyDescent="0.2">
      <c r="A238" s="49" t="str">
        <v>0:00</v>
      </c>
      <c r="B238" s="108"/>
      <c r="C238" s="130"/>
      <c r="D238" s="130"/>
      <c r="E238" s="130"/>
      <c r="F238" s="130"/>
      <c r="G238" s="130"/>
      <c r="H238" s="130"/>
      <c r="I238" s="130"/>
      <c r="J238" s="130"/>
      <c r="K238" s="130"/>
      <c r="L238" s="130"/>
      <c r="M238" s="130"/>
      <c r="N238" s="130"/>
      <c r="O238" s="130"/>
      <c r="P238" s="130"/>
    </row>
    <row r="239" spans="1:16" x14ac:dyDescent="0.2">
      <c r="A239" s="49" t="str">
        <v>0:00</v>
      </c>
      <c r="B239" s="108"/>
      <c r="C239" s="130"/>
      <c r="D239" s="130"/>
      <c r="E239" s="130"/>
      <c r="F239" s="130"/>
      <c r="G239" s="130"/>
      <c r="H239" s="130"/>
      <c r="I239" s="130"/>
      <c r="J239" s="130"/>
      <c r="K239" s="130"/>
      <c r="L239" s="130"/>
      <c r="M239" s="130"/>
      <c r="N239" s="130"/>
      <c r="O239" s="130"/>
      <c r="P239" s="130"/>
    </row>
    <row r="240" spans="1:16" x14ac:dyDescent="0.2">
      <c r="A240" s="49" t="str">
        <v>0:00</v>
      </c>
      <c r="B240" s="108"/>
      <c r="C240" s="130"/>
      <c r="D240" s="130"/>
      <c r="E240" s="130"/>
      <c r="F240" s="130"/>
      <c r="G240" s="130"/>
      <c r="H240" s="130"/>
      <c r="I240" s="130"/>
      <c r="J240" s="130"/>
      <c r="K240" s="130"/>
      <c r="L240" s="130"/>
      <c r="M240" s="130"/>
      <c r="N240" s="130"/>
      <c r="O240" s="130"/>
      <c r="P240" s="130"/>
    </row>
    <row r="241" spans="1:16" x14ac:dyDescent="0.2">
      <c r="A241" s="49" t="str">
        <v>0:00</v>
      </c>
      <c r="B241" s="108"/>
      <c r="C241" s="130"/>
      <c r="D241" s="130"/>
      <c r="E241" s="130"/>
      <c r="F241" s="130"/>
      <c r="G241" s="130"/>
      <c r="H241" s="130"/>
      <c r="I241" s="130"/>
      <c r="J241" s="130"/>
      <c r="K241" s="130"/>
      <c r="L241" s="130"/>
      <c r="M241" s="130"/>
      <c r="N241" s="130"/>
      <c r="O241" s="130"/>
      <c r="P241" s="130"/>
    </row>
    <row r="242" spans="1:16" x14ac:dyDescent="0.2">
      <c r="A242" s="49" t="str">
        <v>0:00</v>
      </c>
      <c r="B242" s="108"/>
      <c r="C242" s="130"/>
      <c r="D242" s="130"/>
      <c r="E242" s="130"/>
      <c r="F242" s="130"/>
      <c r="G242" s="130"/>
      <c r="H242" s="130"/>
      <c r="I242" s="130"/>
      <c r="J242" s="130"/>
      <c r="K242" s="130"/>
      <c r="L242" s="130"/>
      <c r="M242" s="130"/>
      <c r="N242" s="130"/>
      <c r="O242" s="130"/>
      <c r="P242" s="130"/>
    </row>
    <row r="243" spans="1:16" x14ac:dyDescent="0.2">
      <c r="A243" s="49" t="str">
        <v>0:00</v>
      </c>
      <c r="B243" s="108"/>
      <c r="C243" s="130"/>
      <c r="D243" s="130"/>
      <c r="E243" s="130"/>
      <c r="F243" s="130"/>
      <c r="G243" s="130"/>
      <c r="H243" s="130"/>
      <c r="I243" s="130"/>
      <c r="J243" s="130"/>
      <c r="K243" s="130"/>
      <c r="L243" s="130"/>
      <c r="M243" s="130"/>
      <c r="N243" s="130"/>
      <c r="O243" s="130"/>
      <c r="P243" s="130"/>
    </row>
    <row r="244" spans="1:16" x14ac:dyDescent="0.2">
      <c r="A244" s="49" t="str">
        <v>0:00</v>
      </c>
      <c r="B244" s="108"/>
      <c r="C244" s="130"/>
      <c r="D244" s="130"/>
      <c r="E244" s="130"/>
      <c r="F244" s="130"/>
      <c r="G244" s="130"/>
      <c r="H244" s="130"/>
      <c r="I244" s="130"/>
      <c r="J244" s="130"/>
      <c r="K244" s="130"/>
      <c r="L244" s="130"/>
      <c r="M244" s="130"/>
      <c r="N244" s="130"/>
      <c r="O244" s="130"/>
      <c r="P244" s="130"/>
    </row>
    <row r="245" spans="1:16" x14ac:dyDescent="0.2">
      <c r="A245" s="49" t="str">
        <v>0:00</v>
      </c>
      <c r="B245" s="108"/>
      <c r="C245" s="130"/>
      <c r="D245" s="130"/>
      <c r="E245" s="130"/>
      <c r="F245" s="130"/>
      <c r="G245" s="130"/>
      <c r="H245" s="130"/>
      <c r="I245" s="130"/>
      <c r="J245" s="130"/>
      <c r="K245" s="130"/>
      <c r="L245" s="130"/>
      <c r="M245" s="130"/>
      <c r="N245" s="130"/>
      <c r="O245" s="130"/>
      <c r="P245" s="130"/>
    </row>
    <row r="246" spans="1:16" x14ac:dyDescent="0.2">
      <c r="A246" s="49" t="str">
        <v>0:00</v>
      </c>
      <c r="B246" s="108"/>
      <c r="C246" s="130"/>
      <c r="D246" s="130"/>
      <c r="E246" s="130"/>
      <c r="F246" s="130"/>
      <c r="G246" s="130"/>
      <c r="H246" s="130"/>
      <c r="I246" s="130"/>
      <c r="J246" s="130"/>
      <c r="K246" s="130"/>
      <c r="L246" s="130"/>
      <c r="M246" s="130"/>
      <c r="N246" s="130"/>
      <c r="O246" s="130"/>
      <c r="P246" s="130"/>
    </row>
    <row r="247" spans="1:16" x14ac:dyDescent="0.2">
      <c r="A247" s="49" t="str">
        <v>0:00</v>
      </c>
      <c r="B247" s="108"/>
      <c r="C247" s="130"/>
      <c r="D247" s="130"/>
      <c r="E247" s="130"/>
      <c r="F247" s="130"/>
      <c r="G247" s="130"/>
      <c r="H247" s="130"/>
      <c r="I247" s="130"/>
      <c r="J247" s="130"/>
      <c r="K247" s="130"/>
      <c r="L247" s="130"/>
      <c r="M247" s="130"/>
      <c r="N247" s="130"/>
      <c r="O247" s="130"/>
      <c r="P247" s="130"/>
    </row>
    <row r="248" spans="1:16" x14ac:dyDescent="0.2">
      <c r="A248" s="49" t="str">
        <v>0:00</v>
      </c>
      <c r="B248" s="108"/>
      <c r="C248" s="130"/>
      <c r="D248" s="130"/>
      <c r="E248" s="130"/>
      <c r="F248" s="130"/>
      <c r="G248" s="130"/>
      <c r="H248" s="130"/>
      <c r="I248" s="130"/>
      <c r="J248" s="130"/>
      <c r="K248" s="130"/>
      <c r="L248" s="130"/>
      <c r="M248" s="130"/>
      <c r="N248" s="130"/>
      <c r="O248" s="130"/>
      <c r="P248" s="130"/>
    </row>
    <row r="249" spans="1:16" x14ac:dyDescent="0.2">
      <c r="A249" s="49" t="str">
        <v>0:00</v>
      </c>
      <c r="B249" s="108"/>
      <c r="C249" s="130"/>
      <c r="D249" s="130"/>
      <c r="E249" s="130"/>
      <c r="F249" s="130"/>
      <c r="G249" s="130"/>
      <c r="H249" s="130"/>
      <c r="I249" s="130"/>
      <c r="J249" s="130"/>
      <c r="K249" s="130"/>
      <c r="L249" s="130"/>
      <c r="M249" s="130"/>
      <c r="N249" s="130"/>
      <c r="O249" s="130"/>
      <c r="P249" s="130"/>
    </row>
    <row r="250" spans="1:16" x14ac:dyDescent="0.2">
      <c r="A250" s="49" t="str">
        <v>0:00</v>
      </c>
      <c r="B250" s="108"/>
      <c r="C250" s="130"/>
      <c r="D250" s="130"/>
      <c r="E250" s="130"/>
      <c r="F250" s="130"/>
      <c r="G250" s="130"/>
      <c r="H250" s="130"/>
      <c r="I250" s="130"/>
      <c r="J250" s="130"/>
      <c r="K250" s="130"/>
      <c r="L250" s="130"/>
      <c r="M250" s="130"/>
      <c r="N250" s="130"/>
      <c r="O250" s="130"/>
      <c r="P250" s="130"/>
    </row>
    <row r="251" spans="1:16" x14ac:dyDescent="0.2">
      <c r="A251" s="49" t="str">
        <v>0:00</v>
      </c>
      <c r="B251" s="108"/>
      <c r="C251" s="130"/>
      <c r="D251" s="130"/>
      <c r="E251" s="130"/>
      <c r="F251" s="130"/>
      <c r="G251" s="130"/>
      <c r="H251" s="130"/>
      <c r="I251" s="130"/>
      <c r="J251" s="130"/>
      <c r="K251" s="130"/>
      <c r="L251" s="130"/>
      <c r="M251" s="130"/>
      <c r="N251" s="130"/>
      <c r="O251" s="130"/>
      <c r="P251" s="130"/>
    </row>
    <row r="252" spans="1:16" x14ac:dyDescent="0.2">
      <c r="A252" s="49" t="str">
        <v>0:00</v>
      </c>
      <c r="B252" s="108"/>
      <c r="C252" s="130"/>
      <c r="D252" s="130"/>
      <c r="E252" s="130"/>
      <c r="F252" s="130"/>
      <c r="G252" s="130"/>
      <c r="H252" s="130"/>
      <c r="I252" s="130"/>
      <c r="J252" s="130"/>
      <c r="K252" s="130"/>
      <c r="L252" s="130"/>
      <c r="M252" s="130"/>
      <c r="N252" s="130"/>
      <c r="O252" s="130"/>
      <c r="P252" s="130"/>
    </row>
    <row r="253" spans="1:16" x14ac:dyDescent="0.2">
      <c r="A253" s="49" t="str">
        <v>0:00</v>
      </c>
      <c r="B253" s="108"/>
      <c r="C253" s="130"/>
      <c r="D253" s="130"/>
      <c r="E253" s="130"/>
      <c r="F253" s="130"/>
      <c r="G253" s="130"/>
      <c r="H253" s="130"/>
      <c r="I253" s="130"/>
      <c r="J253" s="130"/>
      <c r="K253" s="130"/>
      <c r="L253" s="130"/>
      <c r="M253" s="130"/>
      <c r="N253" s="130"/>
      <c r="O253" s="130"/>
      <c r="P253" s="130"/>
    </row>
    <row r="254" spans="1:16" x14ac:dyDescent="0.2">
      <c r="A254" s="49" t="str">
        <v>0:00</v>
      </c>
      <c r="B254" s="108"/>
      <c r="C254" s="130"/>
      <c r="D254" s="130"/>
      <c r="E254" s="130"/>
      <c r="F254" s="130"/>
      <c r="G254" s="130"/>
      <c r="H254" s="130"/>
      <c r="I254" s="130"/>
      <c r="J254" s="130"/>
      <c r="K254" s="130"/>
      <c r="L254" s="130"/>
      <c r="M254" s="130"/>
      <c r="N254" s="130"/>
      <c r="O254" s="130"/>
      <c r="P254" s="130"/>
    </row>
    <row r="255" spans="1:16" x14ac:dyDescent="0.2">
      <c r="A255" s="49" t="str">
        <v>0:00</v>
      </c>
      <c r="B255" s="108"/>
      <c r="C255" s="130"/>
      <c r="D255" s="130"/>
      <c r="E255" s="130"/>
      <c r="F255" s="130"/>
      <c r="G255" s="130"/>
      <c r="H255" s="130"/>
      <c r="I255" s="130"/>
      <c r="J255" s="130"/>
      <c r="K255" s="130"/>
      <c r="L255" s="130"/>
      <c r="M255" s="130"/>
      <c r="N255" s="130"/>
      <c r="O255" s="130"/>
      <c r="P255" s="130"/>
    </row>
    <row r="256" spans="1:16" x14ac:dyDescent="0.2">
      <c r="A256" s="49" t="str">
        <v>0:00</v>
      </c>
      <c r="B256" s="108"/>
      <c r="C256" s="130"/>
      <c r="D256" s="130"/>
      <c r="E256" s="130"/>
      <c r="F256" s="130"/>
      <c r="G256" s="130"/>
      <c r="H256" s="130"/>
      <c r="I256" s="130"/>
      <c r="J256" s="130"/>
      <c r="K256" s="130"/>
      <c r="L256" s="130"/>
      <c r="M256" s="130"/>
      <c r="N256" s="130"/>
      <c r="O256" s="130"/>
      <c r="P256" s="130"/>
    </row>
    <row r="257" spans="1:16" x14ac:dyDescent="0.2">
      <c r="A257" s="49" t="str">
        <v>0:00</v>
      </c>
      <c r="B257" s="108"/>
      <c r="C257" s="130"/>
      <c r="D257" s="130"/>
      <c r="E257" s="130"/>
      <c r="F257" s="130"/>
      <c r="G257" s="130"/>
      <c r="H257" s="130"/>
      <c r="I257" s="130"/>
      <c r="J257" s="130"/>
      <c r="K257" s="130"/>
      <c r="L257" s="130"/>
      <c r="M257" s="130"/>
      <c r="N257" s="130"/>
      <c r="O257" s="130"/>
      <c r="P257" s="130"/>
    </row>
    <row r="258" spans="1:16" x14ac:dyDescent="0.2">
      <c r="A258" s="49" t="str">
        <v>0:00</v>
      </c>
      <c r="B258" s="108"/>
      <c r="C258" s="130"/>
      <c r="D258" s="130"/>
      <c r="E258" s="130"/>
      <c r="F258" s="130"/>
      <c r="G258" s="130"/>
      <c r="H258" s="130"/>
      <c r="I258" s="130"/>
      <c r="J258" s="130"/>
      <c r="K258" s="130"/>
      <c r="L258" s="130"/>
      <c r="M258" s="130"/>
      <c r="N258" s="130"/>
      <c r="O258" s="130"/>
      <c r="P258" s="130"/>
    </row>
    <row r="259" spans="1:16" x14ac:dyDescent="0.2">
      <c r="A259" s="49" t="str">
        <v>0:00</v>
      </c>
      <c r="B259" s="108"/>
      <c r="C259" s="130"/>
      <c r="D259" s="130"/>
      <c r="E259" s="130"/>
      <c r="F259" s="130"/>
      <c r="G259" s="130"/>
      <c r="H259" s="130"/>
      <c r="I259" s="130"/>
      <c r="J259" s="130"/>
      <c r="K259" s="130"/>
      <c r="L259" s="130"/>
      <c r="M259" s="130"/>
      <c r="N259" s="130"/>
      <c r="O259" s="130"/>
      <c r="P259" s="130"/>
    </row>
    <row r="260" spans="1:16" x14ac:dyDescent="0.2">
      <c r="A260" s="49" t="str">
        <v>0:00</v>
      </c>
      <c r="B260" s="108"/>
      <c r="C260" s="130"/>
      <c r="D260" s="130"/>
      <c r="E260" s="130"/>
      <c r="F260" s="130"/>
      <c r="G260" s="130"/>
      <c r="H260" s="130"/>
      <c r="I260" s="130"/>
      <c r="J260" s="130"/>
      <c r="K260" s="130"/>
      <c r="L260" s="130"/>
      <c r="M260" s="130"/>
      <c r="N260" s="130"/>
      <c r="O260" s="130"/>
      <c r="P260" s="130"/>
    </row>
    <row r="261" spans="1:16" x14ac:dyDescent="0.2">
      <c r="A261" s="49" t="str">
        <v>0:00</v>
      </c>
      <c r="B261" s="108"/>
      <c r="C261" s="130"/>
      <c r="D261" s="130"/>
      <c r="E261" s="130"/>
      <c r="F261" s="130"/>
      <c r="G261" s="130"/>
      <c r="H261" s="130"/>
      <c r="I261" s="130"/>
      <c r="J261" s="130"/>
      <c r="K261" s="130"/>
      <c r="L261" s="130"/>
      <c r="M261" s="130"/>
      <c r="N261" s="130"/>
      <c r="O261" s="130"/>
      <c r="P261" s="130"/>
    </row>
    <row r="262" spans="1:16" x14ac:dyDescent="0.2">
      <c r="A262" s="49" t="str">
        <v>0:00</v>
      </c>
      <c r="B262" s="108"/>
      <c r="C262" s="130"/>
      <c r="D262" s="130"/>
      <c r="E262" s="130"/>
      <c r="F262" s="130"/>
      <c r="G262" s="130"/>
      <c r="H262" s="130"/>
      <c r="I262" s="130"/>
      <c r="J262" s="130"/>
      <c r="K262" s="130"/>
      <c r="L262" s="130"/>
      <c r="M262" s="130"/>
      <c r="N262" s="130"/>
      <c r="O262" s="130"/>
      <c r="P262" s="130"/>
    </row>
    <row r="263" spans="1:16" x14ac:dyDescent="0.2">
      <c r="A263" s="49" t="str">
        <v>0:00</v>
      </c>
      <c r="B263" s="108"/>
      <c r="C263" s="130"/>
      <c r="D263" s="130"/>
      <c r="E263" s="130"/>
      <c r="F263" s="130"/>
      <c r="G263" s="130"/>
      <c r="H263" s="130"/>
      <c r="I263" s="130"/>
      <c r="J263" s="130"/>
      <c r="K263" s="130"/>
      <c r="L263" s="130"/>
      <c r="M263" s="130"/>
      <c r="N263" s="130"/>
      <c r="O263" s="130"/>
      <c r="P263" s="130"/>
    </row>
    <row r="264" spans="1:16" x14ac:dyDescent="0.2">
      <c r="A264" s="49" t="str">
        <v>0:00</v>
      </c>
      <c r="B264" s="108"/>
      <c r="C264" s="130"/>
      <c r="D264" s="130"/>
      <c r="E264" s="130"/>
      <c r="F264" s="130"/>
      <c r="G264" s="130"/>
      <c r="H264" s="130"/>
      <c r="I264" s="130"/>
      <c r="J264" s="130"/>
      <c r="K264" s="130"/>
      <c r="L264" s="130"/>
      <c r="M264" s="130"/>
      <c r="N264" s="130"/>
      <c r="O264" s="130"/>
      <c r="P264" s="130"/>
    </row>
    <row r="265" spans="1:16" x14ac:dyDescent="0.2">
      <c r="A265" s="49" t="str">
        <v>0:00</v>
      </c>
      <c r="B265" s="108"/>
      <c r="C265" s="130"/>
      <c r="D265" s="130"/>
      <c r="E265" s="130"/>
      <c r="F265" s="130"/>
      <c r="G265" s="130"/>
      <c r="H265" s="130"/>
      <c r="I265" s="130"/>
      <c r="J265" s="130"/>
      <c r="K265" s="130"/>
      <c r="L265" s="130"/>
      <c r="M265" s="130"/>
      <c r="N265" s="130"/>
      <c r="O265" s="130"/>
      <c r="P265" s="130"/>
    </row>
    <row r="266" spans="1:16" x14ac:dyDescent="0.2">
      <c r="A266" s="49" t="str">
        <v>0:00</v>
      </c>
      <c r="B266" s="108"/>
      <c r="C266" s="130"/>
      <c r="D266" s="130"/>
      <c r="E266" s="130"/>
      <c r="F266" s="130"/>
      <c r="G266" s="130"/>
      <c r="H266" s="130"/>
      <c r="I266" s="130"/>
      <c r="J266" s="130"/>
      <c r="K266" s="130"/>
      <c r="L266" s="130"/>
      <c r="M266" s="130"/>
      <c r="N266" s="130"/>
      <c r="O266" s="130"/>
      <c r="P266" s="130"/>
    </row>
    <row r="267" spans="1:16" x14ac:dyDescent="0.2">
      <c r="A267" s="49" t="str">
        <v>0:00</v>
      </c>
      <c r="B267" s="108"/>
      <c r="C267" s="130"/>
      <c r="D267" s="130"/>
      <c r="E267" s="130"/>
      <c r="F267" s="130"/>
      <c r="G267" s="130"/>
      <c r="H267" s="130"/>
      <c r="I267" s="130"/>
      <c r="J267" s="130"/>
      <c r="K267" s="130"/>
      <c r="L267" s="130"/>
      <c r="M267" s="130"/>
      <c r="N267" s="130"/>
      <c r="O267" s="130"/>
      <c r="P267" s="130"/>
    </row>
    <row r="268" spans="1:16" x14ac:dyDescent="0.2">
      <c r="A268" s="49" t="str">
        <v>0:00</v>
      </c>
      <c r="B268" s="108"/>
      <c r="C268" s="130"/>
      <c r="D268" s="130"/>
      <c r="E268" s="130"/>
      <c r="F268" s="130"/>
      <c r="G268" s="130"/>
      <c r="H268" s="130"/>
      <c r="I268" s="130"/>
      <c r="J268" s="130"/>
      <c r="K268" s="130"/>
      <c r="L268" s="130"/>
      <c r="M268" s="130"/>
      <c r="N268" s="130"/>
      <c r="O268" s="130"/>
      <c r="P268" s="130"/>
    </row>
    <row r="269" spans="1:16" x14ac:dyDescent="0.2">
      <c r="A269" s="49" t="str">
        <v>0:00</v>
      </c>
      <c r="B269" s="108"/>
      <c r="C269" s="130"/>
      <c r="D269" s="130"/>
      <c r="E269" s="130"/>
      <c r="F269" s="130"/>
      <c r="G269" s="130"/>
      <c r="H269" s="130"/>
      <c r="I269" s="130"/>
      <c r="J269" s="130"/>
      <c r="K269" s="130"/>
      <c r="L269" s="130"/>
      <c r="M269" s="130"/>
      <c r="N269" s="130"/>
      <c r="O269" s="130"/>
      <c r="P269" s="130"/>
    </row>
    <row r="270" spans="1:16" x14ac:dyDescent="0.2">
      <c r="A270" s="49" t="str">
        <v>0:00</v>
      </c>
      <c r="B270" s="108"/>
      <c r="C270" s="130"/>
      <c r="D270" s="130"/>
      <c r="E270" s="130"/>
      <c r="F270" s="130"/>
      <c r="G270" s="130"/>
      <c r="H270" s="130"/>
      <c r="I270" s="130"/>
      <c r="J270" s="130"/>
      <c r="K270" s="130"/>
      <c r="L270" s="130"/>
      <c r="M270" s="130"/>
      <c r="N270" s="130"/>
      <c r="O270" s="130"/>
      <c r="P270" s="130"/>
    </row>
    <row r="271" spans="1:16" x14ac:dyDescent="0.2">
      <c r="A271" s="49" t="str">
        <v>0:00</v>
      </c>
      <c r="B271" s="108"/>
      <c r="C271" s="130"/>
      <c r="D271" s="130"/>
      <c r="E271" s="130"/>
      <c r="F271" s="130"/>
      <c r="G271" s="130"/>
      <c r="H271" s="130"/>
      <c r="I271" s="130"/>
      <c r="J271" s="130"/>
      <c r="K271" s="130"/>
      <c r="L271" s="130"/>
      <c r="M271" s="130"/>
      <c r="N271" s="130"/>
      <c r="O271" s="130"/>
      <c r="P271" s="130"/>
    </row>
    <row r="272" spans="1:16" x14ac:dyDescent="0.2">
      <c r="A272" s="49" t="str">
        <v>0:00</v>
      </c>
      <c r="B272" s="108"/>
      <c r="C272" s="130"/>
      <c r="D272" s="130"/>
      <c r="E272" s="130"/>
      <c r="F272" s="130"/>
      <c r="G272" s="130"/>
      <c r="H272" s="130"/>
      <c r="I272" s="130"/>
      <c r="J272" s="130"/>
      <c r="K272" s="130"/>
      <c r="L272" s="130"/>
      <c r="M272" s="130"/>
      <c r="N272" s="130"/>
      <c r="O272" s="130"/>
      <c r="P272" s="130"/>
    </row>
    <row r="273" spans="1:16" x14ac:dyDescent="0.2">
      <c r="A273" s="49" t="str">
        <v>0:00</v>
      </c>
      <c r="B273" s="108"/>
      <c r="C273" s="130"/>
      <c r="D273" s="130"/>
      <c r="E273" s="130"/>
      <c r="F273" s="130"/>
      <c r="G273" s="130"/>
      <c r="H273" s="130"/>
      <c r="I273" s="130"/>
      <c r="J273" s="130"/>
      <c r="K273" s="130"/>
      <c r="L273" s="130"/>
      <c r="M273" s="130"/>
      <c r="N273" s="130"/>
      <c r="O273" s="130"/>
      <c r="P273" s="130"/>
    </row>
    <row r="274" spans="1:16" x14ac:dyDescent="0.2">
      <c r="A274" s="49" t="str">
        <v>0:00</v>
      </c>
      <c r="B274" s="108"/>
      <c r="C274" s="130"/>
      <c r="D274" s="130"/>
      <c r="E274" s="130"/>
      <c r="F274" s="130"/>
      <c r="G274" s="130"/>
      <c r="H274" s="130"/>
      <c r="I274" s="130"/>
      <c r="J274" s="130"/>
      <c r="K274" s="130"/>
      <c r="L274" s="130"/>
      <c r="M274" s="130"/>
      <c r="N274" s="130"/>
      <c r="O274" s="130"/>
      <c r="P274" s="130"/>
    </row>
    <row r="275" spans="1:16" x14ac:dyDescent="0.2">
      <c r="A275" s="49" t="str">
        <v>0:00</v>
      </c>
      <c r="B275" s="108"/>
      <c r="C275" s="130"/>
      <c r="D275" s="130"/>
      <c r="E275" s="130"/>
      <c r="F275" s="130"/>
      <c r="G275" s="130"/>
      <c r="H275" s="130"/>
      <c r="I275" s="130"/>
      <c r="J275" s="130"/>
      <c r="K275" s="130"/>
      <c r="L275" s="130"/>
      <c r="M275" s="130"/>
      <c r="N275" s="130"/>
      <c r="O275" s="130"/>
      <c r="P275" s="130"/>
    </row>
    <row r="276" spans="1:16" x14ac:dyDescent="0.2">
      <c r="A276" s="49" t="str">
        <v>0:00</v>
      </c>
      <c r="B276" s="108"/>
      <c r="C276" s="130"/>
      <c r="D276" s="130"/>
      <c r="E276" s="130"/>
      <c r="F276" s="130"/>
      <c r="G276" s="130"/>
      <c r="H276" s="130"/>
      <c r="I276" s="130"/>
      <c r="J276" s="130"/>
      <c r="K276" s="130"/>
      <c r="L276" s="130"/>
      <c r="M276" s="130"/>
      <c r="N276" s="130"/>
      <c r="O276" s="130"/>
      <c r="P276" s="130"/>
    </row>
    <row r="277" spans="1:16" x14ac:dyDescent="0.2">
      <c r="A277" s="49" t="str">
        <v>0:00</v>
      </c>
      <c r="B277" s="108"/>
      <c r="C277" s="130"/>
      <c r="D277" s="130"/>
      <c r="E277" s="130"/>
      <c r="F277" s="130"/>
      <c r="G277" s="130"/>
      <c r="H277" s="130"/>
      <c r="I277" s="130"/>
      <c r="J277" s="130"/>
      <c r="K277" s="130"/>
      <c r="L277" s="130"/>
      <c r="M277" s="130"/>
      <c r="N277" s="130"/>
      <c r="O277" s="130"/>
      <c r="P277" s="130"/>
    </row>
    <row r="278" spans="1:16" x14ac:dyDescent="0.2">
      <c r="A278" s="49" t="str">
        <v>0:00</v>
      </c>
      <c r="B278" s="108"/>
      <c r="C278" s="130"/>
      <c r="D278" s="130"/>
      <c r="E278" s="130"/>
      <c r="F278" s="130"/>
      <c r="G278" s="130"/>
      <c r="H278" s="130"/>
      <c r="I278" s="130"/>
      <c r="J278" s="130"/>
      <c r="K278" s="130"/>
      <c r="L278" s="130"/>
      <c r="M278" s="130"/>
      <c r="N278" s="130"/>
      <c r="O278" s="130"/>
      <c r="P278" s="130"/>
    </row>
    <row r="279" spans="1:16" x14ac:dyDescent="0.2">
      <c r="A279" s="49" t="str">
        <v>0:00</v>
      </c>
      <c r="B279" s="108"/>
      <c r="C279" s="130"/>
      <c r="D279" s="130"/>
      <c r="E279" s="130"/>
      <c r="F279" s="130"/>
      <c r="G279" s="130"/>
      <c r="H279" s="130"/>
      <c r="I279" s="130"/>
      <c r="J279" s="130"/>
      <c r="K279" s="130"/>
      <c r="L279" s="130"/>
      <c r="M279" s="130"/>
      <c r="N279" s="130"/>
      <c r="O279" s="130"/>
      <c r="P279" s="130"/>
    </row>
    <row r="280" spans="1:16" x14ac:dyDescent="0.2">
      <c r="A280" s="49" t="str">
        <v>0:00</v>
      </c>
      <c r="B280" s="108"/>
      <c r="C280" s="130"/>
      <c r="D280" s="130"/>
      <c r="E280" s="130"/>
      <c r="F280" s="130"/>
      <c r="G280" s="130"/>
      <c r="H280" s="130"/>
      <c r="I280" s="130"/>
      <c r="J280" s="130"/>
      <c r="K280" s="130"/>
      <c r="L280" s="130"/>
      <c r="M280" s="130"/>
      <c r="N280" s="130"/>
      <c r="O280" s="130"/>
      <c r="P280" s="130"/>
    </row>
    <row r="281" spans="1:16" x14ac:dyDescent="0.2">
      <c r="A281" s="49" t="str">
        <v>0:00</v>
      </c>
      <c r="B281" s="108"/>
      <c r="C281" s="130"/>
      <c r="D281" s="130"/>
      <c r="E281" s="130"/>
      <c r="F281" s="130"/>
      <c r="G281" s="130"/>
      <c r="H281" s="130"/>
      <c r="I281" s="130"/>
      <c r="J281" s="130"/>
      <c r="K281" s="130"/>
      <c r="L281" s="130"/>
      <c r="M281" s="130"/>
      <c r="N281" s="130"/>
      <c r="O281" s="130"/>
      <c r="P281" s="130"/>
    </row>
    <row r="282" spans="1:16" x14ac:dyDescent="0.2">
      <c r="A282" s="49" t="str">
        <v>0:00</v>
      </c>
      <c r="B282" s="108"/>
      <c r="C282" s="130"/>
      <c r="D282" s="130"/>
      <c r="E282" s="130"/>
      <c r="F282" s="130"/>
      <c r="G282" s="130"/>
      <c r="H282" s="130"/>
      <c r="I282" s="130"/>
      <c r="J282" s="130"/>
      <c r="K282" s="130"/>
      <c r="L282" s="130"/>
      <c r="M282" s="130"/>
      <c r="N282" s="130"/>
      <c r="O282" s="130"/>
      <c r="P282" s="130"/>
    </row>
    <row r="283" spans="1:16" x14ac:dyDescent="0.2">
      <c r="A283" s="49" t="str">
        <v>0:00</v>
      </c>
      <c r="B283" s="108"/>
      <c r="C283" s="130"/>
      <c r="D283" s="130"/>
      <c r="E283" s="130"/>
      <c r="F283" s="130"/>
      <c r="G283" s="130"/>
      <c r="H283" s="130"/>
      <c r="I283" s="130"/>
      <c r="J283" s="130"/>
      <c r="K283" s="130"/>
      <c r="L283" s="130"/>
      <c r="M283" s="130"/>
      <c r="N283" s="130"/>
      <c r="O283" s="130"/>
      <c r="P283" s="130"/>
    </row>
    <row r="284" spans="1:16" x14ac:dyDescent="0.2">
      <c r="A284" s="49" t="str">
        <v>0:00</v>
      </c>
      <c r="B284" s="108"/>
      <c r="C284" s="130"/>
      <c r="D284" s="130"/>
      <c r="E284" s="130"/>
      <c r="F284" s="130"/>
      <c r="G284" s="130"/>
      <c r="H284" s="130"/>
      <c r="I284" s="130"/>
      <c r="J284" s="130"/>
      <c r="K284" s="130"/>
      <c r="L284" s="130"/>
      <c r="M284" s="130"/>
      <c r="N284" s="130"/>
      <c r="O284" s="130"/>
      <c r="P284" s="130"/>
    </row>
    <row r="285" spans="1:16" x14ac:dyDescent="0.2">
      <c r="A285" s="49" t="str">
        <v>0:00</v>
      </c>
      <c r="B285" s="108"/>
      <c r="C285" s="130"/>
      <c r="D285" s="130"/>
      <c r="E285" s="130"/>
      <c r="F285" s="130"/>
      <c r="G285" s="130"/>
      <c r="H285" s="130"/>
      <c r="I285" s="130"/>
      <c r="J285" s="130"/>
      <c r="K285" s="130"/>
      <c r="L285" s="130"/>
      <c r="M285" s="130"/>
      <c r="N285" s="130"/>
      <c r="O285" s="130"/>
      <c r="P285" s="130"/>
    </row>
    <row r="286" spans="1:16" x14ac:dyDescent="0.2">
      <c r="A286" s="49" t="str">
        <v>0:00</v>
      </c>
      <c r="B286" s="108"/>
      <c r="C286" s="130"/>
      <c r="D286" s="130"/>
      <c r="E286" s="130"/>
      <c r="F286" s="130"/>
      <c r="G286" s="130"/>
      <c r="H286" s="130"/>
      <c r="I286" s="130"/>
      <c r="J286" s="130"/>
      <c r="K286" s="130"/>
      <c r="L286" s="130"/>
      <c r="M286" s="130"/>
      <c r="N286" s="130"/>
      <c r="O286" s="130"/>
      <c r="P286" s="130"/>
    </row>
    <row r="287" spans="1:16" x14ac:dyDescent="0.2">
      <c r="A287" s="49" t="str">
        <v>0:00</v>
      </c>
      <c r="B287" s="108"/>
      <c r="C287" s="130"/>
      <c r="D287" s="130"/>
      <c r="E287" s="130"/>
      <c r="F287" s="130"/>
      <c r="G287" s="130"/>
      <c r="H287" s="130"/>
      <c r="I287" s="130"/>
      <c r="J287" s="130"/>
      <c r="K287" s="130"/>
      <c r="L287" s="130"/>
      <c r="M287" s="130"/>
      <c r="N287" s="130"/>
      <c r="O287" s="130"/>
      <c r="P287" s="130"/>
    </row>
    <row r="288" spans="1:16" x14ac:dyDescent="0.2">
      <c r="A288" s="49" t="str">
        <v>0:00</v>
      </c>
      <c r="B288" s="108"/>
      <c r="C288" s="130"/>
      <c r="D288" s="130"/>
      <c r="E288" s="130"/>
      <c r="F288" s="130"/>
      <c r="G288" s="130"/>
      <c r="H288" s="130"/>
      <c r="I288" s="130"/>
      <c r="J288" s="130"/>
      <c r="K288" s="130"/>
      <c r="L288" s="130"/>
      <c r="M288" s="130"/>
      <c r="N288" s="130"/>
      <c r="O288" s="130"/>
      <c r="P288" s="130"/>
    </row>
    <row r="289" spans="1:16" x14ac:dyDescent="0.2">
      <c r="A289" s="49" t="str">
        <v>0:00</v>
      </c>
      <c r="B289" s="108"/>
      <c r="C289" s="130"/>
      <c r="D289" s="130"/>
      <c r="E289" s="130"/>
      <c r="F289" s="130"/>
      <c r="G289" s="130"/>
      <c r="H289" s="130"/>
      <c r="I289" s="130"/>
      <c r="J289" s="130"/>
      <c r="K289" s="130"/>
      <c r="L289" s="130"/>
      <c r="M289" s="130"/>
      <c r="N289" s="130"/>
      <c r="O289" s="130"/>
      <c r="P289" s="130"/>
    </row>
    <row r="290" spans="1:16" x14ac:dyDescent="0.2">
      <c r="A290" s="49" t="str">
        <v>0:00</v>
      </c>
      <c r="B290" s="108"/>
      <c r="C290" s="130"/>
      <c r="D290" s="130"/>
      <c r="E290" s="130"/>
      <c r="F290" s="130"/>
      <c r="G290" s="130"/>
      <c r="H290" s="130"/>
      <c r="I290" s="130"/>
      <c r="J290" s="130"/>
      <c r="K290" s="130"/>
      <c r="L290" s="130"/>
      <c r="M290" s="130"/>
      <c r="N290" s="130"/>
      <c r="O290" s="130"/>
      <c r="P290" s="130"/>
    </row>
    <row r="291" spans="1:16" x14ac:dyDescent="0.2">
      <c r="A291" s="49" t="str">
        <v>0:00</v>
      </c>
      <c r="B291" s="108"/>
      <c r="C291" s="130"/>
      <c r="D291" s="130"/>
      <c r="E291" s="130"/>
      <c r="F291" s="130"/>
      <c r="G291" s="130"/>
      <c r="H291" s="130"/>
      <c r="I291" s="130"/>
      <c r="J291" s="130"/>
      <c r="K291" s="130"/>
      <c r="L291" s="130"/>
      <c r="M291" s="130"/>
      <c r="N291" s="130"/>
      <c r="O291" s="130"/>
      <c r="P291" s="130"/>
    </row>
    <row r="292" spans="1:16" x14ac:dyDescent="0.2">
      <c r="A292" s="49" t="str">
        <v>0:00</v>
      </c>
      <c r="B292" s="108"/>
      <c r="C292" s="130"/>
      <c r="D292" s="130"/>
      <c r="E292" s="130"/>
      <c r="F292" s="130"/>
      <c r="G292" s="130"/>
      <c r="H292" s="130"/>
      <c r="I292" s="130"/>
      <c r="J292" s="130"/>
      <c r="K292" s="130"/>
      <c r="L292" s="130"/>
      <c r="M292" s="130"/>
      <c r="N292" s="130"/>
      <c r="O292" s="130"/>
      <c r="P292" s="130"/>
    </row>
    <row r="293" spans="1:16" x14ac:dyDescent="0.2">
      <c r="A293" s="49" t="str">
        <v>0:00</v>
      </c>
      <c r="B293" s="108"/>
      <c r="C293" s="130"/>
      <c r="D293" s="130"/>
      <c r="E293" s="130"/>
      <c r="F293" s="130"/>
      <c r="G293" s="130"/>
      <c r="H293" s="130"/>
      <c r="I293" s="130"/>
      <c r="J293" s="130"/>
      <c r="K293" s="130"/>
      <c r="L293" s="130"/>
      <c r="M293" s="130"/>
      <c r="N293" s="130"/>
      <c r="O293" s="130"/>
      <c r="P293" s="130"/>
    </row>
    <row r="294" spans="1:16" x14ac:dyDescent="0.2">
      <c r="A294" s="49" t="str">
        <v>0:00</v>
      </c>
      <c r="B294" s="108"/>
      <c r="C294" s="130"/>
      <c r="D294" s="130"/>
      <c r="E294" s="130"/>
      <c r="F294" s="130"/>
      <c r="G294" s="130"/>
      <c r="H294" s="130"/>
      <c r="I294" s="130"/>
      <c r="J294" s="130"/>
      <c r="K294" s="130"/>
      <c r="L294" s="130"/>
      <c r="M294" s="130"/>
      <c r="N294" s="130"/>
      <c r="O294" s="130"/>
      <c r="P294" s="130"/>
    </row>
    <row r="295" spans="1:16" x14ac:dyDescent="0.2">
      <c r="A295" s="49" t="str">
        <v>0:00</v>
      </c>
      <c r="B295" s="108"/>
      <c r="C295" s="130"/>
      <c r="D295" s="130"/>
      <c r="E295" s="130"/>
      <c r="F295" s="130"/>
      <c r="G295" s="130"/>
      <c r="H295" s="130"/>
      <c r="I295" s="130"/>
      <c r="J295" s="130"/>
      <c r="K295" s="130"/>
      <c r="L295" s="130"/>
      <c r="M295" s="130"/>
      <c r="N295" s="130"/>
      <c r="O295" s="130"/>
      <c r="P295" s="130"/>
    </row>
    <row r="296" spans="1:16" x14ac:dyDescent="0.2">
      <c r="A296" s="49" t="str">
        <v>0:00</v>
      </c>
      <c r="B296" s="108"/>
      <c r="C296" s="130"/>
      <c r="D296" s="130"/>
      <c r="E296" s="130"/>
      <c r="F296" s="130"/>
      <c r="G296" s="130"/>
      <c r="H296" s="130"/>
      <c r="I296" s="130"/>
      <c r="J296" s="130"/>
      <c r="K296" s="130"/>
      <c r="L296" s="130"/>
      <c r="M296" s="130"/>
      <c r="N296" s="130"/>
      <c r="O296" s="130"/>
      <c r="P296" s="130"/>
    </row>
    <row r="297" spans="1:16" x14ac:dyDescent="0.2">
      <c r="A297" s="49" t="str">
        <v>0:00</v>
      </c>
      <c r="B297" s="108"/>
      <c r="C297" s="130"/>
      <c r="D297" s="130"/>
      <c r="E297" s="130"/>
      <c r="F297" s="130"/>
      <c r="G297" s="130"/>
      <c r="H297" s="130"/>
      <c r="I297" s="130"/>
      <c r="J297" s="130"/>
      <c r="K297" s="130"/>
      <c r="L297" s="130"/>
      <c r="M297" s="130"/>
      <c r="N297" s="130"/>
      <c r="O297" s="130"/>
      <c r="P297" s="130"/>
    </row>
    <row r="298" spans="1:16" x14ac:dyDescent="0.2">
      <c r="A298" s="49" t="str">
        <v>0:00</v>
      </c>
      <c r="B298" s="108"/>
      <c r="C298" s="130"/>
      <c r="D298" s="130"/>
      <c r="E298" s="130"/>
      <c r="F298" s="130"/>
      <c r="G298" s="130"/>
      <c r="H298" s="130"/>
      <c r="I298" s="130"/>
      <c r="J298" s="130"/>
      <c r="K298" s="130"/>
      <c r="L298" s="130"/>
      <c r="M298" s="130"/>
      <c r="N298" s="130"/>
      <c r="O298" s="130"/>
      <c r="P298" s="130"/>
    </row>
    <row r="299" spans="1:16" x14ac:dyDescent="0.2">
      <c r="A299" s="49" t="str">
        <v>0:00</v>
      </c>
      <c r="B299" s="108"/>
      <c r="C299" s="130"/>
      <c r="D299" s="130"/>
      <c r="E299" s="130"/>
      <c r="F299" s="130"/>
      <c r="G299" s="130"/>
      <c r="H299" s="130"/>
      <c r="I299" s="130"/>
      <c r="J299" s="130"/>
      <c r="K299" s="130"/>
      <c r="L299" s="130"/>
      <c r="M299" s="130"/>
      <c r="N299" s="130"/>
      <c r="O299" s="130"/>
      <c r="P299" s="130"/>
    </row>
    <row r="300" spans="1:16" x14ac:dyDescent="0.2">
      <c r="A300" s="49" t="str">
        <v>0:00</v>
      </c>
      <c r="B300" s="108"/>
      <c r="C300" s="130"/>
      <c r="D300" s="130"/>
      <c r="E300" s="130"/>
      <c r="F300" s="130"/>
      <c r="G300" s="130"/>
      <c r="H300" s="130"/>
      <c r="I300" s="130"/>
      <c r="J300" s="130"/>
      <c r="K300" s="130"/>
      <c r="L300" s="130"/>
      <c r="M300" s="130"/>
      <c r="N300" s="130"/>
      <c r="O300" s="130"/>
      <c r="P300" s="130"/>
    </row>
    <row r="301" spans="1:16" x14ac:dyDescent="0.2">
      <c r="A301" s="49" t="str">
        <v>0:00</v>
      </c>
      <c r="B301" s="108"/>
      <c r="C301" s="130"/>
      <c r="D301" s="130"/>
      <c r="E301" s="130"/>
      <c r="F301" s="130"/>
      <c r="G301" s="130"/>
      <c r="H301" s="130"/>
      <c r="I301" s="130"/>
      <c r="J301" s="130"/>
      <c r="K301" s="130"/>
      <c r="L301" s="130"/>
      <c r="M301" s="130"/>
      <c r="N301" s="130"/>
      <c r="O301" s="130"/>
      <c r="P301" s="130"/>
    </row>
    <row r="302" spans="1:16" x14ac:dyDescent="0.2">
      <c r="A302" s="49" t="str">
        <v>0:00</v>
      </c>
      <c r="B302" s="108"/>
      <c r="C302" s="130"/>
      <c r="D302" s="130"/>
      <c r="E302" s="130"/>
      <c r="F302" s="130"/>
      <c r="G302" s="130"/>
      <c r="H302" s="130"/>
      <c r="I302" s="130"/>
      <c r="J302" s="130"/>
      <c r="K302" s="130"/>
      <c r="L302" s="130"/>
      <c r="M302" s="130"/>
      <c r="N302" s="130"/>
      <c r="O302" s="130"/>
      <c r="P302" s="130"/>
    </row>
    <row r="303" spans="1:16" x14ac:dyDescent="0.2">
      <c r="A303" s="49" t="str">
        <v>0:00</v>
      </c>
      <c r="B303" s="108"/>
      <c r="C303" s="130"/>
      <c r="D303" s="130"/>
      <c r="E303" s="130"/>
      <c r="F303" s="130"/>
      <c r="G303" s="130"/>
      <c r="H303" s="130"/>
      <c r="I303" s="130"/>
      <c r="J303" s="130"/>
      <c r="K303" s="130"/>
      <c r="L303" s="130"/>
      <c r="M303" s="130"/>
      <c r="N303" s="130"/>
      <c r="O303" s="130"/>
      <c r="P303" s="130"/>
    </row>
    <row r="304" spans="1:16" x14ac:dyDescent="0.2">
      <c r="A304" s="49" t="str">
        <v>0:00</v>
      </c>
      <c r="B304" s="108"/>
      <c r="C304" s="130"/>
      <c r="D304" s="130"/>
      <c r="E304" s="130"/>
      <c r="F304" s="130"/>
      <c r="G304" s="130"/>
      <c r="H304" s="130"/>
      <c r="I304" s="130"/>
      <c r="J304" s="130"/>
      <c r="K304" s="130"/>
      <c r="L304" s="130"/>
      <c r="M304" s="130"/>
      <c r="N304" s="130"/>
      <c r="O304" s="130"/>
      <c r="P304" s="130"/>
    </row>
    <row r="305" spans="1:16" x14ac:dyDescent="0.2">
      <c r="A305" s="49" t="str">
        <v>0:00</v>
      </c>
      <c r="B305" s="108"/>
      <c r="C305" s="130"/>
      <c r="D305" s="130"/>
      <c r="E305" s="130"/>
      <c r="F305" s="130"/>
      <c r="G305" s="130"/>
      <c r="H305" s="130"/>
      <c r="I305" s="130"/>
      <c r="J305" s="130"/>
      <c r="K305" s="130"/>
      <c r="L305" s="130"/>
      <c r="M305" s="130"/>
      <c r="N305" s="130"/>
      <c r="O305" s="130"/>
      <c r="P305" s="130"/>
    </row>
    <row r="306" spans="1:16" x14ac:dyDescent="0.2">
      <c r="A306" s="49" t="str">
        <v>0:00</v>
      </c>
      <c r="B306" s="108"/>
      <c r="C306" s="130"/>
      <c r="D306" s="130"/>
      <c r="E306" s="130"/>
      <c r="F306" s="130"/>
      <c r="G306" s="130"/>
      <c r="H306" s="130"/>
      <c r="I306" s="130"/>
      <c r="J306" s="130"/>
      <c r="K306" s="130"/>
      <c r="L306" s="130"/>
      <c r="M306" s="130"/>
      <c r="N306" s="130"/>
      <c r="O306" s="130"/>
      <c r="P306" s="130"/>
    </row>
    <row r="307" spans="1:16" x14ac:dyDescent="0.2">
      <c r="A307" s="49" t="str">
        <v>0:00</v>
      </c>
      <c r="B307" s="108"/>
      <c r="C307" s="130"/>
      <c r="D307" s="130"/>
      <c r="E307" s="130"/>
      <c r="F307" s="130"/>
      <c r="G307" s="130"/>
      <c r="H307" s="130"/>
      <c r="I307" s="130"/>
      <c r="J307" s="130"/>
      <c r="K307" s="130"/>
      <c r="L307" s="130"/>
      <c r="M307" s="130"/>
      <c r="N307" s="130"/>
      <c r="O307" s="130"/>
      <c r="P307" s="130"/>
    </row>
    <row r="308" spans="1:16" x14ac:dyDescent="0.2">
      <c r="A308" s="49" t="str">
        <v>0:00</v>
      </c>
      <c r="B308" s="108"/>
      <c r="C308" s="130"/>
      <c r="D308" s="130"/>
      <c r="E308" s="130"/>
      <c r="F308" s="130"/>
      <c r="G308" s="130"/>
      <c r="H308" s="130"/>
      <c r="I308" s="130"/>
      <c r="J308" s="130"/>
      <c r="K308" s="130"/>
      <c r="L308" s="130"/>
      <c r="M308" s="130"/>
      <c r="N308" s="130"/>
      <c r="O308" s="130"/>
      <c r="P308" s="130"/>
    </row>
    <row r="309" spans="1:16" x14ac:dyDescent="0.2">
      <c r="A309" s="49" t="str">
        <v>0:00</v>
      </c>
      <c r="B309" s="108"/>
      <c r="C309" s="130"/>
      <c r="D309" s="130"/>
      <c r="E309" s="130"/>
      <c r="F309" s="130"/>
      <c r="G309" s="130"/>
      <c r="H309" s="130"/>
      <c r="I309" s="130"/>
      <c r="J309" s="130"/>
      <c r="K309" s="130"/>
      <c r="L309" s="130"/>
      <c r="M309" s="130"/>
      <c r="N309" s="130"/>
      <c r="O309" s="130"/>
      <c r="P309" s="130"/>
    </row>
    <row r="310" spans="1:16" x14ac:dyDescent="0.2">
      <c r="A310" s="49" t="str">
        <v>0:00</v>
      </c>
      <c r="B310" s="108"/>
      <c r="C310" s="130"/>
      <c r="D310" s="130"/>
      <c r="E310" s="130"/>
      <c r="F310" s="130"/>
      <c r="G310" s="130"/>
      <c r="H310" s="130"/>
      <c r="I310" s="130"/>
      <c r="J310" s="130"/>
      <c r="K310" s="130"/>
      <c r="L310" s="130"/>
      <c r="M310" s="130"/>
      <c r="N310" s="130"/>
      <c r="O310" s="130"/>
      <c r="P310" s="130"/>
    </row>
    <row r="311" spans="1:16" x14ac:dyDescent="0.2">
      <c r="A311" s="49" t="str">
        <v>0:00</v>
      </c>
      <c r="B311" s="108"/>
      <c r="C311" s="130"/>
      <c r="D311" s="130"/>
      <c r="E311" s="130"/>
      <c r="F311" s="130"/>
      <c r="G311" s="130"/>
      <c r="H311" s="130"/>
      <c r="I311" s="130"/>
      <c r="J311" s="130"/>
      <c r="K311" s="130"/>
      <c r="L311" s="130"/>
      <c r="M311" s="130"/>
      <c r="N311" s="130"/>
      <c r="O311" s="130"/>
      <c r="P311" s="130"/>
    </row>
    <row r="312" spans="1:16" x14ac:dyDescent="0.2">
      <c r="A312" s="49" t="str">
        <v>0:00</v>
      </c>
      <c r="B312" s="108"/>
      <c r="C312" s="130"/>
      <c r="D312" s="130"/>
      <c r="E312" s="130"/>
      <c r="F312" s="130"/>
      <c r="G312" s="130"/>
      <c r="H312" s="130"/>
      <c r="I312" s="130"/>
      <c r="J312" s="130"/>
      <c r="K312" s="130"/>
      <c r="L312" s="130"/>
      <c r="M312" s="130"/>
      <c r="N312" s="130"/>
      <c r="O312" s="130"/>
      <c r="P312" s="130"/>
    </row>
    <row r="313" spans="1:16" x14ac:dyDescent="0.2">
      <c r="A313" s="49" t="str">
        <v>0:00</v>
      </c>
      <c r="B313" s="108"/>
      <c r="C313" s="130"/>
      <c r="D313" s="130"/>
      <c r="E313" s="130"/>
      <c r="F313" s="130"/>
      <c r="G313" s="130"/>
      <c r="H313" s="130"/>
      <c r="I313" s="130"/>
      <c r="J313" s="130"/>
      <c r="K313" s="130"/>
      <c r="L313" s="130"/>
      <c r="M313" s="130"/>
      <c r="N313" s="130"/>
      <c r="O313" s="130"/>
      <c r="P313" s="130"/>
    </row>
    <row r="314" spans="1:16" x14ac:dyDescent="0.2">
      <c r="A314" s="49" t="str">
        <v>0:00</v>
      </c>
      <c r="B314" s="108"/>
      <c r="C314" s="130"/>
      <c r="D314" s="130"/>
      <c r="E314" s="130"/>
      <c r="F314" s="130"/>
      <c r="G314" s="130"/>
      <c r="H314" s="130"/>
      <c r="I314" s="130"/>
      <c r="J314" s="130"/>
      <c r="K314" s="130"/>
      <c r="L314" s="130"/>
      <c r="M314" s="130"/>
      <c r="N314" s="130"/>
      <c r="O314" s="130"/>
      <c r="P314" s="130"/>
    </row>
    <row r="315" spans="1:16" x14ac:dyDescent="0.2">
      <c r="A315" s="49" t="str">
        <v>0:00</v>
      </c>
      <c r="B315" s="108"/>
      <c r="C315" s="130"/>
      <c r="D315" s="130"/>
      <c r="E315" s="130"/>
      <c r="F315" s="130"/>
      <c r="G315" s="130"/>
      <c r="H315" s="130"/>
      <c r="I315" s="130"/>
      <c r="J315" s="130"/>
      <c r="K315" s="130"/>
      <c r="L315" s="130"/>
      <c r="M315" s="130"/>
      <c r="N315" s="130"/>
      <c r="O315" s="130"/>
      <c r="P315" s="130"/>
    </row>
    <row r="316" spans="1:16" x14ac:dyDescent="0.2">
      <c r="A316" s="49" t="str">
        <v>0:00</v>
      </c>
      <c r="B316" s="108"/>
      <c r="C316" s="130"/>
      <c r="D316" s="130"/>
      <c r="E316" s="130"/>
      <c r="F316" s="130"/>
      <c r="G316" s="130"/>
      <c r="H316" s="130"/>
      <c r="I316" s="130"/>
      <c r="J316" s="130"/>
      <c r="K316" s="130"/>
      <c r="L316" s="130"/>
      <c r="M316" s="130"/>
      <c r="N316" s="130"/>
      <c r="O316" s="130"/>
      <c r="P316" s="130"/>
    </row>
    <row r="317" spans="1:16" x14ac:dyDescent="0.2">
      <c r="A317" s="49" t="str">
        <v>0:00</v>
      </c>
      <c r="B317" s="108"/>
      <c r="C317" s="130"/>
      <c r="D317" s="130"/>
      <c r="E317" s="130"/>
      <c r="F317" s="130"/>
      <c r="G317" s="130"/>
      <c r="H317" s="130"/>
      <c r="I317" s="130"/>
      <c r="J317" s="130"/>
      <c r="K317" s="130"/>
      <c r="L317" s="130"/>
      <c r="M317" s="130"/>
      <c r="N317" s="130"/>
      <c r="O317" s="130"/>
      <c r="P317" s="130"/>
    </row>
    <row r="318" spans="1:16" x14ac:dyDescent="0.2">
      <c r="A318" s="49" t="str">
        <v>0:00</v>
      </c>
      <c r="B318" s="108"/>
      <c r="C318" s="130"/>
      <c r="D318" s="130"/>
      <c r="E318" s="130"/>
      <c r="F318" s="130"/>
      <c r="G318" s="130"/>
      <c r="H318" s="130"/>
      <c r="I318" s="130"/>
      <c r="J318" s="130"/>
      <c r="K318" s="130"/>
      <c r="L318" s="130"/>
      <c r="M318" s="130"/>
      <c r="N318" s="130"/>
      <c r="O318" s="130"/>
      <c r="P318" s="130"/>
    </row>
    <row r="319" spans="1:16" x14ac:dyDescent="0.2">
      <c r="A319" s="49" t="str">
        <v>0:00</v>
      </c>
      <c r="B319" s="108"/>
      <c r="C319" s="130"/>
      <c r="D319" s="130"/>
      <c r="E319" s="130"/>
      <c r="F319" s="130"/>
      <c r="G319" s="130"/>
      <c r="H319" s="130"/>
      <c r="I319" s="130"/>
      <c r="J319" s="130"/>
      <c r="K319" s="130"/>
      <c r="L319" s="130"/>
      <c r="M319" s="130"/>
      <c r="N319" s="130"/>
      <c r="O319" s="130"/>
      <c r="P319" s="130"/>
    </row>
    <row r="320" spans="1:16" x14ac:dyDescent="0.2">
      <c r="A320" s="49" t="str">
        <v>0:00</v>
      </c>
      <c r="B320" s="108"/>
      <c r="C320" s="130"/>
      <c r="D320" s="130"/>
      <c r="E320" s="130"/>
      <c r="F320" s="130"/>
      <c r="G320" s="130"/>
      <c r="H320" s="130"/>
      <c r="I320" s="130"/>
      <c r="J320" s="130"/>
      <c r="K320" s="130"/>
      <c r="L320" s="130"/>
      <c r="M320" s="130"/>
      <c r="N320" s="130"/>
      <c r="O320" s="130"/>
      <c r="P320" s="130"/>
    </row>
    <row r="321" spans="1:16" x14ac:dyDescent="0.2">
      <c r="A321" s="49" t="str">
        <v>0:00</v>
      </c>
      <c r="B321" s="108"/>
      <c r="C321" s="130"/>
      <c r="D321" s="130"/>
      <c r="E321" s="130"/>
      <c r="F321" s="130"/>
      <c r="G321" s="130"/>
      <c r="H321" s="130"/>
      <c r="I321" s="130"/>
      <c r="J321" s="130"/>
      <c r="K321" s="130"/>
      <c r="L321" s="130"/>
      <c r="M321" s="130"/>
      <c r="N321" s="130"/>
      <c r="O321" s="130"/>
      <c r="P321" s="130"/>
    </row>
    <row r="322" spans="1:16" x14ac:dyDescent="0.2">
      <c r="A322" s="49" t="str">
        <v>0:00</v>
      </c>
      <c r="B322" s="108"/>
      <c r="C322" s="130"/>
      <c r="D322" s="130"/>
      <c r="E322" s="130"/>
      <c r="F322" s="130"/>
      <c r="G322" s="130"/>
      <c r="H322" s="130"/>
      <c r="I322" s="130"/>
      <c r="J322" s="130"/>
      <c r="K322" s="130"/>
      <c r="L322" s="130"/>
      <c r="M322" s="130"/>
      <c r="N322" s="130"/>
      <c r="O322" s="130"/>
      <c r="P322" s="130"/>
    </row>
    <row r="323" spans="1:16" x14ac:dyDescent="0.2">
      <c r="A323" s="49" t="str">
        <v>0:00</v>
      </c>
      <c r="B323" s="108"/>
      <c r="C323" s="130"/>
      <c r="D323" s="130"/>
      <c r="E323" s="130"/>
      <c r="F323" s="130"/>
      <c r="G323" s="130"/>
      <c r="H323" s="130"/>
      <c r="I323" s="130"/>
      <c r="J323" s="130"/>
      <c r="K323" s="130"/>
      <c r="L323" s="130"/>
      <c r="M323" s="130"/>
      <c r="N323" s="130"/>
      <c r="O323" s="130"/>
      <c r="P323" s="130"/>
    </row>
    <row r="324" spans="1:16" x14ac:dyDescent="0.2">
      <c r="A324" s="49" t="str">
        <v>0:00</v>
      </c>
      <c r="B324" s="108"/>
      <c r="C324" s="130"/>
      <c r="D324" s="130"/>
      <c r="E324" s="130"/>
      <c r="F324" s="130"/>
      <c r="G324" s="130"/>
      <c r="H324" s="130"/>
      <c r="I324" s="130"/>
      <c r="J324" s="130"/>
      <c r="K324" s="130"/>
      <c r="L324" s="130"/>
      <c r="M324" s="130"/>
      <c r="N324" s="130"/>
      <c r="O324" s="130"/>
      <c r="P324" s="130"/>
    </row>
    <row r="325" spans="1:16" x14ac:dyDescent="0.2">
      <c r="A325" s="49" t="str">
        <v>0:00</v>
      </c>
      <c r="B325" s="108"/>
      <c r="C325" s="130"/>
      <c r="D325" s="130"/>
      <c r="E325" s="130"/>
      <c r="F325" s="130"/>
      <c r="G325" s="130"/>
      <c r="H325" s="130"/>
      <c r="I325" s="130"/>
      <c r="J325" s="130"/>
      <c r="K325" s="130"/>
      <c r="L325" s="130"/>
      <c r="M325" s="130"/>
      <c r="N325" s="130"/>
      <c r="O325" s="130"/>
      <c r="P325" s="130"/>
    </row>
    <row r="326" spans="1:16" x14ac:dyDescent="0.2">
      <c r="A326" s="49" t="str">
        <v>0:00</v>
      </c>
      <c r="B326" s="108"/>
      <c r="C326" s="130"/>
      <c r="D326" s="130"/>
      <c r="E326" s="130"/>
      <c r="F326" s="130"/>
      <c r="G326" s="130"/>
      <c r="H326" s="130"/>
      <c r="I326" s="130"/>
      <c r="J326" s="130"/>
      <c r="K326" s="130"/>
      <c r="L326" s="130"/>
      <c r="M326" s="130"/>
      <c r="N326" s="130"/>
      <c r="O326" s="130"/>
      <c r="P326" s="130"/>
    </row>
    <row r="327" spans="1:16" x14ac:dyDescent="0.2">
      <c r="A327" s="49" t="str">
        <v>0:00</v>
      </c>
      <c r="B327" s="108"/>
      <c r="C327" s="130"/>
      <c r="D327" s="130"/>
      <c r="E327" s="130"/>
      <c r="F327" s="130"/>
      <c r="G327" s="130"/>
      <c r="H327" s="130"/>
      <c r="I327" s="130"/>
      <c r="J327" s="130"/>
      <c r="K327" s="130"/>
      <c r="L327" s="130"/>
      <c r="M327" s="130"/>
      <c r="N327" s="130"/>
      <c r="O327" s="130"/>
      <c r="P327" s="130"/>
    </row>
    <row r="328" spans="1:16" x14ac:dyDescent="0.2">
      <c r="A328" s="49" t="str">
        <v>0:00</v>
      </c>
      <c r="B328" s="108"/>
      <c r="C328" s="130"/>
      <c r="D328" s="130"/>
      <c r="E328" s="130"/>
      <c r="F328" s="130"/>
      <c r="G328" s="130"/>
      <c r="H328" s="130"/>
      <c r="I328" s="130"/>
      <c r="J328" s="130"/>
      <c r="K328" s="130"/>
      <c r="L328" s="130"/>
      <c r="M328" s="130"/>
      <c r="N328" s="130"/>
      <c r="O328" s="130"/>
      <c r="P328" s="130"/>
    </row>
    <row r="329" spans="1:16" x14ac:dyDescent="0.2">
      <c r="A329" s="49" t="str">
        <v>0:00</v>
      </c>
      <c r="B329" s="108"/>
      <c r="C329" s="130"/>
      <c r="D329" s="130"/>
      <c r="E329" s="130"/>
      <c r="F329" s="130"/>
      <c r="G329" s="130"/>
      <c r="H329" s="130"/>
      <c r="I329" s="130"/>
      <c r="J329" s="130"/>
      <c r="K329" s="130"/>
      <c r="L329" s="130"/>
      <c r="M329" s="130"/>
      <c r="N329" s="130"/>
      <c r="O329" s="130"/>
      <c r="P329" s="130"/>
    </row>
    <row r="330" spans="1:16" x14ac:dyDescent="0.2">
      <c r="A330" s="49" t="str">
        <v>0:00</v>
      </c>
      <c r="B330" s="108"/>
      <c r="C330" s="130"/>
      <c r="D330" s="130"/>
      <c r="E330" s="130"/>
      <c r="F330" s="130"/>
      <c r="G330" s="130"/>
      <c r="H330" s="130"/>
      <c r="I330" s="130"/>
      <c r="J330" s="130"/>
      <c r="K330" s="130"/>
      <c r="L330" s="130"/>
      <c r="M330" s="130"/>
      <c r="N330" s="130"/>
      <c r="O330" s="130"/>
      <c r="P330" s="130"/>
    </row>
    <row r="331" spans="1:16" x14ac:dyDescent="0.2">
      <c r="A331" s="49" t="str">
        <v>0:00</v>
      </c>
      <c r="B331" s="108"/>
      <c r="C331" s="130"/>
      <c r="D331" s="130"/>
      <c r="E331" s="130"/>
      <c r="F331" s="130"/>
      <c r="G331" s="130"/>
      <c r="H331" s="130"/>
      <c r="I331" s="130"/>
      <c r="J331" s="130"/>
      <c r="K331" s="130"/>
      <c r="L331" s="130"/>
      <c r="M331" s="130"/>
      <c r="N331" s="130"/>
      <c r="O331" s="130"/>
      <c r="P331" s="130"/>
    </row>
    <row r="332" spans="1:16" x14ac:dyDescent="0.2">
      <c r="A332" s="49" t="str">
        <v>0:00</v>
      </c>
      <c r="B332" s="108"/>
      <c r="C332" s="130"/>
      <c r="D332" s="130"/>
      <c r="E332" s="130"/>
      <c r="F332" s="130"/>
      <c r="G332" s="130"/>
      <c r="H332" s="130"/>
      <c r="I332" s="130"/>
      <c r="J332" s="130"/>
      <c r="K332" s="130"/>
      <c r="L332" s="130"/>
      <c r="M332" s="130"/>
      <c r="N332" s="130"/>
      <c r="O332" s="130"/>
      <c r="P332" s="130"/>
    </row>
    <row r="333" spans="1:16" x14ac:dyDescent="0.2">
      <c r="A333" s="49" t="str">
        <v>0:00</v>
      </c>
      <c r="B333" s="108"/>
      <c r="C333" s="130"/>
      <c r="D333" s="130"/>
      <c r="E333" s="130"/>
      <c r="F333" s="130"/>
      <c r="G333" s="130"/>
      <c r="H333" s="130"/>
      <c r="I333" s="130"/>
      <c r="J333" s="130"/>
      <c r="K333" s="130"/>
      <c r="L333" s="130"/>
      <c r="M333" s="130"/>
      <c r="N333" s="130"/>
      <c r="O333" s="130"/>
      <c r="P333" s="130"/>
    </row>
    <row r="334" spans="1:16" x14ac:dyDescent="0.2">
      <c r="A334" s="49" t="str">
        <v>0:00</v>
      </c>
      <c r="B334" s="108"/>
      <c r="C334" s="130"/>
      <c r="D334" s="130"/>
      <c r="E334" s="130"/>
      <c r="F334" s="130"/>
      <c r="G334" s="130"/>
      <c r="H334" s="130"/>
      <c r="I334" s="130"/>
      <c r="J334" s="130"/>
      <c r="K334" s="130"/>
      <c r="L334" s="130"/>
      <c r="M334" s="130"/>
      <c r="N334" s="130"/>
      <c r="O334" s="130"/>
      <c r="P334" s="130"/>
    </row>
    <row r="335" spans="1:16" x14ac:dyDescent="0.2">
      <c r="A335" s="49" t="str">
        <v>0:00</v>
      </c>
      <c r="B335" s="108"/>
      <c r="C335" s="130"/>
      <c r="D335" s="130"/>
      <c r="E335" s="130"/>
      <c r="F335" s="130"/>
      <c r="G335" s="130"/>
      <c r="H335" s="130"/>
      <c r="I335" s="130"/>
      <c r="J335" s="130"/>
      <c r="K335" s="130"/>
      <c r="L335" s="130"/>
      <c r="M335" s="130"/>
      <c r="N335" s="130"/>
      <c r="O335" s="130"/>
      <c r="P335" s="130"/>
    </row>
    <row r="336" spans="1:16" x14ac:dyDescent="0.2">
      <c r="A336" s="49" t="str">
        <v>0:00</v>
      </c>
      <c r="B336" s="108"/>
      <c r="C336" s="130"/>
      <c r="D336" s="130"/>
      <c r="E336" s="130"/>
      <c r="F336" s="130"/>
      <c r="G336" s="130"/>
      <c r="H336" s="130"/>
      <c r="I336" s="130"/>
      <c r="J336" s="130"/>
      <c r="K336" s="130"/>
      <c r="L336" s="130"/>
      <c r="M336" s="130"/>
      <c r="N336" s="130"/>
      <c r="O336" s="130"/>
      <c r="P336" s="130"/>
    </row>
    <row r="337" spans="1:16" x14ac:dyDescent="0.2">
      <c r="A337" s="49" t="str">
        <v>0:00</v>
      </c>
      <c r="B337" s="108"/>
      <c r="C337" s="130"/>
      <c r="D337" s="130"/>
      <c r="E337" s="130"/>
      <c r="F337" s="130"/>
      <c r="G337" s="130"/>
      <c r="H337" s="130"/>
      <c r="I337" s="130"/>
      <c r="J337" s="130"/>
      <c r="K337" s="130"/>
      <c r="L337" s="130"/>
      <c r="M337" s="130"/>
      <c r="N337" s="130"/>
      <c r="O337" s="130"/>
      <c r="P337" s="130"/>
    </row>
    <row r="338" spans="1:16" x14ac:dyDescent="0.2">
      <c r="A338" s="49" t="str">
        <v>0:00</v>
      </c>
      <c r="B338" s="108"/>
      <c r="C338" s="130"/>
      <c r="D338" s="130"/>
      <c r="E338" s="130"/>
      <c r="F338" s="130"/>
      <c r="G338" s="130"/>
      <c r="H338" s="130"/>
      <c r="I338" s="130"/>
      <c r="J338" s="130"/>
      <c r="K338" s="130"/>
      <c r="L338" s="130"/>
      <c r="M338" s="130"/>
      <c r="N338" s="130"/>
      <c r="O338" s="130"/>
      <c r="P338" s="130"/>
    </row>
    <row r="339" spans="1:16" x14ac:dyDescent="0.2">
      <c r="A339" s="49" t="str">
        <v>0:00</v>
      </c>
      <c r="B339" s="108"/>
      <c r="C339" s="130"/>
      <c r="D339" s="130"/>
      <c r="E339" s="130"/>
      <c r="F339" s="130"/>
      <c r="G339" s="130"/>
      <c r="H339" s="130"/>
      <c r="I339" s="130"/>
      <c r="J339" s="130"/>
      <c r="K339" s="130"/>
      <c r="L339" s="130"/>
      <c r="M339" s="130"/>
      <c r="N339" s="130"/>
      <c r="O339" s="130"/>
      <c r="P339" s="130"/>
    </row>
    <row r="340" spans="1:16" x14ac:dyDescent="0.2">
      <c r="A340" s="49" t="str">
        <v>0:00</v>
      </c>
      <c r="B340" s="108"/>
      <c r="C340" s="130"/>
      <c r="D340" s="130"/>
      <c r="E340" s="130"/>
      <c r="F340" s="130"/>
      <c r="G340" s="130"/>
      <c r="H340" s="130"/>
      <c r="I340" s="130"/>
      <c r="J340" s="130"/>
      <c r="K340" s="130"/>
      <c r="L340" s="130"/>
      <c r="M340" s="130"/>
      <c r="N340" s="130"/>
      <c r="O340" s="130"/>
      <c r="P340" s="130"/>
    </row>
    <row r="341" spans="1:16" x14ac:dyDescent="0.2">
      <c r="A341" s="49" t="str">
        <v>0:00</v>
      </c>
      <c r="B341" s="108"/>
      <c r="C341" s="130"/>
      <c r="D341" s="130"/>
      <c r="E341" s="130"/>
      <c r="F341" s="130"/>
      <c r="G341" s="130"/>
      <c r="H341" s="130"/>
      <c r="I341" s="130"/>
      <c r="J341" s="130"/>
      <c r="K341" s="130"/>
      <c r="L341" s="130"/>
      <c r="M341" s="130"/>
      <c r="N341" s="130"/>
      <c r="O341" s="130"/>
      <c r="P341" s="130"/>
    </row>
    <row r="342" spans="1:16" x14ac:dyDescent="0.2">
      <c r="A342" s="49" t="str">
        <v>0:00</v>
      </c>
      <c r="B342" s="108"/>
      <c r="C342" s="130"/>
      <c r="D342" s="130"/>
      <c r="E342" s="130"/>
      <c r="F342" s="130"/>
      <c r="G342" s="130"/>
      <c r="H342" s="130"/>
      <c r="I342" s="130"/>
      <c r="J342" s="130"/>
      <c r="K342" s="130"/>
      <c r="L342" s="130"/>
      <c r="M342" s="130"/>
      <c r="N342" s="130"/>
      <c r="O342" s="130"/>
      <c r="P342" s="130"/>
    </row>
    <row r="343" spans="1:16" x14ac:dyDescent="0.2">
      <c r="A343" s="49" t="str">
        <v>0:00</v>
      </c>
      <c r="B343" s="108"/>
      <c r="C343" s="130"/>
      <c r="D343" s="130"/>
      <c r="E343" s="130"/>
      <c r="F343" s="130"/>
      <c r="G343" s="130"/>
      <c r="H343" s="130"/>
      <c r="I343" s="130"/>
      <c r="J343" s="130"/>
      <c r="K343" s="130"/>
      <c r="L343" s="130"/>
      <c r="M343" s="130"/>
      <c r="N343" s="130"/>
      <c r="O343" s="130"/>
      <c r="P343" s="130"/>
    </row>
    <row r="344" spans="1:16" x14ac:dyDescent="0.2">
      <c r="A344" s="49" t="str">
        <v>0:00</v>
      </c>
      <c r="B344" s="108"/>
      <c r="C344" s="130"/>
      <c r="D344" s="130"/>
      <c r="E344" s="130"/>
      <c r="F344" s="130"/>
      <c r="G344" s="130"/>
      <c r="H344" s="130"/>
      <c r="I344" s="130"/>
      <c r="J344" s="130"/>
      <c r="K344" s="130"/>
      <c r="L344" s="130"/>
      <c r="M344" s="130"/>
      <c r="N344" s="130"/>
      <c r="O344" s="130"/>
      <c r="P344" s="130"/>
    </row>
    <row r="345" spans="1:16" x14ac:dyDescent="0.2">
      <c r="A345" s="49" t="str">
        <v>0:00</v>
      </c>
      <c r="B345" s="108"/>
      <c r="C345" s="130"/>
      <c r="D345" s="130"/>
      <c r="E345" s="130"/>
      <c r="F345" s="130"/>
      <c r="G345" s="130"/>
      <c r="H345" s="130"/>
      <c r="I345" s="130"/>
      <c r="J345" s="130"/>
      <c r="K345" s="130"/>
      <c r="L345" s="130"/>
      <c r="M345" s="130"/>
      <c r="N345" s="130"/>
      <c r="O345" s="130"/>
      <c r="P345" s="130"/>
    </row>
    <row r="346" spans="1:16" x14ac:dyDescent="0.2">
      <c r="A346" s="49" t="str">
        <v>0:00</v>
      </c>
      <c r="B346" s="108"/>
      <c r="C346" s="130"/>
      <c r="D346" s="130"/>
      <c r="E346" s="130"/>
      <c r="F346" s="130"/>
      <c r="G346" s="130"/>
      <c r="H346" s="130"/>
      <c r="I346" s="130"/>
      <c r="J346" s="130"/>
      <c r="K346" s="130"/>
      <c r="L346" s="130"/>
      <c r="M346" s="130"/>
      <c r="N346" s="130"/>
      <c r="O346" s="130"/>
      <c r="P346" s="130"/>
    </row>
    <row r="347" spans="1:16" x14ac:dyDescent="0.2">
      <c r="A347" s="49" t="str">
        <v>0:00</v>
      </c>
      <c r="B347" s="108"/>
      <c r="C347" s="130"/>
      <c r="D347" s="130"/>
      <c r="E347" s="130"/>
      <c r="F347" s="130"/>
      <c r="G347" s="130"/>
      <c r="H347" s="130"/>
      <c r="I347" s="130"/>
      <c r="J347" s="130"/>
      <c r="K347" s="130"/>
      <c r="L347" s="130"/>
      <c r="M347" s="130"/>
      <c r="N347" s="130"/>
      <c r="O347" s="130"/>
      <c r="P347" s="130"/>
    </row>
    <row r="348" spans="1:16" x14ac:dyDescent="0.2">
      <c r="A348" s="49" t="str">
        <v>0:00</v>
      </c>
      <c r="B348" s="108"/>
      <c r="C348" s="130"/>
      <c r="D348" s="130"/>
      <c r="E348" s="130"/>
      <c r="F348" s="130"/>
      <c r="G348" s="130"/>
      <c r="H348" s="130"/>
      <c r="I348" s="130"/>
      <c r="J348" s="130"/>
      <c r="K348" s="130"/>
      <c r="L348" s="130"/>
      <c r="M348" s="130"/>
      <c r="N348" s="130"/>
      <c r="O348" s="130"/>
      <c r="P348" s="130"/>
    </row>
    <row r="349" spans="1:16" x14ac:dyDescent="0.2">
      <c r="A349" s="49" t="str">
        <v>0:00</v>
      </c>
      <c r="B349" s="108"/>
      <c r="C349" s="130"/>
      <c r="D349" s="130"/>
      <c r="E349" s="130"/>
      <c r="F349" s="130"/>
      <c r="G349" s="130"/>
      <c r="H349" s="130"/>
      <c r="I349" s="130"/>
      <c r="J349" s="130"/>
      <c r="K349" s="130"/>
      <c r="L349" s="130"/>
      <c r="M349" s="130"/>
      <c r="N349" s="130"/>
      <c r="O349" s="130"/>
      <c r="P349" s="130"/>
    </row>
    <row r="350" spans="1:16" x14ac:dyDescent="0.2">
      <c r="A350" s="49" t="str">
        <v>0:00</v>
      </c>
      <c r="B350" s="108"/>
      <c r="C350" s="130"/>
      <c r="D350" s="130"/>
      <c r="E350" s="130"/>
      <c r="F350" s="130"/>
      <c r="G350" s="130"/>
      <c r="H350" s="130"/>
      <c r="I350" s="130"/>
      <c r="J350" s="130"/>
      <c r="K350" s="130"/>
      <c r="L350" s="130"/>
      <c r="M350" s="130"/>
      <c r="N350" s="130"/>
      <c r="O350" s="130"/>
      <c r="P350" s="130"/>
    </row>
    <row r="351" spans="1:16" x14ac:dyDescent="0.2">
      <c r="A351" s="49" t="str">
        <v>0:00</v>
      </c>
      <c r="B351" s="108"/>
      <c r="C351" s="130"/>
      <c r="D351" s="130"/>
      <c r="E351" s="130"/>
      <c r="F351" s="130"/>
      <c r="G351" s="130"/>
      <c r="H351" s="130"/>
      <c r="I351" s="130"/>
      <c r="J351" s="130"/>
      <c r="K351" s="130"/>
      <c r="L351" s="130"/>
      <c r="M351" s="130"/>
      <c r="N351" s="130"/>
      <c r="O351" s="130"/>
      <c r="P351" s="130"/>
    </row>
    <row r="352" spans="1:16" x14ac:dyDescent="0.2">
      <c r="A352" s="49" t="str">
        <v>0:00</v>
      </c>
      <c r="B352" s="108"/>
      <c r="C352" s="130"/>
      <c r="D352" s="130"/>
      <c r="E352" s="130"/>
      <c r="F352" s="130"/>
      <c r="G352" s="130"/>
      <c r="H352" s="130"/>
      <c r="I352" s="130"/>
      <c r="J352" s="130"/>
      <c r="K352" s="130"/>
      <c r="L352" s="130"/>
      <c r="M352" s="130"/>
      <c r="N352" s="130"/>
      <c r="O352" s="130"/>
      <c r="P352" s="130"/>
    </row>
    <row r="353" spans="1:16" x14ac:dyDescent="0.2">
      <c r="A353" s="49" t="str">
        <v>0:00</v>
      </c>
      <c r="B353" s="108"/>
      <c r="C353" s="130"/>
      <c r="D353" s="130"/>
      <c r="E353" s="130"/>
      <c r="F353" s="130"/>
      <c r="G353" s="130"/>
      <c r="H353" s="130"/>
      <c r="I353" s="130"/>
      <c r="J353" s="130"/>
      <c r="K353" s="130"/>
      <c r="L353" s="130"/>
      <c r="M353" s="130"/>
      <c r="N353" s="130"/>
      <c r="O353" s="130"/>
      <c r="P353" s="130"/>
    </row>
    <row r="354" spans="1:16" x14ac:dyDescent="0.2">
      <c r="A354" s="49" t="str">
        <v>0:00</v>
      </c>
      <c r="B354" s="108"/>
      <c r="C354" s="130"/>
      <c r="D354" s="130"/>
      <c r="E354" s="130"/>
      <c r="F354" s="130"/>
      <c r="G354" s="130"/>
      <c r="H354" s="130"/>
      <c r="I354" s="130"/>
      <c r="J354" s="130"/>
      <c r="K354" s="130"/>
      <c r="L354" s="130"/>
      <c r="M354" s="130"/>
      <c r="N354" s="130"/>
      <c r="O354" s="130"/>
      <c r="P354" s="130"/>
    </row>
    <row r="355" spans="1:16" x14ac:dyDescent="0.2">
      <c r="A355" s="49" t="str">
        <v>0:00</v>
      </c>
      <c r="B355" s="108"/>
      <c r="C355" s="130"/>
      <c r="D355" s="130"/>
      <c r="E355" s="130"/>
      <c r="F355" s="130"/>
      <c r="G355" s="130"/>
      <c r="H355" s="130"/>
      <c r="I355" s="130"/>
      <c r="J355" s="130"/>
      <c r="K355" s="130"/>
      <c r="L355" s="130"/>
      <c r="M355" s="130"/>
      <c r="N355" s="130"/>
      <c r="O355" s="130"/>
      <c r="P355" s="130"/>
    </row>
    <row r="356" spans="1:16" x14ac:dyDescent="0.2">
      <c r="A356" s="49" t="str">
        <v>0:00</v>
      </c>
      <c r="B356" s="108"/>
      <c r="C356" s="130"/>
      <c r="D356" s="130"/>
      <c r="E356" s="130"/>
      <c r="F356" s="130"/>
      <c r="G356" s="130"/>
      <c r="H356" s="130"/>
      <c r="I356" s="130"/>
      <c r="J356" s="130"/>
      <c r="K356" s="130"/>
      <c r="L356" s="130"/>
      <c r="M356" s="130"/>
      <c r="N356" s="130"/>
      <c r="O356" s="130"/>
      <c r="P356" s="130"/>
    </row>
    <row r="357" spans="1:16" x14ac:dyDescent="0.2">
      <c r="A357" s="49" t="str">
        <v>0:00</v>
      </c>
      <c r="B357" s="108"/>
      <c r="C357" s="130"/>
      <c r="D357" s="130"/>
      <c r="E357" s="130"/>
      <c r="F357" s="130"/>
      <c r="G357" s="130"/>
      <c r="H357" s="130"/>
      <c r="I357" s="130"/>
      <c r="J357" s="130"/>
      <c r="K357" s="130"/>
      <c r="L357" s="130"/>
      <c r="M357" s="130"/>
      <c r="N357" s="130"/>
      <c r="O357" s="130"/>
      <c r="P357" s="130"/>
    </row>
    <row r="358" spans="1:16" x14ac:dyDescent="0.2">
      <c r="A358" s="49" t="str">
        <v>0:00</v>
      </c>
      <c r="B358" s="108"/>
      <c r="C358" s="130"/>
      <c r="D358" s="130"/>
      <c r="E358" s="130"/>
      <c r="F358" s="130"/>
      <c r="G358" s="130"/>
      <c r="H358" s="130"/>
      <c r="I358" s="130"/>
      <c r="J358" s="130"/>
      <c r="K358" s="130"/>
      <c r="L358" s="130"/>
      <c r="M358" s="130"/>
      <c r="N358" s="130"/>
      <c r="O358" s="130"/>
      <c r="P358" s="130"/>
    </row>
    <row r="359" spans="1:16" x14ac:dyDescent="0.2">
      <c r="A359" s="49" t="str">
        <v>0:00</v>
      </c>
      <c r="B359" s="108"/>
      <c r="C359" s="130"/>
      <c r="D359" s="130"/>
      <c r="E359" s="130"/>
      <c r="F359" s="130"/>
      <c r="G359" s="130"/>
      <c r="H359" s="130"/>
      <c r="I359" s="130"/>
      <c r="J359" s="130"/>
      <c r="K359" s="130"/>
      <c r="L359" s="130"/>
      <c r="M359" s="130"/>
      <c r="N359" s="130"/>
      <c r="O359" s="130"/>
      <c r="P359" s="130"/>
    </row>
    <row r="360" spans="1:16" x14ac:dyDescent="0.2">
      <c r="A360" s="49" t="str">
        <v>0:00</v>
      </c>
      <c r="B360" s="108"/>
      <c r="C360" s="130"/>
      <c r="D360" s="130"/>
      <c r="E360" s="130"/>
      <c r="F360" s="130"/>
      <c r="G360" s="130"/>
      <c r="H360" s="130"/>
      <c r="I360" s="130"/>
      <c r="J360" s="130"/>
      <c r="K360" s="130"/>
      <c r="L360" s="130"/>
      <c r="M360" s="130"/>
      <c r="N360" s="130"/>
      <c r="O360" s="130"/>
      <c r="P360" s="130"/>
    </row>
    <row r="361" spans="1:16" x14ac:dyDescent="0.2">
      <c r="A361" s="49" t="str">
        <v>0:00</v>
      </c>
      <c r="B361" s="108"/>
      <c r="C361" s="130"/>
      <c r="D361" s="130"/>
      <c r="E361" s="130"/>
      <c r="F361" s="130"/>
      <c r="G361" s="130"/>
      <c r="H361" s="130"/>
      <c r="I361" s="130"/>
      <c r="J361" s="130"/>
      <c r="K361" s="130"/>
      <c r="L361" s="130"/>
      <c r="M361" s="130"/>
      <c r="N361" s="130"/>
      <c r="O361" s="130"/>
      <c r="P361" s="130"/>
    </row>
    <row r="362" spans="1:16" x14ac:dyDescent="0.2">
      <c r="A362" s="49" t="str">
        <v>0:00</v>
      </c>
      <c r="B362" s="108"/>
      <c r="C362" s="130"/>
      <c r="D362" s="130"/>
      <c r="E362" s="130"/>
      <c r="F362" s="130"/>
      <c r="G362" s="130"/>
      <c r="H362" s="130"/>
      <c r="I362" s="130"/>
      <c r="J362" s="130"/>
      <c r="K362" s="130"/>
      <c r="L362" s="130"/>
      <c r="M362" s="130"/>
      <c r="N362" s="130"/>
      <c r="O362" s="130"/>
      <c r="P362" s="130"/>
    </row>
    <row r="363" spans="1:16" x14ac:dyDescent="0.2">
      <c r="A363" s="49" t="str">
        <v>0:00</v>
      </c>
      <c r="B363" s="108"/>
      <c r="C363" s="130"/>
      <c r="D363" s="130"/>
      <c r="E363" s="130"/>
      <c r="F363" s="130"/>
      <c r="G363" s="130"/>
      <c r="H363" s="130"/>
      <c r="I363" s="130"/>
      <c r="J363" s="130"/>
      <c r="K363" s="130"/>
      <c r="L363" s="130"/>
      <c r="M363" s="130"/>
      <c r="N363" s="130"/>
      <c r="O363" s="130"/>
      <c r="P363" s="130"/>
    </row>
    <row r="364" spans="1:16" x14ac:dyDescent="0.2">
      <c r="A364" s="49" t="str">
        <v>0:00</v>
      </c>
      <c r="B364" s="108"/>
      <c r="C364" s="130"/>
      <c r="D364" s="130"/>
      <c r="E364" s="130"/>
      <c r="F364" s="130"/>
      <c r="G364" s="130"/>
      <c r="H364" s="130"/>
      <c r="I364" s="130"/>
      <c r="J364" s="130"/>
      <c r="K364" s="130"/>
      <c r="L364" s="130"/>
      <c r="M364" s="130"/>
      <c r="N364" s="130"/>
      <c r="O364" s="130"/>
      <c r="P364" s="130"/>
    </row>
    <row r="365" spans="1:16" x14ac:dyDescent="0.2">
      <c r="A365" s="49" t="str">
        <v>0:00</v>
      </c>
      <c r="B365" s="108"/>
      <c r="C365" s="130"/>
      <c r="D365" s="130"/>
      <c r="E365" s="130"/>
      <c r="F365" s="130"/>
      <c r="G365" s="130"/>
      <c r="H365" s="130"/>
      <c r="I365" s="130"/>
      <c r="J365" s="130"/>
      <c r="K365" s="130"/>
      <c r="L365" s="130"/>
      <c r="M365" s="130"/>
      <c r="N365" s="130"/>
      <c r="O365" s="130"/>
      <c r="P365" s="130"/>
    </row>
    <row r="366" spans="1:16" x14ac:dyDescent="0.2">
      <c r="A366" s="49" t="str">
        <v>0:00</v>
      </c>
      <c r="B366" s="108"/>
      <c r="C366" s="130"/>
      <c r="D366" s="130"/>
      <c r="E366" s="130"/>
      <c r="F366" s="130"/>
      <c r="G366" s="130"/>
      <c r="H366" s="130"/>
      <c r="I366" s="130"/>
      <c r="J366" s="130"/>
      <c r="K366" s="130"/>
      <c r="L366" s="130"/>
      <c r="M366" s="130"/>
      <c r="N366" s="130"/>
      <c r="O366" s="130"/>
      <c r="P366" s="130"/>
    </row>
    <row r="367" spans="1:16" x14ac:dyDescent="0.2">
      <c r="A367" s="49" t="str">
        <v>0:00</v>
      </c>
      <c r="B367" s="108"/>
      <c r="C367" s="130"/>
      <c r="D367" s="130"/>
      <c r="E367" s="130"/>
      <c r="F367" s="130"/>
      <c r="G367" s="130"/>
      <c r="H367" s="130"/>
      <c r="I367" s="130"/>
      <c r="J367" s="130"/>
      <c r="K367" s="130"/>
      <c r="L367" s="130"/>
      <c r="M367" s="130"/>
      <c r="N367" s="130"/>
      <c r="O367" s="130"/>
      <c r="P367" s="130"/>
    </row>
    <row r="368" spans="1:16" x14ac:dyDescent="0.2">
      <c r="A368" s="49" t="str">
        <v>0:00</v>
      </c>
      <c r="B368" s="108"/>
      <c r="C368" s="130"/>
      <c r="D368" s="130"/>
      <c r="E368" s="130"/>
      <c r="F368" s="130"/>
      <c r="G368" s="130"/>
      <c r="H368" s="130"/>
      <c r="I368" s="130"/>
      <c r="J368" s="130"/>
      <c r="K368" s="130"/>
      <c r="L368" s="130"/>
      <c r="M368" s="130"/>
      <c r="N368" s="130"/>
      <c r="O368" s="130"/>
      <c r="P368" s="130"/>
    </row>
    <row r="369" spans="1:16" x14ac:dyDescent="0.2">
      <c r="A369" s="49" t="str">
        <v>0:00</v>
      </c>
      <c r="B369" s="108"/>
      <c r="C369" s="130"/>
      <c r="D369" s="130"/>
      <c r="E369" s="130"/>
      <c r="F369" s="130"/>
      <c r="G369" s="130"/>
      <c r="H369" s="130"/>
      <c r="I369" s="130"/>
      <c r="J369" s="130"/>
      <c r="K369" s="130"/>
      <c r="L369" s="130"/>
      <c r="M369" s="130"/>
      <c r="N369" s="130"/>
      <c r="O369" s="130"/>
      <c r="P369" s="130"/>
    </row>
    <row r="370" spans="1:16" x14ac:dyDescent="0.2">
      <c r="A370" s="49" t="str">
        <v>0:00</v>
      </c>
      <c r="B370" s="108"/>
      <c r="C370" s="130"/>
      <c r="D370" s="130"/>
      <c r="E370" s="130"/>
      <c r="F370" s="130"/>
      <c r="G370" s="130"/>
      <c r="H370" s="130"/>
      <c r="I370" s="130"/>
      <c r="J370" s="130"/>
      <c r="K370" s="130"/>
      <c r="L370" s="130"/>
      <c r="M370" s="130"/>
      <c r="N370" s="130"/>
      <c r="O370" s="130"/>
      <c r="P370" s="130"/>
    </row>
    <row r="371" spans="1:16" x14ac:dyDescent="0.2">
      <c r="A371" s="49" t="str">
        <v>0:00</v>
      </c>
      <c r="B371" s="108"/>
      <c r="C371" s="130"/>
      <c r="D371" s="130"/>
      <c r="E371" s="130"/>
      <c r="F371" s="130"/>
      <c r="G371" s="130"/>
      <c r="H371" s="130"/>
      <c r="I371" s="130"/>
      <c r="J371" s="130"/>
      <c r="K371" s="130"/>
      <c r="L371" s="130"/>
      <c r="M371" s="130"/>
      <c r="N371" s="130"/>
      <c r="O371" s="130"/>
      <c r="P371" s="130"/>
    </row>
    <row r="372" spans="1:16" x14ac:dyDescent="0.2">
      <c r="A372" s="49" t="str">
        <v>0:00</v>
      </c>
      <c r="B372" s="108"/>
      <c r="C372" s="130"/>
      <c r="D372" s="130"/>
      <c r="E372" s="130"/>
      <c r="F372" s="130"/>
      <c r="G372" s="130"/>
      <c r="H372" s="130"/>
      <c r="I372" s="130"/>
      <c r="J372" s="130"/>
      <c r="K372" s="130"/>
      <c r="L372" s="130"/>
      <c r="M372" s="130"/>
      <c r="N372" s="130"/>
      <c r="O372" s="130"/>
      <c r="P372" s="130"/>
    </row>
    <row r="373" spans="1:16" x14ac:dyDescent="0.2">
      <c r="A373" s="49" t="str">
        <v>0:00</v>
      </c>
      <c r="B373" s="108"/>
      <c r="C373" s="130"/>
      <c r="D373" s="130"/>
      <c r="E373" s="130"/>
      <c r="F373" s="130"/>
      <c r="G373" s="130"/>
      <c r="H373" s="130"/>
      <c r="I373" s="130"/>
      <c r="J373" s="130"/>
      <c r="K373" s="130"/>
      <c r="L373" s="130"/>
      <c r="M373" s="130"/>
      <c r="N373" s="130"/>
      <c r="O373" s="130"/>
      <c r="P373" s="130"/>
    </row>
    <row r="374" spans="1:16" x14ac:dyDescent="0.2">
      <c r="A374" s="49" t="str">
        <v>0:00</v>
      </c>
      <c r="B374" s="108"/>
      <c r="C374" s="130"/>
      <c r="D374" s="130"/>
      <c r="E374" s="130"/>
      <c r="F374" s="130"/>
      <c r="G374" s="130"/>
      <c r="H374" s="130"/>
      <c r="I374" s="130"/>
      <c r="J374" s="130"/>
      <c r="K374" s="130"/>
      <c r="L374" s="130"/>
      <c r="M374" s="130"/>
      <c r="N374" s="130"/>
      <c r="O374" s="130"/>
      <c r="P374" s="130"/>
    </row>
    <row r="375" spans="1:16" x14ac:dyDescent="0.2">
      <c r="A375" s="49" t="str">
        <v>0:00</v>
      </c>
      <c r="B375" s="108"/>
      <c r="C375" s="130"/>
      <c r="D375" s="130"/>
      <c r="E375" s="130"/>
      <c r="F375" s="130"/>
      <c r="G375" s="130"/>
      <c r="H375" s="130"/>
      <c r="I375" s="130"/>
      <c r="J375" s="130"/>
      <c r="K375" s="130"/>
      <c r="L375" s="130"/>
      <c r="M375" s="130"/>
      <c r="N375" s="130"/>
      <c r="O375" s="130"/>
      <c r="P375" s="130"/>
    </row>
    <row r="376" spans="1:16" x14ac:dyDescent="0.2">
      <c r="A376" s="49" t="str">
        <v>0:00</v>
      </c>
      <c r="B376" s="108"/>
      <c r="C376" s="130"/>
      <c r="D376" s="130"/>
      <c r="E376" s="130"/>
      <c r="F376" s="130"/>
      <c r="G376" s="130"/>
      <c r="H376" s="130"/>
      <c r="I376" s="130"/>
      <c r="J376" s="130"/>
      <c r="K376" s="130"/>
      <c r="L376" s="130"/>
      <c r="M376" s="130"/>
      <c r="N376" s="130"/>
      <c r="O376" s="130"/>
      <c r="P376" s="130"/>
    </row>
    <row r="377" spans="1:16" x14ac:dyDescent="0.2">
      <c r="A377" s="49" t="str">
        <v>0:00</v>
      </c>
      <c r="B377" s="108"/>
      <c r="C377" s="130"/>
      <c r="D377" s="130"/>
      <c r="E377" s="130"/>
      <c r="F377" s="130"/>
      <c r="G377" s="130"/>
      <c r="H377" s="130"/>
      <c r="I377" s="130"/>
      <c r="J377" s="130"/>
      <c r="K377" s="130"/>
      <c r="L377" s="130"/>
      <c r="M377" s="130"/>
      <c r="N377" s="130"/>
      <c r="O377" s="130"/>
      <c r="P377" s="130"/>
    </row>
    <row r="378" spans="1:16" x14ac:dyDescent="0.2">
      <c r="A378" s="49" t="str">
        <v>0:00</v>
      </c>
      <c r="B378" s="108"/>
      <c r="C378" s="130"/>
      <c r="D378" s="130"/>
      <c r="E378" s="130"/>
      <c r="F378" s="130"/>
      <c r="G378" s="130"/>
      <c r="H378" s="130"/>
      <c r="I378" s="130"/>
      <c r="J378" s="130"/>
      <c r="K378" s="130"/>
      <c r="L378" s="130"/>
      <c r="M378" s="130"/>
      <c r="N378" s="130"/>
      <c r="O378" s="130"/>
      <c r="P378" s="130"/>
    </row>
    <row r="379" spans="1:16" x14ac:dyDescent="0.2">
      <c r="A379" s="49" t="str">
        <v>0:00</v>
      </c>
      <c r="B379" s="108"/>
      <c r="C379" s="130"/>
      <c r="D379" s="130"/>
      <c r="E379" s="130"/>
      <c r="F379" s="130"/>
      <c r="G379" s="130"/>
      <c r="H379" s="130"/>
      <c r="I379" s="130"/>
      <c r="J379" s="130"/>
      <c r="K379" s="130"/>
      <c r="L379" s="130"/>
      <c r="M379" s="130"/>
      <c r="N379" s="130"/>
      <c r="O379" s="130"/>
      <c r="P379" s="130"/>
    </row>
    <row r="380" spans="1:16" x14ac:dyDescent="0.2">
      <c r="A380" s="49" t="str">
        <v>0:00</v>
      </c>
      <c r="B380" s="108"/>
      <c r="C380" s="130"/>
      <c r="D380" s="130"/>
      <c r="E380" s="130"/>
      <c r="F380" s="130"/>
      <c r="G380" s="130"/>
      <c r="H380" s="130"/>
      <c r="I380" s="130"/>
      <c r="J380" s="130"/>
      <c r="K380" s="130"/>
      <c r="L380" s="130"/>
      <c r="M380" s="130"/>
      <c r="N380" s="130"/>
      <c r="O380" s="130"/>
      <c r="P380" s="130"/>
    </row>
    <row r="381" spans="1:16" x14ac:dyDescent="0.2">
      <c r="A381" s="49" t="str">
        <v>0:00</v>
      </c>
      <c r="B381" s="108"/>
      <c r="C381" s="130"/>
      <c r="D381" s="130"/>
      <c r="E381" s="130"/>
      <c r="F381" s="130"/>
      <c r="G381" s="130"/>
      <c r="H381" s="130"/>
      <c r="I381" s="130"/>
      <c r="J381" s="130"/>
      <c r="K381" s="130"/>
      <c r="L381" s="130"/>
      <c r="M381" s="130"/>
      <c r="N381" s="130"/>
      <c r="O381" s="130"/>
      <c r="P381" s="130"/>
    </row>
    <row r="382" spans="1:16" x14ac:dyDescent="0.2">
      <c r="A382" s="49" t="str">
        <v>0:00</v>
      </c>
      <c r="B382" s="108"/>
      <c r="C382" s="130"/>
      <c r="D382" s="130"/>
      <c r="E382" s="130"/>
      <c r="F382" s="130"/>
      <c r="G382" s="130"/>
      <c r="H382" s="130"/>
      <c r="I382" s="130"/>
      <c r="J382" s="130"/>
      <c r="K382" s="130"/>
      <c r="L382" s="130"/>
      <c r="M382" s="130"/>
      <c r="N382" s="130"/>
      <c r="O382" s="130"/>
      <c r="P382" s="130"/>
    </row>
    <row r="383" spans="1:16" x14ac:dyDescent="0.2">
      <c r="A383" s="49" t="str">
        <v>0:00</v>
      </c>
      <c r="B383" s="108"/>
      <c r="C383" s="130"/>
      <c r="D383" s="130"/>
      <c r="E383" s="130"/>
      <c r="F383" s="130"/>
      <c r="G383" s="130"/>
      <c r="H383" s="130"/>
      <c r="I383" s="130"/>
      <c r="J383" s="130"/>
      <c r="K383" s="130"/>
      <c r="L383" s="130"/>
      <c r="M383" s="130"/>
      <c r="N383" s="130"/>
      <c r="O383" s="130"/>
      <c r="P383" s="130"/>
    </row>
    <row r="384" spans="1:16" x14ac:dyDescent="0.2">
      <c r="A384" s="49" t="str">
        <v>0:00</v>
      </c>
      <c r="B384" s="108"/>
      <c r="C384" s="130"/>
      <c r="D384" s="130"/>
      <c r="E384" s="130"/>
      <c r="F384" s="130"/>
      <c r="G384" s="130"/>
      <c r="H384" s="130"/>
      <c r="I384" s="130"/>
      <c r="J384" s="130"/>
      <c r="K384" s="130"/>
      <c r="L384" s="130"/>
      <c r="M384" s="130"/>
      <c r="N384" s="130"/>
      <c r="O384" s="130"/>
      <c r="P384" s="130"/>
    </row>
    <row r="385" spans="1:16" x14ac:dyDescent="0.2">
      <c r="A385" s="49" t="str">
        <v>0:00</v>
      </c>
      <c r="B385" s="108"/>
      <c r="C385" s="130"/>
      <c r="D385" s="130"/>
      <c r="E385" s="130"/>
      <c r="F385" s="130"/>
      <c r="G385" s="130"/>
      <c r="H385" s="130"/>
      <c r="I385" s="130"/>
      <c r="J385" s="130"/>
      <c r="K385" s="130"/>
      <c r="L385" s="130"/>
      <c r="M385" s="130"/>
      <c r="N385" s="130"/>
      <c r="O385" s="130"/>
      <c r="P385" s="130"/>
    </row>
    <row r="386" spans="1:16" x14ac:dyDescent="0.2">
      <c r="A386" s="49" t="str">
        <v>0:00</v>
      </c>
      <c r="B386" s="108"/>
      <c r="C386" s="130"/>
      <c r="D386" s="130"/>
      <c r="E386" s="130"/>
      <c r="F386" s="130"/>
      <c r="G386" s="130"/>
      <c r="H386" s="130"/>
      <c r="I386" s="130"/>
      <c r="J386" s="130"/>
      <c r="K386" s="130"/>
      <c r="L386" s="130"/>
      <c r="M386" s="130"/>
      <c r="N386" s="130"/>
      <c r="O386" s="130"/>
      <c r="P386" s="130"/>
    </row>
    <row r="387" spans="1:16" x14ac:dyDescent="0.2">
      <c r="A387" s="49" t="str">
        <v>0:00</v>
      </c>
      <c r="B387" s="108"/>
      <c r="C387" s="130"/>
      <c r="D387" s="130"/>
      <c r="E387" s="130"/>
      <c r="F387" s="130"/>
      <c r="G387" s="130"/>
      <c r="H387" s="130"/>
      <c r="I387" s="130"/>
      <c r="J387" s="130"/>
      <c r="K387" s="130"/>
      <c r="L387" s="130"/>
      <c r="M387" s="130"/>
      <c r="N387" s="130"/>
      <c r="O387" s="130"/>
      <c r="P387" s="130"/>
    </row>
    <row r="388" spans="1:16" x14ac:dyDescent="0.2">
      <c r="A388" s="49" t="str">
        <v>0:00</v>
      </c>
      <c r="B388" s="108"/>
      <c r="C388" s="130"/>
      <c r="D388" s="130"/>
      <c r="E388" s="130"/>
      <c r="F388" s="130"/>
      <c r="G388" s="130"/>
      <c r="H388" s="130"/>
      <c r="I388" s="130"/>
      <c r="J388" s="130"/>
      <c r="K388" s="130"/>
      <c r="L388" s="130"/>
      <c r="M388" s="130"/>
      <c r="N388" s="130"/>
      <c r="O388" s="130"/>
      <c r="P388" s="130"/>
    </row>
    <row r="389" spans="1:16" x14ac:dyDescent="0.2">
      <c r="A389" s="49" t="str">
        <v>0:00</v>
      </c>
      <c r="B389" s="108"/>
      <c r="C389" s="130"/>
      <c r="D389" s="130"/>
      <c r="E389" s="130"/>
      <c r="F389" s="130"/>
      <c r="G389" s="130"/>
      <c r="H389" s="130"/>
      <c r="I389" s="130"/>
      <c r="J389" s="130"/>
      <c r="K389" s="130"/>
      <c r="L389" s="130"/>
      <c r="M389" s="130"/>
      <c r="N389" s="130"/>
      <c r="O389" s="130"/>
      <c r="P389" s="130"/>
    </row>
    <row r="390" spans="1:16" x14ac:dyDescent="0.2">
      <c r="A390" s="49" t="str">
        <v>0:00</v>
      </c>
      <c r="B390" s="108"/>
      <c r="C390" s="130"/>
      <c r="D390" s="130"/>
      <c r="E390" s="130"/>
      <c r="F390" s="130"/>
      <c r="G390" s="130"/>
      <c r="H390" s="130"/>
      <c r="I390" s="130"/>
      <c r="J390" s="130"/>
      <c r="K390" s="130"/>
      <c r="L390" s="130"/>
      <c r="M390" s="130"/>
      <c r="N390" s="130"/>
      <c r="O390" s="130"/>
      <c r="P390" s="130"/>
    </row>
    <row r="391" spans="1:16" x14ac:dyDescent="0.2">
      <c r="A391" s="49" t="str">
        <v>0:00</v>
      </c>
      <c r="B391" s="108"/>
      <c r="C391" s="130"/>
      <c r="D391" s="130"/>
      <c r="E391" s="130"/>
      <c r="F391" s="130"/>
      <c r="G391" s="130"/>
      <c r="H391" s="130"/>
      <c r="I391" s="130"/>
      <c r="J391" s="130"/>
      <c r="K391" s="130"/>
      <c r="L391" s="130"/>
      <c r="M391" s="130"/>
      <c r="N391" s="130"/>
      <c r="O391" s="130"/>
      <c r="P391" s="130"/>
    </row>
    <row r="392" spans="1:16" x14ac:dyDescent="0.2">
      <c r="A392" s="49" t="str">
        <v>0:00</v>
      </c>
      <c r="B392" s="108"/>
      <c r="C392" s="130"/>
      <c r="D392" s="130"/>
      <c r="E392" s="130"/>
      <c r="F392" s="130"/>
      <c r="G392" s="130"/>
      <c r="H392" s="130"/>
      <c r="I392" s="130"/>
      <c r="J392" s="130"/>
      <c r="K392" s="130"/>
      <c r="L392" s="130"/>
      <c r="M392" s="130"/>
      <c r="N392" s="130"/>
      <c r="O392" s="130"/>
      <c r="P392" s="130"/>
    </row>
    <row r="393" spans="1:16" x14ac:dyDescent="0.2">
      <c r="A393" s="49" t="str">
        <v>0:00</v>
      </c>
      <c r="B393" s="108"/>
      <c r="C393" s="130"/>
      <c r="D393" s="130"/>
      <c r="E393" s="130"/>
      <c r="F393" s="130"/>
      <c r="G393" s="130"/>
      <c r="H393" s="130"/>
      <c r="I393" s="130"/>
      <c r="J393" s="130"/>
      <c r="K393" s="130"/>
      <c r="L393" s="130"/>
      <c r="M393" s="130"/>
      <c r="N393" s="130"/>
      <c r="O393" s="130"/>
      <c r="P393" s="130"/>
    </row>
    <row r="394" spans="1:16" x14ac:dyDescent="0.2">
      <c r="A394" s="49" t="str">
        <v>0:00</v>
      </c>
      <c r="B394" s="108"/>
      <c r="C394" s="130"/>
      <c r="D394" s="130"/>
      <c r="E394" s="130"/>
      <c r="F394" s="130"/>
      <c r="G394" s="130"/>
      <c r="H394" s="130"/>
      <c r="I394" s="130"/>
      <c r="J394" s="130"/>
      <c r="K394" s="130"/>
      <c r="L394" s="130"/>
      <c r="M394" s="130"/>
      <c r="N394" s="130"/>
      <c r="O394" s="130"/>
      <c r="P394" s="130"/>
    </row>
    <row r="395" spans="1:16" x14ac:dyDescent="0.2">
      <c r="A395" s="49" t="str">
        <v>0:00</v>
      </c>
      <c r="B395" s="108"/>
      <c r="C395" s="130"/>
      <c r="D395" s="130"/>
      <c r="E395" s="130"/>
      <c r="F395" s="130"/>
      <c r="G395" s="130"/>
      <c r="H395" s="130"/>
      <c r="I395" s="130"/>
      <c r="J395" s="130"/>
      <c r="K395" s="130"/>
      <c r="L395" s="130"/>
      <c r="M395" s="130"/>
      <c r="N395" s="130"/>
      <c r="O395" s="130"/>
      <c r="P395" s="130"/>
    </row>
    <row r="396" spans="1:16" x14ac:dyDescent="0.2">
      <c r="A396" s="49" t="str">
        <v>0:00</v>
      </c>
      <c r="B396" s="108"/>
      <c r="C396" s="130"/>
      <c r="D396" s="130"/>
      <c r="E396" s="130"/>
      <c r="F396" s="130"/>
      <c r="G396" s="130"/>
      <c r="H396" s="130"/>
      <c r="I396" s="130"/>
      <c r="J396" s="130"/>
      <c r="K396" s="130"/>
      <c r="L396" s="130"/>
      <c r="M396" s="130"/>
      <c r="N396" s="130"/>
      <c r="O396" s="130"/>
      <c r="P396" s="130"/>
    </row>
    <row r="397" spans="1:16" x14ac:dyDescent="0.2">
      <c r="A397" s="49" t="str">
        <v>0:00</v>
      </c>
      <c r="B397" s="108"/>
      <c r="C397" s="130"/>
      <c r="D397" s="130"/>
      <c r="E397" s="130"/>
      <c r="F397" s="130"/>
      <c r="G397" s="130"/>
      <c r="H397" s="130"/>
      <c r="I397" s="130"/>
      <c r="J397" s="130"/>
      <c r="K397" s="130"/>
      <c r="L397" s="130"/>
      <c r="M397" s="130"/>
      <c r="N397" s="130"/>
      <c r="O397" s="130"/>
      <c r="P397" s="130"/>
    </row>
    <row r="398" spans="1:16" x14ac:dyDescent="0.2">
      <c r="A398" s="49" t="str">
        <v>0:00</v>
      </c>
      <c r="B398" s="108"/>
      <c r="C398" s="130"/>
      <c r="D398" s="130"/>
      <c r="E398" s="130"/>
      <c r="F398" s="130"/>
      <c r="G398" s="130"/>
      <c r="H398" s="130"/>
      <c r="I398" s="130"/>
      <c r="J398" s="130"/>
      <c r="K398" s="130"/>
      <c r="L398" s="130"/>
      <c r="M398" s="130"/>
      <c r="N398" s="130"/>
      <c r="O398" s="130"/>
      <c r="P398" s="130"/>
    </row>
    <row r="399" spans="1:16" x14ac:dyDescent="0.2">
      <c r="A399" s="49" t="str">
        <v>0:00</v>
      </c>
      <c r="B399" s="108"/>
      <c r="C399" s="130"/>
      <c r="D399" s="130"/>
      <c r="E399" s="130"/>
      <c r="F399" s="130"/>
      <c r="G399" s="130"/>
      <c r="H399" s="130"/>
      <c r="I399" s="130"/>
      <c r="J399" s="130"/>
      <c r="K399" s="130"/>
      <c r="L399" s="130"/>
      <c r="M399" s="130"/>
      <c r="N399" s="130"/>
      <c r="O399" s="130"/>
      <c r="P399" s="130"/>
    </row>
    <row r="400" spans="1:16" x14ac:dyDescent="0.2">
      <c r="A400" s="49" t="str">
        <v>0:00</v>
      </c>
      <c r="B400" s="108"/>
      <c r="C400" s="130"/>
      <c r="D400" s="130"/>
      <c r="E400" s="130"/>
      <c r="F400" s="130"/>
      <c r="G400" s="130"/>
      <c r="H400" s="130"/>
      <c r="I400" s="130"/>
      <c r="J400" s="130"/>
      <c r="K400" s="130"/>
      <c r="L400" s="130"/>
      <c r="M400" s="130"/>
      <c r="N400" s="130"/>
      <c r="O400" s="130"/>
      <c r="P400" s="130"/>
    </row>
    <row r="401" spans="1:16" x14ac:dyDescent="0.2">
      <c r="A401" s="49" t="str">
        <v>0:00</v>
      </c>
      <c r="B401" s="108"/>
      <c r="C401" s="130"/>
      <c r="D401" s="130"/>
      <c r="E401" s="130"/>
      <c r="F401" s="130"/>
      <c r="G401" s="130"/>
      <c r="H401" s="130"/>
      <c r="I401" s="130"/>
      <c r="J401" s="130"/>
      <c r="K401" s="130"/>
      <c r="L401" s="130"/>
      <c r="M401" s="130"/>
      <c r="N401" s="130"/>
      <c r="O401" s="130"/>
      <c r="P401" s="130"/>
    </row>
    <row r="402" spans="1:16" x14ac:dyDescent="0.2">
      <c r="A402" s="49" t="str">
        <v>0:00</v>
      </c>
      <c r="B402" s="108"/>
      <c r="C402" s="130"/>
      <c r="D402" s="130"/>
      <c r="E402" s="130"/>
      <c r="F402" s="130"/>
      <c r="G402" s="130"/>
      <c r="H402" s="130"/>
      <c r="I402" s="130"/>
      <c r="J402" s="130"/>
      <c r="K402" s="130"/>
      <c r="L402" s="130"/>
      <c r="M402" s="130"/>
      <c r="N402" s="130"/>
      <c r="O402" s="130"/>
      <c r="P402" s="130"/>
    </row>
    <row r="403" spans="1:16" x14ac:dyDescent="0.2">
      <c r="A403" s="49" t="str">
        <v>0:00</v>
      </c>
      <c r="B403" s="108"/>
      <c r="C403" s="130"/>
      <c r="D403" s="130"/>
      <c r="E403" s="130"/>
      <c r="F403" s="130"/>
      <c r="G403" s="130"/>
      <c r="H403" s="130"/>
      <c r="I403" s="130"/>
      <c r="J403" s="130"/>
      <c r="K403" s="130"/>
      <c r="L403" s="130"/>
      <c r="M403" s="130"/>
      <c r="N403" s="130"/>
      <c r="O403" s="130"/>
      <c r="P403" s="130"/>
    </row>
    <row r="404" spans="1:16" x14ac:dyDescent="0.2">
      <c r="A404" s="49" t="str">
        <v>0:00</v>
      </c>
      <c r="B404" s="108"/>
      <c r="C404" s="130"/>
      <c r="D404" s="130"/>
      <c r="E404" s="130"/>
      <c r="F404" s="130"/>
      <c r="G404" s="130"/>
      <c r="H404" s="130"/>
      <c r="I404" s="130"/>
      <c r="J404" s="130"/>
      <c r="K404" s="130"/>
      <c r="L404" s="130"/>
      <c r="M404" s="130"/>
      <c r="N404" s="130"/>
      <c r="O404" s="130"/>
      <c r="P404" s="130"/>
    </row>
    <row r="405" spans="1:16" x14ac:dyDescent="0.2">
      <c r="A405" s="49" t="str">
        <v>0:00</v>
      </c>
      <c r="B405" s="108"/>
      <c r="C405" s="130"/>
      <c r="D405" s="130"/>
      <c r="E405" s="130"/>
      <c r="F405" s="130"/>
      <c r="G405" s="130"/>
      <c r="H405" s="130"/>
      <c r="I405" s="130"/>
      <c r="J405" s="130"/>
      <c r="K405" s="130"/>
      <c r="L405" s="130"/>
      <c r="M405" s="130"/>
      <c r="N405" s="130"/>
      <c r="O405" s="130"/>
      <c r="P405" s="130"/>
    </row>
    <row r="406" spans="1:16" x14ac:dyDescent="0.2">
      <c r="A406" s="49" t="str">
        <v>0:00</v>
      </c>
      <c r="B406" s="108"/>
      <c r="C406" s="130"/>
      <c r="D406" s="130"/>
      <c r="E406" s="130"/>
      <c r="F406" s="130"/>
      <c r="G406" s="130"/>
      <c r="H406" s="130"/>
      <c r="I406" s="130"/>
      <c r="J406" s="130"/>
      <c r="K406" s="130"/>
      <c r="L406" s="130"/>
      <c r="M406" s="130"/>
      <c r="N406" s="130"/>
      <c r="O406" s="130"/>
      <c r="P406" s="130"/>
    </row>
    <row r="407" spans="1:16" x14ac:dyDescent="0.2">
      <c r="A407" s="49" t="str">
        <v>0:00</v>
      </c>
      <c r="B407" s="108"/>
      <c r="C407" s="130"/>
      <c r="D407" s="130"/>
      <c r="E407" s="130"/>
      <c r="F407" s="130"/>
      <c r="G407" s="130"/>
      <c r="H407" s="130"/>
      <c r="I407" s="130"/>
      <c r="J407" s="130"/>
      <c r="K407" s="130"/>
      <c r="L407" s="130"/>
      <c r="M407" s="130"/>
      <c r="N407" s="130"/>
      <c r="O407" s="130"/>
      <c r="P407" s="130"/>
    </row>
    <row r="408" spans="1:16" x14ac:dyDescent="0.2">
      <c r="A408" s="49" t="str">
        <v>0:00</v>
      </c>
      <c r="B408" s="108"/>
      <c r="C408" s="130"/>
      <c r="D408" s="130"/>
      <c r="E408" s="130"/>
      <c r="F408" s="130"/>
      <c r="G408" s="130"/>
      <c r="H408" s="130"/>
      <c r="I408" s="130"/>
      <c r="J408" s="130"/>
      <c r="K408" s="130"/>
      <c r="L408" s="130"/>
      <c r="M408" s="130"/>
      <c r="N408" s="130"/>
      <c r="O408" s="130"/>
      <c r="P408" s="130"/>
    </row>
    <row r="409" spans="1:16" x14ac:dyDescent="0.2">
      <c r="A409" s="49" t="str">
        <v>0:00</v>
      </c>
      <c r="B409" s="108"/>
      <c r="C409" s="130"/>
      <c r="D409" s="130"/>
      <c r="E409" s="130"/>
      <c r="F409" s="130"/>
      <c r="G409" s="130"/>
      <c r="H409" s="130"/>
      <c r="I409" s="130"/>
      <c r="J409" s="130"/>
      <c r="K409" s="130"/>
      <c r="L409" s="130"/>
      <c r="M409" s="130"/>
      <c r="N409" s="130"/>
      <c r="O409" s="130"/>
      <c r="P409" s="130"/>
    </row>
    <row r="410" spans="1:16" x14ac:dyDescent="0.2">
      <c r="A410" s="49" t="str">
        <v>0:00</v>
      </c>
      <c r="B410" s="108"/>
      <c r="C410" s="130"/>
      <c r="D410" s="130"/>
      <c r="E410" s="130"/>
      <c r="F410" s="130"/>
      <c r="G410" s="130"/>
      <c r="H410" s="130"/>
      <c r="I410" s="130"/>
      <c r="J410" s="130"/>
      <c r="K410" s="130"/>
      <c r="L410" s="130"/>
      <c r="M410" s="130"/>
      <c r="N410" s="130"/>
      <c r="O410" s="130"/>
      <c r="P410" s="130"/>
    </row>
    <row r="411" spans="1:16" x14ac:dyDescent="0.2">
      <c r="A411" s="49" t="str">
        <v>0:00</v>
      </c>
      <c r="B411" s="108"/>
      <c r="C411" s="130"/>
      <c r="D411" s="130"/>
      <c r="E411" s="130"/>
      <c r="F411" s="130"/>
      <c r="G411" s="130"/>
      <c r="H411" s="130"/>
      <c r="I411" s="130"/>
      <c r="J411" s="130"/>
      <c r="K411" s="130"/>
      <c r="L411" s="130"/>
      <c r="M411" s="130"/>
      <c r="N411" s="130"/>
      <c r="O411" s="130"/>
      <c r="P411" s="130"/>
    </row>
    <row r="412" spans="1:16" x14ac:dyDescent="0.2">
      <c r="A412" s="49" t="str">
        <v>0:00</v>
      </c>
      <c r="B412" s="108"/>
      <c r="C412" s="130"/>
      <c r="D412" s="130"/>
      <c r="E412" s="130"/>
      <c r="F412" s="130"/>
      <c r="G412" s="130"/>
      <c r="H412" s="130"/>
      <c r="I412" s="130"/>
      <c r="J412" s="130"/>
      <c r="K412" s="130"/>
      <c r="L412" s="130"/>
      <c r="M412" s="130"/>
      <c r="N412" s="130"/>
      <c r="O412" s="130"/>
      <c r="P412" s="130"/>
    </row>
    <row r="413" spans="1:16" x14ac:dyDescent="0.2">
      <c r="A413" s="49" t="str">
        <v>0:00</v>
      </c>
      <c r="B413" s="108"/>
      <c r="C413" s="130"/>
      <c r="D413" s="130"/>
      <c r="E413" s="130"/>
      <c r="F413" s="130"/>
      <c r="G413" s="130"/>
      <c r="H413" s="130"/>
      <c r="I413" s="130"/>
      <c r="J413" s="130"/>
      <c r="K413" s="130"/>
      <c r="L413" s="130"/>
      <c r="M413" s="130"/>
      <c r="N413" s="130"/>
      <c r="O413" s="130"/>
      <c r="P413" s="130"/>
    </row>
    <row r="414" spans="1:16" x14ac:dyDescent="0.2">
      <c r="A414" s="49" t="str">
        <v>0:00</v>
      </c>
      <c r="B414" s="108"/>
      <c r="C414" s="130"/>
      <c r="D414" s="130"/>
      <c r="E414" s="130"/>
      <c r="F414" s="130"/>
      <c r="G414" s="130"/>
      <c r="H414" s="130"/>
      <c r="I414" s="130"/>
      <c r="J414" s="130"/>
      <c r="K414" s="130"/>
      <c r="L414" s="130"/>
      <c r="M414" s="130"/>
      <c r="N414" s="130"/>
      <c r="O414" s="130"/>
      <c r="P414" s="130"/>
    </row>
    <row r="415" spans="1:16" x14ac:dyDescent="0.2">
      <c r="A415" s="49" t="str">
        <v>0:00</v>
      </c>
      <c r="B415" s="108"/>
      <c r="C415" s="130"/>
      <c r="D415" s="130"/>
      <c r="E415" s="130"/>
      <c r="F415" s="130"/>
      <c r="G415" s="130"/>
      <c r="H415" s="130"/>
      <c r="I415" s="130"/>
      <c r="J415" s="130"/>
      <c r="K415" s="130"/>
      <c r="L415" s="130"/>
      <c r="M415" s="130"/>
      <c r="N415" s="130"/>
      <c r="O415" s="130"/>
      <c r="P415" s="130"/>
    </row>
    <row r="416" spans="1:16" x14ac:dyDescent="0.2">
      <c r="A416" s="49" t="str">
        <v>0:00</v>
      </c>
      <c r="B416" s="108"/>
      <c r="C416" s="130"/>
      <c r="D416" s="130"/>
      <c r="E416" s="130"/>
      <c r="F416" s="130"/>
      <c r="G416" s="130"/>
      <c r="H416" s="130"/>
      <c r="I416" s="130"/>
      <c r="J416" s="130"/>
      <c r="K416" s="130"/>
      <c r="L416" s="130"/>
      <c r="M416" s="130"/>
      <c r="N416" s="130"/>
      <c r="O416" s="130"/>
      <c r="P416" s="130"/>
    </row>
    <row r="417" spans="1:16" x14ac:dyDescent="0.2">
      <c r="A417" s="49" t="str">
        <v>0:00</v>
      </c>
      <c r="B417" s="108"/>
      <c r="C417" s="130"/>
      <c r="D417" s="130"/>
      <c r="E417" s="130"/>
      <c r="F417" s="130"/>
      <c r="G417" s="130"/>
      <c r="H417" s="130"/>
      <c r="I417" s="130"/>
      <c r="J417" s="130"/>
      <c r="K417" s="130"/>
      <c r="L417" s="130"/>
      <c r="M417" s="130"/>
      <c r="N417" s="130"/>
      <c r="O417" s="130"/>
      <c r="P417" s="130"/>
    </row>
    <row r="418" spans="1:16" x14ac:dyDescent="0.2">
      <c r="A418" s="49" t="str">
        <v>0:00</v>
      </c>
      <c r="B418" s="108"/>
      <c r="C418" s="130"/>
      <c r="D418" s="130"/>
      <c r="E418" s="130"/>
      <c r="F418" s="130"/>
      <c r="G418" s="130"/>
      <c r="H418" s="130"/>
      <c r="I418" s="130"/>
      <c r="J418" s="130"/>
      <c r="K418" s="130"/>
      <c r="L418" s="130"/>
      <c r="M418" s="130"/>
      <c r="N418" s="130"/>
      <c r="O418" s="130"/>
      <c r="P418" s="130"/>
    </row>
    <row r="419" spans="1:16" x14ac:dyDescent="0.2">
      <c r="A419" s="49" t="str">
        <v>0:00</v>
      </c>
      <c r="B419" s="108"/>
      <c r="C419" s="130"/>
      <c r="D419" s="130"/>
      <c r="E419" s="130"/>
      <c r="F419" s="130"/>
      <c r="G419" s="130"/>
      <c r="H419" s="130"/>
      <c r="I419" s="130"/>
      <c r="J419" s="130"/>
      <c r="K419" s="130"/>
      <c r="L419" s="130"/>
      <c r="M419" s="130"/>
      <c r="N419" s="130"/>
      <c r="O419" s="130"/>
      <c r="P419" s="130"/>
    </row>
    <row r="420" spans="1:16" x14ac:dyDescent="0.2">
      <c r="A420" s="49" t="str">
        <v>0:00</v>
      </c>
      <c r="B420" s="108"/>
      <c r="C420" s="130"/>
      <c r="D420" s="130"/>
      <c r="E420" s="130"/>
      <c r="F420" s="130"/>
      <c r="G420" s="130"/>
      <c r="H420" s="130"/>
      <c r="I420" s="130"/>
      <c r="J420" s="130"/>
      <c r="K420" s="130"/>
      <c r="L420" s="130"/>
      <c r="M420" s="130"/>
      <c r="N420" s="130"/>
      <c r="O420" s="130"/>
      <c r="P420" s="130"/>
    </row>
    <row r="421" spans="1:16" x14ac:dyDescent="0.2">
      <c r="A421" s="49" t="str">
        <v>0:00</v>
      </c>
      <c r="B421" s="108"/>
      <c r="C421" s="130"/>
      <c r="D421" s="130"/>
      <c r="E421" s="130"/>
      <c r="F421" s="130"/>
      <c r="G421" s="130"/>
      <c r="H421" s="130"/>
      <c r="I421" s="130"/>
      <c r="J421" s="130"/>
      <c r="K421" s="130"/>
      <c r="L421" s="130"/>
      <c r="M421" s="130"/>
      <c r="N421" s="130"/>
      <c r="O421" s="130"/>
      <c r="P421" s="130"/>
    </row>
    <row r="422" spans="1:16" x14ac:dyDescent="0.2">
      <c r="A422" s="49" t="str">
        <v>0:00</v>
      </c>
      <c r="B422" s="108"/>
      <c r="C422" s="130"/>
      <c r="D422" s="130"/>
      <c r="E422" s="130"/>
      <c r="F422" s="130"/>
      <c r="G422" s="130"/>
      <c r="H422" s="130"/>
      <c r="I422" s="130"/>
      <c r="J422" s="130"/>
      <c r="K422" s="130"/>
      <c r="L422" s="130"/>
      <c r="M422" s="130"/>
      <c r="N422" s="130"/>
      <c r="O422" s="130"/>
      <c r="P422" s="130"/>
    </row>
    <row r="423" spans="1:16" x14ac:dyDescent="0.2">
      <c r="A423" s="49" t="str">
        <v>0:00</v>
      </c>
      <c r="B423" s="108"/>
      <c r="C423" s="130"/>
      <c r="D423" s="130"/>
      <c r="E423" s="130"/>
      <c r="F423" s="130"/>
      <c r="G423" s="130"/>
      <c r="H423" s="130"/>
      <c r="I423" s="130"/>
      <c r="J423" s="130"/>
      <c r="K423" s="130"/>
      <c r="L423" s="130"/>
      <c r="M423" s="130"/>
      <c r="N423" s="130"/>
      <c r="O423" s="130"/>
      <c r="P423" s="130"/>
    </row>
    <row r="424" spans="1:16" x14ac:dyDescent="0.2">
      <c r="A424" s="49" t="str">
        <v>0:00</v>
      </c>
      <c r="B424" s="108"/>
      <c r="C424" s="130"/>
      <c r="D424" s="130"/>
      <c r="E424" s="130"/>
      <c r="F424" s="130"/>
      <c r="G424" s="130"/>
      <c r="H424" s="130"/>
      <c r="I424" s="130"/>
      <c r="J424" s="130"/>
      <c r="K424" s="130"/>
      <c r="L424" s="130"/>
      <c r="M424" s="130"/>
      <c r="N424" s="130"/>
      <c r="O424" s="130"/>
      <c r="P424" s="130"/>
    </row>
    <row r="425" spans="1:16" x14ac:dyDescent="0.2">
      <c r="A425" s="49" t="str">
        <v>0:00</v>
      </c>
      <c r="B425" s="108"/>
      <c r="C425" s="130"/>
      <c r="D425" s="130"/>
      <c r="E425" s="130"/>
      <c r="F425" s="130"/>
      <c r="G425" s="130"/>
      <c r="H425" s="130"/>
      <c r="I425" s="130"/>
      <c r="J425" s="130"/>
      <c r="K425" s="130"/>
      <c r="L425" s="130"/>
      <c r="M425" s="130"/>
      <c r="N425" s="130"/>
      <c r="O425" s="130"/>
      <c r="P425" s="130"/>
    </row>
    <row r="426" spans="1:16" x14ac:dyDescent="0.2">
      <c r="A426" s="49" t="str">
        <v>0:00</v>
      </c>
      <c r="B426" s="108"/>
      <c r="C426" s="130"/>
      <c r="D426" s="130"/>
      <c r="E426" s="130"/>
      <c r="F426" s="130"/>
      <c r="G426" s="130"/>
      <c r="H426" s="130"/>
      <c r="I426" s="130"/>
      <c r="J426" s="130"/>
      <c r="K426" s="130"/>
      <c r="L426" s="130"/>
      <c r="M426" s="130"/>
      <c r="N426" s="130"/>
      <c r="O426" s="130"/>
      <c r="P426" s="130"/>
    </row>
    <row r="427" spans="1:16" x14ac:dyDescent="0.2">
      <c r="A427" s="49" t="str">
        <v>0:00</v>
      </c>
      <c r="B427" s="108"/>
      <c r="C427" s="130"/>
      <c r="D427" s="130"/>
      <c r="E427" s="130"/>
      <c r="F427" s="130"/>
      <c r="G427" s="130"/>
      <c r="H427" s="130"/>
      <c r="I427" s="130"/>
      <c r="J427" s="130"/>
      <c r="K427" s="130"/>
      <c r="L427" s="130"/>
      <c r="M427" s="130"/>
      <c r="N427" s="130"/>
      <c r="O427" s="130"/>
      <c r="P427" s="130"/>
    </row>
    <row r="428" spans="1:16" x14ac:dyDescent="0.2">
      <c r="A428" s="49" t="str">
        <v>0:00</v>
      </c>
      <c r="B428" s="108"/>
      <c r="C428" s="130"/>
      <c r="D428" s="130"/>
      <c r="E428" s="130"/>
      <c r="F428" s="130"/>
      <c r="G428" s="130"/>
      <c r="H428" s="130"/>
      <c r="I428" s="130"/>
      <c r="J428" s="130"/>
      <c r="K428" s="130"/>
      <c r="L428" s="130"/>
      <c r="M428" s="130"/>
      <c r="N428" s="130"/>
      <c r="O428" s="130"/>
      <c r="P428" s="130"/>
    </row>
    <row r="429" spans="1:16" x14ac:dyDescent="0.2">
      <c r="A429" s="49" t="str">
        <v>0:00</v>
      </c>
      <c r="B429" s="108"/>
      <c r="C429" s="130"/>
      <c r="D429" s="130"/>
      <c r="E429" s="130"/>
      <c r="F429" s="130"/>
      <c r="G429" s="130"/>
      <c r="H429" s="130"/>
      <c r="I429" s="130"/>
      <c r="J429" s="130"/>
      <c r="K429" s="130"/>
      <c r="L429" s="130"/>
      <c r="M429" s="130"/>
      <c r="N429" s="130"/>
      <c r="O429" s="130"/>
      <c r="P429" s="130"/>
    </row>
    <row r="430" spans="1:16" x14ac:dyDescent="0.2">
      <c r="A430" s="49" t="str">
        <v>0:00</v>
      </c>
      <c r="B430" s="108"/>
      <c r="C430" s="130"/>
      <c r="D430" s="130"/>
      <c r="E430" s="130"/>
      <c r="F430" s="130"/>
      <c r="G430" s="130"/>
      <c r="H430" s="130"/>
      <c r="I430" s="130"/>
      <c r="J430" s="130"/>
      <c r="K430" s="130"/>
      <c r="L430" s="130"/>
      <c r="M430" s="130"/>
      <c r="N430" s="130"/>
      <c r="O430" s="130"/>
      <c r="P430" s="130"/>
    </row>
    <row r="431" spans="1:16" x14ac:dyDescent="0.2">
      <c r="A431" s="49" t="str">
        <v>0:00</v>
      </c>
      <c r="B431" s="108"/>
      <c r="C431" s="130"/>
      <c r="D431" s="130"/>
      <c r="E431" s="130"/>
      <c r="F431" s="130"/>
      <c r="G431" s="130"/>
      <c r="H431" s="130"/>
      <c r="I431" s="130"/>
      <c r="J431" s="130"/>
      <c r="K431" s="130"/>
      <c r="L431" s="130"/>
      <c r="M431" s="130"/>
      <c r="N431" s="130"/>
      <c r="O431" s="130"/>
      <c r="P431" s="130"/>
    </row>
    <row r="432" spans="1:16" x14ac:dyDescent="0.2">
      <c r="A432" s="49" t="str">
        <v>0:00</v>
      </c>
      <c r="B432" s="108"/>
      <c r="C432" s="130"/>
      <c r="D432" s="130"/>
      <c r="E432" s="130"/>
      <c r="F432" s="130"/>
      <c r="G432" s="130"/>
      <c r="H432" s="130"/>
      <c r="I432" s="130"/>
      <c r="J432" s="130"/>
      <c r="K432" s="130"/>
      <c r="L432" s="130"/>
      <c r="M432" s="130"/>
      <c r="N432" s="130"/>
      <c r="O432" s="130"/>
      <c r="P432" s="130"/>
    </row>
    <row r="433" spans="1:16" x14ac:dyDescent="0.2">
      <c r="A433" s="49" t="str">
        <v>0:00</v>
      </c>
      <c r="B433" s="108"/>
      <c r="C433" s="130"/>
      <c r="D433" s="130"/>
      <c r="E433" s="130"/>
      <c r="F433" s="130"/>
      <c r="G433" s="130"/>
      <c r="H433" s="130"/>
      <c r="I433" s="130"/>
      <c r="J433" s="130"/>
      <c r="K433" s="130"/>
      <c r="L433" s="130"/>
      <c r="M433" s="130"/>
      <c r="N433" s="130"/>
      <c r="O433" s="130"/>
      <c r="P433" s="130"/>
    </row>
    <row r="434" spans="1:16" x14ac:dyDescent="0.2">
      <c r="A434" s="49" t="str">
        <v>0:00</v>
      </c>
      <c r="B434" s="108"/>
      <c r="C434" s="130"/>
      <c r="D434" s="130"/>
      <c r="E434" s="130"/>
      <c r="F434" s="130"/>
      <c r="G434" s="130"/>
      <c r="H434" s="130"/>
      <c r="I434" s="130"/>
      <c r="J434" s="130"/>
      <c r="K434" s="130"/>
      <c r="L434" s="130"/>
      <c r="M434" s="130"/>
      <c r="N434" s="130"/>
      <c r="O434" s="130"/>
      <c r="P434" s="130"/>
    </row>
    <row r="435" spans="1:16" x14ac:dyDescent="0.2">
      <c r="A435" s="49" t="str">
        <v>0:00</v>
      </c>
      <c r="B435" s="108"/>
      <c r="C435" s="130"/>
      <c r="D435" s="130"/>
      <c r="E435" s="130"/>
      <c r="F435" s="130"/>
      <c r="G435" s="130"/>
      <c r="H435" s="130"/>
      <c r="I435" s="130"/>
      <c r="J435" s="130"/>
      <c r="K435" s="130"/>
      <c r="L435" s="130"/>
      <c r="M435" s="130"/>
      <c r="N435" s="130"/>
      <c r="O435" s="130"/>
      <c r="P435" s="130"/>
    </row>
    <row r="436" spans="1:16" x14ac:dyDescent="0.2">
      <c r="A436" s="49" t="str">
        <v>0:00</v>
      </c>
      <c r="B436" s="108"/>
      <c r="C436" s="130"/>
      <c r="D436" s="130"/>
      <c r="E436" s="130"/>
      <c r="F436" s="130"/>
      <c r="G436" s="130"/>
      <c r="H436" s="130"/>
      <c r="I436" s="130"/>
      <c r="J436" s="130"/>
      <c r="K436" s="130"/>
      <c r="L436" s="130"/>
      <c r="M436" s="130"/>
      <c r="N436" s="130"/>
      <c r="O436" s="130"/>
      <c r="P436" s="130"/>
    </row>
    <row r="437" spans="1:16" x14ac:dyDescent="0.2">
      <c r="A437" s="49" t="str">
        <v>0:00</v>
      </c>
      <c r="B437" s="108"/>
      <c r="C437" s="130"/>
      <c r="D437" s="130"/>
      <c r="E437" s="130"/>
      <c r="F437" s="130"/>
      <c r="G437" s="130"/>
      <c r="H437" s="130"/>
      <c r="I437" s="130"/>
      <c r="J437" s="130"/>
      <c r="K437" s="130"/>
      <c r="L437" s="130"/>
      <c r="M437" s="130"/>
      <c r="N437" s="130"/>
      <c r="O437" s="130"/>
      <c r="P437" s="130"/>
    </row>
    <row r="438" spans="1:16" x14ac:dyDescent="0.2">
      <c r="A438" s="49" t="str">
        <v>0:00</v>
      </c>
      <c r="B438" s="108"/>
      <c r="C438" s="130"/>
      <c r="D438" s="130"/>
      <c r="E438" s="130"/>
      <c r="F438" s="130"/>
      <c r="G438" s="130"/>
      <c r="H438" s="130"/>
      <c r="I438" s="130"/>
      <c r="J438" s="130"/>
      <c r="K438" s="130"/>
      <c r="L438" s="130"/>
      <c r="M438" s="130"/>
      <c r="N438" s="130"/>
      <c r="O438" s="130"/>
      <c r="P438" s="130"/>
    </row>
    <row r="439" spans="1:16" x14ac:dyDescent="0.2">
      <c r="A439" s="49" t="str">
        <v>0:00</v>
      </c>
      <c r="B439" s="108"/>
      <c r="C439" s="130"/>
      <c r="D439" s="130"/>
      <c r="E439" s="130"/>
      <c r="F439" s="130"/>
      <c r="G439" s="130"/>
      <c r="H439" s="130"/>
      <c r="I439" s="130"/>
      <c r="J439" s="130"/>
      <c r="K439" s="130"/>
      <c r="L439" s="130"/>
      <c r="M439" s="130"/>
      <c r="N439" s="130"/>
      <c r="O439" s="130"/>
      <c r="P439" s="130"/>
    </row>
    <row r="440" spans="1:16" x14ac:dyDescent="0.2">
      <c r="A440" s="49" t="str">
        <v>0:00</v>
      </c>
      <c r="B440" s="108"/>
      <c r="C440" s="130"/>
      <c r="D440" s="130"/>
      <c r="E440" s="130"/>
      <c r="F440" s="130"/>
      <c r="G440" s="130"/>
      <c r="H440" s="130"/>
      <c r="I440" s="130"/>
      <c r="J440" s="130"/>
      <c r="K440" s="130"/>
      <c r="L440" s="130"/>
      <c r="M440" s="130"/>
      <c r="N440" s="130"/>
      <c r="O440" s="130"/>
      <c r="P440" s="130"/>
    </row>
    <row r="441" spans="1:16" x14ac:dyDescent="0.2">
      <c r="A441" s="49" t="str">
        <v>0:00</v>
      </c>
      <c r="B441" s="108"/>
      <c r="C441" s="130"/>
      <c r="D441" s="130"/>
      <c r="E441" s="130"/>
      <c r="F441" s="130"/>
      <c r="G441" s="130"/>
      <c r="H441" s="130"/>
      <c r="I441" s="130"/>
      <c r="J441" s="130"/>
      <c r="K441" s="130"/>
      <c r="L441" s="130"/>
      <c r="M441" s="130"/>
      <c r="N441" s="130"/>
      <c r="O441" s="130"/>
      <c r="P441" s="130"/>
    </row>
    <row r="442" spans="1:16" x14ac:dyDescent="0.2">
      <c r="A442" s="49" t="str">
        <v>0:00</v>
      </c>
      <c r="B442" s="108"/>
      <c r="C442" s="130"/>
      <c r="D442" s="130"/>
      <c r="E442" s="130"/>
      <c r="F442" s="130"/>
      <c r="G442" s="130"/>
      <c r="H442" s="130"/>
      <c r="I442" s="130"/>
      <c r="J442" s="130"/>
      <c r="K442" s="130"/>
      <c r="L442" s="130"/>
      <c r="M442" s="130"/>
      <c r="N442" s="130"/>
      <c r="O442" s="130"/>
      <c r="P442" s="130"/>
    </row>
    <row r="443" spans="1:16" x14ac:dyDescent="0.2">
      <c r="A443" s="49" t="str">
        <v>0:00</v>
      </c>
      <c r="B443" s="108"/>
      <c r="C443" s="130"/>
      <c r="D443" s="130"/>
      <c r="E443" s="130"/>
      <c r="F443" s="130"/>
      <c r="G443" s="130"/>
      <c r="H443" s="130"/>
      <c r="I443" s="130"/>
      <c r="J443" s="130"/>
      <c r="K443" s="130"/>
      <c r="L443" s="130"/>
      <c r="M443" s="130"/>
      <c r="N443" s="130"/>
      <c r="O443" s="130"/>
      <c r="P443" s="130"/>
    </row>
    <row r="444" spans="1:16" x14ac:dyDescent="0.2">
      <c r="A444" s="49" t="str">
        <v>0:00</v>
      </c>
      <c r="B444" s="108"/>
      <c r="C444" s="130"/>
      <c r="D444" s="130"/>
      <c r="E444" s="130"/>
      <c r="F444" s="130"/>
      <c r="G444" s="130"/>
      <c r="H444" s="130"/>
      <c r="I444" s="130"/>
      <c r="J444" s="130"/>
      <c r="K444" s="130"/>
      <c r="L444" s="130"/>
      <c r="M444" s="130"/>
      <c r="N444" s="130"/>
      <c r="O444" s="130"/>
      <c r="P444" s="130"/>
    </row>
    <row r="445" spans="1:16" x14ac:dyDescent="0.2">
      <c r="A445" s="49" t="str">
        <v>0:00</v>
      </c>
      <c r="B445" s="108"/>
      <c r="C445" s="130"/>
      <c r="D445" s="130"/>
      <c r="E445" s="130"/>
      <c r="F445" s="130"/>
      <c r="G445" s="130"/>
      <c r="H445" s="130"/>
      <c r="I445" s="130"/>
      <c r="J445" s="130"/>
      <c r="K445" s="130"/>
      <c r="L445" s="130"/>
      <c r="M445" s="130"/>
      <c r="N445" s="130"/>
      <c r="O445" s="130"/>
      <c r="P445" s="130"/>
    </row>
    <row r="446" spans="1:16" x14ac:dyDescent="0.2">
      <c r="A446" s="49" t="str">
        <v>0:00</v>
      </c>
      <c r="B446" s="108"/>
      <c r="C446" s="130"/>
      <c r="D446" s="130"/>
      <c r="E446" s="130"/>
      <c r="F446" s="130"/>
      <c r="G446" s="130"/>
      <c r="H446" s="130"/>
      <c r="I446" s="130"/>
      <c r="J446" s="130"/>
      <c r="K446" s="130"/>
      <c r="L446" s="130"/>
      <c r="M446" s="130"/>
      <c r="N446" s="130"/>
      <c r="O446" s="130"/>
      <c r="P446" s="130"/>
    </row>
    <row r="447" spans="1:16" x14ac:dyDescent="0.2">
      <c r="A447" s="49" t="str">
        <v>0:00</v>
      </c>
      <c r="B447" s="108"/>
      <c r="C447" s="130"/>
      <c r="D447" s="130"/>
      <c r="E447" s="130"/>
      <c r="F447" s="130"/>
      <c r="G447" s="130"/>
      <c r="H447" s="130"/>
      <c r="I447" s="130"/>
      <c r="J447" s="130"/>
      <c r="K447" s="130"/>
      <c r="L447" s="130"/>
      <c r="M447" s="130"/>
      <c r="N447" s="130"/>
      <c r="O447" s="130"/>
      <c r="P447" s="130"/>
    </row>
    <row r="448" spans="1:16" x14ac:dyDescent="0.2">
      <c r="A448" s="49" t="str">
        <v>0:00</v>
      </c>
      <c r="B448" s="108"/>
      <c r="C448" s="130"/>
      <c r="D448" s="130"/>
      <c r="E448" s="130"/>
      <c r="F448" s="130"/>
      <c r="G448" s="130"/>
      <c r="H448" s="130"/>
      <c r="I448" s="130"/>
      <c r="J448" s="130"/>
      <c r="K448" s="130"/>
      <c r="L448" s="130"/>
      <c r="M448" s="130"/>
      <c r="N448" s="130"/>
      <c r="O448" s="130"/>
      <c r="P448" s="130"/>
    </row>
    <row r="449" spans="1:16" x14ac:dyDescent="0.2">
      <c r="A449" s="49" t="str">
        <v>0:00</v>
      </c>
      <c r="B449" s="108"/>
      <c r="C449" s="130"/>
      <c r="D449" s="130"/>
      <c r="E449" s="130"/>
      <c r="F449" s="130"/>
      <c r="G449" s="130"/>
      <c r="H449" s="130"/>
      <c r="I449" s="130"/>
      <c r="J449" s="130"/>
      <c r="K449" s="130"/>
      <c r="L449" s="130"/>
      <c r="M449" s="130"/>
      <c r="N449" s="130"/>
      <c r="O449" s="130"/>
      <c r="P449" s="130"/>
    </row>
    <row r="450" spans="1:16" x14ac:dyDescent="0.2">
      <c r="A450" s="49" t="str">
        <v>0:00</v>
      </c>
      <c r="B450" s="108"/>
      <c r="C450" s="130"/>
      <c r="D450" s="130"/>
      <c r="E450" s="130"/>
      <c r="F450" s="130"/>
      <c r="G450" s="130"/>
      <c r="H450" s="130"/>
      <c r="I450" s="130"/>
      <c r="J450" s="130"/>
      <c r="K450" s="130"/>
      <c r="L450" s="130"/>
      <c r="M450" s="130"/>
      <c r="N450" s="130"/>
      <c r="O450" s="130"/>
      <c r="P450" s="130"/>
    </row>
    <row r="451" spans="1:16" x14ac:dyDescent="0.2">
      <c r="A451" s="49" t="str">
        <v>0:00</v>
      </c>
      <c r="B451" s="108"/>
      <c r="C451" s="130"/>
      <c r="D451" s="130"/>
      <c r="E451" s="130"/>
      <c r="F451" s="130"/>
      <c r="G451" s="130"/>
      <c r="H451" s="130"/>
      <c r="I451" s="130"/>
      <c r="J451" s="130"/>
      <c r="K451" s="130"/>
      <c r="L451" s="130"/>
      <c r="M451" s="130"/>
      <c r="N451" s="130"/>
      <c r="O451" s="130"/>
      <c r="P451" s="130"/>
    </row>
    <row r="452" spans="1:16" x14ac:dyDescent="0.2">
      <c r="A452" s="49" t="str">
        <v>0:00</v>
      </c>
      <c r="B452" s="108"/>
      <c r="C452" s="130"/>
      <c r="D452" s="130"/>
      <c r="E452" s="130"/>
      <c r="F452" s="130"/>
      <c r="G452" s="130"/>
      <c r="H452" s="130"/>
      <c r="I452" s="130"/>
      <c r="J452" s="130"/>
      <c r="K452" s="130"/>
      <c r="L452" s="130"/>
      <c r="M452" s="130"/>
      <c r="N452" s="130"/>
      <c r="O452" s="130"/>
      <c r="P452" s="130"/>
    </row>
    <row r="453" spans="1:16" x14ac:dyDescent="0.2">
      <c r="A453" s="49" t="str">
        <v>0:00</v>
      </c>
      <c r="B453" s="108"/>
      <c r="C453" s="130"/>
      <c r="D453" s="130"/>
      <c r="E453" s="130"/>
      <c r="F453" s="130"/>
      <c r="G453" s="130"/>
      <c r="H453" s="130"/>
      <c r="I453" s="130"/>
      <c r="J453" s="130"/>
      <c r="K453" s="130"/>
      <c r="L453" s="130"/>
      <c r="M453" s="130"/>
      <c r="N453" s="130"/>
      <c r="O453" s="130"/>
      <c r="P453" s="130"/>
    </row>
    <row r="454" spans="1:16" x14ac:dyDescent="0.2">
      <c r="A454" s="49" t="str">
        <v>0:00</v>
      </c>
      <c r="B454" s="108"/>
      <c r="C454" s="130"/>
      <c r="D454" s="130"/>
      <c r="E454" s="130"/>
      <c r="F454" s="130"/>
      <c r="G454" s="130"/>
      <c r="H454" s="130"/>
      <c r="I454" s="130"/>
      <c r="J454" s="130"/>
      <c r="K454" s="130"/>
      <c r="L454" s="130"/>
      <c r="M454" s="130"/>
      <c r="N454" s="130"/>
      <c r="O454" s="130"/>
      <c r="P454" s="130"/>
    </row>
    <row r="455" spans="1:16" x14ac:dyDescent="0.2">
      <c r="A455" s="49" t="str">
        <v>0:00</v>
      </c>
      <c r="B455" s="108"/>
      <c r="C455" s="130"/>
      <c r="D455" s="130"/>
      <c r="E455" s="130"/>
      <c r="F455" s="130"/>
      <c r="G455" s="130"/>
      <c r="H455" s="130"/>
      <c r="I455" s="130"/>
      <c r="J455" s="130"/>
      <c r="K455" s="130"/>
      <c r="L455" s="130"/>
      <c r="M455" s="130"/>
      <c r="N455" s="130"/>
      <c r="O455" s="130"/>
      <c r="P455" s="130"/>
    </row>
    <row r="456" spans="1:16" x14ac:dyDescent="0.2">
      <c r="A456" s="49" t="str">
        <v>0:00</v>
      </c>
      <c r="B456" s="108"/>
      <c r="C456" s="130"/>
      <c r="D456" s="130"/>
      <c r="E456" s="130"/>
      <c r="F456" s="130"/>
      <c r="G456" s="130"/>
      <c r="H456" s="130"/>
      <c r="I456" s="130"/>
      <c r="J456" s="130"/>
      <c r="K456" s="130"/>
      <c r="L456" s="130"/>
      <c r="M456" s="130"/>
      <c r="N456" s="130"/>
      <c r="O456" s="130"/>
      <c r="P456" s="130"/>
    </row>
    <row r="457" spans="1:16" x14ac:dyDescent="0.2">
      <c r="A457" s="49" t="str">
        <v>0:00</v>
      </c>
      <c r="B457" s="108"/>
      <c r="C457" s="130"/>
      <c r="D457" s="130"/>
      <c r="E457" s="130"/>
      <c r="F457" s="130"/>
      <c r="G457" s="130"/>
      <c r="H457" s="130"/>
      <c r="I457" s="130"/>
      <c r="J457" s="130"/>
      <c r="K457" s="130"/>
      <c r="L457" s="130"/>
      <c r="M457" s="130"/>
      <c r="N457" s="130"/>
      <c r="O457" s="130"/>
      <c r="P457" s="130"/>
    </row>
    <row r="458" spans="1:16" x14ac:dyDescent="0.2">
      <c r="A458" s="49" t="str">
        <v>0:00</v>
      </c>
      <c r="B458" s="108"/>
      <c r="C458" s="130"/>
      <c r="D458" s="130"/>
      <c r="E458" s="130"/>
      <c r="F458" s="130"/>
      <c r="G458" s="130"/>
      <c r="H458" s="130"/>
      <c r="I458" s="130"/>
      <c r="J458" s="130"/>
      <c r="K458" s="130"/>
      <c r="L458" s="130"/>
      <c r="M458" s="130"/>
      <c r="N458" s="130"/>
      <c r="O458" s="130"/>
      <c r="P458" s="130"/>
    </row>
    <row r="459" spans="1:16" x14ac:dyDescent="0.2">
      <c r="A459" s="49" t="str">
        <v>0:00</v>
      </c>
      <c r="B459" s="108"/>
      <c r="C459" s="130"/>
      <c r="D459" s="130"/>
      <c r="E459" s="130"/>
      <c r="F459" s="130"/>
      <c r="G459" s="130"/>
      <c r="H459" s="130"/>
      <c r="I459" s="130"/>
      <c r="J459" s="130"/>
      <c r="K459" s="130"/>
      <c r="L459" s="130"/>
      <c r="M459" s="130"/>
      <c r="N459" s="130"/>
      <c r="O459" s="130"/>
      <c r="P459" s="130"/>
    </row>
    <row r="460" spans="1:16" x14ac:dyDescent="0.2">
      <c r="A460" s="49" t="str">
        <v>0:00</v>
      </c>
      <c r="B460" s="108"/>
      <c r="C460" s="130"/>
      <c r="D460" s="130"/>
      <c r="E460" s="130"/>
      <c r="F460" s="130"/>
      <c r="G460" s="130"/>
      <c r="H460" s="130"/>
      <c r="I460" s="130"/>
      <c r="J460" s="130"/>
      <c r="K460" s="130"/>
      <c r="L460" s="130"/>
      <c r="M460" s="130"/>
      <c r="N460" s="130"/>
      <c r="O460" s="130"/>
      <c r="P460" s="130"/>
    </row>
    <row r="461" spans="1:16" x14ac:dyDescent="0.2">
      <c r="A461" s="49" t="str">
        <v>0:00</v>
      </c>
      <c r="B461" s="108"/>
      <c r="C461" s="130"/>
      <c r="D461" s="130"/>
      <c r="E461" s="130"/>
      <c r="F461" s="130"/>
      <c r="G461" s="130"/>
      <c r="H461" s="130"/>
      <c r="I461" s="130"/>
      <c r="J461" s="130"/>
      <c r="K461" s="130"/>
      <c r="L461" s="130"/>
      <c r="M461" s="130"/>
      <c r="N461" s="130"/>
      <c r="O461" s="130"/>
      <c r="P461" s="130"/>
    </row>
    <row r="462" spans="1:16" x14ac:dyDescent="0.2">
      <c r="A462" s="49" t="str">
        <v>0:00</v>
      </c>
      <c r="B462" s="108"/>
      <c r="C462" s="130"/>
      <c r="D462" s="130"/>
      <c r="E462" s="130"/>
      <c r="F462" s="130"/>
      <c r="G462" s="130"/>
      <c r="H462" s="130"/>
      <c r="I462" s="130"/>
      <c r="J462" s="130"/>
      <c r="K462" s="130"/>
      <c r="L462" s="130"/>
      <c r="M462" s="130"/>
      <c r="N462" s="130"/>
      <c r="O462" s="130"/>
      <c r="P462" s="130"/>
    </row>
    <row r="463" spans="1:16" x14ac:dyDescent="0.2">
      <c r="A463" s="49" t="str">
        <v>0:00</v>
      </c>
      <c r="B463" s="108"/>
      <c r="C463" s="130"/>
      <c r="D463" s="130"/>
      <c r="E463" s="130"/>
      <c r="F463" s="130"/>
      <c r="G463" s="130"/>
      <c r="H463" s="130"/>
      <c r="I463" s="130"/>
      <c r="J463" s="130"/>
      <c r="K463" s="130"/>
      <c r="L463" s="130"/>
      <c r="M463" s="130"/>
      <c r="N463" s="130"/>
      <c r="O463" s="130"/>
      <c r="P463" s="130"/>
    </row>
    <row r="464" spans="1:16" x14ac:dyDescent="0.2">
      <c r="A464" s="49" t="str">
        <v>0:00</v>
      </c>
      <c r="B464" s="108"/>
      <c r="C464" s="130"/>
      <c r="D464" s="130"/>
      <c r="E464" s="130"/>
      <c r="F464" s="130"/>
      <c r="G464" s="130"/>
      <c r="H464" s="130"/>
      <c r="I464" s="130"/>
      <c r="J464" s="130"/>
      <c r="K464" s="130"/>
      <c r="L464" s="130"/>
      <c r="M464" s="130"/>
      <c r="N464" s="130"/>
      <c r="O464" s="130"/>
      <c r="P464" s="130"/>
    </row>
    <row r="465" spans="1:16" x14ac:dyDescent="0.2">
      <c r="A465" s="49" t="str">
        <v>0:00</v>
      </c>
      <c r="B465" s="108"/>
      <c r="C465" s="130"/>
      <c r="D465" s="130"/>
      <c r="E465" s="130"/>
      <c r="F465" s="130"/>
      <c r="G465" s="130"/>
      <c r="H465" s="130"/>
      <c r="I465" s="130"/>
      <c r="J465" s="130"/>
      <c r="K465" s="130"/>
      <c r="L465" s="130"/>
      <c r="M465" s="130"/>
      <c r="N465" s="130"/>
      <c r="O465" s="130"/>
      <c r="P465" s="130"/>
    </row>
    <row r="466" spans="1:16" x14ac:dyDescent="0.2">
      <c r="A466" s="49" t="str">
        <v>0:00</v>
      </c>
      <c r="B466" s="108"/>
      <c r="C466" s="130"/>
      <c r="D466" s="130"/>
      <c r="E466" s="130"/>
      <c r="F466" s="130"/>
      <c r="G466" s="130"/>
      <c r="H466" s="130"/>
      <c r="I466" s="130"/>
      <c r="J466" s="130"/>
      <c r="K466" s="130"/>
      <c r="L466" s="130"/>
      <c r="M466" s="130"/>
      <c r="N466" s="130"/>
      <c r="O466" s="130"/>
      <c r="P466" s="130"/>
    </row>
    <row r="467" spans="1:16" x14ac:dyDescent="0.2">
      <c r="A467" s="49" t="str">
        <v>0:00</v>
      </c>
      <c r="B467" s="108"/>
      <c r="C467" s="130"/>
      <c r="D467" s="130"/>
      <c r="E467" s="130"/>
      <c r="F467" s="130"/>
      <c r="G467" s="130"/>
      <c r="H467" s="130"/>
      <c r="I467" s="130"/>
      <c r="J467" s="130"/>
      <c r="K467" s="130"/>
      <c r="L467" s="130"/>
      <c r="M467" s="130"/>
      <c r="N467" s="130"/>
      <c r="O467" s="130"/>
      <c r="P467" s="130"/>
    </row>
    <row r="468" spans="1:16" x14ac:dyDescent="0.2">
      <c r="A468" s="49" t="str">
        <v>0:00</v>
      </c>
      <c r="B468" s="108"/>
      <c r="C468" s="130"/>
      <c r="D468" s="130"/>
      <c r="E468" s="130"/>
      <c r="F468" s="130"/>
      <c r="G468" s="130"/>
      <c r="H468" s="130"/>
      <c r="I468" s="130"/>
      <c r="J468" s="130"/>
      <c r="K468" s="130"/>
      <c r="L468" s="130"/>
      <c r="M468" s="130"/>
      <c r="N468" s="130"/>
      <c r="O468" s="130"/>
      <c r="P468" s="130"/>
    </row>
    <row r="469" spans="1:16" x14ac:dyDescent="0.2">
      <c r="A469" s="49" t="str">
        <v>0:00</v>
      </c>
      <c r="B469" s="108"/>
      <c r="C469" s="130"/>
      <c r="D469" s="130"/>
      <c r="E469" s="130"/>
      <c r="F469" s="130"/>
      <c r="G469" s="130"/>
      <c r="H469" s="130"/>
      <c r="I469" s="130"/>
      <c r="J469" s="130"/>
      <c r="K469" s="130"/>
      <c r="L469" s="130"/>
      <c r="M469" s="130"/>
      <c r="N469" s="130"/>
      <c r="O469" s="130"/>
      <c r="P469" s="130"/>
    </row>
    <row r="470" spans="1:16" x14ac:dyDescent="0.2">
      <c r="A470" s="49" t="str">
        <v>0:00</v>
      </c>
      <c r="B470" s="108"/>
      <c r="C470" s="130"/>
      <c r="D470" s="130"/>
      <c r="E470" s="130"/>
      <c r="F470" s="130"/>
      <c r="G470" s="130"/>
      <c r="H470" s="130"/>
      <c r="I470" s="130"/>
      <c r="J470" s="130"/>
      <c r="K470" s="130"/>
      <c r="L470" s="130"/>
      <c r="M470" s="130"/>
      <c r="N470" s="130"/>
      <c r="O470" s="130"/>
      <c r="P470" s="130"/>
    </row>
    <row r="471" spans="1:16" x14ac:dyDescent="0.2">
      <c r="A471" s="49" t="str">
        <v>0:00</v>
      </c>
      <c r="B471" s="108"/>
      <c r="C471" s="130"/>
      <c r="D471" s="130"/>
      <c r="E471" s="130"/>
      <c r="F471" s="130"/>
      <c r="G471" s="130"/>
      <c r="H471" s="130"/>
      <c r="I471" s="130"/>
      <c r="J471" s="130"/>
      <c r="K471" s="130"/>
      <c r="L471" s="130"/>
      <c r="M471" s="130"/>
      <c r="N471" s="130"/>
      <c r="O471" s="130"/>
      <c r="P471" s="130"/>
    </row>
    <row r="472" spans="1:16" x14ac:dyDescent="0.2">
      <c r="A472" s="49" t="str">
        <v>0:00</v>
      </c>
      <c r="B472" s="108"/>
      <c r="C472" s="130"/>
      <c r="D472" s="130"/>
      <c r="E472" s="130"/>
      <c r="F472" s="130"/>
      <c r="G472" s="130"/>
      <c r="H472" s="130"/>
      <c r="I472" s="130"/>
      <c r="J472" s="130"/>
      <c r="K472" s="130"/>
      <c r="L472" s="130"/>
      <c r="M472" s="130"/>
      <c r="N472" s="130"/>
      <c r="O472" s="130"/>
      <c r="P472" s="130"/>
    </row>
    <row r="473" spans="1:16" x14ac:dyDescent="0.2">
      <c r="A473" s="49" t="str">
        <v>0:00</v>
      </c>
      <c r="B473" s="108"/>
      <c r="C473" s="130"/>
      <c r="D473" s="130"/>
      <c r="E473" s="130"/>
      <c r="F473" s="130"/>
      <c r="G473" s="130"/>
      <c r="H473" s="130"/>
      <c r="I473" s="130"/>
      <c r="J473" s="130"/>
      <c r="K473" s="130"/>
      <c r="L473" s="130"/>
      <c r="M473" s="130"/>
      <c r="N473" s="130"/>
      <c r="O473" s="130"/>
      <c r="P473" s="130"/>
    </row>
    <row r="474" spans="1:16" x14ac:dyDescent="0.2">
      <c r="A474" s="49" t="str">
        <v>0:00</v>
      </c>
      <c r="B474" s="108"/>
      <c r="C474" s="130"/>
      <c r="D474" s="130"/>
      <c r="E474" s="130"/>
      <c r="F474" s="130"/>
      <c r="G474" s="130"/>
      <c r="H474" s="130"/>
      <c r="I474" s="130"/>
      <c r="J474" s="130"/>
      <c r="K474" s="130"/>
      <c r="L474" s="130"/>
      <c r="M474" s="130"/>
      <c r="N474" s="130"/>
      <c r="O474" s="130"/>
      <c r="P474" s="130"/>
    </row>
    <row r="475" spans="1:16" x14ac:dyDescent="0.2">
      <c r="A475" s="49" t="str">
        <v>0:00</v>
      </c>
      <c r="B475" s="108"/>
      <c r="C475" s="130"/>
      <c r="D475" s="130"/>
      <c r="E475" s="130"/>
      <c r="F475" s="130"/>
      <c r="G475" s="130"/>
      <c r="H475" s="130"/>
      <c r="I475" s="130"/>
      <c r="J475" s="130"/>
      <c r="K475" s="130"/>
      <c r="L475" s="130"/>
      <c r="M475" s="130"/>
      <c r="N475" s="130"/>
      <c r="O475" s="130"/>
      <c r="P475" s="130"/>
    </row>
    <row r="476" spans="1:16" x14ac:dyDescent="0.2">
      <c r="A476" s="49" t="str">
        <v>0:00</v>
      </c>
      <c r="B476" s="108"/>
      <c r="C476" s="130"/>
      <c r="D476" s="130"/>
      <c r="E476" s="130"/>
      <c r="F476" s="130"/>
      <c r="G476" s="130"/>
      <c r="H476" s="130"/>
      <c r="I476" s="130"/>
      <c r="J476" s="130"/>
      <c r="K476" s="130"/>
      <c r="L476" s="130"/>
      <c r="M476" s="130"/>
      <c r="N476" s="130"/>
      <c r="O476" s="130"/>
      <c r="P476" s="130"/>
    </row>
    <row r="477" spans="1:16" x14ac:dyDescent="0.2">
      <c r="A477" s="49" t="str">
        <v>0:00</v>
      </c>
      <c r="B477" s="108"/>
      <c r="C477" s="130"/>
      <c r="D477" s="130"/>
      <c r="E477" s="130"/>
      <c r="F477" s="130"/>
      <c r="G477" s="130"/>
      <c r="H477" s="130"/>
      <c r="I477" s="130"/>
      <c r="J477" s="130"/>
      <c r="K477" s="130"/>
      <c r="L477" s="130"/>
      <c r="M477" s="130"/>
      <c r="N477" s="130"/>
      <c r="O477" s="130"/>
      <c r="P477" s="130"/>
    </row>
    <row r="478" spans="1:16" x14ac:dyDescent="0.2">
      <c r="A478" s="49" t="str">
        <v>0:00</v>
      </c>
      <c r="B478" s="108"/>
      <c r="C478" s="130"/>
      <c r="D478" s="130"/>
      <c r="E478" s="130"/>
      <c r="F478" s="130"/>
      <c r="G478" s="130"/>
      <c r="H478" s="130"/>
      <c r="I478" s="130"/>
      <c r="J478" s="130"/>
      <c r="K478" s="130"/>
      <c r="L478" s="130"/>
      <c r="M478" s="130"/>
      <c r="N478" s="130"/>
      <c r="O478" s="130"/>
      <c r="P478" s="130"/>
    </row>
    <row r="479" spans="1:16" x14ac:dyDescent="0.2">
      <c r="A479" s="49" t="str">
        <v>0:00</v>
      </c>
      <c r="B479" s="108"/>
      <c r="C479" s="130"/>
      <c r="D479" s="130"/>
      <c r="E479" s="130"/>
      <c r="F479" s="130"/>
      <c r="G479" s="130"/>
      <c r="H479" s="130"/>
      <c r="I479" s="130"/>
      <c r="J479" s="130"/>
      <c r="K479" s="130"/>
      <c r="L479" s="130"/>
      <c r="M479" s="130"/>
      <c r="N479" s="130"/>
      <c r="O479" s="130"/>
      <c r="P479" s="130"/>
    </row>
    <row r="480" spans="1:16" x14ac:dyDescent="0.2">
      <c r="A480" s="49" t="str">
        <v>0:00</v>
      </c>
      <c r="B480" s="108"/>
      <c r="C480" s="130"/>
      <c r="D480" s="130"/>
      <c r="E480" s="130"/>
      <c r="F480" s="130"/>
      <c r="G480" s="130"/>
      <c r="H480" s="130"/>
      <c r="I480" s="130"/>
      <c r="J480" s="130"/>
      <c r="K480" s="130"/>
      <c r="L480" s="130"/>
      <c r="M480" s="130"/>
      <c r="N480" s="130"/>
      <c r="O480" s="130"/>
      <c r="P480" s="130"/>
    </row>
    <row r="481" spans="1:16" x14ac:dyDescent="0.2">
      <c r="A481" s="49" t="str">
        <v>0:00</v>
      </c>
      <c r="B481" s="108"/>
      <c r="C481" s="130"/>
      <c r="D481" s="130"/>
      <c r="E481" s="130"/>
      <c r="F481" s="130"/>
      <c r="G481" s="130"/>
      <c r="H481" s="130"/>
      <c r="I481" s="130"/>
      <c r="J481" s="130"/>
      <c r="K481" s="130"/>
      <c r="L481" s="130"/>
      <c r="M481" s="130"/>
      <c r="N481" s="130"/>
      <c r="O481" s="130"/>
      <c r="P481" s="130"/>
    </row>
    <row r="482" spans="1:16" x14ac:dyDescent="0.2">
      <c r="A482" s="49" t="str">
        <v>0:00</v>
      </c>
      <c r="B482" s="108"/>
      <c r="C482" s="130"/>
      <c r="D482" s="130"/>
      <c r="E482" s="130"/>
      <c r="F482" s="130"/>
      <c r="G482" s="130"/>
      <c r="H482" s="130"/>
      <c r="I482" s="130"/>
      <c r="J482" s="130"/>
      <c r="K482" s="130"/>
      <c r="L482" s="130"/>
      <c r="M482" s="130"/>
      <c r="N482" s="130"/>
      <c r="O482" s="130"/>
      <c r="P482" s="130"/>
    </row>
    <row r="483" spans="1:16" x14ac:dyDescent="0.2">
      <c r="A483" s="49" t="str">
        <v>0:00</v>
      </c>
      <c r="B483" s="108"/>
      <c r="C483" s="130"/>
      <c r="D483" s="130"/>
      <c r="E483" s="130"/>
      <c r="F483" s="130"/>
      <c r="G483" s="130"/>
      <c r="H483" s="130"/>
      <c r="I483" s="130"/>
      <c r="J483" s="130"/>
      <c r="K483" s="130"/>
      <c r="L483" s="130"/>
      <c r="M483" s="130"/>
      <c r="N483" s="130"/>
      <c r="O483" s="130"/>
      <c r="P483" s="130"/>
    </row>
    <row r="484" spans="1:16" x14ac:dyDescent="0.2">
      <c r="A484" s="49" t="str">
        <v>0:00</v>
      </c>
      <c r="B484" s="108"/>
      <c r="C484" s="130"/>
      <c r="D484" s="130"/>
      <c r="E484" s="130"/>
      <c r="F484" s="130"/>
      <c r="G484" s="130"/>
      <c r="H484" s="130"/>
      <c r="I484" s="130"/>
      <c r="J484" s="130"/>
      <c r="K484" s="130"/>
      <c r="L484" s="130"/>
      <c r="M484" s="130"/>
      <c r="N484" s="130"/>
      <c r="O484" s="130"/>
      <c r="P484" s="130"/>
    </row>
    <row r="485" spans="1:16" x14ac:dyDescent="0.2">
      <c r="A485" s="49" t="str">
        <v>0:00</v>
      </c>
      <c r="B485" s="108"/>
      <c r="C485" s="130"/>
      <c r="D485" s="130"/>
      <c r="E485" s="130"/>
      <c r="F485" s="130"/>
      <c r="G485" s="130"/>
      <c r="H485" s="130"/>
      <c r="I485" s="130"/>
      <c r="J485" s="130"/>
      <c r="K485" s="130"/>
      <c r="L485" s="130"/>
      <c r="M485" s="130"/>
      <c r="N485" s="130"/>
      <c r="O485" s="130"/>
      <c r="P485" s="130"/>
    </row>
    <row r="486" spans="1:16" x14ac:dyDescent="0.2">
      <c r="A486" s="49" t="str">
        <v>0:00</v>
      </c>
      <c r="B486" s="108"/>
      <c r="C486" s="130"/>
      <c r="D486" s="130"/>
      <c r="E486" s="130"/>
      <c r="F486" s="130"/>
      <c r="G486" s="130"/>
      <c r="H486" s="130"/>
      <c r="I486" s="130"/>
      <c r="J486" s="130"/>
      <c r="K486" s="130"/>
      <c r="L486" s="130"/>
      <c r="M486" s="130"/>
      <c r="N486" s="130"/>
      <c r="O486" s="130"/>
      <c r="P486" s="130"/>
    </row>
    <row r="487" spans="1:16" x14ac:dyDescent="0.2">
      <c r="A487" s="49" t="str">
        <v>0:00</v>
      </c>
      <c r="B487" s="108"/>
      <c r="C487" s="130"/>
      <c r="D487" s="130"/>
      <c r="E487" s="130"/>
      <c r="F487" s="130"/>
      <c r="G487" s="130"/>
      <c r="H487" s="130"/>
      <c r="I487" s="130"/>
      <c r="J487" s="130"/>
      <c r="K487" s="130"/>
      <c r="L487" s="130"/>
      <c r="M487" s="130"/>
      <c r="N487" s="130"/>
      <c r="O487" s="130"/>
      <c r="P487" s="130"/>
    </row>
    <row r="488" spans="1:16" x14ac:dyDescent="0.2">
      <c r="A488" s="49" t="str">
        <v>0:00</v>
      </c>
      <c r="B488" s="108"/>
      <c r="C488" s="130"/>
      <c r="D488" s="130"/>
      <c r="E488" s="130"/>
      <c r="F488" s="130"/>
      <c r="G488" s="130"/>
      <c r="H488" s="130"/>
      <c r="I488" s="130"/>
      <c r="J488" s="130"/>
      <c r="K488" s="130"/>
      <c r="L488" s="130"/>
      <c r="M488" s="130"/>
      <c r="N488" s="130"/>
      <c r="O488" s="130"/>
      <c r="P488" s="130"/>
    </row>
    <row r="489" spans="1:16" x14ac:dyDescent="0.2">
      <c r="A489" s="49" t="str">
        <v>0:00</v>
      </c>
      <c r="B489" s="108"/>
      <c r="C489" s="130"/>
      <c r="D489" s="130"/>
      <c r="E489" s="130"/>
      <c r="F489" s="130"/>
      <c r="G489" s="130"/>
      <c r="H489" s="130"/>
      <c r="I489" s="130"/>
      <c r="J489" s="130"/>
      <c r="K489" s="130"/>
      <c r="L489" s="130"/>
      <c r="M489" s="130"/>
      <c r="N489" s="130"/>
      <c r="O489" s="130"/>
      <c r="P489" s="130"/>
    </row>
    <row r="490" spans="1:16" x14ac:dyDescent="0.2">
      <c r="A490" s="49" t="str">
        <v>0:00</v>
      </c>
      <c r="B490" s="108"/>
      <c r="C490" s="130"/>
      <c r="D490" s="130"/>
      <c r="E490" s="130"/>
      <c r="F490" s="130"/>
      <c r="G490" s="130"/>
      <c r="H490" s="130"/>
      <c r="I490" s="130"/>
      <c r="J490" s="130"/>
      <c r="K490" s="130"/>
      <c r="L490" s="130"/>
      <c r="M490" s="130"/>
      <c r="N490" s="130"/>
      <c r="O490" s="130"/>
      <c r="P490" s="130"/>
    </row>
    <row r="491" spans="1:16" x14ac:dyDescent="0.2">
      <c r="A491" s="49" t="str">
        <v>0:00</v>
      </c>
      <c r="B491" s="108"/>
      <c r="C491" s="130"/>
      <c r="D491" s="130"/>
      <c r="E491" s="130"/>
      <c r="F491" s="130"/>
      <c r="G491" s="130"/>
      <c r="H491" s="130"/>
      <c r="I491" s="130"/>
      <c r="J491" s="130"/>
      <c r="K491" s="130"/>
      <c r="L491" s="130"/>
      <c r="M491" s="130"/>
      <c r="N491" s="130"/>
      <c r="O491" s="130"/>
      <c r="P491" s="130"/>
    </row>
    <row r="492" spans="1:16" x14ac:dyDescent="0.2">
      <c r="A492" s="49" t="str">
        <v>0:00</v>
      </c>
      <c r="B492" s="108"/>
      <c r="C492" s="130"/>
      <c r="D492" s="130"/>
      <c r="E492" s="130"/>
      <c r="F492" s="130"/>
      <c r="G492" s="130"/>
      <c r="H492" s="130"/>
      <c r="I492" s="130"/>
      <c r="J492" s="130"/>
      <c r="K492" s="130"/>
      <c r="L492" s="130"/>
      <c r="M492" s="130"/>
      <c r="N492" s="130"/>
      <c r="O492" s="130"/>
      <c r="P492" s="130"/>
    </row>
    <row r="493" spans="1:16" x14ac:dyDescent="0.2">
      <c r="A493" s="49" t="str">
        <v>0:00</v>
      </c>
      <c r="B493" s="108"/>
      <c r="C493" s="130"/>
      <c r="D493" s="130"/>
      <c r="E493" s="130"/>
      <c r="F493" s="130"/>
      <c r="G493" s="130"/>
      <c r="H493" s="130"/>
      <c r="I493" s="130"/>
      <c r="J493" s="130"/>
      <c r="K493" s="130"/>
      <c r="L493" s="130"/>
      <c r="M493" s="130"/>
      <c r="N493" s="130"/>
      <c r="O493" s="130"/>
      <c r="P493" s="130"/>
    </row>
    <row r="494" spans="1:16" x14ac:dyDescent="0.2">
      <c r="A494" s="49" t="str">
        <v>0:00</v>
      </c>
      <c r="B494" s="108"/>
      <c r="C494" s="130"/>
      <c r="D494" s="130"/>
      <c r="E494" s="130"/>
      <c r="F494" s="130"/>
      <c r="G494" s="130"/>
      <c r="H494" s="130"/>
      <c r="I494" s="130"/>
      <c r="J494" s="130"/>
      <c r="K494" s="130"/>
      <c r="L494" s="130"/>
      <c r="M494" s="130"/>
      <c r="N494" s="130"/>
      <c r="O494" s="130"/>
      <c r="P494" s="130"/>
    </row>
    <row r="495" spans="1:16" x14ac:dyDescent="0.2">
      <c r="A495" s="49" t="str">
        <v>0:00</v>
      </c>
      <c r="B495" s="108"/>
      <c r="C495" s="130"/>
      <c r="D495" s="130"/>
      <c r="E495" s="130"/>
      <c r="F495" s="130"/>
      <c r="G495" s="130"/>
      <c r="H495" s="130"/>
      <c r="I495" s="130"/>
      <c r="J495" s="130"/>
      <c r="K495" s="130"/>
      <c r="L495" s="130"/>
      <c r="M495" s="130"/>
      <c r="N495" s="130"/>
      <c r="O495" s="130"/>
      <c r="P495" s="130"/>
    </row>
    <row r="496" spans="1:16" x14ac:dyDescent="0.2">
      <c r="A496" s="49" t="str">
        <v>0:00</v>
      </c>
      <c r="B496" s="108"/>
      <c r="C496" s="130"/>
      <c r="D496" s="130"/>
      <c r="E496" s="130"/>
      <c r="F496" s="130"/>
      <c r="G496" s="130"/>
      <c r="H496" s="130"/>
      <c r="I496" s="130"/>
      <c r="J496" s="130"/>
      <c r="K496" s="130"/>
      <c r="L496" s="130"/>
      <c r="M496" s="130"/>
      <c r="N496" s="130"/>
      <c r="O496" s="130"/>
      <c r="P496" s="130"/>
    </row>
    <row r="497" spans="1:16" x14ac:dyDescent="0.2">
      <c r="A497" s="49" t="str">
        <v>0:00</v>
      </c>
      <c r="B497" s="108"/>
      <c r="C497" s="130"/>
      <c r="D497" s="130"/>
      <c r="E497" s="130"/>
      <c r="F497" s="130"/>
      <c r="G497" s="130"/>
      <c r="H497" s="130"/>
      <c r="I497" s="130"/>
      <c r="J497" s="130"/>
      <c r="K497" s="130"/>
      <c r="L497" s="130"/>
      <c r="M497" s="130"/>
      <c r="N497" s="130"/>
      <c r="O497" s="130"/>
      <c r="P497" s="130"/>
    </row>
    <row r="498" spans="1:16" x14ac:dyDescent="0.2">
      <c r="A498" s="49" t="str">
        <v>0:00</v>
      </c>
      <c r="B498" s="108"/>
      <c r="C498" s="130"/>
      <c r="D498" s="130"/>
      <c r="E498" s="130"/>
      <c r="F498" s="130"/>
      <c r="G498" s="130"/>
      <c r="H498" s="130"/>
      <c r="I498" s="130"/>
      <c r="J498" s="130"/>
      <c r="K498" s="130"/>
      <c r="L498" s="130"/>
      <c r="M498" s="130"/>
      <c r="N498" s="130"/>
      <c r="O498" s="130"/>
      <c r="P498" s="130"/>
    </row>
    <row r="499" spans="1:16" x14ac:dyDescent="0.2">
      <c r="A499" s="49" t="str">
        <v>0:00</v>
      </c>
      <c r="B499" s="108"/>
      <c r="C499" s="130"/>
      <c r="D499" s="130"/>
      <c r="E499" s="130"/>
      <c r="F499" s="130"/>
      <c r="G499" s="130"/>
      <c r="H499" s="130"/>
      <c r="I499" s="130"/>
      <c r="J499" s="130"/>
      <c r="K499" s="130"/>
      <c r="L499" s="130"/>
      <c r="M499" s="130"/>
      <c r="N499" s="130"/>
      <c r="O499" s="130"/>
      <c r="P499" s="130"/>
    </row>
    <row r="500" spans="1:16" x14ac:dyDescent="0.2">
      <c r="A500" s="49" t="str">
        <v>0:00</v>
      </c>
      <c r="B500" s="108"/>
      <c r="C500" s="130"/>
      <c r="D500" s="130"/>
      <c r="E500" s="130"/>
      <c r="F500" s="130"/>
      <c r="G500" s="130"/>
      <c r="H500" s="130"/>
      <c r="I500" s="130"/>
      <c r="J500" s="130"/>
      <c r="K500" s="130"/>
      <c r="L500" s="130"/>
      <c r="M500" s="130"/>
      <c r="N500" s="130"/>
      <c r="O500" s="130"/>
      <c r="P500" s="130"/>
    </row>
    <row r="501" spans="1:16" x14ac:dyDescent="0.2">
      <c r="A501" s="49" t="str">
        <v>0:00</v>
      </c>
      <c r="B501" s="108"/>
      <c r="C501" s="41"/>
      <c r="D501" s="41"/>
      <c r="E501" s="41"/>
      <c r="F501" s="41"/>
      <c r="G501" s="41"/>
      <c r="H501" s="41"/>
      <c r="I501" s="41"/>
      <c r="J501" s="41"/>
      <c r="K501" s="41"/>
      <c r="L501" s="41"/>
      <c r="M501" s="41"/>
      <c r="N501" s="41"/>
      <c r="O501" s="41"/>
      <c r="P501" s="41"/>
    </row>
    <row r="502" spans="1:16" x14ac:dyDescent="0.2">
      <c r="A502" s="49" t="str">
        <v>0:00</v>
      </c>
      <c r="B502" s="108"/>
      <c r="C502" s="41"/>
      <c r="D502" s="41"/>
      <c r="E502" s="41"/>
      <c r="F502" s="41"/>
      <c r="G502" s="41"/>
      <c r="H502" s="41"/>
      <c r="I502" s="41"/>
      <c r="J502" s="41"/>
      <c r="K502" s="41"/>
      <c r="L502" s="41"/>
      <c r="M502" s="41"/>
      <c r="N502" s="41"/>
      <c r="O502" s="41"/>
      <c r="P502" s="41"/>
    </row>
    <row r="503" spans="1:16" x14ac:dyDescent="0.2">
      <c r="A503" s="49" t="str">
        <v>0:00</v>
      </c>
      <c r="B503" s="108"/>
      <c r="C503" s="41"/>
      <c r="D503" s="41"/>
      <c r="E503" s="41"/>
      <c r="F503" s="41"/>
      <c r="G503" s="41"/>
      <c r="H503" s="41"/>
      <c r="I503" s="41"/>
      <c r="J503" s="41"/>
      <c r="K503" s="41"/>
      <c r="L503" s="41"/>
      <c r="M503" s="41"/>
      <c r="N503" s="41"/>
      <c r="O503" s="41"/>
      <c r="P503" s="41"/>
    </row>
    <row r="504" spans="1:16" x14ac:dyDescent="0.2">
      <c r="A504" s="49" t="str">
        <v>0:00</v>
      </c>
      <c r="B504" s="108"/>
      <c r="C504" s="41"/>
      <c r="D504" s="41"/>
      <c r="E504" s="41"/>
      <c r="F504" s="41"/>
      <c r="G504" s="41"/>
      <c r="H504" s="41"/>
      <c r="I504" s="41"/>
      <c r="J504" s="41"/>
      <c r="K504" s="41"/>
      <c r="L504" s="41"/>
      <c r="M504" s="41"/>
      <c r="N504" s="41"/>
      <c r="O504" s="41"/>
      <c r="P504" s="41"/>
    </row>
    <row r="505" spans="1:16" x14ac:dyDescent="0.2">
      <c r="A505" s="49" t="str">
        <v>0:00</v>
      </c>
      <c r="B505" s="108"/>
      <c r="C505" s="41"/>
      <c r="D505" s="41"/>
      <c r="E505" s="41"/>
      <c r="F505" s="41"/>
      <c r="G505" s="41"/>
      <c r="H505" s="41"/>
      <c r="I505" s="41"/>
      <c r="J505" s="41"/>
      <c r="K505" s="41"/>
      <c r="L505" s="41"/>
      <c r="M505" s="41"/>
      <c r="N505" s="41"/>
      <c r="O505" s="41"/>
      <c r="P505" s="41"/>
    </row>
    <row r="506" spans="1:16" x14ac:dyDescent="0.2">
      <c r="A506" s="49" t="str">
        <v>0:00</v>
      </c>
      <c r="B506" s="108"/>
      <c r="C506" s="41"/>
      <c r="D506" s="41"/>
      <c r="E506" s="41"/>
      <c r="F506" s="41"/>
      <c r="G506" s="41"/>
      <c r="H506" s="41"/>
      <c r="I506" s="41"/>
      <c r="J506" s="41"/>
      <c r="K506" s="41"/>
      <c r="L506" s="41"/>
      <c r="M506" s="41"/>
      <c r="N506" s="41"/>
      <c r="O506" s="41"/>
      <c r="P506" s="41"/>
    </row>
    <row r="507" spans="1:16" x14ac:dyDescent="0.2">
      <c r="A507" s="49" t="str">
        <v>0:00</v>
      </c>
      <c r="B507" s="108"/>
      <c r="C507" s="41"/>
      <c r="D507" s="41"/>
      <c r="E507" s="41"/>
      <c r="F507" s="41"/>
      <c r="G507" s="41"/>
      <c r="H507" s="41"/>
      <c r="I507" s="41"/>
      <c r="J507" s="41"/>
      <c r="K507" s="41"/>
      <c r="L507" s="41"/>
      <c r="M507" s="41"/>
      <c r="N507" s="41"/>
      <c r="O507" s="41"/>
      <c r="P507" s="41"/>
    </row>
    <row r="508" spans="1:16" x14ac:dyDescent="0.2">
      <c r="A508" s="49" t="str">
        <v>0:00</v>
      </c>
      <c r="B508" s="108"/>
      <c r="C508" s="41"/>
      <c r="D508" s="41"/>
      <c r="E508" s="41"/>
      <c r="F508" s="41"/>
      <c r="G508" s="41"/>
      <c r="H508" s="41"/>
      <c r="I508" s="41"/>
      <c r="J508" s="41"/>
      <c r="K508" s="41"/>
      <c r="L508" s="41"/>
      <c r="M508" s="41"/>
      <c r="N508" s="41"/>
      <c r="O508" s="41"/>
      <c r="P508" s="41"/>
    </row>
    <row r="509" spans="1:16" x14ac:dyDescent="0.2">
      <c r="A509" s="49" t="str">
        <v>0:00</v>
      </c>
      <c r="B509" s="108"/>
      <c r="C509" s="41"/>
      <c r="D509" s="41"/>
      <c r="E509" s="41"/>
      <c r="F509" s="41"/>
      <c r="G509" s="41"/>
      <c r="H509" s="41"/>
      <c r="I509" s="41"/>
      <c r="J509" s="41"/>
      <c r="K509" s="41"/>
      <c r="L509" s="41"/>
      <c r="M509" s="41"/>
      <c r="N509" s="41"/>
      <c r="O509" s="41"/>
      <c r="P509" s="41"/>
    </row>
    <row r="510" spans="1:16" x14ac:dyDescent="0.2">
      <c r="A510" s="49" t="str">
        <v>0:00</v>
      </c>
      <c r="B510" s="108"/>
      <c r="C510" s="41"/>
      <c r="D510" s="41"/>
      <c r="E510" s="41"/>
      <c r="F510" s="41"/>
      <c r="G510" s="41"/>
      <c r="H510" s="41"/>
      <c r="I510" s="41"/>
      <c r="J510" s="41"/>
      <c r="K510" s="41"/>
      <c r="L510" s="41"/>
      <c r="M510" s="41"/>
      <c r="N510" s="41"/>
      <c r="O510" s="41"/>
      <c r="P510" s="41"/>
    </row>
    <row r="511" spans="1:16" x14ac:dyDescent="0.2">
      <c r="A511" s="49" t="str">
        <v>0:00</v>
      </c>
      <c r="B511" s="108"/>
      <c r="C511" s="41"/>
      <c r="D511" s="41"/>
      <c r="E511" s="41"/>
      <c r="F511" s="41"/>
      <c r="G511" s="41"/>
      <c r="H511" s="41"/>
      <c r="I511" s="41"/>
      <c r="J511" s="41"/>
      <c r="K511" s="41"/>
      <c r="L511" s="41"/>
      <c r="M511" s="41"/>
      <c r="N511" s="41"/>
      <c r="O511" s="41"/>
      <c r="P511" s="41"/>
    </row>
    <row r="512" spans="1:16" x14ac:dyDescent="0.2">
      <c r="A512" s="49" t="str">
        <v>0:00</v>
      </c>
      <c r="B512" s="108"/>
      <c r="C512" s="41"/>
      <c r="D512" s="41"/>
      <c r="E512" s="41"/>
      <c r="F512" s="41"/>
      <c r="G512" s="41"/>
      <c r="H512" s="41"/>
      <c r="I512" s="41"/>
      <c r="J512" s="41"/>
      <c r="K512" s="41"/>
      <c r="L512" s="41"/>
      <c r="M512" s="41"/>
      <c r="N512" s="41"/>
      <c r="O512" s="41"/>
      <c r="P512" s="41"/>
    </row>
    <row r="513" spans="1:16" x14ac:dyDescent="0.2">
      <c r="A513" s="49" t="str">
        <v>0:00</v>
      </c>
      <c r="B513" s="108"/>
      <c r="C513" s="41"/>
      <c r="D513" s="41"/>
      <c r="E513" s="41"/>
      <c r="F513" s="41"/>
      <c r="G513" s="41"/>
      <c r="H513" s="41"/>
      <c r="I513" s="41"/>
      <c r="J513" s="41"/>
      <c r="K513" s="41"/>
      <c r="L513" s="41"/>
      <c r="M513" s="41"/>
      <c r="N513" s="41"/>
      <c r="O513" s="41"/>
      <c r="P513" s="41"/>
    </row>
    <row r="514" spans="1:16" x14ac:dyDescent="0.2">
      <c r="A514" s="49" t="str">
        <v>0:00</v>
      </c>
      <c r="B514" s="108"/>
      <c r="C514" s="41"/>
      <c r="D514" s="41"/>
      <c r="E514" s="41"/>
      <c r="F514" s="41"/>
      <c r="G514" s="41"/>
      <c r="H514" s="41"/>
      <c r="I514" s="41"/>
      <c r="J514" s="41"/>
      <c r="K514" s="41"/>
      <c r="L514" s="41"/>
      <c r="M514" s="41"/>
      <c r="N514" s="41"/>
      <c r="O514" s="41"/>
      <c r="P514" s="41"/>
    </row>
    <row r="515" spans="1:16" x14ac:dyDescent="0.2">
      <c r="A515" s="49" t="str">
        <v>0:00</v>
      </c>
      <c r="B515" s="108"/>
      <c r="C515" s="41"/>
      <c r="D515" s="41"/>
      <c r="E515" s="41"/>
      <c r="F515" s="41"/>
      <c r="G515" s="41"/>
      <c r="H515" s="41"/>
      <c r="I515" s="41"/>
      <c r="J515" s="41"/>
      <c r="K515" s="41"/>
      <c r="L515" s="41"/>
      <c r="M515" s="41"/>
      <c r="N515" s="41"/>
      <c r="O515" s="41"/>
      <c r="P515" s="41"/>
    </row>
    <row r="516" spans="1:16" x14ac:dyDescent="0.2">
      <c r="A516" s="49" t="str">
        <v>0:00</v>
      </c>
      <c r="B516" s="108"/>
      <c r="C516" s="41"/>
      <c r="D516" s="41"/>
      <c r="E516" s="41"/>
      <c r="F516" s="41"/>
      <c r="G516" s="41"/>
      <c r="H516" s="41"/>
      <c r="I516" s="41"/>
      <c r="J516" s="41"/>
      <c r="K516" s="41"/>
      <c r="L516" s="41"/>
      <c r="M516" s="41"/>
      <c r="N516" s="41"/>
      <c r="O516" s="41"/>
      <c r="P516" s="41"/>
    </row>
    <row r="517" spans="1:16" x14ac:dyDescent="0.2">
      <c r="A517" s="49" t="str">
        <v>0:00</v>
      </c>
      <c r="B517" s="108"/>
      <c r="C517" s="41"/>
      <c r="D517" s="41"/>
      <c r="E517" s="41"/>
      <c r="F517" s="41"/>
      <c r="G517" s="41"/>
      <c r="H517" s="41"/>
      <c r="I517" s="41"/>
      <c r="J517" s="41"/>
      <c r="K517" s="41"/>
      <c r="L517" s="41"/>
      <c r="M517" s="41"/>
      <c r="N517" s="41"/>
      <c r="O517" s="41"/>
      <c r="P517" s="41"/>
    </row>
    <row r="518" spans="1:16" x14ac:dyDescent="0.2">
      <c r="A518" s="49" t="str">
        <v>0:00</v>
      </c>
      <c r="B518" s="108"/>
      <c r="C518" s="41"/>
      <c r="D518" s="41"/>
      <c r="E518" s="41"/>
      <c r="F518" s="41"/>
      <c r="G518" s="41"/>
      <c r="H518" s="41"/>
      <c r="I518" s="41"/>
      <c r="J518" s="41"/>
      <c r="K518" s="41"/>
      <c r="L518" s="41"/>
      <c r="M518" s="41"/>
      <c r="N518" s="41"/>
      <c r="O518" s="41"/>
      <c r="P518" s="41"/>
    </row>
    <row r="519" spans="1:16" x14ac:dyDescent="0.2">
      <c r="A519" s="49" t="str">
        <v>0:00</v>
      </c>
      <c r="B519" s="108"/>
      <c r="C519" s="41"/>
      <c r="D519" s="41"/>
      <c r="E519" s="41"/>
      <c r="F519" s="41"/>
      <c r="G519" s="41"/>
      <c r="H519" s="41"/>
      <c r="I519" s="41"/>
      <c r="J519" s="41"/>
      <c r="K519" s="41"/>
      <c r="L519" s="41"/>
      <c r="M519" s="41"/>
      <c r="N519" s="41"/>
      <c r="O519" s="41"/>
      <c r="P519" s="41"/>
    </row>
    <row r="520" spans="1:16" x14ac:dyDescent="0.2">
      <c r="A520" s="49" t="str">
        <v>0:00</v>
      </c>
      <c r="B520" s="108"/>
      <c r="C520" s="41"/>
      <c r="D520" s="41"/>
      <c r="E520" s="41"/>
      <c r="F520" s="41"/>
      <c r="G520" s="41"/>
      <c r="H520" s="41"/>
      <c r="I520" s="41"/>
      <c r="J520" s="41"/>
      <c r="K520" s="41"/>
      <c r="L520" s="41"/>
      <c r="M520" s="41"/>
      <c r="N520" s="41"/>
      <c r="O520" s="41"/>
      <c r="P520" s="41"/>
    </row>
    <row r="521" spans="1:16" x14ac:dyDescent="0.2">
      <c r="A521" s="49" t="str">
        <v>0:00</v>
      </c>
      <c r="B521" s="108"/>
      <c r="C521" s="41"/>
      <c r="D521" s="41"/>
      <c r="E521" s="41"/>
      <c r="F521" s="41"/>
      <c r="G521" s="41"/>
      <c r="H521" s="41"/>
      <c r="I521" s="41"/>
      <c r="J521" s="41"/>
      <c r="K521" s="41"/>
      <c r="L521" s="41"/>
      <c r="M521" s="41"/>
      <c r="N521" s="41"/>
      <c r="O521" s="41"/>
      <c r="P521" s="41"/>
    </row>
    <row r="522" spans="1:16" x14ac:dyDescent="0.2">
      <c r="A522" s="49" t="str">
        <v>0:00</v>
      </c>
      <c r="B522" s="108"/>
      <c r="C522" s="41"/>
      <c r="D522" s="41"/>
      <c r="E522" s="41"/>
      <c r="F522" s="41"/>
      <c r="G522" s="41"/>
      <c r="H522" s="41"/>
      <c r="I522" s="41"/>
      <c r="J522" s="41"/>
      <c r="K522" s="41"/>
      <c r="L522" s="41"/>
      <c r="M522" s="41"/>
      <c r="N522" s="41"/>
      <c r="O522" s="41"/>
      <c r="P522" s="41"/>
    </row>
    <row r="523" spans="1:16" x14ac:dyDescent="0.2">
      <c r="A523" s="49" t="str">
        <v>0:00</v>
      </c>
      <c r="B523" s="108"/>
      <c r="C523" s="41"/>
      <c r="D523" s="41"/>
      <c r="E523" s="41"/>
      <c r="F523" s="41"/>
      <c r="G523" s="41"/>
      <c r="H523" s="41"/>
      <c r="I523" s="41"/>
      <c r="J523" s="41"/>
      <c r="K523" s="41"/>
      <c r="L523" s="41"/>
      <c r="M523" s="41"/>
      <c r="N523" s="41"/>
      <c r="O523" s="41"/>
      <c r="P523" s="41"/>
    </row>
    <row r="524" spans="1:16" x14ac:dyDescent="0.2">
      <c r="A524" s="49" t="str">
        <v>0:00</v>
      </c>
      <c r="B524" s="108"/>
      <c r="C524" s="41"/>
      <c r="D524" s="41"/>
      <c r="E524" s="41"/>
      <c r="F524" s="41"/>
      <c r="G524" s="41"/>
      <c r="H524" s="41"/>
      <c r="I524" s="41"/>
      <c r="J524" s="41"/>
      <c r="K524" s="41"/>
      <c r="L524" s="41"/>
      <c r="M524" s="41"/>
      <c r="N524" s="41"/>
      <c r="O524" s="41"/>
      <c r="P524" s="41"/>
    </row>
    <row r="525" spans="1:16" x14ac:dyDescent="0.2">
      <c r="A525" s="49" t="str">
        <v>0:00</v>
      </c>
      <c r="B525" s="108"/>
      <c r="C525" s="41"/>
      <c r="D525" s="41"/>
      <c r="E525" s="41"/>
      <c r="F525" s="41"/>
      <c r="G525" s="41"/>
      <c r="H525" s="41"/>
      <c r="I525" s="41"/>
      <c r="J525" s="41"/>
      <c r="K525" s="41"/>
      <c r="L525" s="41"/>
      <c r="M525" s="41"/>
      <c r="N525" s="41"/>
      <c r="O525" s="41"/>
      <c r="P525" s="41"/>
    </row>
    <row r="526" spans="1:16" x14ac:dyDescent="0.2">
      <c r="A526" s="49" t="str">
        <v>0:00</v>
      </c>
      <c r="B526" s="108"/>
      <c r="C526" s="41"/>
      <c r="D526" s="41"/>
      <c r="E526" s="41"/>
      <c r="F526" s="41"/>
      <c r="G526" s="41"/>
      <c r="H526" s="41"/>
      <c r="I526" s="41"/>
      <c r="J526" s="41"/>
      <c r="K526" s="41"/>
      <c r="L526" s="41"/>
      <c r="M526" s="41"/>
      <c r="N526" s="41"/>
      <c r="O526" s="41"/>
      <c r="P526" s="41"/>
    </row>
    <row r="527" spans="1:16" x14ac:dyDescent="0.2">
      <c r="A527" s="49" t="str">
        <v>0:00</v>
      </c>
      <c r="B527" s="108"/>
      <c r="C527" s="41"/>
      <c r="D527" s="41"/>
      <c r="E527" s="41"/>
      <c r="F527" s="41"/>
      <c r="G527" s="41"/>
      <c r="H527" s="41"/>
      <c r="I527" s="41"/>
      <c r="J527" s="41"/>
      <c r="K527" s="41"/>
      <c r="L527" s="41"/>
      <c r="M527" s="41"/>
      <c r="N527" s="41"/>
      <c r="O527" s="41"/>
      <c r="P527" s="41"/>
    </row>
    <row r="528" spans="1:16" x14ac:dyDescent="0.2">
      <c r="A528" s="49" t="str">
        <v>0:00</v>
      </c>
      <c r="B528" s="108"/>
      <c r="C528" s="41"/>
      <c r="D528" s="41"/>
      <c r="E528" s="41"/>
      <c r="F528" s="41"/>
      <c r="G528" s="41"/>
      <c r="H528" s="41"/>
      <c r="I528" s="41"/>
      <c r="J528" s="41"/>
      <c r="K528" s="41"/>
      <c r="L528" s="41"/>
      <c r="M528" s="41"/>
      <c r="N528" s="41"/>
      <c r="O528" s="41"/>
      <c r="P528" s="41"/>
    </row>
    <row r="529" spans="1:16" x14ac:dyDescent="0.2">
      <c r="A529" s="49" t="str">
        <v>0:00</v>
      </c>
      <c r="B529" s="108"/>
      <c r="C529" s="41"/>
      <c r="D529" s="41"/>
      <c r="E529" s="41"/>
      <c r="F529" s="41"/>
      <c r="G529" s="41"/>
      <c r="H529" s="41"/>
      <c r="I529" s="41"/>
      <c r="J529" s="41"/>
      <c r="K529" s="41"/>
      <c r="L529" s="41"/>
      <c r="M529" s="41"/>
      <c r="N529" s="41"/>
      <c r="O529" s="41"/>
      <c r="P529" s="41"/>
    </row>
    <row r="530" spans="1:16" x14ac:dyDescent="0.2">
      <c r="A530" s="49" t="str">
        <v>0:00</v>
      </c>
      <c r="B530" s="108"/>
      <c r="C530" s="41"/>
      <c r="D530" s="41"/>
      <c r="E530" s="41"/>
      <c r="F530" s="41"/>
      <c r="G530" s="41"/>
      <c r="H530" s="41"/>
      <c r="I530" s="41"/>
      <c r="J530" s="41"/>
      <c r="K530" s="41"/>
      <c r="L530" s="41"/>
      <c r="M530" s="41"/>
      <c r="N530" s="41"/>
      <c r="O530" s="41"/>
      <c r="P530" s="41"/>
    </row>
    <row r="531" spans="1:16" x14ac:dyDescent="0.2">
      <c r="A531" s="49" t="str">
        <v>0:00</v>
      </c>
      <c r="B531" s="108"/>
      <c r="C531" s="41"/>
      <c r="D531" s="41"/>
      <c r="E531" s="41"/>
      <c r="F531" s="41"/>
      <c r="G531" s="41"/>
      <c r="H531" s="41"/>
      <c r="I531" s="41"/>
      <c r="J531" s="41"/>
      <c r="K531" s="41"/>
      <c r="L531" s="41"/>
      <c r="M531" s="41"/>
      <c r="N531" s="41"/>
      <c r="O531" s="41"/>
      <c r="P531" s="41"/>
    </row>
    <row r="532" spans="1:16" x14ac:dyDescent="0.2">
      <c r="A532" s="49" t="str">
        <v>0:00</v>
      </c>
      <c r="B532" s="108"/>
      <c r="C532" s="41"/>
      <c r="D532" s="41"/>
      <c r="E532" s="41"/>
      <c r="F532" s="41"/>
      <c r="G532" s="41"/>
      <c r="H532" s="41"/>
      <c r="I532" s="41"/>
      <c r="J532" s="41"/>
      <c r="K532" s="41"/>
      <c r="L532" s="41"/>
      <c r="M532" s="41"/>
      <c r="N532" s="41"/>
      <c r="O532" s="41"/>
      <c r="P532" s="41"/>
    </row>
    <row r="533" spans="1:16" x14ac:dyDescent="0.2">
      <c r="A533" s="49" t="str">
        <v>0:00</v>
      </c>
      <c r="B533" s="108"/>
      <c r="C533" s="41"/>
      <c r="D533" s="41"/>
      <c r="E533" s="41"/>
      <c r="F533" s="41"/>
      <c r="G533" s="41"/>
      <c r="H533" s="41"/>
      <c r="I533" s="41"/>
      <c r="J533" s="41"/>
      <c r="K533" s="41"/>
      <c r="L533" s="41"/>
      <c r="M533" s="41"/>
      <c r="N533" s="41"/>
      <c r="O533" s="41"/>
      <c r="P533" s="41"/>
    </row>
    <row r="534" spans="1:16" x14ac:dyDescent="0.2">
      <c r="A534" s="49" t="str">
        <v>0:00</v>
      </c>
      <c r="B534" s="108"/>
      <c r="C534" s="41"/>
      <c r="D534" s="41"/>
      <c r="E534" s="41"/>
      <c r="F534" s="41"/>
      <c r="G534" s="41"/>
      <c r="H534" s="41"/>
      <c r="I534" s="41"/>
      <c r="J534" s="41"/>
      <c r="K534" s="41"/>
      <c r="L534" s="41"/>
      <c r="M534" s="41"/>
      <c r="N534" s="41"/>
      <c r="O534" s="41"/>
      <c r="P534" s="41"/>
    </row>
    <row r="535" spans="1:16" x14ac:dyDescent="0.2">
      <c r="A535" s="49" t="str">
        <v>0:00</v>
      </c>
      <c r="B535" s="108"/>
      <c r="C535" s="41"/>
      <c r="D535" s="41"/>
      <c r="E535" s="41"/>
      <c r="F535" s="41"/>
      <c r="G535" s="41"/>
      <c r="H535" s="41"/>
      <c r="I535" s="41"/>
      <c r="J535" s="41"/>
      <c r="K535" s="41"/>
      <c r="L535" s="41"/>
      <c r="M535" s="41"/>
      <c r="N535" s="41"/>
      <c r="O535" s="41"/>
      <c r="P535" s="41"/>
    </row>
    <row r="536" spans="1:16" x14ac:dyDescent="0.2">
      <c r="A536" s="49" t="str">
        <v>0:00</v>
      </c>
      <c r="B536" s="108"/>
      <c r="C536" s="41"/>
      <c r="D536" s="41"/>
      <c r="E536" s="41"/>
      <c r="F536" s="41"/>
      <c r="G536" s="41"/>
      <c r="H536" s="41"/>
      <c r="I536" s="41"/>
      <c r="J536" s="41"/>
      <c r="K536" s="41"/>
      <c r="L536" s="41"/>
      <c r="M536" s="41"/>
      <c r="N536" s="41"/>
      <c r="O536" s="41"/>
      <c r="P536" s="41"/>
    </row>
    <row r="537" spans="1:16" x14ac:dyDescent="0.2">
      <c r="A537" s="49" t="str">
        <v>0:00</v>
      </c>
      <c r="B537" s="108"/>
      <c r="C537" s="41"/>
      <c r="D537" s="41"/>
      <c r="E537" s="41"/>
      <c r="F537" s="41"/>
      <c r="G537" s="41"/>
      <c r="H537" s="41"/>
      <c r="I537" s="41"/>
      <c r="J537" s="41"/>
      <c r="K537" s="41"/>
      <c r="L537" s="41"/>
      <c r="M537" s="41"/>
      <c r="N537" s="41"/>
      <c r="O537" s="41"/>
      <c r="P537" s="41"/>
    </row>
    <row r="538" spans="1:16" x14ac:dyDescent="0.2">
      <c r="A538" s="49" t="str">
        <v>0:00</v>
      </c>
      <c r="B538" s="108"/>
      <c r="C538" s="41"/>
      <c r="D538" s="41"/>
      <c r="E538" s="41"/>
      <c r="F538" s="41"/>
      <c r="G538" s="41"/>
      <c r="H538" s="41"/>
      <c r="I538" s="41"/>
      <c r="J538" s="41"/>
      <c r="K538" s="41"/>
      <c r="L538" s="41"/>
      <c r="M538" s="41"/>
      <c r="N538" s="41"/>
      <c r="O538" s="41"/>
      <c r="P538" s="41"/>
    </row>
    <row r="539" spans="1:16" x14ac:dyDescent="0.2">
      <c r="A539" s="49" t="str">
        <v>0:00</v>
      </c>
      <c r="B539" s="108"/>
      <c r="C539" s="41"/>
      <c r="D539" s="41"/>
      <c r="E539" s="41"/>
      <c r="F539" s="41"/>
      <c r="G539" s="41"/>
      <c r="H539" s="41"/>
      <c r="I539" s="41"/>
      <c r="J539" s="41"/>
      <c r="K539" s="41"/>
      <c r="L539" s="41"/>
      <c r="M539" s="41"/>
      <c r="N539" s="41"/>
      <c r="O539" s="41"/>
      <c r="P539" s="41"/>
    </row>
    <row r="540" spans="1:16" x14ac:dyDescent="0.2">
      <c r="A540" s="49" t="str">
        <v>0:00</v>
      </c>
      <c r="B540" s="108"/>
      <c r="C540" s="41"/>
      <c r="D540" s="41"/>
      <c r="E540" s="41"/>
      <c r="F540" s="41"/>
      <c r="G540" s="41"/>
      <c r="H540" s="41"/>
      <c r="I540" s="41"/>
      <c r="J540" s="41"/>
      <c r="K540" s="41"/>
      <c r="L540" s="41"/>
      <c r="M540" s="41"/>
      <c r="N540" s="41"/>
      <c r="O540" s="41"/>
      <c r="P540" s="41"/>
    </row>
    <row r="541" spans="1:16" x14ac:dyDescent="0.2">
      <c r="A541" s="49" t="str">
        <v>0:00</v>
      </c>
      <c r="B541" s="108"/>
      <c r="C541" s="41"/>
      <c r="D541" s="41"/>
      <c r="E541" s="41"/>
      <c r="F541" s="41"/>
      <c r="G541" s="41"/>
      <c r="H541" s="41"/>
      <c r="I541" s="41"/>
      <c r="J541" s="41"/>
      <c r="K541" s="41"/>
      <c r="L541" s="41"/>
      <c r="M541" s="41"/>
      <c r="N541" s="41"/>
      <c r="O541" s="41"/>
      <c r="P541" s="41"/>
    </row>
    <row r="542" spans="1:16" x14ac:dyDescent="0.2">
      <c r="A542" s="49" t="str">
        <v>0:00</v>
      </c>
      <c r="B542" s="108"/>
      <c r="C542" s="41"/>
      <c r="D542" s="41"/>
      <c r="E542" s="41"/>
      <c r="F542" s="41"/>
      <c r="G542" s="41"/>
      <c r="H542" s="41"/>
      <c r="I542" s="41"/>
      <c r="J542" s="41"/>
      <c r="K542" s="41"/>
      <c r="L542" s="41"/>
      <c r="M542" s="41"/>
      <c r="N542" s="41"/>
      <c r="O542" s="41"/>
      <c r="P542" s="41"/>
    </row>
    <row r="543" spans="1:16" x14ac:dyDescent="0.2">
      <c r="A543" s="49" t="str">
        <v>0:00</v>
      </c>
      <c r="B543" s="108"/>
      <c r="C543" s="41"/>
      <c r="D543" s="41"/>
      <c r="E543" s="41"/>
      <c r="F543" s="41"/>
      <c r="G543" s="41"/>
      <c r="H543" s="41"/>
      <c r="I543" s="41"/>
      <c r="J543" s="41"/>
      <c r="K543" s="41"/>
      <c r="L543" s="41"/>
      <c r="M543" s="41"/>
      <c r="N543" s="41"/>
      <c r="O543" s="41"/>
      <c r="P543" s="41"/>
    </row>
    <row r="544" spans="1:16" x14ac:dyDescent="0.2">
      <c r="A544" s="49" t="str">
        <v>0:00</v>
      </c>
      <c r="B544" s="108"/>
      <c r="C544" s="41"/>
      <c r="D544" s="41"/>
      <c r="E544" s="41"/>
      <c r="F544" s="41"/>
      <c r="G544" s="41"/>
      <c r="H544" s="41"/>
      <c r="I544" s="41"/>
      <c r="J544" s="41"/>
      <c r="K544" s="41"/>
      <c r="L544" s="41"/>
      <c r="M544" s="41"/>
      <c r="N544" s="41"/>
      <c r="O544" s="41"/>
      <c r="P544" s="41"/>
    </row>
    <row r="545" spans="1:16" x14ac:dyDescent="0.2">
      <c r="A545" s="49" t="str">
        <v>0:00</v>
      </c>
      <c r="B545" s="108"/>
      <c r="C545" s="41"/>
      <c r="D545" s="41"/>
      <c r="E545" s="41"/>
      <c r="F545" s="41"/>
      <c r="G545" s="41"/>
      <c r="H545" s="41"/>
      <c r="I545" s="41"/>
      <c r="J545" s="41"/>
      <c r="K545" s="41"/>
      <c r="L545" s="41"/>
      <c r="M545" s="41"/>
      <c r="N545" s="41"/>
      <c r="O545" s="41"/>
      <c r="P545" s="41"/>
    </row>
    <row r="546" spans="1:16" x14ac:dyDescent="0.2">
      <c r="A546" s="49" t="str">
        <v>0:00</v>
      </c>
      <c r="B546" s="108"/>
      <c r="C546" s="41"/>
      <c r="D546" s="41"/>
      <c r="E546" s="41"/>
      <c r="F546" s="41"/>
      <c r="G546" s="41"/>
      <c r="H546" s="41"/>
      <c r="I546" s="41"/>
      <c r="J546" s="41"/>
      <c r="K546" s="41"/>
      <c r="L546" s="41"/>
      <c r="M546" s="41"/>
      <c r="N546" s="41"/>
      <c r="O546" s="41"/>
      <c r="P546" s="41"/>
    </row>
    <row r="547" spans="1:16" x14ac:dyDescent="0.2">
      <c r="A547" s="49" t="str">
        <v>0:00</v>
      </c>
      <c r="B547" s="108"/>
      <c r="C547" s="41"/>
      <c r="D547" s="41"/>
      <c r="E547" s="41"/>
      <c r="F547" s="41"/>
      <c r="G547" s="41"/>
      <c r="H547" s="41"/>
      <c r="I547" s="41"/>
      <c r="J547" s="41"/>
      <c r="K547" s="41"/>
      <c r="L547" s="41"/>
      <c r="M547" s="41"/>
      <c r="N547" s="41"/>
      <c r="O547" s="41"/>
      <c r="P547" s="41"/>
    </row>
    <row r="548" spans="1:16" x14ac:dyDescent="0.2">
      <c r="A548" s="49" t="str">
        <v>0:00</v>
      </c>
      <c r="B548" s="108"/>
      <c r="C548" s="41"/>
      <c r="D548" s="41"/>
      <c r="E548" s="41"/>
      <c r="F548" s="41"/>
      <c r="G548" s="41"/>
      <c r="H548" s="41"/>
      <c r="I548" s="41"/>
      <c r="J548" s="41"/>
      <c r="K548" s="41"/>
      <c r="L548" s="41"/>
      <c r="M548" s="41"/>
      <c r="N548" s="41"/>
      <c r="O548" s="41"/>
      <c r="P548" s="41"/>
    </row>
    <row r="549" spans="1:16" x14ac:dyDescent="0.2">
      <c r="A549" s="49" t="str">
        <v>0:00</v>
      </c>
      <c r="B549" s="108"/>
      <c r="C549" s="41"/>
      <c r="D549" s="41"/>
      <c r="E549" s="41"/>
      <c r="F549" s="41"/>
      <c r="G549" s="41"/>
      <c r="H549" s="41"/>
      <c r="I549" s="41"/>
      <c r="J549" s="41"/>
      <c r="K549" s="41"/>
      <c r="L549" s="41"/>
      <c r="M549" s="41"/>
      <c r="N549" s="41"/>
      <c r="O549" s="41"/>
      <c r="P549" s="41"/>
    </row>
    <row r="550" spans="1:16" x14ac:dyDescent="0.2">
      <c r="A550" s="49" t="str">
        <v>0:00</v>
      </c>
      <c r="B550" s="108"/>
      <c r="C550" s="41"/>
      <c r="D550" s="41"/>
      <c r="E550" s="41"/>
      <c r="F550" s="41"/>
      <c r="G550" s="41"/>
      <c r="H550" s="41"/>
      <c r="I550" s="41"/>
      <c r="J550" s="41"/>
      <c r="K550" s="41"/>
      <c r="L550" s="41"/>
      <c r="M550" s="41"/>
      <c r="N550" s="41"/>
      <c r="O550" s="41"/>
      <c r="P550" s="41"/>
    </row>
    <row r="551" spans="1:16" x14ac:dyDescent="0.2">
      <c r="A551" s="49" t="str">
        <v>0:00</v>
      </c>
      <c r="B551" s="108"/>
      <c r="C551" s="41"/>
      <c r="D551" s="41"/>
      <c r="E551" s="41"/>
      <c r="F551" s="41"/>
      <c r="G551" s="41"/>
      <c r="H551" s="41"/>
      <c r="I551" s="41"/>
      <c r="J551" s="41"/>
      <c r="K551" s="41"/>
      <c r="L551" s="41"/>
      <c r="M551" s="41"/>
      <c r="N551" s="41"/>
      <c r="O551" s="41"/>
      <c r="P551" s="41"/>
    </row>
    <row r="552" spans="1:16" x14ac:dyDescent="0.2">
      <c r="A552" s="49" t="str">
        <v>0:00</v>
      </c>
      <c r="B552" s="108"/>
      <c r="C552" s="41"/>
      <c r="D552" s="41"/>
      <c r="E552" s="41"/>
      <c r="F552" s="41"/>
      <c r="G552" s="41"/>
      <c r="H552" s="41"/>
      <c r="I552" s="41"/>
      <c r="J552" s="41"/>
      <c r="K552" s="41"/>
      <c r="L552" s="41"/>
      <c r="M552" s="41"/>
      <c r="N552" s="41"/>
      <c r="O552" s="41"/>
      <c r="P552" s="41"/>
    </row>
    <row r="553" spans="1:16" x14ac:dyDescent="0.2">
      <c r="A553" s="49" t="str">
        <v>0:00</v>
      </c>
      <c r="B553" s="108"/>
      <c r="C553" s="41"/>
      <c r="D553" s="41"/>
      <c r="E553" s="41"/>
      <c r="F553" s="41"/>
      <c r="G553" s="41"/>
      <c r="H553" s="41"/>
      <c r="I553" s="41"/>
      <c r="J553" s="41"/>
      <c r="K553" s="41"/>
      <c r="L553" s="41"/>
      <c r="M553" s="41"/>
      <c r="N553" s="41"/>
      <c r="O553" s="41"/>
      <c r="P553" s="41"/>
    </row>
    <row r="554" spans="1:16" x14ac:dyDescent="0.2">
      <c r="A554" s="49" t="str">
        <v>0:00</v>
      </c>
      <c r="B554" s="108"/>
      <c r="C554" s="41"/>
      <c r="D554" s="41"/>
      <c r="E554" s="41"/>
      <c r="F554" s="41"/>
      <c r="G554" s="41"/>
      <c r="H554" s="41"/>
      <c r="I554" s="41"/>
      <c r="J554" s="41"/>
      <c r="K554" s="41"/>
      <c r="L554" s="41"/>
      <c r="M554" s="41"/>
      <c r="N554" s="41"/>
      <c r="O554" s="41"/>
      <c r="P554" s="41"/>
    </row>
    <row r="555" spans="1:16" x14ac:dyDescent="0.2">
      <c r="A555" s="49" t="str">
        <v>0:00</v>
      </c>
      <c r="B555" s="108"/>
      <c r="C555" s="41"/>
      <c r="D555" s="41"/>
      <c r="E555" s="41"/>
      <c r="F555" s="41"/>
      <c r="G555" s="41"/>
      <c r="H555" s="41"/>
      <c r="I555" s="41"/>
      <c r="J555" s="41"/>
      <c r="K555" s="41"/>
      <c r="L555" s="41"/>
      <c r="M555" s="41"/>
      <c r="N555" s="41"/>
      <c r="O555" s="41"/>
      <c r="P555" s="41"/>
    </row>
    <row r="556" spans="1:16" x14ac:dyDescent="0.2">
      <c r="A556" s="49" t="str">
        <v>0:00</v>
      </c>
      <c r="B556" s="108"/>
      <c r="C556" s="41"/>
      <c r="D556" s="41"/>
      <c r="E556" s="41"/>
      <c r="F556" s="41"/>
      <c r="G556" s="41"/>
      <c r="H556" s="41"/>
      <c r="I556" s="41"/>
      <c r="J556" s="41"/>
      <c r="K556" s="41"/>
      <c r="L556" s="41"/>
      <c r="M556" s="41"/>
      <c r="N556" s="41"/>
      <c r="O556" s="41"/>
      <c r="P556" s="41"/>
    </row>
    <row r="557" spans="1:16" x14ac:dyDescent="0.2">
      <c r="A557" s="49" t="str">
        <v>0:00</v>
      </c>
      <c r="B557" s="108"/>
      <c r="C557" s="41"/>
      <c r="D557" s="41"/>
      <c r="E557" s="41"/>
      <c r="F557" s="41"/>
      <c r="G557" s="41"/>
      <c r="H557" s="41"/>
      <c r="I557" s="41"/>
      <c r="J557" s="41"/>
      <c r="K557" s="41"/>
      <c r="L557" s="41"/>
      <c r="M557" s="41"/>
      <c r="N557" s="41"/>
      <c r="O557" s="41"/>
      <c r="P557" s="41"/>
    </row>
    <row r="558" spans="1:16" x14ac:dyDescent="0.2">
      <c r="A558" s="49" t="str">
        <v>0:00</v>
      </c>
      <c r="B558" s="108"/>
      <c r="C558" s="41"/>
      <c r="D558" s="41"/>
      <c r="E558" s="41"/>
      <c r="F558" s="41"/>
      <c r="G558" s="41"/>
      <c r="H558" s="41"/>
      <c r="I558" s="41"/>
      <c r="J558" s="41"/>
      <c r="K558" s="41"/>
      <c r="L558" s="41"/>
      <c r="M558" s="41"/>
      <c r="N558" s="41"/>
      <c r="O558" s="41"/>
      <c r="P558" s="41"/>
    </row>
    <row r="559" spans="1:16" x14ac:dyDescent="0.2">
      <c r="A559" s="49" t="str">
        <v>0:00</v>
      </c>
      <c r="B559" s="108"/>
      <c r="C559" s="41"/>
      <c r="D559" s="41"/>
      <c r="E559" s="41"/>
      <c r="F559" s="41"/>
      <c r="G559" s="41"/>
      <c r="H559" s="41"/>
      <c r="I559" s="41"/>
      <c r="J559" s="41"/>
      <c r="K559" s="41"/>
      <c r="L559" s="41"/>
      <c r="M559" s="41"/>
      <c r="N559" s="41"/>
      <c r="O559" s="41"/>
      <c r="P559" s="41"/>
    </row>
    <row r="560" spans="1:16" x14ac:dyDescent="0.2">
      <c r="A560" s="49" t="str">
        <v>0:00</v>
      </c>
      <c r="B560" s="108"/>
      <c r="C560" s="41"/>
      <c r="D560" s="41"/>
      <c r="E560" s="41"/>
      <c r="F560" s="41"/>
      <c r="G560" s="41"/>
      <c r="H560" s="41"/>
      <c r="I560" s="41"/>
      <c r="J560" s="41"/>
      <c r="K560" s="41"/>
      <c r="L560" s="41"/>
      <c r="M560" s="41"/>
      <c r="N560" s="41"/>
      <c r="O560" s="41"/>
      <c r="P560" s="41"/>
    </row>
    <row r="561" spans="1:16" x14ac:dyDescent="0.2">
      <c r="A561" s="49" t="str">
        <v>0:00</v>
      </c>
      <c r="B561" s="108"/>
      <c r="C561" s="41"/>
      <c r="D561" s="41"/>
      <c r="E561" s="41"/>
      <c r="F561" s="41"/>
      <c r="G561" s="41"/>
      <c r="H561" s="41"/>
      <c r="I561" s="41"/>
      <c r="J561" s="41"/>
      <c r="K561" s="41"/>
      <c r="L561" s="41"/>
      <c r="M561" s="41"/>
      <c r="N561" s="41"/>
      <c r="O561" s="41"/>
      <c r="P561" s="41"/>
    </row>
    <row r="562" spans="1:16" x14ac:dyDescent="0.2">
      <c r="A562" s="49" t="str">
        <v>0:00</v>
      </c>
      <c r="B562" s="108"/>
      <c r="C562" s="41"/>
      <c r="D562" s="41"/>
      <c r="E562" s="41"/>
      <c r="F562" s="41"/>
      <c r="G562" s="41"/>
      <c r="H562" s="41"/>
      <c r="I562" s="41"/>
      <c r="J562" s="41"/>
      <c r="K562" s="41"/>
      <c r="L562" s="41"/>
      <c r="M562" s="41"/>
      <c r="N562" s="41"/>
      <c r="O562" s="41"/>
      <c r="P562" s="41"/>
    </row>
    <row r="563" spans="1:16" x14ac:dyDescent="0.2">
      <c r="A563" s="49" t="str">
        <v>0:00</v>
      </c>
      <c r="B563" s="108"/>
      <c r="C563" s="41"/>
      <c r="D563" s="41"/>
      <c r="E563" s="41"/>
      <c r="F563" s="41"/>
      <c r="G563" s="41"/>
      <c r="H563" s="41"/>
      <c r="I563" s="41"/>
      <c r="J563" s="41"/>
      <c r="K563" s="41"/>
      <c r="L563" s="41"/>
      <c r="M563" s="41"/>
      <c r="N563" s="41"/>
      <c r="O563" s="41"/>
      <c r="P563" s="41"/>
    </row>
    <row r="564" spans="1:16" x14ac:dyDescent="0.2">
      <c r="A564" s="49" t="str">
        <v>0:00</v>
      </c>
      <c r="B564" s="108"/>
      <c r="C564" s="41"/>
      <c r="D564" s="41"/>
      <c r="E564" s="41"/>
      <c r="F564" s="41"/>
      <c r="G564" s="41"/>
      <c r="H564" s="41"/>
      <c r="I564" s="41"/>
      <c r="J564" s="41"/>
      <c r="K564" s="41"/>
      <c r="L564" s="41"/>
      <c r="M564" s="41"/>
      <c r="N564" s="41"/>
      <c r="O564" s="41"/>
      <c r="P564" s="41"/>
    </row>
    <row r="565" spans="1:16" x14ac:dyDescent="0.2">
      <c r="A565" s="49" t="str">
        <v>0:00</v>
      </c>
      <c r="B565" s="108"/>
      <c r="C565" s="41"/>
      <c r="D565" s="41"/>
      <c r="E565" s="41"/>
      <c r="F565" s="41"/>
      <c r="G565" s="41"/>
      <c r="H565" s="41"/>
      <c r="I565" s="41"/>
      <c r="J565" s="41"/>
      <c r="K565" s="41"/>
      <c r="L565" s="41"/>
      <c r="M565" s="41"/>
      <c r="N565" s="41"/>
      <c r="O565" s="41"/>
      <c r="P565" s="41"/>
    </row>
    <row r="566" spans="1:16" x14ac:dyDescent="0.2">
      <c r="A566" s="49" t="str">
        <v>0:00</v>
      </c>
      <c r="B566" s="108"/>
      <c r="C566" s="41"/>
      <c r="D566" s="41"/>
      <c r="E566" s="41"/>
      <c r="F566" s="41"/>
      <c r="G566" s="41"/>
      <c r="H566" s="41"/>
      <c r="I566" s="41"/>
      <c r="J566" s="41"/>
      <c r="K566" s="41"/>
      <c r="L566" s="41"/>
      <c r="M566" s="41"/>
      <c r="N566" s="41"/>
      <c r="O566" s="41"/>
      <c r="P566" s="41"/>
    </row>
    <row r="567" spans="1:16" x14ac:dyDescent="0.2">
      <c r="A567" s="49" t="str">
        <v>0:00</v>
      </c>
      <c r="B567" s="108"/>
      <c r="C567" s="41"/>
      <c r="D567" s="41"/>
      <c r="E567" s="41"/>
      <c r="F567" s="41"/>
      <c r="G567" s="41"/>
      <c r="H567" s="41"/>
      <c r="I567" s="41"/>
      <c r="J567" s="41"/>
      <c r="K567" s="41"/>
      <c r="L567" s="41"/>
      <c r="M567" s="41"/>
      <c r="N567" s="41"/>
      <c r="O567" s="41"/>
      <c r="P567" s="41"/>
    </row>
    <row r="568" spans="1:16" x14ac:dyDescent="0.2">
      <c r="A568" s="49" t="str">
        <v>0:00</v>
      </c>
      <c r="B568" s="108"/>
      <c r="C568" s="41"/>
      <c r="D568" s="41"/>
      <c r="E568" s="41"/>
      <c r="F568" s="41"/>
      <c r="G568" s="41"/>
      <c r="H568" s="41"/>
      <c r="I568" s="41"/>
      <c r="J568" s="41"/>
      <c r="K568" s="41"/>
      <c r="L568" s="41"/>
      <c r="M568" s="41"/>
      <c r="N568" s="41"/>
      <c r="O568" s="41"/>
      <c r="P568" s="41"/>
    </row>
    <row r="569" spans="1:16" x14ac:dyDescent="0.2">
      <c r="A569" s="49" t="str">
        <v>0:00</v>
      </c>
      <c r="B569" s="108"/>
      <c r="C569" s="41"/>
      <c r="D569" s="41"/>
      <c r="E569" s="41"/>
      <c r="F569" s="41"/>
      <c r="G569" s="41"/>
      <c r="H569" s="41"/>
      <c r="I569" s="41"/>
      <c r="J569" s="41"/>
      <c r="K569" s="41"/>
      <c r="L569" s="41"/>
      <c r="M569" s="41"/>
      <c r="N569" s="41"/>
      <c r="O569" s="41"/>
      <c r="P569" s="41"/>
    </row>
    <row r="570" spans="1:16" x14ac:dyDescent="0.2">
      <c r="A570" s="49" t="str">
        <v>0:00</v>
      </c>
      <c r="B570" s="108"/>
      <c r="C570" s="41"/>
      <c r="D570" s="41"/>
      <c r="E570" s="41"/>
      <c r="F570" s="41"/>
      <c r="G570" s="41"/>
      <c r="H570" s="41"/>
      <c r="I570" s="41"/>
      <c r="J570" s="41"/>
      <c r="K570" s="41"/>
      <c r="L570" s="41"/>
      <c r="M570" s="41"/>
      <c r="N570" s="41"/>
      <c r="O570" s="41"/>
      <c r="P570" s="41"/>
    </row>
    <row r="571" spans="1:16" x14ac:dyDescent="0.2">
      <c r="A571" s="49" t="str">
        <v>0:00</v>
      </c>
      <c r="B571" s="108"/>
      <c r="C571" s="41"/>
      <c r="D571" s="41"/>
      <c r="E571" s="41"/>
      <c r="F571" s="41"/>
      <c r="G571" s="41"/>
      <c r="H571" s="41"/>
      <c r="I571" s="41"/>
      <c r="J571" s="41"/>
      <c r="K571" s="41"/>
      <c r="L571" s="41"/>
      <c r="M571" s="41"/>
      <c r="N571" s="41"/>
      <c r="O571" s="41"/>
      <c r="P571" s="41"/>
    </row>
    <row r="572" spans="1:16" x14ac:dyDescent="0.2">
      <c r="A572" s="49" t="str">
        <v>0:00</v>
      </c>
      <c r="B572" s="108"/>
      <c r="C572" s="41"/>
      <c r="D572" s="41"/>
      <c r="E572" s="41"/>
      <c r="F572" s="41"/>
      <c r="G572" s="41"/>
      <c r="H572" s="41"/>
      <c r="I572" s="41"/>
      <c r="J572" s="41"/>
      <c r="K572" s="41"/>
      <c r="L572" s="41"/>
      <c r="M572" s="41"/>
      <c r="N572" s="41"/>
      <c r="O572" s="41"/>
      <c r="P572" s="41"/>
    </row>
    <row r="573" spans="1:16" x14ac:dyDescent="0.2">
      <c r="A573" s="49" t="str">
        <v>0:00</v>
      </c>
      <c r="B573" s="108"/>
      <c r="C573" s="41"/>
      <c r="D573" s="41"/>
      <c r="E573" s="41"/>
      <c r="F573" s="41"/>
      <c r="G573" s="41"/>
      <c r="H573" s="41"/>
      <c r="I573" s="41"/>
      <c r="J573" s="41"/>
      <c r="K573" s="41"/>
      <c r="L573" s="41"/>
      <c r="M573" s="41"/>
      <c r="N573" s="41"/>
      <c r="O573" s="41"/>
      <c r="P573" s="41"/>
    </row>
    <row r="574" spans="1:16" x14ac:dyDescent="0.2">
      <c r="A574" s="49" t="str">
        <v>0:00</v>
      </c>
      <c r="B574" s="108"/>
      <c r="C574" s="41"/>
      <c r="D574" s="41"/>
      <c r="E574" s="41"/>
      <c r="F574" s="41"/>
      <c r="G574" s="41"/>
      <c r="H574" s="41"/>
      <c r="I574" s="41"/>
      <c r="J574" s="41"/>
      <c r="K574" s="41"/>
      <c r="L574" s="41"/>
      <c r="M574" s="41"/>
      <c r="N574" s="41"/>
      <c r="O574" s="41"/>
      <c r="P574" s="41"/>
    </row>
    <row r="575" spans="1:16" x14ac:dyDescent="0.2">
      <c r="A575" s="49" t="str">
        <v>0:00</v>
      </c>
      <c r="B575" s="108"/>
      <c r="C575" s="41"/>
      <c r="D575" s="41"/>
      <c r="E575" s="41"/>
      <c r="F575" s="41"/>
      <c r="G575" s="41"/>
      <c r="H575" s="41"/>
      <c r="I575" s="41"/>
      <c r="J575" s="41"/>
      <c r="K575" s="41"/>
      <c r="L575" s="41"/>
      <c r="M575" s="41"/>
      <c r="N575" s="41"/>
      <c r="O575" s="41"/>
      <c r="P575" s="41"/>
    </row>
    <row r="576" spans="1:16" x14ac:dyDescent="0.2">
      <c r="A576" s="49" t="str">
        <v>0:00</v>
      </c>
      <c r="B576" s="108"/>
      <c r="C576" s="41"/>
      <c r="D576" s="41"/>
      <c r="E576" s="41"/>
      <c r="F576" s="41"/>
      <c r="G576" s="41"/>
      <c r="H576" s="41"/>
      <c r="I576" s="41"/>
      <c r="J576" s="41"/>
      <c r="K576" s="41"/>
      <c r="L576" s="41"/>
      <c r="M576" s="41"/>
      <c r="N576" s="41"/>
      <c r="O576" s="41"/>
      <c r="P576" s="41"/>
    </row>
    <row r="577" spans="1:16" x14ac:dyDescent="0.2">
      <c r="A577" s="49" t="str">
        <v>0:00</v>
      </c>
      <c r="B577" s="108"/>
      <c r="C577" s="41"/>
      <c r="D577" s="41"/>
      <c r="E577" s="41"/>
      <c r="F577" s="41"/>
      <c r="G577" s="41"/>
      <c r="H577" s="41"/>
      <c r="I577" s="41"/>
      <c r="J577" s="41"/>
      <c r="K577" s="41"/>
      <c r="L577" s="41"/>
      <c r="M577" s="41"/>
      <c r="N577" s="41"/>
      <c r="O577" s="41"/>
      <c r="P577" s="41"/>
    </row>
    <row r="578" spans="1:16" x14ac:dyDescent="0.2">
      <c r="A578" s="49" t="str">
        <v>0:00</v>
      </c>
      <c r="B578" s="108"/>
      <c r="C578" s="41"/>
      <c r="D578" s="41"/>
      <c r="E578" s="41"/>
      <c r="F578" s="41"/>
      <c r="G578" s="41"/>
      <c r="H578" s="41"/>
      <c r="I578" s="41"/>
      <c r="J578" s="41"/>
      <c r="K578" s="41"/>
      <c r="L578" s="41"/>
      <c r="M578" s="41"/>
      <c r="N578" s="41"/>
      <c r="O578" s="41"/>
      <c r="P578" s="41"/>
    </row>
    <row r="579" spans="1:16" x14ac:dyDescent="0.2">
      <c r="A579" s="49" t="str">
        <v>0:00</v>
      </c>
      <c r="B579" s="108"/>
      <c r="C579" s="41"/>
      <c r="D579" s="41"/>
      <c r="E579" s="41"/>
      <c r="F579" s="41"/>
      <c r="G579" s="41"/>
      <c r="H579" s="41"/>
      <c r="I579" s="41"/>
      <c r="J579" s="41"/>
      <c r="K579" s="41"/>
      <c r="L579" s="41"/>
      <c r="M579" s="41"/>
      <c r="N579" s="41"/>
      <c r="O579" s="41"/>
      <c r="P579" s="41"/>
    </row>
    <row r="580" spans="1:16" x14ac:dyDescent="0.2">
      <c r="A580" s="49" t="str">
        <v>0:00</v>
      </c>
      <c r="B580" s="108"/>
      <c r="C580" s="41"/>
      <c r="D580" s="41"/>
      <c r="E580" s="41"/>
      <c r="F580" s="41"/>
      <c r="G580" s="41"/>
      <c r="H580" s="41"/>
      <c r="I580" s="41"/>
      <c r="J580" s="41"/>
      <c r="K580" s="41"/>
      <c r="L580" s="41"/>
      <c r="M580" s="41"/>
      <c r="N580" s="41"/>
      <c r="O580" s="41"/>
      <c r="P580" s="41"/>
    </row>
    <row r="581" spans="1:16" x14ac:dyDescent="0.2">
      <c r="A581" s="49" t="str">
        <v>0:00</v>
      </c>
      <c r="B581" s="108"/>
      <c r="C581" s="41"/>
      <c r="D581" s="41"/>
      <c r="E581" s="41"/>
      <c r="F581" s="41"/>
      <c r="G581" s="41"/>
      <c r="H581" s="41"/>
      <c r="I581" s="41"/>
      <c r="J581" s="41"/>
      <c r="K581" s="41"/>
      <c r="L581" s="41"/>
      <c r="M581" s="41"/>
      <c r="N581" s="41"/>
      <c r="O581" s="41"/>
      <c r="P581" s="41"/>
    </row>
    <row r="582" spans="1:16" x14ac:dyDescent="0.2">
      <c r="A582" s="49" t="str">
        <v>0:00</v>
      </c>
      <c r="B582" s="108"/>
      <c r="C582" s="41"/>
      <c r="D582" s="41"/>
      <c r="E582" s="41"/>
      <c r="F582" s="41"/>
      <c r="G582" s="41"/>
      <c r="H582" s="41"/>
      <c r="I582" s="41"/>
      <c r="J582" s="41"/>
      <c r="K582" s="41"/>
      <c r="L582" s="41"/>
      <c r="M582" s="41"/>
      <c r="N582" s="41"/>
      <c r="O582" s="41"/>
      <c r="P582" s="41"/>
    </row>
    <row r="583" spans="1:16" x14ac:dyDescent="0.2">
      <c r="A583" s="49" t="str">
        <v>0:00</v>
      </c>
      <c r="B583" s="108"/>
      <c r="C583" s="41"/>
      <c r="D583" s="41"/>
      <c r="E583" s="41"/>
      <c r="F583" s="41"/>
      <c r="G583" s="41"/>
      <c r="H583" s="41"/>
      <c r="I583" s="41"/>
      <c r="J583" s="41"/>
      <c r="K583" s="41"/>
      <c r="L583" s="41"/>
      <c r="M583" s="41"/>
      <c r="N583" s="41"/>
      <c r="O583" s="41"/>
      <c r="P583" s="41"/>
    </row>
    <row r="584" spans="1:16" x14ac:dyDescent="0.2">
      <c r="A584" s="49" t="str">
        <v>0:00</v>
      </c>
      <c r="B584" s="108"/>
      <c r="C584" s="41"/>
      <c r="D584" s="41"/>
      <c r="E584" s="41"/>
      <c r="F584" s="41"/>
      <c r="G584" s="41"/>
      <c r="H584" s="41"/>
      <c r="I584" s="41"/>
      <c r="J584" s="41"/>
      <c r="K584" s="41"/>
      <c r="L584" s="41"/>
      <c r="M584" s="41"/>
      <c r="N584" s="41"/>
      <c r="O584" s="41"/>
      <c r="P584" s="41"/>
    </row>
    <row r="585" spans="1:16" x14ac:dyDescent="0.2">
      <c r="A585" s="49" t="str">
        <v>0:00</v>
      </c>
      <c r="B585" s="108"/>
      <c r="C585" s="41"/>
      <c r="D585" s="41"/>
      <c r="E585" s="41"/>
      <c r="F585" s="41"/>
      <c r="G585" s="41"/>
      <c r="H585" s="41"/>
      <c r="I585" s="41"/>
      <c r="J585" s="41"/>
      <c r="K585" s="41"/>
      <c r="L585" s="41"/>
      <c r="M585" s="41"/>
      <c r="N585" s="41"/>
      <c r="O585" s="41"/>
      <c r="P585" s="41"/>
    </row>
    <row r="586" spans="1:16" x14ac:dyDescent="0.2">
      <c r="A586" s="49" t="str">
        <v>0:00</v>
      </c>
      <c r="B586" s="108"/>
      <c r="C586" s="41"/>
      <c r="D586" s="41"/>
      <c r="E586" s="41"/>
      <c r="F586" s="41"/>
      <c r="G586" s="41"/>
      <c r="H586" s="41"/>
      <c r="I586" s="41"/>
      <c r="J586" s="41"/>
      <c r="K586" s="41"/>
      <c r="L586" s="41"/>
      <c r="M586" s="41"/>
      <c r="N586" s="41"/>
      <c r="O586" s="41"/>
      <c r="P586" s="41"/>
    </row>
    <row r="587" spans="1:16" x14ac:dyDescent="0.2">
      <c r="A587" s="49" t="str">
        <v>0:00</v>
      </c>
      <c r="B587" s="108"/>
      <c r="C587" s="41"/>
      <c r="D587" s="41"/>
      <c r="E587" s="41"/>
      <c r="F587" s="41"/>
      <c r="G587" s="41"/>
      <c r="H587" s="41"/>
      <c r="I587" s="41"/>
      <c r="J587" s="41"/>
      <c r="K587" s="41"/>
      <c r="L587" s="41"/>
      <c r="M587" s="41"/>
      <c r="N587" s="41"/>
      <c r="O587" s="41"/>
      <c r="P587" s="41"/>
    </row>
    <row r="588" spans="1:16" x14ac:dyDescent="0.2">
      <c r="A588" s="49" t="str">
        <v>0:00</v>
      </c>
      <c r="B588" s="108"/>
      <c r="C588" s="41"/>
      <c r="D588" s="41"/>
      <c r="E588" s="41"/>
      <c r="F588" s="41"/>
      <c r="G588" s="41"/>
      <c r="H588" s="41"/>
      <c r="I588" s="41"/>
      <c r="J588" s="41"/>
      <c r="K588" s="41"/>
      <c r="L588" s="41"/>
      <c r="M588" s="41"/>
      <c r="N588" s="41"/>
      <c r="O588" s="41"/>
      <c r="P588" s="41"/>
    </row>
    <row r="589" spans="1:16" x14ac:dyDescent="0.2">
      <c r="A589" s="49" t="str">
        <v>0:00</v>
      </c>
      <c r="B589" s="108"/>
      <c r="C589" s="41"/>
      <c r="D589" s="41"/>
      <c r="E589" s="41"/>
      <c r="F589" s="41"/>
      <c r="G589" s="41"/>
      <c r="H589" s="41"/>
      <c r="I589" s="41"/>
      <c r="J589" s="41"/>
      <c r="K589" s="41"/>
      <c r="L589" s="41"/>
      <c r="M589" s="41"/>
      <c r="N589" s="41"/>
      <c r="O589" s="41"/>
      <c r="P589" s="41"/>
    </row>
    <row r="590" spans="1:16" x14ac:dyDescent="0.2">
      <c r="A590" s="49" t="str">
        <v>0:00</v>
      </c>
      <c r="B590" s="108"/>
      <c r="C590" s="41"/>
      <c r="D590" s="41"/>
      <c r="E590" s="41"/>
      <c r="F590" s="41"/>
      <c r="G590" s="41"/>
      <c r="H590" s="41"/>
      <c r="I590" s="41"/>
      <c r="J590" s="41"/>
      <c r="K590" s="41"/>
      <c r="L590" s="41"/>
      <c r="M590" s="41"/>
      <c r="N590" s="41"/>
      <c r="O590" s="41"/>
      <c r="P590" s="41"/>
    </row>
    <row r="591" spans="1:16" x14ac:dyDescent="0.2">
      <c r="A591" s="49" t="str">
        <v>0:00</v>
      </c>
      <c r="B591" s="108"/>
      <c r="C591" s="41"/>
      <c r="D591" s="41"/>
      <c r="E591" s="41"/>
      <c r="F591" s="41"/>
      <c r="G591" s="41"/>
      <c r="H591" s="41"/>
      <c r="I591" s="41"/>
      <c r="J591" s="41"/>
      <c r="K591" s="41"/>
      <c r="L591" s="41"/>
      <c r="M591" s="41"/>
      <c r="N591" s="41"/>
      <c r="O591" s="41"/>
      <c r="P591" s="41"/>
    </row>
    <row r="592" spans="1:16" x14ac:dyDescent="0.2">
      <c r="A592" s="49" t="str">
        <v>0:00</v>
      </c>
      <c r="B592" s="108"/>
      <c r="C592" s="41"/>
      <c r="D592" s="41"/>
      <c r="E592" s="41"/>
      <c r="F592" s="41"/>
      <c r="G592" s="41"/>
      <c r="H592" s="41"/>
      <c r="I592" s="41"/>
      <c r="J592" s="41"/>
      <c r="K592" s="41"/>
      <c r="L592" s="41"/>
      <c r="M592" s="41"/>
      <c r="N592" s="41"/>
      <c r="O592" s="41"/>
      <c r="P592" s="41"/>
    </row>
    <row r="593" spans="1:16" x14ac:dyDescent="0.2">
      <c r="A593" s="49" t="str">
        <v>0:00</v>
      </c>
      <c r="B593" s="108"/>
      <c r="C593" s="41"/>
      <c r="D593" s="41"/>
      <c r="E593" s="41"/>
      <c r="F593" s="41"/>
      <c r="G593" s="41"/>
      <c r="H593" s="41"/>
      <c r="I593" s="41"/>
      <c r="J593" s="41"/>
      <c r="K593" s="41"/>
      <c r="L593" s="41"/>
      <c r="M593" s="41"/>
      <c r="N593" s="41"/>
      <c r="O593" s="41"/>
      <c r="P593" s="41"/>
    </row>
    <row r="594" spans="1:16" x14ac:dyDescent="0.2">
      <c r="A594" s="49" t="str">
        <v>0:00</v>
      </c>
      <c r="B594" s="108"/>
      <c r="C594" s="41"/>
      <c r="D594" s="41"/>
      <c r="E594" s="41"/>
      <c r="F594" s="41"/>
      <c r="G594" s="41"/>
      <c r="H594" s="41"/>
      <c r="I594" s="41"/>
      <c r="J594" s="41"/>
      <c r="K594" s="41"/>
      <c r="L594" s="41"/>
      <c r="M594" s="41"/>
      <c r="N594" s="41"/>
      <c r="O594" s="41"/>
      <c r="P594" s="41"/>
    </row>
    <row r="595" spans="1:16" x14ac:dyDescent="0.2">
      <c r="A595" s="49" t="str">
        <v>0:00</v>
      </c>
      <c r="B595" s="108"/>
      <c r="C595" s="41"/>
      <c r="D595" s="41"/>
      <c r="E595" s="41"/>
      <c r="F595" s="41"/>
      <c r="G595" s="41"/>
      <c r="H595" s="41"/>
      <c r="I595" s="41"/>
      <c r="J595" s="41"/>
      <c r="K595" s="41"/>
      <c r="L595" s="41"/>
      <c r="M595" s="41"/>
      <c r="N595" s="41"/>
      <c r="O595" s="41"/>
      <c r="P595" s="41"/>
    </row>
    <row r="596" spans="1:16" x14ac:dyDescent="0.2">
      <c r="A596" s="49" t="str">
        <v>0:00</v>
      </c>
      <c r="B596" s="108"/>
      <c r="C596" s="41"/>
      <c r="D596" s="41"/>
      <c r="E596" s="41"/>
      <c r="F596" s="41"/>
      <c r="G596" s="41"/>
      <c r="H596" s="41"/>
      <c r="I596" s="41"/>
      <c r="J596" s="41"/>
      <c r="K596" s="41"/>
      <c r="L596" s="41"/>
      <c r="M596" s="41"/>
      <c r="N596" s="41"/>
      <c r="O596" s="41"/>
      <c r="P596" s="41"/>
    </row>
    <row r="597" spans="1:16" x14ac:dyDescent="0.2">
      <c r="A597" s="49" t="str">
        <v>0:00</v>
      </c>
      <c r="B597" s="108"/>
      <c r="C597" s="41"/>
      <c r="D597" s="41"/>
      <c r="E597" s="41"/>
      <c r="F597" s="41"/>
      <c r="G597" s="41"/>
      <c r="H597" s="41"/>
      <c r="I597" s="41"/>
      <c r="J597" s="41"/>
      <c r="K597" s="41"/>
      <c r="L597" s="41"/>
      <c r="M597" s="41"/>
      <c r="N597" s="41"/>
      <c r="O597" s="41"/>
      <c r="P597" s="41"/>
    </row>
    <row r="598" spans="1:16" x14ac:dyDescent="0.2">
      <c r="A598" s="49" t="str">
        <v>0:00</v>
      </c>
      <c r="B598" s="108"/>
      <c r="C598" s="41"/>
      <c r="D598" s="41"/>
      <c r="E598" s="41"/>
      <c r="F598" s="41"/>
      <c r="G598" s="41"/>
      <c r="H598" s="41"/>
      <c r="I598" s="41"/>
      <c r="J598" s="41"/>
      <c r="K598" s="41"/>
      <c r="L598" s="41"/>
      <c r="M598" s="41"/>
      <c r="N598" s="41"/>
      <c r="O598" s="41"/>
      <c r="P598" s="41"/>
    </row>
    <row r="599" spans="1:16" x14ac:dyDescent="0.2">
      <c r="A599" s="49" t="str">
        <v>0:00</v>
      </c>
      <c r="B599" s="108"/>
      <c r="C599" s="41"/>
      <c r="D599" s="41"/>
      <c r="E599" s="41"/>
      <c r="F599" s="41"/>
      <c r="G599" s="41"/>
      <c r="H599" s="41"/>
      <c r="I599" s="41"/>
      <c r="J599" s="41"/>
      <c r="K599" s="41"/>
      <c r="L599" s="41"/>
      <c r="M599" s="41"/>
      <c r="N599" s="41"/>
      <c r="O599" s="41"/>
      <c r="P599" s="41"/>
    </row>
    <row r="600" spans="1:16" x14ac:dyDescent="0.2">
      <c r="A600" s="49" t="str">
        <v>0:00</v>
      </c>
      <c r="B600" s="108"/>
      <c r="C600" s="41"/>
      <c r="D600" s="41"/>
      <c r="E600" s="41"/>
      <c r="F600" s="41"/>
      <c r="G600" s="41"/>
      <c r="H600" s="41"/>
      <c r="I600" s="41"/>
      <c r="J600" s="41"/>
      <c r="K600" s="41"/>
      <c r="L600" s="41"/>
      <c r="M600" s="41"/>
      <c r="N600" s="41"/>
      <c r="O600" s="41"/>
      <c r="P600" s="41"/>
    </row>
    <row r="601" spans="1:16" x14ac:dyDescent="0.2">
      <c r="A601" s="49" t="str">
        <v>0:00</v>
      </c>
      <c r="B601" s="108"/>
      <c r="C601" s="41"/>
      <c r="D601" s="41"/>
      <c r="E601" s="41"/>
      <c r="F601" s="41"/>
      <c r="G601" s="41"/>
      <c r="H601" s="41"/>
      <c r="I601" s="41"/>
      <c r="J601" s="41"/>
      <c r="K601" s="41"/>
      <c r="L601" s="41"/>
      <c r="M601" s="41"/>
      <c r="N601" s="41"/>
      <c r="O601" s="41"/>
      <c r="P601" s="41"/>
    </row>
    <row r="602" spans="1:16" x14ac:dyDescent="0.2">
      <c r="A602" s="49" t="str">
        <v>0:00</v>
      </c>
      <c r="B602" s="108"/>
      <c r="C602" s="41"/>
      <c r="D602" s="41"/>
      <c r="E602" s="41"/>
      <c r="F602" s="41"/>
      <c r="G602" s="41"/>
      <c r="H602" s="41"/>
      <c r="I602" s="41"/>
      <c r="J602" s="41"/>
      <c r="K602" s="41"/>
      <c r="L602" s="41"/>
      <c r="M602" s="41"/>
      <c r="N602" s="41"/>
      <c r="O602" s="41"/>
      <c r="P602" s="41"/>
    </row>
    <row r="603" spans="1:16" x14ac:dyDescent="0.2">
      <c r="A603" s="49" t="str">
        <v>0:00</v>
      </c>
      <c r="B603" s="108"/>
      <c r="C603" s="41"/>
      <c r="D603" s="41"/>
      <c r="E603" s="41"/>
      <c r="F603" s="41"/>
      <c r="G603" s="41"/>
      <c r="H603" s="41"/>
      <c r="I603" s="41"/>
      <c r="J603" s="41"/>
      <c r="K603" s="41"/>
      <c r="L603" s="41"/>
      <c r="M603" s="41"/>
      <c r="N603" s="41"/>
      <c r="O603" s="41"/>
      <c r="P603" s="41"/>
    </row>
    <row r="604" spans="1:16" x14ac:dyDescent="0.2">
      <c r="A604" s="49" t="str">
        <v>0:00</v>
      </c>
      <c r="B604" s="108"/>
      <c r="C604" s="41"/>
      <c r="D604" s="41"/>
      <c r="E604" s="41"/>
      <c r="F604" s="41"/>
      <c r="G604" s="41"/>
      <c r="H604" s="41"/>
      <c r="I604" s="41"/>
      <c r="J604" s="41"/>
      <c r="K604" s="41"/>
      <c r="L604" s="41"/>
      <c r="M604" s="41"/>
      <c r="N604" s="41"/>
      <c r="O604" s="41"/>
      <c r="P604" s="41"/>
    </row>
    <row r="605" spans="1:16" x14ac:dyDescent="0.2">
      <c r="A605" s="49" t="str">
        <v>0:00</v>
      </c>
      <c r="B605" s="108"/>
      <c r="C605" s="41"/>
      <c r="D605" s="41"/>
      <c r="E605" s="41"/>
      <c r="F605" s="41"/>
      <c r="G605" s="41"/>
      <c r="H605" s="41"/>
      <c r="I605" s="41"/>
      <c r="J605" s="41"/>
      <c r="K605" s="41"/>
      <c r="L605" s="41"/>
      <c r="M605" s="41"/>
      <c r="N605" s="41"/>
      <c r="O605" s="41"/>
      <c r="P605" s="41"/>
    </row>
    <row r="606" spans="1:16" x14ac:dyDescent="0.2">
      <c r="A606" s="49" t="str">
        <v>0:00</v>
      </c>
      <c r="B606" s="108"/>
      <c r="C606" s="41"/>
      <c r="D606" s="41"/>
      <c r="E606" s="41"/>
      <c r="F606" s="41"/>
      <c r="G606" s="41"/>
      <c r="H606" s="41"/>
      <c r="I606" s="41"/>
      <c r="J606" s="41"/>
      <c r="K606" s="41"/>
      <c r="L606" s="41"/>
      <c r="M606" s="41"/>
      <c r="N606" s="41"/>
      <c r="O606" s="41"/>
      <c r="P606" s="41"/>
    </row>
    <row r="607" spans="1:16" x14ac:dyDescent="0.2">
      <c r="A607" s="49" t="str">
        <v>0:00</v>
      </c>
      <c r="B607" s="108"/>
      <c r="C607" s="41"/>
      <c r="D607" s="41"/>
      <c r="E607" s="41"/>
      <c r="F607" s="41"/>
      <c r="G607" s="41"/>
      <c r="H607" s="41"/>
      <c r="I607" s="41"/>
      <c r="J607" s="41"/>
      <c r="K607" s="41"/>
      <c r="L607" s="41"/>
      <c r="M607" s="41"/>
      <c r="N607" s="41"/>
      <c r="O607" s="41"/>
      <c r="P607" s="41"/>
    </row>
    <row r="608" spans="1:16" x14ac:dyDescent="0.2">
      <c r="A608" s="49" t="str">
        <v>0:00</v>
      </c>
      <c r="B608" s="108"/>
      <c r="C608" s="41"/>
      <c r="D608" s="41"/>
      <c r="E608" s="41"/>
      <c r="F608" s="41"/>
      <c r="G608" s="41"/>
      <c r="H608" s="41"/>
      <c r="I608" s="41"/>
      <c r="J608" s="41"/>
      <c r="K608" s="41"/>
      <c r="L608" s="41"/>
      <c r="M608" s="41"/>
      <c r="N608" s="41"/>
      <c r="O608" s="41"/>
      <c r="P608" s="41"/>
    </row>
    <row r="609" spans="1:16" x14ac:dyDescent="0.2">
      <c r="A609" s="49" t="str">
        <v>0:00</v>
      </c>
      <c r="B609" s="108"/>
      <c r="C609" s="41"/>
      <c r="D609" s="41"/>
      <c r="E609" s="41"/>
      <c r="F609" s="41"/>
      <c r="G609" s="41"/>
      <c r="H609" s="41"/>
      <c r="I609" s="41"/>
      <c r="J609" s="41"/>
      <c r="K609" s="41"/>
      <c r="L609" s="41"/>
      <c r="M609" s="41"/>
      <c r="N609" s="41"/>
      <c r="O609" s="41"/>
      <c r="P609" s="41"/>
    </row>
    <row r="610" spans="1:16" x14ac:dyDescent="0.2">
      <c r="A610" s="49" t="str">
        <v>0:00</v>
      </c>
      <c r="B610" s="108"/>
      <c r="C610" s="41"/>
      <c r="D610" s="41"/>
      <c r="E610" s="41"/>
      <c r="F610" s="41"/>
      <c r="G610" s="41"/>
      <c r="H610" s="41"/>
      <c r="I610" s="41"/>
      <c r="J610" s="41"/>
      <c r="K610" s="41"/>
      <c r="L610" s="41"/>
      <c r="M610" s="41"/>
      <c r="N610" s="41"/>
      <c r="O610" s="41"/>
      <c r="P610" s="41"/>
    </row>
    <row r="611" spans="1:16" x14ac:dyDescent="0.2">
      <c r="A611" s="49" t="str">
        <v>0:00</v>
      </c>
      <c r="B611" s="108"/>
      <c r="C611" s="41"/>
      <c r="D611" s="41"/>
      <c r="E611" s="41"/>
      <c r="F611" s="41"/>
      <c r="G611" s="41"/>
      <c r="H611" s="41"/>
      <c r="I611" s="41"/>
      <c r="J611" s="41"/>
      <c r="K611" s="41"/>
      <c r="L611" s="41"/>
      <c r="M611" s="41"/>
      <c r="N611" s="41"/>
      <c r="O611" s="41"/>
      <c r="P611" s="41"/>
    </row>
    <row r="612" spans="1:16" x14ac:dyDescent="0.2">
      <c r="A612" s="49" t="str">
        <v>0:00</v>
      </c>
      <c r="B612" s="108"/>
      <c r="C612" s="41"/>
      <c r="D612" s="41"/>
      <c r="E612" s="41"/>
      <c r="F612" s="41"/>
      <c r="G612" s="41"/>
      <c r="H612" s="41"/>
      <c r="I612" s="41"/>
      <c r="J612" s="41"/>
      <c r="K612" s="41"/>
      <c r="L612" s="41"/>
      <c r="M612" s="41"/>
      <c r="N612" s="41"/>
      <c r="O612" s="41"/>
      <c r="P612" s="41"/>
    </row>
    <row r="613" spans="1:16" x14ac:dyDescent="0.2">
      <c r="A613" s="49" t="str">
        <v>0:00</v>
      </c>
      <c r="B613" s="108"/>
      <c r="C613" s="41"/>
      <c r="D613" s="41"/>
      <c r="E613" s="41"/>
      <c r="F613" s="41"/>
      <c r="G613" s="41"/>
      <c r="H613" s="41"/>
      <c r="I613" s="41"/>
      <c r="J613" s="41"/>
      <c r="K613" s="41"/>
      <c r="L613" s="41"/>
      <c r="M613" s="41"/>
      <c r="N613" s="41"/>
      <c r="O613" s="41"/>
      <c r="P613" s="41"/>
    </row>
    <row r="614" spans="1:16" x14ac:dyDescent="0.2">
      <c r="A614" s="49" t="str">
        <v>0:00</v>
      </c>
      <c r="B614" s="108"/>
      <c r="C614" s="41"/>
      <c r="D614" s="41"/>
      <c r="E614" s="41"/>
      <c r="F614" s="41"/>
      <c r="G614" s="41"/>
      <c r="H614" s="41"/>
      <c r="I614" s="41"/>
      <c r="J614" s="41"/>
      <c r="K614" s="41"/>
      <c r="L614" s="41"/>
      <c r="M614" s="41"/>
      <c r="N614" s="41"/>
      <c r="O614" s="41"/>
      <c r="P614" s="41"/>
    </row>
    <row r="615" spans="1:16" x14ac:dyDescent="0.2">
      <c r="A615" s="49" t="str">
        <v>0:00</v>
      </c>
      <c r="B615" s="108"/>
      <c r="C615" s="41"/>
      <c r="D615" s="41"/>
      <c r="E615" s="41"/>
      <c r="F615" s="41"/>
      <c r="G615" s="41"/>
      <c r="H615" s="41"/>
      <c r="I615" s="41"/>
      <c r="J615" s="41"/>
      <c r="K615" s="41"/>
      <c r="L615" s="41"/>
      <c r="M615" s="41"/>
      <c r="N615" s="41"/>
      <c r="O615" s="41"/>
      <c r="P615" s="41"/>
    </row>
    <row r="616" spans="1:16" x14ac:dyDescent="0.2">
      <c r="A616" s="49" t="str">
        <v>0:00</v>
      </c>
      <c r="B616" s="108"/>
      <c r="C616" s="41"/>
      <c r="D616" s="41"/>
      <c r="E616" s="41"/>
      <c r="F616" s="41"/>
      <c r="G616" s="41"/>
      <c r="H616" s="41"/>
      <c r="I616" s="41"/>
      <c r="J616" s="41"/>
      <c r="K616" s="41"/>
      <c r="L616" s="41"/>
      <c r="M616" s="41"/>
      <c r="N616" s="41"/>
      <c r="O616" s="41"/>
      <c r="P616" s="41"/>
    </row>
    <row r="617" spans="1:16" x14ac:dyDescent="0.2">
      <c r="A617" s="49" t="str">
        <v>0:00</v>
      </c>
      <c r="B617" s="108"/>
      <c r="C617" s="41"/>
      <c r="D617" s="41"/>
      <c r="E617" s="41"/>
      <c r="F617" s="41"/>
      <c r="G617" s="41"/>
      <c r="H617" s="41"/>
      <c r="I617" s="41"/>
      <c r="J617" s="41"/>
      <c r="K617" s="41"/>
      <c r="L617" s="41"/>
      <c r="M617" s="41"/>
      <c r="N617" s="41"/>
      <c r="O617" s="41"/>
      <c r="P617" s="41"/>
    </row>
    <row r="618" spans="1:16" x14ac:dyDescent="0.2">
      <c r="A618" s="49" t="str">
        <v>0:00</v>
      </c>
      <c r="B618" s="108"/>
      <c r="C618" s="41"/>
      <c r="D618" s="41"/>
      <c r="E618" s="41"/>
      <c r="F618" s="41"/>
      <c r="G618" s="41"/>
      <c r="H618" s="41"/>
      <c r="I618" s="41"/>
      <c r="J618" s="41"/>
      <c r="K618" s="41"/>
      <c r="L618" s="41"/>
      <c r="M618" s="41"/>
      <c r="N618" s="41"/>
      <c r="O618" s="41"/>
      <c r="P618" s="41"/>
    </row>
    <row r="619" spans="1:16" x14ac:dyDescent="0.2">
      <c r="A619" s="49" t="str">
        <v>0:00</v>
      </c>
      <c r="B619" s="108"/>
      <c r="C619" s="41"/>
      <c r="D619" s="41"/>
      <c r="E619" s="41"/>
      <c r="F619" s="41"/>
      <c r="G619" s="41"/>
      <c r="H619" s="41"/>
      <c r="I619" s="41"/>
      <c r="J619" s="41"/>
      <c r="K619" s="41"/>
      <c r="L619" s="41"/>
      <c r="M619" s="41"/>
      <c r="N619" s="41"/>
      <c r="O619" s="41"/>
      <c r="P619" s="41"/>
    </row>
    <row r="620" spans="1:16" x14ac:dyDescent="0.2">
      <c r="A620" s="49" t="str">
        <v>0:00</v>
      </c>
      <c r="B620" s="108"/>
      <c r="C620" s="41"/>
      <c r="D620" s="41"/>
      <c r="E620" s="41"/>
      <c r="F620" s="41"/>
      <c r="G620" s="41"/>
      <c r="H620" s="41"/>
      <c r="I620" s="41"/>
      <c r="J620" s="41"/>
      <c r="K620" s="41"/>
      <c r="L620" s="41"/>
      <c r="M620" s="41"/>
      <c r="N620" s="41"/>
      <c r="O620" s="41"/>
      <c r="P620" s="41"/>
    </row>
    <row r="621" spans="1:16" x14ac:dyDescent="0.2">
      <c r="A621" s="49" t="str">
        <v>0:00</v>
      </c>
      <c r="B621" s="108"/>
      <c r="C621" s="41"/>
      <c r="D621" s="41"/>
      <c r="E621" s="41"/>
      <c r="F621" s="41"/>
      <c r="G621" s="41"/>
      <c r="H621" s="41"/>
      <c r="I621" s="41"/>
      <c r="J621" s="41"/>
      <c r="K621" s="41"/>
      <c r="L621" s="41"/>
      <c r="M621" s="41"/>
      <c r="N621" s="41"/>
      <c r="O621" s="41"/>
      <c r="P621" s="41"/>
    </row>
    <row r="622" spans="1:16" x14ac:dyDescent="0.2">
      <c r="A622" s="49" t="str">
        <v>0:00</v>
      </c>
      <c r="B622" s="108"/>
      <c r="C622" s="41"/>
      <c r="D622" s="41"/>
      <c r="E622" s="41"/>
      <c r="F622" s="41"/>
      <c r="G622" s="41"/>
      <c r="H622" s="41"/>
      <c r="I622" s="41"/>
      <c r="J622" s="41"/>
      <c r="K622" s="41"/>
      <c r="L622" s="41"/>
      <c r="M622" s="41"/>
      <c r="N622" s="41"/>
      <c r="O622" s="41"/>
      <c r="P622" s="41"/>
    </row>
    <row r="623" spans="1:16" x14ac:dyDescent="0.2">
      <c r="A623" s="49" t="str">
        <v>0:00</v>
      </c>
      <c r="B623" s="108"/>
      <c r="C623" s="41"/>
      <c r="D623" s="41"/>
      <c r="E623" s="41"/>
      <c r="F623" s="41"/>
      <c r="G623" s="41"/>
      <c r="H623" s="41"/>
      <c r="I623" s="41"/>
      <c r="J623" s="41"/>
      <c r="K623" s="41"/>
      <c r="L623" s="41"/>
      <c r="M623" s="41"/>
      <c r="N623" s="41"/>
      <c r="O623" s="41"/>
      <c r="P623" s="41"/>
    </row>
    <row r="624" spans="1:16" x14ac:dyDescent="0.2">
      <c r="A624" s="49" t="str">
        <v>0:00</v>
      </c>
      <c r="B624" s="108"/>
      <c r="C624" s="41"/>
      <c r="D624" s="41"/>
      <c r="E624" s="41"/>
      <c r="F624" s="41"/>
      <c r="G624" s="41"/>
      <c r="H624" s="41"/>
      <c r="I624" s="41"/>
      <c r="J624" s="41"/>
      <c r="K624" s="41"/>
      <c r="L624" s="41"/>
      <c r="M624" s="41"/>
      <c r="N624" s="41"/>
      <c r="O624" s="41"/>
      <c r="P624" s="41"/>
    </row>
    <row r="625" spans="1:16" x14ac:dyDescent="0.2">
      <c r="A625" s="49" t="str">
        <v>0:00</v>
      </c>
      <c r="B625" s="108"/>
      <c r="C625" s="41"/>
      <c r="D625" s="41"/>
      <c r="E625" s="41"/>
      <c r="F625" s="41"/>
      <c r="G625" s="41"/>
      <c r="H625" s="41"/>
      <c r="I625" s="41"/>
      <c r="J625" s="41"/>
      <c r="K625" s="41"/>
      <c r="L625" s="41"/>
      <c r="M625" s="41"/>
      <c r="N625" s="41"/>
      <c r="O625" s="41"/>
      <c r="P625" s="41"/>
    </row>
    <row r="626" spans="1:16" x14ac:dyDescent="0.2">
      <c r="A626" s="49" t="str">
        <v>0:00</v>
      </c>
      <c r="B626" s="108"/>
      <c r="C626" s="41"/>
      <c r="D626" s="41"/>
      <c r="E626" s="41"/>
      <c r="F626" s="41"/>
      <c r="G626" s="41"/>
      <c r="H626" s="41"/>
      <c r="I626" s="41"/>
      <c r="J626" s="41"/>
      <c r="K626" s="41"/>
      <c r="L626" s="41"/>
      <c r="M626" s="41"/>
      <c r="N626" s="41"/>
      <c r="O626" s="41"/>
      <c r="P626" s="41"/>
    </row>
    <row r="627" spans="1:16" x14ac:dyDescent="0.2">
      <c r="A627" s="49" t="str">
        <v>0:00</v>
      </c>
      <c r="B627" s="108"/>
      <c r="C627" s="41"/>
      <c r="D627" s="41"/>
      <c r="E627" s="41"/>
      <c r="F627" s="41"/>
      <c r="G627" s="41"/>
      <c r="H627" s="41"/>
      <c r="I627" s="41"/>
      <c r="J627" s="41"/>
      <c r="K627" s="41"/>
      <c r="L627" s="41"/>
      <c r="M627" s="41"/>
      <c r="N627" s="41"/>
      <c r="O627" s="41"/>
      <c r="P627" s="41"/>
    </row>
    <row r="628" spans="1:16" x14ac:dyDescent="0.2">
      <c r="A628" s="49" t="str">
        <v>0:00</v>
      </c>
      <c r="B628" s="108"/>
      <c r="C628" s="41"/>
      <c r="D628" s="41"/>
      <c r="E628" s="41"/>
      <c r="F628" s="41"/>
      <c r="G628" s="41"/>
      <c r="H628" s="41"/>
      <c r="I628" s="41"/>
      <c r="J628" s="41"/>
      <c r="K628" s="41"/>
      <c r="L628" s="41"/>
      <c r="M628" s="41"/>
      <c r="N628" s="41"/>
      <c r="O628" s="41"/>
      <c r="P628" s="41"/>
    </row>
    <row r="629" spans="1:16" x14ac:dyDescent="0.2">
      <c r="A629" s="49" t="str">
        <v>0:00</v>
      </c>
      <c r="B629" s="108"/>
      <c r="C629" s="41"/>
      <c r="D629" s="41"/>
      <c r="E629" s="41"/>
      <c r="F629" s="41"/>
      <c r="G629" s="41"/>
      <c r="H629" s="41"/>
      <c r="I629" s="41"/>
      <c r="J629" s="41"/>
      <c r="K629" s="41"/>
      <c r="L629" s="41"/>
      <c r="M629" s="41"/>
      <c r="N629" s="41"/>
      <c r="O629" s="41"/>
      <c r="P629" s="41"/>
    </row>
    <row r="630" spans="1:16" x14ac:dyDescent="0.2">
      <c r="A630" s="49" t="str">
        <v>0:00</v>
      </c>
      <c r="B630" s="108"/>
      <c r="C630" s="41"/>
      <c r="D630" s="41"/>
      <c r="E630" s="41"/>
      <c r="F630" s="41"/>
      <c r="G630" s="41"/>
      <c r="H630" s="41"/>
      <c r="I630" s="41"/>
      <c r="J630" s="41"/>
      <c r="K630" s="41"/>
      <c r="L630" s="41"/>
      <c r="M630" s="41"/>
      <c r="N630" s="41"/>
      <c r="O630" s="41"/>
      <c r="P630" s="41"/>
    </row>
    <row r="631" spans="1:16" x14ac:dyDescent="0.2">
      <c r="A631" s="49" t="str">
        <v>0:00</v>
      </c>
      <c r="B631" s="108"/>
      <c r="C631" s="41"/>
      <c r="D631" s="41"/>
      <c r="E631" s="41"/>
      <c r="F631" s="41"/>
      <c r="G631" s="41"/>
      <c r="H631" s="41"/>
      <c r="I631" s="41"/>
      <c r="J631" s="41"/>
      <c r="K631" s="41"/>
      <c r="L631" s="41"/>
      <c r="M631" s="41"/>
      <c r="N631" s="41"/>
      <c r="O631" s="41"/>
      <c r="P631" s="41"/>
    </row>
    <row r="632" spans="1:16" x14ac:dyDescent="0.2">
      <c r="A632" s="49" t="str">
        <v>0:00</v>
      </c>
      <c r="B632" s="108"/>
      <c r="C632" s="41"/>
      <c r="D632" s="41"/>
      <c r="E632" s="41"/>
      <c r="F632" s="41"/>
      <c r="G632" s="41"/>
      <c r="H632" s="41"/>
      <c r="I632" s="41"/>
      <c r="J632" s="41"/>
      <c r="K632" s="41"/>
      <c r="L632" s="41"/>
      <c r="M632" s="41"/>
      <c r="N632" s="41"/>
      <c r="O632" s="41"/>
      <c r="P632" s="41"/>
    </row>
    <row r="633" spans="1:16" x14ac:dyDescent="0.2">
      <c r="A633" s="49" t="str">
        <v>0:00</v>
      </c>
      <c r="B633" s="108"/>
      <c r="C633" s="41"/>
      <c r="D633" s="41"/>
      <c r="E633" s="41"/>
      <c r="F633" s="41"/>
      <c r="G633" s="41"/>
      <c r="H633" s="41"/>
      <c r="I633" s="41"/>
      <c r="J633" s="41"/>
      <c r="K633" s="41"/>
      <c r="L633" s="41"/>
      <c r="M633" s="41"/>
      <c r="N633" s="41"/>
      <c r="O633" s="41"/>
      <c r="P633" s="41"/>
    </row>
    <row r="634" spans="1:16" x14ac:dyDescent="0.2">
      <c r="A634" s="49" t="str">
        <v>0:00</v>
      </c>
      <c r="B634" s="108"/>
      <c r="C634" s="41"/>
      <c r="D634" s="41"/>
      <c r="E634" s="41"/>
      <c r="F634" s="41"/>
      <c r="G634" s="41"/>
      <c r="H634" s="41"/>
      <c r="I634" s="41"/>
      <c r="J634" s="41"/>
      <c r="K634" s="41"/>
      <c r="L634" s="41"/>
      <c r="M634" s="41"/>
      <c r="N634" s="41"/>
      <c r="O634" s="41"/>
      <c r="P634" s="41"/>
    </row>
    <row r="635" spans="1:16" x14ac:dyDescent="0.2">
      <c r="A635" s="49" t="str">
        <v>0:00</v>
      </c>
      <c r="B635" s="108"/>
      <c r="C635" s="41"/>
      <c r="D635" s="41"/>
      <c r="E635" s="41"/>
      <c r="F635" s="41"/>
      <c r="G635" s="41"/>
      <c r="H635" s="41"/>
      <c r="I635" s="41"/>
      <c r="J635" s="41"/>
      <c r="K635" s="41"/>
      <c r="L635" s="41"/>
      <c r="M635" s="41"/>
      <c r="N635" s="41"/>
      <c r="O635" s="41"/>
      <c r="P635" s="41"/>
    </row>
    <row r="636" spans="1:16" x14ac:dyDescent="0.2">
      <c r="A636" s="49" t="str">
        <v>0:00</v>
      </c>
      <c r="B636" s="108"/>
      <c r="C636" s="41"/>
      <c r="D636" s="41"/>
      <c r="E636" s="41"/>
      <c r="F636" s="41"/>
      <c r="G636" s="41"/>
      <c r="H636" s="41"/>
      <c r="I636" s="41"/>
      <c r="J636" s="41"/>
      <c r="K636" s="41"/>
      <c r="L636" s="41"/>
      <c r="M636" s="41"/>
      <c r="N636" s="41"/>
      <c r="O636" s="41"/>
      <c r="P636" s="41"/>
    </row>
    <row r="637" spans="1:16" x14ac:dyDescent="0.2">
      <c r="A637" s="49" t="str">
        <v>0:00</v>
      </c>
      <c r="B637" s="108"/>
      <c r="C637" s="41"/>
      <c r="D637" s="41"/>
      <c r="E637" s="41"/>
      <c r="F637" s="41"/>
      <c r="G637" s="41"/>
      <c r="H637" s="41"/>
      <c r="I637" s="41"/>
      <c r="J637" s="41"/>
      <c r="K637" s="41"/>
      <c r="L637" s="41"/>
      <c r="M637" s="41"/>
      <c r="N637" s="41"/>
      <c r="O637" s="41"/>
      <c r="P637" s="41"/>
    </row>
    <row r="638" spans="1:16" x14ac:dyDescent="0.2">
      <c r="A638" s="49" t="str">
        <v>0:00</v>
      </c>
      <c r="B638" s="108"/>
      <c r="C638" s="41"/>
      <c r="D638" s="41"/>
      <c r="E638" s="41"/>
      <c r="F638" s="41"/>
      <c r="G638" s="41"/>
      <c r="H638" s="41"/>
      <c r="I638" s="41"/>
      <c r="J638" s="41"/>
      <c r="K638" s="41"/>
      <c r="L638" s="41"/>
      <c r="M638" s="41"/>
      <c r="N638" s="41"/>
      <c r="O638" s="41"/>
      <c r="P638" s="41"/>
    </row>
    <row r="639" spans="1:16" x14ac:dyDescent="0.2">
      <c r="A639" s="49" t="str">
        <v>0:00</v>
      </c>
      <c r="B639" s="108"/>
      <c r="C639" s="41"/>
      <c r="D639" s="41"/>
      <c r="E639" s="41"/>
      <c r="F639" s="41"/>
      <c r="G639" s="41"/>
      <c r="H639" s="41"/>
      <c r="I639" s="41"/>
      <c r="J639" s="41"/>
      <c r="K639" s="41"/>
      <c r="L639" s="41"/>
      <c r="M639" s="41"/>
      <c r="N639" s="41"/>
      <c r="O639" s="41"/>
      <c r="P639" s="41"/>
    </row>
    <row r="640" spans="1:16" x14ac:dyDescent="0.2">
      <c r="A640" s="49" t="str">
        <v>0:00</v>
      </c>
      <c r="B640" s="108"/>
      <c r="C640" s="41"/>
      <c r="D640" s="41"/>
      <c r="E640" s="41"/>
      <c r="F640" s="41"/>
      <c r="G640" s="41"/>
      <c r="H640" s="41"/>
      <c r="I640" s="41"/>
      <c r="J640" s="41"/>
      <c r="K640" s="41"/>
      <c r="L640" s="41"/>
      <c r="M640" s="41"/>
      <c r="N640" s="41"/>
      <c r="O640" s="41"/>
      <c r="P640" s="41"/>
    </row>
    <row r="641" spans="1:16" x14ac:dyDescent="0.2">
      <c r="A641" s="49" t="str">
        <v>0:00</v>
      </c>
      <c r="B641" s="108"/>
      <c r="C641" s="41"/>
      <c r="D641" s="41"/>
      <c r="E641" s="41"/>
      <c r="F641" s="41"/>
      <c r="G641" s="41"/>
      <c r="H641" s="41"/>
      <c r="I641" s="41"/>
      <c r="J641" s="41"/>
      <c r="K641" s="41"/>
      <c r="L641" s="41"/>
      <c r="M641" s="41"/>
      <c r="N641" s="41"/>
      <c r="O641" s="41"/>
      <c r="P641" s="41"/>
    </row>
    <row r="642" spans="1:16" x14ac:dyDescent="0.2">
      <c r="A642" s="49" t="str">
        <v>0:00</v>
      </c>
      <c r="B642" s="108"/>
      <c r="C642" s="41"/>
      <c r="D642" s="41"/>
      <c r="E642" s="41"/>
      <c r="F642" s="41"/>
      <c r="G642" s="41"/>
      <c r="H642" s="41"/>
      <c r="I642" s="41"/>
      <c r="J642" s="41"/>
      <c r="K642" s="41"/>
      <c r="L642" s="41"/>
      <c r="M642" s="41"/>
      <c r="N642" s="41"/>
      <c r="O642" s="41"/>
      <c r="P642" s="41"/>
    </row>
    <row r="643" spans="1:16" x14ac:dyDescent="0.2">
      <c r="A643" s="49" t="str">
        <v>0:00</v>
      </c>
      <c r="B643" s="108"/>
      <c r="C643" s="41"/>
      <c r="D643" s="41"/>
      <c r="E643" s="41"/>
      <c r="F643" s="41"/>
      <c r="G643" s="41"/>
      <c r="H643" s="41"/>
      <c r="I643" s="41"/>
      <c r="J643" s="41"/>
      <c r="K643" s="41"/>
      <c r="L643" s="41"/>
      <c r="M643" s="41"/>
      <c r="N643" s="41"/>
      <c r="O643" s="41"/>
      <c r="P643" s="41"/>
    </row>
    <row r="644" spans="1:16" x14ac:dyDescent="0.2">
      <c r="A644" s="49" t="str">
        <v>0:00</v>
      </c>
      <c r="B644" s="108"/>
      <c r="C644" s="41"/>
      <c r="D644" s="41"/>
      <c r="E644" s="41"/>
      <c r="F644" s="41"/>
      <c r="G644" s="41"/>
      <c r="H644" s="41"/>
      <c r="I644" s="41"/>
      <c r="J644" s="41"/>
      <c r="K644" s="41"/>
      <c r="L644" s="41"/>
      <c r="M644" s="41"/>
      <c r="N644" s="41"/>
      <c r="O644" s="41"/>
      <c r="P644" s="41"/>
    </row>
    <row r="645" spans="1:16" x14ac:dyDescent="0.2">
      <c r="A645" s="49" t="str">
        <v>0:00</v>
      </c>
      <c r="B645" s="108"/>
      <c r="C645" s="41"/>
      <c r="D645" s="41"/>
      <c r="E645" s="41"/>
      <c r="F645" s="41"/>
      <c r="G645" s="41"/>
      <c r="H645" s="41"/>
      <c r="I645" s="41"/>
      <c r="J645" s="41"/>
      <c r="K645" s="41"/>
      <c r="L645" s="41"/>
      <c r="M645" s="41"/>
      <c r="N645" s="41"/>
      <c r="O645" s="41"/>
      <c r="P645" s="41"/>
    </row>
    <row r="646" spans="1:16" x14ac:dyDescent="0.2">
      <c r="A646" s="49" t="str">
        <v>0:00</v>
      </c>
      <c r="B646" s="108"/>
      <c r="C646" s="41"/>
      <c r="D646" s="41"/>
      <c r="E646" s="41"/>
      <c r="F646" s="41"/>
      <c r="G646" s="41"/>
      <c r="H646" s="41"/>
      <c r="I646" s="41"/>
      <c r="J646" s="41"/>
      <c r="K646" s="41"/>
      <c r="L646" s="41"/>
      <c r="M646" s="41"/>
      <c r="N646" s="41"/>
      <c r="O646" s="41"/>
      <c r="P646" s="41"/>
    </row>
    <row r="647" spans="1:16" x14ac:dyDescent="0.2">
      <c r="A647" s="49" t="str">
        <v>0:00</v>
      </c>
      <c r="B647" s="108"/>
      <c r="C647" s="41"/>
      <c r="D647" s="41"/>
      <c r="E647" s="41"/>
      <c r="F647" s="41"/>
      <c r="G647" s="41"/>
      <c r="H647" s="41"/>
      <c r="I647" s="41"/>
      <c r="J647" s="41"/>
      <c r="K647" s="41"/>
      <c r="L647" s="41"/>
      <c r="M647" s="41"/>
      <c r="N647" s="41"/>
      <c r="O647" s="41"/>
      <c r="P647" s="41"/>
    </row>
    <row r="648" spans="1:16" x14ac:dyDescent="0.2">
      <c r="A648" s="49" t="str">
        <v>0:00</v>
      </c>
      <c r="B648" s="108"/>
      <c r="C648" s="41"/>
      <c r="D648" s="41"/>
      <c r="E648" s="41"/>
      <c r="F648" s="41"/>
      <c r="G648" s="41"/>
      <c r="H648" s="41"/>
      <c r="I648" s="41"/>
      <c r="J648" s="41"/>
      <c r="K648" s="41"/>
      <c r="L648" s="41"/>
      <c r="M648" s="41"/>
      <c r="N648" s="41"/>
      <c r="O648" s="41"/>
      <c r="P648" s="41"/>
    </row>
    <row r="649" spans="1:16" x14ac:dyDescent="0.2">
      <c r="A649" s="49" t="str">
        <v>0:00</v>
      </c>
      <c r="B649" s="108"/>
      <c r="C649" s="41"/>
      <c r="D649" s="41"/>
      <c r="E649" s="41"/>
      <c r="F649" s="41"/>
      <c r="G649" s="41"/>
      <c r="H649" s="41"/>
      <c r="I649" s="41"/>
      <c r="J649" s="41"/>
      <c r="K649" s="41"/>
      <c r="L649" s="41"/>
      <c r="M649" s="41"/>
      <c r="N649" s="41"/>
      <c r="O649" s="41"/>
      <c r="P649" s="41"/>
    </row>
    <row r="650" spans="1:16" x14ac:dyDescent="0.2">
      <c r="A650" s="49" t="str">
        <v>0:00</v>
      </c>
      <c r="B650" s="108"/>
      <c r="C650" s="41"/>
      <c r="D650" s="41"/>
      <c r="E650" s="41"/>
      <c r="F650" s="41"/>
      <c r="G650" s="41"/>
      <c r="H650" s="41"/>
      <c r="I650" s="41"/>
      <c r="J650" s="41"/>
      <c r="K650" s="41"/>
      <c r="L650" s="41"/>
      <c r="M650" s="41"/>
      <c r="N650" s="41"/>
      <c r="O650" s="41"/>
      <c r="P650" s="41"/>
    </row>
    <row r="651" spans="1:16" x14ac:dyDescent="0.2">
      <c r="A651" s="49" t="str">
        <v>0:00</v>
      </c>
      <c r="B651" s="108"/>
      <c r="C651" s="41"/>
      <c r="D651" s="41"/>
      <c r="E651" s="41"/>
      <c r="F651" s="41"/>
      <c r="G651" s="41"/>
      <c r="H651" s="41"/>
      <c r="I651" s="41"/>
      <c r="J651" s="41"/>
      <c r="K651" s="41"/>
      <c r="L651" s="41"/>
      <c r="M651" s="41"/>
      <c r="N651" s="41"/>
      <c r="O651" s="41"/>
      <c r="P651" s="41"/>
    </row>
    <row r="652" spans="1:16" x14ac:dyDescent="0.2">
      <c r="A652" s="49" t="str">
        <v>0:00</v>
      </c>
      <c r="B652" s="108"/>
      <c r="C652" s="41"/>
      <c r="D652" s="41"/>
      <c r="E652" s="41"/>
      <c r="F652" s="41"/>
      <c r="G652" s="41"/>
      <c r="H652" s="41"/>
      <c r="I652" s="41"/>
      <c r="J652" s="41"/>
      <c r="K652" s="41"/>
      <c r="L652" s="41"/>
      <c r="M652" s="41"/>
      <c r="N652" s="41"/>
      <c r="O652" s="41"/>
      <c r="P652" s="41"/>
    </row>
    <row r="653" spans="1:16" x14ac:dyDescent="0.2">
      <c r="A653" s="49" t="str">
        <v>0:00</v>
      </c>
      <c r="B653" s="108"/>
      <c r="C653" s="41"/>
      <c r="D653" s="41"/>
      <c r="E653" s="41"/>
      <c r="F653" s="41"/>
      <c r="G653" s="41"/>
      <c r="H653" s="41"/>
      <c r="I653" s="41"/>
      <c r="J653" s="41"/>
      <c r="K653" s="41"/>
      <c r="L653" s="41"/>
      <c r="M653" s="41"/>
      <c r="N653" s="41"/>
      <c r="O653" s="41"/>
      <c r="P653" s="41"/>
    </row>
    <row r="654" spans="1:16" x14ac:dyDescent="0.2">
      <c r="A654" s="49" t="str">
        <v>0:00</v>
      </c>
      <c r="B654" s="108"/>
      <c r="C654" s="41"/>
      <c r="D654" s="41"/>
      <c r="E654" s="41"/>
      <c r="F654" s="41"/>
      <c r="G654" s="41"/>
      <c r="H654" s="41"/>
      <c r="I654" s="41"/>
      <c r="J654" s="41"/>
      <c r="K654" s="41"/>
      <c r="L654" s="41"/>
      <c r="M654" s="41"/>
      <c r="N654" s="41"/>
      <c r="O654" s="41"/>
      <c r="P654" s="41"/>
    </row>
    <row r="655" spans="1:16" x14ac:dyDescent="0.2">
      <c r="A655" s="49" t="str">
        <v>0:00</v>
      </c>
      <c r="B655" s="108"/>
      <c r="C655" s="41"/>
      <c r="D655" s="41"/>
      <c r="E655" s="41"/>
      <c r="F655" s="41"/>
      <c r="G655" s="41"/>
      <c r="H655" s="41"/>
      <c r="I655" s="41"/>
      <c r="J655" s="41"/>
      <c r="K655" s="41"/>
      <c r="L655" s="41"/>
      <c r="M655" s="41"/>
      <c r="N655" s="41"/>
      <c r="O655" s="41"/>
      <c r="P655" s="41"/>
    </row>
    <row r="656" spans="1:16" x14ac:dyDescent="0.2">
      <c r="A656" s="49" t="str">
        <v>0:00</v>
      </c>
      <c r="B656" s="108"/>
      <c r="C656" s="41"/>
      <c r="D656" s="41"/>
      <c r="E656" s="41"/>
      <c r="F656" s="41"/>
      <c r="G656" s="41"/>
      <c r="H656" s="41"/>
      <c r="I656" s="41"/>
      <c r="J656" s="41"/>
      <c r="K656" s="41"/>
      <c r="L656" s="41"/>
      <c r="M656" s="41"/>
      <c r="N656" s="41"/>
      <c r="O656" s="41"/>
      <c r="P656" s="41"/>
    </row>
    <row r="657" spans="1:16" x14ac:dyDescent="0.2">
      <c r="A657" s="49" t="str">
        <v>0:00</v>
      </c>
      <c r="B657" s="108"/>
      <c r="C657" s="41"/>
      <c r="D657" s="41"/>
      <c r="E657" s="41"/>
      <c r="F657" s="41"/>
      <c r="G657" s="41"/>
      <c r="H657" s="41"/>
      <c r="I657" s="41"/>
      <c r="J657" s="41"/>
      <c r="K657" s="41"/>
      <c r="L657" s="41"/>
      <c r="M657" s="41"/>
      <c r="N657" s="41"/>
      <c r="O657" s="41"/>
      <c r="P657" s="41"/>
    </row>
    <row r="658" spans="1:16" x14ac:dyDescent="0.2">
      <c r="A658" s="49" t="str">
        <v>0:00</v>
      </c>
      <c r="B658" s="108"/>
      <c r="C658" s="41"/>
      <c r="D658" s="41"/>
      <c r="E658" s="41"/>
      <c r="F658" s="41"/>
      <c r="G658" s="41"/>
      <c r="H658" s="41"/>
      <c r="I658" s="41"/>
      <c r="J658" s="41"/>
      <c r="K658" s="41"/>
      <c r="L658" s="41"/>
      <c r="M658" s="41"/>
      <c r="N658" s="41"/>
      <c r="O658" s="41"/>
      <c r="P658" s="41"/>
    </row>
    <row r="659" spans="1:16" x14ac:dyDescent="0.2">
      <c r="A659" s="49" t="str">
        <v>0:00</v>
      </c>
      <c r="B659" s="108"/>
      <c r="C659" s="41"/>
      <c r="D659" s="41"/>
      <c r="E659" s="41"/>
      <c r="F659" s="41"/>
      <c r="G659" s="41"/>
      <c r="H659" s="41"/>
      <c r="I659" s="41"/>
      <c r="J659" s="41"/>
      <c r="K659" s="41"/>
      <c r="L659" s="41"/>
      <c r="M659" s="41"/>
      <c r="N659" s="41"/>
      <c r="O659" s="41"/>
      <c r="P659" s="41"/>
    </row>
    <row r="660" spans="1:16" x14ac:dyDescent="0.2">
      <c r="A660" s="49" t="str">
        <v>0:00</v>
      </c>
      <c r="B660" s="108"/>
      <c r="C660" s="41"/>
      <c r="D660" s="41"/>
      <c r="E660" s="41"/>
      <c r="F660" s="41"/>
      <c r="G660" s="41"/>
      <c r="H660" s="41"/>
      <c r="I660" s="41"/>
      <c r="J660" s="41"/>
      <c r="K660" s="41"/>
      <c r="L660" s="41"/>
      <c r="M660" s="41"/>
      <c r="N660" s="41"/>
      <c r="O660" s="41"/>
      <c r="P660" s="41"/>
    </row>
    <row r="661" spans="1:16" x14ac:dyDescent="0.2">
      <c r="A661" s="49" t="str">
        <v>0:00</v>
      </c>
      <c r="B661" s="108"/>
      <c r="C661" s="41"/>
      <c r="D661" s="41"/>
      <c r="E661" s="41"/>
      <c r="F661" s="41"/>
      <c r="G661" s="41"/>
      <c r="H661" s="41"/>
      <c r="I661" s="41"/>
      <c r="J661" s="41"/>
      <c r="K661" s="41"/>
      <c r="L661" s="41"/>
      <c r="M661" s="41"/>
      <c r="N661" s="41"/>
      <c r="O661" s="41"/>
      <c r="P661" s="41"/>
    </row>
    <row r="662" spans="1:16" x14ac:dyDescent="0.2">
      <c r="A662" s="49" t="str">
        <v>0:00</v>
      </c>
      <c r="B662" s="108"/>
      <c r="C662" s="41"/>
      <c r="D662" s="41"/>
      <c r="E662" s="41"/>
      <c r="F662" s="41"/>
      <c r="G662" s="41"/>
      <c r="H662" s="41"/>
      <c r="I662" s="41"/>
      <c r="J662" s="41"/>
      <c r="K662" s="41"/>
      <c r="L662" s="41"/>
      <c r="M662" s="41"/>
      <c r="N662" s="41"/>
      <c r="O662" s="41"/>
      <c r="P662" s="41"/>
    </row>
    <row r="663" spans="1:16" x14ac:dyDescent="0.2">
      <c r="A663" s="49" t="str">
        <v>0:00</v>
      </c>
      <c r="B663" s="108"/>
      <c r="C663" s="41"/>
      <c r="D663" s="41"/>
      <c r="E663" s="41"/>
      <c r="F663" s="41"/>
      <c r="G663" s="41"/>
      <c r="H663" s="41"/>
      <c r="I663" s="41"/>
      <c r="J663" s="41"/>
      <c r="K663" s="41"/>
      <c r="L663" s="41"/>
      <c r="M663" s="41"/>
      <c r="N663" s="41"/>
      <c r="O663" s="41"/>
      <c r="P663" s="41"/>
    </row>
    <row r="664" spans="1:16" x14ac:dyDescent="0.2">
      <c r="A664" s="49" t="str">
        <v>0:00</v>
      </c>
      <c r="B664" s="108"/>
      <c r="C664" s="41"/>
      <c r="D664" s="41"/>
      <c r="E664" s="41"/>
      <c r="F664" s="41"/>
      <c r="G664" s="41"/>
      <c r="H664" s="41"/>
      <c r="I664" s="41"/>
      <c r="J664" s="41"/>
      <c r="K664" s="41"/>
      <c r="L664" s="41"/>
      <c r="M664" s="41"/>
      <c r="N664" s="41"/>
      <c r="O664" s="41"/>
      <c r="P664" s="41"/>
    </row>
    <row r="665" spans="1:16" x14ac:dyDescent="0.2">
      <c r="A665" s="49" t="str">
        <v>0:00</v>
      </c>
      <c r="B665" s="108"/>
      <c r="C665" s="41"/>
      <c r="D665" s="41"/>
      <c r="E665" s="41"/>
      <c r="F665" s="41"/>
      <c r="G665" s="41"/>
      <c r="H665" s="41"/>
      <c r="I665" s="41"/>
      <c r="J665" s="41"/>
      <c r="K665" s="41"/>
      <c r="L665" s="41"/>
      <c r="M665" s="41"/>
      <c r="N665" s="41"/>
      <c r="O665" s="41"/>
      <c r="P665" s="41"/>
    </row>
    <row r="666" spans="1:16" x14ac:dyDescent="0.2">
      <c r="A666" s="49" t="str">
        <v>0:00</v>
      </c>
      <c r="B666" s="108"/>
      <c r="C666" s="41"/>
      <c r="D666" s="41"/>
      <c r="E666" s="41"/>
      <c r="F666" s="41"/>
      <c r="G666" s="41"/>
      <c r="H666" s="41"/>
      <c r="I666" s="41"/>
      <c r="J666" s="41"/>
      <c r="K666" s="41"/>
      <c r="L666" s="41"/>
      <c r="M666" s="41"/>
      <c r="N666" s="41"/>
      <c r="O666" s="41"/>
      <c r="P666" s="41"/>
    </row>
    <row r="667" spans="1:16" x14ac:dyDescent="0.2">
      <c r="A667" s="49" t="str">
        <v>0:00</v>
      </c>
      <c r="B667" s="108"/>
      <c r="C667" s="41"/>
      <c r="D667" s="41"/>
      <c r="E667" s="41"/>
      <c r="F667" s="41"/>
      <c r="G667" s="41"/>
      <c r="H667" s="41"/>
      <c r="I667" s="41"/>
      <c r="J667" s="41"/>
      <c r="K667" s="41"/>
      <c r="L667" s="41"/>
      <c r="M667" s="41"/>
      <c r="N667" s="41"/>
      <c r="O667" s="41"/>
      <c r="P667" s="41"/>
    </row>
    <row r="668" spans="1:16" x14ac:dyDescent="0.2">
      <c r="A668" s="49" t="str">
        <v>0:00</v>
      </c>
      <c r="B668" s="108"/>
      <c r="C668" s="41"/>
      <c r="D668" s="41"/>
      <c r="E668" s="41"/>
      <c r="F668" s="41"/>
      <c r="G668" s="41"/>
      <c r="H668" s="41"/>
      <c r="I668" s="41"/>
      <c r="J668" s="41"/>
      <c r="K668" s="41"/>
      <c r="L668" s="41"/>
      <c r="M668" s="41"/>
      <c r="N668" s="41"/>
      <c r="O668" s="41"/>
      <c r="P668" s="41"/>
    </row>
    <row r="669" spans="1:16" x14ac:dyDescent="0.2">
      <c r="A669" s="49" t="str">
        <v>0:00</v>
      </c>
      <c r="B669" s="108"/>
      <c r="C669" s="41"/>
      <c r="D669" s="41"/>
      <c r="E669" s="41"/>
      <c r="F669" s="41"/>
      <c r="G669" s="41"/>
      <c r="H669" s="41"/>
      <c r="I669" s="41"/>
      <c r="J669" s="41"/>
      <c r="K669" s="41"/>
      <c r="L669" s="41"/>
      <c r="M669" s="41"/>
      <c r="N669" s="41"/>
      <c r="O669" s="41"/>
      <c r="P669" s="41"/>
    </row>
    <row r="670" spans="1:16" x14ac:dyDescent="0.2">
      <c r="A670" s="49" t="str">
        <v>0:00</v>
      </c>
      <c r="B670" s="108"/>
      <c r="C670" s="41"/>
      <c r="D670" s="41"/>
      <c r="E670" s="41"/>
      <c r="F670" s="41"/>
      <c r="G670" s="41"/>
      <c r="H670" s="41"/>
      <c r="I670" s="41"/>
      <c r="J670" s="41"/>
      <c r="K670" s="41"/>
      <c r="L670" s="41"/>
      <c r="M670" s="41"/>
      <c r="N670" s="41"/>
      <c r="O670" s="41"/>
      <c r="P670" s="41"/>
    </row>
    <row r="671" spans="1:16" x14ac:dyDescent="0.2">
      <c r="A671" s="49" t="str">
        <v>0:00</v>
      </c>
      <c r="B671" s="108"/>
      <c r="C671" s="41"/>
      <c r="D671" s="41"/>
      <c r="E671" s="41"/>
      <c r="F671" s="41"/>
      <c r="G671" s="41"/>
      <c r="H671" s="41"/>
      <c r="I671" s="41"/>
      <c r="J671" s="41"/>
      <c r="K671" s="41"/>
      <c r="L671" s="41"/>
      <c r="M671" s="41"/>
      <c r="N671" s="41"/>
      <c r="O671" s="41"/>
      <c r="P671" s="41"/>
    </row>
    <row r="672" spans="1:16" x14ac:dyDescent="0.2">
      <c r="A672" s="49" t="str">
        <v>0:00</v>
      </c>
      <c r="B672" s="108"/>
      <c r="C672" s="41"/>
      <c r="D672" s="41"/>
      <c r="E672" s="41"/>
      <c r="F672" s="41"/>
      <c r="G672" s="41"/>
      <c r="H672" s="41"/>
      <c r="I672" s="41"/>
      <c r="J672" s="41"/>
      <c r="K672" s="41"/>
      <c r="L672" s="41"/>
      <c r="M672" s="41"/>
      <c r="N672" s="41"/>
      <c r="O672" s="41"/>
      <c r="P672" s="41"/>
    </row>
    <row r="673" spans="1:16" x14ac:dyDescent="0.2">
      <c r="A673" s="49" t="str">
        <v>0:00</v>
      </c>
      <c r="B673" s="108"/>
      <c r="C673" s="41"/>
      <c r="D673" s="41"/>
      <c r="E673" s="41"/>
      <c r="F673" s="41"/>
      <c r="G673" s="41"/>
      <c r="H673" s="41"/>
      <c r="I673" s="41"/>
      <c r="J673" s="41"/>
      <c r="K673" s="41"/>
      <c r="L673" s="41"/>
      <c r="M673" s="41"/>
      <c r="N673" s="41"/>
      <c r="O673" s="41"/>
      <c r="P673" s="41"/>
    </row>
    <row r="674" spans="1:16" x14ac:dyDescent="0.2">
      <c r="A674" s="49" t="str">
        <v>0:00</v>
      </c>
      <c r="B674" s="108"/>
      <c r="C674" s="41"/>
      <c r="D674" s="41"/>
      <c r="E674" s="41"/>
      <c r="F674" s="41"/>
      <c r="G674" s="41"/>
      <c r="H674" s="41"/>
      <c r="I674" s="41"/>
      <c r="J674" s="41"/>
      <c r="K674" s="41"/>
      <c r="L674" s="41"/>
      <c r="M674" s="41"/>
      <c r="N674" s="41"/>
      <c r="O674" s="41"/>
      <c r="P674" s="41"/>
    </row>
    <row r="675" spans="1:16" x14ac:dyDescent="0.2">
      <c r="A675" s="49" t="str">
        <v>0:00</v>
      </c>
      <c r="B675" s="108"/>
      <c r="C675" s="41"/>
      <c r="D675" s="41"/>
      <c r="E675" s="41"/>
      <c r="F675" s="41"/>
      <c r="G675" s="41"/>
      <c r="H675" s="41"/>
      <c r="I675" s="41"/>
      <c r="J675" s="41"/>
      <c r="K675" s="41"/>
      <c r="L675" s="41"/>
      <c r="M675" s="41"/>
      <c r="N675" s="41"/>
      <c r="O675" s="41"/>
      <c r="P675" s="41"/>
    </row>
    <row r="676" spans="1:16" x14ac:dyDescent="0.2">
      <c r="A676" s="49" t="str">
        <v>0:00</v>
      </c>
      <c r="B676" s="108"/>
      <c r="C676" s="41"/>
      <c r="D676" s="41"/>
      <c r="E676" s="41"/>
      <c r="F676" s="41"/>
      <c r="G676" s="41"/>
      <c r="H676" s="41"/>
      <c r="I676" s="41"/>
      <c r="J676" s="41"/>
      <c r="K676" s="41"/>
      <c r="L676" s="41"/>
      <c r="M676" s="41"/>
      <c r="N676" s="41"/>
      <c r="O676" s="41"/>
      <c r="P676" s="41"/>
    </row>
    <row r="677" spans="1:16" x14ac:dyDescent="0.2">
      <c r="A677" s="49" t="str">
        <v>0:00</v>
      </c>
      <c r="B677" s="108"/>
      <c r="C677" s="41"/>
      <c r="D677" s="41"/>
      <c r="E677" s="41"/>
      <c r="F677" s="41"/>
      <c r="G677" s="41"/>
      <c r="H677" s="41"/>
      <c r="I677" s="41"/>
      <c r="J677" s="41"/>
      <c r="K677" s="41"/>
      <c r="L677" s="41"/>
      <c r="M677" s="41"/>
      <c r="N677" s="41"/>
      <c r="O677" s="41"/>
      <c r="P677" s="41"/>
    </row>
    <row r="678" spans="1:16" x14ac:dyDescent="0.2">
      <c r="A678" s="49" t="str">
        <v>0:00</v>
      </c>
      <c r="B678" s="108"/>
      <c r="C678" s="41"/>
      <c r="D678" s="41"/>
      <c r="E678" s="41"/>
      <c r="F678" s="41"/>
      <c r="G678" s="41"/>
      <c r="H678" s="41"/>
      <c r="I678" s="41"/>
      <c r="J678" s="41"/>
      <c r="K678" s="41"/>
      <c r="L678" s="41"/>
      <c r="M678" s="41"/>
      <c r="N678" s="41"/>
      <c r="O678" s="41"/>
      <c r="P678" s="41"/>
    </row>
    <row r="679" spans="1:16" x14ac:dyDescent="0.2">
      <c r="A679" s="49" t="str">
        <v>0:00</v>
      </c>
      <c r="B679" s="108"/>
      <c r="C679" s="41"/>
      <c r="D679" s="41"/>
      <c r="E679" s="41"/>
      <c r="F679" s="41"/>
      <c r="G679" s="41"/>
      <c r="H679" s="41"/>
      <c r="I679" s="41"/>
      <c r="J679" s="41"/>
      <c r="K679" s="41"/>
      <c r="L679" s="41"/>
      <c r="M679" s="41"/>
      <c r="N679" s="41"/>
      <c r="O679" s="41"/>
      <c r="P679" s="41"/>
    </row>
    <row r="680" spans="1:16" x14ac:dyDescent="0.2">
      <c r="A680" s="49" t="str">
        <v>0:00</v>
      </c>
      <c r="B680" s="108"/>
      <c r="C680" s="41"/>
      <c r="D680" s="41"/>
      <c r="E680" s="41"/>
      <c r="F680" s="41"/>
      <c r="G680" s="41"/>
      <c r="H680" s="41"/>
      <c r="I680" s="41"/>
      <c r="J680" s="41"/>
      <c r="K680" s="41"/>
      <c r="L680" s="41"/>
      <c r="M680" s="41"/>
      <c r="N680" s="41"/>
      <c r="O680" s="41"/>
      <c r="P680" s="41"/>
    </row>
    <row r="681" spans="1:16" x14ac:dyDescent="0.2">
      <c r="A681" s="49" t="str">
        <v>0:00</v>
      </c>
      <c r="B681" s="108"/>
      <c r="C681" s="41"/>
      <c r="D681" s="41"/>
      <c r="E681" s="41"/>
      <c r="F681" s="41"/>
      <c r="G681" s="41"/>
      <c r="H681" s="41"/>
      <c r="I681" s="41"/>
      <c r="J681" s="41"/>
      <c r="K681" s="41"/>
      <c r="L681" s="41"/>
      <c r="M681" s="41"/>
      <c r="N681" s="41"/>
      <c r="O681" s="41"/>
      <c r="P681" s="41"/>
    </row>
    <row r="682" spans="1:16" x14ac:dyDescent="0.2">
      <c r="A682" s="49" t="str">
        <v>0:00</v>
      </c>
      <c r="B682" s="108"/>
      <c r="C682" s="41"/>
      <c r="D682" s="41"/>
      <c r="E682" s="41"/>
      <c r="F682" s="41"/>
      <c r="G682" s="41"/>
      <c r="H682" s="41"/>
      <c r="I682" s="41"/>
      <c r="J682" s="41"/>
      <c r="K682" s="41"/>
      <c r="L682" s="41"/>
      <c r="M682" s="41"/>
      <c r="N682" s="41"/>
      <c r="O682" s="41"/>
      <c r="P682" s="41"/>
    </row>
    <row r="683" spans="1:16" x14ac:dyDescent="0.2">
      <c r="A683" s="49" t="str">
        <v>0:00</v>
      </c>
      <c r="B683" s="108"/>
      <c r="C683" s="41"/>
      <c r="D683" s="41"/>
      <c r="E683" s="41"/>
      <c r="F683" s="41"/>
      <c r="G683" s="41"/>
      <c r="H683" s="41"/>
      <c r="I683" s="41"/>
      <c r="J683" s="41"/>
      <c r="K683" s="41"/>
      <c r="L683" s="41"/>
      <c r="M683" s="41"/>
      <c r="N683" s="41"/>
      <c r="O683" s="41"/>
      <c r="P683" s="41"/>
    </row>
    <row r="684" spans="1:16" x14ac:dyDescent="0.2">
      <c r="A684" s="49" t="str">
        <v>0:00</v>
      </c>
      <c r="B684" s="108"/>
      <c r="C684" s="41"/>
      <c r="D684" s="41"/>
      <c r="E684" s="41"/>
      <c r="F684" s="41"/>
      <c r="G684" s="41"/>
      <c r="H684" s="41"/>
      <c r="I684" s="41"/>
      <c r="J684" s="41"/>
      <c r="K684" s="41"/>
      <c r="L684" s="41"/>
      <c r="M684" s="41"/>
      <c r="N684" s="41"/>
      <c r="O684" s="41"/>
      <c r="P684" s="41"/>
    </row>
    <row r="685" spans="1:16" x14ac:dyDescent="0.2">
      <c r="A685" s="49" t="str">
        <v>0:00</v>
      </c>
      <c r="B685" s="108"/>
      <c r="C685" s="41"/>
      <c r="D685" s="41"/>
      <c r="E685" s="41"/>
      <c r="F685" s="41"/>
      <c r="G685" s="41"/>
      <c r="H685" s="41"/>
      <c r="I685" s="41"/>
      <c r="J685" s="41"/>
      <c r="K685" s="41"/>
      <c r="L685" s="41"/>
      <c r="M685" s="41"/>
      <c r="N685" s="41"/>
      <c r="O685" s="41"/>
      <c r="P685" s="41"/>
    </row>
    <row r="686" spans="1:16" x14ac:dyDescent="0.2">
      <c r="A686" s="49" t="str">
        <v>0:00</v>
      </c>
      <c r="B686" s="108"/>
      <c r="C686" s="41"/>
      <c r="D686" s="41"/>
      <c r="E686" s="41"/>
      <c r="F686" s="41"/>
      <c r="G686" s="41"/>
      <c r="H686" s="41"/>
      <c r="I686" s="41"/>
      <c r="J686" s="41"/>
      <c r="K686" s="41"/>
      <c r="L686" s="41"/>
      <c r="M686" s="41"/>
      <c r="N686" s="41"/>
      <c r="O686" s="41"/>
      <c r="P686" s="41"/>
    </row>
    <row r="687" spans="1:16" x14ac:dyDescent="0.2">
      <c r="A687" s="49" t="str">
        <v>0:00</v>
      </c>
      <c r="B687" s="108"/>
      <c r="C687" s="41"/>
      <c r="D687" s="41"/>
      <c r="E687" s="41"/>
      <c r="F687" s="41"/>
      <c r="G687" s="41"/>
      <c r="H687" s="41"/>
      <c r="I687" s="41"/>
      <c r="J687" s="41"/>
      <c r="K687" s="41"/>
      <c r="L687" s="41"/>
      <c r="M687" s="41"/>
      <c r="N687" s="41"/>
      <c r="O687" s="41"/>
      <c r="P687" s="41"/>
    </row>
    <row r="688" spans="1:16" x14ac:dyDescent="0.2">
      <c r="A688" s="49" t="str">
        <v>0:00</v>
      </c>
      <c r="B688" s="108"/>
      <c r="C688" s="41"/>
      <c r="D688" s="41"/>
      <c r="E688" s="41"/>
      <c r="F688" s="41"/>
      <c r="G688" s="41"/>
      <c r="H688" s="41"/>
      <c r="I688" s="41"/>
      <c r="J688" s="41"/>
      <c r="K688" s="41"/>
      <c r="L688" s="41"/>
      <c r="M688" s="41"/>
      <c r="N688" s="41"/>
      <c r="O688" s="41"/>
      <c r="P688" s="41"/>
    </row>
    <row r="689" spans="1:16" x14ac:dyDescent="0.2">
      <c r="A689" s="49" t="str">
        <v>0:00</v>
      </c>
      <c r="B689" s="108"/>
      <c r="C689" s="41"/>
      <c r="D689" s="41"/>
      <c r="E689" s="41"/>
      <c r="F689" s="41"/>
      <c r="G689" s="41"/>
      <c r="H689" s="41"/>
      <c r="I689" s="41"/>
      <c r="J689" s="41"/>
      <c r="K689" s="41"/>
      <c r="L689" s="41"/>
      <c r="M689" s="41"/>
      <c r="N689" s="41"/>
      <c r="O689" s="41"/>
      <c r="P689" s="41"/>
    </row>
    <row r="690" spans="1:16" x14ac:dyDescent="0.2">
      <c r="A690" s="49" t="str">
        <v>0:00</v>
      </c>
      <c r="B690" s="108"/>
      <c r="C690" s="41"/>
      <c r="D690" s="41"/>
      <c r="E690" s="41"/>
      <c r="F690" s="41"/>
      <c r="G690" s="41"/>
      <c r="H690" s="41"/>
      <c r="I690" s="41"/>
      <c r="J690" s="41"/>
      <c r="K690" s="41"/>
      <c r="L690" s="41"/>
      <c r="M690" s="41"/>
      <c r="N690" s="41"/>
      <c r="O690" s="41"/>
      <c r="P690" s="41"/>
    </row>
    <row r="691" spans="1:16" x14ac:dyDescent="0.2">
      <c r="A691" s="49" t="str">
        <v>0:00</v>
      </c>
      <c r="B691" s="108"/>
      <c r="C691" s="41"/>
      <c r="D691" s="41"/>
      <c r="E691" s="41"/>
      <c r="F691" s="41"/>
      <c r="G691" s="41"/>
      <c r="H691" s="41"/>
      <c r="I691" s="41"/>
      <c r="J691" s="41"/>
      <c r="K691" s="41"/>
      <c r="L691" s="41"/>
      <c r="M691" s="41"/>
      <c r="N691" s="41"/>
      <c r="O691" s="41"/>
      <c r="P691" s="41"/>
    </row>
    <row r="692" spans="1:16" x14ac:dyDescent="0.2">
      <c r="A692" s="49" t="str">
        <v>0:00</v>
      </c>
      <c r="B692" s="108"/>
      <c r="C692" s="41"/>
      <c r="D692" s="41"/>
      <c r="E692" s="41"/>
      <c r="F692" s="41"/>
      <c r="G692" s="41"/>
      <c r="H692" s="41"/>
      <c r="I692" s="41"/>
      <c r="J692" s="41"/>
      <c r="K692" s="41"/>
      <c r="L692" s="41"/>
      <c r="M692" s="41"/>
      <c r="N692" s="41"/>
      <c r="O692" s="41"/>
      <c r="P692" s="41"/>
    </row>
    <row r="693" spans="1:16" x14ac:dyDescent="0.2">
      <c r="A693" s="49" t="str">
        <v>0:00</v>
      </c>
      <c r="B693" s="108"/>
      <c r="C693" s="41"/>
      <c r="D693" s="41"/>
      <c r="E693" s="41"/>
      <c r="F693" s="41"/>
      <c r="G693" s="41"/>
      <c r="H693" s="41"/>
      <c r="I693" s="41"/>
      <c r="J693" s="41"/>
      <c r="K693" s="41"/>
      <c r="L693" s="41"/>
      <c r="M693" s="41"/>
      <c r="N693" s="41"/>
      <c r="O693" s="41"/>
      <c r="P693" s="41"/>
    </row>
    <row r="694" spans="1:16" x14ac:dyDescent="0.2">
      <c r="A694" s="49" t="str">
        <v>0:00</v>
      </c>
      <c r="B694" s="108"/>
      <c r="C694" s="41"/>
      <c r="D694" s="41"/>
      <c r="E694" s="41"/>
      <c r="F694" s="41"/>
      <c r="G694" s="41"/>
      <c r="H694" s="41"/>
      <c r="I694" s="41"/>
      <c r="J694" s="41"/>
      <c r="K694" s="41"/>
      <c r="L694" s="41"/>
      <c r="M694" s="41"/>
      <c r="N694" s="41"/>
      <c r="O694" s="41"/>
      <c r="P694" s="41"/>
    </row>
    <row r="695" spans="1:16" x14ac:dyDescent="0.2">
      <c r="A695" s="49" t="str">
        <v>0:00</v>
      </c>
      <c r="B695" s="108"/>
      <c r="C695" s="41"/>
      <c r="D695" s="41"/>
      <c r="E695" s="41"/>
      <c r="F695" s="41"/>
      <c r="G695" s="41"/>
      <c r="H695" s="41"/>
      <c r="I695" s="41"/>
      <c r="J695" s="41"/>
      <c r="K695" s="41"/>
      <c r="L695" s="41"/>
      <c r="M695" s="41"/>
      <c r="N695" s="41"/>
      <c r="O695" s="41"/>
      <c r="P695" s="41"/>
    </row>
    <row r="696" spans="1:16" x14ac:dyDescent="0.2">
      <c r="A696" s="49" t="str">
        <v>0:00</v>
      </c>
      <c r="B696" s="108"/>
      <c r="C696" s="41"/>
      <c r="D696" s="41"/>
      <c r="E696" s="41"/>
      <c r="F696" s="41"/>
      <c r="G696" s="41"/>
      <c r="H696" s="41"/>
      <c r="I696" s="41"/>
      <c r="J696" s="41"/>
      <c r="K696" s="41"/>
      <c r="L696" s="41"/>
      <c r="M696" s="41"/>
      <c r="N696" s="41"/>
      <c r="O696" s="41"/>
      <c r="P696" s="41"/>
    </row>
    <row r="697" spans="1:16" x14ac:dyDescent="0.2">
      <c r="A697" s="49" t="str">
        <v>0:00</v>
      </c>
      <c r="B697" s="108"/>
      <c r="C697" s="41"/>
      <c r="D697" s="41"/>
      <c r="E697" s="41"/>
      <c r="F697" s="41"/>
      <c r="G697" s="41"/>
      <c r="H697" s="41"/>
      <c r="I697" s="41"/>
      <c r="J697" s="41"/>
      <c r="K697" s="41"/>
      <c r="L697" s="41"/>
      <c r="M697" s="41"/>
      <c r="N697" s="41"/>
      <c r="O697" s="41"/>
      <c r="P697" s="41"/>
    </row>
    <row r="698" spans="1:16" x14ac:dyDescent="0.2">
      <c r="A698" s="49" t="str">
        <v>0:00</v>
      </c>
      <c r="B698" s="108"/>
      <c r="C698" s="41"/>
      <c r="D698" s="41"/>
      <c r="E698" s="41"/>
      <c r="F698" s="41"/>
      <c r="G698" s="41"/>
      <c r="H698" s="41"/>
      <c r="I698" s="41"/>
      <c r="J698" s="41"/>
      <c r="K698" s="41"/>
      <c r="L698" s="41"/>
      <c r="M698" s="41"/>
      <c r="N698" s="41"/>
      <c r="O698" s="41"/>
      <c r="P698" s="41"/>
    </row>
    <row r="699" spans="1:16" x14ac:dyDescent="0.2">
      <c r="A699" s="49" t="str">
        <v>0:00</v>
      </c>
      <c r="B699" s="108"/>
      <c r="C699" s="41"/>
      <c r="D699" s="41"/>
      <c r="E699" s="41"/>
      <c r="F699" s="41"/>
      <c r="G699" s="41"/>
      <c r="H699" s="41"/>
      <c r="I699" s="41"/>
      <c r="J699" s="41"/>
      <c r="K699" s="41"/>
      <c r="L699" s="41"/>
      <c r="M699" s="41"/>
      <c r="N699" s="41"/>
      <c r="O699" s="41"/>
      <c r="P699" s="41"/>
    </row>
    <row r="700" spans="1:16" x14ac:dyDescent="0.2">
      <c r="A700" s="49" t="str">
        <v>0:00</v>
      </c>
      <c r="B700" s="108"/>
      <c r="C700" s="41"/>
      <c r="D700" s="41"/>
      <c r="E700" s="41"/>
      <c r="F700" s="41"/>
      <c r="G700" s="41"/>
      <c r="H700" s="41"/>
      <c r="I700" s="41"/>
      <c r="J700" s="41"/>
      <c r="K700" s="41"/>
      <c r="L700" s="41"/>
      <c r="M700" s="41"/>
      <c r="N700" s="41"/>
      <c r="O700" s="41"/>
      <c r="P700" s="41"/>
    </row>
    <row r="701" spans="1:16" x14ac:dyDescent="0.2">
      <c r="A701" s="49" t="str">
        <v>0:00</v>
      </c>
      <c r="B701" s="108"/>
      <c r="C701" s="41"/>
      <c r="D701" s="41"/>
      <c r="E701" s="41"/>
      <c r="F701" s="41"/>
      <c r="G701" s="41"/>
      <c r="H701" s="41"/>
      <c r="I701" s="41"/>
      <c r="J701" s="41"/>
      <c r="K701" s="41"/>
      <c r="L701" s="41"/>
      <c r="M701" s="41"/>
      <c r="N701" s="41"/>
      <c r="O701" s="41"/>
      <c r="P701" s="41"/>
    </row>
    <row r="702" spans="1:16" x14ac:dyDescent="0.2">
      <c r="A702" s="49" t="str">
        <v>0:00</v>
      </c>
      <c r="B702" s="108"/>
      <c r="C702" s="41"/>
      <c r="D702" s="41"/>
      <c r="E702" s="41"/>
      <c r="F702" s="41"/>
      <c r="G702" s="41"/>
      <c r="H702" s="41"/>
      <c r="I702" s="41"/>
      <c r="J702" s="41"/>
      <c r="K702" s="41"/>
      <c r="L702" s="41"/>
      <c r="M702" s="41"/>
      <c r="N702" s="41"/>
      <c r="O702" s="41"/>
      <c r="P702" s="41"/>
    </row>
    <row r="703" spans="1:16" x14ac:dyDescent="0.2">
      <c r="A703" s="49" t="str">
        <v>0:00</v>
      </c>
      <c r="B703" s="108"/>
      <c r="C703" s="41"/>
      <c r="D703" s="41"/>
      <c r="E703" s="41"/>
      <c r="F703" s="41"/>
      <c r="G703" s="41"/>
      <c r="H703" s="41"/>
      <c r="I703" s="41"/>
      <c r="J703" s="41"/>
      <c r="K703" s="41"/>
      <c r="L703" s="41"/>
      <c r="M703" s="41"/>
      <c r="N703" s="41"/>
      <c r="O703" s="41"/>
      <c r="P703" s="41"/>
    </row>
    <row r="704" spans="1:16" x14ac:dyDescent="0.2">
      <c r="A704" s="49" t="str">
        <v>0:00</v>
      </c>
      <c r="B704" s="108"/>
      <c r="C704" s="41"/>
      <c r="D704" s="41"/>
      <c r="E704" s="41"/>
      <c r="F704" s="41"/>
      <c r="G704" s="41"/>
      <c r="H704" s="41"/>
      <c r="I704" s="41"/>
      <c r="J704" s="41"/>
      <c r="K704" s="41"/>
      <c r="L704" s="41"/>
      <c r="M704" s="41"/>
      <c r="N704" s="41"/>
      <c r="O704" s="41"/>
      <c r="P704" s="41"/>
    </row>
    <row r="705" spans="1:16" x14ac:dyDescent="0.2">
      <c r="A705" s="49" t="str">
        <v>0:00</v>
      </c>
      <c r="B705" s="108"/>
      <c r="C705" s="41"/>
      <c r="D705" s="41"/>
      <c r="E705" s="41"/>
      <c r="F705" s="41"/>
      <c r="G705" s="41"/>
      <c r="H705" s="41"/>
      <c r="I705" s="41"/>
      <c r="J705" s="41"/>
      <c r="K705" s="41"/>
      <c r="L705" s="41"/>
      <c r="M705" s="41"/>
      <c r="N705" s="41"/>
      <c r="O705" s="41"/>
      <c r="P705" s="41"/>
    </row>
    <row r="706" spans="1:16" x14ac:dyDescent="0.2">
      <c r="A706" s="49" t="str">
        <v>0:00</v>
      </c>
      <c r="B706" s="108"/>
      <c r="C706" s="41"/>
      <c r="D706" s="41"/>
      <c r="E706" s="41"/>
      <c r="F706" s="41"/>
      <c r="G706" s="41"/>
      <c r="H706" s="41"/>
      <c r="I706" s="41"/>
      <c r="J706" s="41"/>
      <c r="K706" s="41"/>
      <c r="L706" s="41"/>
      <c r="M706" s="41"/>
      <c r="N706" s="41"/>
      <c r="O706" s="41"/>
      <c r="P706" s="41"/>
    </row>
    <row r="707" spans="1:16" x14ac:dyDescent="0.2">
      <c r="A707" s="49" t="str">
        <v>0:00</v>
      </c>
      <c r="B707" s="108"/>
      <c r="C707" s="41"/>
      <c r="D707" s="41"/>
      <c r="E707" s="41"/>
      <c r="F707" s="41"/>
      <c r="G707" s="41"/>
      <c r="H707" s="41"/>
      <c r="I707" s="41"/>
      <c r="J707" s="41"/>
      <c r="K707" s="41"/>
      <c r="L707" s="41"/>
      <c r="M707" s="41"/>
      <c r="N707" s="41"/>
      <c r="O707" s="41"/>
      <c r="P707" s="41"/>
    </row>
    <row r="708" spans="1:16" x14ac:dyDescent="0.2">
      <c r="A708" s="49" t="str">
        <v>0:00</v>
      </c>
      <c r="B708" s="108"/>
      <c r="C708" s="41"/>
      <c r="D708" s="41"/>
      <c r="E708" s="41"/>
      <c r="F708" s="41"/>
      <c r="G708" s="41"/>
      <c r="H708" s="41"/>
      <c r="I708" s="41"/>
      <c r="J708" s="41"/>
      <c r="K708" s="41"/>
      <c r="L708" s="41"/>
      <c r="M708" s="41"/>
      <c r="N708" s="41"/>
      <c r="O708" s="41"/>
      <c r="P708" s="41"/>
    </row>
    <row r="709" spans="1:16" x14ac:dyDescent="0.2">
      <c r="A709" s="49" t="str">
        <v>0:00</v>
      </c>
      <c r="B709" s="108"/>
      <c r="C709" s="41"/>
      <c r="D709" s="41"/>
      <c r="E709" s="41"/>
      <c r="F709" s="41"/>
      <c r="G709" s="41"/>
      <c r="H709" s="41"/>
      <c r="I709" s="41"/>
      <c r="J709" s="41"/>
      <c r="K709" s="41"/>
      <c r="L709" s="41"/>
      <c r="M709" s="41"/>
      <c r="N709" s="41"/>
      <c r="O709" s="41"/>
      <c r="P709" s="41"/>
    </row>
    <row r="710" spans="1:16" x14ac:dyDescent="0.2">
      <c r="A710" s="49" t="str">
        <v>0:00</v>
      </c>
      <c r="B710" s="108"/>
      <c r="C710" s="41"/>
      <c r="D710" s="41"/>
      <c r="E710" s="41"/>
      <c r="F710" s="41"/>
      <c r="G710" s="41"/>
      <c r="H710" s="41"/>
      <c r="I710" s="41"/>
      <c r="J710" s="41"/>
      <c r="K710" s="41"/>
      <c r="L710" s="41"/>
      <c r="M710" s="41"/>
      <c r="N710" s="41"/>
      <c r="O710" s="41"/>
      <c r="P710" s="41"/>
    </row>
    <row r="711" spans="1:16" x14ac:dyDescent="0.2">
      <c r="A711" s="49" t="str">
        <v>0:00</v>
      </c>
      <c r="B711" s="108"/>
      <c r="C711" s="41"/>
      <c r="D711" s="41"/>
      <c r="E711" s="41"/>
      <c r="F711" s="41"/>
      <c r="G711" s="41"/>
      <c r="H711" s="41"/>
      <c r="I711" s="41"/>
      <c r="J711" s="41"/>
      <c r="K711" s="41"/>
      <c r="L711" s="41"/>
      <c r="M711" s="41"/>
      <c r="N711" s="41"/>
      <c r="O711" s="41"/>
      <c r="P711" s="41"/>
    </row>
    <row r="712" spans="1:16" x14ac:dyDescent="0.2">
      <c r="A712" s="49" t="str">
        <v>0:00</v>
      </c>
      <c r="B712" s="108"/>
      <c r="C712" s="41"/>
      <c r="D712" s="41"/>
      <c r="E712" s="41"/>
      <c r="F712" s="41"/>
      <c r="G712" s="41"/>
      <c r="H712" s="41"/>
      <c r="I712" s="41"/>
      <c r="J712" s="41"/>
      <c r="K712" s="41"/>
      <c r="L712" s="41"/>
      <c r="M712" s="41"/>
      <c r="N712" s="41"/>
      <c r="O712" s="41"/>
      <c r="P712" s="41"/>
    </row>
    <row r="713" spans="1:16" x14ac:dyDescent="0.2">
      <c r="A713" s="49" t="str">
        <v>0:00</v>
      </c>
      <c r="B713" s="108"/>
      <c r="C713" s="41"/>
      <c r="D713" s="41"/>
      <c r="E713" s="41"/>
      <c r="F713" s="41"/>
      <c r="G713" s="41"/>
      <c r="H713" s="41"/>
      <c r="I713" s="41"/>
      <c r="J713" s="41"/>
      <c r="K713" s="41"/>
      <c r="L713" s="41"/>
      <c r="M713" s="41"/>
      <c r="N713" s="41"/>
      <c r="O713" s="41"/>
      <c r="P713" s="41"/>
    </row>
    <row r="714" spans="1:16" x14ac:dyDescent="0.2">
      <c r="A714" s="49" t="str">
        <v>0:00</v>
      </c>
      <c r="B714" s="108"/>
      <c r="C714" s="41"/>
      <c r="D714" s="41"/>
      <c r="E714" s="41"/>
      <c r="F714" s="41"/>
      <c r="G714" s="41"/>
      <c r="H714" s="41"/>
      <c r="I714" s="41"/>
      <c r="J714" s="41"/>
      <c r="K714" s="41"/>
      <c r="L714" s="41"/>
      <c r="M714" s="41"/>
      <c r="N714" s="41"/>
      <c r="O714" s="41"/>
      <c r="P714" s="41"/>
    </row>
    <row r="715" spans="1:16" x14ac:dyDescent="0.2">
      <c r="A715" s="49" t="str">
        <v>0:00</v>
      </c>
      <c r="B715" s="108"/>
      <c r="C715" s="41"/>
      <c r="D715" s="41"/>
      <c r="E715" s="41"/>
      <c r="F715" s="41"/>
      <c r="G715" s="41"/>
      <c r="H715" s="41"/>
      <c r="I715" s="41"/>
      <c r="J715" s="41"/>
      <c r="K715" s="41"/>
      <c r="L715" s="41"/>
      <c r="M715" s="41"/>
      <c r="N715" s="41"/>
      <c r="O715" s="41"/>
      <c r="P715" s="41"/>
    </row>
    <row r="716" spans="1:16" x14ac:dyDescent="0.2">
      <c r="A716" s="49" t="str">
        <v>0:00</v>
      </c>
      <c r="B716" s="108"/>
      <c r="C716" s="41"/>
      <c r="D716" s="41"/>
      <c r="E716" s="41"/>
      <c r="F716" s="41"/>
      <c r="G716" s="41"/>
      <c r="H716" s="41"/>
      <c r="I716" s="41"/>
      <c r="J716" s="41"/>
      <c r="K716" s="41"/>
      <c r="L716" s="41"/>
      <c r="M716" s="41"/>
      <c r="N716" s="41"/>
      <c r="O716" s="41"/>
      <c r="P716" s="41"/>
    </row>
    <row r="717" spans="1:16" x14ac:dyDescent="0.2">
      <c r="A717" s="49" t="str">
        <v>0:00</v>
      </c>
      <c r="B717" s="108"/>
      <c r="C717" s="41"/>
      <c r="D717" s="41"/>
      <c r="E717" s="41"/>
      <c r="F717" s="41"/>
      <c r="G717" s="41"/>
      <c r="H717" s="41"/>
      <c r="I717" s="41"/>
      <c r="J717" s="41"/>
      <c r="K717" s="41"/>
      <c r="L717" s="41"/>
      <c r="M717" s="41"/>
      <c r="N717" s="41"/>
      <c r="O717" s="41"/>
      <c r="P717" s="41"/>
    </row>
    <row r="718" spans="1:16" x14ac:dyDescent="0.2">
      <c r="A718" s="49" t="str">
        <v>0:00</v>
      </c>
      <c r="B718" s="108"/>
      <c r="C718" s="41"/>
      <c r="D718" s="41"/>
      <c r="E718" s="41"/>
      <c r="F718" s="41"/>
      <c r="G718" s="41"/>
      <c r="H718" s="41"/>
      <c r="I718" s="41"/>
      <c r="J718" s="41"/>
      <c r="K718" s="41"/>
      <c r="L718" s="41"/>
      <c r="M718" s="41"/>
      <c r="N718" s="41"/>
      <c r="O718" s="41"/>
      <c r="P718" s="41"/>
    </row>
    <row r="719" spans="1:16" x14ac:dyDescent="0.2">
      <c r="A719" s="49" t="str">
        <v>0:00</v>
      </c>
      <c r="B719" s="108"/>
      <c r="C719" s="41"/>
      <c r="D719" s="41"/>
      <c r="E719" s="41"/>
      <c r="F719" s="41"/>
      <c r="G719" s="41"/>
      <c r="H719" s="41"/>
      <c r="I719" s="41"/>
      <c r="J719" s="41"/>
      <c r="K719" s="41"/>
      <c r="L719" s="41"/>
      <c r="M719" s="41"/>
      <c r="N719" s="41"/>
      <c r="O719" s="41"/>
      <c r="P719" s="41"/>
    </row>
    <row r="720" spans="1:16" x14ac:dyDescent="0.2">
      <c r="A720" s="49" t="str">
        <v>0:00</v>
      </c>
      <c r="B720" s="108"/>
      <c r="C720" s="41"/>
      <c r="D720" s="41"/>
      <c r="E720" s="41"/>
      <c r="F720" s="41"/>
      <c r="G720" s="41"/>
      <c r="H720" s="41"/>
      <c r="I720" s="41"/>
      <c r="J720" s="41"/>
      <c r="K720" s="41"/>
      <c r="L720" s="41"/>
      <c r="M720" s="41"/>
      <c r="N720" s="41"/>
      <c r="O720" s="41"/>
      <c r="P720" s="41"/>
    </row>
    <row r="721" spans="1:16" x14ac:dyDescent="0.2">
      <c r="A721" s="49" t="str">
        <v>0:00</v>
      </c>
      <c r="B721" s="108"/>
      <c r="C721" s="41"/>
      <c r="D721" s="41"/>
      <c r="E721" s="41"/>
      <c r="F721" s="41"/>
      <c r="G721" s="41"/>
      <c r="H721" s="41"/>
      <c r="I721" s="41"/>
      <c r="J721" s="41"/>
      <c r="K721" s="41"/>
      <c r="L721" s="41"/>
      <c r="M721" s="41"/>
      <c r="N721" s="41"/>
      <c r="O721" s="41"/>
      <c r="P721" s="41"/>
    </row>
    <row r="722" spans="1:16" x14ac:dyDescent="0.2">
      <c r="A722" s="49" t="str">
        <v>0:00</v>
      </c>
      <c r="B722" s="108"/>
      <c r="C722" s="41"/>
      <c r="D722" s="41"/>
      <c r="E722" s="41"/>
      <c r="F722" s="41"/>
      <c r="G722" s="41"/>
      <c r="H722" s="41"/>
      <c r="I722" s="41"/>
      <c r="J722" s="41"/>
      <c r="K722" s="41"/>
      <c r="L722" s="41"/>
      <c r="M722" s="41"/>
      <c r="N722" s="41"/>
      <c r="O722" s="41"/>
      <c r="P722" s="41"/>
    </row>
    <row r="723" spans="1:16" x14ac:dyDescent="0.2">
      <c r="A723" s="49" t="str">
        <v>0:00</v>
      </c>
      <c r="B723" s="108"/>
      <c r="C723" s="41"/>
      <c r="D723" s="41"/>
      <c r="E723" s="41"/>
      <c r="F723" s="41"/>
      <c r="G723" s="41"/>
      <c r="H723" s="41"/>
      <c r="I723" s="41"/>
      <c r="J723" s="41"/>
      <c r="K723" s="41"/>
      <c r="L723" s="41"/>
      <c r="M723" s="41"/>
      <c r="N723" s="41"/>
      <c r="O723" s="41"/>
      <c r="P723" s="41"/>
    </row>
    <row r="724" spans="1:16" x14ac:dyDescent="0.2">
      <c r="A724" s="49" t="str">
        <v>0:00</v>
      </c>
      <c r="B724" s="108"/>
      <c r="C724" s="41"/>
      <c r="D724" s="41"/>
      <c r="E724" s="41"/>
      <c r="F724" s="41"/>
      <c r="G724" s="41"/>
      <c r="H724" s="41"/>
      <c r="I724" s="41"/>
      <c r="J724" s="41"/>
      <c r="K724" s="41"/>
      <c r="L724" s="41"/>
      <c r="M724" s="41"/>
      <c r="N724" s="41"/>
      <c r="O724" s="41"/>
      <c r="P724" s="41"/>
    </row>
    <row r="725" spans="1:16" x14ac:dyDescent="0.2">
      <c r="A725" s="49" t="str">
        <v>0:00</v>
      </c>
      <c r="B725" s="108"/>
      <c r="C725" s="41"/>
      <c r="D725" s="41"/>
      <c r="E725" s="41"/>
      <c r="F725" s="41"/>
      <c r="G725" s="41"/>
      <c r="H725" s="41"/>
      <c r="I725" s="41"/>
      <c r="J725" s="41"/>
      <c r="K725" s="41"/>
      <c r="L725" s="41"/>
      <c r="M725" s="41"/>
      <c r="N725" s="41"/>
      <c r="O725" s="41"/>
      <c r="P725" s="41"/>
    </row>
    <row r="726" spans="1:16" x14ac:dyDescent="0.2">
      <c r="A726" s="49" t="str">
        <v>0:00</v>
      </c>
      <c r="B726" s="108"/>
      <c r="C726" s="41"/>
      <c r="D726" s="41"/>
      <c r="E726" s="41"/>
      <c r="F726" s="41"/>
      <c r="G726" s="41"/>
      <c r="H726" s="41"/>
      <c r="I726" s="41"/>
      <c r="J726" s="41"/>
      <c r="K726" s="41"/>
      <c r="L726" s="41"/>
      <c r="M726" s="41"/>
      <c r="N726" s="41"/>
      <c r="O726" s="41"/>
      <c r="P726" s="41"/>
    </row>
    <row r="727" spans="1:16" x14ac:dyDescent="0.2">
      <c r="A727" s="49" t="str">
        <v>0:00</v>
      </c>
      <c r="B727" s="108"/>
      <c r="C727" s="41"/>
      <c r="D727" s="41"/>
      <c r="E727" s="41"/>
      <c r="F727" s="41"/>
      <c r="G727" s="41"/>
      <c r="H727" s="41"/>
      <c r="I727" s="41"/>
      <c r="J727" s="41"/>
      <c r="K727" s="41"/>
      <c r="L727" s="41"/>
      <c r="M727" s="41"/>
      <c r="N727" s="41"/>
      <c r="O727" s="41"/>
      <c r="P727" s="41"/>
    </row>
    <row r="728" spans="1:16" x14ac:dyDescent="0.2">
      <c r="A728" s="49" t="str">
        <v>0:00</v>
      </c>
      <c r="B728" s="108"/>
      <c r="C728" s="41"/>
      <c r="D728" s="41"/>
      <c r="E728" s="41"/>
      <c r="F728" s="41"/>
      <c r="G728" s="41"/>
      <c r="H728" s="41"/>
      <c r="I728" s="41"/>
      <c r="J728" s="41"/>
      <c r="K728" s="41"/>
      <c r="L728" s="41"/>
      <c r="M728" s="41"/>
      <c r="N728" s="41"/>
      <c r="O728" s="41"/>
      <c r="P728" s="41"/>
    </row>
    <row r="729" spans="1:16" x14ac:dyDescent="0.2">
      <c r="A729" s="49" t="str">
        <v>0:00</v>
      </c>
      <c r="B729" s="108"/>
      <c r="C729" s="41"/>
      <c r="D729" s="41"/>
      <c r="E729" s="41"/>
      <c r="F729" s="41"/>
      <c r="G729" s="41"/>
      <c r="H729" s="41"/>
      <c r="I729" s="41"/>
      <c r="J729" s="41"/>
      <c r="K729" s="41"/>
      <c r="L729" s="41"/>
      <c r="M729" s="41"/>
      <c r="N729" s="41"/>
      <c r="O729" s="41"/>
      <c r="P729" s="41"/>
    </row>
    <row r="730" spans="1:16" x14ac:dyDescent="0.2">
      <c r="A730" s="49" t="str">
        <v>0:00</v>
      </c>
      <c r="B730" s="108"/>
      <c r="C730" s="41"/>
      <c r="D730" s="41"/>
      <c r="E730" s="41"/>
      <c r="F730" s="41"/>
      <c r="G730" s="41"/>
      <c r="H730" s="41"/>
      <c r="I730" s="41"/>
      <c r="J730" s="41"/>
      <c r="K730" s="41"/>
      <c r="L730" s="41"/>
      <c r="M730" s="41"/>
      <c r="N730" s="41"/>
      <c r="O730" s="41"/>
      <c r="P730" s="41"/>
    </row>
    <row r="731" spans="1:16" x14ac:dyDescent="0.2">
      <c r="A731" s="49" t="str">
        <v>0:00</v>
      </c>
      <c r="B731" s="108"/>
      <c r="C731" s="41"/>
      <c r="D731" s="41"/>
      <c r="E731" s="41"/>
      <c r="F731" s="41"/>
      <c r="G731" s="41"/>
      <c r="H731" s="41"/>
      <c r="I731" s="41"/>
      <c r="J731" s="41"/>
      <c r="K731" s="41"/>
      <c r="L731" s="41"/>
      <c r="M731" s="41"/>
      <c r="N731" s="41"/>
      <c r="O731" s="41"/>
      <c r="P731" s="41"/>
    </row>
    <row r="732" spans="1:16" x14ac:dyDescent="0.2">
      <c r="A732" s="49" t="str">
        <v>0:00</v>
      </c>
      <c r="B732" s="108"/>
      <c r="C732" s="41"/>
      <c r="D732" s="41"/>
      <c r="E732" s="41"/>
      <c r="F732" s="41"/>
      <c r="G732" s="41"/>
      <c r="H732" s="41"/>
      <c r="I732" s="41"/>
      <c r="J732" s="41"/>
      <c r="K732" s="41"/>
      <c r="L732" s="41"/>
      <c r="M732" s="41"/>
      <c r="N732" s="41"/>
      <c r="O732" s="41"/>
      <c r="P732" s="41"/>
    </row>
    <row r="733" spans="1:16" x14ac:dyDescent="0.2">
      <c r="A733" s="49" t="str">
        <v>0:00</v>
      </c>
      <c r="B733" s="108"/>
      <c r="C733" s="41"/>
      <c r="D733" s="41"/>
      <c r="E733" s="41"/>
      <c r="F733" s="41"/>
      <c r="G733" s="41"/>
      <c r="H733" s="41"/>
      <c r="I733" s="41"/>
      <c r="J733" s="41"/>
      <c r="K733" s="41"/>
      <c r="L733" s="41"/>
      <c r="M733" s="41"/>
      <c r="N733" s="41"/>
      <c r="O733" s="41"/>
      <c r="P733" s="41"/>
    </row>
    <row r="734" spans="1:16" x14ac:dyDescent="0.2">
      <c r="A734" s="49" t="str">
        <v>0:00</v>
      </c>
      <c r="B734" s="108"/>
      <c r="C734" s="41"/>
      <c r="D734" s="41"/>
      <c r="E734" s="41"/>
      <c r="F734" s="41"/>
      <c r="G734" s="41"/>
      <c r="H734" s="41"/>
      <c r="I734" s="41"/>
      <c r="J734" s="41"/>
      <c r="K734" s="41"/>
      <c r="L734" s="41"/>
      <c r="M734" s="41"/>
      <c r="N734" s="41"/>
      <c r="O734" s="41"/>
      <c r="P734" s="41"/>
    </row>
    <row r="735" spans="1:16" x14ac:dyDescent="0.2">
      <c r="A735" s="49" t="str">
        <v>0:00</v>
      </c>
      <c r="B735" s="108"/>
      <c r="C735" s="41"/>
      <c r="D735" s="41"/>
      <c r="E735" s="41"/>
      <c r="F735" s="41"/>
      <c r="G735" s="41"/>
      <c r="H735" s="41"/>
      <c r="I735" s="41"/>
      <c r="J735" s="41"/>
      <c r="K735" s="41"/>
      <c r="L735" s="41"/>
      <c r="M735" s="41"/>
      <c r="N735" s="41"/>
      <c r="O735" s="41"/>
      <c r="P735" s="41"/>
    </row>
    <row r="736" spans="1:16" x14ac:dyDescent="0.2">
      <c r="A736" s="49" t="str">
        <v>0:00</v>
      </c>
      <c r="B736" s="108"/>
      <c r="C736" s="41"/>
      <c r="D736" s="41"/>
      <c r="E736" s="41"/>
      <c r="F736" s="41"/>
      <c r="G736" s="41"/>
      <c r="H736" s="41"/>
      <c r="I736" s="41"/>
      <c r="J736" s="41"/>
      <c r="K736" s="41"/>
      <c r="L736" s="41"/>
      <c r="M736" s="41"/>
      <c r="N736" s="41"/>
      <c r="O736" s="41"/>
      <c r="P736" s="41"/>
    </row>
    <row r="737" spans="1:16" x14ac:dyDescent="0.2">
      <c r="A737" s="49" t="str">
        <v>0:00</v>
      </c>
      <c r="B737" s="108"/>
      <c r="C737" s="41"/>
      <c r="D737" s="41"/>
      <c r="E737" s="41"/>
      <c r="F737" s="41"/>
      <c r="G737" s="41"/>
      <c r="H737" s="41"/>
      <c r="I737" s="41"/>
      <c r="J737" s="41"/>
      <c r="K737" s="41"/>
      <c r="L737" s="41"/>
      <c r="M737" s="41"/>
      <c r="N737" s="41"/>
      <c r="O737" s="41"/>
      <c r="P737" s="41"/>
    </row>
    <row r="738" spans="1:16" x14ac:dyDescent="0.2">
      <c r="A738" s="49" t="str">
        <v>0:00</v>
      </c>
      <c r="B738" s="108"/>
      <c r="C738" s="41"/>
      <c r="D738" s="41"/>
      <c r="E738" s="41"/>
      <c r="F738" s="41"/>
      <c r="G738" s="41"/>
      <c r="H738" s="41"/>
      <c r="I738" s="41"/>
      <c r="J738" s="41"/>
      <c r="K738" s="41"/>
      <c r="L738" s="41"/>
      <c r="M738" s="41"/>
      <c r="N738" s="41"/>
      <c r="O738" s="41"/>
      <c r="P738" s="41"/>
    </row>
    <row r="739" spans="1:16" x14ac:dyDescent="0.2">
      <c r="A739" s="49" t="str">
        <v>0:00</v>
      </c>
      <c r="B739" s="108"/>
      <c r="C739" s="41"/>
      <c r="D739" s="41"/>
      <c r="E739" s="41"/>
      <c r="F739" s="41"/>
      <c r="G739" s="41"/>
      <c r="H739" s="41"/>
      <c r="I739" s="41"/>
      <c r="J739" s="41"/>
      <c r="K739" s="41"/>
      <c r="L739" s="41"/>
      <c r="M739" s="41"/>
      <c r="N739" s="41"/>
      <c r="O739" s="41"/>
      <c r="P739" s="41"/>
    </row>
    <row r="740" spans="1:16" x14ac:dyDescent="0.2">
      <c r="A740" s="49" t="str">
        <v>0:00</v>
      </c>
      <c r="B740" s="108"/>
      <c r="C740" s="41"/>
      <c r="D740" s="41"/>
      <c r="E740" s="41"/>
      <c r="F740" s="41"/>
      <c r="G740" s="41"/>
      <c r="H740" s="41"/>
      <c r="I740" s="41"/>
      <c r="J740" s="41"/>
      <c r="K740" s="41"/>
      <c r="L740" s="41"/>
      <c r="M740" s="41"/>
      <c r="N740" s="41"/>
      <c r="O740" s="41"/>
      <c r="P740" s="41"/>
    </row>
    <row r="741" spans="1:16" x14ac:dyDescent="0.2">
      <c r="A741" s="49" t="str">
        <v>0:00</v>
      </c>
      <c r="B741" s="108"/>
      <c r="C741" s="41"/>
      <c r="D741" s="41"/>
      <c r="E741" s="41"/>
      <c r="F741" s="41"/>
      <c r="G741" s="41"/>
      <c r="H741" s="41"/>
      <c r="I741" s="41"/>
      <c r="J741" s="41"/>
      <c r="K741" s="41"/>
      <c r="L741" s="41"/>
      <c r="M741" s="41"/>
      <c r="N741" s="41"/>
      <c r="O741" s="41"/>
      <c r="P741" s="41"/>
    </row>
    <row r="742" spans="1:16" x14ac:dyDescent="0.2">
      <c r="A742" s="49" t="str">
        <v>0:00</v>
      </c>
      <c r="B742" s="108"/>
      <c r="C742" s="41"/>
      <c r="D742" s="41"/>
      <c r="E742" s="41"/>
      <c r="F742" s="41"/>
      <c r="G742" s="41"/>
      <c r="H742" s="41"/>
      <c r="I742" s="41"/>
      <c r="J742" s="41"/>
      <c r="K742" s="41"/>
      <c r="L742" s="41"/>
      <c r="M742" s="41"/>
      <c r="N742" s="41"/>
      <c r="O742" s="41"/>
      <c r="P742" s="41"/>
    </row>
    <row r="743" spans="1:16" x14ac:dyDescent="0.2">
      <c r="A743" s="49" t="str">
        <v>0:00</v>
      </c>
      <c r="B743" s="108"/>
      <c r="C743" s="41"/>
      <c r="D743" s="41"/>
      <c r="E743" s="41"/>
      <c r="F743" s="41"/>
      <c r="G743" s="41"/>
      <c r="H743" s="41"/>
      <c r="I743" s="41"/>
      <c r="J743" s="41"/>
      <c r="K743" s="41"/>
      <c r="L743" s="41"/>
      <c r="M743" s="41"/>
      <c r="N743" s="41"/>
      <c r="O743" s="41"/>
      <c r="P743" s="41"/>
    </row>
    <row r="744" spans="1:16" x14ac:dyDescent="0.2">
      <c r="A744" s="49" t="str">
        <v>0:00</v>
      </c>
      <c r="B744" s="108"/>
      <c r="C744" s="41"/>
      <c r="D744" s="41"/>
      <c r="E744" s="41"/>
      <c r="F744" s="41"/>
      <c r="G744" s="41"/>
      <c r="H744" s="41"/>
      <c r="I744" s="41"/>
      <c r="J744" s="41"/>
      <c r="K744" s="41"/>
      <c r="L744" s="41"/>
      <c r="M744" s="41"/>
      <c r="N744" s="41"/>
      <c r="O744" s="41"/>
      <c r="P744" s="41"/>
    </row>
    <row r="745" spans="1:16" x14ac:dyDescent="0.2">
      <c r="A745" s="49" t="str">
        <v>0:00</v>
      </c>
      <c r="B745" s="108"/>
      <c r="C745" s="41"/>
      <c r="D745" s="41"/>
      <c r="E745" s="41"/>
      <c r="F745" s="41"/>
      <c r="G745" s="41"/>
      <c r="H745" s="41"/>
      <c r="I745" s="41"/>
      <c r="J745" s="41"/>
      <c r="K745" s="41"/>
      <c r="L745" s="41"/>
      <c r="M745" s="41"/>
      <c r="N745" s="41"/>
      <c r="O745" s="41"/>
      <c r="P745" s="41"/>
    </row>
    <row r="746" spans="1:16" x14ac:dyDescent="0.2">
      <c r="A746" s="49" t="str">
        <v>0:00</v>
      </c>
      <c r="B746" s="108"/>
      <c r="C746" s="41"/>
      <c r="D746" s="41"/>
      <c r="E746" s="41"/>
      <c r="F746" s="41"/>
      <c r="G746" s="41"/>
      <c r="H746" s="41"/>
      <c r="I746" s="41"/>
      <c r="J746" s="41"/>
      <c r="K746" s="41"/>
      <c r="L746" s="41"/>
      <c r="M746" s="41"/>
      <c r="N746" s="41"/>
      <c r="O746" s="41"/>
      <c r="P746" s="41"/>
    </row>
    <row r="747" spans="1:16" x14ac:dyDescent="0.2">
      <c r="A747" s="49" t="str">
        <v>0:00</v>
      </c>
      <c r="B747" s="108"/>
      <c r="C747" s="41"/>
      <c r="D747" s="41"/>
      <c r="E747" s="41"/>
      <c r="F747" s="41"/>
      <c r="G747" s="41"/>
      <c r="H747" s="41"/>
      <c r="I747" s="41"/>
      <c r="J747" s="41"/>
      <c r="K747" s="41"/>
      <c r="L747" s="41"/>
      <c r="M747" s="41"/>
      <c r="N747" s="41"/>
      <c r="O747" s="41"/>
      <c r="P747" s="41"/>
    </row>
    <row r="748" spans="1:16" x14ac:dyDescent="0.2">
      <c r="A748" s="49" t="str">
        <v>0:00</v>
      </c>
      <c r="B748" s="108"/>
      <c r="C748" s="41"/>
      <c r="D748" s="41"/>
      <c r="E748" s="41"/>
      <c r="F748" s="41"/>
      <c r="G748" s="41"/>
      <c r="H748" s="41"/>
      <c r="I748" s="41"/>
      <c r="J748" s="41"/>
      <c r="K748" s="41"/>
      <c r="L748" s="41"/>
      <c r="M748" s="41"/>
      <c r="N748" s="41"/>
      <c r="O748" s="41"/>
      <c r="P748" s="41"/>
    </row>
    <row r="749" spans="1:16" x14ac:dyDescent="0.2">
      <c r="A749" s="49" t="str">
        <v>0:00</v>
      </c>
      <c r="B749" s="108"/>
      <c r="C749" s="41"/>
      <c r="D749" s="41"/>
      <c r="E749" s="41"/>
      <c r="F749" s="41"/>
      <c r="G749" s="41"/>
      <c r="H749" s="41"/>
      <c r="I749" s="41"/>
      <c r="J749" s="41"/>
      <c r="K749" s="41"/>
      <c r="L749" s="41"/>
      <c r="M749" s="41"/>
      <c r="N749" s="41"/>
      <c r="O749" s="41"/>
      <c r="P749" s="41"/>
    </row>
    <row r="750" spans="1:16" x14ac:dyDescent="0.2">
      <c r="A750" s="49" t="str">
        <v>0:00</v>
      </c>
      <c r="B750" s="108"/>
      <c r="C750" s="41"/>
      <c r="D750" s="41"/>
      <c r="E750" s="41"/>
      <c r="F750" s="41"/>
      <c r="G750" s="41"/>
      <c r="H750" s="41"/>
      <c r="I750" s="41"/>
      <c r="J750" s="41"/>
      <c r="K750" s="41"/>
      <c r="L750" s="41"/>
      <c r="M750" s="41"/>
      <c r="N750" s="41"/>
      <c r="O750" s="41"/>
      <c r="P750" s="41"/>
    </row>
    <row r="751" spans="1:16" x14ac:dyDescent="0.2">
      <c r="A751" s="49" t="str">
        <v>0:00</v>
      </c>
      <c r="B751" s="108"/>
      <c r="C751" s="41"/>
      <c r="D751" s="41"/>
      <c r="E751" s="41"/>
      <c r="F751" s="41"/>
      <c r="G751" s="41"/>
      <c r="H751" s="41"/>
      <c r="I751" s="41"/>
      <c r="J751" s="41"/>
      <c r="K751" s="41"/>
      <c r="L751" s="41"/>
      <c r="M751" s="41"/>
      <c r="N751" s="41"/>
      <c r="O751" s="41"/>
      <c r="P751" s="41"/>
    </row>
    <row r="752" spans="1:16" x14ac:dyDescent="0.2">
      <c r="A752" s="49" t="str">
        <v>0:00</v>
      </c>
      <c r="B752" s="108"/>
      <c r="C752" s="41"/>
      <c r="D752" s="41"/>
      <c r="E752" s="41"/>
      <c r="F752" s="41"/>
      <c r="G752" s="41"/>
      <c r="H752" s="41"/>
      <c r="I752" s="41"/>
      <c r="J752" s="41"/>
      <c r="K752" s="41"/>
      <c r="L752" s="41"/>
      <c r="M752" s="41"/>
      <c r="N752" s="41"/>
      <c r="O752" s="41"/>
      <c r="P752" s="41"/>
    </row>
    <row r="753" spans="1:16" x14ac:dyDescent="0.2">
      <c r="A753" s="49" t="str">
        <v>0:00</v>
      </c>
      <c r="B753" s="108"/>
      <c r="C753" s="41"/>
      <c r="D753" s="41"/>
      <c r="E753" s="41"/>
      <c r="F753" s="41"/>
      <c r="G753" s="41"/>
      <c r="H753" s="41"/>
      <c r="I753" s="41"/>
      <c r="J753" s="41"/>
      <c r="K753" s="41"/>
      <c r="L753" s="41"/>
      <c r="M753" s="41"/>
      <c r="N753" s="41"/>
      <c r="O753" s="41"/>
      <c r="P753" s="41"/>
    </row>
    <row r="754" spans="1:16" x14ac:dyDescent="0.2">
      <c r="A754" s="49" t="str">
        <v>0:00</v>
      </c>
      <c r="B754" s="108"/>
      <c r="C754" s="41"/>
      <c r="D754" s="41"/>
      <c r="E754" s="41"/>
      <c r="F754" s="41"/>
      <c r="G754" s="41"/>
      <c r="H754" s="41"/>
      <c r="I754" s="41"/>
      <c r="J754" s="41"/>
      <c r="K754" s="41"/>
      <c r="L754" s="41"/>
      <c r="M754" s="41"/>
      <c r="N754" s="41"/>
      <c r="O754" s="41"/>
      <c r="P754" s="41"/>
    </row>
    <row r="755" spans="1:16" x14ac:dyDescent="0.2">
      <c r="A755" s="49" t="str">
        <v>0:00</v>
      </c>
      <c r="B755" s="108"/>
      <c r="C755" s="41"/>
      <c r="D755" s="41"/>
      <c r="E755" s="41"/>
      <c r="F755" s="41"/>
      <c r="G755" s="41"/>
      <c r="H755" s="41"/>
      <c r="I755" s="41"/>
      <c r="J755" s="41"/>
      <c r="K755" s="41"/>
      <c r="L755" s="41"/>
      <c r="M755" s="41"/>
      <c r="N755" s="41"/>
      <c r="O755" s="41"/>
      <c r="P755" s="41"/>
    </row>
    <row r="756" spans="1:16" x14ac:dyDescent="0.2">
      <c r="A756" s="49" t="str">
        <v>0:00</v>
      </c>
      <c r="B756" s="108"/>
      <c r="C756" s="41"/>
      <c r="D756" s="41"/>
      <c r="E756" s="41"/>
      <c r="F756" s="41"/>
      <c r="G756" s="41"/>
      <c r="H756" s="41"/>
      <c r="I756" s="41"/>
      <c r="J756" s="41"/>
      <c r="K756" s="41"/>
      <c r="L756" s="41"/>
      <c r="M756" s="41"/>
      <c r="N756" s="41"/>
      <c r="O756" s="41"/>
      <c r="P756" s="41"/>
    </row>
    <row r="757" spans="1:16" x14ac:dyDescent="0.2">
      <c r="A757" s="49" t="str">
        <v>0:00</v>
      </c>
      <c r="B757" s="108"/>
      <c r="C757" s="41"/>
      <c r="D757" s="41"/>
      <c r="E757" s="41"/>
      <c r="F757" s="41"/>
      <c r="G757" s="41"/>
      <c r="H757" s="41"/>
      <c r="I757" s="41"/>
      <c r="J757" s="41"/>
      <c r="K757" s="41"/>
      <c r="L757" s="41"/>
      <c r="M757" s="41"/>
      <c r="N757" s="41"/>
      <c r="O757" s="41"/>
      <c r="P757" s="41"/>
    </row>
    <row r="758" spans="1:16" x14ac:dyDescent="0.2">
      <c r="A758" s="49" t="str">
        <v>0:00</v>
      </c>
      <c r="B758" s="108"/>
      <c r="C758" s="41"/>
      <c r="D758" s="41"/>
      <c r="E758" s="41"/>
      <c r="F758" s="41"/>
      <c r="G758" s="41"/>
      <c r="H758" s="41"/>
      <c r="I758" s="41"/>
      <c r="J758" s="41"/>
      <c r="K758" s="41"/>
      <c r="L758" s="41"/>
      <c r="M758" s="41"/>
      <c r="N758" s="41"/>
      <c r="O758" s="41"/>
      <c r="P758" s="41"/>
    </row>
    <row r="759" spans="1:16" x14ac:dyDescent="0.2">
      <c r="A759" s="49" t="str">
        <v>0:00</v>
      </c>
      <c r="B759" s="108"/>
      <c r="C759" s="41"/>
      <c r="D759" s="41"/>
      <c r="E759" s="41"/>
      <c r="F759" s="41"/>
      <c r="G759" s="41"/>
      <c r="H759" s="41"/>
      <c r="I759" s="41"/>
      <c r="J759" s="41"/>
      <c r="K759" s="41"/>
      <c r="L759" s="41"/>
      <c r="M759" s="41"/>
      <c r="N759" s="41"/>
      <c r="O759" s="41"/>
      <c r="P759" s="41"/>
    </row>
    <row r="760" spans="1:16" x14ac:dyDescent="0.2">
      <c r="A760" s="49" t="str">
        <v>0:00</v>
      </c>
      <c r="B760" s="108"/>
      <c r="C760" s="41"/>
      <c r="D760" s="41"/>
      <c r="E760" s="41"/>
      <c r="F760" s="41"/>
      <c r="G760" s="41"/>
      <c r="H760" s="41"/>
      <c r="I760" s="41"/>
      <c r="J760" s="41"/>
      <c r="K760" s="41"/>
      <c r="L760" s="41"/>
      <c r="M760" s="41"/>
      <c r="N760" s="41"/>
      <c r="O760" s="41"/>
      <c r="P760" s="41"/>
    </row>
    <row r="761" spans="1:16" x14ac:dyDescent="0.2">
      <c r="A761" s="49" t="str">
        <v>0:00</v>
      </c>
      <c r="B761" s="108"/>
      <c r="C761" s="41"/>
      <c r="D761" s="41"/>
      <c r="E761" s="41"/>
      <c r="F761" s="41"/>
      <c r="G761" s="41"/>
      <c r="H761" s="41"/>
      <c r="I761" s="41"/>
      <c r="J761" s="41"/>
      <c r="K761" s="41"/>
      <c r="L761" s="41"/>
      <c r="M761" s="41"/>
      <c r="N761" s="41"/>
      <c r="O761" s="41"/>
      <c r="P761" s="41"/>
    </row>
    <row r="762" spans="1:16" x14ac:dyDescent="0.2">
      <c r="A762" s="49" t="str">
        <v>0:00</v>
      </c>
      <c r="B762" s="108"/>
      <c r="C762" s="41"/>
      <c r="D762" s="41"/>
      <c r="E762" s="41"/>
      <c r="F762" s="41"/>
      <c r="G762" s="41"/>
      <c r="H762" s="41"/>
      <c r="I762" s="41"/>
      <c r="J762" s="41"/>
      <c r="K762" s="41"/>
      <c r="L762" s="41"/>
      <c r="M762" s="41"/>
      <c r="N762" s="41"/>
      <c r="O762" s="41"/>
      <c r="P762" s="41"/>
    </row>
    <row r="763" spans="1:16" x14ac:dyDescent="0.2">
      <c r="A763" s="49" t="str">
        <v>0:00</v>
      </c>
      <c r="B763" s="108"/>
      <c r="C763" s="41"/>
      <c r="D763" s="41"/>
      <c r="E763" s="41"/>
      <c r="F763" s="41"/>
      <c r="G763" s="41"/>
      <c r="H763" s="41"/>
      <c r="I763" s="41"/>
      <c r="J763" s="41"/>
      <c r="K763" s="41"/>
      <c r="L763" s="41"/>
      <c r="M763" s="41"/>
      <c r="N763" s="41"/>
      <c r="O763" s="41"/>
      <c r="P763" s="41"/>
    </row>
    <row r="764" spans="1:16" x14ac:dyDescent="0.2">
      <c r="A764" s="49" t="str">
        <v>0:00</v>
      </c>
      <c r="B764" s="108"/>
      <c r="C764" s="41"/>
      <c r="D764" s="41"/>
      <c r="E764" s="41"/>
      <c r="F764" s="41"/>
      <c r="G764" s="41"/>
      <c r="H764" s="41"/>
      <c r="I764" s="41"/>
      <c r="J764" s="41"/>
      <c r="K764" s="41"/>
      <c r="L764" s="41"/>
      <c r="M764" s="41"/>
      <c r="N764" s="41"/>
      <c r="O764" s="41"/>
      <c r="P764" s="41"/>
    </row>
    <row r="765" spans="1:16" x14ac:dyDescent="0.2">
      <c r="A765" s="49" t="str">
        <v>0:00</v>
      </c>
      <c r="B765" s="108"/>
      <c r="C765" s="41"/>
      <c r="D765" s="41"/>
      <c r="E765" s="41"/>
      <c r="F765" s="41"/>
      <c r="G765" s="41"/>
      <c r="H765" s="41"/>
      <c r="I765" s="41"/>
      <c r="J765" s="41"/>
      <c r="K765" s="41"/>
      <c r="L765" s="41"/>
      <c r="M765" s="41"/>
      <c r="N765" s="41"/>
      <c r="O765" s="41"/>
      <c r="P765" s="41"/>
    </row>
    <row r="766" spans="1:16" x14ac:dyDescent="0.2">
      <c r="A766" s="49" t="str">
        <v>0:00</v>
      </c>
      <c r="B766" s="108"/>
      <c r="C766" s="41"/>
      <c r="D766" s="41"/>
      <c r="E766" s="41"/>
      <c r="F766" s="41"/>
      <c r="G766" s="41"/>
      <c r="H766" s="41"/>
      <c r="I766" s="41"/>
      <c r="J766" s="41"/>
      <c r="K766" s="41"/>
      <c r="L766" s="41"/>
      <c r="M766" s="41"/>
      <c r="N766" s="41"/>
      <c r="O766" s="41"/>
      <c r="P766" s="41"/>
    </row>
    <row r="767" spans="1:16" x14ac:dyDescent="0.2">
      <c r="A767" s="49" t="str">
        <v>0:00</v>
      </c>
      <c r="B767" s="108"/>
      <c r="C767" s="41"/>
      <c r="D767" s="41"/>
      <c r="E767" s="41"/>
      <c r="F767" s="41"/>
      <c r="G767" s="41"/>
      <c r="H767" s="41"/>
      <c r="I767" s="41"/>
      <c r="J767" s="41"/>
      <c r="K767" s="41"/>
      <c r="L767" s="41"/>
      <c r="M767" s="41"/>
      <c r="N767" s="41"/>
      <c r="O767" s="41"/>
      <c r="P767" s="41"/>
    </row>
    <row r="768" spans="1:16" x14ac:dyDescent="0.2">
      <c r="A768" s="49" t="str">
        <v>0:00</v>
      </c>
      <c r="B768" s="108"/>
      <c r="C768" s="41"/>
      <c r="D768" s="41"/>
      <c r="E768" s="41"/>
      <c r="F768" s="41"/>
      <c r="G768" s="41"/>
      <c r="H768" s="41"/>
      <c r="I768" s="41"/>
      <c r="J768" s="41"/>
      <c r="K768" s="41"/>
      <c r="L768" s="41"/>
      <c r="M768" s="41"/>
      <c r="N768" s="41"/>
      <c r="O768" s="41"/>
      <c r="P768" s="41"/>
    </row>
    <row r="769" spans="1:16" x14ac:dyDescent="0.2">
      <c r="A769" s="49" t="str">
        <v>0:00</v>
      </c>
      <c r="B769" s="108"/>
      <c r="C769" s="41"/>
      <c r="D769" s="41"/>
      <c r="E769" s="41"/>
      <c r="F769" s="41"/>
      <c r="G769" s="41"/>
      <c r="H769" s="41"/>
      <c r="I769" s="41"/>
      <c r="J769" s="41"/>
      <c r="K769" s="41"/>
      <c r="L769" s="41"/>
      <c r="M769" s="41"/>
      <c r="N769" s="41"/>
      <c r="O769" s="41"/>
      <c r="P769" s="41"/>
    </row>
    <row r="770" spans="1:16" x14ac:dyDescent="0.2">
      <c r="A770" s="49" t="str">
        <v>0:00</v>
      </c>
      <c r="B770" s="108"/>
      <c r="C770" s="41"/>
      <c r="D770" s="41"/>
      <c r="E770" s="41"/>
      <c r="F770" s="41"/>
      <c r="G770" s="41"/>
      <c r="H770" s="41"/>
      <c r="I770" s="41"/>
      <c r="J770" s="41"/>
      <c r="K770" s="41"/>
      <c r="L770" s="41"/>
      <c r="M770" s="41"/>
      <c r="N770" s="41"/>
      <c r="O770" s="41"/>
      <c r="P770" s="41"/>
    </row>
    <row r="771" spans="1:16" x14ac:dyDescent="0.2">
      <c r="A771" s="49" t="str">
        <v>0:00</v>
      </c>
      <c r="B771" s="108"/>
      <c r="C771" s="41"/>
      <c r="D771" s="41"/>
      <c r="E771" s="41"/>
      <c r="F771" s="41"/>
      <c r="G771" s="41"/>
      <c r="H771" s="41"/>
      <c r="I771" s="41"/>
      <c r="J771" s="41"/>
      <c r="K771" s="41"/>
      <c r="L771" s="41"/>
      <c r="M771" s="41"/>
      <c r="N771" s="41"/>
      <c r="O771" s="41"/>
      <c r="P771" s="41"/>
    </row>
    <row r="772" spans="1:16" x14ac:dyDescent="0.2">
      <c r="A772" s="49" t="str">
        <v>0:00</v>
      </c>
      <c r="B772" s="108"/>
      <c r="C772" s="41"/>
      <c r="D772" s="41"/>
      <c r="E772" s="41"/>
      <c r="F772" s="41"/>
      <c r="G772" s="41"/>
      <c r="H772" s="41"/>
      <c r="I772" s="41"/>
      <c r="J772" s="41"/>
      <c r="K772" s="41"/>
      <c r="L772" s="41"/>
      <c r="M772" s="41"/>
      <c r="N772" s="41"/>
      <c r="O772" s="41"/>
      <c r="P772" s="41"/>
    </row>
    <row r="773" spans="1:16" x14ac:dyDescent="0.2">
      <c r="A773" s="49" t="str">
        <v>0:00</v>
      </c>
      <c r="B773" s="108"/>
      <c r="C773" s="41"/>
      <c r="D773" s="41"/>
      <c r="E773" s="41"/>
      <c r="F773" s="41"/>
      <c r="G773" s="41"/>
      <c r="H773" s="41"/>
      <c r="I773" s="41"/>
      <c r="J773" s="41"/>
      <c r="K773" s="41"/>
      <c r="L773" s="41"/>
      <c r="M773" s="41"/>
      <c r="N773" s="41"/>
      <c r="O773" s="41"/>
      <c r="P773" s="41"/>
    </row>
    <row r="774" spans="1:16" x14ac:dyDescent="0.2">
      <c r="A774" s="49" t="str">
        <v>0:00</v>
      </c>
      <c r="B774" s="108"/>
      <c r="C774" s="41"/>
      <c r="D774" s="41"/>
      <c r="E774" s="41"/>
      <c r="F774" s="41"/>
      <c r="G774" s="41"/>
      <c r="H774" s="41"/>
      <c r="I774" s="41"/>
      <c r="J774" s="41"/>
      <c r="K774" s="41"/>
      <c r="L774" s="41"/>
      <c r="M774" s="41"/>
      <c r="N774" s="41"/>
      <c r="O774" s="41"/>
      <c r="P774" s="41"/>
    </row>
    <row r="775" spans="1:16" x14ac:dyDescent="0.2">
      <c r="A775" s="49" t="str">
        <v>0:00</v>
      </c>
      <c r="B775" s="108"/>
      <c r="C775" s="41"/>
      <c r="D775" s="41"/>
      <c r="E775" s="41"/>
      <c r="F775" s="41"/>
      <c r="G775" s="41"/>
      <c r="H775" s="41"/>
      <c r="I775" s="41"/>
      <c r="J775" s="41"/>
      <c r="K775" s="41"/>
      <c r="L775" s="41"/>
      <c r="M775" s="41"/>
      <c r="N775" s="41"/>
      <c r="O775" s="41"/>
      <c r="P775" s="41"/>
    </row>
    <row r="776" spans="1:16" x14ac:dyDescent="0.2">
      <c r="A776" s="49" t="str">
        <v>0:00</v>
      </c>
      <c r="B776" s="108"/>
      <c r="C776" s="41"/>
      <c r="D776" s="41"/>
      <c r="E776" s="41"/>
      <c r="F776" s="41"/>
      <c r="G776" s="41"/>
      <c r="H776" s="41"/>
      <c r="I776" s="41"/>
      <c r="J776" s="41"/>
      <c r="K776" s="41"/>
      <c r="L776" s="41"/>
      <c r="M776" s="41"/>
      <c r="N776" s="41"/>
      <c r="O776" s="41"/>
      <c r="P776" s="41"/>
    </row>
    <row r="777" spans="1:16" x14ac:dyDescent="0.2">
      <c r="A777" s="49" t="str">
        <v>0:00</v>
      </c>
      <c r="B777" s="108"/>
      <c r="C777" s="41"/>
      <c r="D777" s="41"/>
      <c r="E777" s="41"/>
      <c r="F777" s="41"/>
      <c r="G777" s="41"/>
      <c r="H777" s="41"/>
      <c r="I777" s="41"/>
      <c r="J777" s="41"/>
      <c r="K777" s="41"/>
      <c r="L777" s="41"/>
      <c r="M777" s="41"/>
      <c r="N777" s="41"/>
      <c r="O777" s="41"/>
      <c r="P777" s="41"/>
    </row>
    <row r="778" spans="1:16" x14ac:dyDescent="0.2">
      <c r="A778" s="49" t="str">
        <v>0:00</v>
      </c>
      <c r="B778" s="108"/>
      <c r="C778" s="41"/>
      <c r="D778" s="41"/>
      <c r="E778" s="41"/>
      <c r="F778" s="41"/>
      <c r="G778" s="41"/>
      <c r="H778" s="41"/>
      <c r="I778" s="41"/>
      <c r="J778" s="41"/>
      <c r="K778" s="41"/>
      <c r="L778" s="41"/>
      <c r="M778" s="41"/>
      <c r="N778" s="41"/>
      <c r="O778" s="41"/>
      <c r="P778" s="41"/>
    </row>
    <row r="779" spans="1:16" x14ac:dyDescent="0.2">
      <c r="A779" s="49" t="str">
        <v>0:00</v>
      </c>
      <c r="B779" s="108"/>
      <c r="C779" s="41"/>
      <c r="D779" s="41"/>
      <c r="E779" s="41"/>
      <c r="F779" s="41"/>
      <c r="G779" s="41"/>
      <c r="H779" s="41"/>
      <c r="I779" s="41"/>
      <c r="J779" s="41"/>
      <c r="K779" s="41"/>
      <c r="L779" s="41"/>
      <c r="M779" s="41"/>
      <c r="N779" s="41"/>
      <c r="O779" s="41"/>
      <c r="P779" s="41"/>
    </row>
    <row r="780" spans="1:16" x14ac:dyDescent="0.2">
      <c r="A780" s="49" t="str">
        <v>0:00</v>
      </c>
      <c r="B780" s="108"/>
      <c r="C780" s="41"/>
      <c r="D780" s="41"/>
      <c r="E780" s="41"/>
      <c r="F780" s="41"/>
      <c r="G780" s="41"/>
      <c r="H780" s="41"/>
      <c r="I780" s="41"/>
      <c r="J780" s="41"/>
      <c r="K780" s="41"/>
      <c r="L780" s="41"/>
      <c r="M780" s="41"/>
      <c r="N780" s="41"/>
      <c r="O780" s="41"/>
      <c r="P780" s="41"/>
    </row>
    <row r="781" spans="1:16" x14ac:dyDescent="0.2">
      <c r="A781" s="49" t="str">
        <v>0:00</v>
      </c>
      <c r="B781" s="108"/>
      <c r="C781" s="41"/>
      <c r="D781" s="41"/>
      <c r="E781" s="41"/>
      <c r="F781" s="41"/>
      <c r="G781" s="41"/>
      <c r="H781" s="41"/>
      <c r="I781" s="41"/>
      <c r="J781" s="41"/>
      <c r="K781" s="41"/>
      <c r="L781" s="41"/>
      <c r="M781" s="41"/>
      <c r="N781" s="41"/>
      <c r="O781" s="41"/>
      <c r="P781" s="41"/>
    </row>
    <row r="782" spans="1:16" x14ac:dyDescent="0.2">
      <c r="A782" s="49" t="str">
        <v>0:00</v>
      </c>
      <c r="B782" s="108"/>
      <c r="C782" s="41"/>
      <c r="D782" s="41"/>
      <c r="E782" s="41"/>
      <c r="F782" s="41"/>
      <c r="G782" s="41"/>
      <c r="H782" s="41"/>
      <c r="I782" s="41"/>
      <c r="J782" s="41"/>
      <c r="K782" s="41"/>
      <c r="L782" s="41"/>
      <c r="M782" s="41"/>
      <c r="N782" s="41"/>
      <c r="O782" s="41"/>
      <c r="P782" s="41"/>
    </row>
    <row r="783" spans="1:16" x14ac:dyDescent="0.2">
      <c r="A783" s="49" t="str">
        <v>0:00</v>
      </c>
      <c r="B783" s="108"/>
      <c r="C783" s="41"/>
      <c r="D783" s="41"/>
      <c r="E783" s="41"/>
      <c r="F783" s="41"/>
      <c r="G783" s="41"/>
      <c r="H783" s="41"/>
      <c r="I783" s="41"/>
      <c r="J783" s="41"/>
      <c r="K783" s="41"/>
      <c r="L783" s="41"/>
      <c r="M783" s="41"/>
      <c r="N783" s="41"/>
      <c r="O783" s="41"/>
      <c r="P783" s="41"/>
    </row>
    <row r="784" spans="1:16" x14ac:dyDescent="0.2">
      <c r="A784" s="49" t="str">
        <v>0:00</v>
      </c>
      <c r="B784" s="108"/>
      <c r="C784" s="41"/>
      <c r="D784" s="41"/>
      <c r="E784" s="41"/>
      <c r="F784" s="41"/>
      <c r="G784" s="41"/>
      <c r="H784" s="41"/>
      <c r="I784" s="41"/>
      <c r="J784" s="41"/>
      <c r="K784" s="41"/>
      <c r="L784" s="41"/>
      <c r="M784" s="41"/>
      <c r="N784" s="41"/>
      <c r="O784" s="41"/>
      <c r="P784" s="41"/>
    </row>
    <row r="785" spans="1:16" x14ac:dyDescent="0.2">
      <c r="A785" s="49" t="str">
        <v>0:00</v>
      </c>
      <c r="B785" s="108"/>
      <c r="C785" s="41"/>
      <c r="D785" s="41"/>
      <c r="E785" s="41"/>
      <c r="F785" s="41"/>
      <c r="G785" s="41"/>
      <c r="H785" s="41"/>
      <c r="I785" s="41"/>
      <c r="J785" s="41"/>
      <c r="K785" s="41"/>
      <c r="L785" s="41"/>
      <c r="M785" s="41"/>
      <c r="N785" s="41"/>
      <c r="O785" s="41"/>
      <c r="P785" s="41"/>
    </row>
    <row r="786" spans="1:16" x14ac:dyDescent="0.2">
      <c r="A786" s="49" t="str">
        <v>0:00</v>
      </c>
      <c r="B786" s="108"/>
      <c r="C786" s="41"/>
      <c r="D786" s="41"/>
      <c r="E786" s="41"/>
      <c r="F786" s="41"/>
      <c r="G786" s="41"/>
      <c r="H786" s="41"/>
      <c r="I786" s="41"/>
      <c r="J786" s="41"/>
      <c r="K786" s="41"/>
      <c r="L786" s="41"/>
      <c r="M786" s="41"/>
      <c r="N786" s="41"/>
      <c r="O786" s="41"/>
      <c r="P786" s="41"/>
    </row>
    <row r="787" spans="1:16" x14ac:dyDescent="0.2">
      <c r="A787" s="49" t="str">
        <v>0:00</v>
      </c>
      <c r="B787" s="108"/>
      <c r="C787" s="41"/>
      <c r="D787" s="41"/>
      <c r="E787" s="41"/>
      <c r="F787" s="41"/>
      <c r="G787" s="41"/>
      <c r="H787" s="41"/>
      <c r="I787" s="41"/>
      <c r="J787" s="41"/>
      <c r="K787" s="41"/>
      <c r="L787" s="41"/>
      <c r="M787" s="41"/>
      <c r="N787" s="41"/>
      <c r="O787" s="41"/>
      <c r="P787" s="41"/>
    </row>
    <row r="788" spans="1:16" x14ac:dyDescent="0.2">
      <c r="A788" s="49" t="str">
        <v>0:00</v>
      </c>
      <c r="B788" s="108"/>
      <c r="C788" s="41"/>
      <c r="D788" s="41"/>
      <c r="E788" s="41"/>
      <c r="F788" s="41"/>
      <c r="G788" s="41"/>
      <c r="H788" s="41"/>
      <c r="I788" s="41"/>
      <c r="J788" s="41"/>
      <c r="K788" s="41"/>
      <c r="L788" s="41"/>
      <c r="M788" s="41"/>
      <c r="N788" s="41"/>
      <c r="O788" s="41"/>
      <c r="P788" s="41"/>
    </row>
    <row r="789" spans="1:16" x14ac:dyDescent="0.2">
      <c r="A789" s="49" t="str">
        <v>0:00</v>
      </c>
      <c r="B789" s="108"/>
      <c r="C789" s="41"/>
      <c r="D789" s="41"/>
      <c r="E789" s="41"/>
      <c r="F789" s="41"/>
      <c r="G789" s="41"/>
      <c r="H789" s="41"/>
      <c r="I789" s="41"/>
      <c r="J789" s="41"/>
      <c r="K789" s="41"/>
      <c r="L789" s="41"/>
      <c r="M789" s="41"/>
      <c r="N789" s="41"/>
      <c r="O789" s="41"/>
      <c r="P789" s="41"/>
    </row>
    <row r="790" spans="1:16" x14ac:dyDescent="0.2">
      <c r="A790" s="49" t="str">
        <v>0:00</v>
      </c>
      <c r="B790" s="108"/>
      <c r="C790" s="41"/>
      <c r="D790" s="41"/>
      <c r="E790" s="41"/>
      <c r="F790" s="41"/>
      <c r="G790" s="41"/>
      <c r="H790" s="41"/>
      <c r="I790" s="41"/>
      <c r="J790" s="41"/>
      <c r="K790" s="41"/>
      <c r="L790" s="41"/>
      <c r="M790" s="41"/>
      <c r="N790" s="41"/>
      <c r="O790" s="41"/>
      <c r="P790" s="41"/>
    </row>
    <row r="791" spans="1:16" x14ac:dyDescent="0.2">
      <c r="A791" s="49" t="str">
        <v>0:00</v>
      </c>
      <c r="B791" s="108"/>
      <c r="C791" s="41"/>
      <c r="D791" s="41"/>
      <c r="E791" s="41"/>
      <c r="F791" s="41"/>
      <c r="G791" s="41"/>
      <c r="H791" s="41"/>
      <c r="I791" s="41"/>
      <c r="J791" s="41"/>
      <c r="K791" s="41"/>
      <c r="L791" s="41"/>
      <c r="M791" s="41"/>
      <c r="N791" s="41"/>
      <c r="O791" s="41"/>
      <c r="P791" s="41"/>
    </row>
    <row r="792" spans="1:16" x14ac:dyDescent="0.2">
      <c r="A792" s="49" t="str">
        <v>0:00</v>
      </c>
      <c r="B792" s="108"/>
      <c r="C792" s="41"/>
      <c r="D792" s="41"/>
      <c r="E792" s="41"/>
      <c r="F792" s="41"/>
      <c r="G792" s="41"/>
      <c r="H792" s="41"/>
      <c r="I792" s="41"/>
      <c r="J792" s="41"/>
      <c r="K792" s="41"/>
      <c r="L792" s="41"/>
      <c r="M792" s="41"/>
      <c r="N792" s="41"/>
      <c r="O792" s="41"/>
      <c r="P792" s="41"/>
    </row>
    <row r="793" spans="1:16" x14ac:dyDescent="0.2">
      <c r="A793" s="49" t="str">
        <v>0:00</v>
      </c>
      <c r="B793" s="108"/>
      <c r="C793" s="41"/>
      <c r="D793" s="41"/>
      <c r="E793" s="41"/>
      <c r="F793" s="41"/>
      <c r="G793" s="41"/>
      <c r="H793" s="41"/>
      <c r="I793" s="41"/>
      <c r="J793" s="41"/>
      <c r="K793" s="41"/>
      <c r="L793" s="41"/>
      <c r="M793" s="41"/>
      <c r="N793" s="41"/>
      <c r="O793" s="41"/>
      <c r="P793" s="41"/>
    </row>
    <row r="794" spans="1:16" x14ac:dyDescent="0.2">
      <c r="A794" s="49" t="str">
        <v>0:00</v>
      </c>
      <c r="B794" s="108"/>
      <c r="C794" s="41"/>
      <c r="D794" s="41"/>
      <c r="E794" s="41"/>
      <c r="F794" s="41"/>
      <c r="G794" s="41"/>
      <c r="H794" s="41"/>
      <c r="I794" s="41"/>
      <c r="J794" s="41"/>
      <c r="K794" s="41"/>
      <c r="L794" s="41"/>
      <c r="M794" s="41"/>
      <c r="N794" s="41"/>
      <c r="O794" s="41"/>
      <c r="P794" s="41"/>
    </row>
    <row r="795" spans="1:16" x14ac:dyDescent="0.2">
      <c r="A795" s="49" t="str">
        <v>0:00</v>
      </c>
      <c r="B795" s="108"/>
      <c r="C795" s="41"/>
      <c r="D795" s="41"/>
      <c r="E795" s="41"/>
      <c r="F795" s="41"/>
      <c r="G795" s="41"/>
      <c r="H795" s="41"/>
      <c r="I795" s="41"/>
      <c r="J795" s="41"/>
      <c r="K795" s="41"/>
      <c r="L795" s="41"/>
      <c r="M795" s="41"/>
      <c r="N795" s="41"/>
      <c r="O795" s="41"/>
      <c r="P795" s="41"/>
    </row>
    <row r="796" spans="1:16" x14ac:dyDescent="0.2">
      <c r="A796" s="49" t="str">
        <v>0:00</v>
      </c>
      <c r="B796" s="108"/>
      <c r="C796" s="41"/>
      <c r="D796" s="41"/>
      <c r="E796" s="41"/>
      <c r="F796" s="41"/>
      <c r="G796" s="41"/>
      <c r="H796" s="41"/>
      <c r="I796" s="41"/>
      <c r="J796" s="41"/>
      <c r="K796" s="41"/>
      <c r="L796" s="41"/>
      <c r="M796" s="41"/>
      <c r="N796" s="41"/>
      <c r="O796" s="41"/>
      <c r="P796" s="41"/>
    </row>
    <row r="797" spans="1:16" x14ac:dyDescent="0.2">
      <c r="A797" s="49" t="str">
        <v>0:00</v>
      </c>
      <c r="B797" s="108"/>
      <c r="C797" s="41"/>
      <c r="D797" s="41"/>
      <c r="E797" s="41"/>
      <c r="F797" s="41"/>
      <c r="G797" s="41"/>
      <c r="H797" s="41"/>
      <c r="I797" s="41"/>
      <c r="J797" s="41"/>
      <c r="K797" s="41"/>
      <c r="L797" s="41"/>
      <c r="M797" s="41"/>
      <c r="N797" s="41"/>
      <c r="O797" s="41"/>
      <c r="P797" s="41"/>
    </row>
    <row r="798" spans="1:16" x14ac:dyDescent="0.2">
      <c r="A798" s="49" t="str">
        <v>0:00</v>
      </c>
      <c r="B798" s="108"/>
      <c r="C798" s="41"/>
      <c r="D798" s="41"/>
      <c r="E798" s="41"/>
      <c r="F798" s="41"/>
      <c r="G798" s="41"/>
      <c r="H798" s="41"/>
      <c r="I798" s="41"/>
      <c r="J798" s="41"/>
      <c r="K798" s="41"/>
      <c r="L798" s="41"/>
      <c r="M798" s="41"/>
      <c r="N798" s="41"/>
      <c r="O798" s="41"/>
      <c r="P798" s="41"/>
    </row>
    <row r="799" spans="1:16" x14ac:dyDescent="0.2">
      <c r="A799" s="49" t="str">
        <v>0:00</v>
      </c>
      <c r="B799" s="108"/>
      <c r="C799" s="41"/>
      <c r="D799" s="41"/>
      <c r="E799" s="41"/>
      <c r="F799" s="41"/>
      <c r="G799" s="41"/>
      <c r="H799" s="41"/>
      <c r="I799" s="41"/>
      <c r="J799" s="41"/>
      <c r="K799" s="41"/>
      <c r="L799" s="41"/>
      <c r="M799" s="41"/>
      <c r="N799" s="41"/>
      <c r="O799" s="41"/>
      <c r="P799" s="41"/>
    </row>
    <row r="800" spans="1:16" x14ac:dyDescent="0.2">
      <c r="A800" s="49" t="str">
        <v>0:00</v>
      </c>
      <c r="B800" s="108"/>
      <c r="C800" s="41"/>
      <c r="D800" s="41"/>
      <c r="E800" s="41"/>
      <c r="F800" s="41"/>
      <c r="G800" s="41"/>
      <c r="H800" s="41"/>
      <c r="I800" s="41"/>
      <c r="J800" s="41"/>
      <c r="K800" s="41"/>
      <c r="L800" s="41"/>
      <c r="M800" s="41"/>
      <c r="N800" s="41"/>
      <c r="O800" s="41"/>
      <c r="P800" s="41"/>
    </row>
    <row r="801" spans="1:16" x14ac:dyDescent="0.2">
      <c r="A801" s="49" t="str">
        <v>0:00</v>
      </c>
      <c r="B801" s="108"/>
      <c r="C801" s="41"/>
      <c r="D801" s="41"/>
      <c r="E801" s="41"/>
      <c r="F801" s="41"/>
      <c r="G801" s="41"/>
      <c r="H801" s="41"/>
      <c r="I801" s="41"/>
      <c r="J801" s="41"/>
      <c r="K801" s="41"/>
      <c r="L801" s="41"/>
      <c r="M801" s="41"/>
      <c r="N801" s="41"/>
      <c r="O801" s="41"/>
      <c r="P801" s="41"/>
    </row>
    <row r="802" spans="1:16" x14ac:dyDescent="0.2">
      <c r="A802" s="49" t="str">
        <v>0:00</v>
      </c>
      <c r="B802" s="108"/>
      <c r="C802" s="41"/>
      <c r="D802" s="41"/>
      <c r="E802" s="41"/>
      <c r="F802" s="41"/>
      <c r="G802" s="41"/>
      <c r="H802" s="41"/>
      <c r="I802" s="41"/>
      <c r="J802" s="41"/>
      <c r="K802" s="41"/>
      <c r="L802" s="41"/>
      <c r="M802" s="41"/>
      <c r="N802" s="41"/>
      <c r="O802" s="41"/>
      <c r="P802" s="41"/>
    </row>
    <row r="803" spans="1:16" x14ac:dyDescent="0.2">
      <c r="A803" s="49" t="str">
        <v>0:00</v>
      </c>
      <c r="B803" s="108"/>
      <c r="C803" s="41"/>
      <c r="D803" s="41"/>
      <c r="E803" s="41"/>
      <c r="F803" s="41"/>
      <c r="G803" s="41"/>
      <c r="H803" s="41"/>
      <c r="I803" s="41"/>
      <c r="J803" s="41"/>
      <c r="K803" s="41"/>
      <c r="L803" s="41"/>
      <c r="M803" s="41"/>
      <c r="N803" s="41"/>
      <c r="O803" s="41"/>
      <c r="P803" s="41"/>
    </row>
    <row r="804" spans="1:16" x14ac:dyDescent="0.2">
      <c r="A804" s="49" t="str">
        <v>0:00</v>
      </c>
      <c r="B804" s="108"/>
      <c r="C804" s="41"/>
      <c r="D804" s="41"/>
      <c r="E804" s="41"/>
      <c r="F804" s="41"/>
      <c r="G804" s="41"/>
      <c r="H804" s="41"/>
      <c r="I804" s="41"/>
      <c r="J804" s="41"/>
      <c r="K804" s="41"/>
      <c r="L804" s="41"/>
      <c r="M804" s="41"/>
      <c r="N804" s="41"/>
      <c r="O804" s="41"/>
      <c r="P804" s="41"/>
    </row>
    <row r="805" spans="1:16" x14ac:dyDescent="0.2">
      <c r="A805" s="49" t="str">
        <v>0:00</v>
      </c>
      <c r="B805" s="108"/>
      <c r="C805" s="41"/>
      <c r="D805" s="41"/>
      <c r="E805" s="41"/>
      <c r="F805" s="41"/>
      <c r="G805" s="41"/>
      <c r="H805" s="41"/>
      <c r="I805" s="41"/>
      <c r="J805" s="41"/>
      <c r="K805" s="41"/>
      <c r="L805" s="41"/>
      <c r="M805" s="41"/>
      <c r="N805" s="41"/>
      <c r="O805" s="41"/>
      <c r="P805" s="41"/>
    </row>
    <row r="806" spans="1:16" x14ac:dyDescent="0.2">
      <c r="A806" s="49" t="str">
        <v>0:00</v>
      </c>
      <c r="B806" s="108"/>
      <c r="C806" s="41"/>
      <c r="D806" s="41"/>
      <c r="E806" s="41"/>
      <c r="F806" s="41"/>
      <c r="G806" s="41"/>
      <c r="H806" s="41"/>
      <c r="I806" s="41"/>
      <c r="J806" s="41"/>
      <c r="K806" s="41"/>
      <c r="L806" s="41"/>
      <c r="M806" s="41"/>
      <c r="N806" s="41"/>
      <c r="O806" s="41"/>
      <c r="P806" s="41"/>
    </row>
    <row r="807" spans="1:16" x14ac:dyDescent="0.2">
      <c r="A807" s="49" t="str">
        <v>0:00</v>
      </c>
      <c r="B807" s="108"/>
      <c r="C807" s="41"/>
      <c r="D807" s="41"/>
      <c r="E807" s="41"/>
      <c r="F807" s="41"/>
      <c r="G807" s="41"/>
      <c r="H807" s="41"/>
      <c r="I807" s="41"/>
      <c r="J807" s="41"/>
      <c r="K807" s="41"/>
      <c r="L807" s="41"/>
      <c r="M807" s="41"/>
      <c r="N807" s="41"/>
      <c r="O807" s="41"/>
      <c r="P807" s="41"/>
    </row>
    <row r="808" spans="1:16" x14ac:dyDescent="0.2">
      <c r="A808" s="49" t="str">
        <v>0:00</v>
      </c>
      <c r="B808" s="108"/>
      <c r="C808" s="41"/>
      <c r="D808" s="41"/>
      <c r="E808" s="41"/>
      <c r="F808" s="41"/>
      <c r="G808" s="41"/>
      <c r="H808" s="41"/>
      <c r="I808" s="41"/>
      <c r="J808" s="41"/>
      <c r="K808" s="41"/>
      <c r="L808" s="41"/>
      <c r="M808" s="41"/>
      <c r="N808" s="41"/>
      <c r="O808" s="41"/>
      <c r="P808" s="41"/>
    </row>
    <row r="809" spans="1:16" x14ac:dyDescent="0.2">
      <c r="A809" s="49" t="str">
        <v>0:00</v>
      </c>
      <c r="B809" s="108"/>
      <c r="C809" s="41"/>
      <c r="D809" s="41"/>
      <c r="E809" s="41"/>
      <c r="F809" s="41"/>
      <c r="G809" s="41"/>
      <c r="H809" s="41"/>
      <c r="I809" s="41"/>
      <c r="J809" s="41"/>
      <c r="K809" s="41"/>
      <c r="L809" s="41"/>
      <c r="M809" s="41"/>
      <c r="N809" s="41"/>
      <c r="O809" s="41"/>
      <c r="P809" s="41"/>
    </row>
    <row r="810" spans="1:16" x14ac:dyDescent="0.2">
      <c r="A810" s="49" t="str">
        <v>0:00</v>
      </c>
      <c r="B810" s="108"/>
      <c r="C810" s="41"/>
      <c r="D810" s="41"/>
      <c r="E810" s="41"/>
      <c r="F810" s="41"/>
      <c r="G810" s="41"/>
      <c r="H810" s="41"/>
      <c r="I810" s="41"/>
      <c r="J810" s="41"/>
      <c r="K810" s="41"/>
      <c r="L810" s="41"/>
      <c r="M810" s="41"/>
      <c r="N810" s="41"/>
      <c r="O810" s="41"/>
      <c r="P810" s="41"/>
    </row>
    <row r="811" spans="1:16" x14ac:dyDescent="0.2">
      <c r="A811" s="49" t="str">
        <v>0:00</v>
      </c>
      <c r="B811" s="108"/>
      <c r="C811" s="41"/>
      <c r="D811" s="41"/>
      <c r="E811" s="41"/>
      <c r="F811" s="41"/>
      <c r="G811" s="41"/>
      <c r="H811" s="41"/>
      <c r="I811" s="41"/>
      <c r="J811" s="41"/>
      <c r="K811" s="41"/>
      <c r="L811" s="41"/>
      <c r="M811" s="41"/>
      <c r="N811" s="41"/>
      <c r="O811" s="41"/>
      <c r="P811" s="41"/>
    </row>
    <row r="812" spans="1:16" x14ac:dyDescent="0.2">
      <c r="A812" s="49" t="str">
        <v>0:00</v>
      </c>
      <c r="B812" s="108"/>
      <c r="C812" s="41"/>
      <c r="D812" s="41"/>
      <c r="E812" s="41"/>
      <c r="F812" s="41"/>
      <c r="G812" s="41"/>
      <c r="H812" s="41"/>
      <c r="I812" s="41"/>
      <c r="J812" s="41"/>
      <c r="K812" s="41"/>
      <c r="L812" s="41"/>
      <c r="M812" s="41"/>
      <c r="N812" s="41"/>
      <c r="O812" s="41"/>
      <c r="P812" s="41"/>
    </row>
    <row r="813" spans="1:16" x14ac:dyDescent="0.2">
      <c r="A813" s="49" t="str">
        <v>0:00</v>
      </c>
      <c r="B813" s="108"/>
      <c r="C813" s="41"/>
      <c r="D813" s="41"/>
      <c r="E813" s="41"/>
      <c r="F813" s="41"/>
      <c r="G813" s="41"/>
      <c r="H813" s="41"/>
      <c r="I813" s="41"/>
      <c r="J813" s="41"/>
      <c r="K813" s="41"/>
      <c r="L813" s="41"/>
      <c r="M813" s="41"/>
      <c r="N813" s="41"/>
      <c r="O813" s="41"/>
      <c r="P813" s="41"/>
    </row>
    <row r="814" spans="1:16" x14ac:dyDescent="0.2">
      <c r="A814" s="49" t="str">
        <v>0:00</v>
      </c>
      <c r="B814" s="108"/>
      <c r="C814" s="41"/>
      <c r="D814" s="41"/>
      <c r="E814" s="41"/>
      <c r="F814" s="41"/>
      <c r="G814" s="41"/>
      <c r="H814" s="41"/>
      <c r="I814" s="41"/>
      <c r="J814" s="41"/>
      <c r="K814" s="41"/>
      <c r="L814" s="41"/>
      <c r="M814" s="41"/>
      <c r="N814" s="41"/>
      <c r="O814" s="41"/>
      <c r="P814" s="41"/>
    </row>
    <row r="815" spans="1:16" x14ac:dyDescent="0.2">
      <c r="A815" s="49" t="str">
        <v>0:00</v>
      </c>
      <c r="B815" s="108"/>
      <c r="C815" s="41"/>
      <c r="D815" s="41"/>
      <c r="E815" s="41"/>
      <c r="F815" s="41"/>
      <c r="G815" s="41"/>
      <c r="H815" s="41"/>
      <c r="I815" s="41"/>
      <c r="J815" s="41"/>
      <c r="K815" s="41"/>
      <c r="L815" s="41"/>
      <c r="M815" s="41"/>
      <c r="N815" s="41"/>
      <c r="O815" s="41"/>
      <c r="P815" s="41"/>
    </row>
    <row r="816" spans="1:16" x14ac:dyDescent="0.2">
      <c r="A816" s="49" t="str">
        <v>0:00</v>
      </c>
      <c r="B816" s="108"/>
      <c r="C816" s="41"/>
      <c r="D816" s="41"/>
      <c r="E816" s="41"/>
      <c r="F816" s="41"/>
      <c r="G816" s="41"/>
      <c r="H816" s="41"/>
      <c r="I816" s="41"/>
      <c r="J816" s="41"/>
      <c r="K816" s="41"/>
      <c r="L816" s="41"/>
      <c r="M816" s="41"/>
      <c r="N816" s="41"/>
      <c r="O816" s="41"/>
      <c r="P816" s="41"/>
    </row>
    <row r="817" spans="1:16" x14ac:dyDescent="0.2">
      <c r="A817" s="49" t="str">
        <v>0:00</v>
      </c>
      <c r="B817" s="108"/>
      <c r="C817" s="41"/>
      <c r="D817" s="41"/>
      <c r="E817" s="41"/>
      <c r="F817" s="41"/>
      <c r="G817" s="41"/>
      <c r="H817" s="41"/>
      <c r="I817" s="41"/>
      <c r="J817" s="41"/>
      <c r="K817" s="41"/>
      <c r="L817" s="41"/>
      <c r="M817" s="41"/>
      <c r="N817" s="41"/>
      <c r="O817" s="41"/>
      <c r="P817" s="41"/>
    </row>
    <row r="818" spans="1:16" x14ac:dyDescent="0.2">
      <c r="A818" s="49" t="str">
        <v>0:00</v>
      </c>
      <c r="B818" s="108"/>
      <c r="C818" s="41"/>
      <c r="D818" s="41"/>
      <c r="E818" s="41"/>
      <c r="F818" s="41"/>
      <c r="G818" s="41"/>
      <c r="H818" s="41"/>
      <c r="I818" s="41"/>
      <c r="J818" s="41"/>
      <c r="K818" s="41"/>
      <c r="L818" s="41"/>
      <c r="M818" s="41"/>
      <c r="N818" s="41"/>
      <c r="O818" s="41"/>
      <c r="P818" s="41"/>
    </row>
    <row r="819" spans="1:16" x14ac:dyDescent="0.2">
      <c r="A819" s="49" t="str">
        <v>0:00</v>
      </c>
      <c r="B819" s="108"/>
      <c r="C819" s="41"/>
      <c r="D819" s="41"/>
      <c r="E819" s="41"/>
      <c r="F819" s="41"/>
      <c r="G819" s="41"/>
      <c r="H819" s="41"/>
      <c r="I819" s="41"/>
      <c r="J819" s="41"/>
      <c r="K819" s="41"/>
      <c r="L819" s="41"/>
      <c r="M819" s="41"/>
      <c r="N819" s="41"/>
      <c r="O819" s="41"/>
      <c r="P819" s="41"/>
    </row>
    <row r="820" spans="1:16" x14ac:dyDescent="0.2">
      <c r="A820" s="49" t="str">
        <v>0:00</v>
      </c>
      <c r="B820" s="108"/>
      <c r="C820" s="41"/>
      <c r="D820" s="41"/>
      <c r="E820" s="41"/>
      <c r="F820" s="41"/>
      <c r="G820" s="41"/>
      <c r="H820" s="41"/>
      <c r="I820" s="41"/>
      <c r="J820" s="41"/>
      <c r="K820" s="41"/>
      <c r="L820" s="41"/>
      <c r="M820" s="41"/>
      <c r="N820" s="41"/>
      <c r="O820" s="41"/>
      <c r="P820" s="41"/>
    </row>
    <row r="821" spans="1:16" x14ac:dyDescent="0.2">
      <c r="A821" s="49" t="str">
        <v>0:00</v>
      </c>
      <c r="B821" s="108"/>
      <c r="C821" s="41"/>
      <c r="D821" s="41"/>
      <c r="E821" s="41"/>
      <c r="F821" s="41"/>
      <c r="G821" s="41"/>
      <c r="H821" s="41"/>
      <c r="I821" s="41"/>
      <c r="J821" s="41"/>
      <c r="K821" s="41"/>
      <c r="L821" s="41"/>
      <c r="M821" s="41"/>
      <c r="N821" s="41"/>
      <c r="O821" s="41"/>
      <c r="P821" s="41"/>
    </row>
    <row r="822" spans="1:16" x14ac:dyDescent="0.2">
      <c r="A822" s="49" t="str">
        <v>0:00</v>
      </c>
      <c r="B822" s="108"/>
      <c r="C822" s="41"/>
      <c r="D822" s="41"/>
      <c r="E822" s="41"/>
      <c r="F822" s="41"/>
      <c r="G822" s="41"/>
      <c r="H822" s="41"/>
      <c r="I822" s="41"/>
      <c r="J822" s="41"/>
      <c r="K822" s="41"/>
      <c r="L822" s="41"/>
      <c r="M822" s="41"/>
      <c r="N822" s="41"/>
      <c r="O822" s="41"/>
      <c r="P822" s="41"/>
    </row>
    <row r="823" spans="1:16" x14ac:dyDescent="0.2">
      <c r="A823" s="49" t="str">
        <v>0:00</v>
      </c>
      <c r="B823" s="108"/>
      <c r="C823" s="41"/>
      <c r="D823" s="41"/>
      <c r="E823" s="41"/>
      <c r="F823" s="41"/>
      <c r="G823" s="41"/>
      <c r="H823" s="41"/>
      <c r="I823" s="41"/>
      <c r="J823" s="41"/>
      <c r="K823" s="41"/>
      <c r="L823" s="41"/>
      <c r="M823" s="41"/>
      <c r="N823" s="41"/>
      <c r="O823" s="41"/>
      <c r="P823" s="41"/>
    </row>
    <row r="824" spans="1:16" x14ac:dyDescent="0.2">
      <c r="A824" s="49" t="str">
        <v>0:00</v>
      </c>
      <c r="B824" s="108"/>
      <c r="C824" s="41"/>
      <c r="D824" s="41"/>
      <c r="E824" s="41"/>
      <c r="F824" s="41"/>
      <c r="G824" s="41"/>
      <c r="H824" s="41"/>
      <c r="I824" s="41"/>
      <c r="J824" s="41"/>
      <c r="K824" s="41"/>
      <c r="L824" s="41"/>
      <c r="M824" s="41"/>
      <c r="N824" s="41"/>
      <c r="O824" s="41"/>
      <c r="P824" s="41"/>
    </row>
    <row r="825" spans="1:16" x14ac:dyDescent="0.2">
      <c r="A825" s="49" t="str">
        <v>0:00</v>
      </c>
      <c r="B825" s="108"/>
      <c r="C825" s="41"/>
      <c r="D825" s="41"/>
      <c r="E825" s="41"/>
      <c r="F825" s="41"/>
      <c r="G825" s="41"/>
      <c r="H825" s="41"/>
      <c r="I825" s="41"/>
      <c r="J825" s="41"/>
      <c r="K825" s="41"/>
      <c r="L825" s="41"/>
      <c r="M825" s="41"/>
      <c r="N825" s="41"/>
      <c r="O825" s="41"/>
      <c r="P825" s="41"/>
    </row>
    <row r="826" spans="1:16" x14ac:dyDescent="0.2">
      <c r="A826" s="49" t="str">
        <v>0:00</v>
      </c>
      <c r="B826" s="108"/>
      <c r="C826" s="41"/>
      <c r="D826" s="41"/>
      <c r="E826" s="41"/>
      <c r="F826" s="41"/>
      <c r="G826" s="41"/>
      <c r="H826" s="41"/>
      <c r="I826" s="41"/>
      <c r="J826" s="41"/>
      <c r="K826" s="41"/>
      <c r="L826" s="41"/>
      <c r="M826" s="41"/>
      <c r="N826" s="41"/>
      <c r="O826" s="41"/>
      <c r="P826" s="41"/>
    </row>
    <row r="827" spans="1:16" x14ac:dyDescent="0.2">
      <c r="A827" s="49" t="str">
        <v>0:00</v>
      </c>
      <c r="B827" s="108"/>
      <c r="C827" s="41"/>
      <c r="D827" s="41"/>
      <c r="E827" s="41"/>
      <c r="F827" s="41"/>
      <c r="G827" s="41"/>
      <c r="H827" s="41"/>
      <c r="I827" s="41"/>
      <c r="J827" s="41"/>
      <c r="K827" s="41"/>
      <c r="L827" s="41"/>
      <c r="M827" s="41"/>
      <c r="N827" s="41"/>
      <c r="O827" s="41"/>
      <c r="P827" s="41"/>
    </row>
    <row r="828" spans="1:16" x14ac:dyDescent="0.2">
      <c r="A828" s="49" t="str">
        <v>0:00</v>
      </c>
      <c r="B828" s="108"/>
      <c r="C828" s="41"/>
      <c r="D828" s="41"/>
      <c r="E828" s="41"/>
      <c r="F828" s="41"/>
      <c r="G828" s="41"/>
      <c r="H828" s="41"/>
      <c r="I828" s="41"/>
      <c r="J828" s="41"/>
      <c r="K828" s="41"/>
      <c r="L828" s="41"/>
      <c r="M828" s="41"/>
      <c r="N828" s="41"/>
      <c r="O828" s="41"/>
      <c r="P828" s="41"/>
    </row>
    <row r="829" spans="1:16" x14ac:dyDescent="0.2">
      <c r="A829" s="49" t="str">
        <v>0:00</v>
      </c>
      <c r="B829" s="108"/>
      <c r="C829" s="41"/>
      <c r="D829" s="41"/>
      <c r="E829" s="41"/>
      <c r="F829" s="41"/>
      <c r="G829" s="41"/>
      <c r="H829" s="41"/>
      <c r="I829" s="41"/>
      <c r="J829" s="41"/>
      <c r="K829" s="41"/>
      <c r="L829" s="41"/>
      <c r="M829" s="41"/>
      <c r="N829" s="41"/>
      <c r="O829" s="41"/>
      <c r="P829" s="41"/>
    </row>
    <row r="830" spans="1:16" x14ac:dyDescent="0.2">
      <c r="A830" s="49" t="str">
        <v>0:00</v>
      </c>
      <c r="B830" s="108"/>
      <c r="C830" s="41"/>
      <c r="D830" s="41"/>
      <c r="E830" s="41"/>
      <c r="F830" s="41"/>
      <c r="G830" s="41"/>
      <c r="H830" s="41"/>
      <c r="I830" s="41"/>
      <c r="J830" s="41"/>
      <c r="K830" s="41"/>
      <c r="L830" s="41"/>
      <c r="M830" s="41"/>
      <c r="N830" s="41"/>
      <c r="O830" s="41"/>
      <c r="P830" s="41"/>
    </row>
    <row r="831" spans="1:16" x14ac:dyDescent="0.2">
      <c r="A831" s="49" t="str">
        <v>0:00</v>
      </c>
      <c r="B831" s="108"/>
      <c r="C831" s="41"/>
      <c r="D831" s="41"/>
      <c r="E831" s="41"/>
      <c r="F831" s="41"/>
      <c r="G831" s="41"/>
      <c r="H831" s="41"/>
      <c r="I831" s="41"/>
      <c r="J831" s="41"/>
      <c r="K831" s="41"/>
      <c r="L831" s="41"/>
      <c r="M831" s="41"/>
      <c r="N831" s="41"/>
      <c r="O831" s="41"/>
      <c r="P831" s="41"/>
    </row>
    <row r="832" spans="1:16" x14ac:dyDescent="0.2">
      <c r="A832" s="49" t="str">
        <v>0:00</v>
      </c>
      <c r="B832" s="108"/>
      <c r="C832" s="41"/>
      <c r="D832" s="41"/>
      <c r="E832" s="41"/>
      <c r="F832" s="41"/>
      <c r="G832" s="41"/>
      <c r="H832" s="41"/>
      <c r="I832" s="41"/>
      <c r="J832" s="41"/>
      <c r="K832" s="41"/>
      <c r="L832" s="41"/>
      <c r="M832" s="41"/>
      <c r="N832" s="41"/>
      <c r="O832" s="41"/>
      <c r="P832" s="41"/>
    </row>
    <row r="833" spans="1:16" x14ac:dyDescent="0.2">
      <c r="A833" s="49" t="str">
        <v>0:00</v>
      </c>
      <c r="B833" s="108"/>
      <c r="C833" s="41"/>
      <c r="D833" s="41"/>
      <c r="E833" s="41"/>
      <c r="F833" s="41"/>
      <c r="G833" s="41"/>
      <c r="H833" s="41"/>
      <c r="I833" s="41"/>
      <c r="J833" s="41"/>
      <c r="K833" s="41"/>
      <c r="L833" s="41"/>
      <c r="M833" s="41"/>
      <c r="N833" s="41"/>
      <c r="O833" s="41"/>
      <c r="P833" s="41"/>
    </row>
    <row r="834" spans="1:16" x14ac:dyDescent="0.2">
      <c r="A834" s="49" t="str">
        <v>0:00</v>
      </c>
      <c r="B834" s="108"/>
      <c r="C834" s="41"/>
      <c r="D834" s="41"/>
      <c r="E834" s="41"/>
      <c r="F834" s="41"/>
      <c r="G834" s="41"/>
      <c r="H834" s="41"/>
      <c r="I834" s="41"/>
      <c r="J834" s="41"/>
      <c r="K834" s="41"/>
      <c r="L834" s="41"/>
      <c r="M834" s="41"/>
      <c r="N834" s="41"/>
      <c r="O834" s="41"/>
      <c r="P834" s="41"/>
    </row>
    <row r="835" spans="1:16" x14ac:dyDescent="0.2">
      <c r="A835" s="49" t="str">
        <v>0:00</v>
      </c>
      <c r="B835" s="108"/>
      <c r="C835" s="41"/>
      <c r="D835" s="41"/>
      <c r="E835" s="41"/>
      <c r="F835" s="41"/>
      <c r="G835" s="41"/>
      <c r="H835" s="41"/>
      <c r="I835" s="41"/>
      <c r="J835" s="41"/>
      <c r="K835" s="41"/>
      <c r="L835" s="41"/>
      <c r="M835" s="41"/>
      <c r="N835" s="41"/>
      <c r="O835" s="41"/>
      <c r="P835" s="41"/>
    </row>
    <row r="836" spans="1:16" x14ac:dyDescent="0.2">
      <c r="A836" s="49" t="str">
        <v>0:00</v>
      </c>
      <c r="B836" s="108"/>
      <c r="C836" s="41"/>
      <c r="D836" s="41"/>
      <c r="E836" s="41"/>
      <c r="F836" s="41"/>
      <c r="G836" s="41"/>
      <c r="H836" s="41"/>
      <c r="I836" s="41"/>
      <c r="J836" s="41"/>
      <c r="K836" s="41"/>
      <c r="L836" s="41"/>
      <c r="M836" s="41"/>
      <c r="N836" s="41"/>
      <c r="O836" s="41"/>
      <c r="P836" s="41"/>
    </row>
    <row r="837" spans="1:16" x14ac:dyDescent="0.2">
      <c r="A837" s="49" t="str">
        <v>0:00</v>
      </c>
      <c r="B837" s="108"/>
      <c r="C837" s="41"/>
      <c r="D837" s="41"/>
      <c r="E837" s="41"/>
      <c r="F837" s="41"/>
      <c r="G837" s="41"/>
      <c r="H837" s="41"/>
      <c r="I837" s="41"/>
      <c r="J837" s="41"/>
      <c r="K837" s="41"/>
      <c r="L837" s="41"/>
      <c r="M837" s="41"/>
      <c r="N837" s="41"/>
      <c r="O837" s="41"/>
      <c r="P837" s="41"/>
    </row>
    <row r="838" spans="1:16" x14ac:dyDescent="0.2">
      <c r="A838" s="49" t="str">
        <v>0:00</v>
      </c>
      <c r="B838" s="108"/>
      <c r="C838" s="41"/>
      <c r="D838" s="41"/>
      <c r="E838" s="41"/>
      <c r="F838" s="41"/>
      <c r="G838" s="41"/>
      <c r="H838" s="41"/>
      <c r="I838" s="41"/>
      <c r="J838" s="41"/>
      <c r="K838" s="41"/>
      <c r="L838" s="41"/>
      <c r="M838" s="41"/>
      <c r="N838" s="41"/>
      <c r="O838" s="41"/>
      <c r="P838" s="41"/>
    </row>
    <row r="839" spans="1:16" x14ac:dyDescent="0.2">
      <c r="A839" s="49" t="str">
        <v>0:00</v>
      </c>
      <c r="B839" s="108"/>
      <c r="C839" s="41"/>
      <c r="D839" s="41"/>
      <c r="E839" s="41"/>
      <c r="F839" s="41"/>
      <c r="G839" s="41"/>
      <c r="H839" s="41"/>
      <c r="I839" s="41"/>
      <c r="J839" s="41"/>
      <c r="K839" s="41"/>
      <c r="L839" s="41"/>
      <c r="M839" s="41"/>
      <c r="N839" s="41"/>
      <c r="O839" s="41"/>
      <c r="P839" s="41"/>
    </row>
    <row r="840" spans="1:16" x14ac:dyDescent="0.2">
      <c r="A840" s="49" t="str">
        <v>0:00</v>
      </c>
      <c r="B840" s="108"/>
      <c r="C840" s="41"/>
      <c r="D840" s="41"/>
      <c r="E840" s="41"/>
      <c r="F840" s="41"/>
      <c r="G840" s="41"/>
      <c r="H840" s="41"/>
      <c r="I840" s="41"/>
      <c r="J840" s="41"/>
      <c r="K840" s="41"/>
      <c r="L840" s="41"/>
      <c r="M840" s="41"/>
      <c r="N840" s="41"/>
      <c r="O840" s="41"/>
      <c r="P840" s="41"/>
    </row>
    <row r="841" spans="1:16" x14ac:dyDescent="0.2">
      <c r="A841" s="49" t="str">
        <v>0:00</v>
      </c>
      <c r="B841" s="108"/>
      <c r="C841" s="41"/>
      <c r="D841" s="41"/>
      <c r="E841" s="41"/>
      <c r="F841" s="41"/>
      <c r="G841" s="41"/>
      <c r="H841" s="41"/>
      <c r="I841" s="41"/>
      <c r="J841" s="41"/>
      <c r="K841" s="41"/>
      <c r="L841" s="41"/>
      <c r="M841" s="41"/>
      <c r="N841" s="41"/>
      <c r="O841" s="41"/>
      <c r="P841" s="41"/>
    </row>
    <row r="842" spans="1:16" x14ac:dyDescent="0.2">
      <c r="A842" s="49" t="str">
        <v>0:00</v>
      </c>
      <c r="B842" s="108"/>
      <c r="C842" s="41"/>
      <c r="D842" s="41"/>
      <c r="E842" s="41"/>
      <c r="F842" s="41"/>
      <c r="G842" s="41"/>
      <c r="H842" s="41"/>
      <c r="I842" s="41"/>
      <c r="J842" s="41"/>
      <c r="K842" s="41"/>
      <c r="L842" s="41"/>
      <c r="M842" s="41"/>
      <c r="N842" s="41"/>
      <c r="O842" s="41"/>
      <c r="P842" s="41"/>
    </row>
    <row r="843" spans="1:16" x14ac:dyDescent="0.2">
      <c r="A843" s="49" t="str">
        <v>0:00</v>
      </c>
      <c r="B843" s="108"/>
      <c r="C843" s="41"/>
      <c r="D843" s="41"/>
      <c r="E843" s="41"/>
      <c r="F843" s="41"/>
      <c r="G843" s="41"/>
      <c r="H843" s="41"/>
      <c r="I843" s="41"/>
      <c r="J843" s="41"/>
      <c r="K843" s="41"/>
      <c r="L843" s="41"/>
      <c r="M843" s="41"/>
      <c r="N843" s="41"/>
      <c r="O843" s="41"/>
      <c r="P843" s="41"/>
    </row>
    <row r="844" spans="1:16" x14ac:dyDescent="0.2">
      <c r="A844" s="49" t="str">
        <v>0:00</v>
      </c>
      <c r="B844" s="108"/>
      <c r="C844" s="41"/>
      <c r="D844" s="41"/>
      <c r="E844" s="41"/>
      <c r="F844" s="41"/>
      <c r="G844" s="41"/>
      <c r="H844" s="41"/>
      <c r="I844" s="41"/>
      <c r="J844" s="41"/>
      <c r="K844" s="41"/>
      <c r="L844" s="41"/>
      <c r="M844" s="41"/>
      <c r="N844" s="41"/>
      <c r="O844" s="41"/>
      <c r="P844" s="41"/>
    </row>
    <row r="845" spans="1:16" x14ac:dyDescent="0.2">
      <c r="A845" s="49" t="str">
        <v>0:00</v>
      </c>
      <c r="B845" s="108"/>
      <c r="C845" s="41"/>
      <c r="D845" s="41"/>
      <c r="E845" s="41"/>
      <c r="F845" s="41"/>
      <c r="G845" s="41"/>
      <c r="H845" s="41"/>
      <c r="I845" s="41"/>
      <c r="J845" s="41"/>
      <c r="K845" s="41"/>
      <c r="L845" s="41"/>
      <c r="M845" s="41"/>
      <c r="N845" s="41"/>
      <c r="O845" s="41"/>
      <c r="P845" s="41"/>
    </row>
    <row r="846" spans="1:16" x14ac:dyDescent="0.2">
      <c r="A846" s="49" t="str">
        <v>0:00</v>
      </c>
      <c r="B846" s="108"/>
      <c r="C846" s="41"/>
      <c r="D846" s="41"/>
      <c r="E846" s="41"/>
      <c r="F846" s="41"/>
      <c r="G846" s="41"/>
      <c r="H846" s="41"/>
      <c r="I846" s="41"/>
      <c r="J846" s="41"/>
      <c r="K846" s="41"/>
      <c r="L846" s="41"/>
      <c r="M846" s="41"/>
      <c r="N846" s="41"/>
      <c r="O846" s="41"/>
      <c r="P846" s="41"/>
    </row>
    <row r="847" spans="1:16" x14ac:dyDescent="0.2">
      <c r="A847" s="49" t="str">
        <v>0:00</v>
      </c>
      <c r="B847" s="108"/>
      <c r="C847" s="41"/>
      <c r="D847" s="41"/>
      <c r="E847" s="41"/>
      <c r="F847" s="41"/>
      <c r="G847" s="41"/>
      <c r="H847" s="41"/>
      <c r="I847" s="41"/>
      <c r="J847" s="41"/>
      <c r="K847" s="41"/>
      <c r="L847" s="41"/>
      <c r="M847" s="41"/>
      <c r="N847" s="41"/>
      <c r="O847" s="41"/>
      <c r="P847" s="41"/>
    </row>
    <row r="848" spans="1:16" x14ac:dyDescent="0.2">
      <c r="A848" s="49" t="str">
        <v>0:00</v>
      </c>
      <c r="B848" s="108"/>
      <c r="C848" s="41"/>
      <c r="D848" s="41"/>
      <c r="E848" s="41"/>
      <c r="F848" s="41"/>
      <c r="G848" s="41"/>
      <c r="H848" s="41"/>
      <c r="I848" s="41"/>
      <c r="J848" s="41"/>
      <c r="K848" s="41"/>
      <c r="L848" s="41"/>
      <c r="M848" s="41"/>
      <c r="N848" s="41"/>
      <c r="O848" s="41"/>
      <c r="P848" s="41"/>
    </row>
    <row r="849" spans="1:16" x14ac:dyDescent="0.2">
      <c r="A849" s="49" t="str">
        <v>0:00</v>
      </c>
      <c r="B849" s="108"/>
      <c r="C849" s="41"/>
      <c r="D849" s="41"/>
      <c r="E849" s="41"/>
      <c r="F849" s="41"/>
      <c r="G849" s="41"/>
      <c r="H849" s="41"/>
      <c r="I849" s="41"/>
      <c r="J849" s="41"/>
      <c r="K849" s="41"/>
      <c r="L849" s="41"/>
      <c r="M849" s="41"/>
      <c r="N849" s="41"/>
      <c r="O849" s="41"/>
      <c r="P849" s="41"/>
    </row>
    <row r="850" spans="1:16" x14ac:dyDescent="0.2">
      <c r="A850" s="49" t="str">
        <v>0:00</v>
      </c>
      <c r="B850" s="108"/>
      <c r="C850" s="41"/>
      <c r="D850" s="41"/>
      <c r="E850" s="41"/>
      <c r="F850" s="41"/>
      <c r="G850" s="41"/>
      <c r="H850" s="41"/>
      <c r="I850" s="41"/>
      <c r="J850" s="41"/>
      <c r="K850" s="41"/>
      <c r="L850" s="41"/>
      <c r="M850" s="41"/>
      <c r="N850" s="41"/>
      <c r="O850" s="41"/>
      <c r="P850" s="41"/>
    </row>
    <row r="851" spans="1:16" x14ac:dyDescent="0.2">
      <c r="A851" s="49" t="str">
        <v>0:00</v>
      </c>
      <c r="B851" s="108"/>
      <c r="C851" s="41"/>
      <c r="D851" s="41"/>
      <c r="E851" s="41"/>
      <c r="F851" s="41"/>
      <c r="G851" s="41"/>
      <c r="H851" s="41"/>
      <c r="I851" s="41"/>
      <c r="J851" s="41"/>
      <c r="K851" s="41"/>
      <c r="L851" s="41"/>
      <c r="M851" s="41"/>
      <c r="N851" s="41"/>
      <c r="O851" s="41"/>
      <c r="P851" s="41"/>
    </row>
    <row r="852" spans="1:16" x14ac:dyDescent="0.2">
      <c r="A852" s="49" t="str">
        <v>0:00</v>
      </c>
      <c r="B852" s="108"/>
      <c r="C852" s="41"/>
      <c r="D852" s="41"/>
      <c r="E852" s="41"/>
      <c r="F852" s="41"/>
      <c r="G852" s="41"/>
      <c r="H852" s="41"/>
      <c r="I852" s="41"/>
      <c r="J852" s="41"/>
      <c r="K852" s="41"/>
      <c r="L852" s="41"/>
      <c r="M852" s="41"/>
      <c r="N852" s="41"/>
      <c r="O852" s="41"/>
      <c r="P852" s="41"/>
    </row>
    <row r="853" spans="1:16" x14ac:dyDescent="0.2">
      <c r="A853" s="49" t="str">
        <v>0:00</v>
      </c>
      <c r="B853" s="108"/>
      <c r="C853" s="41"/>
      <c r="D853" s="41"/>
      <c r="E853" s="41"/>
      <c r="F853" s="41"/>
      <c r="G853" s="41"/>
      <c r="H853" s="41"/>
      <c r="I853" s="41"/>
      <c r="J853" s="41"/>
      <c r="K853" s="41"/>
      <c r="L853" s="41"/>
      <c r="M853" s="41"/>
      <c r="N853" s="41"/>
      <c r="O853" s="41"/>
      <c r="P853" s="41"/>
    </row>
    <row r="854" spans="1:16" x14ac:dyDescent="0.2">
      <c r="A854" s="49" t="str">
        <v>0:00</v>
      </c>
      <c r="B854" s="108"/>
      <c r="C854" s="41"/>
      <c r="D854" s="41"/>
      <c r="E854" s="41"/>
      <c r="F854" s="41"/>
      <c r="G854" s="41"/>
      <c r="H854" s="41"/>
      <c r="I854" s="41"/>
      <c r="J854" s="41"/>
      <c r="K854" s="41"/>
      <c r="L854" s="41"/>
      <c r="M854" s="41"/>
      <c r="N854" s="41"/>
      <c r="O854" s="41"/>
      <c r="P854" s="41"/>
    </row>
    <row r="855" spans="1:16" x14ac:dyDescent="0.2">
      <c r="A855" s="49" t="str">
        <v>0:00</v>
      </c>
      <c r="B855" s="108"/>
      <c r="C855" s="41"/>
      <c r="D855" s="41"/>
      <c r="E855" s="41"/>
      <c r="F855" s="41"/>
      <c r="G855" s="41"/>
      <c r="H855" s="41"/>
      <c r="I855" s="41"/>
      <c r="J855" s="41"/>
      <c r="K855" s="41"/>
      <c r="L855" s="41"/>
      <c r="M855" s="41"/>
      <c r="N855" s="41"/>
      <c r="O855" s="41"/>
      <c r="P855" s="41"/>
    </row>
    <row r="856" spans="1:16" x14ac:dyDescent="0.2">
      <c r="A856" s="49" t="str">
        <v>0:00</v>
      </c>
      <c r="B856" s="108"/>
      <c r="C856" s="41"/>
      <c r="D856" s="41"/>
      <c r="E856" s="41"/>
      <c r="F856" s="41"/>
      <c r="G856" s="41"/>
      <c r="H856" s="41"/>
      <c r="I856" s="41"/>
      <c r="J856" s="41"/>
      <c r="K856" s="41"/>
      <c r="L856" s="41"/>
      <c r="M856" s="41"/>
      <c r="N856" s="41"/>
      <c r="O856" s="41"/>
      <c r="P856" s="41"/>
    </row>
    <row r="857" spans="1:16" x14ac:dyDescent="0.2">
      <c r="A857" s="49" t="str">
        <v>0:00</v>
      </c>
      <c r="B857" s="108"/>
      <c r="C857" s="41"/>
      <c r="D857" s="41"/>
      <c r="E857" s="41"/>
      <c r="F857" s="41"/>
      <c r="G857" s="41"/>
      <c r="H857" s="41"/>
      <c r="I857" s="41"/>
      <c r="J857" s="41"/>
      <c r="K857" s="41"/>
      <c r="L857" s="41"/>
      <c r="M857" s="41"/>
      <c r="N857" s="41"/>
      <c r="O857" s="41"/>
      <c r="P857" s="41"/>
    </row>
    <row r="858" spans="1:16" x14ac:dyDescent="0.2">
      <c r="A858" s="49" t="str">
        <v>0:00</v>
      </c>
      <c r="B858" s="108"/>
      <c r="C858" s="41"/>
      <c r="D858" s="41"/>
      <c r="E858" s="41"/>
      <c r="F858" s="41"/>
      <c r="G858" s="41"/>
      <c r="H858" s="41"/>
      <c r="I858" s="41"/>
      <c r="J858" s="41"/>
      <c r="K858" s="41"/>
      <c r="L858" s="41"/>
      <c r="M858" s="41"/>
      <c r="N858" s="41"/>
      <c r="O858" s="41"/>
      <c r="P858" s="41"/>
    </row>
    <row r="859" spans="1:16" x14ac:dyDescent="0.2">
      <c r="A859" s="49" t="str">
        <v>0:00</v>
      </c>
      <c r="B859" s="108"/>
      <c r="C859" s="41"/>
      <c r="D859" s="41"/>
      <c r="E859" s="41"/>
      <c r="F859" s="41"/>
      <c r="G859" s="41"/>
      <c r="H859" s="41"/>
      <c r="I859" s="41"/>
      <c r="J859" s="41"/>
      <c r="K859" s="41"/>
      <c r="L859" s="41"/>
      <c r="M859" s="41"/>
      <c r="N859" s="41"/>
      <c r="O859" s="41"/>
      <c r="P859" s="41"/>
    </row>
    <row r="860" spans="1:16" x14ac:dyDescent="0.2">
      <c r="A860" s="49" t="str">
        <v>0:00</v>
      </c>
      <c r="B860" s="108"/>
      <c r="C860" s="41"/>
      <c r="D860" s="41"/>
      <c r="E860" s="41"/>
      <c r="F860" s="41"/>
      <c r="G860" s="41"/>
      <c r="H860" s="41"/>
      <c r="I860" s="41"/>
      <c r="J860" s="41"/>
      <c r="K860" s="41"/>
      <c r="L860" s="41"/>
      <c r="M860" s="41"/>
      <c r="N860" s="41"/>
      <c r="O860" s="41"/>
      <c r="P860" s="41"/>
    </row>
    <row r="861" spans="1:16" x14ac:dyDescent="0.2">
      <c r="A861" s="49" t="str">
        <v>0:00</v>
      </c>
      <c r="B861" s="108"/>
      <c r="C861" s="41"/>
      <c r="D861" s="41"/>
      <c r="E861" s="41"/>
      <c r="F861" s="41"/>
      <c r="G861" s="41"/>
      <c r="H861" s="41"/>
      <c r="I861" s="41"/>
      <c r="J861" s="41"/>
      <c r="K861" s="41"/>
      <c r="L861" s="41"/>
      <c r="M861" s="41"/>
      <c r="N861" s="41"/>
      <c r="O861" s="41"/>
      <c r="P861" s="41"/>
    </row>
    <row r="862" spans="1:16" x14ac:dyDescent="0.2">
      <c r="A862" s="49" t="str">
        <v>0:00</v>
      </c>
      <c r="B862" s="108"/>
      <c r="C862" s="41"/>
      <c r="D862" s="41"/>
      <c r="E862" s="41"/>
      <c r="F862" s="41"/>
      <c r="G862" s="41"/>
      <c r="H862" s="41"/>
      <c r="I862" s="41"/>
      <c r="J862" s="41"/>
      <c r="K862" s="41"/>
      <c r="L862" s="41"/>
      <c r="M862" s="41"/>
      <c r="N862" s="41"/>
      <c r="O862" s="41"/>
      <c r="P862" s="41"/>
    </row>
    <row r="863" spans="1:16" x14ac:dyDescent="0.2">
      <c r="A863" s="49" t="str">
        <v>0:00</v>
      </c>
      <c r="B863" s="108"/>
      <c r="C863" s="41"/>
      <c r="D863" s="41"/>
      <c r="E863" s="41"/>
      <c r="F863" s="41"/>
      <c r="G863" s="41"/>
      <c r="H863" s="41"/>
      <c r="I863" s="41"/>
      <c r="J863" s="41"/>
      <c r="K863" s="41"/>
      <c r="L863" s="41"/>
      <c r="M863" s="41"/>
      <c r="N863" s="41"/>
      <c r="O863" s="41"/>
      <c r="P863" s="41"/>
    </row>
    <row r="864" spans="1:16" x14ac:dyDescent="0.2">
      <c r="A864" s="49" t="str">
        <v>0:00</v>
      </c>
      <c r="B864" s="108"/>
      <c r="C864" s="41"/>
      <c r="D864" s="41"/>
      <c r="E864" s="41"/>
      <c r="F864" s="41"/>
      <c r="G864" s="41"/>
      <c r="H864" s="41"/>
      <c r="I864" s="41"/>
      <c r="J864" s="41"/>
      <c r="K864" s="41"/>
      <c r="L864" s="41"/>
      <c r="M864" s="41"/>
      <c r="N864" s="41"/>
      <c r="O864" s="41"/>
      <c r="P864" s="41"/>
    </row>
    <row r="865" spans="1:16" x14ac:dyDescent="0.2">
      <c r="A865" s="49" t="str">
        <v>0:00</v>
      </c>
      <c r="B865" s="108"/>
      <c r="C865" s="41"/>
      <c r="D865" s="41"/>
      <c r="E865" s="41"/>
      <c r="F865" s="41"/>
      <c r="G865" s="41"/>
      <c r="H865" s="41"/>
      <c r="I865" s="41"/>
      <c r="J865" s="41"/>
      <c r="K865" s="41"/>
      <c r="L865" s="41"/>
      <c r="M865" s="41"/>
      <c r="N865" s="41"/>
      <c r="O865" s="41"/>
      <c r="P865" s="41"/>
    </row>
    <row r="866" spans="1:16" x14ac:dyDescent="0.2">
      <c r="A866" s="49" t="str">
        <v>0:00</v>
      </c>
      <c r="B866" s="108"/>
      <c r="C866" s="41"/>
      <c r="D866" s="41"/>
      <c r="E866" s="41"/>
      <c r="F866" s="41"/>
      <c r="G866" s="41"/>
      <c r="H866" s="41"/>
      <c r="I866" s="41"/>
      <c r="J866" s="41"/>
      <c r="K866" s="41"/>
      <c r="L866" s="41"/>
      <c r="M866" s="41"/>
      <c r="N866" s="41"/>
      <c r="O866" s="41"/>
      <c r="P866" s="41"/>
    </row>
    <row r="867" spans="1:16" x14ac:dyDescent="0.2">
      <c r="A867" s="49" t="str">
        <v>0:00</v>
      </c>
      <c r="B867" s="108"/>
      <c r="C867" s="41"/>
      <c r="D867" s="41"/>
      <c r="E867" s="41"/>
      <c r="F867" s="41"/>
      <c r="G867" s="41"/>
      <c r="H867" s="41"/>
      <c r="I867" s="41"/>
      <c r="J867" s="41"/>
      <c r="K867" s="41"/>
      <c r="L867" s="41"/>
      <c r="M867" s="41"/>
      <c r="N867" s="41"/>
      <c r="O867" s="41"/>
      <c r="P867" s="41"/>
    </row>
    <row r="868" spans="1:16" x14ac:dyDescent="0.2">
      <c r="A868" s="49" t="str">
        <v>0:00</v>
      </c>
      <c r="B868" s="108"/>
      <c r="C868" s="41"/>
      <c r="D868" s="41"/>
      <c r="E868" s="41"/>
      <c r="F868" s="41"/>
      <c r="G868" s="41"/>
      <c r="H868" s="41"/>
      <c r="I868" s="41"/>
      <c r="J868" s="41"/>
      <c r="K868" s="41"/>
      <c r="L868" s="41"/>
      <c r="M868" s="41"/>
      <c r="N868" s="41"/>
      <c r="O868" s="41"/>
      <c r="P868" s="41"/>
    </row>
    <row r="869" spans="1:16" x14ac:dyDescent="0.2">
      <c r="A869" s="49" t="str">
        <v>0:00</v>
      </c>
      <c r="B869" s="108"/>
      <c r="C869" s="41"/>
      <c r="D869" s="41"/>
      <c r="E869" s="41"/>
      <c r="F869" s="41"/>
      <c r="G869" s="41"/>
      <c r="H869" s="41"/>
      <c r="I869" s="41"/>
      <c r="J869" s="41"/>
      <c r="K869" s="41"/>
      <c r="L869" s="41"/>
      <c r="M869" s="41"/>
      <c r="N869" s="41"/>
      <c r="O869" s="41"/>
      <c r="P869" s="41"/>
    </row>
    <row r="870" spans="1:16" x14ac:dyDescent="0.2">
      <c r="A870" s="49" t="str">
        <v>0:00</v>
      </c>
      <c r="B870" s="108"/>
      <c r="C870" s="41"/>
      <c r="D870" s="41"/>
      <c r="E870" s="41"/>
      <c r="F870" s="41"/>
      <c r="G870" s="41"/>
      <c r="H870" s="41"/>
      <c r="I870" s="41"/>
      <c r="J870" s="41"/>
      <c r="K870" s="41"/>
      <c r="L870" s="41"/>
      <c r="M870" s="41"/>
      <c r="N870" s="41"/>
      <c r="O870" s="41"/>
      <c r="P870" s="41"/>
    </row>
    <row r="871" spans="1:16" x14ac:dyDescent="0.2">
      <c r="A871" s="49" t="str">
        <v>0:00</v>
      </c>
      <c r="B871" s="108"/>
      <c r="C871" s="41"/>
      <c r="D871" s="41"/>
      <c r="E871" s="41"/>
      <c r="F871" s="41"/>
      <c r="G871" s="41"/>
      <c r="H871" s="41"/>
      <c r="I871" s="41"/>
      <c r="J871" s="41"/>
      <c r="K871" s="41"/>
      <c r="L871" s="41"/>
      <c r="M871" s="41"/>
      <c r="N871" s="41"/>
      <c r="O871" s="41"/>
      <c r="P871" s="41"/>
    </row>
    <row r="872" spans="1:16" x14ac:dyDescent="0.2">
      <c r="A872" s="49" t="str">
        <v>0:00</v>
      </c>
      <c r="B872" s="108"/>
      <c r="C872" s="41"/>
      <c r="D872" s="41"/>
      <c r="E872" s="41"/>
      <c r="F872" s="41"/>
      <c r="G872" s="41"/>
      <c r="H872" s="41"/>
      <c r="I872" s="41"/>
      <c r="J872" s="41"/>
      <c r="K872" s="41"/>
      <c r="L872" s="41"/>
      <c r="M872" s="41"/>
      <c r="N872" s="41"/>
      <c r="O872" s="41"/>
      <c r="P872" s="41"/>
    </row>
    <row r="873" spans="1:16" x14ac:dyDescent="0.2">
      <c r="A873" s="49" t="str">
        <v>0:00</v>
      </c>
      <c r="B873" s="108"/>
      <c r="C873" s="41"/>
      <c r="D873" s="41"/>
      <c r="E873" s="41"/>
      <c r="F873" s="41"/>
      <c r="G873" s="41"/>
      <c r="H873" s="41"/>
      <c r="I873" s="41"/>
      <c r="J873" s="41"/>
      <c r="K873" s="41"/>
      <c r="L873" s="41"/>
      <c r="M873" s="41"/>
      <c r="N873" s="41"/>
      <c r="O873" s="41"/>
      <c r="P873" s="41"/>
    </row>
    <row r="874" spans="1:16" x14ac:dyDescent="0.2">
      <c r="A874" s="49" t="str">
        <v>0:00</v>
      </c>
      <c r="B874" s="108"/>
      <c r="C874" s="41"/>
      <c r="D874" s="41"/>
      <c r="E874" s="41"/>
      <c r="F874" s="41"/>
      <c r="G874" s="41"/>
      <c r="H874" s="41"/>
      <c r="I874" s="41"/>
      <c r="J874" s="41"/>
      <c r="K874" s="41"/>
      <c r="L874" s="41"/>
      <c r="M874" s="41"/>
      <c r="N874" s="41"/>
      <c r="O874" s="41"/>
      <c r="P874" s="41"/>
    </row>
    <row r="875" spans="1:16" x14ac:dyDescent="0.2">
      <c r="A875" s="49" t="str">
        <v>0:00</v>
      </c>
      <c r="B875" s="108"/>
      <c r="C875" s="41"/>
      <c r="D875" s="41"/>
      <c r="E875" s="41"/>
      <c r="F875" s="41"/>
      <c r="G875" s="41"/>
      <c r="H875" s="41"/>
      <c r="I875" s="41"/>
      <c r="J875" s="41"/>
      <c r="K875" s="41"/>
      <c r="L875" s="41"/>
      <c r="M875" s="41"/>
      <c r="N875" s="41"/>
      <c r="O875" s="41"/>
      <c r="P875" s="41"/>
    </row>
    <row r="876" spans="1:16" x14ac:dyDescent="0.2">
      <c r="A876" s="49" t="str">
        <v>0:00</v>
      </c>
      <c r="B876" s="108"/>
      <c r="C876" s="41"/>
      <c r="D876" s="41"/>
      <c r="E876" s="41"/>
      <c r="F876" s="41"/>
      <c r="G876" s="41"/>
      <c r="H876" s="41"/>
      <c r="I876" s="41"/>
      <c r="J876" s="41"/>
      <c r="K876" s="41"/>
      <c r="L876" s="41"/>
      <c r="M876" s="41"/>
      <c r="N876" s="41"/>
      <c r="O876" s="41"/>
      <c r="P876" s="41"/>
    </row>
    <row r="877" spans="1:16" x14ac:dyDescent="0.2">
      <c r="A877" s="49" t="str">
        <v>0:00</v>
      </c>
      <c r="B877" s="108"/>
      <c r="C877" s="41"/>
      <c r="D877" s="41"/>
      <c r="E877" s="41"/>
      <c r="F877" s="41"/>
      <c r="G877" s="41"/>
      <c r="H877" s="41"/>
      <c r="I877" s="41"/>
      <c r="J877" s="41"/>
      <c r="K877" s="41"/>
      <c r="L877" s="41"/>
      <c r="M877" s="41"/>
      <c r="N877" s="41"/>
      <c r="O877" s="41"/>
      <c r="P877" s="41"/>
    </row>
    <row r="878" spans="1:16" x14ac:dyDescent="0.2">
      <c r="A878" s="49" t="str">
        <v>0:00</v>
      </c>
      <c r="B878" s="108"/>
      <c r="C878" s="41"/>
      <c r="D878" s="41"/>
      <c r="E878" s="41"/>
      <c r="F878" s="41"/>
      <c r="G878" s="41"/>
      <c r="H878" s="41"/>
      <c r="I878" s="41"/>
      <c r="J878" s="41"/>
      <c r="K878" s="41"/>
      <c r="L878" s="41"/>
      <c r="M878" s="41"/>
      <c r="N878" s="41"/>
      <c r="O878" s="41"/>
      <c r="P878" s="41"/>
    </row>
    <row r="879" spans="1:16" x14ac:dyDescent="0.2">
      <c r="A879" s="49" t="str">
        <v>0:00</v>
      </c>
      <c r="B879" s="108"/>
      <c r="C879" s="41"/>
      <c r="D879" s="41"/>
      <c r="E879" s="41"/>
      <c r="F879" s="41"/>
      <c r="G879" s="41"/>
      <c r="H879" s="41"/>
      <c r="I879" s="41"/>
      <c r="J879" s="41"/>
      <c r="K879" s="41"/>
      <c r="L879" s="41"/>
      <c r="M879" s="41"/>
      <c r="N879" s="41"/>
      <c r="O879" s="41"/>
      <c r="P879" s="41"/>
    </row>
    <row r="880" spans="1:16" x14ac:dyDescent="0.2">
      <c r="A880" s="49" t="str">
        <v>0:00</v>
      </c>
      <c r="B880" s="108"/>
      <c r="C880" s="41"/>
      <c r="D880" s="41"/>
      <c r="E880" s="41"/>
      <c r="F880" s="41"/>
      <c r="G880" s="41"/>
      <c r="H880" s="41"/>
      <c r="I880" s="41"/>
      <c r="J880" s="41"/>
      <c r="K880" s="41"/>
      <c r="L880" s="41"/>
      <c r="M880" s="41"/>
      <c r="N880" s="41"/>
      <c r="O880" s="41"/>
      <c r="P880" s="41"/>
    </row>
    <row r="881" spans="1:16" x14ac:dyDescent="0.2">
      <c r="A881" s="49" t="str">
        <v>0:00</v>
      </c>
      <c r="B881" s="108"/>
      <c r="C881" s="41"/>
      <c r="D881" s="41"/>
      <c r="E881" s="41"/>
      <c r="F881" s="41"/>
      <c r="G881" s="41"/>
      <c r="H881" s="41"/>
      <c r="I881" s="41"/>
      <c r="J881" s="41"/>
      <c r="K881" s="41"/>
      <c r="L881" s="41"/>
      <c r="M881" s="41"/>
      <c r="N881" s="41"/>
      <c r="O881" s="41"/>
      <c r="P881" s="41"/>
    </row>
    <row r="882" spans="1:16" x14ac:dyDescent="0.2">
      <c r="A882" s="49" t="str">
        <v>0:00</v>
      </c>
      <c r="B882" s="108"/>
      <c r="C882" s="41"/>
      <c r="D882" s="41"/>
      <c r="E882" s="41"/>
      <c r="F882" s="41"/>
      <c r="G882" s="41"/>
      <c r="H882" s="41"/>
      <c r="I882" s="41"/>
      <c r="J882" s="41"/>
      <c r="K882" s="41"/>
      <c r="L882" s="41"/>
      <c r="M882" s="41"/>
      <c r="N882" s="41"/>
      <c r="O882" s="41"/>
      <c r="P882" s="41"/>
    </row>
    <row r="883" spans="1:16" x14ac:dyDescent="0.2">
      <c r="A883" s="49" t="str">
        <v>0:00</v>
      </c>
      <c r="B883" s="108"/>
      <c r="C883" s="41"/>
      <c r="D883" s="41"/>
      <c r="E883" s="41"/>
      <c r="F883" s="41"/>
      <c r="G883" s="41"/>
      <c r="H883" s="41"/>
      <c r="I883" s="41"/>
      <c r="J883" s="41"/>
      <c r="K883" s="41"/>
      <c r="L883" s="41"/>
      <c r="M883" s="41"/>
      <c r="N883" s="41"/>
      <c r="O883" s="41"/>
      <c r="P883" s="41"/>
    </row>
    <row r="884" spans="1:16" x14ac:dyDescent="0.2">
      <c r="A884" s="49" t="str">
        <v>0:00</v>
      </c>
      <c r="B884" s="108"/>
      <c r="C884" s="41"/>
      <c r="D884" s="41"/>
      <c r="E884" s="41"/>
      <c r="F884" s="41"/>
      <c r="G884" s="41"/>
      <c r="H884" s="41"/>
      <c r="I884" s="41"/>
      <c r="J884" s="41"/>
      <c r="K884" s="41"/>
      <c r="L884" s="41"/>
      <c r="M884" s="41"/>
      <c r="N884" s="41"/>
      <c r="O884" s="41"/>
      <c r="P884" s="41"/>
    </row>
    <row r="885" spans="1:16" x14ac:dyDescent="0.2">
      <c r="A885" s="49" t="str">
        <v>0:00</v>
      </c>
      <c r="B885" s="108"/>
      <c r="C885" s="41"/>
      <c r="D885" s="41"/>
      <c r="E885" s="41"/>
      <c r="F885" s="41"/>
      <c r="G885" s="41"/>
      <c r="H885" s="41"/>
      <c r="I885" s="41"/>
      <c r="J885" s="41"/>
      <c r="K885" s="41"/>
      <c r="L885" s="41"/>
      <c r="M885" s="41"/>
      <c r="N885" s="41"/>
      <c r="O885" s="41"/>
      <c r="P885" s="41"/>
    </row>
    <row r="886" spans="1:16" x14ac:dyDescent="0.2">
      <c r="A886" s="49" t="str">
        <v>0:00</v>
      </c>
      <c r="B886" s="108"/>
      <c r="C886" s="41"/>
      <c r="D886" s="41"/>
      <c r="E886" s="41"/>
      <c r="F886" s="41"/>
      <c r="G886" s="41"/>
      <c r="H886" s="41"/>
      <c r="I886" s="41"/>
      <c r="J886" s="41"/>
      <c r="K886" s="41"/>
      <c r="L886" s="41"/>
      <c r="M886" s="41"/>
      <c r="N886" s="41"/>
      <c r="O886" s="41"/>
      <c r="P886" s="41"/>
    </row>
    <row r="887" spans="1:16" x14ac:dyDescent="0.2">
      <c r="A887" s="49" t="str">
        <v>0:00</v>
      </c>
      <c r="B887" s="108"/>
      <c r="C887" s="41"/>
      <c r="D887" s="41"/>
      <c r="E887" s="41"/>
      <c r="F887" s="41"/>
      <c r="G887" s="41"/>
      <c r="H887" s="41"/>
      <c r="I887" s="41"/>
      <c r="J887" s="41"/>
      <c r="K887" s="41"/>
      <c r="L887" s="41"/>
      <c r="M887" s="41"/>
      <c r="N887" s="41"/>
      <c r="O887" s="41"/>
      <c r="P887" s="41"/>
    </row>
    <row r="888" spans="1:16" x14ac:dyDescent="0.2">
      <c r="A888" s="49" t="str">
        <v>0:00</v>
      </c>
      <c r="B888" s="108"/>
      <c r="C888" s="41"/>
      <c r="D888" s="41"/>
      <c r="E888" s="41"/>
      <c r="F888" s="41"/>
      <c r="G888" s="41"/>
      <c r="H888" s="41"/>
      <c r="I888" s="41"/>
      <c r="J888" s="41"/>
      <c r="K888" s="41"/>
      <c r="L888" s="41"/>
      <c r="M888" s="41"/>
      <c r="N888" s="41"/>
      <c r="O888" s="41"/>
      <c r="P888" s="41"/>
    </row>
    <row r="889" spans="1:16" x14ac:dyDescent="0.2">
      <c r="A889" s="49" t="str">
        <v>0:00</v>
      </c>
      <c r="B889" s="108"/>
      <c r="C889" s="41"/>
      <c r="D889" s="41"/>
      <c r="E889" s="41"/>
      <c r="F889" s="41"/>
      <c r="G889" s="41"/>
      <c r="H889" s="41"/>
      <c r="I889" s="41"/>
      <c r="J889" s="41"/>
      <c r="K889" s="41"/>
      <c r="L889" s="41"/>
      <c r="M889" s="41"/>
      <c r="N889" s="41"/>
      <c r="O889" s="41"/>
      <c r="P889" s="41"/>
    </row>
    <row r="890" spans="1:16" x14ac:dyDescent="0.2">
      <c r="A890" s="49" t="str">
        <v>0:00</v>
      </c>
      <c r="B890" s="108"/>
      <c r="C890" s="41"/>
      <c r="D890" s="41"/>
      <c r="E890" s="41"/>
      <c r="F890" s="41"/>
      <c r="G890" s="41"/>
      <c r="H890" s="41"/>
      <c r="I890" s="41"/>
      <c r="J890" s="41"/>
      <c r="K890" s="41"/>
      <c r="L890" s="41"/>
      <c r="M890" s="41"/>
      <c r="N890" s="41"/>
      <c r="O890" s="41"/>
      <c r="P890" s="41"/>
    </row>
    <row r="891" spans="1:16" x14ac:dyDescent="0.2">
      <c r="A891" s="49" t="str">
        <v>0:00</v>
      </c>
      <c r="B891" s="108"/>
      <c r="C891" s="41"/>
      <c r="D891" s="41"/>
      <c r="E891" s="41"/>
      <c r="F891" s="41"/>
      <c r="G891" s="41"/>
      <c r="H891" s="41"/>
      <c r="I891" s="41"/>
      <c r="J891" s="41"/>
      <c r="K891" s="41"/>
      <c r="L891" s="41"/>
      <c r="M891" s="41"/>
      <c r="N891" s="41"/>
      <c r="O891" s="41"/>
      <c r="P891" s="41"/>
    </row>
    <row r="892" spans="1:16" x14ac:dyDescent="0.2">
      <c r="A892" s="49" t="str">
        <v>0:00</v>
      </c>
      <c r="B892" s="108"/>
      <c r="C892" s="41"/>
      <c r="D892" s="41"/>
      <c r="E892" s="41"/>
      <c r="F892" s="41"/>
      <c r="G892" s="41"/>
      <c r="H892" s="41"/>
      <c r="I892" s="41"/>
      <c r="J892" s="41"/>
      <c r="K892" s="41"/>
      <c r="L892" s="41"/>
      <c r="M892" s="41"/>
      <c r="N892" s="41"/>
      <c r="O892" s="41"/>
      <c r="P892" s="41"/>
    </row>
    <row r="893" spans="1:16" x14ac:dyDescent="0.2">
      <c r="A893" s="49" t="str">
        <v>0:00</v>
      </c>
      <c r="B893" s="108"/>
      <c r="C893" s="41"/>
      <c r="D893" s="41"/>
      <c r="E893" s="41"/>
      <c r="F893" s="41"/>
      <c r="G893" s="41"/>
      <c r="H893" s="41"/>
      <c r="I893" s="41"/>
      <c r="J893" s="41"/>
      <c r="K893" s="41"/>
      <c r="L893" s="41"/>
      <c r="M893" s="41"/>
      <c r="N893" s="41"/>
      <c r="O893" s="41"/>
      <c r="P893" s="41"/>
    </row>
    <row r="894" spans="1:16" x14ac:dyDescent="0.2">
      <c r="A894" s="49" t="str">
        <v>0:00</v>
      </c>
      <c r="B894" s="108"/>
      <c r="C894" s="41"/>
      <c r="D894" s="41"/>
      <c r="E894" s="41"/>
      <c r="F894" s="41"/>
      <c r="G894" s="41"/>
      <c r="H894" s="41"/>
      <c r="I894" s="41"/>
      <c r="J894" s="41"/>
      <c r="K894" s="41"/>
      <c r="L894" s="41"/>
      <c r="M894" s="41"/>
      <c r="N894" s="41"/>
      <c r="O894" s="41"/>
      <c r="P894" s="41"/>
    </row>
    <row r="895" spans="1:16" x14ac:dyDescent="0.2">
      <c r="A895" s="49" t="str">
        <v>0:00</v>
      </c>
      <c r="B895" s="108"/>
      <c r="C895" s="41"/>
      <c r="D895" s="41"/>
      <c r="E895" s="41"/>
      <c r="F895" s="41"/>
      <c r="G895" s="41"/>
      <c r="H895" s="41"/>
      <c r="I895" s="41"/>
      <c r="J895" s="41"/>
      <c r="K895" s="41"/>
      <c r="L895" s="41"/>
      <c r="M895" s="41"/>
      <c r="N895" s="41"/>
      <c r="O895" s="41"/>
      <c r="P895" s="41"/>
    </row>
    <row r="896" spans="1:16" x14ac:dyDescent="0.2">
      <c r="A896" s="49" t="str">
        <v>0:00</v>
      </c>
      <c r="B896" s="108"/>
      <c r="C896" s="41"/>
      <c r="D896" s="41"/>
      <c r="E896" s="41"/>
      <c r="F896" s="41"/>
      <c r="G896" s="41"/>
      <c r="H896" s="41"/>
      <c r="I896" s="41"/>
      <c r="J896" s="41"/>
      <c r="K896" s="41"/>
      <c r="L896" s="41"/>
      <c r="M896" s="41"/>
      <c r="N896" s="41"/>
      <c r="O896" s="41"/>
      <c r="P896" s="41"/>
    </row>
    <row r="897" spans="1:16" x14ac:dyDescent="0.2">
      <c r="A897" s="49" t="str">
        <v>0:00</v>
      </c>
      <c r="B897" s="108"/>
      <c r="C897" s="41"/>
      <c r="D897" s="41"/>
      <c r="E897" s="41"/>
      <c r="F897" s="41"/>
      <c r="G897" s="41"/>
      <c r="H897" s="41"/>
      <c r="I897" s="41"/>
      <c r="J897" s="41"/>
      <c r="K897" s="41"/>
      <c r="L897" s="41"/>
      <c r="M897" s="41"/>
      <c r="N897" s="41"/>
      <c r="O897" s="41"/>
      <c r="P897" s="41"/>
    </row>
    <row r="898" spans="1:16" x14ac:dyDescent="0.2">
      <c r="A898" s="49" t="str">
        <v>0:00</v>
      </c>
      <c r="B898" s="108"/>
      <c r="C898" s="41"/>
      <c r="D898" s="41"/>
      <c r="E898" s="41"/>
      <c r="F898" s="41"/>
      <c r="G898" s="41"/>
      <c r="H898" s="41"/>
      <c r="I898" s="41"/>
      <c r="J898" s="41"/>
      <c r="K898" s="41"/>
      <c r="L898" s="41"/>
      <c r="M898" s="41"/>
      <c r="N898" s="41"/>
      <c r="O898" s="41"/>
      <c r="P898" s="41"/>
    </row>
    <row r="899" spans="1:16" x14ac:dyDescent="0.2">
      <c r="A899" s="49" t="str">
        <v>0:00</v>
      </c>
      <c r="B899" s="108"/>
      <c r="C899" s="41"/>
      <c r="D899" s="41"/>
      <c r="E899" s="41"/>
      <c r="F899" s="41"/>
      <c r="G899" s="41"/>
      <c r="H899" s="41"/>
      <c r="I899" s="41"/>
      <c r="J899" s="41"/>
      <c r="K899" s="41"/>
      <c r="L899" s="41"/>
      <c r="M899" s="41"/>
      <c r="N899" s="41"/>
      <c r="O899" s="41"/>
      <c r="P899" s="41"/>
    </row>
    <row r="900" spans="1:16" x14ac:dyDescent="0.2">
      <c r="A900" s="49" t="str">
        <v>0:00</v>
      </c>
      <c r="B900" s="108"/>
      <c r="C900" s="41"/>
      <c r="D900" s="41"/>
      <c r="E900" s="41"/>
      <c r="F900" s="41"/>
      <c r="G900" s="41"/>
      <c r="H900" s="41"/>
      <c r="I900" s="41"/>
      <c r="J900" s="41"/>
      <c r="K900" s="41"/>
      <c r="L900" s="41"/>
      <c r="M900" s="41"/>
      <c r="N900" s="41"/>
      <c r="O900" s="41"/>
      <c r="P900" s="41"/>
    </row>
    <row r="901" spans="1:16" x14ac:dyDescent="0.2">
      <c r="A901" s="49" t="str">
        <v>0:00</v>
      </c>
      <c r="B901" s="108"/>
      <c r="C901" s="41"/>
      <c r="D901" s="41"/>
      <c r="E901" s="41"/>
      <c r="F901" s="41"/>
      <c r="G901" s="41"/>
      <c r="H901" s="41"/>
      <c r="I901" s="41"/>
      <c r="J901" s="41"/>
      <c r="K901" s="41"/>
      <c r="L901" s="41"/>
      <c r="M901" s="41"/>
      <c r="N901" s="41"/>
      <c r="O901" s="41"/>
      <c r="P901" s="41"/>
    </row>
    <row r="902" spans="1:16" x14ac:dyDescent="0.2">
      <c r="A902" s="49" t="str">
        <v>0:00</v>
      </c>
      <c r="B902" s="108"/>
      <c r="C902" s="41"/>
      <c r="D902" s="41"/>
      <c r="E902" s="41"/>
      <c r="F902" s="41"/>
      <c r="G902" s="41"/>
      <c r="H902" s="41"/>
      <c r="I902" s="41"/>
      <c r="J902" s="41"/>
      <c r="K902" s="41"/>
      <c r="L902" s="41"/>
      <c r="M902" s="41"/>
      <c r="N902" s="41"/>
      <c r="O902" s="41"/>
      <c r="P902" s="41"/>
    </row>
    <row r="903" spans="1:16" x14ac:dyDescent="0.2">
      <c r="A903" s="49" t="str">
        <v>0:00</v>
      </c>
      <c r="B903" s="108"/>
      <c r="C903" s="41"/>
      <c r="D903" s="41"/>
      <c r="E903" s="41"/>
      <c r="F903" s="41"/>
      <c r="G903" s="41"/>
      <c r="H903" s="41"/>
      <c r="I903" s="41"/>
      <c r="J903" s="41"/>
      <c r="K903" s="41"/>
      <c r="L903" s="41"/>
      <c r="M903" s="41"/>
      <c r="N903" s="41"/>
      <c r="O903" s="41"/>
      <c r="P903" s="41"/>
    </row>
  </sheetData>
  <sheetProtection algorithmName="SHA-512" hashValue="vaYIHeOlWrU00hPKCUuPVgHoETrGd3HDy8HvYarFo44OwP1rSKSjabYo84q7PV+4c8taA014BjzQx52n/bHTJg==" saltValue="KpM9XaqZxklN9HZwmf7x2A==" spinCount="100000" sheet="1" objects="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64" priority="1">
      <formula>AND(ROW() &gt;= $Q$1, ROW() &lt;= $Q$2)</formula>
    </cfRule>
    <cfRule type="cellIs" dxfId="63" priority="2" stopIfTrue="1" operator="between">
      <formula>$E$1</formula>
      <formula>$E$2</formula>
    </cfRule>
    <cfRule type="cellIs" dxfId="62" priority="3" stopIfTrue="1" operator="greaterThan">
      <formula>$C$2</formula>
    </cfRule>
    <cfRule type="cellIs" dxfId="61" priority="4" stopIfTrue="1" operator="lessThan">
      <formula>$C$1</formula>
    </cfRule>
    <cfRule type="cellIs" dxfId="6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9" hidden="1" customWidth="1"/>
    <col min="2" max="2" width="8.7109375" style="47" customWidth="1"/>
    <col min="3" max="3" width="11.85546875" customWidth="1"/>
    <col min="4" max="16" width="8.42578125" customWidth="1"/>
  </cols>
  <sheetData>
    <row r="1" spans="1:17" ht="18" x14ac:dyDescent="0.25">
      <c r="B1" s="125">
        <f>Main!$D$16</f>
        <v>0</v>
      </c>
      <c r="C1" s="119">
        <f>$B$1-$B$2</f>
        <v>0</v>
      </c>
      <c r="D1" s="119"/>
      <c r="E1" s="125">
        <f>B1-D2</f>
        <v>0</v>
      </c>
      <c r="F1" s="36" t="s">
        <v>75</v>
      </c>
      <c r="P1" s="313" t="str">
        <f>IF(Main!$E$30="","A10",ADDRESS(13+(MATCH(Main!$E$30,Data_Sheet!$A$14:$A$903,0)),1,4))</f>
        <v>A10</v>
      </c>
      <c r="Q1" s="313">
        <f>VALUE(MID(P1, 2, LEN(P1)-1))</f>
        <v>10</v>
      </c>
    </row>
    <row r="2" spans="1:17" x14ac:dyDescent="0.2">
      <c r="B2" s="125">
        <f>Main!$D$19</f>
        <v>0</v>
      </c>
      <c r="C2" s="119">
        <f>$B$1+$B$2</f>
        <v>0</v>
      </c>
      <c r="D2" s="119">
        <f>(Main!$D$19)/2</f>
        <v>0</v>
      </c>
      <c r="E2" s="125">
        <f>B1+D2</f>
        <v>0</v>
      </c>
      <c r="I2" s="79" t="s">
        <v>227</v>
      </c>
      <c r="M2" s="623" t="s">
        <v>103</v>
      </c>
      <c r="N2" s="623"/>
      <c r="O2" s="623"/>
      <c r="P2" s="313" t="str">
        <f>IF(Main!$E$30="","A10",ADDRESS(13+Standards_Info!W2+(MATCH(Main!$E$30,Data_Sheet!$A$14:$A$903,0)),1,4))</f>
        <v>A10</v>
      </c>
      <c r="Q2" s="313">
        <f>VALUE(MID(P2, 2, LEN(P2)-1))</f>
        <v>10</v>
      </c>
    </row>
    <row r="3" spans="1:17" ht="15" x14ac:dyDescent="0.25">
      <c r="B3" s="134" t="s">
        <v>0</v>
      </c>
      <c r="C3" s="3"/>
      <c r="M3" s="611" t="s">
        <v>104</v>
      </c>
      <c r="N3" s="612"/>
      <c r="O3" s="613"/>
      <c r="P3" s="44"/>
    </row>
    <row r="4" spans="1:17" ht="15" x14ac:dyDescent="0.25">
      <c r="B4" s="121" t="s">
        <v>25</v>
      </c>
      <c r="C4" s="4"/>
      <c r="M4" s="614" t="s">
        <v>145</v>
      </c>
      <c r="N4" s="615"/>
      <c r="O4" s="616"/>
    </row>
    <row r="5" spans="1:17" x14ac:dyDescent="0.2">
      <c r="B5" s="122" t="s">
        <v>26</v>
      </c>
      <c r="C5" s="61">
        <f>Main!D3</f>
        <v>0</v>
      </c>
      <c r="D5" s="41"/>
      <c r="E5" s="41"/>
      <c r="F5" s="41"/>
      <c r="G5" s="41"/>
      <c r="H5" s="41"/>
      <c r="I5" s="59" t="s">
        <v>4</v>
      </c>
      <c r="J5" t="e">
        <f>Main!D5</f>
        <v>#N/A</v>
      </c>
      <c r="M5" s="624" t="s">
        <v>144</v>
      </c>
      <c r="N5" s="625"/>
      <c r="O5" s="626"/>
    </row>
    <row r="6" spans="1:17" ht="13.5" thickBot="1" x14ac:dyDescent="0.25">
      <c r="B6" s="122" t="s">
        <v>3</v>
      </c>
      <c r="C6" s="62" t="e">
        <f>Main!D6</f>
        <v>#N/A</v>
      </c>
      <c r="D6" s="41"/>
      <c r="E6" s="41"/>
      <c r="F6" s="41"/>
      <c r="G6" s="41"/>
      <c r="H6" s="41"/>
      <c r="I6" s="59" t="s">
        <v>5</v>
      </c>
      <c r="J6" s="43">
        <f>Main!D16</f>
        <v>0</v>
      </c>
      <c r="M6" s="620" t="s">
        <v>143</v>
      </c>
      <c r="N6" s="621"/>
      <c r="O6" s="622"/>
    </row>
    <row r="7" spans="1:17" ht="13.5" thickBot="1" x14ac:dyDescent="0.25">
      <c r="B7" s="122" t="s">
        <v>27</v>
      </c>
      <c r="C7" s="62" t="str">
        <f>Main!D7</f>
        <v>Jeff Hall</v>
      </c>
      <c r="D7" s="41"/>
      <c r="E7" s="41"/>
      <c r="F7" s="41"/>
      <c r="G7" s="41"/>
      <c r="H7" s="41"/>
      <c r="I7" s="64" t="s">
        <v>169</v>
      </c>
      <c r="J7" s="608">
        <f>Main!$D$30</f>
        <v>0</v>
      </c>
      <c r="K7" s="609"/>
      <c r="L7" s="108"/>
      <c r="M7" s="607" t="s">
        <v>142</v>
      </c>
      <c r="N7" s="607"/>
      <c r="O7" s="607"/>
    </row>
    <row r="8" spans="1:17" x14ac:dyDescent="0.2">
      <c r="B8" s="122"/>
      <c r="C8" s="62"/>
      <c r="D8" s="41"/>
      <c r="E8" s="41"/>
      <c r="F8" s="41"/>
      <c r="G8" s="41"/>
      <c r="I8" s="64"/>
      <c r="J8" s="131"/>
      <c r="K8" s="131"/>
      <c r="L8" s="108"/>
      <c r="M8" s="132"/>
      <c r="N8" s="132"/>
      <c r="O8" s="132"/>
    </row>
    <row r="9" spans="1:17" x14ac:dyDescent="0.2">
      <c r="B9" s="122"/>
      <c r="C9" s="62"/>
      <c r="D9" s="41"/>
      <c r="E9" s="41"/>
      <c r="F9" s="41"/>
      <c r="G9" s="41"/>
      <c r="I9" s="135" t="str">
        <f>IF(Main!K15="SIM Load Hot",Main!N59,"")</f>
        <v/>
      </c>
      <c r="J9" s="133"/>
      <c r="K9" s="131"/>
      <c r="L9" s="108"/>
      <c r="M9" s="132"/>
      <c r="N9" s="132"/>
      <c r="O9" s="132"/>
    </row>
    <row r="10" spans="1:17" s="69" customFormat="1" x14ac:dyDescent="0.2">
      <c r="A10" s="109"/>
      <c r="B10" s="123"/>
      <c r="I10" s="135" t="str">
        <f>IF(OR(Main!E60="",Main!K60=""),IF(OR(Main!E61="",Main!K61=""),"",Main!N61),Main!N60)</f>
        <v/>
      </c>
    </row>
    <row r="11" spans="1:17" s="69" customFormat="1" x14ac:dyDescent="0.2">
      <c r="A11" s="109"/>
      <c r="B11" s="123"/>
      <c r="I11" s="135"/>
    </row>
    <row r="12" spans="1:17" s="463" customFormat="1" x14ac:dyDescent="0.2">
      <c r="A12" s="462"/>
      <c r="B12" s="131" t="str" cm="1">
        <f t="array" ref="B12:P12">_xlfn.LET(
  _xlpm.tbl, DataForChannels15to28[],
  _xlpm.hdrs, DataForChannels15to28[#Headers],
  _xlfn.BYCOL(_xlpm.tbl, _xlfn.LAMBDA(_xlpm.col, IF(COUNTA(_xlpm.col)&gt;0, INDEX(_xlpm.hdrs, 1, COLUMN(_xlpm.col) - COLUMN(INDEX(_xlpm.tbl,1,1)) + 1), "")))
)</f>
        <v/>
      </c>
      <c r="C12" s="59" t="str">
        <v/>
      </c>
      <c r="D12" s="59" t="str">
        <v/>
      </c>
      <c r="E12" s="59" t="str">
        <v/>
      </c>
      <c r="F12" s="59" t="str">
        <v/>
      </c>
      <c r="G12" s="59" t="str">
        <v/>
      </c>
      <c r="H12" s="59" t="str">
        <v/>
      </c>
      <c r="I12" s="59" t="str">
        <v/>
      </c>
      <c r="J12" s="59" t="str">
        <v/>
      </c>
      <c r="K12" s="59" t="str">
        <v/>
      </c>
      <c r="L12" s="59" t="str">
        <v/>
      </c>
      <c r="M12" s="59" t="str">
        <v/>
      </c>
      <c r="N12" s="59" t="str">
        <v/>
      </c>
      <c r="O12" s="59" t="str">
        <v/>
      </c>
      <c r="P12" s="59" t="str">
        <v/>
      </c>
    </row>
    <row r="13" spans="1:17" s="69" customFormat="1" x14ac:dyDescent="0.2">
      <c r="A13" s="109"/>
      <c r="B13" s="108"/>
      <c r="C13" s="41"/>
      <c r="D13" s="41"/>
      <c r="E13" s="41"/>
      <c r="F13" s="41"/>
      <c r="G13" s="41"/>
      <c r="H13" s="41"/>
      <c r="I13" s="41"/>
      <c r="J13" s="41"/>
      <c r="K13" s="41"/>
      <c r="L13" s="41"/>
      <c r="M13" s="41" t="str">
        <f>IF(ISBLANK(DaqBook_RAW_Data!AB3),"",DaqBook_RAW_Data!AB3)</f>
        <v/>
      </c>
      <c r="N13" s="41" t="str">
        <f>IF(ISBLANK(DaqBook_RAW_Data!AC3),"",DaqBook_RAW_Data!AC3)</f>
        <v/>
      </c>
      <c r="O13" s="41" t="str">
        <f>IF(ISBLANK(DaqBook_RAW_Data!AD3),"",DaqBook_RAW_Data!AD3)</f>
        <v/>
      </c>
      <c r="P13" s="41"/>
    </row>
    <row r="14" spans="1:17" s="69" customFormat="1" x14ac:dyDescent="0.2">
      <c r="A14" s="109" t="str" cm="1">
        <f t="array" ref="A14:A903">TEXT(B14:B903, "h:mm")</f>
        <v>0:00</v>
      </c>
      <c r="B14" s="108" cm="1">
        <f t="array" ref="B14:P14">DataForChannels15to28[]</f>
        <v>0</v>
      </c>
      <c r="C14" s="130">
        <v>0</v>
      </c>
      <c r="D14" s="130">
        <v>0</v>
      </c>
      <c r="E14" s="130">
        <v>0</v>
      </c>
      <c r="F14" s="130">
        <v>0</v>
      </c>
      <c r="G14" s="130">
        <v>0</v>
      </c>
      <c r="H14" s="130">
        <v>0</v>
      </c>
      <c r="I14" s="130">
        <v>0</v>
      </c>
      <c r="J14" s="130">
        <v>0</v>
      </c>
      <c r="K14" s="130">
        <v>0</v>
      </c>
      <c r="L14" s="130">
        <v>0</v>
      </c>
      <c r="M14" s="130">
        <v>0</v>
      </c>
      <c r="N14" s="130">
        <v>0</v>
      </c>
      <c r="O14" s="130">
        <v>0</v>
      </c>
      <c r="P14" s="130">
        <v>0</v>
      </c>
    </row>
    <row r="15" spans="1:17" s="69" customFormat="1" x14ac:dyDescent="0.2">
      <c r="A15" s="109" t="str">
        <v>0:00</v>
      </c>
      <c r="B15" s="108"/>
      <c r="C15" s="130"/>
      <c r="D15" s="130"/>
      <c r="E15" s="130"/>
      <c r="F15" s="130"/>
      <c r="G15" s="130"/>
      <c r="H15" s="130"/>
      <c r="I15" s="130"/>
      <c r="J15" s="130"/>
      <c r="K15" s="130"/>
      <c r="L15" s="130"/>
      <c r="M15" s="130"/>
      <c r="N15" s="130"/>
      <c r="O15" s="130"/>
      <c r="P15" s="130"/>
    </row>
    <row r="16" spans="1:17" s="69" customFormat="1" x14ac:dyDescent="0.2">
      <c r="A16" s="109" t="str">
        <v>0:00</v>
      </c>
      <c r="B16" s="108"/>
      <c r="C16" s="130"/>
      <c r="D16" s="130"/>
      <c r="E16" s="130"/>
      <c r="F16" s="130"/>
      <c r="G16" s="130"/>
      <c r="H16" s="130"/>
      <c r="I16" s="130"/>
      <c r="J16" s="130"/>
      <c r="K16" s="130"/>
      <c r="L16" s="130"/>
      <c r="M16" s="130"/>
      <c r="N16" s="130"/>
      <c r="O16" s="130"/>
      <c r="P16" s="130"/>
    </row>
    <row r="17" spans="1:17" s="69" customFormat="1" x14ac:dyDescent="0.2">
      <c r="A17" s="109" t="str">
        <v>0:00</v>
      </c>
      <c r="B17" s="108"/>
      <c r="C17" s="130"/>
      <c r="D17" s="130"/>
      <c r="E17" s="130"/>
      <c r="F17" s="130"/>
      <c r="G17" s="130"/>
      <c r="H17" s="130"/>
      <c r="I17" s="130"/>
      <c r="J17" s="130"/>
      <c r="K17" s="130"/>
      <c r="L17" s="130"/>
      <c r="M17" s="130"/>
      <c r="N17" s="130"/>
      <c r="O17" s="130"/>
      <c r="P17" s="130"/>
    </row>
    <row r="18" spans="1:17" s="69" customFormat="1" x14ac:dyDescent="0.2">
      <c r="A18" s="109" t="str">
        <v>0:00</v>
      </c>
      <c r="B18" s="108"/>
      <c r="C18" s="130"/>
      <c r="D18" s="130"/>
      <c r="E18" s="130"/>
      <c r="F18" s="130"/>
      <c r="G18" s="130"/>
      <c r="H18" s="130"/>
      <c r="I18" s="130"/>
      <c r="J18" s="130"/>
      <c r="K18" s="130"/>
      <c r="L18" s="130"/>
      <c r="M18" s="130"/>
      <c r="N18" s="130"/>
      <c r="O18" s="130"/>
      <c r="P18" s="130"/>
    </row>
    <row r="19" spans="1:17" s="69" customFormat="1" x14ac:dyDescent="0.2">
      <c r="A19" s="109" t="str">
        <v>0:00</v>
      </c>
      <c r="B19" s="108"/>
      <c r="C19" s="130"/>
      <c r="D19" s="130"/>
      <c r="E19" s="130"/>
      <c r="F19" s="130"/>
      <c r="G19" s="130"/>
      <c r="H19" s="130"/>
      <c r="I19" s="130"/>
      <c r="J19" s="130"/>
      <c r="K19" s="130"/>
      <c r="L19" s="130"/>
      <c r="M19" s="130"/>
      <c r="N19" s="130"/>
      <c r="O19" s="130"/>
      <c r="P19" s="130"/>
    </row>
    <row r="20" spans="1:17" s="69" customFormat="1" x14ac:dyDescent="0.2">
      <c r="A20" s="109" t="str">
        <v>0:00</v>
      </c>
      <c r="B20" s="108"/>
      <c r="C20" s="130"/>
      <c r="D20" s="130"/>
      <c r="E20" s="130"/>
      <c r="F20" s="130"/>
      <c r="G20" s="130"/>
      <c r="H20" s="130"/>
      <c r="I20" s="130"/>
      <c r="J20" s="130"/>
      <c r="K20" s="130"/>
      <c r="L20" s="130"/>
      <c r="M20" s="130"/>
      <c r="N20" s="130"/>
      <c r="O20" s="130"/>
      <c r="P20" s="130"/>
    </row>
    <row r="21" spans="1:17" s="69" customFormat="1" x14ac:dyDescent="0.2">
      <c r="A21" s="109" t="str">
        <v>0:00</v>
      </c>
      <c r="B21" s="108"/>
      <c r="C21" s="130"/>
      <c r="D21" s="130"/>
      <c r="E21" s="130"/>
      <c r="F21" s="130"/>
      <c r="G21" s="130"/>
      <c r="H21" s="130"/>
      <c r="I21" s="130"/>
      <c r="J21" s="130"/>
      <c r="K21" s="130"/>
      <c r="L21" s="130"/>
      <c r="M21" s="130"/>
      <c r="N21" s="130"/>
      <c r="O21" s="130"/>
      <c r="P21" s="130"/>
    </row>
    <row r="22" spans="1:17" s="69" customFormat="1" x14ac:dyDescent="0.2">
      <c r="A22" s="109" t="str">
        <v>0:00</v>
      </c>
      <c r="B22" s="108"/>
      <c r="C22" s="130"/>
      <c r="D22" s="130"/>
      <c r="E22" s="130"/>
      <c r="F22" s="130"/>
      <c r="G22" s="130"/>
      <c r="H22" s="130"/>
      <c r="I22" s="130"/>
      <c r="J22" s="130"/>
      <c r="K22" s="130"/>
      <c r="L22" s="130"/>
      <c r="M22" s="130"/>
      <c r="N22" s="130"/>
      <c r="O22" s="130"/>
      <c r="P22" s="130"/>
    </row>
    <row r="23" spans="1:17" s="69" customFormat="1" x14ac:dyDescent="0.2">
      <c r="A23" s="109" t="str">
        <v>0:00</v>
      </c>
      <c r="B23" s="108"/>
      <c r="C23" s="130"/>
      <c r="D23" s="130"/>
      <c r="E23" s="130"/>
      <c r="F23" s="130"/>
      <c r="G23" s="130"/>
      <c r="H23" s="130"/>
      <c r="I23" s="130"/>
      <c r="J23" s="130"/>
      <c r="K23" s="130"/>
      <c r="L23" s="130"/>
      <c r="M23" s="130"/>
      <c r="N23" s="130"/>
      <c r="O23" s="130"/>
      <c r="P23" s="130"/>
    </row>
    <row r="24" spans="1:17" s="69" customFormat="1" x14ac:dyDescent="0.2">
      <c r="A24" s="109" t="str">
        <v>0:00</v>
      </c>
      <c r="B24" s="108"/>
      <c r="C24" s="130"/>
      <c r="D24" s="130"/>
      <c r="E24" s="130"/>
      <c r="F24" s="130"/>
      <c r="G24" s="130"/>
      <c r="H24" s="130"/>
      <c r="I24" s="130"/>
      <c r="J24" s="130"/>
      <c r="K24" s="130"/>
      <c r="L24" s="130"/>
      <c r="M24" s="130"/>
      <c r="N24" s="130"/>
      <c r="O24" s="130"/>
      <c r="P24" s="130"/>
    </row>
    <row r="25" spans="1:17" s="69" customFormat="1" x14ac:dyDescent="0.2">
      <c r="A25" s="109" t="str">
        <v>0:00</v>
      </c>
      <c r="B25" s="108"/>
      <c r="C25" s="130"/>
      <c r="D25" s="130"/>
      <c r="E25" s="130"/>
      <c r="F25" s="130"/>
      <c r="G25" s="130"/>
      <c r="H25" s="130"/>
      <c r="I25" s="130"/>
      <c r="J25" s="130"/>
      <c r="K25" s="130"/>
      <c r="L25" s="130"/>
      <c r="M25" s="130"/>
      <c r="N25" s="130"/>
      <c r="O25" s="130"/>
      <c r="P25" s="130"/>
    </row>
    <row r="26" spans="1:17" s="69" customFormat="1" x14ac:dyDescent="0.2">
      <c r="A26" s="109" t="str">
        <v>0:00</v>
      </c>
      <c r="B26" s="108"/>
      <c r="C26" s="130"/>
      <c r="D26" s="130"/>
      <c r="E26" s="130"/>
      <c r="F26" s="130"/>
      <c r="G26" s="130"/>
      <c r="H26" s="130"/>
      <c r="I26" s="130"/>
      <c r="J26" s="130"/>
      <c r="K26" s="130"/>
      <c r="L26" s="130"/>
      <c r="M26" s="130"/>
      <c r="N26" s="130"/>
      <c r="O26" s="130"/>
      <c r="P26" s="130"/>
    </row>
    <row r="27" spans="1:17" s="69" customFormat="1" x14ac:dyDescent="0.2">
      <c r="A27" s="109" t="str">
        <v>0:00</v>
      </c>
      <c r="B27" s="108"/>
      <c r="C27" s="130"/>
      <c r="D27" s="130"/>
      <c r="E27" s="130"/>
      <c r="F27" s="130"/>
      <c r="G27" s="130"/>
      <c r="H27" s="130"/>
      <c r="I27" s="130"/>
      <c r="J27" s="130"/>
      <c r="K27" s="130"/>
      <c r="L27" s="130"/>
      <c r="M27" s="130"/>
      <c r="N27" s="130"/>
      <c r="O27" s="130"/>
      <c r="P27" s="130"/>
      <c r="Q27" s="110"/>
    </row>
    <row r="28" spans="1:17" s="69" customFormat="1" x14ac:dyDescent="0.2">
      <c r="A28" s="109" t="str">
        <v>0:00</v>
      </c>
      <c r="B28" s="108"/>
      <c r="C28" s="130"/>
      <c r="D28" s="130"/>
      <c r="E28" s="130"/>
      <c r="F28" s="130"/>
      <c r="G28" s="130"/>
      <c r="H28" s="130"/>
      <c r="I28" s="130"/>
      <c r="J28" s="130"/>
      <c r="K28" s="130"/>
      <c r="L28" s="130"/>
      <c r="M28" s="130"/>
      <c r="N28" s="130"/>
      <c r="O28" s="130"/>
      <c r="P28" s="130"/>
    </row>
    <row r="29" spans="1:17" s="69" customFormat="1" x14ac:dyDescent="0.2">
      <c r="A29" s="109" t="str">
        <v>0:00</v>
      </c>
      <c r="B29" s="108"/>
      <c r="C29" s="130"/>
      <c r="D29" s="130"/>
      <c r="E29" s="130"/>
      <c r="F29" s="130"/>
      <c r="G29" s="130"/>
      <c r="H29" s="130"/>
      <c r="I29" s="130"/>
      <c r="J29" s="130"/>
      <c r="K29" s="130"/>
      <c r="L29" s="130"/>
      <c r="M29" s="130"/>
      <c r="N29" s="130"/>
      <c r="O29" s="130"/>
      <c r="P29" s="130"/>
    </row>
    <row r="30" spans="1:17" s="69" customFormat="1" x14ac:dyDescent="0.2">
      <c r="A30" s="109" t="str">
        <v>0:00</v>
      </c>
      <c r="B30" s="108"/>
      <c r="C30" s="130"/>
      <c r="D30" s="130"/>
      <c r="E30" s="130"/>
      <c r="F30" s="130"/>
      <c r="G30" s="130"/>
      <c r="H30" s="130"/>
      <c r="I30" s="130"/>
      <c r="J30" s="130"/>
      <c r="K30" s="130"/>
      <c r="L30" s="130"/>
      <c r="M30" s="130"/>
      <c r="N30" s="130"/>
      <c r="O30" s="130"/>
      <c r="P30" s="130"/>
    </row>
    <row r="31" spans="1:17" s="69" customFormat="1" x14ac:dyDescent="0.2">
      <c r="A31" s="109" t="str">
        <v>0:00</v>
      </c>
      <c r="B31" s="108"/>
      <c r="C31" s="130"/>
      <c r="D31" s="130"/>
      <c r="E31" s="130"/>
      <c r="F31" s="130"/>
      <c r="G31" s="130"/>
      <c r="H31" s="130"/>
      <c r="I31" s="130"/>
      <c r="J31" s="130"/>
      <c r="K31" s="130"/>
      <c r="L31" s="130"/>
      <c r="M31" s="130"/>
      <c r="N31" s="130"/>
      <c r="O31" s="130"/>
      <c r="P31" s="130"/>
    </row>
    <row r="32" spans="1:17" s="69" customFormat="1" x14ac:dyDescent="0.2">
      <c r="A32" s="109" t="str">
        <v>0:00</v>
      </c>
      <c r="B32" s="108"/>
      <c r="C32" s="130"/>
      <c r="D32" s="130"/>
      <c r="E32" s="130"/>
      <c r="F32" s="130"/>
      <c r="G32" s="130"/>
      <c r="H32" s="130"/>
      <c r="I32" s="130"/>
      <c r="J32" s="130"/>
      <c r="K32" s="130"/>
      <c r="L32" s="130"/>
      <c r="M32" s="130"/>
      <c r="N32" s="130"/>
      <c r="O32" s="130"/>
      <c r="P32" s="130"/>
    </row>
    <row r="33" spans="1:16" s="69" customFormat="1" x14ac:dyDescent="0.2">
      <c r="A33" s="109" t="str">
        <v>0:00</v>
      </c>
      <c r="B33" s="108"/>
      <c r="C33" s="130"/>
      <c r="D33" s="130"/>
      <c r="E33" s="130"/>
      <c r="F33" s="130"/>
      <c r="G33" s="130"/>
      <c r="H33" s="130"/>
      <c r="I33" s="130"/>
      <c r="J33" s="130"/>
      <c r="K33" s="130"/>
      <c r="L33" s="130"/>
      <c r="M33" s="130"/>
      <c r="N33" s="130"/>
      <c r="O33" s="130"/>
      <c r="P33" s="130"/>
    </row>
    <row r="34" spans="1:16" s="69" customFormat="1" x14ac:dyDescent="0.2">
      <c r="A34" s="109" t="str">
        <v>0:00</v>
      </c>
      <c r="B34" s="108"/>
      <c r="C34" s="130"/>
      <c r="D34" s="130"/>
      <c r="E34" s="130"/>
      <c r="F34" s="130"/>
      <c r="G34" s="130"/>
      <c r="H34" s="130"/>
      <c r="I34" s="130"/>
      <c r="J34" s="130"/>
      <c r="K34" s="130"/>
      <c r="L34" s="130"/>
      <c r="M34" s="130"/>
      <c r="N34" s="130"/>
      <c r="O34" s="130"/>
      <c r="P34" s="130"/>
    </row>
    <row r="35" spans="1:16" s="69" customFormat="1" x14ac:dyDescent="0.2">
      <c r="A35" s="109" t="str">
        <v>0:00</v>
      </c>
      <c r="B35" s="108"/>
      <c r="C35" s="130"/>
      <c r="D35" s="130"/>
      <c r="E35" s="130"/>
      <c r="F35" s="130"/>
      <c r="G35" s="130"/>
      <c r="H35" s="130"/>
      <c r="I35" s="130"/>
      <c r="J35" s="130"/>
      <c r="K35" s="130"/>
      <c r="L35" s="130"/>
      <c r="M35" s="130"/>
      <c r="N35" s="130"/>
      <c r="O35" s="130"/>
      <c r="P35" s="130"/>
    </row>
    <row r="36" spans="1:16" s="69" customFormat="1" x14ac:dyDescent="0.2">
      <c r="A36" s="109" t="str">
        <v>0:00</v>
      </c>
      <c r="B36" s="108"/>
      <c r="C36" s="130"/>
      <c r="D36" s="130"/>
      <c r="E36" s="130"/>
      <c r="F36" s="130"/>
      <c r="G36" s="130"/>
      <c r="H36" s="130"/>
      <c r="I36" s="130"/>
      <c r="J36" s="130"/>
      <c r="K36" s="130"/>
      <c r="L36" s="130"/>
      <c r="M36" s="130"/>
      <c r="N36" s="130"/>
      <c r="O36" s="130"/>
      <c r="P36" s="130"/>
    </row>
    <row r="37" spans="1:16" s="69" customFormat="1" x14ac:dyDescent="0.2">
      <c r="A37" s="109" t="str">
        <v>0:00</v>
      </c>
      <c r="B37" s="108"/>
      <c r="C37" s="130"/>
      <c r="D37" s="130"/>
      <c r="E37" s="130"/>
      <c r="F37" s="130"/>
      <c r="G37" s="130"/>
      <c r="H37" s="130"/>
      <c r="I37" s="130"/>
      <c r="J37" s="130"/>
      <c r="K37" s="130"/>
      <c r="L37" s="130"/>
      <c r="M37" s="130"/>
      <c r="N37" s="130"/>
      <c r="O37" s="130"/>
      <c r="P37" s="130"/>
    </row>
    <row r="38" spans="1:16" s="69" customFormat="1" x14ac:dyDescent="0.2">
      <c r="A38" s="109" t="str">
        <v>0:00</v>
      </c>
      <c r="B38" s="108"/>
      <c r="C38" s="130"/>
      <c r="D38" s="130"/>
      <c r="E38" s="130"/>
      <c r="F38" s="130"/>
      <c r="G38" s="130"/>
      <c r="H38" s="130"/>
      <c r="I38" s="130"/>
      <c r="J38" s="130"/>
      <c r="K38" s="130"/>
      <c r="L38" s="130"/>
      <c r="M38" s="130"/>
      <c r="N38" s="130"/>
      <c r="O38" s="130"/>
      <c r="P38" s="130"/>
    </row>
    <row r="39" spans="1:16" s="69" customFormat="1" x14ac:dyDescent="0.2">
      <c r="A39" s="109" t="str">
        <v>0:00</v>
      </c>
      <c r="B39" s="108"/>
      <c r="C39" s="130"/>
      <c r="D39" s="130"/>
      <c r="E39" s="130"/>
      <c r="F39" s="130"/>
      <c r="G39" s="130"/>
      <c r="H39" s="130"/>
      <c r="I39" s="130"/>
      <c r="J39" s="130"/>
      <c r="K39" s="130"/>
      <c r="L39" s="130"/>
      <c r="M39" s="130"/>
      <c r="N39" s="130"/>
      <c r="O39" s="130"/>
      <c r="P39" s="130"/>
    </row>
    <row r="40" spans="1:16" s="69" customFormat="1" x14ac:dyDescent="0.2">
      <c r="A40" s="109" t="str">
        <v>0:00</v>
      </c>
      <c r="B40" s="108"/>
      <c r="C40" s="130"/>
      <c r="D40" s="130"/>
      <c r="E40" s="130"/>
      <c r="F40" s="130"/>
      <c r="G40" s="130"/>
      <c r="H40" s="130"/>
      <c r="I40" s="130"/>
      <c r="J40" s="130"/>
      <c r="K40" s="130"/>
      <c r="L40" s="130"/>
      <c r="M40" s="130"/>
      <c r="N40" s="130"/>
      <c r="O40" s="130"/>
      <c r="P40" s="130"/>
    </row>
    <row r="41" spans="1:16" s="69" customFormat="1" x14ac:dyDescent="0.2">
      <c r="A41" s="109" t="str">
        <v>0:00</v>
      </c>
      <c r="B41" s="108"/>
      <c r="C41" s="130"/>
      <c r="D41" s="130"/>
      <c r="E41" s="130"/>
      <c r="F41" s="130"/>
      <c r="G41" s="130"/>
      <c r="H41" s="130"/>
      <c r="I41" s="130"/>
      <c r="J41" s="130"/>
      <c r="K41" s="130"/>
      <c r="L41" s="130"/>
      <c r="M41" s="130"/>
      <c r="N41" s="130"/>
      <c r="O41" s="130"/>
      <c r="P41" s="130"/>
    </row>
    <row r="42" spans="1:16" s="69" customFormat="1" x14ac:dyDescent="0.2">
      <c r="A42" s="109" t="str">
        <v>0:00</v>
      </c>
      <c r="B42" s="108"/>
      <c r="C42" s="130"/>
      <c r="D42" s="130"/>
      <c r="E42" s="130"/>
      <c r="F42" s="130"/>
      <c r="G42" s="130"/>
      <c r="H42" s="130"/>
      <c r="I42" s="130"/>
      <c r="J42" s="130"/>
      <c r="K42" s="130"/>
      <c r="L42" s="130"/>
      <c r="M42" s="130"/>
      <c r="N42" s="130"/>
      <c r="O42" s="130"/>
      <c r="P42" s="130"/>
    </row>
    <row r="43" spans="1:16" s="69" customFormat="1" x14ac:dyDescent="0.2">
      <c r="A43" s="109" t="str">
        <v>0:00</v>
      </c>
      <c r="B43" s="108"/>
      <c r="C43" s="130"/>
      <c r="D43" s="130"/>
      <c r="E43" s="130"/>
      <c r="F43" s="130"/>
      <c r="G43" s="130"/>
      <c r="H43" s="130"/>
      <c r="I43" s="130"/>
      <c r="J43" s="130"/>
      <c r="K43" s="130"/>
      <c r="L43" s="130"/>
      <c r="M43" s="130"/>
      <c r="N43" s="130"/>
      <c r="O43" s="130"/>
      <c r="P43" s="130"/>
    </row>
    <row r="44" spans="1:16" s="69" customFormat="1" x14ac:dyDescent="0.2">
      <c r="A44" s="109" t="str">
        <v>0:00</v>
      </c>
      <c r="B44" s="108"/>
      <c r="C44" s="130"/>
      <c r="D44" s="130"/>
      <c r="E44" s="130"/>
      <c r="F44" s="130"/>
      <c r="G44" s="130"/>
      <c r="H44" s="130"/>
      <c r="I44" s="130"/>
      <c r="J44" s="130"/>
      <c r="K44" s="130"/>
      <c r="L44" s="130"/>
      <c r="M44" s="130"/>
      <c r="N44" s="130"/>
      <c r="O44" s="130"/>
      <c r="P44" s="130"/>
    </row>
    <row r="45" spans="1:16" s="69" customFormat="1" x14ac:dyDescent="0.2">
      <c r="A45" s="109" t="str">
        <v>0:00</v>
      </c>
      <c r="B45" s="108"/>
      <c r="C45" s="130"/>
      <c r="D45" s="130"/>
      <c r="E45" s="130"/>
      <c r="F45" s="130"/>
      <c r="G45" s="130"/>
      <c r="H45" s="130"/>
      <c r="I45" s="130"/>
      <c r="J45" s="130"/>
      <c r="K45" s="130"/>
      <c r="L45" s="130"/>
      <c r="M45" s="130"/>
      <c r="N45" s="130"/>
      <c r="O45" s="130"/>
      <c r="P45" s="130"/>
    </row>
    <row r="46" spans="1:16" s="69" customFormat="1" x14ac:dyDescent="0.2">
      <c r="A46" s="109" t="str">
        <v>0:00</v>
      </c>
      <c r="B46" s="108"/>
      <c r="C46" s="130"/>
      <c r="D46" s="130"/>
      <c r="E46" s="130"/>
      <c r="F46" s="130"/>
      <c r="G46" s="130"/>
      <c r="H46" s="130"/>
      <c r="I46" s="130"/>
      <c r="J46" s="130"/>
      <c r="K46" s="130"/>
      <c r="L46" s="130"/>
      <c r="M46" s="130"/>
      <c r="N46" s="130"/>
      <c r="O46" s="130"/>
      <c r="P46" s="130"/>
    </row>
    <row r="47" spans="1:16" s="69" customFormat="1" x14ac:dyDescent="0.2">
      <c r="A47" s="109" t="str">
        <v>0:00</v>
      </c>
      <c r="B47" s="108"/>
      <c r="C47" s="130"/>
      <c r="D47" s="130"/>
      <c r="E47" s="130"/>
      <c r="F47" s="130"/>
      <c r="G47" s="130"/>
      <c r="H47" s="130"/>
      <c r="I47" s="130"/>
      <c r="J47" s="130"/>
      <c r="K47" s="130"/>
      <c r="L47" s="130"/>
      <c r="M47" s="130"/>
      <c r="N47" s="130"/>
      <c r="O47" s="130"/>
      <c r="P47" s="130"/>
    </row>
    <row r="48" spans="1:16" s="69" customFormat="1" x14ac:dyDescent="0.2">
      <c r="A48" s="109" t="str">
        <v>0:00</v>
      </c>
      <c r="B48" s="108"/>
      <c r="C48" s="130"/>
      <c r="D48" s="130"/>
      <c r="E48" s="130"/>
      <c r="F48" s="130"/>
      <c r="G48" s="130"/>
      <c r="H48" s="130"/>
      <c r="I48" s="130"/>
      <c r="J48" s="130"/>
      <c r="K48" s="130"/>
      <c r="L48" s="130"/>
      <c r="M48" s="130"/>
      <c r="N48" s="130"/>
      <c r="O48" s="130"/>
      <c r="P48" s="130"/>
    </row>
    <row r="49" spans="1:16" s="69" customFormat="1" x14ac:dyDescent="0.2">
      <c r="A49" s="109" t="str">
        <v>0:00</v>
      </c>
      <c r="B49" s="108"/>
      <c r="C49" s="130"/>
      <c r="D49" s="130"/>
      <c r="E49" s="130"/>
      <c r="F49" s="130"/>
      <c r="G49" s="130"/>
      <c r="H49" s="130"/>
      <c r="I49" s="130"/>
      <c r="J49" s="130"/>
      <c r="K49" s="130"/>
      <c r="L49" s="130"/>
      <c r="M49" s="130"/>
      <c r="N49" s="130"/>
      <c r="O49" s="130"/>
      <c r="P49" s="130"/>
    </row>
    <row r="50" spans="1:16" s="69" customFormat="1" x14ac:dyDescent="0.2">
      <c r="A50" s="109" t="str">
        <v>0:00</v>
      </c>
      <c r="B50" s="108"/>
      <c r="C50" s="130"/>
      <c r="D50" s="130"/>
      <c r="E50" s="130"/>
      <c r="F50" s="130"/>
      <c r="G50" s="130"/>
      <c r="H50" s="130"/>
      <c r="I50" s="130"/>
      <c r="J50" s="130"/>
      <c r="K50" s="130"/>
      <c r="L50" s="130"/>
      <c r="M50" s="130"/>
      <c r="N50" s="130"/>
      <c r="O50" s="130"/>
      <c r="P50" s="130"/>
    </row>
    <row r="51" spans="1:16" s="69" customFormat="1" x14ac:dyDescent="0.2">
      <c r="A51" s="109" t="str">
        <v>0:00</v>
      </c>
      <c r="B51" s="108"/>
      <c r="C51" s="130"/>
      <c r="D51" s="130"/>
      <c r="E51" s="130"/>
      <c r="F51" s="130"/>
      <c r="G51" s="130"/>
      <c r="H51" s="130"/>
      <c r="I51" s="130"/>
      <c r="J51" s="130"/>
      <c r="K51" s="130"/>
      <c r="L51" s="130"/>
      <c r="M51" s="130"/>
      <c r="N51" s="130"/>
      <c r="O51" s="130"/>
      <c r="P51" s="130"/>
    </row>
    <row r="52" spans="1:16" s="69" customFormat="1" x14ac:dyDescent="0.2">
      <c r="A52" s="109" t="str">
        <v>0:00</v>
      </c>
      <c r="B52" s="108"/>
      <c r="C52" s="130"/>
      <c r="D52" s="130"/>
      <c r="E52" s="130"/>
      <c r="F52" s="130"/>
      <c r="G52" s="130"/>
      <c r="H52" s="130"/>
      <c r="I52" s="130"/>
      <c r="J52" s="130"/>
      <c r="K52" s="130"/>
      <c r="L52" s="130"/>
      <c r="M52" s="130"/>
      <c r="N52" s="130"/>
      <c r="O52" s="130"/>
      <c r="P52" s="130"/>
    </row>
    <row r="53" spans="1:16" s="69" customFormat="1" x14ac:dyDescent="0.2">
      <c r="A53" s="109" t="str">
        <v>0:00</v>
      </c>
      <c r="B53" s="108"/>
      <c r="C53" s="130"/>
      <c r="D53" s="130"/>
      <c r="E53" s="130"/>
      <c r="F53" s="130"/>
      <c r="G53" s="130"/>
      <c r="H53" s="130"/>
      <c r="I53" s="130"/>
      <c r="J53" s="130"/>
      <c r="K53" s="130"/>
      <c r="L53" s="130"/>
      <c r="M53" s="130"/>
      <c r="N53" s="130"/>
      <c r="O53" s="130"/>
      <c r="P53" s="130"/>
    </row>
    <row r="54" spans="1:16" s="69" customFormat="1" x14ac:dyDescent="0.2">
      <c r="A54" s="109" t="str">
        <v>0:00</v>
      </c>
      <c r="B54" s="108"/>
      <c r="C54" s="130"/>
      <c r="D54" s="130"/>
      <c r="E54" s="130"/>
      <c r="F54" s="130"/>
      <c r="G54" s="130"/>
      <c r="H54" s="130"/>
      <c r="I54" s="130"/>
      <c r="J54" s="130"/>
      <c r="K54" s="130"/>
      <c r="L54" s="130"/>
      <c r="M54" s="130"/>
      <c r="N54" s="130"/>
      <c r="O54" s="130"/>
      <c r="P54" s="130"/>
    </row>
    <row r="55" spans="1:16" s="69" customFormat="1" x14ac:dyDescent="0.2">
      <c r="A55" s="109" t="str">
        <v>0:00</v>
      </c>
      <c r="B55" s="108"/>
      <c r="C55" s="130"/>
      <c r="D55" s="130"/>
      <c r="E55" s="130"/>
      <c r="F55" s="130"/>
      <c r="G55" s="130"/>
      <c r="H55" s="130"/>
      <c r="I55" s="130"/>
      <c r="J55" s="130"/>
      <c r="K55" s="130"/>
      <c r="L55" s="130"/>
      <c r="M55" s="130"/>
      <c r="N55" s="130"/>
      <c r="O55" s="130"/>
      <c r="P55" s="130"/>
    </row>
    <row r="56" spans="1:16" s="69" customFormat="1" x14ac:dyDescent="0.2">
      <c r="A56" s="109" t="str">
        <v>0:00</v>
      </c>
      <c r="B56" s="108"/>
      <c r="C56" s="130"/>
      <c r="D56" s="130"/>
      <c r="E56" s="130"/>
      <c r="F56" s="130"/>
      <c r="G56" s="130"/>
      <c r="H56" s="130"/>
      <c r="I56" s="130"/>
      <c r="J56" s="130"/>
      <c r="K56" s="130"/>
      <c r="L56" s="130"/>
      <c r="M56" s="130"/>
      <c r="N56" s="130"/>
      <c r="O56" s="130"/>
      <c r="P56" s="130"/>
    </row>
    <row r="57" spans="1:16" s="69" customFormat="1" x14ac:dyDescent="0.2">
      <c r="A57" s="109" t="str">
        <v>0:00</v>
      </c>
      <c r="B57" s="108"/>
      <c r="C57" s="130"/>
      <c r="D57" s="130"/>
      <c r="E57" s="130"/>
      <c r="F57" s="130"/>
      <c r="G57" s="130"/>
      <c r="H57" s="130"/>
      <c r="I57" s="130"/>
      <c r="J57" s="130"/>
      <c r="K57" s="130"/>
      <c r="L57" s="130"/>
      <c r="M57" s="130"/>
      <c r="N57" s="130"/>
      <c r="O57" s="130"/>
      <c r="P57" s="130"/>
    </row>
    <row r="58" spans="1:16" s="69" customFormat="1" x14ac:dyDescent="0.2">
      <c r="A58" s="109" t="str">
        <v>0:00</v>
      </c>
      <c r="B58" s="108"/>
      <c r="C58" s="130"/>
      <c r="D58" s="130"/>
      <c r="E58" s="130"/>
      <c r="F58" s="130"/>
      <c r="G58" s="130"/>
      <c r="H58" s="130"/>
      <c r="I58" s="130"/>
      <c r="J58" s="130"/>
      <c r="K58" s="130"/>
      <c r="L58" s="130"/>
      <c r="M58" s="130"/>
      <c r="N58" s="130"/>
      <c r="O58" s="130"/>
      <c r="P58" s="130"/>
    </row>
    <row r="59" spans="1:16" s="69" customFormat="1" x14ac:dyDescent="0.2">
      <c r="A59" s="109" t="str">
        <v>0:00</v>
      </c>
      <c r="B59" s="108"/>
      <c r="C59" s="130"/>
      <c r="D59" s="130"/>
      <c r="E59" s="130"/>
      <c r="F59" s="130"/>
      <c r="G59" s="130"/>
      <c r="H59" s="130"/>
      <c r="I59" s="130"/>
      <c r="J59" s="130"/>
      <c r="K59" s="130"/>
      <c r="L59" s="130"/>
      <c r="M59" s="130"/>
      <c r="N59" s="130"/>
      <c r="O59" s="130"/>
      <c r="P59" s="130"/>
    </row>
    <row r="60" spans="1:16" s="69" customFormat="1" x14ac:dyDescent="0.2">
      <c r="A60" s="109" t="str">
        <v>0:00</v>
      </c>
      <c r="B60" s="108"/>
      <c r="C60" s="130"/>
      <c r="D60" s="130"/>
      <c r="E60" s="130"/>
      <c r="F60" s="130"/>
      <c r="G60" s="130"/>
      <c r="H60" s="130"/>
      <c r="I60" s="130"/>
      <c r="J60" s="130"/>
      <c r="K60" s="130"/>
      <c r="L60" s="130"/>
      <c r="M60" s="130"/>
      <c r="N60" s="130"/>
      <c r="O60" s="130"/>
      <c r="P60" s="130"/>
    </row>
    <row r="61" spans="1:16" s="69" customFormat="1" x14ac:dyDescent="0.2">
      <c r="A61" s="109" t="str">
        <v>0:00</v>
      </c>
      <c r="B61" s="108"/>
      <c r="C61" s="130"/>
      <c r="D61" s="130"/>
      <c r="E61" s="130"/>
      <c r="F61" s="130"/>
      <c r="G61" s="130"/>
      <c r="H61" s="130"/>
      <c r="I61" s="130"/>
      <c r="J61" s="130"/>
      <c r="K61" s="130"/>
      <c r="L61" s="130"/>
      <c r="M61" s="130"/>
      <c r="N61" s="130"/>
      <c r="O61" s="130"/>
      <c r="P61" s="130"/>
    </row>
    <row r="62" spans="1:16" s="69" customFormat="1" x14ac:dyDescent="0.2">
      <c r="A62" s="109" t="str">
        <v>0:00</v>
      </c>
      <c r="B62" s="108"/>
      <c r="C62" s="130"/>
      <c r="D62" s="130"/>
      <c r="E62" s="130"/>
      <c r="F62" s="130"/>
      <c r="G62" s="130"/>
      <c r="H62" s="130"/>
      <c r="I62" s="130"/>
      <c r="J62" s="130"/>
      <c r="K62" s="130"/>
      <c r="L62" s="130"/>
      <c r="M62" s="130"/>
      <c r="N62" s="130"/>
      <c r="O62" s="130"/>
      <c r="P62" s="130"/>
    </row>
    <row r="63" spans="1:16" s="69" customFormat="1" x14ac:dyDescent="0.2">
      <c r="A63" s="109" t="str">
        <v>0:00</v>
      </c>
      <c r="B63" s="108"/>
      <c r="C63" s="130"/>
      <c r="D63" s="130"/>
      <c r="E63" s="130"/>
      <c r="F63" s="130"/>
      <c r="G63" s="130"/>
      <c r="H63" s="130"/>
      <c r="I63" s="130"/>
      <c r="J63" s="130"/>
      <c r="K63" s="130"/>
      <c r="L63" s="130"/>
      <c r="M63" s="130"/>
      <c r="N63" s="130"/>
      <c r="O63" s="130"/>
      <c r="P63" s="130"/>
    </row>
    <row r="64" spans="1:16" s="69" customFormat="1" x14ac:dyDescent="0.2">
      <c r="A64" s="109" t="str">
        <v>0:00</v>
      </c>
      <c r="B64" s="108"/>
      <c r="C64" s="130"/>
      <c r="D64" s="130"/>
      <c r="E64" s="130"/>
      <c r="F64" s="130"/>
      <c r="G64" s="130"/>
      <c r="H64" s="130"/>
      <c r="I64" s="130"/>
      <c r="J64" s="130"/>
      <c r="K64" s="130"/>
      <c r="L64" s="130"/>
      <c r="M64" s="130"/>
      <c r="N64" s="130"/>
      <c r="O64" s="130"/>
      <c r="P64" s="130"/>
    </row>
    <row r="65" spans="1:16" s="69" customFormat="1" x14ac:dyDescent="0.2">
      <c r="A65" s="109" t="str">
        <v>0:00</v>
      </c>
      <c r="B65" s="108"/>
      <c r="C65" s="130"/>
      <c r="D65" s="130"/>
      <c r="E65" s="130"/>
      <c r="F65" s="130"/>
      <c r="G65" s="130"/>
      <c r="H65" s="130"/>
      <c r="I65" s="130"/>
      <c r="J65" s="130"/>
      <c r="K65" s="130"/>
      <c r="L65" s="130"/>
      <c r="M65" s="130"/>
      <c r="N65" s="130"/>
      <c r="O65" s="130"/>
      <c r="P65" s="130"/>
    </row>
    <row r="66" spans="1:16" s="69" customFormat="1" x14ac:dyDescent="0.2">
      <c r="A66" s="109" t="str">
        <v>0:00</v>
      </c>
      <c r="B66" s="108"/>
      <c r="C66" s="130"/>
      <c r="D66" s="130"/>
      <c r="E66" s="130"/>
      <c r="F66" s="130"/>
      <c r="G66" s="130"/>
      <c r="H66" s="130"/>
      <c r="I66" s="130"/>
      <c r="J66" s="130"/>
      <c r="K66" s="130"/>
      <c r="L66" s="130"/>
      <c r="M66" s="130"/>
      <c r="N66" s="130"/>
      <c r="O66" s="130"/>
      <c r="P66" s="130"/>
    </row>
    <row r="67" spans="1:16" s="69" customFormat="1" x14ac:dyDescent="0.2">
      <c r="A67" s="109" t="str">
        <v>0:00</v>
      </c>
      <c r="B67" s="108"/>
      <c r="C67" s="130"/>
      <c r="D67" s="130"/>
      <c r="E67" s="130"/>
      <c r="F67" s="130"/>
      <c r="G67" s="130"/>
      <c r="H67" s="130"/>
      <c r="I67" s="130"/>
      <c r="J67" s="130"/>
      <c r="K67" s="130"/>
      <c r="L67" s="130"/>
      <c r="M67" s="130"/>
      <c r="N67" s="130"/>
      <c r="O67" s="130"/>
      <c r="P67" s="130"/>
    </row>
    <row r="68" spans="1:16" s="69" customFormat="1" x14ac:dyDescent="0.2">
      <c r="A68" s="109" t="str">
        <v>0:00</v>
      </c>
      <c r="B68" s="108"/>
      <c r="C68" s="130"/>
      <c r="D68" s="130"/>
      <c r="E68" s="130"/>
      <c r="F68" s="130"/>
      <c r="G68" s="130"/>
      <c r="H68" s="130"/>
      <c r="I68" s="130"/>
      <c r="J68" s="130"/>
      <c r="K68" s="130"/>
      <c r="L68" s="130"/>
      <c r="M68" s="130"/>
      <c r="N68" s="130"/>
      <c r="O68" s="130"/>
      <c r="P68" s="130"/>
    </row>
    <row r="69" spans="1:16" s="69" customFormat="1" x14ac:dyDescent="0.2">
      <c r="A69" s="109" t="str">
        <v>0:00</v>
      </c>
      <c r="B69" s="108"/>
      <c r="C69" s="130"/>
      <c r="D69" s="130"/>
      <c r="E69" s="130"/>
      <c r="F69" s="130"/>
      <c r="G69" s="130"/>
      <c r="H69" s="130"/>
      <c r="I69" s="130"/>
      <c r="J69" s="130"/>
      <c r="K69" s="130"/>
      <c r="L69" s="130"/>
      <c r="M69" s="130"/>
      <c r="N69" s="130"/>
      <c r="O69" s="130"/>
      <c r="P69" s="130"/>
    </row>
    <row r="70" spans="1:16" s="69" customFormat="1" x14ac:dyDescent="0.2">
      <c r="A70" s="109" t="str">
        <v>0:00</v>
      </c>
      <c r="B70" s="108"/>
      <c r="C70" s="130"/>
      <c r="D70" s="130"/>
      <c r="E70" s="130"/>
      <c r="F70" s="130"/>
      <c r="G70" s="130"/>
      <c r="H70" s="130"/>
      <c r="I70" s="130"/>
      <c r="J70" s="130"/>
      <c r="K70" s="130"/>
      <c r="L70" s="130"/>
      <c r="M70" s="130"/>
      <c r="N70" s="130"/>
      <c r="O70" s="130"/>
      <c r="P70" s="130"/>
    </row>
    <row r="71" spans="1:16" s="69" customFormat="1" x14ac:dyDescent="0.2">
      <c r="A71" s="109" t="str">
        <v>0:00</v>
      </c>
      <c r="B71" s="108"/>
      <c r="C71" s="130"/>
      <c r="D71" s="130"/>
      <c r="E71" s="130"/>
      <c r="F71" s="130"/>
      <c r="G71" s="130"/>
      <c r="H71" s="130"/>
      <c r="I71" s="130"/>
      <c r="J71" s="130"/>
      <c r="K71" s="130"/>
      <c r="L71" s="130"/>
      <c r="M71" s="130"/>
      <c r="N71" s="130"/>
      <c r="O71" s="130"/>
      <c r="P71" s="130"/>
    </row>
    <row r="72" spans="1:16" s="69" customFormat="1" x14ac:dyDescent="0.2">
      <c r="A72" s="109" t="str">
        <v>0:00</v>
      </c>
      <c r="B72" s="108"/>
      <c r="C72" s="130"/>
      <c r="D72" s="130"/>
      <c r="E72" s="130"/>
      <c r="F72" s="130"/>
      <c r="G72" s="130"/>
      <c r="H72" s="130"/>
      <c r="I72" s="130"/>
      <c r="J72" s="130"/>
      <c r="K72" s="130"/>
      <c r="L72" s="130"/>
      <c r="M72" s="130"/>
      <c r="N72" s="130"/>
      <c r="O72" s="130"/>
      <c r="P72" s="130"/>
    </row>
    <row r="73" spans="1:16" s="69" customFormat="1" x14ac:dyDescent="0.2">
      <c r="A73" s="109" t="str">
        <v>0:00</v>
      </c>
      <c r="B73" s="108"/>
      <c r="C73" s="130"/>
      <c r="D73" s="130"/>
      <c r="E73" s="130"/>
      <c r="F73" s="130"/>
      <c r="G73" s="130"/>
      <c r="H73" s="130"/>
      <c r="I73" s="130"/>
      <c r="J73" s="130"/>
      <c r="K73" s="130"/>
      <c r="L73" s="130"/>
      <c r="M73" s="130"/>
      <c r="N73" s="130"/>
      <c r="O73" s="130"/>
      <c r="P73" s="130"/>
    </row>
    <row r="74" spans="1:16" s="69" customFormat="1" x14ac:dyDescent="0.2">
      <c r="A74" s="109" t="str">
        <v>0:00</v>
      </c>
      <c r="B74" s="108"/>
      <c r="C74" s="130"/>
      <c r="D74" s="130"/>
      <c r="E74" s="130"/>
      <c r="F74" s="130"/>
      <c r="G74" s="130"/>
      <c r="H74" s="130"/>
      <c r="I74" s="130"/>
      <c r="J74" s="130"/>
      <c r="K74" s="130"/>
      <c r="L74" s="130"/>
      <c r="M74" s="130"/>
      <c r="N74" s="130"/>
      <c r="O74" s="130"/>
      <c r="P74" s="130"/>
    </row>
    <row r="75" spans="1:16" s="69" customFormat="1" x14ac:dyDescent="0.2">
      <c r="A75" s="109" t="str">
        <v>0:00</v>
      </c>
      <c r="B75" s="108"/>
      <c r="C75" s="130"/>
      <c r="D75" s="130"/>
      <c r="E75" s="130"/>
      <c r="F75" s="130"/>
      <c r="G75" s="130"/>
      <c r="H75" s="130"/>
      <c r="I75" s="130"/>
      <c r="J75" s="130"/>
      <c r="K75" s="130"/>
      <c r="L75" s="130"/>
      <c r="M75" s="130"/>
      <c r="N75" s="130"/>
      <c r="O75" s="130"/>
      <c r="P75" s="130"/>
    </row>
    <row r="76" spans="1:16" s="69" customFormat="1" x14ac:dyDescent="0.2">
      <c r="A76" s="109" t="str">
        <v>0:00</v>
      </c>
      <c r="B76" s="108"/>
      <c r="C76" s="130"/>
      <c r="D76" s="130"/>
      <c r="E76" s="130"/>
      <c r="F76" s="130"/>
      <c r="G76" s="130"/>
      <c r="H76" s="130"/>
      <c r="I76" s="130"/>
      <c r="J76" s="130"/>
      <c r="K76" s="130"/>
      <c r="L76" s="130"/>
      <c r="M76" s="130"/>
      <c r="N76" s="130"/>
      <c r="O76" s="130"/>
      <c r="P76" s="130"/>
    </row>
    <row r="77" spans="1:16" s="69" customFormat="1" x14ac:dyDescent="0.2">
      <c r="A77" s="109" t="str">
        <v>0:00</v>
      </c>
      <c r="B77" s="108"/>
      <c r="C77" s="130"/>
      <c r="D77" s="130"/>
      <c r="E77" s="130"/>
      <c r="F77" s="130"/>
      <c r="G77" s="130"/>
      <c r="H77" s="130"/>
      <c r="I77" s="130"/>
      <c r="J77" s="130"/>
      <c r="K77" s="130"/>
      <c r="L77" s="130"/>
      <c r="M77" s="130"/>
      <c r="N77" s="130"/>
      <c r="O77" s="130"/>
      <c r="P77" s="130"/>
    </row>
    <row r="78" spans="1:16" s="69" customFormat="1" x14ac:dyDescent="0.2">
      <c r="A78" s="109" t="str">
        <v>0:00</v>
      </c>
      <c r="B78" s="108"/>
      <c r="C78" s="130"/>
      <c r="D78" s="130"/>
      <c r="E78" s="130"/>
      <c r="F78" s="130"/>
      <c r="G78" s="130"/>
      <c r="H78" s="130"/>
      <c r="I78" s="130"/>
      <c r="J78" s="130"/>
      <c r="K78" s="130"/>
      <c r="L78" s="130"/>
      <c r="M78" s="130"/>
      <c r="N78" s="130"/>
      <c r="O78" s="130"/>
      <c r="P78" s="130"/>
    </row>
    <row r="79" spans="1:16" s="71" customFormat="1" x14ac:dyDescent="0.2">
      <c r="A79" s="70" t="str">
        <v>0:00</v>
      </c>
      <c r="B79" s="108"/>
      <c r="C79" s="130"/>
      <c r="D79" s="130"/>
      <c r="E79" s="130"/>
      <c r="F79" s="130"/>
      <c r="G79" s="130"/>
      <c r="H79" s="130"/>
      <c r="I79" s="130"/>
      <c r="J79" s="130"/>
      <c r="K79" s="130"/>
      <c r="L79" s="130"/>
      <c r="M79" s="130"/>
      <c r="N79" s="130"/>
      <c r="O79" s="130"/>
      <c r="P79" s="130"/>
    </row>
    <row r="80" spans="1:16" s="71" customFormat="1" x14ac:dyDescent="0.2">
      <c r="A80" s="70" t="str">
        <v>0:00</v>
      </c>
      <c r="B80" s="108"/>
      <c r="C80" s="130"/>
      <c r="D80" s="130"/>
      <c r="E80" s="130"/>
      <c r="F80" s="130"/>
      <c r="G80" s="130"/>
      <c r="H80" s="130"/>
      <c r="I80" s="130"/>
      <c r="J80" s="130"/>
      <c r="K80" s="130"/>
      <c r="L80" s="130"/>
      <c r="M80" s="130"/>
      <c r="N80" s="130"/>
      <c r="O80" s="130"/>
      <c r="P80" s="130"/>
    </row>
    <row r="81" spans="1:16" s="71" customFormat="1" x14ac:dyDescent="0.2">
      <c r="A81" s="70" t="str">
        <v>0:00</v>
      </c>
      <c r="B81" s="108"/>
      <c r="C81" s="130"/>
      <c r="D81" s="130"/>
      <c r="E81" s="130"/>
      <c r="F81" s="130"/>
      <c r="G81" s="130"/>
      <c r="H81" s="130"/>
      <c r="I81" s="130"/>
      <c r="J81" s="130"/>
      <c r="K81" s="130"/>
      <c r="L81" s="130"/>
      <c r="M81" s="130"/>
      <c r="N81" s="130"/>
      <c r="O81" s="130"/>
      <c r="P81" s="130"/>
    </row>
    <row r="82" spans="1:16" s="71" customFormat="1" x14ac:dyDescent="0.2">
      <c r="A82" s="70" t="str">
        <v>0:00</v>
      </c>
      <c r="B82" s="108"/>
      <c r="C82" s="130"/>
      <c r="D82" s="130"/>
      <c r="E82" s="130"/>
      <c r="F82" s="130"/>
      <c r="G82" s="130"/>
      <c r="H82" s="130"/>
      <c r="I82" s="130"/>
      <c r="J82" s="130"/>
      <c r="K82" s="130"/>
      <c r="L82" s="130"/>
      <c r="M82" s="130"/>
      <c r="N82" s="130"/>
      <c r="O82" s="130"/>
      <c r="P82" s="130"/>
    </row>
    <row r="83" spans="1:16" s="71" customFormat="1" x14ac:dyDescent="0.2">
      <c r="A83" s="70" t="str">
        <v>0:00</v>
      </c>
      <c r="B83" s="108"/>
      <c r="C83" s="130"/>
      <c r="D83" s="130"/>
      <c r="E83" s="130"/>
      <c r="F83" s="130"/>
      <c r="G83" s="130"/>
      <c r="H83" s="130"/>
      <c r="I83" s="130"/>
      <c r="J83" s="130"/>
      <c r="K83" s="130"/>
      <c r="L83" s="130"/>
      <c r="M83" s="130"/>
      <c r="N83" s="130"/>
      <c r="O83" s="130"/>
      <c r="P83" s="130"/>
    </row>
    <row r="84" spans="1:16" s="69" customFormat="1" x14ac:dyDescent="0.2">
      <c r="A84" s="109" t="str">
        <v>0:00</v>
      </c>
      <c r="B84" s="108"/>
      <c r="C84" s="130"/>
      <c r="D84" s="130"/>
      <c r="E84" s="130"/>
      <c r="F84" s="130"/>
      <c r="G84" s="130"/>
      <c r="H84" s="130"/>
      <c r="I84" s="130"/>
      <c r="J84" s="130"/>
      <c r="K84" s="130"/>
      <c r="L84" s="130"/>
      <c r="M84" s="130"/>
      <c r="N84" s="130"/>
      <c r="O84" s="130"/>
      <c r="P84" s="130"/>
    </row>
    <row r="85" spans="1:16" s="69" customFormat="1" x14ac:dyDescent="0.2">
      <c r="A85" s="109" t="str">
        <v>0:00</v>
      </c>
      <c r="B85" s="108"/>
      <c r="C85" s="130"/>
      <c r="D85" s="130"/>
      <c r="E85" s="130"/>
      <c r="F85" s="130"/>
      <c r="G85" s="130"/>
      <c r="H85" s="130"/>
      <c r="I85" s="130"/>
      <c r="J85" s="130"/>
      <c r="K85" s="130"/>
      <c r="L85" s="130"/>
      <c r="M85" s="130"/>
      <c r="N85" s="130"/>
      <c r="O85" s="130"/>
      <c r="P85" s="130"/>
    </row>
    <row r="86" spans="1:16" s="69" customFormat="1" x14ac:dyDescent="0.2">
      <c r="A86" s="109" t="str">
        <v>0:00</v>
      </c>
      <c r="B86" s="108"/>
      <c r="C86" s="130"/>
      <c r="D86" s="130"/>
      <c r="E86" s="130"/>
      <c r="F86" s="130"/>
      <c r="G86" s="130"/>
      <c r="H86" s="130"/>
      <c r="I86" s="130"/>
      <c r="J86" s="130"/>
      <c r="K86" s="130"/>
      <c r="L86" s="130"/>
      <c r="M86" s="130"/>
      <c r="N86" s="130"/>
      <c r="O86" s="130"/>
      <c r="P86" s="130"/>
    </row>
    <row r="87" spans="1:16" s="69" customFormat="1" x14ac:dyDescent="0.2">
      <c r="A87" s="109" t="str">
        <v>0:00</v>
      </c>
      <c r="B87" s="108"/>
      <c r="C87" s="130"/>
      <c r="D87" s="130"/>
      <c r="E87" s="130"/>
      <c r="F87" s="130"/>
      <c r="G87" s="130"/>
      <c r="H87" s="130"/>
      <c r="I87" s="130"/>
      <c r="J87" s="130"/>
      <c r="K87" s="130"/>
      <c r="L87" s="130"/>
      <c r="M87" s="130"/>
      <c r="N87" s="130"/>
      <c r="O87" s="130"/>
      <c r="P87" s="130"/>
    </row>
    <row r="88" spans="1:16" s="69" customFormat="1" x14ac:dyDescent="0.2">
      <c r="A88" s="109" t="str">
        <v>0:00</v>
      </c>
      <c r="B88" s="108"/>
      <c r="C88" s="130"/>
      <c r="D88" s="130"/>
      <c r="E88" s="130"/>
      <c r="F88" s="130"/>
      <c r="G88" s="130"/>
      <c r="H88" s="130"/>
      <c r="I88" s="130"/>
      <c r="J88" s="130"/>
      <c r="K88" s="130"/>
      <c r="L88" s="130"/>
      <c r="M88" s="130"/>
      <c r="N88" s="130"/>
      <c r="O88" s="130"/>
      <c r="P88" s="130"/>
    </row>
    <row r="89" spans="1:16" s="69" customFormat="1" x14ac:dyDescent="0.2">
      <c r="A89" s="109" t="str">
        <v>0:00</v>
      </c>
      <c r="B89" s="108"/>
      <c r="C89" s="130"/>
      <c r="D89" s="130"/>
      <c r="E89" s="130"/>
      <c r="F89" s="130"/>
      <c r="G89" s="130"/>
      <c r="H89" s="130"/>
      <c r="I89" s="130"/>
      <c r="J89" s="130"/>
      <c r="K89" s="130"/>
      <c r="L89" s="130"/>
      <c r="M89" s="130"/>
      <c r="N89" s="130"/>
      <c r="O89" s="130"/>
      <c r="P89" s="130"/>
    </row>
    <row r="90" spans="1:16" s="69" customFormat="1" x14ac:dyDescent="0.2">
      <c r="A90" s="109" t="str">
        <v>0:00</v>
      </c>
      <c r="B90" s="108"/>
      <c r="C90" s="130"/>
      <c r="D90" s="130"/>
      <c r="E90" s="130"/>
      <c r="F90" s="130"/>
      <c r="G90" s="130"/>
      <c r="H90" s="130"/>
      <c r="I90" s="130"/>
      <c r="J90" s="130"/>
      <c r="K90" s="130"/>
      <c r="L90" s="130"/>
      <c r="M90" s="130"/>
      <c r="N90" s="130"/>
      <c r="O90" s="130"/>
      <c r="P90" s="130"/>
    </row>
    <row r="91" spans="1:16" s="69" customFormat="1" x14ac:dyDescent="0.2">
      <c r="A91" s="109" t="str">
        <v>0:00</v>
      </c>
      <c r="B91" s="108"/>
      <c r="C91" s="130"/>
      <c r="D91" s="130"/>
      <c r="E91" s="130"/>
      <c r="F91" s="130"/>
      <c r="G91" s="130"/>
      <c r="H91" s="130"/>
      <c r="I91" s="130"/>
      <c r="J91" s="130"/>
      <c r="K91" s="130"/>
      <c r="L91" s="130"/>
      <c r="M91" s="130"/>
      <c r="N91" s="130"/>
      <c r="O91" s="130"/>
      <c r="P91" s="130"/>
    </row>
    <row r="92" spans="1:16" s="69" customFormat="1" x14ac:dyDescent="0.2">
      <c r="A92" s="109" t="str">
        <v>0:00</v>
      </c>
      <c r="B92" s="108"/>
      <c r="C92" s="130"/>
      <c r="D92" s="130"/>
      <c r="E92" s="130"/>
      <c r="F92" s="130"/>
      <c r="G92" s="130"/>
      <c r="H92" s="130"/>
      <c r="I92" s="130"/>
      <c r="J92" s="130"/>
      <c r="K92" s="130"/>
      <c r="L92" s="130"/>
      <c r="M92" s="130"/>
      <c r="N92" s="130"/>
      <c r="O92" s="130"/>
      <c r="P92" s="130"/>
    </row>
    <row r="93" spans="1:16" s="69" customFormat="1" x14ac:dyDescent="0.2">
      <c r="A93" s="109" t="str">
        <v>0:00</v>
      </c>
      <c r="B93" s="108"/>
      <c r="C93" s="130"/>
      <c r="D93" s="130"/>
      <c r="E93" s="130"/>
      <c r="F93" s="130"/>
      <c r="G93" s="130"/>
      <c r="H93" s="130"/>
      <c r="I93" s="130"/>
      <c r="J93" s="130"/>
      <c r="K93" s="130"/>
      <c r="L93" s="130"/>
      <c r="M93" s="130"/>
      <c r="N93" s="130"/>
      <c r="O93" s="130"/>
      <c r="P93" s="130"/>
    </row>
    <row r="94" spans="1:16" s="69" customFormat="1" x14ac:dyDescent="0.2">
      <c r="A94" s="109" t="str">
        <v>0:00</v>
      </c>
      <c r="B94" s="108"/>
      <c r="C94" s="130"/>
      <c r="D94" s="130"/>
      <c r="E94" s="130"/>
      <c r="F94" s="130"/>
      <c r="G94" s="130"/>
      <c r="H94" s="130"/>
      <c r="I94" s="130"/>
      <c r="J94" s="130"/>
      <c r="K94" s="130"/>
      <c r="L94" s="130"/>
      <c r="M94" s="130"/>
      <c r="N94" s="130"/>
      <c r="O94" s="130"/>
      <c r="P94" s="130"/>
    </row>
    <row r="95" spans="1:16" s="69" customFormat="1" x14ac:dyDescent="0.2">
      <c r="A95" s="109" t="str">
        <v>0:00</v>
      </c>
      <c r="B95" s="108"/>
      <c r="C95" s="130"/>
      <c r="D95" s="130"/>
      <c r="E95" s="130"/>
      <c r="F95" s="130"/>
      <c r="G95" s="130"/>
      <c r="H95" s="130"/>
      <c r="I95" s="130"/>
      <c r="J95" s="130"/>
      <c r="K95" s="130"/>
      <c r="L95" s="130"/>
      <c r="M95" s="130"/>
      <c r="N95" s="130"/>
      <c r="O95" s="130"/>
      <c r="P95" s="130"/>
    </row>
    <row r="96" spans="1:16" s="69" customFormat="1" x14ac:dyDescent="0.2">
      <c r="A96" s="109" t="str">
        <v>0:00</v>
      </c>
      <c r="B96" s="108"/>
      <c r="C96" s="130"/>
      <c r="D96" s="130"/>
      <c r="E96" s="130"/>
      <c r="F96" s="130"/>
      <c r="G96" s="130"/>
      <c r="H96" s="130"/>
      <c r="I96" s="130"/>
      <c r="J96" s="130"/>
      <c r="K96" s="130"/>
      <c r="L96" s="130"/>
      <c r="M96" s="130"/>
      <c r="N96" s="130"/>
      <c r="O96" s="130"/>
      <c r="P96" s="130"/>
    </row>
    <row r="97" spans="1:16" s="69" customFormat="1" x14ac:dyDescent="0.2">
      <c r="A97" s="109" t="str">
        <v>0:00</v>
      </c>
      <c r="B97" s="108"/>
      <c r="C97" s="130"/>
      <c r="D97" s="130"/>
      <c r="E97" s="130"/>
      <c r="F97" s="130"/>
      <c r="G97" s="130"/>
      <c r="H97" s="130"/>
      <c r="I97" s="130"/>
      <c r="J97" s="130"/>
      <c r="K97" s="130"/>
      <c r="L97" s="130"/>
      <c r="M97" s="130"/>
      <c r="N97" s="130"/>
      <c r="O97" s="130"/>
      <c r="P97" s="130"/>
    </row>
    <row r="98" spans="1:16" s="69" customFormat="1" x14ac:dyDescent="0.2">
      <c r="A98" s="109" t="str">
        <v>0:00</v>
      </c>
      <c r="B98" s="108"/>
      <c r="C98" s="130"/>
      <c r="D98" s="130"/>
      <c r="E98" s="130"/>
      <c r="F98" s="130"/>
      <c r="G98" s="130"/>
      <c r="H98" s="130"/>
      <c r="I98" s="130"/>
      <c r="J98" s="130"/>
      <c r="K98" s="130"/>
      <c r="L98" s="130"/>
      <c r="M98" s="130"/>
      <c r="N98" s="130"/>
      <c r="O98" s="130"/>
      <c r="P98" s="130"/>
    </row>
    <row r="99" spans="1:16" s="69" customFormat="1" x14ac:dyDescent="0.2">
      <c r="A99" s="109" t="str">
        <v>0:00</v>
      </c>
      <c r="B99" s="108"/>
      <c r="C99" s="130"/>
      <c r="D99" s="130"/>
      <c r="E99" s="130"/>
      <c r="F99" s="130"/>
      <c r="G99" s="130"/>
      <c r="H99" s="130"/>
      <c r="I99" s="130"/>
      <c r="J99" s="130"/>
      <c r="K99" s="130"/>
      <c r="L99" s="130"/>
      <c r="M99" s="130"/>
      <c r="N99" s="130"/>
      <c r="O99" s="130"/>
      <c r="P99" s="130"/>
    </row>
    <row r="100" spans="1:16" s="69" customFormat="1" x14ac:dyDescent="0.2">
      <c r="A100" s="109" t="str">
        <v>0:00</v>
      </c>
      <c r="B100" s="108"/>
      <c r="C100" s="130"/>
      <c r="D100" s="130"/>
      <c r="E100" s="130"/>
      <c r="F100" s="130"/>
      <c r="G100" s="130"/>
      <c r="H100" s="130"/>
      <c r="I100" s="130"/>
      <c r="J100" s="130"/>
      <c r="K100" s="130"/>
      <c r="L100" s="130"/>
      <c r="M100" s="130"/>
      <c r="N100" s="130"/>
      <c r="O100" s="130"/>
      <c r="P100" s="130"/>
    </row>
    <row r="101" spans="1:16" s="69" customFormat="1" x14ac:dyDescent="0.2">
      <c r="A101" s="109" t="str">
        <v>0:00</v>
      </c>
      <c r="B101" s="108"/>
      <c r="C101" s="130"/>
      <c r="D101" s="130"/>
      <c r="E101" s="130"/>
      <c r="F101" s="130"/>
      <c r="G101" s="130"/>
      <c r="H101" s="130"/>
      <c r="I101" s="130"/>
      <c r="J101" s="130"/>
      <c r="K101" s="130"/>
      <c r="L101" s="130"/>
      <c r="M101" s="130"/>
      <c r="N101" s="130"/>
      <c r="O101" s="130"/>
      <c r="P101" s="130"/>
    </row>
    <row r="102" spans="1:16" s="69" customFormat="1" x14ac:dyDescent="0.2">
      <c r="A102" s="109" t="str">
        <v>0:00</v>
      </c>
      <c r="B102" s="108"/>
      <c r="C102" s="130"/>
      <c r="D102" s="130"/>
      <c r="E102" s="130"/>
      <c r="F102" s="130"/>
      <c r="G102" s="130"/>
      <c r="H102" s="130"/>
      <c r="I102" s="130"/>
      <c r="J102" s="130"/>
      <c r="K102" s="130"/>
      <c r="L102" s="130"/>
      <c r="M102" s="130"/>
      <c r="N102" s="130"/>
      <c r="O102" s="130"/>
      <c r="P102" s="130"/>
    </row>
    <row r="103" spans="1:16" s="69" customFormat="1" x14ac:dyDescent="0.2">
      <c r="A103" s="109" t="str">
        <v>0:00</v>
      </c>
      <c r="B103" s="108"/>
      <c r="C103" s="130"/>
      <c r="D103" s="130"/>
      <c r="E103" s="130"/>
      <c r="F103" s="130"/>
      <c r="G103" s="130"/>
      <c r="H103" s="130"/>
      <c r="I103" s="130"/>
      <c r="J103" s="130"/>
      <c r="K103" s="130"/>
      <c r="L103" s="130"/>
      <c r="M103" s="130"/>
      <c r="N103" s="130"/>
      <c r="O103" s="130"/>
      <c r="P103" s="130"/>
    </row>
    <row r="104" spans="1:16" s="69" customFormat="1" x14ac:dyDescent="0.2">
      <c r="A104" s="109" t="str">
        <v>0:00</v>
      </c>
      <c r="B104" s="108"/>
      <c r="C104" s="130"/>
      <c r="D104" s="130"/>
      <c r="E104" s="130"/>
      <c r="F104" s="130"/>
      <c r="G104" s="130"/>
      <c r="H104" s="130"/>
      <c r="I104" s="130"/>
      <c r="J104" s="130"/>
      <c r="K104" s="130"/>
      <c r="L104" s="130"/>
      <c r="M104" s="130"/>
      <c r="N104" s="130"/>
      <c r="O104" s="130"/>
      <c r="P104" s="130"/>
    </row>
    <row r="105" spans="1:16" s="69" customFormat="1" x14ac:dyDescent="0.2">
      <c r="A105" s="109" t="str">
        <v>0:00</v>
      </c>
      <c r="B105" s="108"/>
      <c r="C105" s="130"/>
      <c r="D105" s="130"/>
      <c r="E105" s="130"/>
      <c r="F105" s="130"/>
      <c r="G105" s="130"/>
      <c r="H105" s="130"/>
      <c r="I105" s="130"/>
      <c r="J105" s="130"/>
      <c r="K105" s="130"/>
      <c r="L105" s="130"/>
      <c r="M105" s="130"/>
      <c r="N105" s="130"/>
      <c r="O105" s="130"/>
      <c r="P105" s="130"/>
    </row>
    <row r="106" spans="1:16" x14ac:dyDescent="0.2">
      <c r="A106" s="49" t="str">
        <v>0:00</v>
      </c>
      <c r="B106" s="108"/>
      <c r="C106" s="130"/>
      <c r="D106" s="130"/>
      <c r="E106" s="130"/>
      <c r="F106" s="130"/>
      <c r="G106" s="130"/>
      <c r="H106" s="130"/>
      <c r="I106" s="130"/>
      <c r="J106" s="130"/>
      <c r="K106" s="130"/>
      <c r="L106" s="130"/>
      <c r="M106" s="130"/>
      <c r="N106" s="130"/>
      <c r="O106" s="130"/>
      <c r="P106" s="130"/>
    </row>
    <row r="107" spans="1:16" x14ac:dyDescent="0.2">
      <c r="A107" s="49" t="str">
        <v>0:00</v>
      </c>
      <c r="B107" s="108"/>
      <c r="C107" s="130"/>
      <c r="D107" s="130"/>
      <c r="E107" s="130"/>
      <c r="F107" s="130"/>
      <c r="G107" s="130"/>
      <c r="H107" s="130"/>
      <c r="I107" s="130"/>
      <c r="J107" s="130"/>
      <c r="K107" s="130"/>
      <c r="L107" s="130"/>
      <c r="M107" s="130"/>
      <c r="N107" s="130"/>
      <c r="O107" s="130"/>
      <c r="P107" s="130"/>
    </row>
    <row r="108" spans="1:16" x14ac:dyDescent="0.2">
      <c r="A108" s="49" t="str">
        <v>0:00</v>
      </c>
      <c r="B108" s="108"/>
      <c r="C108" s="130"/>
      <c r="D108" s="130"/>
      <c r="E108" s="130"/>
      <c r="F108" s="130"/>
      <c r="G108" s="130"/>
      <c r="H108" s="130"/>
      <c r="I108" s="130"/>
      <c r="J108" s="130"/>
      <c r="K108" s="130"/>
      <c r="L108" s="130"/>
      <c r="M108" s="130"/>
      <c r="N108" s="130"/>
      <c r="O108" s="130"/>
      <c r="P108" s="130"/>
    </row>
    <row r="109" spans="1:16" x14ac:dyDescent="0.2">
      <c r="A109" s="49" t="str">
        <v>0:00</v>
      </c>
      <c r="B109" s="108"/>
      <c r="C109" s="130"/>
      <c r="D109" s="130"/>
      <c r="E109" s="130"/>
      <c r="F109" s="130"/>
      <c r="G109" s="130"/>
      <c r="H109" s="130"/>
      <c r="I109" s="130"/>
      <c r="J109" s="130"/>
      <c r="K109" s="130"/>
      <c r="L109" s="130"/>
      <c r="M109" s="130"/>
      <c r="N109" s="130"/>
      <c r="O109" s="130"/>
      <c r="P109" s="130"/>
    </row>
    <row r="110" spans="1:16" x14ac:dyDescent="0.2">
      <c r="A110" s="49" t="str">
        <v>0:00</v>
      </c>
      <c r="B110" s="108"/>
      <c r="C110" s="130"/>
      <c r="D110" s="130"/>
      <c r="E110" s="130"/>
      <c r="F110" s="130"/>
      <c r="G110" s="130"/>
      <c r="H110" s="130"/>
      <c r="I110" s="130"/>
      <c r="J110" s="130"/>
      <c r="K110" s="130"/>
      <c r="L110" s="130"/>
      <c r="M110" s="130"/>
      <c r="N110" s="130"/>
      <c r="O110" s="130"/>
      <c r="P110" s="130"/>
    </row>
    <row r="111" spans="1:16" x14ac:dyDescent="0.2">
      <c r="A111" s="49" t="str">
        <v>0:00</v>
      </c>
      <c r="B111" s="108"/>
      <c r="C111" s="130"/>
      <c r="D111" s="130"/>
      <c r="E111" s="130"/>
      <c r="F111" s="130"/>
      <c r="G111" s="130"/>
      <c r="H111" s="130"/>
      <c r="I111" s="130"/>
      <c r="J111" s="130"/>
      <c r="K111" s="130"/>
      <c r="L111" s="130"/>
      <c r="M111" s="130"/>
      <c r="N111" s="130"/>
      <c r="O111" s="130"/>
      <c r="P111" s="130"/>
    </row>
    <row r="112" spans="1:16" x14ac:dyDescent="0.2">
      <c r="A112" s="49" t="str">
        <v>0:00</v>
      </c>
      <c r="B112" s="108"/>
      <c r="C112" s="130"/>
      <c r="D112" s="130"/>
      <c r="E112" s="130"/>
      <c r="F112" s="130"/>
      <c r="G112" s="130"/>
      <c r="H112" s="130"/>
      <c r="I112" s="130"/>
      <c r="J112" s="130"/>
      <c r="K112" s="130"/>
      <c r="L112" s="130"/>
      <c r="M112" s="130"/>
      <c r="N112" s="130"/>
      <c r="O112" s="130"/>
      <c r="P112" s="130"/>
    </row>
    <row r="113" spans="1:16" x14ac:dyDescent="0.2">
      <c r="A113" s="49" t="str">
        <v>0:00</v>
      </c>
      <c r="B113" s="108"/>
      <c r="C113" s="130"/>
      <c r="D113" s="130"/>
      <c r="E113" s="130"/>
      <c r="F113" s="130"/>
      <c r="G113" s="130"/>
      <c r="H113" s="130"/>
      <c r="I113" s="130"/>
      <c r="J113" s="130"/>
      <c r="K113" s="130"/>
      <c r="L113" s="130"/>
      <c r="M113" s="130"/>
      <c r="N113" s="130"/>
      <c r="O113" s="130"/>
      <c r="P113" s="130"/>
    </row>
    <row r="114" spans="1:16" x14ac:dyDescent="0.2">
      <c r="A114" s="49" t="str">
        <v>0:00</v>
      </c>
      <c r="B114" s="108"/>
      <c r="C114" s="130"/>
      <c r="D114" s="130"/>
      <c r="E114" s="130"/>
      <c r="F114" s="130"/>
      <c r="G114" s="130"/>
      <c r="H114" s="130"/>
      <c r="I114" s="130"/>
      <c r="J114" s="130"/>
      <c r="K114" s="130"/>
      <c r="L114" s="130"/>
      <c r="M114" s="130"/>
      <c r="N114" s="130"/>
      <c r="O114" s="130"/>
      <c r="P114" s="130"/>
    </row>
    <row r="115" spans="1:16" x14ac:dyDescent="0.2">
      <c r="A115" s="49" t="str">
        <v>0:00</v>
      </c>
      <c r="B115" s="108"/>
      <c r="C115" s="130"/>
      <c r="D115" s="130"/>
      <c r="E115" s="130"/>
      <c r="F115" s="130"/>
      <c r="G115" s="130"/>
      <c r="H115" s="130"/>
      <c r="I115" s="130"/>
      <c r="J115" s="130"/>
      <c r="K115" s="130"/>
      <c r="L115" s="130"/>
      <c r="M115" s="130"/>
      <c r="N115" s="130"/>
      <c r="O115" s="130"/>
      <c r="P115" s="130"/>
    </row>
    <row r="116" spans="1:16" x14ac:dyDescent="0.2">
      <c r="A116" s="49" t="str">
        <v>0:00</v>
      </c>
      <c r="B116" s="108"/>
      <c r="C116" s="130"/>
      <c r="D116" s="130"/>
      <c r="E116" s="130"/>
      <c r="F116" s="130"/>
      <c r="G116" s="130"/>
      <c r="H116" s="130"/>
      <c r="I116" s="130"/>
      <c r="J116" s="130"/>
      <c r="K116" s="130"/>
      <c r="L116" s="130"/>
      <c r="M116" s="130"/>
      <c r="N116" s="130"/>
      <c r="O116" s="130"/>
      <c r="P116" s="130"/>
    </row>
    <row r="117" spans="1:16" x14ac:dyDescent="0.2">
      <c r="A117" s="49" t="str">
        <v>0:00</v>
      </c>
      <c r="B117" s="108"/>
      <c r="C117" s="130"/>
      <c r="D117" s="130"/>
      <c r="E117" s="130"/>
      <c r="F117" s="130"/>
      <c r="G117" s="130"/>
      <c r="H117" s="130"/>
      <c r="I117" s="130"/>
      <c r="J117" s="130"/>
      <c r="K117" s="130"/>
      <c r="L117" s="130"/>
      <c r="M117" s="130"/>
      <c r="N117" s="130"/>
      <c r="O117" s="130"/>
      <c r="P117" s="130"/>
    </row>
    <row r="118" spans="1:16" x14ac:dyDescent="0.2">
      <c r="A118" s="49" t="str">
        <v>0:00</v>
      </c>
      <c r="B118" s="108"/>
      <c r="C118" s="130"/>
      <c r="D118" s="130"/>
      <c r="E118" s="130"/>
      <c r="F118" s="130"/>
      <c r="G118" s="130"/>
      <c r="H118" s="130"/>
      <c r="I118" s="130"/>
      <c r="J118" s="130"/>
      <c r="K118" s="130"/>
      <c r="L118" s="130"/>
      <c r="M118" s="130"/>
      <c r="N118" s="130"/>
      <c r="O118" s="130"/>
      <c r="P118" s="130"/>
    </row>
    <row r="119" spans="1:16" x14ac:dyDescent="0.2">
      <c r="A119" s="49" t="str">
        <v>0:00</v>
      </c>
      <c r="B119" s="108"/>
      <c r="C119" s="130"/>
      <c r="D119" s="130"/>
      <c r="E119" s="130"/>
      <c r="F119" s="130"/>
      <c r="G119" s="130"/>
      <c r="H119" s="130"/>
      <c r="I119" s="130"/>
      <c r="J119" s="130"/>
      <c r="K119" s="130"/>
      <c r="L119" s="130"/>
      <c r="M119" s="130"/>
      <c r="N119" s="130"/>
      <c r="O119" s="130"/>
      <c r="P119" s="130"/>
    </row>
    <row r="120" spans="1:16" x14ac:dyDescent="0.2">
      <c r="A120" s="49" t="str">
        <v>0:00</v>
      </c>
      <c r="B120" s="108"/>
      <c r="C120" s="130"/>
      <c r="D120" s="130"/>
      <c r="E120" s="130"/>
      <c r="F120" s="130"/>
      <c r="G120" s="130"/>
      <c r="H120" s="130"/>
      <c r="I120" s="130"/>
      <c r="J120" s="130"/>
      <c r="K120" s="130"/>
      <c r="L120" s="130"/>
      <c r="M120" s="130"/>
      <c r="N120" s="130"/>
      <c r="O120" s="130"/>
      <c r="P120" s="130"/>
    </row>
    <row r="121" spans="1:16" x14ac:dyDescent="0.2">
      <c r="A121" s="49" t="str">
        <v>0:00</v>
      </c>
      <c r="B121" s="108"/>
      <c r="C121" s="130"/>
      <c r="D121" s="130"/>
      <c r="E121" s="130"/>
      <c r="F121" s="130"/>
      <c r="G121" s="130"/>
      <c r="H121" s="130"/>
      <c r="I121" s="130"/>
      <c r="J121" s="130"/>
      <c r="K121" s="130"/>
      <c r="L121" s="130"/>
      <c r="M121" s="130"/>
      <c r="N121" s="130"/>
      <c r="O121" s="130"/>
      <c r="P121" s="130"/>
    </row>
    <row r="122" spans="1:16" x14ac:dyDescent="0.2">
      <c r="A122" s="49" t="str">
        <v>0:00</v>
      </c>
      <c r="B122" s="108"/>
      <c r="C122" s="130"/>
      <c r="D122" s="130"/>
      <c r="E122" s="130"/>
      <c r="F122" s="130"/>
      <c r="G122" s="130"/>
      <c r="H122" s="130"/>
      <c r="I122" s="130"/>
      <c r="J122" s="130"/>
      <c r="K122" s="130"/>
      <c r="L122" s="130"/>
      <c r="M122" s="130"/>
      <c r="N122" s="130"/>
      <c r="O122" s="130"/>
      <c r="P122" s="130"/>
    </row>
    <row r="123" spans="1:16" x14ac:dyDescent="0.2">
      <c r="A123" s="49" t="str">
        <v>0:00</v>
      </c>
      <c r="B123" s="108"/>
      <c r="C123" s="130"/>
      <c r="D123" s="130"/>
      <c r="E123" s="130"/>
      <c r="F123" s="130"/>
      <c r="G123" s="130"/>
      <c r="H123" s="130"/>
      <c r="I123" s="130"/>
      <c r="J123" s="130"/>
      <c r="K123" s="130"/>
      <c r="L123" s="130"/>
      <c r="M123" s="130"/>
      <c r="N123" s="130"/>
      <c r="O123" s="130"/>
      <c r="P123" s="130"/>
    </row>
    <row r="124" spans="1:16" x14ac:dyDescent="0.2">
      <c r="A124" s="49" t="str">
        <v>0:00</v>
      </c>
      <c r="B124" s="108"/>
      <c r="C124" s="130"/>
      <c r="D124" s="130"/>
      <c r="E124" s="130"/>
      <c r="F124" s="130"/>
      <c r="G124" s="130"/>
      <c r="H124" s="130"/>
      <c r="I124" s="130"/>
      <c r="J124" s="130"/>
      <c r="K124" s="130"/>
      <c r="L124" s="130"/>
      <c r="M124" s="130"/>
      <c r="N124" s="130"/>
      <c r="O124" s="130"/>
      <c r="P124" s="130"/>
    </row>
    <row r="125" spans="1:16" x14ac:dyDescent="0.2">
      <c r="A125" s="49" t="str">
        <v>0:00</v>
      </c>
      <c r="B125" s="108"/>
      <c r="C125" s="130"/>
      <c r="D125" s="130"/>
      <c r="E125" s="130"/>
      <c r="F125" s="130"/>
      <c r="G125" s="130"/>
      <c r="H125" s="130"/>
      <c r="I125" s="130"/>
      <c r="J125" s="130"/>
      <c r="K125" s="130"/>
      <c r="L125" s="130"/>
      <c r="M125" s="130"/>
      <c r="N125" s="130"/>
      <c r="O125" s="130"/>
      <c r="P125" s="130"/>
    </row>
    <row r="126" spans="1:16" x14ac:dyDescent="0.2">
      <c r="A126" s="49" t="str">
        <v>0:00</v>
      </c>
      <c r="B126" s="108"/>
      <c r="C126" s="130"/>
      <c r="D126" s="130"/>
      <c r="E126" s="130"/>
      <c r="F126" s="130"/>
      <c r="G126" s="130"/>
      <c r="H126" s="130"/>
      <c r="I126" s="130"/>
      <c r="J126" s="130"/>
      <c r="K126" s="130"/>
      <c r="L126" s="130"/>
      <c r="M126" s="130"/>
      <c r="N126" s="130"/>
      <c r="O126" s="130"/>
      <c r="P126" s="130"/>
    </row>
    <row r="127" spans="1:16" x14ac:dyDescent="0.2">
      <c r="A127" s="49" t="str">
        <v>0:00</v>
      </c>
      <c r="B127" s="108"/>
      <c r="C127" s="130"/>
      <c r="D127" s="130"/>
      <c r="E127" s="130"/>
      <c r="F127" s="130"/>
      <c r="G127" s="130"/>
      <c r="H127" s="130"/>
      <c r="I127" s="130"/>
      <c r="J127" s="130"/>
      <c r="K127" s="130"/>
      <c r="L127" s="130"/>
      <c r="M127" s="130"/>
      <c r="N127" s="130"/>
      <c r="O127" s="130"/>
      <c r="P127" s="130"/>
    </row>
    <row r="128" spans="1:16" x14ac:dyDescent="0.2">
      <c r="A128" s="49" t="str">
        <v>0:00</v>
      </c>
      <c r="B128" s="108"/>
      <c r="C128" s="130"/>
      <c r="D128" s="130"/>
      <c r="E128" s="130"/>
      <c r="F128" s="130"/>
      <c r="G128" s="130"/>
      <c r="H128" s="130"/>
      <c r="I128" s="130"/>
      <c r="J128" s="130"/>
      <c r="K128" s="130"/>
      <c r="L128" s="130"/>
      <c r="M128" s="130"/>
      <c r="N128" s="130"/>
      <c r="O128" s="130"/>
      <c r="P128" s="130"/>
    </row>
    <row r="129" spans="1:16" x14ac:dyDescent="0.2">
      <c r="A129" s="49" t="str">
        <v>0:00</v>
      </c>
      <c r="B129" s="108"/>
      <c r="C129" s="130"/>
      <c r="D129" s="130"/>
      <c r="E129" s="130"/>
      <c r="F129" s="130"/>
      <c r="G129" s="130"/>
      <c r="H129" s="130"/>
      <c r="I129" s="130"/>
      <c r="J129" s="130"/>
      <c r="K129" s="130"/>
      <c r="L129" s="130"/>
      <c r="M129" s="130"/>
      <c r="N129" s="130"/>
      <c r="O129" s="130"/>
      <c r="P129" s="130"/>
    </row>
    <row r="130" spans="1:16" x14ac:dyDescent="0.2">
      <c r="A130" s="49" t="str">
        <v>0:00</v>
      </c>
      <c r="B130" s="108"/>
      <c r="C130" s="130"/>
      <c r="D130" s="130"/>
      <c r="E130" s="130"/>
      <c r="F130" s="130"/>
      <c r="G130" s="130"/>
      <c r="H130" s="130"/>
      <c r="I130" s="130"/>
      <c r="J130" s="130"/>
      <c r="K130" s="130"/>
      <c r="L130" s="130"/>
      <c r="M130" s="130"/>
      <c r="N130" s="130"/>
      <c r="O130" s="130"/>
      <c r="P130" s="130"/>
    </row>
    <row r="131" spans="1:16" x14ac:dyDescent="0.2">
      <c r="A131" s="49" t="str">
        <v>0:00</v>
      </c>
      <c r="B131" s="108"/>
      <c r="C131" s="130"/>
      <c r="D131" s="130"/>
      <c r="E131" s="130"/>
      <c r="F131" s="130"/>
      <c r="G131" s="130"/>
      <c r="H131" s="130"/>
      <c r="I131" s="130"/>
      <c r="J131" s="130"/>
      <c r="K131" s="130"/>
      <c r="L131" s="130"/>
      <c r="M131" s="130"/>
      <c r="N131" s="130"/>
      <c r="O131" s="130"/>
      <c r="P131" s="130"/>
    </row>
    <row r="132" spans="1:16" x14ac:dyDescent="0.2">
      <c r="A132" s="49" t="str">
        <v>0:00</v>
      </c>
      <c r="B132" s="108"/>
      <c r="C132" s="130"/>
      <c r="D132" s="130"/>
      <c r="E132" s="130"/>
      <c r="F132" s="130"/>
      <c r="G132" s="130"/>
      <c r="H132" s="130"/>
      <c r="I132" s="130"/>
      <c r="J132" s="130"/>
      <c r="K132" s="130"/>
      <c r="L132" s="130"/>
      <c r="M132" s="130"/>
      <c r="N132" s="130"/>
      <c r="O132" s="130"/>
      <c r="P132" s="130"/>
    </row>
    <row r="133" spans="1:16" x14ac:dyDescent="0.2">
      <c r="A133" s="49" t="str">
        <v>0:00</v>
      </c>
      <c r="B133" s="108"/>
      <c r="C133" s="130"/>
      <c r="D133" s="130"/>
      <c r="E133" s="130"/>
      <c r="F133" s="130"/>
      <c r="G133" s="130"/>
      <c r="H133" s="130"/>
      <c r="I133" s="130"/>
      <c r="J133" s="130"/>
      <c r="K133" s="130"/>
      <c r="L133" s="130"/>
      <c r="M133" s="130"/>
      <c r="N133" s="130"/>
      <c r="O133" s="130"/>
      <c r="P133" s="130"/>
    </row>
    <row r="134" spans="1:16" x14ac:dyDescent="0.2">
      <c r="A134" s="49" t="str">
        <v>0:00</v>
      </c>
      <c r="B134" s="108"/>
      <c r="C134" s="130"/>
      <c r="D134" s="130"/>
      <c r="E134" s="130"/>
      <c r="F134" s="130"/>
      <c r="G134" s="130"/>
      <c r="H134" s="130"/>
      <c r="I134" s="130"/>
      <c r="J134" s="130"/>
      <c r="K134" s="130"/>
      <c r="L134" s="130"/>
      <c r="M134" s="130"/>
      <c r="N134" s="130"/>
      <c r="O134" s="130"/>
      <c r="P134" s="130"/>
    </row>
    <row r="135" spans="1:16" x14ac:dyDescent="0.2">
      <c r="A135" s="49" t="str">
        <v>0:00</v>
      </c>
      <c r="B135" s="108"/>
      <c r="C135" s="130"/>
      <c r="D135" s="130"/>
      <c r="E135" s="130"/>
      <c r="F135" s="130"/>
      <c r="G135" s="130"/>
      <c r="H135" s="130"/>
      <c r="I135" s="130"/>
      <c r="J135" s="130"/>
      <c r="K135" s="130"/>
      <c r="L135" s="130"/>
      <c r="M135" s="130"/>
      <c r="N135" s="130"/>
      <c r="O135" s="130"/>
      <c r="P135" s="130"/>
    </row>
    <row r="136" spans="1:16" x14ac:dyDescent="0.2">
      <c r="A136" s="49" t="str">
        <v>0:00</v>
      </c>
      <c r="B136" s="108"/>
      <c r="C136" s="130"/>
      <c r="D136" s="130"/>
      <c r="E136" s="130"/>
      <c r="F136" s="130"/>
      <c r="G136" s="130"/>
      <c r="H136" s="130"/>
      <c r="I136" s="130"/>
      <c r="J136" s="130"/>
      <c r="K136" s="130"/>
      <c r="L136" s="130"/>
      <c r="M136" s="130"/>
      <c r="N136" s="130"/>
      <c r="O136" s="130"/>
      <c r="P136" s="130"/>
    </row>
    <row r="137" spans="1:16" x14ac:dyDescent="0.2">
      <c r="A137" s="49" t="str">
        <v>0:00</v>
      </c>
      <c r="B137" s="108"/>
      <c r="C137" s="130"/>
      <c r="D137" s="130"/>
      <c r="E137" s="130"/>
      <c r="F137" s="130"/>
      <c r="G137" s="130"/>
      <c r="H137" s="130"/>
      <c r="I137" s="130"/>
      <c r="J137" s="130"/>
      <c r="K137" s="130"/>
      <c r="L137" s="130"/>
      <c r="M137" s="130"/>
      <c r="N137" s="130"/>
      <c r="O137" s="130"/>
      <c r="P137" s="130"/>
    </row>
    <row r="138" spans="1:16" x14ac:dyDescent="0.2">
      <c r="A138" s="49" t="str">
        <v>0:00</v>
      </c>
      <c r="B138" s="108"/>
      <c r="C138" s="130"/>
      <c r="D138" s="130"/>
      <c r="E138" s="130"/>
      <c r="F138" s="130"/>
      <c r="G138" s="130"/>
      <c r="H138" s="130"/>
      <c r="I138" s="130"/>
      <c r="J138" s="130"/>
      <c r="K138" s="130"/>
      <c r="L138" s="130"/>
      <c r="M138" s="130"/>
      <c r="N138" s="130"/>
      <c r="O138" s="130"/>
      <c r="P138" s="130"/>
    </row>
    <row r="139" spans="1:16" x14ac:dyDescent="0.2">
      <c r="A139" s="49" t="str">
        <v>0:00</v>
      </c>
      <c r="B139" s="108"/>
      <c r="C139" s="130"/>
      <c r="D139" s="130"/>
      <c r="E139" s="130"/>
      <c r="F139" s="130"/>
      <c r="G139" s="130"/>
      <c r="H139" s="130"/>
      <c r="I139" s="130"/>
      <c r="J139" s="130"/>
      <c r="K139" s="130"/>
      <c r="L139" s="130"/>
      <c r="M139" s="130"/>
      <c r="N139" s="130"/>
      <c r="O139" s="130"/>
      <c r="P139" s="130"/>
    </row>
    <row r="140" spans="1:16" x14ac:dyDescent="0.2">
      <c r="A140" s="49" t="str">
        <v>0:00</v>
      </c>
      <c r="B140" s="108"/>
      <c r="C140" s="130"/>
      <c r="D140" s="130"/>
      <c r="E140" s="130"/>
      <c r="F140" s="130"/>
      <c r="G140" s="130"/>
      <c r="H140" s="130"/>
      <c r="I140" s="130"/>
      <c r="J140" s="130"/>
      <c r="K140" s="130"/>
      <c r="L140" s="130"/>
      <c r="M140" s="130"/>
      <c r="N140" s="130"/>
      <c r="O140" s="130"/>
      <c r="P140" s="130"/>
    </row>
    <row r="141" spans="1:16" x14ac:dyDescent="0.2">
      <c r="A141" s="49" t="str">
        <v>0:00</v>
      </c>
      <c r="B141" s="108"/>
      <c r="C141" s="130"/>
      <c r="D141" s="130"/>
      <c r="E141" s="130"/>
      <c r="F141" s="130"/>
      <c r="G141" s="130"/>
      <c r="H141" s="130"/>
      <c r="I141" s="130"/>
      <c r="J141" s="130"/>
      <c r="K141" s="130"/>
      <c r="L141" s="130"/>
      <c r="M141" s="130"/>
      <c r="N141" s="130"/>
      <c r="O141" s="130"/>
      <c r="P141" s="130"/>
    </row>
    <row r="142" spans="1:16" x14ac:dyDescent="0.2">
      <c r="A142" s="49" t="str">
        <v>0:00</v>
      </c>
      <c r="B142" s="108"/>
      <c r="C142" s="130"/>
      <c r="D142" s="130"/>
      <c r="E142" s="130"/>
      <c r="F142" s="130"/>
      <c r="G142" s="130"/>
      <c r="H142" s="130"/>
      <c r="I142" s="130"/>
      <c r="J142" s="130"/>
      <c r="K142" s="130"/>
      <c r="L142" s="130"/>
      <c r="M142" s="130"/>
      <c r="N142" s="130"/>
      <c r="O142" s="130"/>
      <c r="P142" s="130"/>
    </row>
    <row r="143" spans="1:16" x14ac:dyDescent="0.2">
      <c r="A143" s="49" t="str">
        <v>0:00</v>
      </c>
      <c r="B143" s="108"/>
      <c r="C143" s="130"/>
      <c r="D143" s="130"/>
      <c r="E143" s="130"/>
      <c r="F143" s="130"/>
      <c r="G143" s="130"/>
      <c r="H143" s="130"/>
      <c r="I143" s="130"/>
      <c r="J143" s="130"/>
      <c r="K143" s="130"/>
      <c r="L143" s="130"/>
      <c r="M143" s="130"/>
      <c r="N143" s="130"/>
      <c r="O143" s="130"/>
      <c r="P143" s="130"/>
    </row>
    <row r="144" spans="1:16" x14ac:dyDescent="0.2">
      <c r="A144" s="49" t="str">
        <v>0:00</v>
      </c>
      <c r="B144" s="108"/>
      <c r="C144" s="130"/>
      <c r="D144" s="130"/>
      <c r="E144" s="130"/>
      <c r="F144" s="130"/>
      <c r="G144" s="130"/>
      <c r="H144" s="130"/>
      <c r="I144" s="130"/>
      <c r="J144" s="130"/>
      <c r="K144" s="130"/>
      <c r="L144" s="130"/>
      <c r="M144" s="130"/>
      <c r="N144" s="130"/>
      <c r="O144" s="130"/>
      <c r="P144" s="130"/>
    </row>
    <row r="145" spans="1:16" x14ac:dyDescent="0.2">
      <c r="A145" s="49" t="str">
        <v>0:00</v>
      </c>
      <c r="B145" s="108"/>
      <c r="C145" s="130"/>
      <c r="D145" s="130"/>
      <c r="E145" s="130"/>
      <c r="F145" s="130"/>
      <c r="G145" s="130"/>
      <c r="H145" s="130"/>
      <c r="I145" s="130"/>
      <c r="J145" s="130"/>
      <c r="K145" s="130"/>
      <c r="L145" s="130"/>
      <c r="M145" s="130"/>
      <c r="N145" s="130"/>
      <c r="O145" s="130"/>
      <c r="P145" s="130"/>
    </row>
    <row r="146" spans="1:16" x14ac:dyDescent="0.2">
      <c r="A146" s="49" t="str">
        <v>0:00</v>
      </c>
      <c r="B146" s="108"/>
      <c r="C146" s="130"/>
      <c r="D146" s="130"/>
      <c r="E146" s="130"/>
      <c r="F146" s="130"/>
      <c r="G146" s="130"/>
      <c r="H146" s="130"/>
      <c r="I146" s="130"/>
      <c r="J146" s="130"/>
      <c r="K146" s="130"/>
      <c r="L146" s="130"/>
      <c r="M146" s="130"/>
      <c r="N146" s="130"/>
      <c r="O146" s="130"/>
      <c r="P146" s="130"/>
    </row>
    <row r="147" spans="1:16" x14ac:dyDescent="0.2">
      <c r="A147" s="49" t="str">
        <v>0:00</v>
      </c>
      <c r="B147" s="108"/>
      <c r="C147" s="130"/>
      <c r="D147" s="130"/>
      <c r="E147" s="130"/>
      <c r="F147" s="130"/>
      <c r="G147" s="130"/>
      <c r="H147" s="130"/>
      <c r="I147" s="130"/>
      <c r="J147" s="130"/>
      <c r="K147" s="130"/>
      <c r="L147" s="130"/>
      <c r="M147" s="130"/>
      <c r="N147" s="130"/>
      <c r="O147" s="130"/>
      <c r="P147" s="130"/>
    </row>
    <row r="148" spans="1:16" x14ac:dyDescent="0.2">
      <c r="A148" s="49" t="str">
        <v>0:00</v>
      </c>
      <c r="B148" s="108"/>
      <c r="C148" s="130"/>
      <c r="D148" s="130"/>
      <c r="E148" s="130"/>
      <c r="F148" s="130"/>
      <c r="G148" s="130"/>
      <c r="H148" s="130"/>
      <c r="I148" s="130"/>
      <c r="J148" s="130"/>
      <c r="K148" s="130"/>
      <c r="L148" s="130"/>
      <c r="M148" s="130"/>
      <c r="N148" s="130"/>
      <c r="O148" s="130"/>
      <c r="P148" s="130"/>
    </row>
    <row r="149" spans="1:16" x14ac:dyDescent="0.2">
      <c r="A149" s="49" t="str">
        <v>0:00</v>
      </c>
      <c r="B149" s="108"/>
      <c r="C149" s="130"/>
      <c r="D149" s="130"/>
      <c r="E149" s="130"/>
      <c r="F149" s="130"/>
      <c r="G149" s="130"/>
      <c r="H149" s="130"/>
      <c r="I149" s="130"/>
      <c r="J149" s="130"/>
      <c r="K149" s="130"/>
      <c r="L149" s="130"/>
      <c r="M149" s="130"/>
      <c r="N149" s="130"/>
      <c r="O149" s="130"/>
      <c r="P149" s="130"/>
    </row>
    <row r="150" spans="1:16" x14ac:dyDescent="0.2">
      <c r="A150" s="49" t="str">
        <v>0:00</v>
      </c>
      <c r="B150" s="108"/>
      <c r="C150" s="130"/>
      <c r="D150" s="130"/>
      <c r="E150" s="130"/>
      <c r="F150" s="130"/>
      <c r="G150" s="130"/>
      <c r="H150" s="130"/>
      <c r="I150" s="130"/>
      <c r="J150" s="130"/>
      <c r="K150" s="130"/>
      <c r="L150" s="130"/>
      <c r="M150" s="130"/>
      <c r="N150" s="130"/>
      <c r="O150" s="130"/>
      <c r="P150" s="130"/>
    </row>
    <row r="151" spans="1:16" x14ac:dyDescent="0.2">
      <c r="A151" s="49" t="str">
        <v>0:00</v>
      </c>
      <c r="B151" s="108"/>
      <c r="C151" s="130"/>
      <c r="D151" s="130"/>
      <c r="E151" s="130"/>
      <c r="F151" s="130"/>
      <c r="G151" s="130"/>
      <c r="H151" s="130"/>
      <c r="I151" s="130"/>
      <c r="J151" s="130"/>
      <c r="K151" s="130"/>
      <c r="L151" s="130"/>
      <c r="M151" s="130"/>
      <c r="N151" s="130"/>
      <c r="O151" s="130"/>
      <c r="P151" s="130"/>
    </row>
    <row r="152" spans="1:16" x14ac:dyDescent="0.2">
      <c r="A152" s="49" t="str">
        <v>0:00</v>
      </c>
      <c r="B152" s="108"/>
      <c r="C152" s="130"/>
      <c r="D152" s="130"/>
      <c r="E152" s="130"/>
      <c r="F152" s="130"/>
      <c r="G152" s="130"/>
      <c r="H152" s="130"/>
      <c r="I152" s="130"/>
      <c r="J152" s="130"/>
      <c r="K152" s="130"/>
      <c r="L152" s="130"/>
      <c r="M152" s="130"/>
      <c r="N152" s="130"/>
      <c r="O152" s="130"/>
      <c r="P152" s="130"/>
    </row>
    <row r="153" spans="1:16" x14ac:dyDescent="0.2">
      <c r="A153" s="49" t="str">
        <v>0:00</v>
      </c>
      <c r="B153" s="108"/>
      <c r="C153" s="130"/>
      <c r="D153" s="130"/>
      <c r="E153" s="130"/>
      <c r="F153" s="130"/>
      <c r="G153" s="130"/>
      <c r="H153" s="130"/>
      <c r="I153" s="130"/>
      <c r="J153" s="130"/>
      <c r="K153" s="130"/>
      <c r="L153" s="130"/>
      <c r="M153" s="130"/>
      <c r="N153" s="130"/>
      <c r="O153" s="130"/>
      <c r="P153" s="130"/>
    </row>
    <row r="154" spans="1:16" x14ac:dyDescent="0.2">
      <c r="A154" s="49" t="str">
        <v>0:00</v>
      </c>
      <c r="B154" s="108"/>
      <c r="C154" s="130"/>
      <c r="D154" s="130"/>
      <c r="E154" s="130"/>
      <c r="F154" s="130"/>
      <c r="G154" s="130"/>
      <c r="H154" s="130"/>
      <c r="I154" s="130"/>
      <c r="J154" s="130"/>
      <c r="K154" s="130"/>
      <c r="L154" s="130"/>
      <c r="M154" s="130"/>
      <c r="N154" s="130"/>
      <c r="O154" s="130"/>
      <c r="P154" s="130"/>
    </row>
    <row r="155" spans="1:16" x14ac:dyDescent="0.2">
      <c r="A155" s="49" t="str">
        <v>0:00</v>
      </c>
      <c r="B155" s="108"/>
      <c r="C155" s="130"/>
      <c r="D155" s="130"/>
      <c r="E155" s="130"/>
      <c r="F155" s="130"/>
      <c r="G155" s="130"/>
      <c r="H155" s="130"/>
      <c r="I155" s="130"/>
      <c r="J155" s="130"/>
      <c r="K155" s="130"/>
      <c r="L155" s="130"/>
      <c r="M155" s="130"/>
      <c r="N155" s="130"/>
      <c r="O155" s="130"/>
      <c r="P155" s="130"/>
    </row>
    <row r="156" spans="1:16" x14ac:dyDescent="0.2">
      <c r="A156" s="49" t="str">
        <v>0:00</v>
      </c>
      <c r="B156" s="108"/>
      <c r="C156" s="130"/>
      <c r="D156" s="130"/>
      <c r="E156" s="130"/>
      <c r="F156" s="130"/>
      <c r="G156" s="130"/>
      <c r="H156" s="130"/>
      <c r="I156" s="130"/>
      <c r="J156" s="130"/>
      <c r="K156" s="130"/>
      <c r="L156" s="130"/>
      <c r="M156" s="130"/>
      <c r="N156" s="130"/>
      <c r="O156" s="130"/>
      <c r="P156" s="130"/>
    </row>
    <row r="157" spans="1:16" x14ac:dyDescent="0.2">
      <c r="A157" s="49" t="str">
        <v>0:00</v>
      </c>
      <c r="B157" s="108"/>
      <c r="C157" s="130"/>
      <c r="D157" s="130"/>
      <c r="E157" s="130"/>
      <c r="F157" s="130"/>
      <c r="G157" s="130"/>
      <c r="H157" s="130"/>
      <c r="I157" s="130"/>
      <c r="J157" s="130"/>
      <c r="K157" s="130"/>
      <c r="L157" s="130"/>
      <c r="M157" s="130"/>
      <c r="N157" s="130"/>
      <c r="O157" s="130"/>
      <c r="P157" s="130"/>
    </row>
    <row r="158" spans="1:16" x14ac:dyDescent="0.2">
      <c r="A158" s="49" t="str">
        <v>0:00</v>
      </c>
      <c r="B158" s="108"/>
      <c r="C158" s="130"/>
      <c r="D158" s="130"/>
      <c r="E158" s="130"/>
      <c r="F158" s="130"/>
      <c r="G158" s="130"/>
      <c r="H158" s="130"/>
      <c r="I158" s="130"/>
      <c r="J158" s="130"/>
      <c r="K158" s="130"/>
      <c r="L158" s="130"/>
      <c r="M158" s="130"/>
      <c r="N158" s="130"/>
      <c r="O158" s="130"/>
      <c r="P158" s="130"/>
    </row>
    <row r="159" spans="1:16" x14ac:dyDescent="0.2">
      <c r="A159" s="49" t="str">
        <v>0:00</v>
      </c>
      <c r="B159" s="108"/>
      <c r="C159" s="130"/>
      <c r="D159" s="130"/>
      <c r="E159" s="130"/>
      <c r="F159" s="130"/>
      <c r="G159" s="130"/>
      <c r="H159" s="130"/>
      <c r="I159" s="130"/>
      <c r="J159" s="130"/>
      <c r="K159" s="130"/>
      <c r="L159" s="130"/>
      <c r="M159" s="130"/>
      <c r="N159" s="130"/>
      <c r="O159" s="130"/>
      <c r="P159" s="130"/>
    </row>
    <row r="160" spans="1:16" x14ac:dyDescent="0.2">
      <c r="A160" s="49" t="str">
        <v>0:00</v>
      </c>
      <c r="B160" s="108"/>
      <c r="C160" s="130"/>
      <c r="D160" s="130"/>
      <c r="E160" s="130"/>
      <c r="F160" s="130"/>
      <c r="G160" s="130"/>
      <c r="H160" s="130"/>
      <c r="I160" s="130"/>
      <c r="J160" s="130"/>
      <c r="K160" s="130"/>
      <c r="L160" s="130"/>
      <c r="M160" s="130"/>
      <c r="N160" s="130"/>
      <c r="O160" s="130"/>
      <c r="P160" s="130"/>
    </row>
    <row r="161" spans="1:16" x14ac:dyDescent="0.2">
      <c r="A161" s="49" t="str">
        <v>0:00</v>
      </c>
      <c r="B161" s="108"/>
      <c r="C161" s="130"/>
      <c r="D161" s="130"/>
      <c r="E161" s="130"/>
      <c r="F161" s="130"/>
      <c r="G161" s="130"/>
      <c r="H161" s="130"/>
      <c r="I161" s="130"/>
      <c r="J161" s="130"/>
      <c r="K161" s="130"/>
      <c r="L161" s="130"/>
      <c r="M161" s="130"/>
      <c r="N161" s="130"/>
      <c r="O161" s="130"/>
      <c r="P161" s="130"/>
    </row>
    <row r="162" spans="1:16" x14ac:dyDescent="0.2">
      <c r="A162" s="49" t="str">
        <v>0:00</v>
      </c>
      <c r="B162" s="108"/>
      <c r="C162" s="130"/>
      <c r="D162" s="130"/>
      <c r="E162" s="130"/>
      <c r="F162" s="130"/>
      <c r="G162" s="130"/>
      <c r="H162" s="130"/>
      <c r="I162" s="130"/>
      <c r="J162" s="130"/>
      <c r="K162" s="130"/>
      <c r="L162" s="130"/>
      <c r="M162" s="130"/>
      <c r="N162" s="130"/>
      <c r="O162" s="130"/>
      <c r="P162" s="130"/>
    </row>
    <row r="163" spans="1:16" x14ac:dyDescent="0.2">
      <c r="A163" s="49" t="str">
        <v>0:00</v>
      </c>
      <c r="B163" s="108"/>
      <c r="C163" s="130"/>
      <c r="D163" s="130"/>
      <c r="E163" s="130"/>
      <c r="F163" s="130"/>
      <c r="G163" s="130"/>
      <c r="H163" s="130"/>
      <c r="I163" s="130"/>
      <c r="J163" s="130"/>
      <c r="K163" s="130"/>
      <c r="L163" s="130"/>
      <c r="M163" s="130"/>
      <c r="N163" s="130"/>
      <c r="O163" s="130"/>
      <c r="P163" s="130"/>
    </row>
    <row r="164" spans="1:16" x14ac:dyDescent="0.2">
      <c r="A164" s="49" t="str">
        <v>0:00</v>
      </c>
      <c r="B164" s="108"/>
      <c r="C164" s="130"/>
      <c r="D164" s="130"/>
      <c r="E164" s="130"/>
      <c r="F164" s="130"/>
      <c r="G164" s="130"/>
      <c r="H164" s="130"/>
      <c r="I164" s="130"/>
      <c r="J164" s="130"/>
      <c r="K164" s="130"/>
      <c r="L164" s="130"/>
      <c r="M164" s="130"/>
      <c r="N164" s="130"/>
      <c r="O164" s="130"/>
      <c r="P164" s="130"/>
    </row>
    <row r="165" spans="1:16" x14ac:dyDescent="0.2">
      <c r="A165" s="49" t="str">
        <v>0:00</v>
      </c>
      <c r="B165" s="108"/>
      <c r="C165" s="130"/>
      <c r="D165" s="130"/>
      <c r="E165" s="130"/>
      <c r="F165" s="130"/>
      <c r="G165" s="130"/>
      <c r="H165" s="130"/>
      <c r="I165" s="130"/>
      <c r="J165" s="130"/>
      <c r="K165" s="130"/>
      <c r="L165" s="130"/>
      <c r="M165" s="130"/>
      <c r="N165" s="130"/>
      <c r="O165" s="130"/>
      <c r="P165" s="130"/>
    </row>
    <row r="166" spans="1:16" x14ac:dyDescent="0.2">
      <c r="A166" s="49" t="str">
        <v>0:00</v>
      </c>
      <c r="B166" s="108"/>
      <c r="C166" s="130"/>
      <c r="D166" s="130"/>
      <c r="E166" s="130"/>
      <c r="F166" s="130"/>
      <c r="G166" s="130"/>
      <c r="H166" s="130"/>
      <c r="I166" s="130"/>
      <c r="J166" s="130"/>
      <c r="K166" s="130"/>
      <c r="L166" s="130"/>
      <c r="M166" s="130"/>
      <c r="N166" s="130"/>
      <c r="O166" s="130"/>
      <c r="P166" s="130"/>
    </row>
    <row r="167" spans="1:16" x14ac:dyDescent="0.2">
      <c r="A167" s="49" t="str">
        <v>0:00</v>
      </c>
      <c r="B167" s="108"/>
      <c r="C167" s="130"/>
      <c r="D167" s="130"/>
      <c r="E167" s="130"/>
      <c r="F167" s="130"/>
      <c r="G167" s="130"/>
      <c r="H167" s="130"/>
      <c r="I167" s="130"/>
      <c r="J167" s="130"/>
      <c r="K167" s="130"/>
      <c r="L167" s="130"/>
      <c r="M167" s="130"/>
      <c r="N167" s="130"/>
      <c r="O167" s="130"/>
      <c r="P167" s="130"/>
    </row>
    <row r="168" spans="1:16" x14ac:dyDescent="0.2">
      <c r="A168" s="49" t="str">
        <v>0:00</v>
      </c>
      <c r="B168" s="108"/>
      <c r="C168" s="130"/>
      <c r="D168" s="130"/>
      <c r="E168" s="130"/>
      <c r="F168" s="130"/>
      <c r="G168" s="130"/>
      <c r="H168" s="130"/>
      <c r="I168" s="130"/>
      <c r="J168" s="130"/>
      <c r="K168" s="130"/>
      <c r="L168" s="130"/>
      <c r="M168" s="130"/>
      <c r="N168" s="130"/>
      <c r="O168" s="130"/>
      <c r="P168" s="130"/>
    </row>
    <row r="169" spans="1:16" x14ac:dyDescent="0.2">
      <c r="A169" s="49" t="str">
        <v>0:00</v>
      </c>
      <c r="B169" s="108"/>
      <c r="C169" s="130"/>
      <c r="D169" s="130"/>
      <c r="E169" s="130"/>
      <c r="F169" s="130"/>
      <c r="G169" s="130"/>
      <c r="H169" s="130"/>
      <c r="I169" s="130"/>
      <c r="J169" s="130"/>
      <c r="K169" s="130"/>
      <c r="L169" s="130"/>
      <c r="M169" s="130"/>
      <c r="N169" s="130"/>
      <c r="O169" s="130"/>
      <c r="P169" s="130"/>
    </row>
    <row r="170" spans="1:16" x14ac:dyDescent="0.2">
      <c r="A170" s="49" t="str">
        <v>0:00</v>
      </c>
      <c r="B170" s="108"/>
      <c r="C170" s="130"/>
      <c r="D170" s="130"/>
      <c r="E170" s="130"/>
      <c r="F170" s="130"/>
      <c r="G170" s="130"/>
      <c r="H170" s="130"/>
      <c r="I170" s="130"/>
      <c r="J170" s="130"/>
      <c r="K170" s="130"/>
      <c r="L170" s="130"/>
      <c r="M170" s="130"/>
      <c r="N170" s="130"/>
      <c r="O170" s="130"/>
      <c r="P170" s="130"/>
    </row>
    <row r="171" spans="1:16" x14ac:dyDescent="0.2">
      <c r="A171" s="49" t="str">
        <v>0:00</v>
      </c>
      <c r="B171" s="108"/>
      <c r="C171" s="130"/>
      <c r="D171" s="130"/>
      <c r="E171" s="130"/>
      <c r="F171" s="130"/>
      <c r="G171" s="130"/>
      <c r="H171" s="130"/>
      <c r="I171" s="130"/>
      <c r="J171" s="130"/>
      <c r="K171" s="130"/>
      <c r="L171" s="130"/>
      <c r="M171" s="130"/>
      <c r="N171" s="130"/>
      <c r="O171" s="130"/>
      <c r="P171" s="130"/>
    </row>
    <row r="172" spans="1:16" x14ac:dyDescent="0.2">
      <c r="A172" s="49" t="str">
        <v>0:00</v>
      </c>
      <c r="B172" s="108"/>
      <c r="C172" s="130"/>
      <c r="D172" s="130"/>
      <c r="E172" s="130"/>
      <c r="F172" s="130"/>
      <c r="G172" s="130"/>
      <c r="H172" s="130"/>
      <c r="I172" s="130"/>
      <c r="J172" s="130"/>
      <c r="K172" s="130"/>
      <c r="L172" s="130"/>
      <c r="M172" s="130"/>
      <c r="N172" s="130"/>
      <c r="O172" s="130"/>
      <c r="P172" s="130"/>
    </row>
    <row r="173" spans="1:16" x14ac:dyDescent="0.2">
      <c r="A173" s="49" t="str">
        <v>0:00</v>
      </c>
      <c r="B173" s="108"/>
      <c r="C173" s="130"/>
      <c r="D173" s="130"/>
      <c r="E173" s="130"/>
      <c r="F173" s="130"/>
      <c r="G173" s="130"/>
      <c r="H173" s="130"/>
      <c r="I173" s="130"/>
      <c r="J173" s="130"/>
      <c r="K173" s="130"/>
      <c r="L173" s="130"/>
      <c r="M173" s="130"/>
      <c r="N173" s="130"/>
      <c r="O173" s="130"/>
      <c r="P173" s="130"/>
    </row>
    <row r="174" spans="1:16" x14ac:dyDescent="0.2">
      <c r="A174" s="49" t="str">
        <v>0:00</v>
      </c>
      <c r="B174" s="108"/>
      <c r="C174" s="130"/>
      <c r="D174" s="130"/>
      <c r="E174" s="130"/>
      <c r="F174" s="130"/>
      <c r="G174" s="130"/>
      <c r="H174" s="130"/>
      <c r="I174" s="130"/>
      <c r="J174" s="130"/>
      <c r="K174" s="130"/>
      <c r="L174" s="130"/>
      <c r="M174" s="130"/>
      <c r="N174" s="130"/>
      <c r="O174" s="130"/>
      <c r="P174" s="130"/>
    </row>
    <row r="175" spans="1:16" x14ac:dyDescent="0.2">
      <c r="A175" s="49" t="str">
        <v>0:00</v>
      </c>
      <c r="B175" s="108"/>
      <c r="C175" s="130"/>
      <c r="D175" s="130"/>
      <c r="E175" s="130"/>
      <c r="F175" s="130"/>
      <c r="G175" s="130"/>
      <c r="H175" s="130"/>
      <c r="I175" s="130"/>
      <c r="J175" s="130"/>
      <c r="K175" s="130"/>
      <c r="L175" s="130"/>
      <c r="M175" s="130"/>
      <c r="N175" s="130"/>
      <c r="O175" s="130"/>
      <c r="P175" s="130"/>
    </row>
    <row r="176" spans="1:16" x14ac:dyDescent="0.2">
      <c r="A176" s="49" t="str">
        <v>0:00</v>
      </c>
      <c r="B176" s="108"/>
      <c r="C176" s="130"/>
      <c r="D176" s="130"/>
      <c r="E176" s="130"/>
      <c r="F176" s="130"/>
      <c r="G176" s="130"/>
      <c r="H176" s="130"/>
      <c r="I176" s="130"/>
      <c r="J176" s="130"/>
      <c r="K176" s="130"/>
      <c r="L176" s="130"/>
      <c r="M176" s="130"/>
      <c r="N176" s="130"/>
      <c r="O176" s="130"/>
      <c r="P176" s="130"/>
    </row>
    <row r="177" spans="1:16" x14ac:dyDescent="0.2">
      <c r="A177" s="49" t="str">
        <v>0:00</v>
      </c>
      <c r="B177" s="108"/>
      <c r="C177" s="130"/>
      <c r="D177" s="130"/>
      <c r="E177" s="130"/>
      <c r="F177" s="130"/>
      <c r="G177" s="130"/>
      <c r="H177" s="130"/>
      <c r="I177" s="130"/>
      <c r="J177" s="130"/>
      <c r="K177" s="130"/>
      <c r="L177" s="130"/>
      <c r="M177" s="130"/>
      <c r="N177" s="130"/>
      <c r="O177" s="130"/>
      <c r="P177" s="130"/>
    </row>
    <row r="178" spans="1:16" x14ac:dyDescent="0.2">
      <c r="A178" s="49" t="str">
        <v>0:00</v>
      </c>
      <c r="B178" s="108"/>
      <c r="C178" s="130"/>
      <c r="D178" s="130"/>
      <c r="E178" s="130"/>
      <c r="F178" s="130"/>
      <c r="G178" s="130"/>
      <c r="H178" s="130"/>
      <c r="I178" s="130"/>
      <c r="J178" s="130"/>
      <c r="K178" s="130"/>
      <c r="L178" s="130"/>
      <c r="M178" s="130"/>
      <c r="N178" s="130"/>
      <c r="O178" s="130"/>
      <c r="P178" s="130"/>
    </row>
    <row r="179" spans="1:16" x14ac:dyDescent="0.2">
      <c r="A179" s="49" t="str">
        <v>0:00</v>
      </c>
      <c r="B179" s="108"/>
      <c r="C179" s="130"/>
      <c r="D179" s="130"/>
      <c r="E179" s="130"/>
      <c r="F179" s="130"/>
      <c r="G179" s="130"/>
      <c r="H179" s="130"/>
      <c r="I179" s="130"/>
      <c r="J179" s="130"/>
      <c r="K179" s="130"/>
      <c r="L179" s="130"/>
      <c r="M179" s="130"/>
      <c r="N179" s="130"/>
      <c r="O179" s="130"/>
      <c r="P179" s="130"/>
    </row>
    <row r="180" spans="1:16" x14ac:dyDescent="0.2">
      <c r="A180" s="49" t="str">
        <v>0:00</v>
      </c>
      <c r="B180" s="108"/>
      <c r="C180" s="130"/>
      <c r="D180" s="130"/>
      <c r="E180" s="130"/>
      <c r="F180" s="130"/>
      <c r="G180" s="130"/>
      <c r="H180" s="130"/>
      <c r="I180" s="130"/>
      <c r="J180" s="130"/>
      <c r="K180" s="130"/>
      <c r="L180" s="130"/>
      <c r="M180" s="130"/>
      <c r="N180" s="130"/>
      <c r="O180" s="130"/>
      <c r="P180" s="130"/>
    </row>
    <row r="181" spans="1:16" x14ac:dyDescent="0.2">
      <c r="A181" s="49" t="str">
        <v>0:00</v>
      </c>
      <c r="B181" s="108"/>
      <c r="C181" s="130"/>
      <c r="D181" s="130"/>
      <c r="E181" s="130"/>
      <c r="F181" s="130"/>
      <c r="G181" s="130"/>
      <c r="H181" s="130"/>
      <c r="I181" s="130"/>
      <c r="J181" s="130"/>
      <c r="K181" s="130"/>
      <c r="L181" s="130"/>
      <c r="M181" s="130"/>
      <c r="N181" s="130"/>
      <c r="O181" s="130"/>
      <c r="P181" s="130"/>
    </row>
    <row r="182" spans="1:16" x14ac:dyDescent="0.2">
      <c r="A182" s="49" t="str">
        <v>0:00</v>
      </c>
      <c r="B182" s="108"/>
      <c r="C182" s="130"/>
      <c r="D182" s="130"/>
      <c r="E182" s="130"/>
      <c r="F182" s="130"/>
      <c r="G182" s="130"/>
      <c r="H182" s="130"/>
      <c r="I182" s="130"/>
      <c r="J182" s="130"/>
      <c r="K182" s="130"/>
      <c r="L182" s="130"/>
      <c r="M182" s="130"/>
      <c r="N182" s="130"/>
      <c r="O182" s="130"/>
      <c r="P182" s="130"/>
    </row>
    <row r="183" spans="1:16" x14ac:dyDescent="0.2">
      <c r="A183" s="49" t="str">
        <v>0:00</v>
      </c>
      <c r="B183" s="108"/>
      <c r="C183" s="130"/>
      <c r="D183" s="130"/>
      <c r="E183" s="130"/>
      <c r="F183" s="130"/>
      <c r="G183" s="130"/>
      <c r="H183" s="130"/>
      <c r="I183" s="130"/>
      <c r="J183" s="130"/>
      <c r="K183" s="130"/>
      <c r="L183" s="130"/>
      <c r="M183" s="130"/>
      <c r="N183" s="130"/>
      <c r="O183" s="130"/>
      <c r="P183" s="130"/>
    </row>
    <row r="184" spans="1:16" x14ac:dyDescent="0.2">
      <c r="A184" s="49" t="str">
        <v>0:00</v>
      </c>
      <c r="B184" s="108"/>
      <c r="C184" s="130"/>
      <c r="D184" s="130"/>
      <c r="E184" s="130"/>
      <c r="F184" s="130"/>
      <c r="G184" s="130"/>
      <c r="H184" s="130"/>
      <c r="I184" s="130"/>
      <c r="J184" s="130"/>
      <c r="K184" s="130"/>
      <c r="L184" s="130"/>
      <c r="M184" s="130"/>
      <c r="N184" s="130"/>
      <c r="O184" s="130"/>
      <c r="P184" s="130"/>
    </row>
    <row r="185" spans="1:16" x14ac:dyDescent="0.2">
      <c r="A185" s="49" t="str">
        <v>0:00</v>
      </c>
      <c r="B185" s="108"/>
      <c r="C185" s="130"/>
      <c r="D185" s="130"/>
      <c r="E185" s="130"/>
      <c r="F185" s="130"/>
      <c r="G185" s="130"/>
      <c r="H185" s="130"/>
      <c r="I185" s="130"/>
      <c r="J185" s="130"/>
      <c r="K185" s="130"/>
      <c r="L185" s="130"/>
      <c r="M185" s="130"/>
      <c r="N185" s="130"/>
      <c r="O185" s="130"/>
      <c r="P185" s="130"/>
    </row>
    <row r="186" spans="1:16" x14ac:dyDescent="0.2">
      <c r="A186" s="49" t="str">
        <v>0:00</v>
      </c>
      <c r="B186" s="108"/>
      <c r="C186" s="130"/>
      <c r="D186" s="130"/>
      <c r="E186" s="130"/>
      <c r="F186" s="130"/>
      <c r="G186" s="130"/>
      <c r="H186" s="130"/>
      <c r="I186" s="130"/>
      <c r="J186" s="130"/>
      <c r="K186" s="130"/>
      <c r="L186" s="130"/>
      <c r="M186" s="130"/>
      <c r="N186" s="130"/>
      <c r="O186" s="130"/>
      <c r="P186" s="130"/>
    </row>
    <row r="187" spans="1:16" x14ac:dyDescent="0.2">
      <c r="A187" s="49" t="str">
        <v>0:00</v>
      </c>
      <c r="B187" s="108"/>
      <c r="C187" s="130"/>
      <c r="D187" s="130"/>
      <c r="E187" s="130"/>
      <c r="F187" s="130"/>
      <c r="G187" s="130"/>
      <c r="H187" s="130"/>
      <c r="I187" s="130"/>
      <c r="J187" s="130"/>
      <c r="K187" s="130"/>
      <c r="L187" s="130"/>
      <c r="M187" s="130"/>
      <c r="N187" s="130"/>
      <c r="O187" s="130"/>
      <c r="P187" s="130"/>
    </row>
    <row r="188" spans="1:16" x14ac:dyDescent="0.2">
      <c r="A188" s="49" t="str">
        <v>0:00</v>
      </c>
      <c r="B188" s="108"/>
      <c r="C188" s="130"/>
      <c r="D188" s="130"/>
      <c r="E188" s="130"/>
      <c r="F188" s="130"/>
      <c r="G188" s="130"/>
      <c r="H188" s="130"/>
      <c r="I188" s="130"/>
      <c r="J188" s="130"/>
      <c r="K188" s="130"/>
      <c r="L188" s="130"/>
      <c r="M188" s="130"/>
      <c r="N188" s="130"/>
      <c r="O188" s="130"/>
      <c r="P188" s="130"/>
    </row>
    <row r="189" spans="1:16" x14ac:dyDescent="0.2">
      <c r="A189" s="49" t="str">
        <v>0:00</v>
      </c>
      <c r="B189" s="108"/>
      <c r="C189" s="130"/>
      <c r="D189" s="130"/>
      <c r="E189" s="130"/>
      <c r="F189" s="130"/>
      <c r="G189" s="130"/>
      <c r="H189" s="130"/>
      <c r="I189" s="130"/>
      <c r="J189" s="130"/>
      <c r="K189" s="130"/>
      <c r="L189" s="130"/>
      <c r="M189" s="130"/>
      <c r="N189" s="130"/>
      <c r="O189" s="130"/>
      <c r="P189" s="130"/>
    </row>
    <row r="190" spans="1:16" x14ac:dyDescent="0.2">
      <c r="A190" s="49" t="str">
        <v>0:00</v>
      </c>
      <c r="B190" s="108"/>
      <c r="C190" s="130"/>
      <c r="D190" s="130"/>
      <c r="E190" s="130"/>
      <c r="F190" s="130"/>
      <c r="G190" s="130"/>
      <c r="H190" s="130"/>
      <c r="I190" s="130"/>
      <c r="J190" s="130"/>
      <c r="K190" s="130"/>
      <c r="L190" s="130"/>
      <c r="M190" s="130"/>
      <c r="N190" s="130"/>
      <c r="O190" s="130"/>
      <c r="P190" s="130"/>
    </row>
    <row r="191" spans="1:16" x14ac:dyDescent="0.2">
      <c r="A191" s="49" t="str">
        <v>0:00</v>
      </c>
      <c r="B191" s="108"/>
      <c r="C191" s="130"/>
      <c r="D191" s="130"/>
      <c r="E191" s="130"/>
      <c r="F191" s="130"/>
      <c r="G191" s="130"/>
      <c r="H191" s="130"/>
      <c r="I191" s="130"/>
      <c r="J191" s="130"/>
      <c r="K191" s="130"/>
      <c r="L191" s="130"/>
      <c r="M191" s="130"/>
      <c r="N191" s="130"/>
      <c r="O191" s="130"/>
      <c r="P191" s="130"/>
    </row>
    <row r="192" spans="1:16" x14ac:dyDescent="0.2">
      <c r="A192" s="49" t="str">
        <v>0:00</v>
      </c>
      <c r="B192" s="108"/>
      <c r="C192" s="130"/>
      <c r="D192" s="130"/>
      <c r="E192" s="130"/>
      <c r="F192" s="130"/>
      <c r="G192" s="130"/>
      <c r="H192" s="130"/>
      <c r="I192" s="130"/>
      <c r="J192" s="130"/>
      <c r="K192" s="130"/>
      <c r="L192" s="130"/>
      <c r="M192" s="130"/>
      <c r="N192" s="130"/>
      <c r="O192" s="130"/>
      <c r="P192" s="130"/>
    </row>
    <row r="193" spans="1:16" x14ac:dyDescent="0.2">
      <c r="A193" s="49" t="str">
        <v>0:00</v>
      </c>
      <c r="B193" s="108"/>
      <c r="C193" s="130"/>
      <c r="D193" s="130"/>
      <c r="E193" s="130"/>
      <c r="F193" s="130"/>
      <c r="G193" s="130"/>
      <c r="H193" s="130"/>
      <c r="I193" s="130"/>
      <c r="J193" s="130"/>
      <c r="K193" s="130"/>
      <c r="L193" s="130"/>
      <c r="M193" s="130"/>
      <c r="N193" s="130"/>
      <c r="O193" s="130"/>
      <c r="P193" s="130"/>
    </row>
    <row r="194" spans="1:16" x14ac:dyDescent="0.2">
      <c r="A194" s="49" t="str">
        <v>0:00</v>
      </c>
      <c r="B194" s="108"/>
      <c r="C194" s="130"/>
      <c r="D194" s="130"/>
      <c r="E194" s="130"/>
      <c r="F194" s="130"/>
      <c r="G194" s="130"/>
      <c r="H194" s="130"/>
      <c r="I194" s="130"/>
      <c r="J194" s="130"/>
      <c r="K194" s="130"/>
      <c r="L194" s="130"/>
      <c r="M194" s="130"/>
      <c r="N194" s="130"/>
      <c r="O194" s="130"/>
      <c r="P194" s="130"/>
    </row>
    <row r="195" spans="1:16" x14ac:dyDescent="0.2">
      <c r="A195" s="49" t="str">
        <v>0:00</v>
      </c>
      <c r="B195" s="108"/>
      <c r="C195" s="130"/>
      <c r="D195" s="130"/>
      <c r="E195" s="130"/>
      <c r="F195" s="130"/>
      <c r="G195" s="130"/>
      <c r="H195" s="130"/>
      <c r="I195" s="130"/>
      <c r="J195" s="130"/>
      <c r="K195" s="130"/>
      <c r="L195" s="130"/>
      <c r="M195" s="130"/>
      <c r="N195" s="130"/>
      <c r="O195" s="130"/>
      <c r="P195" s="130"/>
    </row>
    <row r="196" spans="1:16" x14ac:dyDescent="0.2">
      <c r="A196" s="49" t="str">
        <v>0:00</v>
      </c>
      <c r="B196" s="108"/>
      <c r="C196" s="130"/>
      <c r="D196" s="130"/>
      <c r="E196" s="130"/>
      <c r="F196" s="130"/>
      <c r="G196" s="130"/>
      <c r="H196" s="130"/>
      <c r="I196" s="130"/>
      <c r="J196" s="130"/>
      <c r="K196" s="130"/>
      <c r="L196" s="130"/>
      <c r="M196" s="130"/>
      <c r="N196" s="130"/>
      <c r="O196" s="130"/>
      <c r="P196" s="130"/>
    </row>
    <row r="197" spans="1:16" x14ac:dyDescent="0.2">
      <c r="A197" s="49" t="str">
        <v>0:00</v>
      </c>
      <c r="B197" s="108"/>
      <c r="C197" s="130"/>
      <c r="D197" s="130"/>
      <c r="E197" s="130"/>
      <c r="F197" s="130"/>
      <c r="G197" s="130"/>
      <c r="H197" s="130"/>
      <c r="I197" s="130"/>
      <c r="J197" s="130"/>
      <c r="K197" s="130"/>
      <c r="L197" s="130"/>
      <c r="M197" s="130"/>
      <c r="N197" s="130"/>
      <c r="O197" s="130"/>
      <c r="P197" s="130"/>
    </row>
    <row r="198" spans="1:16" x14ac:dyDescent="0.2">
      <c r="A198" s="49" t="str">
        <v>0:00</v>
      </c>
      <c r="B198" s="108"/>
      <c r="C198" s="130"/>
      <c r="D198" s="130"/>
      <c r="E198" s="130"/>
      <c r="F198" s="130"/>
      <c r="G198" s="130"/>
      <c r="H198" s="130"/>
      <c r="I198" s="130"/>
      <c r="J198" s="130"/>
      <c r="K198" s="130"/>
      <c r="L198" s="130"/>
      <c r="M198" s="130"/>
      <c r="N198" s="130"/>
      <c r="O198" s="130"/>
      <c r="P198" s="130"/>
    </row>
    <row r="199" spans="1:16" x14ac:dyDescent="0.2">
      <c r="A199" s="49" t="str">
        <v>0:00</v>
      </c>
      <c r="B199" s="108"/>
      <c r="C199" s="130"/>
      <c r="D199" s="130"/>
      <c r="E199" s="130"/>
      <c r="F199" s="130"/>
      <c r="G199" s="130"/>
      <c r="H199" s="130"/>
      <c r="I199" s="130"/>
      <c r="J199" s="130"/>
      <c r="K199" s="130"/>
      <c r="L199" s="130"/>
      <c r="M199" s="130"/>
      <c r="N199" s="130"/>
      <c r="O199" s="130"/>
      <c r="P199" s="130"/>
    </row>
    <row r="200" spans="1:16" x14ac:dyDescent="0.2">
      <c r="A200" s="49" t="str">
        <v>0:00</v>
      </c>
      <c r="B200" s="108"/>
      <c r="C200" s="130"/>
      <c r="D200" s="130"/>
      <c r="E200" s="130"/>
      <c r="F200" s="130"/>
      <c r="G200" s="130"/>
      <c r="H200" s="130"/>
      <c r="I200" s="130"/>
      <c r="J200" s="130"/>
      <c r="K200" s="130"/>
      <c r="L200" s="130"/>
      <c r="M200" s="130"/>
      <c r="N200" s="130"/>
      <c r="O200" s="130"/>
      <c r="P200" s="130"/>
    </row>
    <row r="201" spans="1:16" x14ac:dyDescent="0.2">
      <c r="A201" s="49" t="str">
        <v>0:00</v>
      </c>
      <c r="B201" s="108"/>
      <c r="C201" s="130"/>
      <c r="D201" s="130"/>
      <c r="E201" s="130"/>
      <c r="F201" s="130"/>
      <c r="G201" s="130"/>
      <c r="H201" s="130"/>
      <c r="I201" s="130"/>
      <c r="J201" s="130"/>
      <c r="K201" s="130"/>
      <c r="L201" s="130"/>
      <c r="M201" s="130"/>
      <c r="N201" s="130"/>
      <c r="O201" s="130"/>
      <c r="P201" s="130"/>
    </row>
    <row r="202" spans="1:16" x14ac:dyDescent="0.2">
      <c r="A202" s="49" t="str">
        <v>0:00</v>
      </c>
      <c r="B202" s="108"/>
      <c r="C202" s="130"/>
      <c r="D202" s="130"/>
      <c r="E202" s="130"/>
      <c r="F202" s="130"/>
      <c r="G202" s="130"/>
      <c r="H202" s="130"/>
      <c r="I202" s="130"/>
      <c r="J202" s="130"/>
      <c r="K202" s="130"/>
      <c r="L202" s="130"/>
      <c r="M202" s="130"/>
      <c r="N202" s="130"/>
      <c r="O202" s="130"/>
      <c r="P202" s="130"/>
    </row>
    <row r="203" spans="1:16" x14ac:dyDescent="0.2">
      <c r="A203" s="49" t="str">
        <v>0:00</v>
      </c>
      <c r="B203" s="108"/>
      <c r="C203" s="130"/>
      <c r="D203" s="130"/>
      <c r="E203" s="130"/>
      <c r="F203" s="130"/>
      <c r="G203" s="130"/>
      <c r="H203" s="130"/>
      <c r="I203" s="130"/>
      <c r="J203" s="130"/>
      <c r="K203" s="130"/>
      <c r="L203" s="130"/>
      <c r="M203" s="130"/>
      <c r="N203" s="130"/>
      <c r="O203" s="130"/>
      <c r="P203" s="130"/>
    </row>
    <row r="204" spans="1:16" x14ac:dyDescent="0.2">
      <c r="A204" s="49" t="str">
        <v>0:00</v>
      </c>
      <c r="B204" s="108"/>
      <c r="C204" s="130"/>
      <c r="D204" s="130"/>
      <c r="E204" s="130"/>
      <c r="F204" s="130"/>
      <c r="G204" s="130"/>
      <c r="H204" s="130"/>
      <c r="I204" s="130"/>
      <c r="J204" s="130"/>
      <c r="K204" s="130"/>
      <c r="L204" s="130"/>
      <c r="M204" s="130"/>
      <c r="N204" s="130"/>
      <c r="O204" s="130"/>
      <c r="P204" s="130"/>
    </row>
    <row r="205" spans="1:16" x14ac:dyDescent="0.2">
      <c r="A205" s="49" t="str">
        <v>0:00</v>
      </c>
      <c r="B205" s="108"/>
      <c r="C205" s="130"/>
      <c r="D205" s="130"/>
      <c r="E205" s="130"/>
      <c r="F205" s="130"/>
      <c r="G205" s="130"/>
      <c r="H205" s="130"/>
      <c r="I205" s="130"/>
      <c r="J205" s="130"/>
      <c r="K205" s="130"/>
      <c r="L205" s="130"/>
      <c r="M205" s="130"/>
      <c r="N205" s="130"/>
      <c r="O205" s="130"/>
      <c r="P205" s="130"/>
    </row>
    <row r="206" spans="1:16" x14ac:dyDescent="0.2">
      <c r="A206" s="49" t="str">
        <v>0:00</v>
      </c>
      <c r="B206" s="108"/>
      <c r="C206" s="130"/>
      <c r="D206" s="130"/>
      <c r="E206" s="130"/>
      <c r="F206" s="130"/>
      <c r="G206" s="130"/>
      <c r="H206" s="130"/>
      <c r="I206" s="130"/>
      <c r="J206" s="130"/>
      <c r="K206" s="130"/>
      <c r="L206" s="130"/>
      <c r="M206" s="130"/>
      <c r="N206" s="130"/>
      <c r="O206" s="130"/>
      <c r="P206" s="130"/>
    </row>
    <row r="207" spans="1:16" x14ac:dyDescent="0.2">
      <c r="A207" s="49" t="str">
        <v>0:00</v>
      </c>
      <c r="B207" s="108"/>
      <c r="C207" s="130"/>
      <c r="D207" s="130"/>
      <c r="E207" s="130"/>
      <c r="F207" s="130"/>
      <c r="G207" s="130"/>
      <c r="H207" s="130"/>
      <c r="I207" s="130"/>
      <c r="J207" s="130"/>
      <c r="K207" s="130"/>
      <c r="L207" s="130"/>
      <c r="M207" s="130"/>
      <c r="N207" s="130"/>
      <c r="O207" s="130"/>
      <c r="P207" s="130"/>
    </row>
    <row r="208" spans="1:16" x14ac:dyDescent="0.2">
      <c r="A208" s="49" t="str">
        <v>0:00</v>
      </c>
      <c r="B208" s="108"/>
      <c r="C208" s="130"/>
      <c r="D208" s="130"/>
      <c r="E208" s="130"/>
      <c r="F208" s="130"/>
      <c r="G208" s="130"/>
      <c r="H208" s="130"/>
      <c r="I208" s="130"/>
      <c r="J208" s="130"/>
      <c r="K208" s="130"/>
      <c r="L208" s="130"/>
      <c r="M208" s="130"/>
      <c r="N208" s="130"/>
      <c r="O208" s="130"/>
      <c r="P208" s="130"/>
    </row>
    <row r="209" spans="1:16" x14ac:dyDescent="0.2">
      <c r="A209" s="49" t="str">
        <v>0:00</v>
      </c>
      <c r="B209" s="108"/>
      <c r="C209" s="130"/>
      <c r="D209" s="130"/>
      <c r="E209" s="130"/>
      <c r="F209" s="130"/>
      <c r="G209" s="130"/>
      <c r="H209" s="130"/>
      <c r="I209" s="130"/>
      <c r="J209" s="130"/>
      <c r="K209" s="130"/>
      <c r="L209" s="130"/>
      <c r="M209" s="130"/>
      <c r="N209" s="130"/>
      <c r="O209" s="130"/>
      <c r="P209" s="130"/>
    </row>
    <row r="210" spans="1:16" x14ac:dyDescent="0.2">
      <c r="A210" s="49" t="str">
        <v>0:00</v>
      </c>
      <c r="B210" s="108"/>
      <c r="C210" s="130"/>
      <c r="D210" s="130"/>
      <c r="E210" s="130"/>
      <c r="F210" s="130"/>
      <c r="G210" s="130"/>
      <c r="H210" s="130"/>
      <c r="I210" s="130"/>
      <c r="J210" s="130"/>
      <c r="K210" s="130"/>
      <c r="L210" s="130"/>
      <c r="M210" s="130"/>
      <c r="N210" s="130"/>
      <c r="O210" s="130"/>
      <c r="P210" s="130"/>
    </row>
    <row r="211" spans="1:16" x14ac:dyDescent="0.2">
      <c r="A211" s="49" t="str">
        <v>0:00</v>
      </c>
      <c r="B211" s="108"/>
      <c r="C211" s="130"/>
      <c r="D211" s="130"/>
      <c r="E211" s="130"/>
      <c r="F211" s="130"/>
      <c r="G211" s="130"/>
      <c r="H211" s="130"/>
      <c r="I211" s="130"/>
      <c r="J211" s="130"/>
      <c r="K211" s="130"/>
      <c r="L211" s="130"/>
      <c r="M211" s="130"/>
      <c r="N211" s="130"/>
      <c r="O211" s="130"/>
      <c r="P211" s="130"/>
    </row>
    <row r="212" spans="1:16" x14ac:dyDescent="0.2">
      <c r="A212" s="49" t="str">
        <v>0:00</v>
      </c>
      <c r="B212" s="108"/>
      <c r="C212" s="130"/>
      <c r="D212" s="130"/>
      <c r="E212" s="130"/>
      <c r="F212" s="130"/>
      <c r="G212" s="130"/>
      <c r="H212" s="130"/>
      <c r="I212" s="130"/>
      <c r="J212" s="130"/>
      <c r="K212" s="130"/>
      <c r="L212" s="130"/>
      <c r="M212" s="130"/>
      <c r="N212" s="130"/>
      <c r="O212" s="130"/>
      <c r="P212" s="130"/>
    </row>
    <row r="213" spans="1:16" x14ac:dyDescent="0.2">
      <c r="A213" s="49" t="str">
        <v>0:00</v>
      </c>
      <c r="B213" s="108"/>
      <c r="C213" s="130"/>
      <c r="D213" s="130"/>
      <c r="E213" s="130"/>
      <c r="F213" s="130"/>
      <c r="G213" s="130"/>
      <c r="H213" s="130"/>
      <c r="I213" s="130"/>
      <c r="J213" s="130"/>
      <c r="K213" s="130"/>
      <c r="L213" s="130"/>
      <c r="M213" s="130"/>
      <c r="N213" s="130"/>
      <c r="O213" s="130"/>
      <c r="P213" s="130"/>
    </row>
    <row r="214" spans="1:16" x14ac:dyDescent="0.2">
      <c r="A214" s="49" t="str">
        <v>0:00</v>
      </c>
      <c r="B214" s="108"/>
      <c r="C214" s="130"/>
      <c r="D214" s="130"/>
      <c r="E214" s="130"/>
      <c r="F214" s="130"/>
      <c r="G214" s="130"/>
      <c r="H214" s="130"/>
      <c r="I214" s="130"/>
      <c r="J214" s="130"/>
      <c r="K214" s="130"/>
      <c r="L214" s="130"/>
      <c r="M214" s="130"/>
      <c r="N214" s="130"/>
      <c r="O214" s="130"/>
      <c r="P214" s="130"/>
    </row>
    <row r="215" spans="1:16" x14ac:dyDescent="0.2">
      <c r="A215" s="49" t="str">
        <v>0:00</v>
      </c>
      <c r="B215" s="108"/>
      <c r="C215" s="130"/>
      <c r="D215" s="130"/>
      <c r="E215" s="130"/>
      <c r="F215" s="130"/>
      <c r="G215" s="130"/>
      <c r="H215" s="130"/>
      <c r="I215" s="130"/>
      <c r="J215" s="130"/>
      <c r="K215" s="130"/>
      <c r="L215" s="130"/>
      <c r="M215" s="130"/>
      <c r="N215" s="130"/>
      <c r="O215" s="130"/>
      <c r="P215" s="130"/>
    </row>
    <row r="216" spans="1:16" x14ac:dyDescent="0.2">
      <c r="A216" s="49" t="str">
        <v>0:00</v>
      </c>
      <c r="B216" s="108"/>
      <c r="C216" s="130"/>
      <c r="D216" s="130"/>
      <c r="E216" s="130"/>
      <c r="F216" s="130"/>
      <c r="G216" s="130"/>
      <c r="H216" s="130"/>
      <c r="I216" s="130"/>
      <c r="J216" s="130"/>
      <c r="K216" s="130"/>
      <c r="L216" s="130"/>
      <c r="M216" s="130"/>
      <c r="N216" s="130"/>
      <c r="O216" s="130"/>
      <c r="P216" s="130"/>
    </row>
    <row r="217" spans="1:16" x14ac:dyDescent="0.2">
      <c r="A217" s="49" t="str">
        <v>0:00</v>
      </c>
      <c r="B217" s="108"/>
      <c r="C217" s="130"/>
      <c r="D217" s="130"/>
      <c r="E217" s="130"/>
      <c r="F217" s="130"/>
      <c r="G217" s="130"/>
      <c r="H217" s="130"/>
      <c r="I217" s="130"/>
      <c r="J217" s="130"/>
      <c r="K217" s="130"/>
      <c r="L217" s="130"/>
      <c r="M217" s="130"/>
      <c r="N217" s="130"/>
      <c r="O217" s="130"/>
      <c r="P217" s="130"/>
    </row>
    <row r="218" spans="1:16" x14ac:dyDescent="0.2">
      <c r="A218" s="49" t="str">
        <v>0:00</v>
      </c>
      <c r="B218" s="108"/>
      <c r="C218" s="130"/>
      <c r="D218" s="130"/>
      <c r="E218" s="130"/>
      <c r="F218" s="130"/>
      <c r="G218" s="130"/>
      <c r="H218" s="130"/>
      <c r="I218" s="130"/>
      <c r="J218" s="130"/>
      <c r="K218" s="130"/>
      <c r="L218" s="130"/>
      <c r="M218" s="130"/>
      <c r="N218" s="130"/>
      <c r="O218" s="130"/>
      <c r="P218" s="130"/>
    </row>
    <row r="219" spans="1:16" x14ac:dyDescent="0.2">
      <c r="A219" s="49" t="str">
        <v>0:00</v>
      </c>
      <c r="B219" s="108"/>
      <c r="C219" s="130"/>
      <c r="D219" s="130"/>
      <c r="E219" s="130"/>
      <c r="F219" s="130"/>
      <c r="G219" s="130"/>
      <c r="H219" s="130"/>
      <c r="I219" s="130"/>
      <c r="J219" s="130"/>
      <c r="K219" s="130"/>
      <c r="L219" s="130"/>
      <c r="M219" s="130"/>
      <c r="N219" s="130"/>
      <c r="O219" s="130"/>
      <c r="P219" s="130"/>
    </row>
    <row r="220" spans="1:16" x14ac:dyDescent="0.2">
      <c r="A220" s="49" t="str">
        <v>0:00</v>
      </c>
      <c r="B220" s="108"/>
      <c r="C220" s="130"/>
      <c r="D220" s="130"/>
      <c r="E220" s="130"/>
      <c r="F220" s="130"/>
      <c r="G220" s="130"/>
      <c r="H220" s="130"/>
      <c r="I220" s="130"/>
      <c r="J220" s="130"/>
      <c r="K220" s="130"/>
      <c r="L220" s="130"/>
      <c r="M220" s="130"/>
      <c r="N220" s="130"/>
      <c r="O220" s="130"/>
      <c r="P220" s="130"/>
    </row>
    <row r="221" spans="1:16" x14ac:dyDescent="0.2">
      <c r="A221" s="49" t="str">
        <v>0:00</v>
      </c>
      <c r="B221" s="108"/>
      <c r="C221" s="130"/>
      <c r="D221" s="130"/>
      <c r="E221" s="130"/>
      <c r="F221" s="130"/>
      <c r="G221" s="130"/>
      <c r="H221" s="130"/>
      <c r="I221" s="130"/>
      <c r="J221" s="130"/>
      <c r="K221" s="130"/>
      <c r="L221" s="130"/>
      <c r="M221" s="130"/>
      <c r="N221" s="130"/>
      <c r="O221" s="130"/>
      <c r="P221" s="130"/>
    </row>
    <row r="222" spans="1:16" x14ac:dyDescent="0.2">
      <c r="A222" s="49" t="str">
        <v>0:00</v>
      </c>
      <c r="B222" s="108"/>
      <c r="C222" s="130"/>
      <c r="D222" s="130"/>
      <c r="E222" s="130"/>
      <c r="F222" s="130"/>
      <c r="G222" s="130"/>
      <c r="H222" s="130"/>
      <c r="I222" s="130"/>
      <c r="J222" s="130"/>
      <c r="K222" s="130"/>
      <c r="L222" s="130"/>
      <c r="M222" s="130"/>
      <c r="N222" s="130"/>
      <c r="O222" s="130"/>
      <c r="P222" s="130"/>
    </row>
    <row r="223" spans="1:16" x14ac:dyDescent="0.2">
      <c r="A223" s="49" t="str">
        <v>0:00</v>
      </c>
      <c r="B223" s="108"/>
      <c r="C223" s="130"/>
      <c r="D223" s="130"/>
      <c r="E223" s="130"/>
      <c r="F223" s="130"/>
      <c r="G223" s="130"/>
      <c r="H223" s="130"/>
      <c r="I223" s="130"/>
      <c r="J223" s="130"/>
      <c r="K223" s="130"/>
      <c r="L223" s="130"/>
      <c r="M223" s="130"/>
      <c r="N223" s="130"/>
      <c r="O223" s="130"/>
      <c r="P223" s="130"/>
    </row>
    <row r="224" spans="1:16" x14ac:dyDescent="0.2">
      <c r="A224" s="49" t="str">
        <v>0:00</v>
      </c>
      <c r="B224" s="108"/>
      <c r="C224" s="130"/>
      <c r="D224" s="130"/>
      <c r="E224" s="130"/>
      <c r="F224" s="130"/>
      <c r="G224" s="130"/>
      <c r="H224" s="130"/>
      <c r="I224" s="130"/>
      <c r="J224" s="130"/>
      <c r="K224" s="130"/>
      <c r="L224" s="130"/>
      <c r="M224" s="130"/>
      <c r="N224" s="130"/>
      <c r="O224" s="130"/>
      <c r="P224" s="130"/>
    </row>
    <row r="225" spans="1:16" x14ac:dyDescent="0.2">
      <c r="A225" s="49" t="str">
        <v>0:00</v>
      </c>
      <c r="B225" s="108"/>
      <c r="C225" s="130"/>
      <c r="D225" s="130"/>
      <c r="E225" s="130"/>
      <c r="F225" s="130"/>
      <c r="G225" s="130"/>
      <c r="H225" s="130"/>
      <c r="I225" s="130"/>
      <c r="J225" s="130"/>
      <c r="K225" s="130"/>
      <c r="L225" s="130"/>
      <c r="M225" s="130"/>
      <c r="N225" s="130"/>
      <c r="O225" s="130"/>
      <c r="P225" s="130"/>
    </row>
    <row r="226" spans="1:16" x14ac:dyDescent="0.2">
      <c r="A226" s="49" t="str">
        <v>0:00</v>
      </c>
      <c r="B226" s="108"/>
      <c r="C226" s="130"/>
      <c r="D226" s="130"/>
      <c r="E226" s="130"/>
      <c r="F226" s="130"/>
      <c r="G226" s="130"/>
      <c r="H226" s="130"/>
      <c r="I226" s="130"/>
      <c r="J226" s="130"/>
      <c r="K226" s="130"/>
      <c r="L226" s="130"/>
      <c r="M226" s="130"/>
      <c r="N226" s="130"/>
      <c r="O226" s="130"/>
      <c r="P226" s="130"/>
    </row>
    <row r="227" spans="1:16" x14ac:dyDescent="0.2">
      <c r="A227" s="49" t="str">
        <v>0:00</v>
      </c>
      <c r="B227" s="108"/>
      <c r="C227" s="130"/>
      <c r="D227" s="130"/>
      <c r="E227" s="130"/>
      <c r="F227" s="130"/>
      <c r="G227" s="130"/>
      <c r="H227" s="130"/>
      <c r="I227" s="130"/>
      <c r="J227" s="130"/>
      <c r="K227" s="130"/>
      <c r="L227" s="130"/>
      <c r="M227" s="130"/>
      <c r="N227" s="130"/>
      <c r="O227" s="130"/>
      <c r="P227" s="130"/>
    </row>
    <row r="228" spans="1:16" x14ac:dyDescent="0.2">
      <c r="A228" s="49" t="str">
        <v>0:00</v>
      </c>
      <c r="B228" s="108"/>
      <c r="C228" s="130"/>
      <c r="D228" s="130"/>
      <c r="E228" s="130"/>
      <c r="F228" s="130"/>
      <c r="G228" s="130"/>
      <c r="H228" s="130"/>
      <c r="I228" s="130"/>
      <c r="J228" s="130"/>
      <c r="K228" s="130"/>
      <c r="L228" s="130"/>
      <c r="M228" s="130"/>
      <c r="N228" s="130"/>
      <c r="O228" s="130"/>
      <c r="P228" s="130"/>
    </row>
    <row r="229" spans="1:16" x14ac:dyDescent="0.2">
      <c r="A229" s="49" t="str">
        <v>0:00</v>
      </c>
      <c r="B229" s="108"/>
      <c r="C229" s="130"/>
      <c r="D229" s="130"/>
      <c r="E229" s="130"/>
      <c r="F229" s="130"/>
      <c r="G229" s="130"/>
      <c r="H229" s="130"/>
      <c r="I229" s="130"/>
      <c r="J229" s="130"/>
      <c r="K229" s="130"/>
      <c r="L229" s="130"/>
      <c r="M229" s="130"/>
      <c r="N229" s="130"/>
      <c r="O229" s="130"/>
      <c r="P229" s="130"/>
    </row>
    <row r="230" spans="1:16" x14ac:dyDescent="0.2">
      <c r="A230" s="49" t="str">
        <v>0:00</v>
      </c>
      <c r="B230" s="108"/>
      <c r="C230" s="130"/>
      <c r="D230" s="130"/>
      <c r="E230" s="130"/>
      <c r="F230" s="130"/>
      <c r="G230" s="130"/>
      <c r="H230" s="130"/>
      <c r="I230" s="130"/>
      <c r="J230" s="130"/>
      <c r="K230" s="130"/>
      <c r="L230" s="130"/>
      <c r="M230" s="130"/>
      <c r="N230" s="130"/>
      <c r="O230" s="130"/>
      <c r="P230" s="130"/>
    </row>
    <row r="231" spans="1:16" x14ac:dyDescent="0.2">
      <c r="A231" s="49" t="str">
        <v>0:00</v>
      </c>
      <c r="B231" s="108"/>
      <c r="C231" s="130"/>
      <c r="D231" s="130"/>
      <c r="E231" s="130"/>
      <c r="F231" s="130"/>
      <c r="G231" s="130"/>
      <c r="H231" s="130"/>
      <c r="I231" s="130"/>
      <c r="J231" s="130"/>
      <c r="K231" s="130"/>
      <c r="L231" s="130"/>
      <c r="M231" s="130"/>
      <c r="N231" s="130"/>
      <c r="O231" s="130"/>
      <c r="P231" s="130"/>
    </row>
    <row r="232" spans="1:16" x14ac:dyDescent="0.2">
      <c r="A232" s="49" t="str">
        <v>0:00</v>
      </c>
      <c r="B232" s="108"/>
      <c r="C232" s="130"/>
      <c r="D232" s="130"/>
      <c r="E232" s="130"/>
      <c r="F232" s="130"/>
      <c r="G232" s="130"/>
      <c r="H232" s="130"/>
      <c r="I232" s="130"/>
      <c r="J232" s="130"/>
      <c r="K232" s="130"/>
      <c r="L232" s="130"/>
      <c r="M232" s="130"/>
      <c r="N232" s="130"/>
      <c r="O232" s="130"/>
      <c r="P232" s="130"/>
    </row>
    <row r="233" spans="1:16" x14ac:dyDescent="0.2">
      <c r="A233" s="49" t="str">
        <v>0:00</v>
      </c>
      <c r="B233" s="108"/>
      <c r="C233" s="130"/>
      <c r="D233" s="130"/>
      <c r="E233" s="130"/>
      <c r="F233" s="130"/>
      <c r="G233" s="130"/>
      <c r="H233" s="130"/>
      <c r="I233" s="130"/>
      <c r="J233" s="130"/>
      <c r="K233" s="130"/>
      <c r="L233" s="130"/>
      <c r="M233" s="130"/>
      <c r="N233" s="130"/>
      <c r="O233" s="130"/>
      <c r="P233" s="130"/>
    </row>
    <row r="234" spans="1:16" x14ac:dyDescent="0.2">
      <c r="A234" s="49" t="str">
        <v>0:00</v>
      </c>
      <c r="B234" s="108"/>
      <c r="C234" s="130"/>
      <c r="D234" s="130"/>
      <c r="E234" s="130"/>
      <c r="F234" s="130"/>
      <c r="G234" s="130"/>
      <c r="H234" s="130"/>
      <c r="I234" s="130"/>
      <c r="J234" s="130"/>
      <c r="K234" s="130"/>
      <c r="L234" s="130"/>
      <c r="M234" s="130"/>
      <c r="N234" s="130"/>
      <c r="O234" s="130"/>
      <c r="P234" s="130"/>
    </row>
    <row r="235" spans="1:16" x14ac:dyDescent="0.2">
      <c r="A235" s="49" t="str">
        <v>0:00</v>
      </c>
      <c r="B235" s="108"/>
      <c r="C235" s="130"/>
      <c r="D235" s="130"/>
      <c r="E235" s="130"/>
      <c r="F235" s="130"/>
      <c r="G235" s="130"/>
      <c r="H235" s="130"/>
      <c r="I235" s="130"/>
      <c r="J235" s="130"/>
      <c r="K235" s="130"/>
      <c r="L235" s="130"/>
      <c r="M235" s="130"/>
      <c r="N235" s="130"/>
      <c r="O235" s="130"/>
      <c r="P235" s="130"/>
    </row>
    <row r="236" spans="1:16" x14ac:dyDescent="0.2">
      <c r="A236" s="49" t="str">
        <v>0:00</v>
      </c>
      <c r="B236" s="108"/>
      <c r="C236" s="130"/>
      <c r="D236" s="130"/>
      <c r="E236" s="130"/>
      <c r="F236" s="130"/>
      <c r="G236" s="130"/>
      <c r="H236" s="130"/>
      <c r="I236" s="130"/>
      <c r="J236" s="130"/>
      <c r="K236" s="130"/>
      <c r="L236" s="130"/>
      <c r="M236" s="130"/>
      <c r="N236" s="130"/>
      <c r="O236" s="130"/>
      <c r="P236" s="130"/>
    </row>
    <row r="237" spans="1:16" x14ac:dyDescent="0.2">
      <c r="A237" s="49" t="str">
        <v>0:00</v>
      </c>
      <c r="B237" s="108"/>
      <c r="C237" s="130"/>
      <c r="D237" s="130"/>
      <c r="E237" s="130"/>
      <c r="F237" s="130"/>
      <c r="G237" s="130"/>
      <c r="H237" s="130"/>
      <c r="I237" s="130"/>
      <c r="J237" s="130"/>
      <c r="K237" s="130"/>
      <c r="L237" s="130"/>
      <c r="M237" s="130"/>
      <c r="N237" s="130"/>
      <c r="O237" s="130"/>
      <c r="P237" s="130"/>
    </row>
    <row r="238" spans="1:16" x14ac:dyDescent="0.2">
      <c r="A238" s="49" t="str">
        <v>0:00</v>
      </c>
      <c r="B238" s="108"/>
      <c r="C238" s="130"/>
      <c r="D238" s="130"/>
      <c r="E238" s="130"/>
      <c r="F238" s="130"/>
      <c r="G238" s="130"/>
      <c r="H238" s="130"/>
      <c r="I238" s="130"/>
      <c r="J238" s="130"/>
      <c r="K238" s="130"/>
      <c r="L238" s="130"/>
      <c r="M238" s="130"/>
      <c r="N238" s="130"/>
      <c r="O238" s="130"/>
      <c r="P238" s="130"/>
    </row>
    <row r="239" spans="1:16" x14ac:dyDescent="0.2">
      <c r="A239" s="49" t="str">
        <v>0:00</v>
      </c>
      <c r="B239" s="108"/>
      <c r="C239" s="130"/>
      <c r="D239" s="130"/>
      <c r="E239" s="130"/>
      <c r="F239" s="130"/>
      <c r="G239" s="130"/>
      <c r="H239" s="130"/>
      <c r="I239" s="130"/>
      <c r="J239" s="130"/>
      <c r="K239" s="130"/>
      <c r="L239" s="130"/>
      <c r="M239" s="130"/>
      <c r="N239" s="130"/>
      <c r="O239" s="130"/>
      <c r="P239" s="130"/>
    </row>
    <row r="240" spans="1:16" x14ac:dyDescent="0.2">
      <c r="A240" s="49" t="str">
        <v>0:00</v>
      </c>
      <c r="B240" s="108"/>
      <c r="C240" s="130"/>
      <c r="D240" s="130"/>
      <c r="E240" s="130"/>
      <c r="F240" s="130"/>
      <c r="G240" s="130"/>
      <c r="H240" s="130"/>
      <c r="I240" s="130"/>
      <c r="J240" s="130"/>
      <c r="K240" s="130"/>
      <c r="L240" s="130"/>
      <c r="M240" s="130"/>
      <c r="N240" s="130"/>
      <c r="O240" s="130"/>
      <c r="P240" s="130"/>
    </row>
    <row r="241" spans="1:16" x14ac:dyDescent="0.2">
      <c r="A241" s="49" t="str">
        <v>0:00</v>
      </c>
      <c r="B241" s="108"/>
      <c r="C241" s="130"/>
      <c r="D241" s="130"/>
      <c r="E241" s="130"/>
      <c r="F241" s="130"/>
      <c r="G241" s="130"/>
      <c r="H241" s="130"/>
      <c r="I241" s="130"/>
      <c r="J241" s="130"/>
      <c r="K241" s="130"/>
      <c r="L241" s="130"/>
      <c r="M241" s="130"/>
      <c r="N241" s="130"/>
      <c r="O241" s="130"/>
      <c r="P241" s="130"/>
    </row>
    <row r="242" spans="1:16" x14ac:dyDescent="0.2">
      <c r="A242" s="49" t="str">
        <v>0:00</v>
      </c>
      <c r="B242" s="108"/>
      <c r="C242" s="130"/>
      <c r="D242" s="130"/>
      <c r="E242" s="130"/>
      <c r="F242" s="130"/>
      <c r="G242" s="130"/>
      <c r="H242" s="130"/>
      <c r="I242" s="130"/>
      <c r="J242" s="130"/>
      <c r="K242" s="130"/>
      <c r="L242" s="130"/>
      <c r="M242" s="130"/>
      <c r="N242" s="130"/>
      <c r="O242" s="130"/>
      <c r="P242" s="130"/>
    </row>
    <row r="243" spans="1:16" x14ac:dyDescent="0.2">
      <c r="A243" s="49" t="str">
        <v>0:00</v>
      </c>
      <c r="B243" s="108"/>
      <c r="C243" s="130"/>
      <c r="D243" s="130"/>
      <c r="E243" s="130"/>
      <c r="F243" s="130"/>
      <c r="G243" s="130"/>
      <c r="H243" s="130"/>
      <c r="I243" s="130"/>
      <c r="J243" s="130"/>
      <c r="K243" s="130"/>
      <c r="L243" s="130"/>
      <c r="M243" s="130"/>
      <c r="N243" s="130"/>
      <c r="O243" s="130"/>
      <c r="P243" s="130"/>
    </row>
    <row r="244" spans="1:16" x14ac:dyDescent="0.2">
      <c r="A244" s="49" t="str">
        <v>0:00</v>
      </c>
      <c r="B244" s="108"/>
      <c r="C244" s="130"/>
      <c r="D244" s="130"/>
      <c r="E244" s="130"/>
      <c r="F244" s="130"/>
      <c r="G244" s="130"/>
      <c r="H244" s="130"/>
      <c r="I244" s="130"/>
      <c r="J244" s="130"/>
      <c r="K244" s="130"/>
      <c r="L244" s="130"/>
      <c r="M244" s="130"/>
      <c r="N244" s="130"/>
      <c r="O244" s="130"/>
      <c r="P244" s="130"/>
    </row>
    <row r="245" spans="1:16" x14ac:dyDescent="0.2">
      <c r="A245" s="49" t="str">
        <v>0:00</v>
      </c>
      <c r="B245" s="108"/>
      <c r="C245" s="130"/>
      <c r="D245" s="130"/>
      <c r="E245" s="130"/>
      <c r="F245" s="130"/>
      <c r="G245" s="130"/>
      <c r="H245" s="130"/>
      <c r="I245" s="130"/>
      <c r="J245" s="130"/>
      <c r="K245" s="130"/>
      <c r="L245" s="130"/>
      <c r="M245" s="130"/>
      <c r="N245" s="130"/>
      <c r="O245" s="130"/>
      <c r="P245" s="130"/>
    </row>
    <row r="246" spans="1:16" x14ac:dyDescent="0.2">
      <c r="A246" s="49" t="str">
        <v>0:00</v>
      </c>
      <c r="B246" s="108"/>
      <c r="C246" s="130"/>
      <c r="D246" s="130"/>
      <c r="E246" s="130"/>
      <c r="F246" s="130"/>
      <c r="G246" s="130"/>
      <c r="H246" s="130"/>
      <c r="I246" s="130"/>
      <c r="J246" s="130"/>
      <c r="K246" s="130"/>
      <c r="L246" s="130"/>
      <c r="M246" s="130"/>
      <c r="N246" s="130"/>
      <c r="O246" s="130"/>
      <c r="P246" s="130"/>
    </row>
    <row r="247" spans="1:16" x14ac:dyDescent="0.2">
      <c r="A247" s="49" t="str">
        <v>0:00</v>
      </c>
      <c r="B247" s="108"/>
      <c r="C247" s="130"/>
      <c r="D247" s="130"/>
      <c r="E247" s="130"/>
      <c r="F247" s="130"/>
      <c r="G247" s="130"/>
      <c r="H247" s="130"/>
      <c r="I247" s="130"/>
      <c r="J247" s="130"/>
      <c r="K247" s="130"/>
      <c r="L247" s="130"/>
      <c r="M247" s="130"/>
      <c r="N247" s="130"/>
      <c r="O247" s="130"/>
      <c r="P247" s="130"/>
    </row>
    <row r="248" spans="1:16" x14ac:dyDescent="0.2">
      <c r="A248" s="49" t="str">
        <v>0:00</v>
      </c>
      <c r="B248" s="108"/>
      <c r="C248" s="130"/>
      <c r="D248" s="130"/>
      <c r="E248" s="130"/>
      <c r="F248" s="130"/>
      <c r="G248" s="130"/>
      <c r="H248" s="130"/>
      <c r="I248" s="130"/>
      <c r="J248" s="130"/>
      <c r="K248" s="130"/>
      <c r="L248" s="130"/>
      <c r="M248" s="130"/>
      <c r="N248" s="130"/>
      <c r="O248" s="130"/>
      <c r="P248" s="130"/>
    </row>
    <row r="249" spans="1:16" x14ac:dyDescent="0.2">
      <c r="A249" s="49" t="str">
        <v>0:00</v>
      </c>
      <c r="B249" s="108"/>
      <c r="C249" s="130"/>
      <c r="D249" s="130"/>
      <c r="E249" s="130"/>
      <c r="F249" s="130"/>
      <c r="G249" s="130"/>
      <c r="H249" s="130"/>
      <c r="I249" s="130"/>
      <c r="J249" s="130"/>
      <c r="K249" s="130"/>
      <c r="L249" s="130"/>
      <c r="M249" s="130"/>
      <c r="N249" s="130"/>
      <c r="O249" s="130"/>
      <c r="P249" s="130"/>
    </row>
    <row r="250" spans="1:16" x14ac:dyDescent="0.2">
      <c r="A250" s="49" t="str">
        <v>0:00</v>
      </c>
      <c r="B250" s="108"/>
      <c r="C250" s="130"/>
      <c r="D250" s="130"/>
      <c r="E250" s="130"/>
      <c r="F250" s="130"/>
      <c r="G250" s="130"/>
      <c r="H250" s="130"/>
      <c r="I250" s="130"/>
      <c r="J250" s="130"/>
      <c r="K250" s="130"/>
      <c r="L250" s="130"/>
      <c r="M250" s="130"/>
      <c r="N250" s="130"/>
      <c r="O250" s="130"/>
      <c r="P250" s="130"/>
    </row>
    <row r="251" spans="1:16" x14ac:dyDescent="0.2">
      <c r="A251" s="49" t="str">
        <v>0:00</v>
      </c>
      <c r="B251" s="108"/>
      <c r="C251" s="130"/>
      <c r="D251" s="130"/>
      <c r="E251" s="130"/>
      <c r="F251" s="130"/>
      <c r="G251" s="130"/>
      <c r="H251" s="130"/>
      <c r="I251" s="130"/>
      <c r="J251" s="130"/>
      <c r="K251" s="130"/>
      <c r="L251" s="130"/>
      <c r="M251" s="130"/>
      <c r="N251" s="130"/>
      <c r="O251" s="130"/>
      <c r="P251" s="130"/>
    </row>
    <row r="252" spans="1:16" x14ac:dyDescent="0.2">
      <c r="A252" s="49" t="str">
        <v>0:00</v>
      </c>
      <c r="B252" s="108"/>
      <c r="C252" s="130"/>
      <c r="D252" s="130"/>
      <c r="E252" s="130"/>
      <c r="F252" s="130"/>
      <c r="G252" s="130"/>
      <c r="H252" s="130"/>
      <c r="I252" s="130"/>
      <c r="J252" s="130"/>
      <c r="K252" s="130"/>
      <c r="L252" s="130"/>
      <c r="M252" s="130"/>
      <c r="N252" s="130"/>
      <c r="O252" s="130"/>
      <c r="P252" s="130"/>
    </row>
    <row r="253" spans="1:16" x14ac:dyDescent="0.2">
      <c r="A253" s="49" t="str">
        <v>0:00</v>
      </c>
      <c r="B253" s="108"/>
      <c r="C253" s="130"/>
      <c r="D253" s="130"/>
      <c r="E253" s="130"/>
      <c r="F253" s="130"/>
      <c r="G253" s="130"/>
      <c r="H253" s="130"/>
      <c r="I253" s="130"/>
      <c r="J253" s="130"/>
      <c r="K253" s="130"/>
      <c r="L253" s="130"/>
      <c r="M253" s="130"/>
      <c r="N253" s="130"/>
      <c r="O253" s="130"/>
      <c r="P253" s="130"/>
    </row>
    <row r="254" spans="1:16" x14ac:dyDescent="0.2">
      <c r="A254" s="49" t="str">
        <v>0:00</v>
      </c>
      <c r="B254" s="108"/>
      <c r="C254" s="130"/>
      <c r="D254" s="130"/>
      <c r="E254" s="130"/>
      <c r="F254" s="130"/>
      <c r="G254" s="130"/>
      <c r="H254" s="130"/>
      <c r="I254" s="130"/>
      <c r="J254" s="130"/>
      <c r="K254" s="130"/>
      <c r="L254" s="130"/>
      <c r="M254" s="130"/>
      <c r="N254" s="130"/>
      <c r="O254" s="130"/>
      <c r="P254" s="130"/>
    </row>
    <row r="255" spans="1:16" x14ac:dyDescent="0.2">
      <c r="A255" s="49" t="str">
        <v>0:00</v>
      </c>
      <c r="B255" s="108"/>
      <c r="C255" s="130"/>
      <c r="D255" s="130"/>
      <c r="E255" s="130"/>
      <c r="F255" s="130"/>
      <c r="G255" s="130"/>
      <c r="H255" s="130"/>
      <c r="I255" s="130"/>
      <c r="J255" s="130"/>
      <c r="K255" s="130"/>
      <c r="L255" s="130"/>
      <c r="M255" s="130"/>
      <c r="N255" s="130"/>
      <c r="O255" s="130"/>
      <c r="P255" s="130"/>
    </row>
    <row r="256" spans="1:16" x14ac:dyDescent="0.2">
      <c r="A256" s="49" t="str">
        <v>0:00</v>
      </c>
      <c r="B256" s="108"/>
      <c r="C256" s="130"/>
      <c r="D256" s="130"/>
      <c r="E256" s="130"/>
      <c r="F256" s="130"/>
      <c r="G256" s="130"/>
      <c r="H256" s="130"/>
      <c r="I256" s="130"/>
      <c r="J256" s="130"/>
      <c r="K256" s="130"/>
      <c r="L256" s="130"/>
      <c r="M256" s="130"/>
      <c r="N256" s="130"/>
      <c r="O256" s="130"/>
      <c r="P256" s="130"/>
    </row>
    <row r="257" spans="1:16" x14ac:dyDescent="0.2">
      <c r="A257" s="49" t="str">
        <v>0:00</v>
      </c>
      <c r="B257" s="108"/>
      <c r="C257" s="130"/>
      <c r="D257" s="130"/>
      <c r="E257" s="130"/>
      <c r="F257" s="130"/>
      <c r="G257" s="130"/>
      <c r="H257" s="130"/>
      <c r="I257" s="130"/>
      <c r="J257" s="130"/>
      <c r="K257" s="130"/>
      <c r="L257" s="130"/>
      <c r="M257" s="130"/>
      <c r="N257" s="130"/>
      <c r="O257" s="130"/>
      <c r="P257" s="130"/>
    </row>
    <row r="258" spans="1:16" x14ac:dyDescent="0.2">
      <c r="A258" s="49" t="str">
        <v>0:00</v>
      </c>
      <c r="B258" s="108"/>
      <c r="C258" s="130"/>
      <c r="D258" s="130"/>
      <c r="E258" s="130"/>
      <c r="F258" s="130"/>
      <c r="G258" s="130"/>
      <c r="H258" s="130"/>
      <c r="I258" s="130"/>
      <c r="J258" s="130"/>
      <c r="K258" s="130"/>
      <c r="L258" s="130"/>
      <c r="M258" s="130"/>
      <c r="N258" s="130"/>
      <c r="O258" s="130"/>
      <c r="P258" s="130"/>
    </row>
    <row r="259" spans="1:16" x14ac:dyDescent="0.2">
      <c r="A259" s="49" t="str">
        <v>0:00</v>
      </c>
      <c r="B259" s="108"/>
      <c r="C259" s="130"/>
      <c r="D259" s="130"/>
      <c r="E259" s="130"/>
      <c r="F259" s="130"/>
      <c r="G259" s="130"/>
      <c r="H259" s="130"/>
      <c r="I259" s="130"/>
      <c r="J259" s="130"/>
      <c r="K259" s="130"/>
      <c r="L259" s="130"/>
      <c r="M259" s="130"/>
      <c r="N259" s="130"/>
      <c r="O259" s="130"/>
      <c r="P259" s="130"/>
    </row>
    <row r="260" spans="1:16" x14ac:dyDescent="0.2">
      <c r="A260" s="49" t="str">
        <v>0:00</v>
      </c>
      <c r="B260" s="108"/>
      <c r="C260" s="130"/>
      <c r="D260" s="130"/>
      <c r="E260" s="130"/>
      <c r="F260" s="130"/>
      <c r="G260" s="130"/>
      <c r="H260" s="130"/>
      <c r="I260" s="130"/>
      <c r="J260" s="130"/>
      <c r="K260" s="130"/>
      <c r="L260" s="130"/>
      <c r="M260" s="130"/>
      <c r="N260" s="130"/>
      <c r="O260" s="130"/>
      <c r="P260" s="130"/>
    </row>
    <row r="261" spans="1:16" x14ac:dyDescent="0.2">
      <c r="A261" s="49" t="str">
        <v>0:00</v>
      </c>
      <c r="B261" s="108"/>
      <c r="C261" s="130"/>
      <c r="D261" s="130"/>
      <c r="E261" s="130"/>
      <c r="F261" s="130"/>
      <c r="G261" s="130"/>
      <c r="H261" s="130"/>
      <c r="I261" s="130"/>
      <c r="J261" s="130"/>
      <c r="K261" s="130"/>
      <c r="L261" s="130"/>
      <c r="M261" s="130"/>
      <c r="N261" s="130"/>
      <c r="O261" s="130"/>
      <c r="P261" s="130"/>
    </row>
    <row r="262" spans="1:16" x14ac:dyDescent="0.2">
      <c r="A262" s="49" t="str">
        <v>0:00</v>
      </c>
      <c r="B262" s="108"/>
      <c r="C262" s="130"/>
      <c r="D262" s="130"/>
      <c r="E262" s="130"/>
      <c r="F262" s="130"/>
      <c r="G262" s="130"/>
      <c r="H262" s="130"/>
      <c r="I262" s="130"/>
      <c r="J262" s="130"/>
      <c r="K262" s="130"/>
      <c r="L262" s="130"/>
      <c r="M262" s="130"/>
      <c r="N262" s="130"/>
      <c r="O262" s="130"/>
      <c r="P262" s="130"/>
    </row>
    <row r="263" spans="1:16" x14ac:dyDescent="0.2">
      <c r="A263" s="49" t="str">
        <v>0:00</v>
      </c>
      <c r="B263" s="108"/>
      <c r="C263" s="130"/>
      <c r="D263" s="130"/>
      <c r="E263" s="130"/>
      <c r="F263" s="130"/>
      <c r="G263" s="130"/>
      <c r="H263" s="130"/>
      <c r="I263" s="130"/>
      <c r="J263" s="130"/>
      <c r="K263" s="130"/>
      <c r="L263" s="130"/>
      <c r="M263" s="130"/>
      <c r="N263" s="130"/>
      <c r="O263" s="130"/>
      <c r="P263" s="130"/>
    </row>
    <row r="264" spans="1:16" x14ac:dyDescent="0.2">
      <c r="A264" s="49" t="str">
        <v>0:00</v>
      </c>
      <c r="B264" s="108"/>
      <c r="C264" s="130"/>
      <c r="D264" s="130"/>
      <c r="E264" s="130"/>
      <c r="F264" s="130"/>
      <c r="G264" s="130"/>
      <c r="H264" s="130"/>
      <c r="I264" s="130"/>
      <c r="J264" s="130"/>
      <c r="K264" s="130"/>
      <c r="L264" s="130"/>
      <c r="M264" s="130"/>
      <c r="N264" s="130"/>
      <c r="O264" s="130"/>
      <c r="P264" s="130"/>
    </row>
    <row r="265" spans="1:16" x14ac:dyDescent="0.2">
      <c r="A265" s="49" t="str">
        <v>0:00</v>
      </c>
      <c r="B265" s="108"/>
      <c r="C265" s="130"/>
      <c r="D265" s="130"/>
      <c r="E265" s="130"/>
      <c r="F265" s="130"/>
      <c r="G265" s="130"/>
      <c r="H265" s="130"/>
      <c r="I265" s="130"/>
      <c r="J265" s="130"/>
      <c r="K265" s="130"/>
      <c r="L265" s="130"/>
      <c r="M265" s="130"/>
      <c r="N265" s="130"/>
      <c r="O265" s="130"/>
      <c r="P265" s="130"/>
    </row>
    <row r="266" spans="1:16" x14ac:dyDescent="0.2">
      <c r="A266" s="49" t="str">
        <v>0:00</v>
      </c>
      <c r="B266" s="108"/>
      <c r="C266" s="130"/>
      <c r="D266" s="130"/>
      <c r="E266" s="130"/>
      <c r="F266" s="130"/>
      <c r="G266" s="130"/>
      <c r="H266" s="130"/>
      <c r="I266" s="130"/>
      <c r="J266" s="130"/>
      <c r="K266" s="130"/>
      <c r="L266" s="130"/>
      <c r="M266" s="130"/>
      <c r="N266" s="130"/>
      <c r="O266" s="130"/>
      <c r="P266" s="130"/>
    </row>
    <row r="267" spans="1:16" x14ac:dyDescent="0.2">
      <c r="A267" s="49" t="str">
        <v>0:00</v>
      </c>
      <c r="B267" s="108"/>
      <c r="C267" s="130"/>
      <c r="D267" s="130"/>
      <c r="E267" s="130"/>
      <c r="F267" s="130"/>
      <c r="G267" s="130"/>
      <c r="H267" s="130"/>
      <c r="I267" s="130"/>
      <c r="J267" s="130"/>
      <c r="K267" s="130"/>
      <c r="L267" s="130"/>
      <c r="M267" s="130"/>
      <c r="N267" s="130"/>
      <c r="O267" s="130"/>
      <c r="P267" s="130"/>
    </row>
    <row r="268" spans="1:16" x14ac:dyDescent="0.2">
      <c r="A268" s="49" t="str">
        <v>0:00</v>
      </c>
      <c r="B268" s="108"/>
      <c r="C268" s="130"/>
      <c r="D268" s="130"/>
      <c r="E268" s="130"/>
      <c r="F268" s="130"/>
      <c r="G268" s="130"/>
      <c r="H268" s="130"/>
      <c r="I268" s="130"/>
      <c r="J268" s="130"/>
      <c r="K268" s="130"/>
      <c r="L268" s="130"/>
      <c r="M268" s="130"/>
      <c r="N268" s="130"/>
      <c r="O268" s="130"/>
      <c r="P268" s="130"/>
    </row>
    <row r="269" spans="1:16" x14ac:dyDescent="0.2">
      <c r="A269" s="49" t="str">
        <v>0:00</v>
      </c>
      <c r="B269" s="108"/>
      <c r="C269" s="130"/>
      <c r="D269" s="130"/>
      <c r="E269" s="130"/>
      <c r="F269" s="130"/>
      <c r="G269" s="130"/>
      <c r="H269" s="130"/>
      <c r="I269" s="130"/>
      <c r="J269" s="130"/>
      <c r="K269" s="130"/>
      <c r="L269" s="130"/>
      <c r="M269" s="130"/>
      <c r="N269" s="130"/>
      <c r="O269" s="130"/>
      <c r="P269" s="130"/>
    </row>
    <row r="270" spans="1:16" x14ac:dyDescent="0.2">
      <c r="A270" s="49" t="str">
        <v>0:00</v>
      </c>
      <c r="B270" s="108"/>
      <c r="C270" s="130"/>
      <c r="D270" s="130"/>
      <c r="E270" s="130"/>
      <c r="F270" s="130"/>
      <c r="G270" s="130"/>
      <c r="H270" s="130"/>
      <c r="I270" s="130"/>
      <c r="J270" s="130"/>
      <c r="K270" s="130"/>
      <c r="L270" s="130"/>
      <c r="M270" s="130"/>
      <c r="N270" s="130"/>
      <c r="O270" s="130"/>
      <c r="P270" s="130"/>
    </row>
    <row r="271" spans="1:16" x14ac:dyDescent="0.2">
      <c r="A271" s="49" t="str">
        <v>0:00</v>
      </c>
      <c r="B271" s="108"/>
      <c r="C271" s="130"/>
      <c r="D271" s="130"/>
      <c r="E271" s="130"/>
      <c r="F271" s="130"/>
      <c r="G271" s="130"/>
      <c r="H271" s="130"/>
      <c r="I271" s="130"/>
      <c r="J271" s="130"/>
      <c r="K271" s="130"/>
      <c r="L271" s="130"/>
      <c r="M271" s="130"/>
      <c r="N271" s="130"/>
      <c r="O271" s="130"/>
      <c r="P271" s="130"/>
    </row>
    <row r="272" spans="1:16" x14ac:dyDescent="0.2">
      <c r="A272" s="49" t="str">
        <v>0:00</v>
      </c>
      <c r="B272" s="108"/>
      <c r="C272" s="130"/>
      <c r="D272" s="130"/>
      <c r="E272" s="130"/>
      <c r="F272" s="130"/>
      <c r="G272" s="130"/>
      <c r="H272" s="130"/>
      <c r="I272" s="130"/>
      <c r="J272" s="130"/>
      <c r="K272" s="130"/>
      <c r="L272" s="130"/>
      <c r="M272" s="130"/>
      <c r="N272" s="130"/>
      <c r="O272" s="130"/>
      <c r="P272" s="130"/>
    </row>
    <row r="273" spans="1:16" x14ac:dyDescent="0.2">
      <c r="A273" s="49" t="str">
        <v>0:00</v>
      </c>
      <c r="B273" s="108"/>
      <c r="C273" s="130"/>
      <c r="D273" s="130"/>
      <c r="E273" s="130"/>
      <c r="F273" s="130"/>
      <c r="G273" s="130"/>
      <c r="H273" s="130"/>
      <c r="I273" s="130"/>
      <c r="J273" s="130"/>
      <c r="K273" s="130"/>
      <c r="L273" s="130"/>
      <c r="M273" s="130"/>
      <c r="N273" s="130"/>
      <c r="O273" s="130"/>
      <c r="P273" s="130"/>
    </row>
    <row r="274" spans="1:16" x14ac:dyDescent="0.2">
      <c r="A274" s="49" t="str">
        <v>0:00</v>
      </c>
      <c r="B274" s="108"/>
      <c r="C274" s="130"/>
      <c r="D274" s="130"/>
      <c r="E274" s="130"/>
      <c r="F274" s="130"/>
      <c r="G274" s="130"/>
      <c r="H274" s="130"/>
      <c r="I274" s="130"/>
      <c r="J274" s="130"/>
      <c r="K274" s="130"/>
      <c r="L274" s="130"/>
      <c r="M274" s="130"/>
      <c r="N274" s="130"/>
      <c r="O274" s="130"/>
      <c r="P274" s="130"/>
    </row>
    <row r="275" spans="1:16" x14ac:dyDescent="0.2">
      <c r="A275" s="49" t="str">
        <v>0:00</v>
      </c>
      <c r="B275" s="108"/>
      <c r="C275" s="130"/>
      <c r="D275" s="130"/>
      <c r="E275" s="130"/>
      <c r="F275" s="130"/>
      <c r="G275" s="130"/>
      <c r="H275" s="130"/>
      <c r="I275" s="130"/>
      <c r="J275" s="130"/>
      <c r="K275" s="130"/>
      <c r="L275" s="130"/>
      <c r="M275" s="130"/>
      <c r="N275" s="130"/>
      <c r="O275" s="130"/>
      <c r="P275" s="130"/>
    </row>
    <row r="276" spans="1:16" x14ac:dyDescent="0.2">
      <c r="A276" s="49" t="str">
        <v>0:00</v>
      </c>
      <c r="B276" s="108"/>
      <c r="C276" s="130"/>
      <c r="D276" s="130"/>
      <c r="E276" s="130"/>
      <c r="F276" s="130"/>
      <c r="G276" s="130"/>
      <c r="H276" s="130"/>
      <c r="I276" s="130"/>
      <c r="J276" s="130"/>
      <c r="K276" s="130"/>
      <c r="L276" s="130"/>
      <c r="M276" s="130"/>
      <c r="N276" s="130"/>
      <c r="O276" s="130"/>
      <c r="P276" s="130"/>
    </row>
    <row r="277" spans="1:16" x14ac:dyDescent="0.2">
      <c r="A277" s="49" t="str">
        <v>0:00</v>
      </c>
      <c r="B277" s="108"/>
      <c r="C277" s="130"/>
      <c r="D277" s="130"/>
      <c r="E277" s="130"/>
      <c r="F277" s="130"/>
      <c r="G277" s="130"/>
      <c r="H277" s="130"/>
      <c r="I277" s="130"/>
      <c r="J277" s="130"/>
      <c r="K277" s="130"/>
      <c r="L277" s="130"/>
      <c r="M277" s="130"/>
      <c r="N277" s="130"/>
      <c r="O277" s="130"/>
      <c r="P277" s="130"/>
    </row>
    <row r="278" spans="1:16" x14ac:dyDescent="0.2">
      <c r="A278" s="49" t="str">
        <v>0:00</v>
      </c>
      <c r="B278" s="108"/>
      <c r="C278" s="130"/>
      <c r="D278" s="130"/>
      <c r="E278" s="130"/>
      <c r="F278" s="130"/>
      <c r="G278" s="130"/>
      <c r="H278" s="130"/>
      <c r="I278" s="130"/>
      <c r="J278" s="130"/>
      <c r="K278" s="130"/>
      <c r="L278" s="130"/>
      <c r="M278" s="130"/>
      <c r="N278" s="130"/>
      <c r="O278" s="130"/>
      <c r="P278" s="130"/>
    </row>
    <row r="279" spans="1:16" x14ac:dyDescent="0.2">
      <c r="A279" s="49" t="str">
        <v>0:00</v>
      </c>
      <c r="B279" s="108"/>
      <c r="C279" s="130"/>
      <c r="D279" s="130"/>
      <c r="E279" s="130"/>
      <c r="F279" s="130"/>
      <c r="G279" s="130"/>
      <c r="H279" s="130"/>
      <c r="I279" s="130"/>
      <c r="J279" s="130"/>
      <c r="K279" s="130"/>
      <c r="L279" s="130"/>
      <c r="M279" s="130"/>
      <c r="N279" s="130"/>
      <c r="O279" s="130"/>
      <c r="P279" s="130"/>
    </row>
    <row r="280" spans="1:16" x14ac:dyDescent="0.2">
      <c r="A280" s="49" t="str">
        <v>0:00</v>
      </c>
      <c r="B280" s="108"/>
      <c r="C280" s="130"/>
      <c r="D280" s="130"/>
      <c r="E280" s="130"/>
      <c r="F280" s="130"/>
      <c r="G280" s="130"/>
      <c r="H280" s="130"/>
      <c r="I280" s="130"/>
      <c r="J280" s="130"/>
      <c r="K280" s="130"/>
      <c r="L280" s="130"/>
      <c r="M280" s="130"/>
      <c r="N280" s="130"/>
      <c r="O280" s="130"/>
      <c r="P280" s="130"/>
    </row>
    <row r="281" spans="1:16" x14ac:dyDescent="0.2">
      <c r="A281" s="49" t="str">
        <v>0:00</v>
      </c>
      <c r="B281" s="108"/>
      <c r="C281" s="130"/>
      <c r="D281" s="130"/>
      <c r="E281" s="130"/>
      <c r="F281" s="130"/>
      <c r="G281" s="130"/>
      <c r="H281" s="130"/>
      <c r="I281" s="130"/>
      <c r="J281" s="130"/>
      <c r="K281" s="130"/>
      <c r="L281" s="130"/>
      <c r="M281" s="130"/>
      <c r="N281" s="130"/>
      <c r="O281" s="130"/>
      <c r="P281" s="130"/>
    </row>
    <row r="282" spans="1:16" x14ac:dyDescent="0.2">
      <c r="A282" s="49" t="str">
        <v>0:00</v>
      </c>
      <c r="B282" s="108"/>
      <c r="C282" s="130"/>
      <c r="D282" s="130"/>
      <c r="E282" s="130"/>
      <c r="F282" s="130"/>
      <c r="G282" s="130"/>
      <c r="H282" s="130"/>
      <c r="I282" s="130"/>
      <c r="J282" s="130"/>
      <c r="K282" s="130"/>
      <c r="L282" s="130"/>
      <c r="M282" s="130"/>
      <c r="N282" s="130"/>
      <c r="O282" s="130"/>
      <c r="P282" s="130"/>
    </row>
    <row r="283" spans="1:16" x14ac:dyDescent="0.2">
      <c r="A283" s="49" t="str">
        <v>0:00</v>
      </c>
      <c r="B283" s="108"/>
      <c r="C283" s="130"/>
      <c r="D283" s="130"/>
      <c r="E283" s="130"/>
      <c r="F283" s="130"/>
      <c r="G283" s="130"/>
      <c r="H283" s="130"/>
      <c r="I283" s="130"/>
      <c r="J283" s="130"/>
      <c r="K283" s="130"/>
      <c r="L283" s="130"/>
      <c r="M283" s="130"/>
      <c r="N283" s="130"/>
      <c r="O283" s="130"/>
      <c r="P283" s="130"/>
    </row>
    <row r="284" spans="1:16" x14ac:dyDescent="0.2">
      <c r="A284" s="49" t="str">
        <v>0:00</v>
      </c>
      <c r="B284" s="108"/>
      <c r="C284" s="130"/>
      <c r="D284" s="130"/>
      <c r="E284" s="130"/>
      <c r="F284" s="130"/>
      <c r="G284" s="130"/>
      <c r="H284" s="130"/>
      <c r="I284" s="130"/>
      <c r="J284" s="130"/>
      <c r="K284" s="130"/>
      <c r="L284" s="130"/>
      <c r="M284" s="130"/>
      <c r="N284" s="130"/>
      <c r="O284" s="130"/>
      <c r="P284" s="130"/>
    </row>
    <row r="285" spans="1:16" x14ac:dyDescent="0.2">
      <c r="A285" s="49" t="str">
        <v>0:00</v>
      </c>
      <c r="B285" s="108"/>
      <c r="C285" s="130"/>
      <c r="D285" s="130"/>
      <c r="E285" s="130"/>
      <c r="F285" s="130"/>
      <c r="G285" s="130"/>
      <c r="H285" s="130"/>
      <c r="I285" s="130"/>
      <c r="J285" s="130"/>
      <c r="K285" s="130"/>
      <c r="L285" s="130"/>
      <c r="M285" s="130"/>
      <c r="N285" s="130"/>
      <c r="O285" s="130"/>
      <c r="P285" s="130"/>
    </row>
    <row r="286" spans="1:16" x14ac:dyDescent="0.2">
      <c r="A286" s="49" t="str">
        <v>0:00</v>
      </c>
      <c r="B286" s="108"/>
      <c r="C286" s="130"/>
      <c r="D286" s="130"/>
      <c r="E286" s="130"/>
      <c r="F286" s="130"/>
      <c r="G286" s="130"/>
      <c r="H286" s="130"/>
      <c r="I286" s="130"/>
      <c r="J286" s="130"/>
      <c r="K286" s="130"/>
      <c r="L286" s="130"/>
      <c r="M286" s="130"/>
      <c r="N286" s="130"/>
      <c r="O286" s="130"/>
      <c r="P286" s="130"/>
    </row>
    <row r="287" spans="1:16" x14ac:dyDescent="0.2">
      <c r="A287" s="49" t="str">
        <v>0:00</v>
      </c>
      <c r="B287" s="108"/>
      <c r="C287" s="130"/>
      <c r="D287" s="130"/>
      <c r="E287" s="130"/>
      <c r="F287" s="130"/>
      <c r="G287" s="130"/>
      <c r="H287" s="130"/>
      <c r="I287" s="130"/>
      <c r="J287" s="130"/>
      <c r="K287" s="130"/>
      <c r="L287" s="130"/>
      <c r="M287" s="130"/>
      <c r="N287" s="130"/>
      <c r="O287" s="130"/>
      <c r="P287" s="130"/>
    </row>
    <row r="288" spans="1:16" x14ac:dyDescent="0.2">
      <c r="A288" s="49" t="str">
        <v>0:00</v>
      </c>
      <c r="B288" s="108"/>
      <c r="C288" s="130"/>
      <c r="D288" s="130"/>
      <c r="E288" s="130"/>
      <c r="F288" s="130"/>
      <c r="G288" s="130"/>
      <c r="H288" s="130"/>
      <c r="I288" s="130"/>
      <c r="J288" s="130"/>
      <c r="K288" s="130"/>
      <c r="L288" s="130"/>
      <c r="M288" s="130"/>
      <c r="N288" s="130"/>
      <c r="O288" s="130"/>
      <c r="P288" s="130"/>
    </row>
    <row r="289" spans="1:16" x14ac:dyDescent="0.2">
      <c r="A289" s="49" t="str">
        <v>0:00</v>
      </c>
      <c r="B289" s="108"/>
      <c r="C289" s="130"/>
      <c r="D289" s="130"/>
      <c r="E289" s="130"/>
      <c r="F289" s="130"/>
      <c r="G289" s="130"/>
      <c r="H289" s="130"/>
      <c r="I289" s="130"/>
      <c r="J289" s="130"/>
      <c r="K289" s="130"/>
      <c r="L289" s="130"/>
      <c r="M289" s="130"/>
      <c r="N289" s="130"/>
      <c r="O289" s="130"/>
      <c r="P289" s="130"/>
    </row>
    <row r="290" spans="1:16" x14ac:dyDescent="0.2">
      <c r="A290" s="49" t="str">
        <v>0:00</v>
      </c>
      <c r="B290" s="108"/>
      <c r="C290" s="130"/>
      <c r="D290" s="130"/>
      <c r="E290" s="130"/>
      <c r="F290" s="130"/>
      <c r="G290" s="130"/>
      <c r="H290" s="130"/>
      <c r="I290" s="130"/>
      <c r="J290" s="130"/>
      <c r="K290" s="130"/>
      <c r="L290" s="130"/>
      <c r="M290" s="130"/>
      <c r="N290" s="130"/>
      <c r="O290" s="130"/>
      <c r="P290" s="130"/>
    </row>
    <row r="291" spans="1:16" x14ac:dyDescent="0.2">
      <c r="A291" s="49" t="str">
        <v>0:00</v>
      </c>
      <c r="B291" s="108"/>
      <c r="C291" s="130"/>
      <c r="D291" s="130"/>
      <c r="E291" s="130"/>
      <c r="F291" s="130"/>
      <c r="G291" s="130"/>
      <c r="H291" s="130"/>
      <c r="I291" s="130"/>
      <c r="J291" s="130"/>
      <c r="K291" s="130"/>
      <c r="L291" s="130"/>
      <c r="M291" s="130"/>
      <c r="N291" s="130"/>
      <c r="O291" s="130"/>
      <c r="P291" s="130"/>
    </row>
    <row r="292" spans="1:16" x14ac:dyDescent="0.2">
      <c r="A292" s="49" t="str">
        <v>0:00</v>
      </c>
      <c r="B292" s="108"/>
      <c r="C292" s="130"/>
      <c r="D292" s="130"/>
      <c r="E292" s="130"/>
      <c r="F292" s="130"/>
      <c r="G292" s="130"/>
      <c r="H292" s="130"/>
      <c r="I292" s="130"/>
      <c r="J292" s="130"/>
      <c r="K292" s="130"/>
      <c r="L292" s="130"/>
      <c r="M292" s="130"/>
      <c r="N292" s="130"/>
      <c r="O292" s="130"/>
      <c r="P292" s="130"/>
    </row>
    <row r="293" spans="1:16" x14ac:dyDescent="0.2">
      <c r="A293" s="49" t="str">
        <v>0:00</v>
      </c>
      <c r="B293" s="108"/>
      <c r="C293" s="130"/>
      <c r="D293" s="130"/>
      <c r="E293" s="130"/>
      <c r="F293" s="130"/>
      <c r="G293" s="130"/>
      <c r="H293" s="130"/>
      <c r="I293" s="130"/>
      <c r="J293" s="130"/>
      <c r="K293" s="130"/>
      <c r="L293" s="130"/>
      <c r="M293" s="130"/>
      <c r="N293" s="130"/>
      <c r="O293" s="130"/>
      <c r="P293" s="130"/>
    </row>
    <row r="294" spans="1:16" x14ac:dyDescent="0.2">
      <c r="A294" s="49" t="str">
        <v>0:00</v>
      </c>
      <c r="B294" s="108"/>
      <c r="C294" s="130"/>
      <c r="D294" s="130"/>
      <c r="E294" s="130"/>
      <c r="F294" s="130"/>
      <c r="G294" s="130"/>
      <c r="H294" s="130"/>
      <c r="I294" s="130"/>
      <c r="J294" s="130"/>
      <c r="K294" s="130"/>
      <c r="L294" s="130"/>
      <c r="M294" s="130"/>
      <c r="N294" s="130"/>
      <c r="O294" s="130"/>
      <c r="P294" s="130"/>
    </row>
    <row r="295" spans="1:16" x14ac:dyDescent="0.2">
      <c r="A295" s="49" t="str">
        <v>0:00</v>
      </c>
      <c r="B295" s="108"/>
      <c r="C295" s="130"/>
      <c r="D295" s="130"/>
      <c r="E295" s="130"/>
      <c r="F295" s="130"/>
      <c r="G295" s="130"/>
      <c r="H295" s="130"/>
      <c r="I295" s="130"/>
      <c r="J295" s="130"/>
      <c r="K295" s="130"/>
      <c r="L295" s="130"/>
      <c r="M295" s="130"/>
      <c r="N295" s="130"/>
      <c r="O295" s="130"/>
      <c r="P295" s="130"/>
    </row>
    <row r="296" spans="1:16" x14ac:dyDescent="0.2">
      <c r="A296" s="49" t="str">
        <v>0:00</v>
      </c>
      <c r="B296" s="108"/>
      <c r="C296" s="130"/>
      <c r="D296" s="130"/>
      <c r="E296" s="130"/>
      <c r="F296" s="130"/>
      <c r="G296" s="130"/>
      <c r="H296" s="130"/>
      <c r="I296" s="130"/>
      <c r="J296" s="130"/>
      <c r="K296" s="130"/>
      <c r="L296" s="130"/>
      <c r="M296" s="130"/>
      <c r="N296" s="130"/>
      <c r="O296" s="130"/>
      <c r="P296" s="130"/>
    </row>
    <row r="297" spans="1:16" x14ac:dyDescent="0.2">
      <c r="A297" s="49" t="str">
        <v>0:00</v>
      </c>
      <c r="B297" s="108"/>
      <c r="C297" s="130"/>
      <c r="D297" s="130"/>
      <c r="E297" s="130"/>
      <c r="F297" s="130"/>
      <c r="G297" s="130"/>
      <c r="H297" s="130"/>
      <c r="I297" s="130"/>
      <c r="J297" s="130"/>
      <c r="K297" s="130"/>
      <c r="L297" s="130"/>
      <c r="M297" s="130"/>
      <c r="N297" s="130"/>
      <c r="O297" s="130"/>
      <c r="P297" s="130"/>
    </row>
    <row r="298" spans="1:16" x14ac:dyDescent="0.2">
      <c r="A298" s="49" t="str">
        <v>0:00</v>
      </c>
      <c r="B298" s="108"/>
      <c r="C298" s="130"/>
      <c r="D298" s="130"/>
      <c r="E298" s="130"/>
      <c r="F298" s="130"/>
      <c r="G298" s="130"/>
      <c r="H298" s="130"/>
      <c r="I298" s="130"/>
      <c r="J298" s="130"/>
      <c r="K298" s="130"/>
      <c r="L298" s="130"/>
      <c r="M298" s="130"/>
      <c r="N298" s="130"/>
      <c r="O298" s="130"/>
      <c r="P298" s="130"/>
    </row>
    <row r="299" spans="1:16" x14ac:dyDescent="0.2">
      <c r="A299" s="49" t="str">
        <v>0:00</v>
      </c>
      <c r="B299" s="108"/>
      <c r="C299" s="130"/>
      <c r="D299" s="130"/>
      <c r="E299" s="130"/>
      <c r="F299" s="130"/>
      <c r="G299" s="130"/>
      <c r="H299" s="130"/>
      <c r="I299" s="130"/>
      <c r="J299" s="130"/>
      <c r="K299" s="130"/>
      <c r="L299" s="130"/>
      <c r="M299" s="130"/>
      <c r="N299" s="130"/>
      <c r="O299" s="130"/>
      <c r="P299" s="130"/>
    </row>
    <row r="300" spans="1:16" x14ac:dyDescent="0.2">
      <c r="A300" s="49" t="str">
        <v>0:00</v>
      </c>
      <c r="B300" s="108"/>
      <c r="C300" s="130"/>
      <c r="D300" s="130"/>
      <c r="E300" s="130"/>
      <c r="F300" s="130"/>
      <c r="G300" s="130"/>
      <c r="H300" s="130"/>
      <c r="I300" s="130"/>
      <c r="J300" s="130"/>
      <c r="K300" s="130"/>
      <c r="L300" s="130"/>
      <c r="M300" s="130"/>
      <c r="N300" s="130"/>
      <c r="O300" s="130"/>
      <c r="P300" s="130"/>
    </row>
    <row r="301" spans="1:16" x14ac:dyDescent="0.2">
      <c r="A301" s="49" t="str">
        <v>0:00</v>
      </c>
      <c r="B301" s="108"/>
      <c r="C301" s="130"/>
      <c r="D301" s="130"/>
      <c r="E301" s="130"/>
      <c r="F301" s="130"/>
      <c r="G301" s="130"/>
      <c r="H301" s="130"/>
      <c r="I301" s="130"/>
      <c r="J301" s="130"/>
      <c r="K301" s="130"/>
      <c r="L301" s="130"/>
      <c r="M301" s="130"/>
      <c r="N301" s="130"/>
      <c r="O301" s="130"/>
      <c r="P301" s="130"/>
    </row>
    <row r="302" spans="1:16" x14ac:dyDescent="0.2">
      <c r="A302" s="49" t="str">
        <v>0:00</v>
      </c>
      <c r="B302" s="108"/>
      <c r="C302" s="130"/>
      <c r="D302" s="130"/>
      <c r="E302" s="130"/>
      <c r="F302" s="130"/>
      <c r="G302" s="130"/>
      <c r="H302" s="130"/>
      <c r="I302" s="130"/>
      <c r="J302" s="130"/>
      <c r="K302" s="130"/>
      <c r="L302" s="130"/>
      <c r="M302" s="130"/>
      <c r="N302" s="130"/>
      <c r="O302" s="130"/>
      <c r="P302" s="130"/>
    </row>
    <row r="303" spans="1:16" x14ac:dyDescent="0.2">
      <c r="A303" s="49" t="str">
        <v>0:00</v>
      </c>
      <c r="B303" s="108"/>
      <c r="C303" s="130"/>
      <c r="D303" s="130"/>
      <c r="E303" s="130"/>
      <c r="F303" s="130"/>
      <c r="G303" s="130"/>
      <c r="H303" s="130"/>
      <c r="I303" s="130"/>
      <c r="J303" s="130"/>
      <c r="K303" s="130"/>
      <c r="L303" s="130"/>
      <c r="M303" s="130"/>
      <c r="N303" s="130"/>
      <c r="O303" s="130"/>
      <c r="P303" s="130"/>
    </row>
    <row r="304" spans="1:16" x14ac:dyDescent="0.2">
      <c r="A304" s="49" t="str">
        <v>0:00</v>
      </c>
      <c r="B304" s="108"/>
      <c r="C304" s="130"/>
      <c r="D304" s="130"/>
      <c r="E304" s="130"/>
      <c r="F304" s="130"/>
      <c r="G304" s="130"/>
      <c r="H304" s="130"/>
      <c r="I304" s="130"/>
      <c r="J304" s="130"/>
      <c r="K304" s="130"/>
      <c r="L304" s="130"/>
      <c r="M304" s="130"/>
      <c r="N304" s="130"/>
      <c r="O304" s="130"/>
      <c r="P304" s="130"/>
    </row>
    <row r="305" spans="1:16" x14ac:dyDescent="0.2">
      <c r="A305" s="49" t="str">
        <v>0:00</v>
      </c>
      <c r="B305" s="108"/>
      <c r="C305" s="130"/>
      <c r="D305" s="130"/>
      <c r="E305" s="130"/>
      <c r="F305" s="130"/>
      <c r="G305" s="130"/>
      <c r="H305" s="130"/>
      <c r="I305" s="130"/>
      <c r="J305" s="130"/>
      <c r="K305" s="130"/>
      <c r="L305" s="130"/>
      <c r="M305" s="130"/>
      <c r="N305" s="130"/>
      <c r="O305" s="130"/>
      <c r="P305" s="130"/>
    </row>
    <row r="306" spans="1:16" x14ac:dyDescent="0.2">
      <c r="A306" s="49" t="str">
        <v>0:00</v>
      </c>
      <c r="B306" s="108"/>
      <c r="C306" s="130"/>
      <c r="D306" s="130"/>
      <c r="E306" s="130"/>
      <c r="F306" s="130"/>
      <c r="G306" s="130"/>
      <c r="H306" s="130"/>
      <c r="I306" s="130"/>
      <c r="J306" s="130"/>
      <c r="K306" s="130"/>
      <c r="L306" s="130"/>
      <c r="M306" s="130"/>
      <c r="N306" s="130"/>
      <c r="O306" s="130"/>
      <c r="P306" s="130"/>
    </row>
    <row r="307" spans="1:16" x14ac:dyDescent="0.2">
      <c r="A307" s="49" t="str">
        <v>0:00</v>
      </c>
      <c r="B307" s="108"/>
      <c r="C307" s="130"/>
      <c r="D307" s="130"/>
      <c r="E307" s="130"/>
      <c r="F307" s="130"/>
      <c r="G307" s="130"/>
      <c r="H307" s="130"/>
      <c r="I307" s="130"/>
      <c r="J307" s="130"/>
      <c r="K307" s="130"/>
      <c r="L307" s="130"/>
      <c r="M307" s="130"/>
      <c r="N307" s="130"/>
      <c r="O307" s="130"/>
      <c r="P307" s="130"/>
    </row>
    <row r="308" spans="1:16" x14ac:dyDescent="0.2">
      <c r="A308" s="49" t="str">
        <v>0:00</v>
      </c>
      <c r="B308" s="108"/>
      <c r="C308" s="130"/>
      <c r="D308" s="130"/>
      <c r="E308" s="130"/>
      <c r="F308" s="130"/>
      <c r="G308" s="130"/>
      <c r="H308" s="130"/>
      <c r="I308" s="130"/>
      <c r="J308" s="130"/>
      <c r="K308" s="130"/>
      <c r="L308" s="130"/>
      <c r="M308" s="130"/>
      <c r="N308" s="130"/>
      <c r="O308" s="130"/>
      <c r="P308" s="130"/>
    </row>
    <row r="309" spans="1:16" x14ac:dyDescent="0.2">
      <c r="A309" s="49" t="str">
        <v>0:00</v>
      </c>
      <c r="B309" s="108"/>
      <c r="C309" s="130"/>
      <c r="D309" s="130"/>
      <c r="E309" s="130"/>
      <c r="F309" s="130"/>
      <c r="G309" s="130"/>
      <c r="H309" s="130"/>
      <c r="I309" s="130"/>
      <c r="J309" s="130"/>
      <c r="K309" s="130"/>
      <c r="L309" s="130"/>
      <c r="M309" s="130"/>
      <c r="N309" s="130"/>
      <c r="O309" s="130"/>
      <c r="P309" s="130"/>
    </row>
    <row r="310" spans="1:16" x14ac:dyDescent="0.2">
      <c r="A310" s="49" t="str">
        <v>0:00</v>
      </c>
      <c r="B310" s="108"/>
      <c r="C310" s="130"/>
      <c r="D310" s="130"/>
      <c r="E310" s="130"/>
      <c r="F310" s="130"/>
      <c r="G310" s="130"/>
      <c r="H310" s="130"/>
      <c r="I310" s="130"/>
      <c r="J310" s="130"/>
      <c r="K310" s="130"/>
      <c r="L310" s="130"/>
      <c r="M310" s="130"/>
      <c r="N310" s="130"/>
      <c r="O310" s="130"/>
      <c r="P310" s="130"/>
    </row>
    <row r="311" spans="1:16" x14ac:dyDescent="0.2">
      <c r="A311" s="49" t="str">
        <v>0:00</v>
      </c>
      <c r="B311" s="108"/>
      <c r="C311" s="130"/>
      <c r="D311" s="130"/>
      <c r="E311" s="130"/>
      <c r="F311" s="130"/>
      <c r="G311" s="130"/>
      <c r="H311" s="130"/>
      <c r="I311" s="130"/>
      <c r="J311" s="130"/>
      <c r="K311" s="130"/>
      <c r="L311" s="130"/>
      <c r="M311" s="130"/>
      <c r="N311" s="130"/>
      <c r="O311" s="130"/>
      <c r="P311" s="130"/>
    </row>
    <row r="312" spans="1:16" x14ac:dyDescent="0.2">
      <c r="A312" s="49" t="str">
        <v>0:00</v>
      </c>
      <c r="B312" s="108"/>
      <c r="C312" s="130"/>
      <c r="D312" s="130"/>
      <c r="E312" s="130"/>
      <c r="F312" s="130"/>
      <c r="G312" s="130"/>
      <c r="H312" s="130"/>
      <c r="I312" s="130"/>
      <c r="J312" s="130"/>
      <c r="K312" s="130"/>
      <c r="L312" s="130"/>
      <c r="M312" s="130"/>
      <c r="N312" s="130"/>
      <c r="O312" s="130"/>
      <c r="P312" s="130"/>
    </row>
    <row r="313" spans="1:16" x14ac:dyDescent="0.2">
      <c r="A313" s="49" t="str">
        <v>0:00</v>
      </c>
      <c r="B313" s="108"/>
      <c r="C313" s="130"/>
      <c r="D313" s="130"/>
      <c r="E313" s="130"/>
      <c r="F313" s="130"/>
      <c r="G313" s="130"/>
      <c r="H313" s="130"/>
      <c r="I313" s="130"/>
      <c r="J313" s="130"/>
      <c r="K313" s="130"/>
      <c r="L313" s="130"/>
      <c r="M313" s="130"/>
      <c r="N313" s="130"/>
      <c r="O313" s="130"/>
      <c r="P313" s="130"/>
    </row>
    <row r="314" spans="1:16" x14ac:dyDescent="0.2">
      <c r="A314" s="49" t="str">
        <v>0:00</v>
      </c>
      <c r="B314" s="108"/>
      <c r="C314" s="130"/>
      <c r="D314" s="130"/>
      <c r="E314" s="130"/>
      <c r="F314" s="130"/>
      <c r="G314" s="130"/>
      <c r="H314" s="130"/>
      <c r="I314" s="130"/>
      <c r="J314" s="130"/>
      <c r="K314" s="130"/>
      <c r="L314" s="130"/>
      <c r="M314" s="130"/>
      <c r="N314" s="130"/>
      <c r="O314" s="130"/>
      <c r="P314" s="130"/>
    </row>
    <row r="315" spans="1:16" x14ac:dyDescent="0.2">
      <c r="A315" s="49" t="str">
        <v>0:00</v>
      </c>
      <c r="B315" s="108"/>
      <c r="C315" s="130"/>
      <c r="D315" s="130"/>
      <c r="E315" s="130"/>
      <c r="F315" s="130"/>
      <c r="G315" s="130"/>
      <c r="H315" s="130"/>
      <c r="I315" s="130"/>
      <c r="J315" s="130"/>
      <c r="K315" s="130"/>
      <c r="L315" s="130"/>
      <c r="M315" s="130"/>
      <c r="N315" s="130"/>
      <c r="O315" s="130"/>
      <c r="P315" s="130"/>
    </row>
    <row r="316" spans="1:16" x14ac:dyDescent="0.2">
      <c r="A316" s="49" t="str">
        <v>0:00</v>
      </c>
      <c r="B316" s="108"/>
      <c r="C316" s="130"/>
      <c r="D316" s="130"/>
      <c r="E316" s="130"/>
      <c r="F316" s="130"/>
      <c r="G316" s="130"/>
      <c r="H316" s="130"/>
      <c r="I316" s="130"/>
      <c r="J316" s="130"/>
      <c r="K316" s="130"/>
      <c r="L316" s="130"/>
      <c r="M316" s="130"/>
      <c r="N316" s="130"/>
      <c r="O316" s="130"/>
      <c r="P316" s="130"/>
    </row>
    <row r="317" spans="1:16" x14ac:dyDescent="0.2">
      <c r="A317" s="49" t="str">
        <v>0:00</v>
      </c>
      <c r="B317" s="108"/>
      <c r="C317" s="130"/>
      <c r="D317" s="130"/>
      <c r="E317" s="130"/>
      <c r="F317" s="130"/>
      <c r="G317" s="130"/>
      <c r="H317" s="130"/>
      <c r="I317" s="130"/>
      <c r="J317" s="130"/>
      <c r="K317" s="130"/>
      <c r="L317" s="130"/>
      <c r="M317" s="130"/>
      <c r="N317" s="130"/>
      <c r="O317" s="130"/>
      <c r="P317" s="130"/>
    </row>
    <row r="318" spans="1:16" x14ac:dyDescent="0.2">
      <c r="A318" s="49" t="str">
        <v>0:00</v>
      </c>
      <c r="B318" s="108"/>
      <c r="C318" s="130"/>
      <c r="D318" s="130"/>
      <c r="E318" s="130"/>
      <c r="F318" s="130"/>
      <c r="G318" s="130"/>
      <c r="H318" s="130"/>
      <c r="I318" s="130"/>
      <c r="J318" s="130"/>
      <c r="K318" s="130"/>
      <c r="L318" s="130"/>
      <c r="M318" s="130"/>
      <c r="N318" s="130"/>
      <c r="O318" s="130"/>
      <c r="P318" s="130"/>
    </row>
    <row r="319" spans="1:16" x14ac:dyDescent="0.2">
      <c r="A319" s="49" t="str">
        <v>0:00</v>
      </c>
      <c r="B319" s="108"/>
      <c r="C319" s="130"/>
      <c r="D319" s="130"/>
      <c r="E319" s="130"/>
      <c r="F319" s="130"/>
      <c r="G319" s="130"/>
      <c r="H319" s="130"/>
      <c r="I319" s="130"/>
      <c r="J319" s="130"/>
      <c r="K319" s="130"/>
      <c r="L319" s="130"/>
      <c r="M319" s="130"/>
      <c r="N319" s="130"/>
      <c r="O319" s="130"/>
      <c r="P319" s="130"/>
    </row>
    <row r="320" spans="1:16" x14ac:dyDescent="0.2">
      <c r="A320" s="49" t="str">
        <v>0:00</v>
      </c>
      <c r="B320" s="108"/>
      <c r="C320" s="130"/>
      <c r="D320" s="130"/>
      <c r="E320" s="130"/>
      <c r="F320" s="130"/>
      <c r="G320" s="130"/>
      <c r="H320" s="130"/>
      <c r="I320" s="130"/>
      <c r="J320" s="130"/>
      <c r="K320" s="130"/>
      <c r="L320" s="130"/>
      <c r="M320" s="130"/>
      <c r="N320" s="130"/>
      <c r="O320" s="130"/>
      <c r="P320" s="130"/>
    </row>
    <row r="321" spans="1:16" x14ac:dyDescent="0.2">
      <c r="A321" s="49" t="str">
        <v>0:00</v>
      </c>
      <c r="B321" s="108"/>
      <c r="C321" s="130"/>
      <c r="D321" s="130"/>
      <c r="E321" s="130"/>
      <c r="F321" s="130"/>
      <c r="G321" s="130"/>
      <c r="H321" s="130"/>
      <c r="I321" s="130"/>
      <c r="J321" s="130"/>
      <c r="K321" s="130"/>
      <c r="L321" s="130"/>
      <c r="M321" s="130"/>
      <c r="N321" s="130"/>
      <c r="O321" s="130"/>
      <c r="P321" s="130"/>
    </row>
    <row r="322" spans="1:16" x14ac:dyDescent="0.2">
      <c r="A322" s="49" t="str">
        <v>0:00</v>
      </c>
      <c r="B322" s="108"/>
      <c r="C322" s="130"/>
      <c r="D322" s="130"/>
      <c r="E322" s="130"/>
      <c r="F322" s="130"/>
      <c r="G322" s="130"/>
      <c r="H322" s="130"/>
      <c r="I322" s="130"/>
      <c r="J322" s="130"/>
      <c r="K322" s="130"/>
      <c r="L322" s="130"/>
      <c r="M322" s="130"/>
      <c r="N322" s="130"/>
      <c r="O322" s="130"/>
      <c r="P322" s="130"/>
    </row>
    <row r="323" spans="1:16" x14ac:dyDescent="0.2">
      <c r="A323" s="49" t="str">
        <v>0:00</v>
      </c>
      <c r="B323" s="108"/>
      <c r="C323" s="130"/>
      <c r="D323" s="130"/>
      <c r="E323" s="130"/>
      <c r="F323" s="130"/>
      <c r="G323" s="130"/>
      <c r="H323" s="130"/>
      <c r="I323" s="130"/>
      <c r="J323" s="130"/>
      <c r="K323" s="130"/>
      <c r="L323" s="130"/>
      <c r="M323" s="130"/>
      <c r="N323" s="130"/>
      <c r="O323" s="130"/>
      <c r="P323" s="130"/>
    </row>
    <row r="324" spans="1:16" x14ac:dyDescent="0.2">
      <c r="A324" s="49" t="str">
        <v>0:00</v>
      </c>
      <c r="B324" s="108"/>
      <c r="C324" s="130"/>
      <c r="D324" s="130"/>
      <c r="E324" s="130"/>
      <c r="F324" s="130"/>
      <c r="G324" s="130"/>
      <c r="H324" s="130"/>
      <c r="I324" s="130"/>
      <c r="J324" s="130"/>
      <c r="K324" s="130"/>
      <c r="L324" s="130"/>
      <c r="M324" s="130"/>
      <c r="N324" s="130"/>
      <c r="O324" s="130"/>
      <c r="P324" s="130"/>
    </row>
    <row r="325" spans="1:16" x14ac:dyDescent="0.2">
      <c r="A325" s="49" t="str">
        <v>0:00</v>
      </c>
      <c r="B325" s="108"/>
      <c r="C325" s="130"/>
      <c r="D325" s="130"/>
      <c r="E325" s="130"/>
      <c r="F325" s="130"/>
      <c r="G325" s="130"/>
      <c r="H325" s="130"/>
      <c r="I325" s="130"/>
      <c r="J325" s="130"/>
      <c r="K325" s="130"/>
      <c r="L325" s="130"/>
      <c r="M325" s="130"/>
      <c r="N325" s="130"/>
      <c r="O325" s="130"/>
      <c r="P325" s="130"/>
    </row>
    <row r="326" spans="1:16" x14ac:dyDescent="0.2">
      <c r="A326" s="49" t="str">
        <v>0:00</v>
      </c>
      <c r="B326" s="108"/>
      <c r="C326" s="130"/>
      <c r="D326" s="130"/>
      <c r="E326" s="130"/>
      <c r="F326" s="130"/>
      <c r="G326" s="130"/>
      <c r="H326" s="130"/>
      <c r="I326" s="130"/>
      <c r="J326" s="130"/>
      <c r="K326" s="130"/>
      <c r="L326" s="130"/>
      <c r="M326" s="130"/>
      <c r="N326" s="130"/>
      <c r="O326" s="130"/>
      <c r="P326" s="130"/>
    </row>
    <row r="327" spans="1:16" x14ac:dyDescent="0.2">
      <c r="A327" s="49" t="str">
        <v>0:00</v>
      </c>
      <c r="B327" s="108"/>
      <c r="C327" s="130"/>
      <c r="D327" s="130"/>
      <c r="E327" s="130"/>
      <c r="F327" s="130"/>
      <c r="G327" s="130"/>
      <c r="H327" s="130"/>
      <c r="I327" s="130"/>
      <c r="J327" s="130"/>
      <c r="K327" s="130"/>
      <c r="L327" s="130"/>
      <c r="M327" s="130"/>
      <c r="N327" s="130"/>
      <c r="O327" s="130"/>
      <c r="P327" s="130"/>
    </row>
    <row r="328" spans="1:16" x14ac:dyDescent="0.2">
      <c r="A328" s="49" t="str">
        <v>0:00</v>
      </c>
      <c r="B328" s="108"/>
      <c r="C328" s="130"/>
      <c r="D328" s="130"/>
      <c r="E328" s="130"/>
      <c r="F328" s="130"/>
      <c r="G328" s="130"/>
      <c r="H328" s="130"/>
      <c r="I328" s="130"/>
      <c r="J328" s="130"/>
      <c r="K328" s="130"/>
      <c r="L328" s="130"/>
      <c r="M328" s="130"/>
      <c r="N328" s="130"/>
      <c r="O328" s="130"/>
      <c r="P328" s="130"/>
    </row>
    <row r="329" spans="1:16" x14ac:dyDescent="0.2">
      <c r="A329" s="49" t="str">
        <v>0:00</v>
      </c>
      <c r="B329" s="108"/>
      <c r="C329" s="130"/>
      <c r="D329" s="130"/>
      <c r="E329" s="130"/>
      <c r="F329" s="130"/>
      <c r="G329" s="130"/>
      <c r="H329" s="130"/>
      <c r="I329" s="130"/>
      <c r="J329" s="130"/>
      <c r="K329" s="130"/>
      <c r="L329" s="130"/>
      <c r="M329" s="130"/>
      <c r="N329" s="130"/>
      <c r="O329" s="130"/>
      <c r="P329" s="130"/>
    </row>
    <row r="330" spans="1:16" x14ac:dyDescent="0.2">
      <c r="A330" s="49" t="str">
        <v>0:00</v>
      </c>
      <c r="B330" s="108"/>
      <c r="C330" s="130"/>
      <c r="D330" s="130"/>
      <c r="E330" s="130"/>
      <c r="F330" s="130"/>
      <c r="G330" s="130"/>
      <c r="H330" s="130"/>
      <c r="I330" s="130"/>
      <c r="J330" s="130"/>
      <c r="K330" s="130"/>
      <c r="L330" s="130"/>
      <c r="M330" s="130"/>
      <c r="N330" s="130"/>
      <c r="O330" s="130"/>
      <c r="P330" s="130"/>
    </row>
    <row r="331" spans="1:16" x14ac:dyDescent="0.2">
      <c r="A331" s="49" t="str">
        <v>0:00</v>
      </c>
      <c r="B331" s="108"/>
      <c r="C331" s="130"/>
      <c r="D331" s="130"/>
      <c r="E331" s="130"/>
      <c r="F331" s="130"/>
      <c r="G331" s="130"/>
      <c r="H331" s="130"/>
      <c r="I331" s="130"/>
      <c r="J331" s="130"/>
      <c r="K331" s="130"/>
      <c r="L331" s="130"/>
      <c r="M331" s="130"/>
      <c r="N331" s="130"/>
      <c r="O331" s="130"/>
      <c r="P331" s="130"/>
    </row>
    <row r="332" spans="1:16" x14ac:dyDescent="0.2">
      <c r="A332" s="49" t="str">
        <v>0:00</v>
      </c>
      <c r="B332" s="108"/>
      <c r="C332" s="130"/>
      <c r="D332" s="130"/>
      <c r="E332" s="130"/>
      <c r="F332" s="130"/>
      <c r="G332" s="130"/>
      <c r="H332" s="130"/>
      <c r="I332" s="130"/>
      <c r="J332" s="130"/>
      <c r="K332" s="130"/>
      <c r="L332" s="130"/>
      <c r="M332" s="130"/>
      <c r="N332" s="130"/>
      <c r="O332" s="130"/>
      <c r="P332" s="130"/>
    </row>
    <row r="333" spans="1:16" x14ac:dyDescent="0.2">
      <c r="A333" s="49" t="str">
        <v>0:00</v>
      </c>
      <c r="B333" s="108"/>
      <c r="C333" s="130"/>
      <c r="D333" s="130"/>
      <c r="E333" s="130"/>
      <c r="F333" s="130"/>
      <c r="G333" s="130"/>
      <c r="H333" s="130"/>
      <c r="I333" s="130"/>
      <c r="J333" s="130"/>
      <c r="K333" s="130"/>
      <c r="L333" s="130"/>
      <c r="M333" s="130"/>
      <c r="N333" s="130"/>
      <c r="O333" s="130"/>
      <c r="P333" s="130"/>
    </row>
    <row r="334" spans="1:16" x14ac:dyDescent="0.2">
      <c r="A334" s="49" t="str">
        <v>0:00</v>
      </c>
      <c r="B334" s="108"/>
      <c r="C334" s="130"/>
      <c r="D334" s="130"/>
      <c r="E334" s="130"/>
      <c r="F334" s="130"/>
      <c r="G334" s="130"/>
      <c r="H334" s="130"/>
      <c r="I334" s="130"/>
      <c r="J334" s="130"/>
      <c r="K334" s="130"/>
      <c r="L334" s="130"/>
      <c r="M334" s="130"/>
      <c r="N334" s="130"/>
      <c r="O334" s="130"/>
      <c r="P334" s="130"/>
    </row>
    <row r="335" spans="1:16" x14ac:dyDescent="0.2">
      <c r="A335" s="49" t="str">
        <v>0:00</v>
      </c>
      <c r="B335" s="108"/>
      <c r="C335" s="130"/>
      <c r="D335" s="130"/>
      <c r="E335" s="130"/>
      <c r="F335" s="130"/>
      <c r="G335" s="130"/>
      <c r="H335" s="130"/>
      <c r="I335" s="130"/>
      <c r="J335" s="130"/>
      <c r="K335" s="130"/>
      <c r="L335" s="130"/>
      <c r="M335" s="130"/>
      <c r="N335" s="130"/>
      <c r="O335" s="130"/>
      <c r="P335" s="130"/>
    </row>
    <row r="336" spans="1:16" x14ac:dyDescent="0.2">
      <c r="A336" s="49" t="str">
        <v>0:00</v>
      </c>
      <c r="B336" s="108"/>
      <c r="C336" s="130"/>
      <c r="D336" s="130"/>
      <c r="E336" s="130"/>
      <c r="F336" s="130"/>
      <c r="G336" s="130"/>
      <c r="H336" s="130"/>
      <c r="I336" s="130"/>
      <c r="J336" s="130"/>
      <c r="K336" s="130"/>
      <c r="L336" s="130"/>
      <c r="M336" s="130"/>
      <c r="N336" s="130"/>
      <c r="O336" s="130"/>
      <c r="P336" s="130"/>
    </row>
    <row r="337" spans="1:16" x14ac:dyDescent="0.2">
      <c r="A337" s="49" t="str">
        <v>0:00</v>
      </c>
      <c r="B337" s="108"/>
      <c r="C337" s="130"/>
      <c r="D337" s="130"/>
      <c r="E337" s="130"/>
      <c r="F337" s="130"/>
      <c r="G337" s="130"/>
      <c r="H337" s="130"/>
      <c r="I337" s="130"/>
      <c r="J337" s="130"/>
      <c r="K337" s="130"/>
      <c r="L337" s="130"/>
      <c r="M337" s="130"/>
      <c r="N337" s="130"/>
      <c r="O337" s="130"/>
      <c r="P337" s="130"/>
    </row>
    <row r="338" spans="1:16" x14ac:dyDescent="0.2">
      <c r="A338" s="49" t="str">
        <v>0:00</v>
      </c>
      <c r="B338" s="108"/>
      <c r="C338" s="130"/>
      <c r="D338" s="130"/>
      <c r="E338" s="130"/>
      <c r="F338" s="130"/>
      <c r="G338" s="130"/>
      <c r="H338" s="130"/>
      <c r="I338" s="130"/>
      <c r="J338" s="130"/>
      <c r="K338" s="130"/>
      <c r="L338" s="130"/>
      <c r="M338" s="130"/>
      <c r="N338" s="130"/>
      <c r="O338" s="130"/>
      <c r="P338" s="130"/>
    </row>
    <row r="339" spans="1:16" x14ac:dyDescent="0.2">
      <c r="A339" s="49" t="str">
        <v>0:00</v>
      </c>
      <c r="B339" s="108"/>
      <c r="C339" s="130"/>
      <c r="D339" s="130"/>
      <c r="E339" s="130"/>
      <c r="F339" s="130"/>
      <c r="G339" s="130"/>
      <c r="H339" s="130"/>
      <c r="I339" s="130"/>
      <c r="J339" s="130"/>
      <c r="K339" s="130"/>
      <c r="L339" s="130"/>
      <c r="M339" s="130"/>
      <c r="N339" s="130"/>
      <c r="O339" s="130"/>
      <c r="P339" s="130"/>
    </row>
    <row r="340" spans="1:16" x14ac:dyDescent="0.2">
      <c r="A340" s="49" t="str">
        <v>0:00</v>
      </c>
      <c r="B340" s="108"/>
      <c r="C340" s="130"/>
      <c r="D340" s="130"/>
      <c r="E340" s="130"/>
      <c r="F340" s="130"/>
      <c r="G340" s="130"/>
      <c r="H340" s="130"/>
      <c r="I340" s="130"/>
      <c r="J340" s="130"/>
      <c r="K340" s="130"/>
      <c r="L340" s="130"/>
      <c r="M340" s="130"/>
      <c r="N340" s="130"/>
      <c r="O340" s="130"/>
      <c r="P340" s="130"/>
    </row>
    <row r="341" spans="1:16" x14ac:dyDescent="0.2">
      <c r="A341" s="49" t="str">
        <v>0:00</v>
      </c>
      <c r="B341" s="108"/>
      <c r="C341" s="130"/>
      <c r="D341" s="130"/>
      <c r="E341" s="130"/>
      <c r="F341" s="130"/>
      <c r="G341" s="130"/>
      <c r="H341" s="130"/>
      <c r="I341" s="130"/>
      <c r="J341" s="130"/>
      <c r="K341" s="130"/>
      <c r="L341" s="130"/>
      <c r="M341" s="130"/>
      <c r="N341" s="130"/>
      <c r="O341" s="130"/>
      <c r="P341" s="130"/>
    </row>
    <row r="342" spans="1:16" x14ac:dyDescent="0.2">
      <c r="A342" s="49" t="str">
        <v>0:00</v>
      </c>
      <c r="B342" s="108"/>
      <c r="C342" s="130"/>
      <c r="D342" s="130"/>
      <c r="E342" s="130"/>
      <c r="F342" s="130"/>
      <c r="G342" s="130"/>
      <c r="H342" s="130"/>
      <c r="I342" s="130"/>
      <c r="J342" s="130"/>
      <c r="K342" s="130"/>
      <c r="L342" s="130"/>
      <c r="M342" s="130"/>
      <c r="N342" s="130"/>
      <c r="O342" s="130"/>
      <c r="P342" s="130"/>
    </row>
    <row r="343" spans="1:16" x14ac:dyDescent="0.2">
      <c r="A343" s="49" t="str">
        <v>0:00</v>
      </c>
      <c r="B343" s="108"/>
      <c r="C343" s="130"/>
      <c r="D343" s="130"/>
      <c r="E343" s="130"/>
      <c r="F343" s="130"/>
      <c r="G343" s="130"/>
      <c r="H343" s="130"/>
      <c r="I343" s="130"/>
      <c r="J343" s="130"/>
      <c r="K343" s="130"/>
      <c r="L343" s="130"/>
      <c r="M343" s="130"/>
      <c r="N343" s="130"/>
      <c r="O343" s="130"/>
      <c r="P343" s="130"/>
    </row>
    <row r="344" spans="1:16" x14ac:dyDescent="0.2">
      <c r="A344" s="49" t="str">
        <v>0:00</v>
      </c>
      <c r="B344" s="108"/>
      <c r="C344" s="130"/>
      <c r="D344" s="130"/>
      <c r="E344" s="130"/>
      <c r="F344" s="130"/>
      <c r="G344" s="130"/>
      <c r="H344" s="130"/>
      <c r="I344" s="130"/>
      <c r="J344" s="130"/>
      <c r="K344" s="130"/>
      <c r="L344" s="130"/>
      <c r="M344" s="130"/>
      <c r="N344" s="130"/>
      <c r="O344" s="130"/>
      <c r="P344" s="130"/>
    </row>
    <row r="345" spans="1:16" x14ac:dyDescent="0.2">
      <c r="A345" s="49" t="str">
        <v>0:00</v>
      </c>
      <c r="B345" s="108"/>
      <c r="C345" s="130"/>
      <c r="D345" s="130"/>
      <c r="E345" s="130"/>
      <c r="F345" s="130"/>
      <c r="G345" s="130"/>
      <c r="H345" s="130"/>
      <c r="I345" s="130"/>
      <c r="J345" s="130"/>
      <c r="K345" s="130"/>
      <c r="L345" s="130"/>
      <c r="M345" s="130"/>
      <c r="N345" s="130"/>
      <c r="O345" s="130"/>
      <c r="P345" s="130"/>
    </row>
    <row r="346" spans="1:16" x14ac:dyDescent="0.2">
      <c r="A346" s="49" t="str">
        <v>0:00</v>
      </c>
      <c r="B346" s="108"/>
      <c r="C346" s="130"/>
      <c r="D346" s="130"/>
      <c r="E346" s="130"/>
      <c r="F346" s="130"/>
      <c r="G346" s="130"/>
      <c r="H346" s="130"/>
      <c r="I346" s="130"/>
      <c r="J346" s="130"/>
      <c r="K346" s="130"/>
      <c r="L346" s="130"/>
      <c r="M346" s="130"/>
      <c r="N346" s="130"/>
      <c r="O346" s="130"/>
      <c r="P346" s="130"/>
    </row>
    <row r="347" spans="1:16" x14ac:dyDescent="0.2">
      <c r="A347" s="49" t="str">
        <v>0:00</v>
      </c>
      <c r="B347" s="108"/>
      <c r="C347" s="130"/>
      <c r="D347" s="130"/>
      <c r="E347" s="130"/>
      <c r="F347" s="130"/>
      <c r="G347" s="130"/>
      <c r="H347" s="130"/>
      <c r="I347" s="130"/>
      <c r="J347" s="130"/>
      <c r="K347" s="130"/>
      <c r="L347" s="130"/>
      <c r="M347" s="130"/>
      <c r="N347" s="130"/>
      <c r="O347" s="130"/>
      <c r="P347" s="130"/>
    </row>
    <row r="348" spans="1:16" x14ac:dyDescent="0.2">
      <c r="A348" s="49" t="str">
        <v>0:00</v>
      </c>
      <c r="B348" s="108"/>
      <c r="C348" s="130"/>
      <c r="D348" s="130"/>
      <c r="E348" s="130"/>
      <c r="F348" s="130"/>
      <c r="G348" s="130"/>
      <c r="H348" s="130"/>
      <c r="I348" s="130"/>
      <c r="J348" s="130"/>
      <c r="K348" s="130"/>
      <c r="L348" s="130"/>
      <c r="M348" s="130"/>
      <c r="N348" s="130"/>
      <c r="O348" s="130"/>
      <c r="P348" s="130"/>
    </row>
    <row r="349" spans="1:16" x14ac:dyDescent="0.2">
      <c r="A349" s="49" t="str">
        <v>0:00</v>
      </c>
      <c r="B349" s="108"/>
      <c r="C349" s="130"/>
      <c r="D349" s="130"/>
      <c r="E349" s="130"/>
      <c r="F349" s="130"/>
      <c r="G349" s="130"/>
      <c r="H349" s="130"/>
      <c r="I349" s="130"/>
      <c r="J349" s="130"/>
      <c r="K349" s="130"/>
      <c r="L349" s="130"/>
      <c r="M349" s="130"/>
      <c r="N349" s="130"/>
      <c r="O349" s="130"/>
      <c r="P349" s="130"/>
    </row>
    <row r="350" spans="1:16" x14ac:dyDescent="0.2">
      <c r="A350" s="49" t="str">
        <v>0:00</v>
      </c>
      <c r="B350" s="108"/>
      <c r="C350" s="130"/>
      <c r="D350" s="130"/>
      <c r="E350" s="130"/>
      <c r="F350" s="130"/>
      <c r="G350" s="130"/>
      <c r="H350" s="130"/>
      <c r="I350" s="130"/>
      <c r="J350" s="130"/>
      <c r="K350" s="130"/>
      <c r="L350" s="130"/>
      <c r="M350" s="130"/>
      <c r="N350" s="130"/>
      <c r="O350" s="130"/>
      <c r="P350" s="130"/>
    </row>
    <row r="351" spans="1:16" x14ac:dyDescent="0.2">
      <c r="A351" s="49" t="str">
        <v>0:00</v>
      </c>
      <c r="B351" s="108"/>
      <c r="C351" s="130"/>
      <c r="D351" s="130"/>
      <c r="E351" s="130"/>
      <c r="F351" s="130"/>
      <c r="G351" s="130"/>
      <c r="H351" s="130"/>
      <c r="I351" s="130"/>
      <c r="J351" s="130"/>
      <c r="K351" s="130"/>
      <c r="L351" s="130"/>
      <c r="M351" s="130"/>
      <c r="N351" s="130"/>
      <c r="O351" s="130"/>
      <c r="P351" s="130"/>
    </row>
    <row r="352" spans="1:16" x14ac:dyDescent="0.2">
      <c r="A352" s="49" t="str">
        <v>0:00</v>
      </c>
      <c r="B352" s="108"/>
      <c r="C352" s="130"/>
      <c r="D352" s="130"/>
      <c r="E352" s="130"/>
      <c r="F352" s="130"/>
      <c r="G352" s="130"/>
      <c r="H352" s="130"/>
      <c r="I352" s="130"/>
      <c r="J352" s="130"/>
      <c r="K352" s="130"/>
      <c r="L352" s="130"/>
      <c r="M352" s="130"/>
      <c r="N352" s="130"/>
      <c r="O352" s="130"/>
      <c r="P352" s="130"/>
    </row>
    <row r="353" spans="1:16" x14ac:dyDescent="0.2">
      <c r="A353" s="49" t="str">
        <v>0:00</v>
      </c>
      <c r="B353" s="108"/>
      <c r="C353" s="130"/>
      <c r="D353" s="130"/>
      <c r="E353" s="130"/>
      <c r="F353" s="130"/>
      <c r="G353" s="130"/>
      <c r="H353" s="130"/>
      <c r="I353" s="130"/>
      <c r="J353" s="130"/>
      <c r="K353" s="130"/>
      <c r="L353" s="130"/>
      <c r="M353" s="130"/>
      <c r="N353" s="130"/>
      <c r="O353" s="130"/>
      <c r="P353" s="130"/>
    </row>
    <row r="354" spans="1:16" x14ac:dyDescent="0.2">
      <c r="A354" s="49" t="str">
        <v>0:00</v>
      </c>
      <c r="B354" s="108"/>
      <c r="C354" s="130"/>
      <c r="D354" s="130"/>
      <c r="E354" s="130"/>
      <c r="F354" s="130"/>
      <c r="G354" s="130"/>
      <c r="H354" s="130"/>
      <c r="I354" s="130"/>
      <c r="J354" s="130"/>
      <c r="K354" s="130"/>
      <c r="L354" s="130"/>
      <c r="M354" s="130"/>
      <c r="N354" s="130"/>
      <c r="O354" s="130"/>
      <c r="P354" s="130"/>
    </row>
    <row r="355" spans="1:16" x14ac:dyDescent="0.2">
      <c r="A355" s="49" t="str">
        <v>0:00</v>
      </c>
      <c r="B355" s="108"/>
      <c r="C355" s="130"/>
      <c r="D355" s="130"/>
      <c r="E355" s="130"/>
      <c r="F355" s="130"/>
      <c r="G355" s="130"/>
      <c r="H355" s="130"/>
      <c r="I355" s="130"/>
      <c r="J355" s="130"/>
      <c r="K355" s="130"/>
      <c r="L355" s="130"/>
      <c r="M355" s="130"/>
      <c r="N355" s="130"/>
      <c r="O355" s="130"/>
      <c r="P355" s="130"/>
    </row>
    <row r="356" spans="1:16" x14ac:dyDescent="0.2">
      <c r="A356" s="49" t="str">
        <v>0:00</v>
      </c>
      <c r="B356" s="108"/>
      <c r="C356" s="130"/>
      <c r="D356" s="130"/>
      <c r="E356" s="130"/>
      <c r="F356" s="130"/>
      <c r="G356" s="130"/>
      <c r="H356" s="130"/>
      <c r="I356" s="130"/>
      <c r="J356" s="130"/>
      <c r="K356" s="130"/>
      <c r="L356" s="130"/>
      <c r="M356" s="130"/>
      <c r="N356" s="130"/>
      <c r="O356" s="130"/>
      <c r="P356" s="130"/>
    </row>
    <row r="357" spans="1:16" x14ac:dyDescent="0.2">
      <c r="A357" s="49" t="str">
        <v>0:00</v>
      </c>
      <c r="B357" s="108"/>
      <c r="C357" s="130"/>
      <c r="D357" s="130"/>
      <c r="E357" s="130"/>
      <c r="F357" s="130"/>
      <c r="G357" s="130"/>
      <c r="H357" s="130"/>
      <c r="I357" s="130"/>
      <c r="J357" s="130"/>
      <c r="K357" s="130"/>
      <c r="L357" s="130"/>
      <c r="M357" s="130"/>
      <c r="N357" s="130"/>
      <c r="O357" s="130"/>
      <c r="P357" s="130"/>
    </row>
    <row r="358" spans="1:16" x14ac:dyDescent="0.2">
      <c r="A358" s="49" t="str">
        <v>0:00</v>
      </c>
      <c r="B358" s="108"/>
      <c r="C358" s="130"/>
      <c r="D358" s="130"/>
      <c r="E358" s="130"/>
      <c r="F358" s="130"/>
      <c r="G358" s="130"/>
      <c r="H358" s="130"/>
      <c r="I358" s="130"/>
      <c r="J358" s="130"/>
      <c r="K358" s="130"/>
      <c r="L358" s="130"/>
      <c r="M358" s="130"/>
      <c r="N358" s="130"/>
      <c r="O358" s="130"/>
      <c r="P358" s="130"/>
    </row>
    <row r="359" spans="1:16" x14ac:dyDescent="0.2">
      <c r="A359" s="49" t="str">
        <v>0:00</v>
      </c>
      <c r="B359" s="108"/>
      <c r="C359" s="130"/>
      <c r="D359" s="130"/>
      <c r="E359" s="130"/>
      <c r="F359" s="130"/>
      <c r="G359" s="130"/>
      <c r="H359" s="130"/>
      <c r="I359" s="130"/>
      <c r="J359" s="130"/>
      <c r="K359" s="130"/>
      <c r="L359" s="130"/>
      <c r="M359" s="130"/>
      <c r="N359" s="130"/>
      <c r="O359" s="130"/>
      <c r="P359" s="130"/>
    </row>
    <row r="360" spans="1:16" x14ac:dyDescent="0.2">
      <c r="A360" s="49" t="str">
        <v>0:00</v>
      </c>
      <c r="B360" s="108"/>
      <c r="C360" s="130"/>
      <c r="D360" s="130"/>
      <c r="E360" s="130"/>
      <c r="F360" s="130"/>
      <c r="G360" s="130"/>
      <c r="H360" s="130"/>
      <c r="I360" s="130"/>
      <c r="J360" s="130"/>
      <c r="K360" s="130"/>
      <c r="L360" s="130"/>
      <c r="M360" s="130"/>
      <c r="N360" s="130"/>
      <c r="O360" s="130"/>
      <c r="P360" s="130"/>
    </row>
    <row r="361" spans="1:16" x14ac:dyDescent="0.2">
      <c r="A361" s="49" t="str">
        <v>0:00</v>
      </c>
      <c r="B361" s="108"/>
      <c r="C361" s="130"/>
      <c r="D361" s="130"/>
      <c r="E361" s="130"/>
      <c r="F361" s="130"/>
      <c r="G361" s="130"/>
      <c r="H361" s="130"/>
      <c r="I361" s="130"/>
      <c r="J361" s="130"/>
      <c r="K361" s="130"/>
      <c r="L361" s="130"/>
      <c r="M361" s="130"/>
      <c r="N361" s="130"/>
      <c r="O361" s="130"/>
      <c r="P361" s="130"/>
    </row>
    <row r="362" spans="1:16" x14ac:dyDescent="0.2">
      <c r="A362" s="49" t="str">
        <v>0:00</v>
      </c>
      <c r="B362" s="108"/>
      <c r="C362" s="130"/>
      <c r="D362" s="130"/>
      <c r="E362" s="130"/>
      <c r="F362" s="130"/>
      <c r="G362" s="130"/>
      <c r="H362" s="130"/>
      <c r="I362" s="130"/>
      <c r="J362" s="130"/>
      <c r="K362" s="130"/>
      <c r="L362" s="130"/>
      <c r="M362" s="130"/>
      <c r="N362" s="130"/>
      <c r="O362" s="130"/>
      <c r="P362" s="130"/>
    </row>
    <row r="363" spans="1:16" x14ac:dyDescent="0.2">
      <c r="A363" s="49" t="str">
        <v>0:00</v>
      </c>
      <c r="B363" s="108"/>
      <c r="C363" s="130"/>
      <c r="D363" s="130"/>
      <c r="E363" s="130"/>
      <c r="F363" s="130"/>
      <c r="G363" s="130"/>
      <c r="H363" s="130"/>
      <c r="I363" s="130"/>
      <c r="J363" s="130"/>
      <c r="K363" s="130"/>
      <c r="L363" s="130"/>
      <c r="M363" s="130"/>
      <c r="N363" s="130"/>
      <c r="O363" s="130"/>
      <c r="P363" s="130"/>
    </row>
    <row r="364" spans="1:16" x14ac:dyDescent="0.2">
      <c r="A364" s="49" t="str">
        <v>0:00</v>
      </c>
      <c r="B364" s="108"/>
      <c r="C364" s="130"/>
      <c r="D364" s="130"/>
      <c r="E364" s="130"/>
      <c r="F364" s="130"/>
      <c r="G364" s="130"/>
      <c r="H364" s="130"/>
      <c r="I364" s="130"/>
      <c r="J364" s="130"/>
      <c r="K364" s="130"/>
      <c r="L364" s="130"/>
      <c r="M364" s="130"/>
      <c r="N364" s="130"/>
      <c r="O364" s="130"/>
      <c r="P364" s="130"/>
    </row>
    <row r="365" spans="1:16" x14ac:dyDescent="0.2">
      <c r="A365" s="49" t="str">
        <v>0:00</v>
      </c>
      <c r="B365" s="108"/>
      <c r="C365" s="130"/>
      <c r="D365" s="130"/>
      <c r="E365" s="130"/>
      <c r="F365" s="130"/>
      <c r="G365" s="130"/>
      <c r="H365" s="130"/>
      <c r="I365" s="130"/>
      <c r="J365" s="130"/>
      <c r="K365" s="130"/>
      <c r="L365" s="130"/>
      <c r="M365" s="130"/>
      <c r="N365" s="130"/>
      <c r="O365" s="130"/>
      <c r="P365" s="130"/>
    </row>
    <row r="366" spans="1:16" x14ac:dyDescent="0.2">
      <c r="A366" s="49" t="str">
        <v>0:00</v>
      </c>
      <c r="B366" s="108"/>
      <c r="C366" s="130"/>
      <c r="D366" s="130"/>
      <c r="E366" s="130"/>
      <c r="F366" s="130"/>
      <c r="G366" s="130"/>
      <c r="H366" s="130"/>
      <c r="I366" s="130"/>
      <c r="J366" s="130"/>
      <c r="K366" s="130"/>
      <c r="L366" s="130"/>
      <c r="M366" s="130"/>
      <c r="N366" s="130"/>
      <c r="O366" s="130"/>
      <c r="P366" s="130"/>
    </row>
    <row r="367" spans="1:16" x14ac:dyDescent="0.2">
      <c r="A367" s="49" t="str">
        <v>0:00</v>
      </c>
      <c r="B367" s="108"/>
      <c r="C367" s="130"/>
      <c r="D367" s="130"/>
      <c r="E367" s="130"/>
      <c r="F367" s="130"/>
      <c r="G367" s="130"/>
      <c r="H367" s="130"/>
      <c r="I367" s="130"/>
      <c r="J367" s="130"/>
      <c r="K367" s="130"/>
      <c r="L367" s="130"/>
      <c r="M367" s="130"/>
      <c r="N367" s="130"/>
      <c r="O367" s="130"/>
      <c r="P367" s="130"/>
    </row>
    <row r="368" spans="1:16" x14ac:dyDescent="0.2">
      <c r="A368" s="49" t="str">
        <v>0:00</v>
      </c>
      <c r="B368" s="108"/>
      <c r="C368" s="130"/>
      <c r="D368" s="130"/>
      <c r="E368" s="130"/>
      <c r="F368" s="130"/>
      <c r="G368" s="130"/>
      <c r="H368" s="130"/>
      <c r="I368" s="130"/>
      <c r="J368" s="130"/>
      <c r="K368" s="130"/>
      <c r="L368" s="130"/>
      <c r="M368" s="130"/>
      <c r="N368" s="130"/>
      <c r="O368" s="130"/>
      <c r="P368" s="130"/>
    </row>
    <row r="369" spans="1:16" x14ac:dyDescent="0.2">
      <c r="A369" s="49" t="str">
        <v>0:00</v>
      </c>
      <c r="B369" s="108"/>
      <c r="C369" s="130"/>
      <c r="D369" s="130"/>
      <c r="E369" s="130"/>
      <c r="F369" s="130"/>
      <c r="G369" s="130"/>
      <c r="H369" s="130"/>
      <c r="I369" s="130"/>
      <c r="J369" s="130"/>
      <c r="K369" s="130"/>
      <c r="L369" s="130"/>
      <c r="M369" s="130"/>
      <c r="N369" s="130"/>
      <c r="O369" s="130"/>
      <c r="P369" s="130"/>
    </row>
    <row r="370" spans="1:16" x14ac:dyDescent="0.2">
      <c r="A370" s="49" t="str">
        <v>0:00</v>
      </c>
      <c r="B370" s="108"/>
      <c r="C370" s="130"/>
      <c r="D370" s="130"/>
      <c r="E370" s="130"/>
      <c r="F370" s="130"/>
      <c r="G370" s="130"/>
      <c r="H370" s="130"/>
      <c r="I370" s="130"/>
      <c r="J370" s="130"/>
      <c r="K370" s="130"/>
      <c r="L370" s="130"/>
      <c r="M370" s="130"/>
      <c r="N370" s="130"/>
      <c r="O370" s="130"/>
      <c r="P370" s="130"/>
    </row>
    <row r="371" spans="1:16" x14ac:dyDescent="0.2">
      <c r="A371" s="49" t="str">
        <v>0:00</v>
      </c>
      <c r="B371" s="108"/>
      <c r="C371" s="130"/>
      <c r="D371" s="130"/>
      <c r="E371" s="130"/>
      <c r="F371" s="130"/>
      <c r="G371" s="130"/>
      <c r="H371" s="130"/>
      <c r="I371" s="130"/>
      <c r="J371" s="130"/>
      <c r="K371" s="130"/>
      <c r="L371" s="130"/>
      <c r="M371" s="130"/>
      <c r="N371" s="130"/>
      <c r="O371" s="130"/>
      <c r="P371" s="130"/>
    </row>
    <row r="372" spans="1:16" x14ac:dyDescent="0.2">
      <c r="A372" s="49" t="str">
        <v>0:00</v>
      </c>
      <c r="B372" s="108"/>
      <c r="C372" s="130"/>
      <c r="D372" s="130"/>
      <c r="E372" s="130"/>
      <c r="F372" s="130"/>
      <c r="G372" s="130"/>
      <c r="H372" s="130"/>
      <c r="I372" s="130"/>
      <c r="J372" s="130"/>
      <c r="K372" s="130"/>
      <c r="L372" s="130"/>
      <c r="M372" s="130"/>
      <c r="N372" s="130"/>
      <c r="O372" s="130"/>
      <c r="P372" s="130"/>
    </row>
    <row r="373" spans="1:16" x14ac:dyDescent="0.2">
      <c r="A373" s="49" t="str">
        <v>0:00</v>
      </c>
      <c r="B373" s="108"/>
      <c r="C373" s="130"/>
      <c r="D373" s="130"/>
      <c r="E373" s="130"/>
      <c r="F373" s="130"/>
      <c r="G373" s="130"/>
      <c r="H373" s="130"/>
      <c r="I373" s="130"/>
      <c r="J373" s="130"/>
      <c r="K373" s="130"/>
      <c r="L373" s="130"/>
      <c r="M373" s="130"/>
      <c r="N373" s="130"/>
      <c r="O373" s="130"/>
      <c r="P373" s="130"/>
    </row>
    <row r="374" spans="1:16" x14ac:dyDescent="0.2">
      <c r="A374" s="49" t="str">
        <v>0:00</v>
      </c>
      <c r="B374" s="108"/>
      <c r="C374" s="130"/>
      <c r="D374" s="130"/>
      <c r="E374" s="130"/>
      <c r="F374" s="130"/>
      <c r="G374" s="130"/>
      <c r="H374" s="130"/>
      <c r="I374" s="130"/>
      <c r="J374" s="130"/>
      <c r="K374" s="130"/>
      <c r="L374" s="130"/>
      <c r="M374" s="130"/>
      <c r="N374" s="130"/>
      <c r="O374" s="130"/>
      <c r="P374" s="130"/>
    </row>
    <row r="375" spans="1:16" x14ac:dyDescent="0.2">
      <c r="A375" s="49" t="str">
        <v>0:00</v>
      </c>
      <c r="B375" s="108"/>
      <c r="C375" s="130"/>
      <c r="D375" s="130"/>
      <c r="E375" s="130"/>
      <c r="F375" s="130"/>
      <c r="G375" s="130"/>
      <c r="H375" s="130"/>
      <c r="I375" s="130"/>
      <c r="J375" s="130"/>
      <c r="K375" s="130"/>
      <c r="L375" s="130"/>
      <c r="M375" s="130"/>
      <c r="N375" s="130"/>
      <c r="O375" s="130"/>
      <c r="P375" s="130"/>
    </row>
    <row r="376" spans="1:16" x14ac:dyDescent="0.2">
      <c r="A376" s="49" t="str">
        <v>0:00</v>
      </c>
      <c r="B376" s="108"/>
      <c r="C376" s="130"/>
      <c r="D376" s="130"/>
      <c r="E376" s="130"/>
      <c r="F376" s="130"/>
      <c r="G376" s="130"/>
      <c r="H376" s="130"/>
      <c r="I376" s="130"/>
      <c r="J376" s="130"/>
      <c r="K376" s="130"/>
      <c r="L376" s="130"/>
      <c r="M376" s="130"/>
      <c r="N376" s="130"/>
      <c r="O376" s="130"/>
      <c r="P376" s="130"/>
    </row>
    <row r="377" spans="1:16" x14ac:dyDescent="0.2">
      <c r="A377" s="49" t="str">
        <v>0:00</v>
      </c>
      <c r="B377" s="108"/>
      <c r="C377" s="130"/>
      <c r="D377" s="130"/>
      <c r="E377" s="130"/>
      <c r="F377" s="130"/>
      <c r="G377" s="130"/>
      <c r="H377" s="130"/>
      <c r="I377" s="130"/>
      <c r="J377" s="130"/>
      <c r="K377" s="130"/>
      <c r="L377" s="130"/>
      <c r="M377" s="130"/>
      <c r="N377" s="130"/>
      <c r="O377" s="130"/>
      <c r="P377" s="130"/>
    </row>
    <row r="378" spans="1:16" x14ac:dyDescent="0.2">
      <c r="A378" s="49" t="str">
        <v>0:00</v>
      </c>
      <c r="B378" s="108"/>
      <c r="C378" s="130"/>
      <c r="D378" s="130"/>
      <c r="E378" s="130"/>
      <c r="F378" s="130"/>
      <c r="G378" s="130"/>
      <c r="H378" s="130"/>
      <c r="I378" s="130"/>
      <c r="J378" s="130"/>
      <c r="K378" s="130"/>
      <c r="L378" s="130"/>
      <c r="M378" s="130"/>
      <c r="N378" s="130"/>
      <c r="O378" s="130"/>
      <c r="P378" s="130"/>
    </row>
    <row r="379" spans="1:16" x14ac:dyDescent="0.2">
      <c r="A379" s="49" t="str">
        <v>0:00</v>
      </c>
      <c r="B379" s="108"/>
      <c r="C379" s="130"/>
      <c r="D379" s="130"/>
      <c r="E379" s="130"/>
      <c r="F379" s="130"/>
      <c r="G379" s="130"/>
      <c r="H379" s="130"/>
      <c r="I379" s="130"/>
      <c r="J379" s="130"/>
      <c r="K379" s="130"/>
      <c r="L379" s="130"/>
      <c r="M379" s="130"/>
      <c r="N379" s="130"/>
      <c r="O379" s="130"/>
      <c r="P379" s="130"/>
    </row>
    <row r="380" spans="1:16" x14ac:dyDescent="0.2">
      <c r="A380" s="49" t="str">
        <v>0:00</v>
      </c>
      <c r="B380" s="108"/>
      <c r="C380" s="130"/>
      <c r="D380" s="130"/>
      <c r="E380" s="130"/>
      <c r="F380" s="130"/>
      <c r="G380" s="130"/>
      <c r="H380" s="130"/>
      <c r="I380" s="130"/>
      <c r="J380" s="130"/>
      <c r="K380" s="130"/>
      <c r="L380" s="130"/>
      <c r="M380" s="130"/>
      <c r="N380" s="130"/>
      <c r="O380" s="130"/>
      <c r="P380" s="130"/>
    </row>
    <row r="381" spans="1:16" x14ac:dyDescent="0.2">
      <c r="A381" s="49" t="str">
        <v>0:00</v>
      </c>
      <c r="B381" s="108"/>
      <c r="C381" s="130"/>
      <c r="D381" s="130"/>
      <c r="E381" s="130"/>
      <c r="F381" s="130"/>
      <c r="G381" s="130"/>
      <c r="H381" s="130"/>
      <c r="I381" s="130"/>
      <c r="J381" s="130"/>
      <c r="K381" s="130"/>
      <c r="L381" s="130"/>
      <c r="M381" s="130"/>
      <c r="N381" s="130"/>
      <c r="O381" s="130"/>
      <c r="P381" s="130"/>
    </row>
    <row r="382" spans="1:16" x14ac:dyDescent="0.2">
      <c r="A382" s="49" t="str">
        <v>0:00</v>
      </c>
      <c r="B382" s="108"/>
      <c r="C382" s="130"/>
      <c r="D382" s="130"/>
      <c r="E382" s="130"/>
      <c r="F382" s="130"/>
      <c r="G382" s="130"/>
      <c r="H382" s="130"/>
      <c r="I382" s="130"/>
      <c r="J382" s="130"/>
      <c r="K382" s="130"/>
      <c r="L382" s="130"/>
      <c r="M382" s="130"/>
      <c r="N382" s="130"/>
      <c r="O382" s="130"/>
      <c r="P382" s="130"/>
    </row>
    <row r="383" spans="1:16" x14ac:dyDescent="0.2">
      <c r="A383" s="49" t="str">
        <v>0:00</v>
      </c>
      <c r="B383" s="108"/>
      <c r="C383" s="130"/>
      <c r="D383" s="130"/>
      <c r="E383" s="130"/>
      <c r="F383" s="130"/>
      <c r="G383" s="130"/>
      <c r="H383" s="130"/>
      <c r="I383" s="130"/>
      <c r="J383" s="130"/>
      <c r="K383" s="130"/>
      <c r="L383" s="130"/>
      <c r="M383" s="130"/>
      <c r="N383" s="130"/>
      <c r="O383" s="130"/>
      <c r="P383" s="130"/>
    </row>
    <row r="384" spans="1:16" x14ac:dyDescent="0.2">
      <c r="A384" s="49" t="str">
        <v>0:00</v>
      </c>
      <c r="B384" s="108"/>
      <c r="C384" s="130"/>
      <c r="D384" s="130"/>
      <c r="E384" s="130"/>
      <c r="F384" s="130"/>
      <c r="G384" s="130"/>
      <c r="H384" s="130"/>
      <c r="I384" s="130"/>
      <c r="J384" s="130"/>
      <c r="K384" s="130"/>
      <c r="L384" s="130"/>
      <c r="M384" s="130"/>
      <c r="N384" s="130"/>
      <c r="O384" s="130"/>
      <c r="P384" s="130"/>
    </row>
    <row r="385" spans="1:16" x14ac:dyDescent="0.2">
      <c r="A385" s="49" t="str">
        <v>0:00</v>
      </c>
      <c r="B385" s="108"/>
      <c r="C385" s="130"/>
      <c r="D385" s="130"/>
      <c r="E385" s="130"/>
      <c r="F385" s="130"/>
      <c r="G385" s="130"/>
      <c r="H385" s="130"/>
      <c r="I385" s="130"/>
      <c r="J385" s="130"/>
      <c r="K385" s="130"/>
      <c r="L385" s="130"/>
      <c r="M385" s="130"/>
      <c r="N385" s="130"/>
      <c r="O385" s="130"/>
      <c r="P385" s="130"/>
    </row>
    <row r="386" spans="1:16" x14ac:dyDescent="0.2">
      <c r="A386" s="49" t="str">
        <v>0:00</v>
      </c>
      <c r="B386" s="108"/>
      <c r="C386" s="130"/>
      <c r="D386" s="130"/>
      <c r="E386" s="130"/>
      <c r="F386" s="130"/>
      <c r="G386" s="130"/>
      <c r="H386" s="130"/>
      <c r="I386" s="130"/>
      <c r="J386" s="130"/>
      <c r="K386" s="130"/>
      <c r="L386" s="130"/>
      <c r="M386" s="130"/>
      <c r="N386" s="130"/>
      <c r="O386" s="130"/>
      <c r="P386" s="130"/>
    </row>
    <row r="387" spans="1:16" x14ac:dyDescent="0.2">
      <c r="A387" s="49" t="str">
        <v>0:00</v>
      </c>
      <c r="B387" s="108"/>
      <c r="C387" s="130"/>
      <c r="D387" s="130"/>
      <c r="E387" s="130"/>
      <c r="F387" s="130"/>
      <c r="G387" s="130"/>
      <c r="H387" s="130"/>
      <c r="I387" s="130"/>
      <c r="J387" s="130"/>
      <c r="K387" s="130"/>
      <c r="L387" s="130"/>
      <c r="M387" s="130"/>
      <c r="N387" s="130"/>
      <c r="O387" s="130"/>
      <c r="P387" s="130"/>
    </row>
    <row r="388" spans="1:16" x14ac:dyDescent="0.2">
      <c r="A388" s="49" t="str">
        <v>0:00</v>
      </c>
      <c r="B388" s="108"/>
      <c r="C388" s="130"/>
      <c r="D388" s="130"/>
      <c r="E388" s="130"/>
      <c r="F388" s="130"/>
      <c r="G388" s="130"/>
      <c r="H388" s="130"/>
      <c r="I388" s="130"/>
      <c r="J388" s="130"/>
      <c r="K388" s="130"/>
      <c r="L388" s="130"/>
      <c r="M388" s="130"/>
      <c r="N388" s="130"/>
      <c r="O388" s="130"/>
      <c r="P388" s="130"/>
    </row>
    <row r="389" spans="1:16" x14ac:dyDescent="0.2">
      <c r="A389" s="49" t="str">
        <v>0:00</v>
      </c>
      <c r="B389" s="108"/>
      <c r="C389" s="130"/>
      <c r="D389" s="130"/>
      <c r="E389" s="130"/>
      <c r="F389" s="130"/>
      <c r="G389" s="130"/>
      <c r="H389" s="130"/>
      <c r="I389" s="130"/>
      <c r="J389" s="130"/>
      <c r="K389" s="130"/>
      <c r="L389" s="130"/>
      <c r="M389" s="130"/>
      <c r="N389" s="130"/>
      <c r="O389" s="130"/>
      <c r="P389" s="130"/>
    </row>
    <row r="390" spans="1:16" x14ac:dyDescent="0.2">
      <c r="A390" s="49" t="str">
        <v>0:00</v>
      </c>
      <c r="B390" s="108"/>
      <c r="C390" s="130"/>
      <c r="D390" s="130"/>
      <c r="E390" s="130"/>
      <c r="F390" s="130"/>
      <c r="G390" s="130"/>
      <c r="H390" s="130"/>
      <c r="I390" s="130"/>
      <c r="J390" s="130"/>
      <c r="K390" s="130"/>
      <c r="L390" s="130"/>
      <c r="M390" s="130"/>
      <c r="N390" s="130"/>
      <c r="O390" s="130"/>
      <c r="P390" s="130"/>
    </row>
    <row r="391" spans="1:16" x14ac:dyDescent="0.2">
      <c r="A391" s="49" t="str">
        <v>0:00</v>
      </c>
      <c r="B391" s="108"/>
      <c r="C391" s="130"/>
      <c r="D391" s="130"/>
      <c r="E391" s="130"/>
      <c r="F391" s="130"/>
      <c r="G391" s="130"/>
      <c r="H391" s="130"/>
      <c r="I391" s="130"/>
      <c r="J391" s="130"/>
      <c r="K391" s="130"/>
      <c r="L391" s="130"/>
      <c r="M391" s="130"/>
      <c r="N391" s="130"/>
      <c r="O391" s="130"/>
      <c r="P391" s="130"/>
    </row>
    <row r="392" spans="1:16" x14ac:dyDescent="0.2">
      <c r="A392" s="49" t="str">
        <v>0:00</v>
      </c>
      <c r="B392" s="108"/>
      <c r="C392" s="130"/>
      <c r="D392" s="130"/>
      <c r="E392" s="130"/>
      <c r="F392" s="130"/>
      <c r="G392" s="130"/>
      <c r="H392" s="130"/>
      <c r="I392" s="130"/>
      <c r="J392" s="130"/>
      <c r="K392" s="130"/>
      <c r="L392" s="130"/>
      <c r="M392" s="130"/>
      <c r="N392" s="130"/>
      <c r="O392" s="130"/>
      <c r="P392" s="130"/>
    </row>
    <row r="393" spans="1:16" x14ac:dyDescent="0.2">
      <c r="A393" s="49" t="str">
        <v>0:00</v>
      </c>
      <c r="B393" s="108"/>
      <c r="C393" s="130"/>
      <c r="D393" s="130"/>
      <c r="E393" s="130"/>
      <c r="F393" s="130"/>
      <c r="G393" s="130"/>
      <c r="H393" s="130"/>
      <c r="I393" s="130"/>
      <c r="J393" s="130"/>
      <c r="K393" s="130"/>
      <c r="L393" s="130"/>
      <c r="M393" s="130"/>
      <c r="N393" s="130"/>
      <c r="O393" s="130"/>
      <c r="P393" s="130"/>
    </row>
    <row r="394" spans="1:16" x14ac:dyDescent="0.2">
      <c r="A394" s="49" t="str">
        <v>0:00</v>
      </c>
      <c r="B394" s="108"/>
      <c r="C394" s="130"/>
      <c r="D394" s="130"/>
      <c r="E394" s="130"/>
      <c r="F394" s="130"/>
      <c r="G394" s="130"/>
      <c r="H394" s="130"/>
      <c r="I394" s="130"/>
      <c r="J394" s="130"/>
      <c r="K394" s="130"/>
      <c r="L394" s="130"/>
      <c r="M394" s="130"/>
      <c r="N394" s="130"/>
      <c r="O394" s="130"/>
      <c r="P394" s="130"/>
    </row>
    <row r="395" spans="1:16" x14ac:dyDescent="0.2">
      <c r="A395" s="49" t="str">
        <v>0:00</v>
      </c>
      <c r="B395" s="108"/>
      <c r="C395" s="130"/>
      <c r="D395" s="130"/>
      <c r="E395" s="130"/>
      <c r="F395" s="130"/>
      <c r="G395" s="130"/>
      <c r="H395" s="130"/>
      <c r="I395" s="130"/>
      <c r="J395" s="130"/>
      <c r="K395" s="130"/>
      <c r="L395" s="130"/>
      <c r="M395" s="130"/>
      <c r="N395" s="130"/>
      <c r="O395" s="130"/>
      <c r="P395" s="130"/>
    </row>
    <row r="396" spans="1:16" x14ac:dyDescent="0.2">
      <c r="A396" s="49" t="str">
        <v>0:00</v>
      </c>
      <c r="B396" s="108"/>
      <c r="C396" s="130"/>
      <c r="D396" s="130"/>
      <c r="E396" s="130"/>
      <c r="F396" s="130"/>
      <c r="G396" s="130"/>
      <c r="H396" s="130"/>
      <c r="I396" s="130"/>
      <c r="J396" s="130"/>
      <c r="K396" s="130"/>
      <c r="L396" s="130"/>
      <c r="M396" s="130"/>
      <c r="N396" s="130"/>
      <c r="O396" s="130"/>
      <c r="P396" s="130"/>
    </row>
    <row r="397" spans="1:16" x14ac:dyDescent="0.2">
      <c r="A397" s="49" t="str">
        <v>0:00</v>
      </c>
      <c r="B397" s="108"/>
      <c r="C397" s="130"/>
      <c r="D397" s="130"/>
      <c r="E397" s="130"/>
      <c r="F397" s="130"/>
      <c r="G397" s="130"/>
      <c r="H397" s="130"/>
      <c r="I397" s="130"/>
      <c r="J397" s="130"/>
      <c r="K397" s="130"/>
      <c r="L397" s="130"/>
      <c r="M397" s="130"/>
      <c r="N397" s="130"/>
      <c r="O397" s="130"/>
      <c r="P397" s="130"/>
    </row>
    <row r="398" spans="1:16" x14ac:dyDescent="0.2">
      <c r="A398" s="49" t="str">
        <v>0:00</v>
      </c>
      <c r="B398" s="108"/>
      <c r="C398" s="130"/>
      <c r="D398" s="130"/>
      <c r="E398" s="130"/>
      <c r="F398" s="130"/>
      <c r="G398" s="130"/>
      <c r="H398" s="130"/>
      <c r="I398" s="130"/>
      <c r="J398" s="130"/>
      <c r="K398" s="130"/>
      <c r="L398" s="130"/>
      <c r="M398" s="130"/>
      <c r="N398" s="130"/>
      <c r="O398" s="130"/>
      <c r="P398" s="130"/>
    </row>
    <row r="399" spans="1:16" x14ac:dyDescent="0.2">
      <c r="A399" s="49" t="str">
        <v>0:00</v>
      </c>
      <c r="B399" s="108"/>
      <c r="C399" s="130"/>
      <c r="D399" s="130"/>
      <c r="E399" s="130"/>
      <c r="F399" s="130"/>
      <c r="G399" s="130"/>
      <c r="H399" s="130"/>
      <c r="I399" s="130"/>
      <c r="J399" s="130"/>
      <c r="K399" s="130"/>
      <c r="L399" s="130"/>
      <c r="M399" s="130"/>
      <c r="N399" s="130"/>
      <c r="O399" s="130"/>
      <c r="P399" s="130"/>
    </row>
    <row r="400" spans="1:16" x14ac:dyDescent="0.2">
      <c r="A400" s="49" t="str">
        <v>0:00</v>
      </c>
      <c r="B400" s="108"/>
      <c r="C400" s="130"/>
      <c r="D400" s="130"/>
      <c r="E400" s="130"/>
      <c r="F400" s="130"/>
      <c r="G400" s="130"/>
      <c r="H400" s="130"/>
      <c r="I400" s="130"/>
      <c r="J400" s="130"/>
      <c r="K400" s="130"/>
      <c r="L400" s="130"/>
      <c r="M400" s="130"/>
      <c r="N400" s="130"/>
      <c r="O400" s="130"/>
      <c r="P400" s="130"/>
    </row>
    <row r="401" spans="1:16" x14ac:dyDescent="0.2">
      <c r="A401" s="49" t="str">
        <v>0:00</v>
      </c>
      <c r="B401" s="108"/>
      <c r="C401" s="130"/>
      <c r="D401" s="130"/>
      <c r="E401" s="130"/>
      <c r="F401" s="130"/>
      <c r="G401" s="130"/>
      <c r="H401" s="130"/>
      <c r="I401" s="130"/>
      <c r="J401" s="130"/>
      <c r="K401" s="130"/>
      <c r="L401" s="130"/>
      <c r="M401" s="130"/>
      <c r="N401" s="130"/>
      <c r="O401" s="130"/>
      <c r="P401" s="130"/>
    </row>
    <row r="402" spans="1:16" x14ac:dyDescent="0.2">
      <c r="A402" s="49" t="str">
        <v>0:00</v>
      </c>
      <c r="B402" s="108"/>
      <c r="C402" s="130"/>
      <c r="D402" s="130"/>
      <c r="E402" s="130"/>
      <c r="F402" s="130"/>
      <c r="G402" s="130"/>
      <c r="H402" s="130"/>
      <c r="I402" s="130"/>
      <c r="J402" s="130"/>
      <c r="K402" s="130"/>
      <c r="L402" s="130"/>
      <c r="M402" s="130"/>
      <c r="N402" s="130"/>
      <c r="O402" s="130"/>
      <c r="P402" s="130"/>
    </row>
    <row r="403" spans="1:16" x14ac:dyDescent="0.2">
      <c r="A403" s="49" t="str">
        <v>0:00</v>
      </c>
      <c r="B403" s="108"/>
      <c r="C403" s="130"/>
      <c r="D403" s="130"/>
      <c r="E403" s="130"/>
      <c r="F403" s="130"/>
      <c r="G403" s="130"/>
      <c r="H403" s="130"/>
      <c r="I403" s="130"/>
      <c r="J403" s="130"/>
      <c r="K403" s="130"/>
      <c r="L403" s="130"/>
      <c r="M403" s="130"/>
      <c r="N403" s="130"/>
      <c r="O403" s="130"/>
      <c r="P403" s="130"/>
    </row>
    <row r="404" spans="1:16" x14ac:dyDescent="0.2">
      <c r="A404" s="49" t="str">
        <v>0:00</v>
      </c>
      <c r="B404" s="108"/>
      <c r="C404" s="130"/>
      <c r="D404" s="130"/>
      <c r="E404" s="130"/>
      <c r="F404" s="130"/>
      <c r="G404" s="130"/>
      <c r="H404" s="130"/>
      <c r="I404" s="130"/>
      <c r="J404" s="130"/>
      <c r="K404" s="130"/>
      <c r="L404" s="130"/>
      <c r="M404" s="130"/>
      <c r="N404" s="130"/>
      <c r="O404" s="130"/>
      <c r="P404" s="130"/>
    </row>
    <row r="405" spans="1:16" x14ac:dyDescent="0.2">
      <c r="A405" s="49" t="str">
        <v>0:00</v>
      </c>
      <c r="B405" s="108"/>
      <c r="C405" s="130"/>
      <c r="D405" s="130"/>
      <c r="E405" s="130"/>
      <c r="F405" s="130"/>
      <c r="G405" s="130"/>
      <c r="H405" s="130"/>
      <c r="I405" s="130"/>
      <c r="J405" s="130"/>
      <c r="K405" s="130"/>
      <c r="L405" s="130"/>
      <c r="M405" s="130"/>
      <c r="N405" s="130"/>
      <c r="O405" s="130"/>
      <c r="P405" s="130"/>
    </row>
    <row r="406" spans="1:16" x14ac:dyDescent="0.2">
      <c r="A406" s="49" t="str">
        <v>0:00</v>
      </c>
      <c r="B406" s="108"/>
      <c r="C406" s="130"/>
      <c r="D406" s="130"/>
      <c r="E406" s="130"/>
      <c r="F406" s="130"/>
      <c r="G406" s="130"/>
      <c r="H406" s="130"/>
      <c r="I406" s="130"/>
      <c r="J406" s="130"/>
      <c r="K406" s="130"/>
      <c r="L406" s="130"/>
      <c r="M406" s="130"/>
      <c r="N406" s="130"/>
      <c r="O406" s="130"/>
      <c r="P406" s="130"/>
    </row>
    <row r="407" spans="1:16" x14ac:dyDescent="0.2">
      <c r="A407" s="49" t="str">
        <v>0:00</v>
      </c>
      <c r="B407" s="108"/>
      <c r="C407" s="130"/>
      <c r="D407" s="130"/>
      <c r="E407" s="130"/>
      <c r="F407" s="130"/>
      <c r="G407" s="130"/>
      <c r="H407" s="130"/>
      <c r="I407" s="130"/>
      <c r="J407" s="130"/>
      <c r="K407" s="130"/>
      <c r="L407" s="130"/>
      <c r="M407" s="130"/>
      <c r="N407" s="130"/>
      <c r="O407" s="130"/>
      <c r="P407" s="130"/>
    </row>
    <row r="408" spans="1:16" x14ac:dyDescent="0.2">
      <c r="A408" s="49" t="str">
        <v>0:00</v>
      </c>
      <c r="B408" s="108"/>
      <c r="C408" s="130"/>
      <c r="D408" s="130"/>
      <c r="E408" s="130"/>
      <c r="F408" s="130"/>
      <c r="G408" s="130"/>
      <c r="H408" s="130"/>
      <c r="I408" s="130"/>
      <c r="J408" s="130"/>
      <c r="K408" s="130"/>
      <c r="L408" s="130"/>
      <c r="M408" s="130"/>
      <c r="N408" s="130"/>
      <c r="O408" s="130"/>
      <c r="P408" s="130"/>
    </row>
    <row r="409" spans="1:16" x14ac:dyDescent="0.2">
      <c r="A409" s="49" t="str">
        <v>0:00</v>
      </c>
      <c r="B409" s="108"/>
      <c r="C409" s="130"/>
      <c r="D409" s="130"/>
      <c r="E409" s="130"/>
      <c r="F409" s="130"/>
      <c r="G409" s="130"/>
      <c r="H409" s="130"/>
      <c r="I409" s="130"/>
      <c r="J409" s="130"/>
      <c r="K409" s="130"/>
      <c r="L409" s="130"/>
      <c r="M409" s="130"/>
      <c r="N409" s="130"/>
      <c r="O409" s="130"/>
      <c r="P409" s="130"/>
    </row>
    <row r="410" spans="1:16" x14ac:dyDescent="0.2">
      <c r="A410" s="49" t="str">
        <v>0:00</v>
      </c>
      <c r="B410" s="108"/>
      <c r="C410" s="130"/>
      <c r="D410" s="130"/>
      <c r="E410" s="130"/>
      <c r="F410" s="130"/>
      <c r="G410" s="130"/>
      <c r="H410" s="130"/>
      <c r="I410" s="130"/>
      <c r="J410" s="130"/>
      <c r="K410" s="130"/>
      <c r="L410" s="130"/>
      <c r="M410" s="130"/>
      <c r="N410" s="130"/>
      <c r="O410" s="130"/>
      <c r="P410" s="130"/>
    </row>
    <row r="411" spans="1:16" x14ac:dyDescent="0.2">
      <c r="A411" s="49" t="str">
        <v>0:00</v>
      </c>
      <c r="B411" s="108"/>
      <c r="C411" s="130"/>
      <c r="D411" s="130"/>
      <c r="E411" s="130"/>
      <c r="F411" s="130"/>
      <c r="G411" s="130"/>
      <c r="H411" s="130"/>
      <c r="I411" s="130"/>
      <c r="J411" s="130"/>
      <c r="K411" s="130"/>
      <c r="L411" s="130"/>
      <c r="M411" s="130"/>
      <c r="N411" s="130"/>
      <c r="O411" s="130"/>
      <c r="P411" s="130"/>
    </row>
    <row r="412" spans="1:16" x14ac:dyDescent="0.2">
      <c r="A412" s="49" t="str">
        <v>0:00</v>
      </c>
      <c r="B412" s="108"/>
      <c r="C412" s="130"/>
      <c r="D412" s="130"/>
      <c r="E412" s="130"/>
      <c r="F412" s="130"/>
      <c r="G412" s="130"/>
      <c r="H412" s="130"/>
      <c r="I412" s="130"/>
      <c r="J412" s="130"/>
      <c r="K412" s="130"/>
      <c r="L412" s="130"/>
      <c r="M412" s="130"/>
      <c r="N412" s="130"/>
      <c r="O412" s="130"/>
      <c r="P412" s="130"/>
    </row>
    <row r="413" spans="1:16" x14ac:dyDescent="0.2">
      <c r="A413" s="49" t="str">
        <v>0:00</v>
      </c>
      <c r="B413" s="108"/>
      <c r="C413" s="130"/>
      <c r="D413" s="130"/>
      <c r="E413" s="130"/>
      <c r="F413" s="130"/>
      <c r="G413" s="130"/>
      <c r="H413" s="130"/>
      <c r="I413" s="130"/>
      <c r="J413" s="130"/>
      <c r="K413" s="130"/>
      <c r="L413" s="130"/>
      <c r="M413" s="130"/>
      <c r="N413" s="130"/>
      <c r="O413" s="130"/>
      <c r="P413" s="130"/>
    </row>
    <row r="414" spans="1:16" x14ac:dyDescent="0.2">
      <c r="A414" s="49" t="str">
        <v>0:00</v>
      </c>
      <c r="B414" s="108"/>
      <c r="C414" s="130"/>
      <c r="D414" s="130"/>
      <c r="E414" s="130"/>
      <c r="F414" s="130"/>
      <c r="G414" s="130"/>
      <c r="H414" s="130"/>
      <c r="I414" s="130"/>
      <c r="J414" s="130"/>
      <c r="K414" s="130"/>
      <c r="L414" s="130"/>
      <c r="M414" s="130"/>
      <c r="N414" s="130"/>
      <c r="O414" s="130"/>
      <c r="P414" s="130"/>
    </row>
    <row r="415" spans="1:16" x14ac:dyDescent="0.2">
      <c r="A415" s="49" t="str">
        <v>0:00</v>
      </c>
      <c r="B415" s="108"/>
      <c r="C415" s="130"/>
      <c r="D415" s="130"/>
      <c r="E415" s="130"/>
      <c r="F415" s="130"/>
      <c r="G415" s="130"/>
      <c r="H415" s="130"/>
      <c r="I415" s="130"/>
      <c r="J415" s="130"/>
      <c r="K415" s="130"/>
      <c r="L415" s="130"/>
      <c r="M415" s="130"/>
      <c r="N415" s="130"/>
      <c r="O415" s="130"/>
      <c r="P415" s="130"/>
    </row>
    <row r="416" spans="1:16" x14ac:dyDescent="0.2">
      <c r="A416" s="49" t="str">
        <v>0:00</v>
      </c>
      <c r="B416" s="108"/>
      <c r="C416" s="130"/>
      <c r="D416" s="130"/>
      <c r="E416" s="130"/>
      <c r="F416" s="130"/>
      <c r="G416" s="130"/>
      <c r="H416" s="130"/>
      <c r="I416" s="130"/>
      <c r="J416" s="130"/>
      <c r="K416" s="130"/>
      <c r="L416" s="130"/>
      <c r="M416" s="130"/>
      <c r="N416" s="130"/>
      <c r="O416" s="130"/>
      <c r="P416" s="130"/>
    </row>
    <row r="417" spans="1:16" x14ac:dyDescent="0.2">
      <c r="A417" s="49" t="str">
        <v>0:00</v>
      </c>
      <c r="B417" s="108"/>
      <c r="C417" s="130"/>
      <c r="D417" s="130"/>
      <c r="E417" s="130"/>
      <c r="F417" s="130"/>
      <c r="G417" s="130"/>
      <c r="H417" s="130"/>
      <c r="I417" s="130"/>
      <c r="J417" s="130"/>
      <c r="K417" s="130"/>
      <c r="L417" s="130"/>
      <c r="M417" s="130"/>
      <c r="N417" s="130"/>
      <c r="O417" s="130"/>
      <c r="P417" s="130"/>
    </row>
    <row r="418" spans="1:16" x14ac:dyDescent="0.2">
      <c r="A418" s="49" t="str">
        <v>0:00</v>
      </c>
      <c r="B418" s="108"/>
      <c r="C418" s="130"/>
      <c r="D418" s="130"/>
      <c r="E418" s="130"/>
      <c r="F418" s="130"/>
      <c r="G418" s="130"/>
      <c r="H418" s="130"/>
      <c r="I418" s="130"/>
      <c r="J418" s="130"/>
      <c r="K418" s="130"/>
      <c r="L418" s="130"/>
      <c r="M418" s="130"/>
      <c r="N418" s="130"/>
      <c r="O418" s="130"/>
      <c r="P418" s="130"/>
    </row>
    <row r="419" spans="1:16" x14ac:dyDescent="0.2">
      <c r="A419" s="49" t="str">
        <v>0:00</v>
      </c>
      <c r="B419" s="108"/>
      <c r="C419" s="130"/>
      <c r="D419" s="130"/>
      <c r="E419" s="130"/>
      <c r="F419" s="130"/>
      <c r="G419" s="130"/>
      <c r="H419" s="130"/>
      <c r="I419" s="130"/>
      <c r="J419" s="130"/>
      <c r="K419" s="130"/>
      <c r="L419" s="130"/>
      <c r="M419" s="130"/>
      <c r="N419" s="130"/>
      <c r="O419" s="130"/>
      <c r="P419" s="130"/>
    </row>
    <row r="420" spans="1:16" x14ac:dyDescent="0.2">
      <c r="A420" s="49" t="str">
        <v>0:00</v>
      </c>
      <c r="B420" s="108"/>
      <c r="C420" s="130"/>
      <c r="D420" s="130"/>
      <c r="E420" s="130"/>
      <c r="F420" s="130"/>
      <c r="G420" s="130"/>
      <c r="H420" s="130"/>
      <c r="I420" s="130"/>
      <c r="J420" s="130"/>
      <c r="K420" s="130"/>
      <c r="L420" s="130"/>
      <c r="M420" s="130"/>
      <c r="N420" s="130"/>
      <c r="O420" s="130"/>
      <c r="P420" s="130"/>
    </row>
    <row r="421" spans="1:16" x14ac:dyDescent="0.2">
      <c r="A421" s="49" t="str">
        <v>0:00</v>
      </c>
      <c r="B421" s="108"/>
      <c r="C421" s="130"/>
      <c r="D421" s="130"/>
      <c r="E421" s="130"/>
      <c r="F421" s="130"/>
      <c r="G421" s="130"/>
      <c r="H421" s="130"/>
      <c r="I421" s="130"/>
      <c r="J421" s="130"/>
      <c r="K421" s="130"/>
      <c r="L421" s="130"/>
      <c r="M421" s="130"/>
      <c r="N421" s="130"/>
      <c r="O421" s="130"/>
      <c r="P421" s="130"/>
    </row>
    <row r="422" spans="1:16" x14ac:dyDescent="0.2">
      <c r="A422" s="49" t="str">
        <v>0:00</v>
      </c>
      <c r="B422" s="108"/>
      <c r="C422" s="130"/>
      <c r="D422" s="130"/>
      <c r="E422" s="130"/>
      <c r="F422" s="130"/>
      <c r="G422" s="130"/>
      <c r="H422" s="130"/>
      <c r="I422" s="130"/>
      <c r="J422" s="130"/>
      <c r="K422" s="130"/>
      <c r="L422" s="130"/>
      <c r="M422" s="130"/>
      <c r="N422" s="130"/>
      <c r="O422" s="130"/>
      <c r="P422" s="130"/>
    </row>
    <row r="423" spans="1:16" x14ac:dyDescent="0.2">
      <c r="A423" s="49" t="str">
        <v>0:00</v>
      </c>
      <c r="B423" s="108"/>
      <c r="C423" s="130"/>
      <c r="D423" s="130"/>
      <c r="E423" s="130"/>
      <c r="F423" s="130"/>
      <c r="G423" s="130"/>
      <c r="H423" s="130"/>
      <c r="I423" s="130"/>
      <c r="J423" s="130"/>
      <c r="K423" s="130"/>
      <c r="L423" s="130"/>
      <c r="M423" s="130"/>
      <c r="N423" s="130"/>
      <c r="O423" s="130"/>
      <c r="P423" s="130"/>
    </row>
    <row r="424" spans="1:16" x14ac:dyDescent="0.2">
      <c r="A424" s="49" t="str">
        <v>0:00</v>
      </c>
      <c r="B424" s="108"/>
      <c r="C424" s="130"/>
      <c r="D424" s="130"/>
      <c r="E424" s="130"/>
      <c r="F424" s="130"/>
      <c r="G424" s="130"/>
      <c r="H424" s="130"/>
      <c r="I424" s="130"/>
      <c r="J424" s="130"/>
      <c r="K424" s="130"/>
      <c r="L424" s="130"/>
      <c r="M424" s="130"/>
      <c r="N424" s="130"/>
      <c r="O424" s="130"/>
      <c r="P424" s="130"/>
    </row>
    <row r="425" spans="1:16" x14ac:dyDescent="0.2">
      <c r="A425" s="49" t="str">
        <v>0:00</v>
      </c>
      <c r="B425" s="108"/>
      <c r="C425" s="130"/>
      <c r="D425" s="130"/>
      <c r="E425" s="130"/>
      <c r="F425" s="130"/>
      <c r="G425" s="130"/>
      <c r="H425" s="130"/>
      <c r="I425" s="130"/>
      <c r="J425" s="130"/>
      <c r="K425" s="130"/>
      <c r="L425" s="130"/>
      <c r="M425" s="130"/>
      <c r="N425" s="130"/>
      <c r="O425" s="130"/>
      <c r="P425" s="130"/>
    </row>
    <row r="426" spans="1:16" x14ac:dyDescent="0.2">
      <c r="A426" s="49" t="str">
        <v>0:00</v>
      </c>
      <c r="B426" s="108"/>
      <c r="C426" s="130"/>
      <c r="D426" s="130"/>
      <c r="E426" s="130"/>
      <c r="F426" s="130"/>
      <c r="G426" s="130"/>
      <c r="H426" s="130"/>
      <c r="I426" s="130"/>
      <c r="J426" s="130"/>
      <c r="K426" s="130"/>
      <c r="L426" s="130"/>
      <c r="M426" s="130"/>
      <c r="N426" s="130"/>
      <c r="O426" s="130"/>
      <c r="P426" s="130"/>
    </row>
    <row r="427" spans="1:16" x14ac:dyDescent="0.2">
      <c r="A427" s="49" t="str">
        <v>0:00</v>
      </c>
      <c r="B427" s="108"/>
      <c r="C427" s="130"/>
      <c r="D427" s="130"/>
      <c r="E427" s="130"/>
      <c r="F427" s="130"/>
      <c r="G427" s="130"/>
      <c r="H427" s="130"/>
      <c r="I427" s="130"/>
      <c r="J427" s="130"/>
      <c r="K427" s="130"/>
      <c r="L427" s="130"/>
      <c r="M427" s="130"/>
      <c r="N427" s="130"/>
      <c r="O427" s="130"/>
      <c r="P427" s="130"/>
    </row>
    <row r="428" spans="1:16" x14ac:dyDescent="0.2">
      <c r="A428" s="49" t="str">
        <v>0:00</v>
      </c>
      <c r="B428" s="108"/>
      <c r="C428" s="130"/>
      <c r="D428" s="130"/>
      <c r="E428" s="130"/>
      <c r="F428" s="130"/>
      <c r="G428" s="130"/>
      <c r="H428" s="130"/>
      <c r="I428" s="130"/>
      <c r="J428" s="130"/>
      <c r="K428" s="130"/>
      <c r="L428" s="130"/>
      <c r="M428" s="130"/>
      <c r="N428" s="130"/>
      <c r="O428" s="130"/>
      <c r="P428" s="130"/>
    </row>
    <row r="429" spans="1:16" x14ac:dyDescent="0.2">
      <c r="A429" s="49" t="str">
        <v>0:00</v>
      </c>
      <c r="B429" s="108"/>
      <c r="C429" s="130"/>
      <c r="D429" s="130"/>
      <c r="E429" s="130"/>
      <c r="F429" s="130"/>
      <c r="G429" s="130"/>
      <c r="H429" s="130"/>
      <c r="I429" s="130"/>
      <c r="J429" s="130"/>
      <c r="K429" s="130"/>
      <c r="L429" s="130"/>
      <c r="M429" s="130"/>
      <c r="N429" s="130"/>
      <c r="O429" s="130"/>
      <c r="P429" s="130"/>
    </row>
    <row r="430" spans="1:16" x14ac:dyDescent="0.2">
      <c r="A430" s="49" t="str">
        <v>0:00</v>
      </c>
      <c r="B430" s="108"/>
      <c r="C430" s="130"/>
      <c r="D430" s="130"/>
      <c r="E430" s="130"/>
      <c r="F430" s="130"/>
      <c r="G430" s="130"/>
      <c r="H430" s="130"/>
      <c r="I430" s="130"/>
      <c r="J430" s="130"/>
      <c r="K430" s="130"/>
      <c r="L430" s="130"/>
      <c r="M430" s="130"/>
      <c r="N430" s="130"/>
      <c r="O430" s="130"/>
      <c r="P430" s="130"/>
    </row>
    <row r="431" spans="1:16" x14ac:dyDescent="0.2">
      <c r="A431" s="49" t="str">
        <v>0:00</v>
      </c>
      <c r="B431" s="108"/>
      <c r="C431" s="130"/>
      <c r="D431" s="130"/>
      <c r="E431" s="130"/>
      <c r="F431" s="130"/>
      <c r="G431" s="130"/>
      <c r="H431" s="130"/>
      <c r="I431" s="130"/>
      <c r="J431" s="130"/>
      <c r="K431" s="130"/>
      <c r="L431" s="130"/>
      <c r="M431" s="130"/>
      <c r="N431" s="130"/>
      <c r="O431" s="130"/>
      <c r="P431" s="130"/>
    </row>
    <row r="432" spans="1:16" x14ac:dyDescent="0.2">
      <c r="A432" s="49" t="str">
        <v>0:00</v>
      </c>
      <c r="B432" s="108"/>
      <c r="C432" s="130"/>
      <c r="D432" s="130"/>
      <c r="E432" s="130"/>
      <c r="F432" s="130"/>
      <c r="G432" s="130"/>
      <c r="H432" s="130"/>
      <c r="I432" s="130"/>
      <c r="J432" s="130"/>
      <c r="K432" s="130"/>
      <c r="L432" s="130"/>
      <c r="M432" s="130"/>
      <c r="N432" s="130"/>
      <c r="O432" s="130"/>
      <c r="P432" s="130"/>
    </row>
    <row r="433" spans="1:16" x14ac:dyDescent="0.2">
      <c r="A433" s="49" t="str">
        <v>0:00</v>
      </c>
      <c r="B433" s="108"/>
      <c r="C433" s="130"/>
      <c r="D433" s="130"/>
      <c r="E433" s="130"/>
      <c r="F433" s="130"/>
      <c r="G433" s="130"/>
      <c r="H433" s="130"/>
      <c r="I433" s="130"/>
      <c r="J433" s="130"/>
      <c r="K433" s="130"/>
      <c r="L433" s="130"/>
      <c r="M433" s="130"/>
      <c r="N433" s="130"/>
      <c r="O433" s="130"/>
      <c r="P433" s="130"/>
    </row>
    <row r="434" spans="1:16" x14ac:dyDescent="0.2">
      <c r="A434" s="49" t="str">
        <v>0:00</v>
      </c>
      <c r="B434" s="108"/>
      <c r="C434" s="130"/>
      <c r="D434" s="130"/>
      <c r="E434" s="130"/>
      <c r="F434" s="130"/>
      <c r="G434" s="130"/>
      <c r="H434" s="130"/>
      <c r="I434" s="130"/>
      <c r="J434" s="130"/>
      <c r="K434" s="130"/>
      <c r="L434" s="130"/>
      <c r="M434" s="130"/>
      <c r="N434" s="130"/>
      <c r="O434" s="130"/>
      <c r="P434" s="130"/>
    </row>
    <row r="435" spans="1:16" x14ac:dyDescent="0.2">
      <c r="A435" s="49" t="str">
        <v>0:00</v>
      </c>
      <c r="B435" s="108"/>
      <c r="C435" s="130"/>
      <c r="D435" s="130"/>
      <c r="E435" s="130"/>
      <c r="F435" s="130"/>
      <c r="G435" s="130"/>
      <c r="H435" s="130"/>
      <c r="I435" s="130"/>
      <c r="J435" s="130"/>
      <c r="K435" s="130"/>
      <c r="L435" s="130"/>
      <c r="M435" s="130"/>
      <c r="N435" s="130"/>
      <c r="O435" s="130"/>
      <c r="P435" s="130"/>
    </row>
    <row r="436" spans="1:16" x14ac:dyDescent="0.2">
      <c r="A436" s="49" t="str">
        <v>0:00</v>
      </c>
      <c r="B436" s="108"/>
      <c r="C436" s="130"/>
      <c r="D436" s="130"/>
      <c r="E436" s="130"/>
      <c r="F436" s="130"/>
      <c r="G436" s="130"/>
      <c r="H436" s="130"/>
      <c r="I436" s="130"/>
      <c r="J436" s="130"/>
      <c r="K436" s="130"/>
      <c r="L436" s="130"/>
      <c r="M436" s="130"/>
      <c r="N436" s="130"/>
      <c r="O436" s="130"/>
      <c r="P436" s="130"/>
    </row>
    <row r="437" spans="1:16" x14ac:dyDescent="0.2">
      <c r="A437" s="49" t="str">
        <v>0:00</v>
      </c>
      <c r="B437" s="108"/>
      <c r="C437" s="130"/>
      <c r="D437" s="130"/>
      <c r="E437" s="130"/>
      <c r="F437" s="130"/>
      <c r="G437" s="130"/>
      <c r="H437" s="130"/>
      <c r="I437" s="130"/>
      <c r="J437" s="130"/>
      <c r="K437" s="130"/>
      <c r="L437" s="130"/>
      <c r="M437" s="130"/>
      <c r="N437" s="130"/>
      <c r="O437" s="130"/>
      <c r="P437" s="130"/>
    </row>
    <row r="438" spans="1:16" x14ac:dyDescent="0.2">
      <c r="A438" s="49" t="str">
        <v>0:00</v>
      </c>
      <c r="B438" s="108"/>
      <c r="C438" s="130"/>
      <c r="D438" s="130"/>
      <c r="E438" s="130"/>
      <c r="F438" s="130"/>
      <c r="G438" s="130"/>
      <c r="H438" s="130"/>
      <c r="I438" s="130"/>
      <c r="J438" s="130"/>
      <c r="K438" s="130"/>
      <c r="L438" s="130"/>
      <c r="M438" s="130"/>
      <c r="N438" s="130"/>
      <c r="O438" s="130"/>
      <c r="P438" s="130"/>
    </row>
    <row r="439" spans="1:16" x14ac:dyDescent="0.2">
      <c r="A439" s="49" t="str">
        <v>0:00</v>
      </c>
      <c r="B439" s="108"/>
      <c r="C439" s="130"/>
      <c r="D439" s="130"/>
      <c r="E439" s="130"/>
      <c r="F439" s="130"/>
      <c r="G439" s="130"/>
      <c r="H439" s="130"/>
      <c r="I439" s="130"/>
      <c r="J439" s="130"/>
      <c r="K439" s="130"/>
      <c r="L439" s="130"/>
      <c r="M439" s="130"/>
      <c r="N439" s="130"/>
      <c r="O439" s="130"/>
      <c r="P439" s="130"/>
    </row>
    <row r="440" spans="1:16" x14ac:dyDescent="0.2">
      <c r="A440" s="49" t="str">
        <v>0:00</v>
      </c>
      <c r="B440" s="108"/>
      <c r="C440" s="130"/>
      <c r="D440" s="130"/>
      <c r="E440" s="130"/>
      <c r="F440" s="130"/>
      <c r="G440" s="130"/>
      <c r="H440" s="130"/>
      <c r="I440" s="130"/>
      <c r="J440" s="130"/>
      <c r="K440" s="130"/>
      <c r="L440" s="130"/>
      <c r="M440" s="130"/>
      <c r="N440" s="130"/>
      <c r="O440" s="130"/>
      <c r="P440" s="130"/>
    </row>
    <row r="441" spans="1:16" x14ac:dyDescent="0.2">
      <c r="A441" s="49" t="str">
        <v>0:00</v>
      </c>
      <c r="B441" s="108"/>
      <c r="C441" s="130"/>
      <c r="D441" s="130"/>
      <c r="E441" s="130"/>
      <c r="F441" s="130"/>
      <c r="G441" s="130"/>
      <c r="H441" s="130"/>
      <c r="I441" s="130"/>
      <c r="J441" s="130"/>
      <c r="K441" s="130"/>
      <c r="L441" s="130"/>
      <c r="M441" s="130"/>
      <c r="N441" s="130"/>
      <c r="O441" s="130"/>
      <c r="P441" s="130"/>
    </row>
    <row r="442" spans="1:16" x14ac:dyDescent="0.2">
      <c r="A442" s="49" t="str">
        <v>0:00</v>
      </c>
      <c r="B442" s="108"/>
      <c r="C442" s="130"/>
      <c r="D442" s="130"/>
      <c r="E442" s="130"/>
      <c r="F442" s="130"/>
      <c r="G442" s="130"/>
      <c r="H442" s="130"/>
      <c r="I442" s="130"/>
      <c r="J442" s="130"/>
      <c r="K442" s="130"/>
      <c r="L442" s="130"/>
      <c r="M442" s="130"/>
      <c r="N442" s="130"/>
      <c r="O442" s="130"/>
      <c r="P442" s="130"/>
    </row>
    <row r="443" spans="1:16" x14ac:dyDescent="0.2">
      <c r="A443" s="49" t="str">
        <v>0:00</v>
      </c>
      <c r="B443" s="108"/>
      <c r="C443" s="130"/>
      <c r="D443" s="130"/>
      <c r="E443" s="130"/>
      <c r="F443" s="130"/>
      <c r="G443" s="130"/>
      <c r="H443" s="130"/>
      <c r="I443" s="130"/>
      <c r="J443" s="130"/>
      <c r="K443" s="130"/>
      <c r="L443" s="130"/>
      <c r="M443" s="130"/>
      <c r="N443" s="130"/>
      <c r="O443" s="130"/>
      <c r="P443" s="130"/>
    </row>
    <row r="444" spans="1:16" x14ac:dyDescent="0.2">
      <c r="A444" s="49" t="str">
        <v>0:00</v>
      </c>
      <c r="B444" s="108"/>
      <c r="C444" s="130"/>
      <c r="D444" s="130"/>
      <c r="E444" s="130"/>
      <c r="F444" s="130"/>
      <c r="G444" s="130"/>
      <c r="H444" s="130"/>
      <c r="I444" s="130"/>
      <c r="J444" s="130"/>
      <c r="K444" s="130"/>
      <c r="L444" s="130"/>
      <c r="M444" s="130"/>
      <c r="N444" s="130"/>
      <c r="O444" s="130"/>
      <c r="P444" s="130"/>
    </row>
    <row r="445" spans="1:16" x14ac:dyDescent="0.2">
      <c r="A445" s="49" t="str">
        <v>0:00</v>
      </c>
      <c r="B445" s="108"/>
      <c r="C445" s="130"/>
      <c r="D445" s="130"/>
      <c r="E445" s="130"/>
      <c r="F445" s="130"/>
      <c r="G445" s="130"/>
      <c r="H445" s="130"/>
      <c r="I445" s="130"/>
      <c r="J445" s="130"/>
      <c r="K445" s="130"/>
      <c r="L445" s="130"/>
      <c r="M445" s="130"/>
      <c r="N445" s="130"/>
      <c r="O445" s="130"/>
      <c r="P445" s="130"/>
    </row>
    <row r="446" spans="1:16" x14ac:dyDescent="0.2">
      <c r="A446" s="49" t="str">
        <v>0:00</v>
      </c>
      <c r="B446" s="108"/>
      <c r="C446" s="130"/>
      <c r="D446" s="130"/>
      <c r="E446" s="130"/>
      <c r="F446" s="130"/>
      <c r="G446" s="130"/>
      <c r="H446" s="130"/>
      <c r="I446" s="130"/>
      <c r="J446" s="130"/>
      <c r="K446" s="130"/>
      <c r="L446" s="130"/>
      <c r="M446" s="130"/>
      <c r="N446" s="130"/>
      <c r="O446" s="130"/>
      <c r="P446" s="130"/>
    </row>
    <row r="447" spans="1:16" x14ac:dyDescent="0.2">
      <c r="A447" s="49" t="str">
        <v>0:00</v>
      </c>
      <c r="B447" s="108"/>
      <c r="C447" s="130"/>
      <c r="D447" s="130"/>
      <c r="E447" s="130"/>
      <c r="F447" s="130"/>
      <c r="G447" s="130"/>
      <c r="H447" s="130"/>
      <c r="I447" s="130"/>
      <c r="J447" s="130"/>
      <c r="K447" s="130"/>
      <c r="L447" s="130"/>
      <c r="M447" s="130"/>
      <c r="N447" s="130"/>
      <c r="O447" s="130"/>
      <c r="P447" s="130"/>
    </row>
    <row r="448" spans="1:16" x14ac:dyDescent="0.2">
      <c r="A448" s="49" t="str">
        <v>0:00</v>
      </c>
      <c r="B448" s="108"/>
      <c r="C448" s="130"/>
      <c r="D448" s="130"/>
      <c r="E448" s="130"/>
      <c r="F448" s="130"/>
      <c r="G448" s="130"/>
      <c r="H448" s="130"/>
      <c r="I448" s="130"/>
      <c r="J448" s="130"/>
      <c r="K448" s="130"/>
      <c r="L448" s="130"/>
      <c r="M448" s="130"/>
      <c r="N448" s="130"/>
      <c r="O448" s="130"/>
      <c r="P448" s="130"/>
    </row>
    <row r="449" spans="1:16" x14ac:dyDescent="0.2">
      <c r="A449" s="49" t="str">
        <v>0:00</v>
      </c>
      <c r="B449" s="108"/>
      <c r="C449" s="130"/>
      <c r="D449" s="130"/>
      <c r="E449" s="130"/>
      <c r="F449" s="130"/>
      <c r="G449" s="130"/>
      <c r="H449" s="130"/>
      <c r="I449" s="130"/>
      <c r="J449" s="130"/>
      <c r="K449" s="130"/>
      <c r="L449" s="130"/>
      <c r="M449" s="130"/>
      <c r="N449" s="130"/>
      <c r="O449" s="130"/>
      <c r="P449" s="130"/>
    </row>
    <row r="450" spans="1:16" x14ac:dyDescent="0.2">
      <c r="A450" s="49" t="str">
        <v>0:00</v>
      </c>
      <c r="B450" s="108"/>
      <c r="C450" s="130"/>
      <c r="D450" s="130"/>
      <c r="E450" s="130"/>
      <c r="F450" s="130"/>
      <c r="G450" s="130"/>
      <c r="H450" s="130"/>
      <c r="I450" s="130"/>
      <c r="J450" s="130"/>
      <c r="K450" s="130"/>
      <c r="L450" s="130"/>
      <c r="M450" s="130"/>
      <c r="N450" s="130"/>
      <c r="O450" s="130"/>
      <c r="P450" s="130"/>
    </row>
    <row r="451" spans="1:16" x14ac:dyDescent="0.2">
      <c r="A451" s="49" t="str">
        <v>0:00</v>
      </c>
      <c r="B451" s="108"/>
      <c r="C451" s="130"/>
      <c r="D451" s="130"/>
      <c r="E451" s="130"/>
      <c r="F451" s="130"/>
      <c r="G451" s="130"/>
      <c r="H451" s="130"/>
      <c r="I451" s="130"/>
      <c r="J451" s="130"/>
      <c r="K451" s="130"/>
      <c r="L451" s="130"/>
      <c r="M451" s="130"/>
      <c r="N451" s="130"/>
      <c r="O451" s="130"/>
      <c r="P451" s="130"/>
    </row>
    <row r="452" spans="1:16" x14ac:dyDescent="0.2">
      <c r="A452" s="49" t="str">
        <v>0:00</v>
      </c>
      <c r="B452" s="108"/>
      <c r="C452" s="130"/>
      <c r="D452" s="130"/>
      <c r="E452" s="130"/>
      <c r="F452" s="130"/>
      <c r="G452" s="130"/>
      <c r="H452" s="130"/>
      <c r="I452" s="130"/>
      <c r="J452" s="130"/>
      <c r="K452" s="130"/>
      <c r="L452" s="130"/>
      <c r="M452" s="130"/>
      <c r="N452" s="130"/>
      <c r="O452" s="130"/>
      <c r="P452" s="130"/>
    </row>
    <row r="453" spans="1:16" x14ac:dyDescent="0.2">
      <c r="A453" s="49" t="str">
        <v>0:00</v>
      </c>
      <c r="B453" s="108"/>
      <c r="C453" s="130"/>
      <c r="D453" s="130"/>
      <c r="E453" s="130"/>
      <c r="F453" s="130"/>
      <c r="G453" s="130"/>
      <c r="H453" s="130"/>
      <c r="I453" s="130"/>
      <c r="J453" s="130"/>
      <c r="K453" s="130"/>
      <c r="L453" s="130"/>
      <c r="M453" s="130"/>
      <c r="N453" s="130"/>
      <c r="O453" s="130"/>
      <c r="P453" s="130"/>
    </row>
    <row r="454" spans="1:16" x14ac:dyDescent="0.2">
      <c r="A454" s="49" t="str">
        <v>0:00</v>
      </c>
      <c r="B454" s="108"/>
      <c r="C454" s="130"/>
      <c r="D454" s="130"/>
      <c r="E454" s="130"/>
      <c r="F454" s="130"/>
      <c r="G454" s="130"/>
      <c r="H454" s="130"/>
      <c r="I454" s="130"/>
      <c r="J454" s="130"/>
      <c r="K454" s="130"/>
      <c r="L454" s="130"/>
      <c r="M454" s="130"/>
      <c r="N454" s="130"/>
      <c r="O454" s="130"/>
      <c r="P454" s="130"/>
    </row>
    <row r="455" spans="1:16" x14ac:dyDescent="0.2">
      <c r="A455" s="49" t="str">
        <v>0:00</v>
      </c>
      <c r="B455" s="108"/>
      <c r="C455" s="130"/>
      <c r="D455" s="130"/>
      <c r="E455" s="130"/>
      <c r="F455" s="130"/>
      <c r="G455" s="130"/>
      <c r="H455" s="130"/>
      <c r="I455" s="130"/>
      <c r="J455" s="130"/>
      <c r="K455" s="130"/>
      <c r="L455" s="130"/>
      <c r="M455" s="130"/>
      <c r="N455" s="130"/>
      <c r="O455" s="130"/>
      <c r="P455" s="130"/>
    </row>
    <row r="456" spans="1:16" x14ac:dyDescent="0.2">
      <c r="A456" s="49" t="str">
        <v>0:00</v>
      </c>
      <c r="B456" s="108"/>
      <c r="C456" s="130"/>
      <c r="D456" s="130"/>
      <c r="E456" s="130"/>
      <c r="F456" s="130"/>
      <c r="G456" s="130"/>
      <c r="H456" s="130"/>
      <c r="I456" s="130"/>
      <c r="J456" s="130"/>
      <c r="K456" s="130"/>
      <c r="L456" s="130"/>
      <c r="M456" s="130"/>
      <c r="N456" s="130"/>
      <c r="O456" s="130"/>
      <c r="P456" s="130"/>
    </row>
    <row r="457" spans="1:16" x14ac:dyDescent="0.2">
      <c r="A457" s="49" t="str">
        <v>0:00</v>
      </c>
      <c r="B457" s="108"/>
      <c r="C457" s="130"/>
      <c r="D457" s="130"/>
      <c r="E457" s="130"/>
      <c r="F457" s="130"/>
      <c r="G457" s="130"/>
      <c r="H457" s="130"/>
      <c r="I457" s="130"/>
      <c r="J457" s="130"/>
      <c r="K457" s="130"/>
      <c r="L457" s="130"/>
      <c r="M457" s="130"/>
      <c r="N457" s="130"/>
      <c r="O457" s="130"/>
      <c r="P457" s="130"/>
    </row>
    <row r="458" spans="1:16" x14ac:dyDescent="0.2">
      <c r="A458" s="49" t="str">
        <v>0:00</v>
      </c>
      <c r="B458" s="108"/>
      <c r="C458" s="130"/>
      <c r="D458" s="130"/>
      <c r="E458" s="130"/>
      <c r="F458" s="130"/>
      <c r="G458" s="130"/>
      <c r="H458" s="130"/>
      <c r="I458" s="130"/>
      <c r="J458" s="130"/>
      <c r="K458" s="130"/>
      <c r="L458" s="130"/>
      <c r="M458" s="130"/>
      <c r="N458" s="130"/>
      <c r="O458" s="130"/>
      <c r="P458" s="130"/>
    </row>
    <row r="459" spans="1:16" x14ac:dyDescent="0.2">
      <c r="A459" s="49" t="str">
        <v>0:00</v>
      </c>
      <c r="B459" s="108"/>
      <c r="C459" s="130"/>
      <c r="D459" s="130"/>
      <c r="E459" s="130"/>
      <c r="F459" s="130"/>
      <c r="G459" s="130"/>
      <c r="H459" s="130"/>
      <c r="I459" s="130"/>
      <c r="J459" s="130"/>
      <c r="K459" s="130"/>
      <c r="L459" s="130"/>
      <c r="M459" s="130"/>
      <c r="N459" s="130"/>
      <c r="O459" s="130"/>
      <c r="P459" s="130"/>
    </row>
    <row r="460" spans="1:16" x14ac:dyDescent="0.2">
      <c r="A460" s="49" t="str">
        <v>0:00</v>
      </c>
      <c r="B460" s="108"/>
      <c r="C460" s="130"/>
      <c r="D460" s="130"/>
      <c r="E460" s="130"/>
      <c r="F460" s="130"/>
      <c r="G460" s="130"/>
      <c r="H460" s="130"/>
      <c r="I460" s="130"/>
      <c r="J460" s="130"/>
      <c r="K460" s="130"/>
      <c r="L460" s="130"/>
      <c r="M460" s="130"/>
      <c r="N460" s="130"/>
      <c r="O460" s="130"/>
      <c r="P460" s="130"/>
    </row>
    <row r="461" spans="1:16" x14ac:dyDescent="0.2">
      <c r="A461" s="49" t="str">
        <v>0:00</v>
      </c>
      <c r="B461" s="108"/>
      <c r="C461" s="130"/>
      <c r="D461" s="130"/>
      <c r="E461" s="130"/>
      <c r="F461" s="130"/>
      <c r="G461" s="130"/>
      <c r="H461" s="130"/>
      <c r="I461" s="130"/>
      <c r="J461" s="130"/>
      <c r="K461" s="130"/>
      <c r="L461" s="130"/>
      <c r="M461" s="130"/>
      <c r="N461" s="130"/>
      <c r="O461" s="130"/>
      <c r="P461" s="130"/>
    </row>
    <row r="462" spans="1:16" x14ac:dyDescent="0.2">
      <c r="A462" s="49" t="str">
        <v>0:00</v>
      </c>
      <c r="B462" s="108"/>
      <c r="C462" s="130"/>
      <c r="D462" s="130"/>
      <c r="E462" s="130"/>
      <c r="F462" s="130"/>
      <c r="G462" s="130"/>
      <c r="H462" s="130"/>
      <c r="I462" s="130"/>
      <c r="J462" s="130"/>
      <c r="K462" s="130"/>
      <c r="L462" s="130"/>
      <c r="M462" s="130"/>
      <c r="N462" s="130"/>
      <c r="O462" s="130"/>
      <c r="P462" s="130"/>
    </row>
    <row r="463" spans="1:16" x14ac:dyDescent="0.2">
      <c r="A463" s="49" t="str">
        <v>0:00</v>
      </c>
      <c r="B463" s="108"/>
      <c r="C463" s="130"/>
      <c r="D463" s="130"/>
      <c r="E463" s="130"/>
      <c r="F463" s="130"/>
      <c r="G463" s="130"/>
      <c r="H463" s="130"/>
      <c r="I463" s="130"/>
      <c r="J463" s="130"/>
      <c r="K463" s="130"/>
      <c r="L463" s="130"/>
      <c r="M463" s="130"/>
      <c r="N463" s="130"/>
      <c r="O463" s="130"/>
      <c r="P463" s="130"/>
    </row>
    <row r="464" spans="1:16" x14ac:dyDescent="0.2">
      <c r="A464" s="49" t="str">
        <v>0:00</v>
      </c>
      <c r="B464" s="108"/>
      <c r="C464" s="130"/>
      <c r="D464" s="130"/>
      <c r="E464" s="130"/>
      <c r="F464" s="130"/>
      <c r="G464" s="130"/>
      <c r="H464" s="130"/>
      <c r="I464" s="130"/>
      <c r="J464" s="130"/>
      <c r="K464" s="130"/>
      <c r="L464" s="130"/>
      <c r="M464" s="130"/>
      <c r="N464" s="130"/>
      <c r="O464" s="130"/>
      <c r="P464" s="130"/>
    </row>
    <row r="465" spans="1:16" x14ac:dyDescent="0.2">
      <c r="A465" s="49" t="str">
        <v>0:00</v>
      </c>
      <c r="B465" s="108"/>
      <c r="C465" s="130"/>
      <c r="D465" s="130"/>
      <c r="E465" s="130"/>
      <c r="F465" s="130"/>
      <c r="G465" s="130"/>
      <c r="H465" s="130"/>
      <c r="I465" s="130"/>
      <c r="J465" s="130"/>
      <c r="K465" s="130"/>
      <c r="L465" s="130"/>
      <c r="M465" s="130"/>
      <c r="N465" s="130"/>
      <c r="O465" s="130"/>
      <c r="P465" s="130"/>
    </row>
    <row r="466" spans="1:16" x14ac:dyDescent="0.2">
      <c r="A466" s="49" t="str">
        <v>0:00</v>
      </c>
      <c r="B466" s="108"/>
      <c r="C466" s="130"/>
      <c r="D466" s="130"/>
      <c r="E466" s="130"/>
      <c r="F466" s="130"/>
      <c r="G466" s="130"/>
      <c r="H466" s="130"/>
      <c r="I466" s="130"/>
      <c r="J466" s="130"/>
      <c r="K466" s="130"/>
      <c r="L466" s="130"/>
      <c r="M466" s="130"/>
      <c r="N466" s="130"/>
      <c r="O466" s="130"/>
      <c r="P466" s="130"/>
    </row>
    <row r="467" spans="1:16" x14ac:dyDescent="0.2">
      <c r="A467" s="49" t="str">
        <v>0:00</v>
      </c>
      <c r="B467" s="108"/>
      <c r="C467" s="130"/>
      <c r="D467" s="130"/>
      <c r="E467" s="130"/>
      <c r="F467" s="130"/>
      <c r="G467" s="130"/>
      <c r="H467" s="130"/>
      <c r="I467" s="130"/>
      <c r="J467" s="130"/>
      <c r="K467" s="130"/>
      <c r="L467" s="130"/>
      <c r="M467" s="130"/>
      <c r="N467" s="130"/>
      <c r="O467" s="130"/>
      <c r="P467" s="130"/>
    </row>
    <row r="468" spans="1:16" x14ac:dyDescent="0.2">
      <c r="A468" s="49" t="str">
        <v>0:00</v>
      </c>
      <c r="B468" s="108"/>
      <c r="C468" s="130"/>
      <c r="D468" s="130"/>
      <c r="E468" s="130"/>
      <c r="F468" s="130"/>
      <c r="G468" s="130"/>
      <c r="H468" s="130"/>
      <c r="I468" s="130"/>
      <c r="J468" s="130"/>
      <c r="K468" s="130"/>
      <c r="L468" s="130"/>
      <c r="M468" s="130"/>
      <c r="N468" s="130"/>
      <c r="O468" s="130"/>
      <c r="P468" s="130"/>
    </row>
    <row r="469" spans="1:16" x14ac:dyDescent="0.2">
      <c r="A469" s="49" t="str">
        <v>0:00</v>
      </c>
      <c r="B469" s="108"/>
      <c r="C469" s="130"/>
      <c r="D469" s="130"/>
      <c r="E469" s="130"/>
      <c r="F469" s="130"/>
      <c r="G469" s="130"/>
      <c r="H469" s="130"/>
      <c r="I469" s="130"/>
      <c r="J469" s="130"/>
      <c r="K469" s="130"/>
      <c r="L469" s="130"/>
      <c r="M469" s="130"/>
      <c r="N469" s="130"/>
      <c r="O469" s="130"/>
      <c r="P469" s="130"/>
    </row>
    <row r="470" spans="1:16" x14ac:dyDescent="0.2">
      <c r="A470" s="49" t="str">
        <v>0:00</v>
      </c>
      <c r="B470" s="108"/>
      <c r="C470" s="130"/>
      <c r="D470" s="130"/>
      <c r="E470" s="130"/>
      <c r="F470" s="130"/>
      <c r="G470" s="130"/>
      <c r="H470" s="130"/>
      <c r="I470" s="130"/>
      <c r="J470" s="130"/>
      <c r="K470" s="130"/>
      <c r="L470" s="130"/>
      <c r="M470" s="130"/>
      <c r="N470" s="130"/>
      <c r="O470" s="130"/>
      <c r="P470" s="130"/>
    </row>
    <row r="471" spans="1:16" x14ac:dyDescent="0.2">
      <c r="A471" s="49" t="str">
        <v>0:00</v>
      </c>
      <c r="B471" s="108"/>
      <c r="C471" s="130"/>
      <c r="D471" s="130"/>
      <c r="E471" s="130"/>
      <c r="F471" s="130"/>
      <c r="G471" s="130"/>
      <c r="H471" s="130"/>
      <c r="I471" s="130"/>
      <c r="J471" s="130"/>
      <c r="K471" s="130"/>
      <c r="L471" s="130"/>
      <c r="M471" s="130"/>
      <c r="N471" s="130"/>
      <c r="O471" s="130"/>
      <c r="P471" s="130"/>
    </row>
    <row r="472" spans="1:16" x14ac:dyDescent="0.2">
      <c r="A472" s="49" t="str">
        <v>0:00</v>
      </c>
      <c r="B472" s="108"/>
      <c r="C472" s="130"/>
      <c r="D472" s="130"/>
      <c r="E472" s="130"/>
      <c r="F472" s="130"/>
      <c r="G472" s="130"/>
      <c r="H472" s="130"/>
      <c r="I472" s="130"/>
      <c r="J472" s="130"/>
      <c r="K472" s="130"/>
      <c r="L472" s="130"/>
      <c r="M472" s="130"/>
      <c r="N472" s="130"/>
      <c r="O472" s="130"/>
      <c r="P472" s="130"/>
    </row>
    <row r="473" spans="1:16" x14ac:dyDescent="0.2">
      <c r="A473" s="49" t="str">
        <v>0:00</v>
      </c>
      <c r="B473" s="108"/>
      <c r="C473" s="130"/>
      <c r="D473" s="130"/>
      <c r="E473" s="130"/>
      <c r="F473" s="130"/>
      <c r="G473" s="130"/>
      <c r="H473" s="130"/>
      <c r="I473" s="130"/>
      <c r="J473" s="130"/>
      <c r="K473" s="130"/>
      <c r="L473" s="130"/>
      <c r="M473" s="130"/>
      <c r="N473" s="130"/>
      <c r="O473" s="130"/>
      <c r="P473" s="130"/>
    </row>
    <row r="474" spans="1:16" x14ac:dyDescent="0.2">
      <c r="A474" s="49" t="str">
        <v>0:00</v>
      </c>
      <c r="B474" s="108"/>
      <c r="C474" s="130"/>
      <c r="D474" s="130"/>
      <c r="E474" s="130"/>
      <c r="F474" s="130"/>
      <c r="G474" s="130"/>
      <c r="H474" s="130"/>
      <c r="I474" s="130"/>
      <c r="J474" s="130"/>
      <c r="K474" s="130"/>
      <c r="L474" s="130"/>
      <c r="M474" s="130"/>
      <c r="N474" s="130"/>
      <c r="O474" s="130"/>
      <c r="P474" s="130"/>
    </row>
    <row r="475" spans="1:16" x14ac:dyDescent="0.2">
      <c r="A475" s="49" t="str">
        <v>0:00</v>
      </c>
      <c r="B475" s="108"/>
      <c r="C475" s="130"/>
      <c r="D475" s="130"/>
      <c r="E475" s="130"/>
      <c r="F475" s="130"/>
      <c r="G475" s="130"/>
      <c r="H475" s="130"/>
      <c r="I475" s="130"/>
      <c r="J475" s="130"/>
      <c r="K475" s="130"/>
      <c r="L475" s="130"/>
      <c r="M475" s="130"/>
      <c r="N475" s="130"/>
      <c r="O475" s="130"/>
      <c r="P475" s="130"/>
    </row>
    <row r="476" spans="1:16" x14ac:dyDescent="0.2">
      <c r="A476" s="49" t="str">
        <v>0:00</v>
      </c>
      <c r="B476" s="108"/>
      <c r="C476" s="130"/>
      <c r="D476" s="130"/>
      <c r="E476" s="130"/>
      <c r="F476" s="130"/>
      <c r="G476" s="130"/>
      <c r="H476" s="130"/>
      <c r="I476" s="130"/>
      <c r="J476" s="130"/>
      <c r="K476" s="130"/>
      <c r="L476" s="130"/>
      <c r="M476" s="130"/>
      <c r="N476" s="130"/>
      <c r="O476" s="130"/>
      <c r="P476" s="130"/>
    </row>
    <row r="477" spans="1:16" x14ac:dyDescent="0.2">
      <c r="A477" s="49" t="str">
        <v>0:00</v>
      </c>
      <c r="B477" s="108"/>
      <c r="C477" s="130"/>
      <c r="D477" s="130"/>
      <c r="E477" s="130"/>
      <c r="F477" s="130"/>
      <c r="G477" s="130"/>
      <c r="H477" s="130"/>
      <c r="I477" s="130"/>
      <c r="J477" s="130"/>
      <c r="K477" s="130"/>
      <c r="L477" s="130"/>
      <c r="M477" s="130"/>
      <c r="N477" s="130"/>
      <c r="O477" s="130"/>
      <c r="P477" s="130"/>
    </row>
    <row r="478" spans="1:16" x14ac:dyDescent="0.2">
      <c r="A478" s="49" t="str">
        <v>0:00</v>
      </c>
      <c r="B478" s="108"/>
      <c r="C478" s="130"/>
      <c r="D478" s="130"/>
      <c r="E478" s="130"/>
      <c r="F478" s="130"/>
      <c r="G478" s="130"/>
      <c r="H478" s="130"/>
      <c r="I478" s="130"/>
      <c r="J478" s="130"/>
      <c r="K478" s="130"/>
      <c r="L478" s="130"/>
      <c r="M478" s="130"/>
      <c r="N478" s="130"/>
      <c r="O478" s="130"/>
      <c r="P478" s="130"/>
    </row>
    <row r="479" spans="1:16" x14ac:dyDescent="0.2">
      <c r="A479" s="49" t="str">
        <v>0:00</v>
      </c>
      <c r="B479" s="108"/>
      <c r="C479" s="130"/>
      <c r="D479" s="130"/>
      <c r="E479" s="130"/>
      <c r="F479" s="130"/>
      <c r="G479" s="130"/>
      <c r="H479" s="130"/>
      <c r="I479" s="130"/>
      <c r="J479" s="130"/>
      <c r="K479" s="130"/>
      <c r="L479" s="130"/>
      <c r="M479" s="130"/>
      <c r="N479" s="130"/>
      <c r="O479" s="130"/>
      <c r="P479" s="130"/>
    </row>
    <row r="480" spans="1:16" x14ac:dyDescent="0.2">
      <c r="A480" s="49" t="str">
        <v>0:00</v>
      </c>
      <c r="B480" s="108"/>
      <c r="C480" s="130"/>
      <c r="D480" s="130"/>
      <c r="E480" s="130"/>
      <c r="F480" s="130"/>
      <c r="G480" s="130"/>
      <c r="H480" s="130"/>
      <c r="I480" s="130"/>
      <c r="J480" s="130"/>
      <c r="K480" s="130"/>
      <c r="L480" s="130"/>
      <c r="M480" s="130"/>
      <c r="N480" s="130"/>
      <c r="O480" s="130"/>
      <c r="P480" s="130"/>
    </row>
    <row r="481" spans="1:16" x14ac:dyDescent="0.2">
      <c r="A481" s="49" t="str">
        <v>0:00</v>
      </c>
      <c r="B481" s="108"/>
      <c r="C481" s="130"/>
      <c r="D481" s="130"/>
      <c r="E481" s="130"/>
      <c r="F481" s="130"/>
      <c r="G481" s="130"/>
      <c r="H481" s="130"/>
      <c r="I481" s="130"/>
      <c r="J481" s="130"/>
      <c r="K481" s="130"/>
      <c r="L481" s="130"/>
      <c r="M481" s="130"/>
      <c r="N481" s="130"/>
      <c r="O481" s="130"/>
      <c r="P481" s="130"/>
    </row>
    <row r="482" spans="1:16" x14ac:dyDescent="0.2">
      <c r="A482" s="49" t="str">
        <v>0:00</v>
      </c>
      <c r="B482" s="108"/>
      <c r="C482" s="130"/>
      <c r="D482" s="130"/>
      <c r="E482" s="130"/>
      <c r="F482" s="130"/>
      <c r="G482" s="130"/>
      <c r="H482" s="130"/>
      <c r="I482" s="130"/>
      <c r="J482" s="130"/>
      <c r="K482" s="130"/>
      <c r="L482" s="130"/>
      <c r="M482" s="130"/>
      <c r="N482" s="130"/>
      <c r="O482" s="130"/>
      <c r="P482" s="130"/>
    </row>
    <row r="483" spans="1:16" x14ac:dyDescent="0.2">
      <c r="A483" s="49" t="str">
        <v>0:00</v>
      </c>
      <c r="B483" s="108"/>
      <c r="C483" s="130"/>
      <c r="D483" s="130"/>
      <c r="E483" s="130"/>
      <c r="F483" s="130"/>
      <c r="G483" s="130"/>
      <c r="H483" s="130"/>
      <c r="I483" s="130"/>
      <c r="J483" s="130"/>
      <c r="K483" s="130"/>
      <c r="L483" s="130"/>
      <c r="M483" s="130"/>
      <c r="N483" s="130"/>
      <c r="O483" s="130"/>
      <c r="P483" s="130"/>
    </row>
    <row r="484" spans="1:16" x14ac:dyDescent="0.2">
      <c r="A484" s="49" t="str">
        <v>0:00</v>
      </c>
      <c r="B484" s="108"/>
      <c r="C484" s="130"/>
      <c r="D484" s="130"/>
      <c r="E484" s="130"/>
      <c r="F484" s="130"/>
      <c r="G484" s="130"/>
      <c r="H484" s="130"/>
      <c r="I484" s="130"/>
      <c r="J484" s="130"/>
      <c r="K484" s="130"/>
      <c r="L484" s="130"/>
      <c r="M484" s="130"/>
      <c r="N484" s="130"/>
      <c r="O484" s="130"/>
      <c r="P484" s="130"/>
    </row>
    <row r="485" spans="1:16" x14ac:dyDescent="0.2">
      <c r="A485" s="49" t="str">
        <v>0:00</v>
      </c>
      <c r="B485" s="108"/>
      <c r="C485" s="130"/>
      <c r="D485" s="130"/>
      <c r="E485" s="130"/>
      <c r="F485" s="130"/>
      <c r="G485" s="130"/>
      <c r="H485" s="130"/>
      <c r="I485" s="130"/>
      <c r="J485" s="130"/>
      <c r="K485" s="130"/>
      <c r="L485" s="130"/>
      <c r="M485" s="130"/>
      <c r="N485" s="130"/>
      <c r="O485" s="130"/>
      <c r="P485" s="130"/>
    </row>
    <row r="486" spans="1:16" x14ac:dyDescent="0.2">
      <c r="A486" s="49" t="str">
        <v>0:00</v>
      </c>
      <c r="B486" s="108"/>
      <c r="C486" s="130"/>
      <c r="D486" s="130"/>
      <c r="E486" s="130"/>
      <c r="F486" s="130"/>
      <c r="G486" s="130"/>
      <c r="H486" s="130"/>
      <c r="I486" s="130"/>
      <c r="J486" s="130"/>
      <c r="K486" s="130"/>
      <c r="L486" s="130"/>
      <c r="M486" s="130"/>
      <c r="N486" s="130"/>
      <c r="O486" s="130"/>
      <c r="P486" s="130"/>
    </row>
    <row r="487" spans="1:16" x14ac:dyDescent="0.2">
      <c r="A487" s="49" t="str">
        <v>0:00</v>
      </c>
      <c r="B487" s="108"/>
      <c r="C487" s="130"/>
      <c r="D487" s="130"/>
      <c r="E487" s="130"/>
      <c r="F487" s="130"/>
      <c r="G487" s="130"/>
      <c r="H487" s="130"/>
      <c r="I487" s="130"/>
      <c r="J487" s="130"/>
      <c r="K487" s="130"/>
      <c r="L487" s="130"/>
      <c r="M487" s="130"/>
      <c r="N487" s="130"/>
      <c r="O487" s="130"/>
      <c r="P487" s="130"/>
    </row>
    <row r="488" spans="1:16" x14ac:dyDescent="0.2">
      <c r="A488" s="49" t="str">
        <v>0:00</v>
      </c>
      <c r="B488" s="108"/>
      <c r="C488" s="130"/>
      <c r="D488" s="130"/>
      <c r="E488" s="130"/>
      <c r="F488" s="130"/>
      <c r="G488" s="130"/>
      <c r="H488" s="130"/>
      <c r="I488" s="130"/>
      <c r="J488" s="130"/>
      <c r="K488" s="130"/>
      <c r="L488" s="130"/>
      <c r="M488" s="130"/>
      <c r="N488" s="130"/>
      <c r="O488" s="130"/>
      <c r="P488" s="130"/>
    </row>
    <row r="489" spans="1:16" x14ac:dyDescent="0.2">
      <c r="A489" s="49" t="str">
        <v>0:00</v>
      </c>
      <c r="B489" s="108"/>
      <c r="C489" s="130"/>
      <c r="D489" s="130"/>
      <c r="E489" s="130"/>
      <c r="F489" s="130"/>
      <c r="G489" s="130"/>
      <c r="H489" s="130"/>
      <c r="I489" s="130"/>
      <c r="J489" s="130"/>
      <c r="K489" s="130"/>
      <c r="L489" s="130"/>
      <c r="M489" s="130"/>
      <c r="N489" s="130"/>
      <c r="O489" s="130"/>
      <c r="P489" s="130"/>
    </row>
    <row r="490" spans="1:16" x14ac:dyDescent="0.2">
      <c r="A490" s="49" t="str">
        <v>0:00</v>
      </c>
      <c r="B490" s="108"/>
      <c r="C490" s="130"/>
      <c r="D490" s="130"/>
      <c r="E490" s="130"/>
      <c r="F490" s="130"/>
      <c r="G490" s="130"/>
      <c r="H490" s="130"/>
      <c r="I490" s="130"/>
      <c r="J490" s="130"/>
      <c r="K490" s="130"/>
      <c r="L490" s="130"/>
      <c r="M490" s="130"/>
      <c r="N490" s="130"/>
      <c r="O490" s="130"/>
      <c r="P490" s="130"/>
    </row>
    <row r="491" spans="1:16" x14ac:dyDescent="0.2">
      <c r="A491" s="49" t="str">
        <v>0:00</v>
      </c>
      <c r="B491" s="108"/>
      <c r="C491" s="130"/>
      <c r="D491" s="130"/>
      <c r="E491" s="130"/>
      <c r="F491" s="130"/>
      <c r="G491" s="130"/>
      <c r="H491" s="130"/>
      <c r="I491" s="130"/>
      <c r="J491" s="130"/>
      <c r="K491" s="130"/>
      <c r="L491" s="130"/>
      <c r="M491" s="130"/>
      <c r="N491" s="130"/>
      <c r="O491" s="130"/>
      <c r="P491" s="130"/>
    </row>
    <row r="492" spans="1:16" x14ac:dyDescent="0.2">
      <c r="A492" s="49" t="str">
        <v>0:00</v>
      </c>
      <c r="B492" s="108"/>
      <c r="C492" s="130"/>
      <c r="D492" s="130"/>
      <c r="E492" s="130"/>
      <c r="F492" s="130"/>
      <c r="G492" s="130"/>
      <c r="H492" s="130"/>
      <c r="I492" s="130"/>
      <c r="J492" s="130"/>
      <c r="K492" s="130"/>
      <c r="L492" s="130"/>
      <c r="M492" s="130"/>
      <c r="N492" s="130"/>
      <c r="O492" s="130"/>
      <c r="P492" s="130"/>
    </row>
    <row r="493" spans="1:16" x14ac:dyDescent="0.2">
      <c r="A493" s="49" t="str">
        <v>0:00</v>
      </c>
      <c r="B493" s="108"/>
      <c r="C493" s="130"/>
      <c r="D493" s="130"/>
      <c r="E493" s="130"/>
      <c r="F493" s="130"/>
      <c r="G493" s="130"/>
      <c r="H493" s="130"/>
      <c r="I493" s="130"/>
      <c r="J493" s="130"/>
      <c r="K493" s="130"/>
      <c r="L493" s="130"/>
      <c r="M493" s="130"/>
      <c r="N493" s="130"/>
      <c r="O493" s="130"/>
      <c r="P493" s="130"/>
    </row>
    <row r="494" spans="1:16" x14ac:dyDescent="0.2">
      <c r="A494" s="49" t="str">
        <v>0:00</v>
      </c>
      <c r="B494" s="108"/>
      <c r="C494" s="130"/>
      <c r="D494" s="130"/>
      <c r="E494" s="130"/>
      <c r="F494" s="130"/>
      <c r="G494" s="130"/>
      <c r="H494" s="130"/>
      <c r="I494" s="130"/>
      <c r="J494" s="130"/>
      <c r="K494" s="130"/>
      <c r="L494" s="130"/>
      <c r="M494" s="130"/>
      <c r="N494" s="130"/>
      <c r="O494" s="130"/>
      <c r="P494" s="130"/>
    </row>
    <row r="495" spans="1:16" x14ac:dyDescent="0.2">
      <c r="A495" s="49" t="str">
        <v>0:00</v>
      </c>
      <c r="B495" s="108"/>
      <c r="C495" s="130"/>
      <c r="D495" s="130"/>
      <c r="E495" s="130"/>
      <c r="F495" s="130"/>
      <c r="G495" s="130"/>
      <c r="H495" s="130"/>
      <c r="I495" s="130"/>
      <c r="J495" s="130"/>
      <c r="K495" s="130"/>
      <c r="L495" s="130"/>
      <c r="M495" s="130"/>
      <c r="N495" s="130"/>
      <c r="O495" s="130"/>
      <c r="P495" s="130"/>
    </row>
    <row r="496" spans="1:16" x14ac:dyDescent="0.2">
      <c r="A496" s="49" t="str">
        <v>0:00</v>
      </c>
      <c r="B496" s="108"/>
      <c r="C496" s="130"/>
      <c r="D496" s="130"/>
      <c r="E496" s="130"/>
      <c r="F496" s="130"/>
      <c r="G496" s="130"/>
      <c r="H496" s="130"/>
      <c r="I496" s="130"/>
      <c r="J496" s="130"/>
      <c r="K496" s="130"/>
      <c r="L496" s="130"/>
      <c r="M496" s="130"/>
      <c r="N496" s="130"/>
      <c r="O496" s="130"/>
      <c r="P496" s="130"/>
    </row>
    <row r="497" spans="1:16" x14ac:dyDescent="0.2">
      <c r="A497" s="49" t="str">
        <v>0:00</v>
      </c>
      <c r="B497" s="108"/>
      <c r="C497" s="130"/>
      <c r="D497" s="130"/>
      <c r="E497" s="130"/>
      <c r="F497" s="130"/>
      <c r="G497" s="130"/>
      <c r="H497" s="130"/>
      <c r="I497" s="130"/>
      <c r="J497" s="130"/>
      <c r="K497" s="130"/>
      <c r="L497" s="130"/>
      <c r="M497" s="130"/>
      <c r="N497" s="130"/>
      <c r="O497" s="130"/>
      <c r="P497" s="130"/>
    </row>
    <row r="498" spans="1:16" x14ac:dyDescent="0.2">
      <c r="A498" s="49" t="str">
        <v>0:00</v>
      </c>
      <c r="B498" s="108"/>
      <c r="C498" s="130"/>
      <c r="D498" s="130"/>
      <c r="E498" s="130"/>
      <c r="F498" s="130"/>
      <c r="G498" s="130"/>
      <c r="H498" s="130"/>
      <c r="I498" s="130"/>
      <c r="J498" s="130"/>
      <c r="K498" s="130"/>
      <c r="L498" s="130"/>
      <c r="M498" s="130"/>
      <c r="N498" s="130"/>
      <c r="O498" s="130"/>
      <c r="P498" s="130"/>
    </row>
    <row r="499" spans="1:16" x14ac:dyDescent="0.2">
      <c r="A499" s="49" t="str">
        <v>0:00</v>
      </c>
      <c r="B499" s="108"/>
      <c r="C499" s="130"/>
      <c r="D499" s="130"/>
      <c r="E499" s="130"/>
      <c r="F499" s="130"/>
      <c r="G499" s="130"/>
      <c r="H499" s="130"/>
      <c r="I499" s="130"/>
      <c r="J499" s="130"/>
      <c r="K499" s="130"/>
      <c r="L499" s="130"/>
      <c r="M499" s="130"/>
      <c r="N499" s="130"/>
      <c r="O499" s="130"/>
      <c r="P499" s="130"/>
    </row>
    <row r="500" spans="1:16" x14ac:dyDescent="0.2">
      <c r="A500" s="49" t="str">
        <v>0:00</v>
      </c>
      <c r="B500" s="108"/>
      <c r="C500" s="130"/>
      <c r="D500" s="130"/>
      <c r="E500" s="130"/>
      <c r="F500" s="130"/>
      <c r="G500" s="130"/>
      <c r="H500" s="130"/>
      <c r="I500" s="130"/>
      <c r="J500" s="130"/>
      <c r="K500" s="130"/>
      <c r="L500" s="130"/>
      <c r="M500" s="130"/>
      <c r="N500" s="130"/>
      <c r="O500" s="130"/>
      <c r="P500" s="130"/>
    </row>
    <row r="501" spans="1:16" x14ac:dyDescent="0.2">
      <c r="A501" s="49" t="str">
        <v>0:00</v>
      </c>
      <c r="B501" s="108"/>
      <c r="C501" s="130"/>
      <c r="D501" s="130"/>
      <c r="E501" s="130"/>
      <c r="F501" s="130"/>
      <c r="G501" s="130"/>
      <c r="H501" s="130"/>
      <c r="I501" s="130"/>
      <c r="J501" s="130"/>
      <c r="K501" s="130"/>
      <c r="L501" s="130"/>
      <c r="M501" s="130"/>
      <c r="N501" s="130"/>
      <c r="O501" s="130"/>
      <c r="P501" s="130"/>
    </row>
    <row r="502" spans="1:16" x14ac:dyDescent="0.2">
      <c r="A502" s="49" t="str">
        <v>0:00</v>
      </c>
      <c r="B502" s="108"/>
      <c r="C502" s="130"/>
      <c r="D502" s="130"/>
      <c r="E502" s="130"/>
      <c r="F502" s="130"/>
      <c r="G502" s="130"/>
      <c r="H502" s="130"/>
      <c r="I502" s="130"/>
      <c r="J502" s="130"/>
      <c r="K502" s="130"/>
      <c r="L502" s="130"/>
      <c r="M502" s="130"/>
      <c r="N502" s="130"/>
      <c r="O502" s="130"/>
      <c r="P502" s="130"/>
    </row>
    <row r="503" spans="1:16" x14ac:dyDescent="0.2">
      <c r="A503" s="49" t="str">
        <v>0:00</v>
      </c>
      <c r="B503" s="108"/>
      <c r="C503" s="130"/>
      <c r="D503" s="130"/>
      <c r="E503" s="130"/>
      <c r="F503" s="130"/>
      <c r="G503" s="130"/>
      <c r="H503" s="130"/>
      <c r="I503" s="130"/>
      <c r="J503" s="130"/>
      <c r="K503" s="130"/>
      <c r="L503" s="130"/>
      <c r="M503" s="130"/>
      <c r="N503" s="130"/>
      <c r="O503" s="130"/>
      <c r="P503" s="130"/>
    </row>
    <row r="504" spans="1:16" x14ac:dyDescent="0.2">
      <c r="A504" s="49" t="str">
        <v>0:00</v>
      </c>
      <c r="B504" s="108"/>
      <c r="C504" s="130"/>
      <c r="D504" s="130"/>
      <c r="E504" s="130"/>
      <c r="F504" s="130"/>
      <c r="G504" s="130"/>
      <c r="H504" s="130"/>
      <c r="I504" s="130"/>
      <c r="J504" s="130"/>
      <c r="K504" s="130"/>
      <c r="L504" s="130"/>
      <c r="M504" s="130"/>
      <c r="N504" s="130"/>
      <c r="O504" s="130"/>
      <c r="P504" s="130"/>
    </row>
    <row r="505" spans="1:16" x14ac:dyDescent="0.2">
      <c r="A505" s="49" t="str">
        <v>0:00</v>
      </c>
      <c r="B505" s="108"/>
      <c r="C505" s="130"/>
      <c r="D505" s="130"/>
      <c r="E505" s="130"/>
      <c r="F505" s="130"/>
      <c r="G505" s="130"/>
      <c r="H505" s="130"/>
      <c r="I505" s="130"/>
      <c r="J505" s="130"/>
      <c r="K505" s="130"/>
      <c r="L505" s="130"/>
      <c r="M505" s="130"/>
      <c r="N505" s="130"/>
      <c r="O505" s="130"/>
      <c r="P505" s="130"/>
    </row>
    <row r="506" spans="1:16" x14ac:dyDescent="0.2">
      <c r="A506" s="49" t="str">
        <v>0:00</v>
      </c>
      <c r="B506" s="108"/>
      <c r="C506" s="130"/>
      <c r="D506" s="130"/>
      <c r="E506" s="130"/>
      <c r="F506" s="130"/>
      <c r="G506" s="130"/>
      <c r="H506" s="130"/>
      <c r="I506" s="130"/>
      <c r="J506" s="130"/>
      <c r="K506" s="130"/>
      <c r="L506" s="130"/>
      <c r="M506" s="130"/>
      <c r="N506" s="130"/>
      <c r="O506" s="130"/>
      <c r="P506" s="130"/>
    </row>
    <row r="507" spans="1:16" x14ac:dyDescent="0.2">
      <c r="A507" s="49" t="str">
        <v>0:00</v>
      </c>
      <c r="B507" s="108"/>
      <c r="C507" s="130"/>
      <c r="D507" s="130"/>
      <c r="E507" s="130"/>
      <c r="F507" s="130"/>
      <c r="G507" s="130"/>
      <c r="H507" s="130"/>
      <c r="I507" s="130"/>
      <c r="J507" s="130"/>
      <c r="K507" s="130"/>
      <c r="L507" s="130"/>
      <c r="M507" s="130"/>
      <c r="N507" s="130"/>
      <c r="O507" s="130"/>
      <c r="P507" s="130"/>
    </row>
    <row r="508" spans="1:16" x14ac:dyDescent="0.2">
      <c r="A508" s="49" t="str">
        <v>0:00</v>
      </c>
      <c r="B508" s="108"/>
      <c r="C508" s="130"/>
      <c r="D508" s="130"/>
      <c r="E508" s="130"/>
      <c r="F508" s="130"/>
      <c r="G508" s="130"/>
      <c r="H508" s="130"/>
      <c r="I508" s="130"/>
      <c r="J508" s="130"/>
      <c r="K508" s="130"/>
      <c r="L508" s="130"/>
      <c r="M508" s="130"/>
      <c r="N508" s="130"/>
      <c r="O508" s="130"/>
      <c r="P508" s="130"/>
    </row>
    <row r="509" spans="1:16" x14ac:dyDescent="0.2">
      <c r="A509" s="49" t="str">
        <v>0:00</v>
      </c>
      <c r="B509" s="108"/>
      <c r="C509" s="130"/>
      <c r="D509" s="130"/>
      <c r="E509" s="130"/>
      <c r="F509" s="130"/>
      <c r="G509" s="130"/>
      <c r="H509" s="130"/>
      <c r="I509" s="130"/>
      <c r="J509" s="130"/>
      <c r="K509" s="130"/>
      <c r="L509" s="130"/>
      <c r="M509" s="130"/>
      <c r="N509" s="130"/>
      <c r="O509" s="130"/>
      <c r="P509" s="130"/>
    </row>
    <row r="510" spans="1:16" x14ac:dyDescent="0.2">
      <c r="A510" s="49" t="str">
        <v>0:00</v>
      </c>
      <c r="B510" s="108"/>
      <c r="C510" s="130"/>
      <c r="D510" s="130"/>
      <c r="E510" s="130"/>
      <c r="F510" s="130"/>
      <c r="G510" s="130"/>
      <c r="H510" s="130"/>
      <c r="I510" s="130"/>
      <c r="J510" s="130"/>
      <c r="K510" s="130"/>
      <c r="L510" s="130"/>
      <c r="M510" s="130"/>
      <c r="N510" s="130"/>
      <c r="O510" s="130"/>
      <c r="P510" s="130"/>
    </row>
    <row r="511" spans="1:16" x14ac:dyDescent="0.2">
      <c r="A511" s="49" t="str">
        <v>0:00</v>
      </c>
      <c r="B511" s="108"/>
      <c r="C511" s="130"/>
      <c r="D511" s="130"/>
      <c r="E511" s="130"/>
      <c r="F511" s="130"/>
      <c r="G511" s="130"/>
      <c r="H511" s="130"/>
      <c r="I511" s="130"/>
      <c r="J511" s="130"/>
      <c r="K511" s="130"/>
      <c r="L511" s="130"/>
      <c r="M511" s="130"/>
      <c r="N511" s="130"/>
      <c r="O511" s="130"/>
      <c r="P511" s="130"/>
    </row>
    <row r="512" spans="1:16" x14ac:dyDescent="0.2">
      <c r="A512" s="49" t="str">
        <v>0:00</v>
      </c>
      <c r="B512" s="108"/>
      <c r="C512" s="130"/>
      <c r="D512" s="130"/>
      <c r="E512" s="130"/>
      <c r="F512" s="130"/>
      <c r="G512" s="130"/>
      <c r="H512" s="130"/>
      <c r="I512" s="130"/>
      <c r="J512" s="130"/>
      <c r="K512" s="130"/>
      <c r="L512" s="130"/>
      <c r="M512" s="130"/>
      <c r="N512" s="130"/>
      <c r="O512" s="130"/>
      <c r="P512" s="130"/>
    </row>
    <row r="513" spans="1:16" x14ac:dyDescent="0.2">
      <c r="A513" s="49" t="str">
        <v>0:00</v>
      </c>
      <c r="B513" s="108"/>
      <c r="C513" s="130"/>
      <c r="D513" s="130"/>
      <c r="E513" s="130"/>
      <c r="F513" s="130"/>
      <c r="G513" s="130"/>
      <c r="H513" s="130"/>
      <c r="I513" s="130"/>
      <c r="J513" s="130"/>
      <c r="K513" s="130"/>
      <c r="L513" s="130"/>
      <c r="M513" s="130"/>
      <c r="N513" s="130"/>
      <c r="O513" s="130"/>
      <c r="P513" s="130"/>
    </row>
    <row r="514" spans="1:16" x14ac:dyDescent="0.2">
      <c r="A514" s="49" t="str">
        <v>0:00</v>
      </c>
      <c r="B514" s="108"/>
      <c r="C514" s="130"/>
      <c r="D514" s="130"/>
      <c r="E514" s="130"/>
      <c r="F514" s="130"/>
      <c r="G514" s="130"/>
      <c r="H514" s="130"/>
      <c r="I514" s="130"/>
      <c r="J514" s="130"/>
      <c r="K514" s="130"/>
      <c r="L514" s="130"/>
      <c r="M514" s="130"/>
      <c r="N514" s="130"/>
      <c r="O514" s="130"/>
      <c r="P514" s="130"/>
    </row>
    <row r="515" spans="1:16" x14ac:dyDescent="0.2">
      <c r="A515" s="49" t="str">
        <v>0:00</v>
      </c>
      <c r="B515" s="108"/>
      <c r="C515" s="130"/>
      <c r="D515" s="130"/>
      <c r="E515" s="130"/>
      <c r="F515" s="130"/>
      <c r="G515" s="130"/>
      <c r="H515" s="130"/>
      <c r="I515" s="130"/>
      <c r="J515" s="130"/>
      <c r="K515" s="130"/>
      <c r="L515" s="130"/>
      <c r="M515" s="130"/>
      <c r="N515" s="130"/>
      <c r="O515" s="130"/>
      <c r="P515" s="130"/>
    </row>
    <row r="516" spans="1:16" x14ac:dyDescent="0.2">
      <c r="A516" s="49" t="str">
        <v>0:00</v>
      </c>
      <c r="B516" s="108"/>
      <c r="C516" s="130"/>
      <c r="D516" s="130"/>
      <c r="E516" s="130"/>
      <c r="F516" s="130"/>
      <c r="G516" s="130"/>
      <c r="H516" s="130"/>
      <c r="I516" s="130"/>
      <c r="J516" s="130"/>
      <c r="K516" s="130"/>
      <c r="L516" s="130"/>
      <c r="M516" s="130"/>
      <c r="N516" s="130"/>
      <c r="O516" s="130"/>
      <c r="P516" s="130"/>
    </row>
    <row r="517" spans="1:16" x14ac:dyDescent="0.2">
      <c r="A517" s="49" t="str">
        <v>0:00</v>
      </c>
      <c r="B517" s="108"/>
      <c r="C517" s="130"/>
      <c r="D517" s="130"/>
      <c r="E517" s="130"/>
      <c r="F517" s="130"/>
      <c r="G517" s="130"/>
      <c r="H517" s="130"/>
      <c r="I517" s="130"/>
      <c r="J517" s="130"/>
      <c r="K517" s="130"/>
      <c r="L517" s="130"/>
      <c r="M517" s="130"/>
      <c r="N517" s="130"/>
      <c r="O517" s="130"/>
      <c r="P517" s="130"/>
    </row>
    <row r="518" spans="1:16" x14ac:dyDescent="0.2">
      <c r="A518" s="49" t="str">
        <v>0:00</v>
      </c>
      <c r="B518" s="108"/>
      <c r="C518" s="130"/>
      <c r="D518" s="130"/>
      <c r="E518" s="130"/>
      <c r="F518" s="130"/>
      <c r="G518" s="130"/>
      <c r="H518" s="130"/>
      <c r="I518" s="130"/>
      <c r="J518" s="130"/>
      <c r="K518" s="130"/>
      <c r="L518" s="130"/>
      <c r="M518" s="130"/>
      <c r="N518" s="130"/>
      <c r="O518" s="130"/>
      <c r="P518" s="130"/>
    </row>
    <row r="519" spans="1:16" x14ac:dyDescent="0.2">
      <c r="A519" s="49" t="str">
        <v>0:00</v>
      </c>
      <c r="B519" s="108"/>
      <c r="C519" s="130"/>
      <c r="D519" s="130"/>
      <c r="E519" s="130"/>
      <c r="F519" s="130"/>
      <c r="G519" s="130"/>
      <c r="H519" s="130"/>
      <c r="I519" s="130"/>
      <c r="J519" s="130"/>
      <c r="K519" s="130"/>
      <c r="L519" s="130"/>
      <c r="M519" s="130"/>
      <c r="N519" s="130"/>
      <c r="O519" s="130"/>
      <c r="P519" s="130"/>
    </row>
    <row r="520" spans="1:16" x14ac:dyDescent="0.2">
      <c r="A520" s="49" t="str">
        <v>0:00</v>
      </c>
      <c r="B520" s="108"/>
      <c r="C520" s="130"/>
      <c r="D520" s="130"/>
      <c r="E520" s="130"/>
      <c r="F520" s="130"/>
      <c r="G520" s="130"/>
      <c r="H520" s="130"/>
      <c r="I520" s="130"/>
      <c r="J520" s="130"/>
      <c r="K520" s="130"/>
      <c r="L520" s="130"/>
      <c r="M520" s="130"/>
      <c r="N520" s="130"/>
      <c r="O520" s="130"/>
      <c r="P520" s="130"/>
    </row>
    <row r="521" spans="1:16" x14ac:dyDescent="0.2">
      <c r="A521" s="49" t="str">
        <v>0:00</v>
      </c>
      <c r="B521" s="108"/>
      <c r="C521" s="130"/>
      <c r="D521" s="130"/>
      <c r="E521" s="130"/>
      <c r="F521" s="130"/>
      <c r="G521" s="130"/>
      <c r="H521" s="130"/>
      <c r="I521" s="130"/>
      <c r="J521" s="130"/>
      <c r="K521" s="130"/>
      <c r="L521" s="130"/>
      <c r="M521" s="130"/>
      <c r="N521" s="130"/>
      <c r="O521" s="130"/>
      <c r="P521" s="130"/>
    </row>
    <row r="522" spans="1:16" x14ac:dyDescent="0.2">
      <c r="A522" s="49" t="str">
        <v>0:00</v>
      </c>
      <c r="B522" s="108"/>
      <c r="C522" s="130"/>
      <c r="D522" s="130"/>
      <c r="E522" s="130"/>
      <c r="F522" s="130"/>
      <c r="G522" s="130"/>
      <c r="H522" s="130"/>
      <c r="I522" s="130"/>
      <c r="J522" s="130"/>
      <c r="K522" s="130"/>
      <c r="L522" s="130"/>
      <c r="M522" s="130"/>
      <c r="N522" s="130"/>
      <c r="O522" s="130"/>
      <c r="P522" s="130"/>
    </row>
    <row r="523" spans="1:16" x14ac:dyDescent="0.2">
      <c r="A523" s="49" t="str">
        <v>0:00</v>
      </c>
      <c r="B523" s="108"/>
      <c r="C523" s="130"/>
      <c r="D523" s="130"/>
      <c r="E523" s="130"/>
      <c r="F523" s="130"/>
      <c r="G523" s="130"/>
      <c r="H523" s="130"/>
      <c r="I523" s="130"/>
      <c r="J523" s="130"/>
      <c r="K523" s="130"/>
      <c r="L523" s="130"/>
      <c r="M523" s="130"/>
      <c r="N523" s="130"/>
      <c r="O523" s="130"/>
      <c r="P523" s="130"/>
    </row>
    <row r="524" spans="1:16" x14ac:dyDescent="0.2">
      <c r="A524" s="49" t="str">
        <v>0:00</v>
      </c>
      <c r="B524" s="108"/>
      <c r="C524" s="130"/>
      <c r="D524" s="130"/>
      <c r="E524" s="130"/>
      <c r="F524" s="130"/>
      <c r="G524" s="130"/>
      <c r="H524" s="130"/>
      <c r="I524" s="130"/>
      <c r="J524" s="130"/>
      <c r="K524" s="130"/>
      <c r="L524" s="130"/>
      <c r="M524" s="130"/>
      <c r="N524" s="130"/>
      <c r="O524" s="130"/>
      <c r="P524" s="130"/>
    </row>
    <row r="525" spans="1:16" x14ac:dyDescent="0.2">
      <c r="A525" s="49" t="str">
        <v>0:00</v>
      </c>
      <c r="B525" s="108"/>
      <c r="C525" s="130"/>
      <c r="D525" s="130"/>
      <c r="E525" s="130"/>
      <c r="F525" s="130"/>
      <c r="G525" s="130"/>
      <c r="H525" s="130"/>
      <c r="I525" s="130"/>
      <c r="J525" s="130"/>
      <c r="K525" s="130"/>
      <c r="L525" s="130"/>
      <c r="M525" s="130"/>
      <c r="N525" s="130"/>
      <c r="O525" s="130"/>
      <c r="P525" s="130"/>
    </row>
    <row r="526" spans="1:16" x14ac:dyDescent="0.2">
      <c r="A526" s="49" t="str">
        <v>0:00</v>
      </c>
      <c r="B526" s="108"/>
      <c r="C526" s="130"/>
      <c r="D526" s="130"/>
      <c r="E526" s="130"/>
      <c r="F526" s="130"/>
      <c r="G526" s="130"/>
      <c r="H526" s="130"/>
      <c r="I526" s="130"/>
      <c r="J526" s="130"/>
      <c r="K526" s="130"/>
      <c r="L526" s="130"/>
      <c r="M526" s="130"/>
      <c r="N526" s="130"/>
      <c r="O526" s="130"/>
      <c r="P526" s="130"/>
    </row>
    <row r="527" spans="1:16" x14ac:dyDescent="0.2">
      <c r="A527" s="49" t="str">
        <v>0:00</v>
      </c>
      <c r="B527" s="108"/>
      <c r="C527" s="130"/>
      <c r="D527" s="130"/>
      <c r="E527" s="130"/>
      <c r="F527" s="130"/>
      <c r="G527" s="130"/>
      <c r="H527" s="130"/>
      <c r="I527" s="130"/>
      <c r="J527" s="130"/>
      <c r="K527" s="130"/>
      <c r="L527" s="130"/>
      <c r="M527" s="130"/>
      <c r="N527" s="130"/>
      <c r="O527" s="130"/>
      <c r="P527" s="130"/>
    </row>
    <row r="528" spans="1:16" x14ac:dyDescent="0.2">
      <c r="A528" s="49" t="str">
        <v>0:00</v>
      </c>
      <c r="B528" s="108"/>
      <c r="C528" s="130"/>
      <c r="D528" s="130"/>
      <c r="E528" s="130"/>
      <c r="F528" s="130"/>
      <c r="G528" s="130"/>
      <c r="H528" s="130"/>
      <c r="I528" s="130"/>
      <c r="J528" s="130"/>
      <c r="K528" s="130"/>
      <c r="L528" s="130"/>
      <c r="M528" s="130"/>
      <c r="N528" s="130"/>
      <c r="O528" s="130"/>
      <c r="P528" s="130"/>
    </row>
    <row r="529" spans="1:16" x14ac:dyDescent="0.2">
      <c r="A529" s="49" t="str">
        <v>0:00</v>
      </c>
      <c r="B529" s="108"/>
      <c r="C529" s="130"/>
      <c r="D529" s="130"/>
      <c r="E529" s="130"/>
      <c r="F529" s="130"/>
      <c r="G529" s="130"/>
      <c r="H529" s="130"/>
      <c r="I529" s="130"/>
      <c r="J529" s="130"/>
      <c r="K529" s="130"/>
      <c r="L529" s="130"/>
      <c r="M529" s="130"/>
      <c r="N529" s="130"/>
      <c r="O529" s="130"/>
      <c r="P529" s="130"/>
    </row>
    <row r="530" spans="1:16" x14ac:dyDescent="0.2">
      <c r="A530" s="49" t="str">
        <v>0:00</v>
      </c>
      <c r="B530" s="108"/>
      <c r="C530" s="130"/>
      <c r="D530" s="130"/>
      <c r="E530" s="130"/>
      <c r="F530" s="130"/>
      <c r="G530" s="130"/>
      <c r="H530" s="130"/>
      <c r="I530" s="130"/>
      <c r="J530" s="130"/>
      <c r="K530" s="130"/>
      <c r="L530" s="130"/>
      <c r="M530" s="130"/>
      <c r="N530" s="130"/>
      <c r="O530" s="130"/>
      <c r="P530" s="130"/>
    </row>
    <row r="531" spans="1:16" x14ac:dyDescent="0.2">
      <c r="A531" s="49" t="str">
        <v>0:00</v>
      </c>
      <c r="B531" s="108"/>
      <c r="C531" s="130"/>
      <c r="D531" s="130"/>
      <c r="E531" s="130"/>
      <c r="F531" s="130"/>
      <c r="G531" s="130"/>
      <c r="H531" s="130"/>
      <c r="I531" s="130"/>
      <c r="J531" s="130"/>
      <c r="K531" s="130"/>
      <c r="L531" s="130"/>
      <c r="M531" s="130"/>
      <c r="N531" s="130"/>
      <c r="O531" s="130"/>
      <c r="P531" s="130"/>
    </row>
    <row r="532" spans="1:16" x14ac:dyDescent="0.2">
      <c r="A532" s="49" t="str">
        <v>0:00</v>
      </c>
      <c r="B532" s="108"/>
      <c r="C532" s="130"/>
      <c r="D532" s="130"/>
      <c r="E532" s="130"/>
      <c r="F532" s="130"/>
      <c r="G532" s="130"/>
      <c r="H532" s="130"/>
      <c r="I532" s="130"/>
      <c r="J532" s="130"/>
      <c r="K532" s="130"/>
      <c r="L532" s="130"/>
      <c r="M532" s="130"/>
      <c r="N532" s="130"/>
      <c r="O532" s="130"/>
      <c r="P532" s="130"/>
    </row>
    <row r="533" spans="1:16" x14ac:dyDescent="0.2">
      <c r="A533" s="49" t="str">
        <v>0:00</v>
      </c>
      <c r="B533" s="108"/>
      <c r="C533" s="130"/>
      <c r="D533" s="130"/>
      <c r="E533" s="130"/>
      <c r="F533" s="130"/>
      <c r="G533" s="130"/>
      <c r="H533" s="130"/>
      <c r="I533" s="130"/>
      <c r="J533" s="130"/>
      <c r="K533" s="130"/>
      <c r="L533" s="130"/>
      <c r="M533" s="130"/>
      <c r="N533" s="130"/>
      <c r="O533" s="130"/>
      <c r="P533" s="130"/>
    </row>
    <row r="534" spans="1:16" x14ac:dyDescent="0.2">
      <c r="A534" s="49" t="str">
        <v>0:00</v>
      </c>
      <c r="B534" s="108"/>
      <c r="C534" s="130"/>
      <c r="D534" s="130"/>
      <c r="E534" s="130"/>
      <c r="F534" s="130"/>
      <c r="G534" s="130"/>
      <c r="H534" s="130"/>
      <c r="I534" s="130"/>
      <c r="J534" s="130"/>
      <c r="K534" s="130"/>
      <c r="L534" s="130"/>
      <c r="M534" s="130"/>
      <c r="N534" s="130"/>
      <c r="O534" s="130"/>
      <c r="P534" s="130"/>
    </row>
    <row r="535" spans="1:16" x14ac:dyDescent="0.2">
      <c r="A535" s="49" t="str">
        <v>0:00</v>
      </c>
      <c r="B535" s="108"/>
      <c r="C535" s="130"/>
      <c r="D535" s="130"/>
      <c r="E535" s="130"/>
      <c r="F535" s="130"/>
      <c r="G535" s="130"/>
      <c r="H535" s="130"/>
      <c r="I535" s="130"/>
      <c r="J535" s="130"/>
      <c r="K535" s="130"/>
      <c r="L535" s="130"/>
      <c r="M535" s="130"/>
      <c r="N535" s="130"/>
      <c r="O535" s="130"/>
      <c r="P535" s="130"/>
    </row>
    <row r="536" spans="1:16" x14ac:dyDescent="0.2">
      <c r="A536" s="49" t="str">
        <v>0:00</v>
      </c>
      <c r="B536" s="108"/>
      <c r="C536" s="130"/>
      <c r="D536" s="130"/>
      <c r="E536" s="130"/>
      <c r="F536" s="130"/>
      <c r="G536" s="130"/>
      <c r="H536" s="130"/>
      <c r="I536" s="130"/>
      <c r="J536" s="130"/>
      <c r="K536" s="130"/>
      <c r="L536" s="130"/>
      <c r="M536" s="130"/>
      <c r="N536" s="130"/>
      <c r="O536" s="130"/>
      <c r="P536" s="130"/>
    </row>
    <row r="537" spans="1:16" x14ac:dyDescent="0.2">
      <c r="A537" s="49" t="str">
        <v>0:00</v>
      </c>
      <c r="B537" s="108"/>
      <c r="C537" s="130"/>
      <c r="D537" s="130"/>
      <c r="E537" s="130"/>
      <c r="F537" s="130"/>
      <c r="G537" s="130"/>
      <c r="H537" s="130"/>
      <c r="I537" s="130"/>
      <c r="J537" s="130"/>
      <c r="K537" s="130"/>
      <c r="L537" s="130"/>
      <c r="M537" s="130"/>
      <c r="N537" s="130"/>
      <c r="O537" s="130"/>
      <c r="P537" s="130"/>
    </row>
    <row r="538" spans="1:16" x14ac:dyDescent="0.2">
      <c r="A538" s="49" t="str">
        <v>0:00</v>
      </c>
      <c r="B538" s="108"/>
      <c r="C538" s="130"/>
      <c r="D538" s="130"/>
      <c r="E538" s="130"/>
      <c r="F538" s="130"/>
      <c r="G538" s="130"/>
      <c r="H538" s="130"/>
      <c r="I538" s="130"/>
      <c r="J538" s="130"/>
      <c r="K538" s="130"/>
      <c r="L538" s="130"/>
      <c r="M538" s="130"/>
      <c r="N538" s="130"/>
      <c r="O538" s="130"/>
      <c r="P538" s="130"/>
    </row>
    <row r="539" spans="1:16" x14ac:dyDescent="0.2">
      <c r="A539" s="49" t="str">
        <v>0:00</v>
      </c>
      <c r="B539" s="108"/>
      <c r="C539" s="130"/>
      <c r="D539" s="130"/>
      <c r="E539" s="130"/>
      <c r="F539" s="130"/>
      <c r="G539" s="130"/>
      <c r="H539" s="130"/>
      <c r="I539" s="130"/>
      <c r="J539" s="130"/>
      <c r="K539" s="130"/>
      <c r="L539" s="130"/>
      <c r="M539" s="130"/>
      <c r="N539" s="130"/>
      <c r="O539" s="130"/>
      <c r="P539" s="130"/>
    </row>
    <row r="540" spans="1:16" x14ac:dyDescent="0.2">
      <c r="A540" s="49" t="str">
        <v>0:00</v>
      </c>
      <c r="B540" s="108"/>
      <c r="C540" s="130"/>
      <c r="D540" s="130"/>
      <c r="E540" s="130"/>
      <c r="F540" s="130"/>
      <c r="G540" s="130"/>
      <c r="H540" s="130"/>
      <c r="I540" s="130"/>
      <c r="J540" s="130"/>
      <c r="K540" s="130"/>
      <c r="L540" s="130"/>
      <c r="M540" s="130"/>
      <c r="N540" s="130"/>
      <c r="O540" s="130"/>
      <c r="P540" s="130"/>
    </row>
    <row r="541" spans="1:16" x14ac:dyDescent="0.2">
      <c r="A541" s="49" t="str">
        <v>0:00</v>
      </c>
      <c r="B541" s="108"/>
      <c r="C541" s="130"/>
      <c r="D541" s="130"/>
      <c r="E541" s="130"/>
      <c r="F541" s="130"/>
      <c r="G541" s="130"/>
      <c r="H541" s="130"/>
      <c r="I541" s="130"/>
      <c r="J541" s="130"/>
      <c r="K541" s="130"/>
      <c r="L541" s="130"/>
      <c r="M541" s="130"/>
      <c r="N541" s="130"/>
      <c r="O541" s="130"/>
      <c r="P541" s="130"/>
    </row>
    <row r="542" spans="1:16" x14ac:dyDescent="0.2">
      <c r="A542" s="49" t="str">
        <v>0:00</v>
      </c>
      <c r="B542" s="108"/>
      <c r="C542" s="130"/>
      <c r="D542" s="130"/>
      <c r="E542" s="130"/>
      <c r="F542" s="130"/>
      <c r="G542" s="130"/>
      <c r="H542" s="130"/>
      <c r="I542" s="130"/>
      <c r="J542" s="130"/>
      <c r="K542" s="130"/>
      <c r="L542" s="130"/>
      <c r="M542" s="130"/>
      <c r="N542" s="130"/>
      <c r="O542" s="130"/>
      <c r="P542" s="130"/>
    </row>
    <row r="543" spans="1:16" x14ac:dyDescent="0.2">
      <c r="A543" s="49" t="str">
        <v>0:00</v>
      </c>
      <c r="B543" s="108"/>
      <c r="C543" s="130"/>
      <c r="D543" s="130"/>
      <c r="E543" s="130"/>
      <c r="F543" s="130"/>
      <c r="G543" s="130"/>
      <c r="H543" s="130"/>
      <c r="I543" s="130"/>
      <c r="J543" s="130"/>
      <c r="K543" s="130"/>
      <c r="L543" s="130"/>
      <c r="M543" s="130"/>
      <c r="N543" s="130"/>
      <c r="O543" s="130"/>
      <c r="P543" s="130"/>
    </row>
    <row r="544" spans="1:16" x14ac:dyDescent="0.2">
      <c r="A544" s="49" t="str">
        <v>0:00</v>
      </c>
      <c r="B544" s="108"/>
      <c r="C544" s="130"/>
      <c r="D544" s="130"/>
      <c r="E544" s="130"/>
      <c r="F544" s="130"/>
      <c r="G544" s="130"/>
      <c r="H544" s="130"/>
      <c r="I544" s="130"/>
      <c r="J544" s="130"/>
      <c r="K544" s="130"/>
      <c r="L544" s="130"/>
      <c r="M544" s="130"/>
      <c r="N544" s="130"/>
      <c r="O544" s="130"/>
      <c r="P544" s="130"/>
    </row>
    <row r="545" spans="1:16" x14ac:dyDescent="0.2">
      <c r="A545" s="49" t="str">
        <v>0:00</v>
      </c>
      <c r="B545" s="108"/>
      <c r="C545" s="130"/>
      <c r="D545" s="130"/>
      <c r="E545" s="130"/>
      <c r="F545" s="130"/>
      <c r="G545" s="130"/>
      <c r="H545" s="130"/>
      <c r="I545" s="130"/>
      <c r="J545" s="130"/>
      <c r="K545" s="130"/>
      <c r="L545" s="130"/>
      <c r="M545" s="130"/>
      <c r="N545" s="130"/>
      <c r="O545" s="130"/>
      <c r="P545" s="130"/>
    </row>
    <row r="546" spans="1:16" x14ac:dyDescent="0.2">
      <c r="A546" s="49" t="str">
        <v>0:00</v>
      </c>
      <c r="B546" s="108"/>
      <c r="C546" s="130"/>
      <c r="D546" s="130"/>
      <c r="E546" s="130"/>
      <c r="F546" s="130"/>
      <c r="G546" s="130"/>
      <c r="H546" s="130"/>
      <c r="I546" s="130"/>
      <c r="J546" s="130"/>
      <c r="K546" s="130"/>
      <c r="L546" s="130"/>
      <c r="M546" s="130"/>
      <c r="N546" s="130"/>
      <c r="O546" s="130"/>
      <c r="P546" s="130"/>
    </row>
    <row r="547" spans="1:16" x14ac:dyDescent="0.2">
      <c r="A547" s="49" t="str">
        <v>0:00</v>
      </c>
      <c r="B547" s="108"/>
      <c r="C547" s="130"/>
      <c r="D547" s="130"/>
      <c r="E547" s="130"/>
      <c r="F547" s="130"/>
      <c r="G547" s="130"/>
      <c r="H547" s="130"/>
      <c r="I547" s="130"/>
      <c r="J547" s="130"/>
      <c r="K547" s="130"/>
      <c r="L547" s="130"/>
      <c r="M547" s="130"/>
      <c r="N547" s="130"/>
      <c r="O547" s="130"/>
      <c r="P547" s="130"/>
    </row>
    <row r="548" spans="1:16" x14ac:dyDescent="0.2">
      <c r="A548" s="49" t="str">
        <v>0:00</v>
      </c>
      <c r="B548" s="108"/>
      <c r="C548" s="130"/>
      <c r="D548" s="130"/>
      <c r="E548" s="130"/>
      <c r="F548" s="130"/>
      <c r="G548" s="130"/>
      <c r="H548" s="130"/>
      <c r="I548" s="130"/>
      <c r="J548" s="130"/>
      <c r="K548" s="130"/>
      <c r="L548" s="130"/>
      <c r="M548" s="130"/>
      <c r="N548" s="130"/>
      <c r="O548" s="130"/>
      <c r="P548" s="130"/>
    </row>
    <row r="549" spans="1:16" x14ac:dyDescent="0.2">
      <c r="A549" s="49" t="str">
        <v>0:00</v>
      </c>
      <c r="B549" s="108"/>
      <c r="C549" s="130"/>
      <c r="D549" s="130"/>
      <c r="E549" s="130"/>
      <c r="F549" s="130"/>
      <c r="G549" s="130"/>
      <c r="H549" s="130"/>
      <c r="I549" s="130"/>
      <c r="J549" s="130"/>
      <c r="K549" s="130"/>
      <c r="L549" s="130"/>
      <c r="M549" s="130"/>
      <c r="N549" s="130"/>
      <c r="O549" s="130"/>
      <c r="P549" s="130"/>
    </row>
    <row r="550" spans="1:16" x14ac:dyDescent="0.2">
      <c r="A550" s="49" t="str">
        <v>0:00</v>
      </c>
      <c r="B550" s="108"/>
      <c r="C550" s="130"/>
      <c r="D550" s="130"/>
      <c r="E550" s="130"/>
      <c r="F550" s="130"/>
      <c r="G550" s="130"/>
      <c r="H550" s="130"/>
      <c r="I550" s="130"/>
      <c r="J550" s="130"/>
      <c r="K550" s="130"/>
      <c r="L550" s="130"/>
      <c r="M550" s="130"/>
      <c r="N550" s="130"/>
      <c r="O550" s="130"/>
      <c r="P550" s="130"/>
    </row>
    <row r="551" spans="1:16" x14ac:dyDescent="0.2">
      <c r="A551" s="49" t="str">
        <v>0:00</v>
      </c>
      <c r="B551" s="108"/>
      <c r="C551" s="130"/>
      <c r="D551" s="130"/>
      <c r="E551" s="130"/>
      <c r="F551" s="130"/>
      <c r="G551" s="130"/>
      <c r="H551" s="130"/>
      <c r="I551" s="130"/>
      <c r="J551" s="130"/>
      <c r="K551" s="130"/>
      <c r="L551" s="130"/>
      <c r="M551" s="130"/>
      <c r="N551" s="130"/>
      <c r="O551" s="130"/>
      <c r="P551" s="130"/>
    </row>
    <row r="552" spans="1:16" x14ac:dyDescent="0.2">
      <c r="A552" s="49" t="str">
        <v>0:00</v>
      </c>
      <c r="B552" s="108"/>
      <c r="C552" s="130"/>
      <c r="D552" s="130"/>
      <c r="E552" s="130"/>
      <c r="F552" s="130"/>
      <c r="G552" s="130"/>
      <c r="H552" s="130"/>
      <c r="I552" s="130"/>
      <c r="J552" s="130"/>
      <c r="K552" s="130"/>
      <c r="L552" s="130"/>
      <c r="M552" s="130"/>
      <c r="N552" s="130"/>
      <c r="O552" s="130"/>
      <c r="P552" s="130"/>
    </row>
    <row r="553" spans="1:16" x14ac:dyDescent="0.2">
      <c r="A553" s="49" t="str">
        <v>0:00</v>
      </c>
      <c r="B553" s="108"/>
      <c r="C553" s="130"/>
      <c r="D553" s="130"/>
      <c r="E553" s="130"/>
      <c r="F553" s="130"/>
      <c r="G553" s="130"/>
      <c r="H553" s="130"/>
      <c r="I553" s="130"/>
      <c r="J553" s="130"/>
      <c r="K553" s="130"/>
      <c r="L553" s="130"/>
      <c r="M553" s="130"/>
      <c r="N553" s="130"/>
      <c r="O553" s="130"/>
      <c r="P553" s="130"/>
    </row>
    <row r="554" spans="1:16" x14ac:dyDescent="0.2">
      <c r="A554" s="49" t="str">
        <v>0:00</v>
      </c>
      <c r="B554" s="108"/>
      <c r="C554" s="130"/>
      <c r="D554" s="130"/>
      <c r="E554" s="130"/>
      <c r="F554" s="130"/>
      <c r="G554" s="130"/>
      <c r="H554" s="130"/>
      <c r="I554" s="130"/>
      <c r="J554" s="130"/>
      <c r="K554" s="130"/>
      <c r="L554" s="130"/>
      <c r="M554" s="130"/>
      <c r="N554" s="130"/>
      <c r="O554" s="130"/>
      <c r="P554" s="130"/>
    </row>
    <row r="555" spans="1:16" x14ac:dyDescent="0.2">
      <c r="A555" s="49" t="str">
        <v>0:00</v>
      </c>
      <c r="B555" s="108"/>
      <c r="C555" s="130"/>
      <c r="D555" s="130"/>
      <c r="E555" s="130"/>
      <c r="F555" s="130"/>
      <c r="G555" s="130"/>
      <c r="H555" s="130"/>
      <c r="I555" s="130"/>
      <c r="J555" s="130"/>
      <c r="K555" s="130"/>
      <c r="L555" s="130"/>
      <c r="M555" s="130"/>
      <c r="N555" s="130"/>
      <c r="O555" s="130"/>
      <c r="P555" s="130"/>
    </row>
    <row r="556" spans="1:16" x14ac:dyDescent="0.2">
      <c r="A556" s="49" t="str">
        <v>0:00</v>
      </c>
      <c r="B556" s="108"/>
      <c r="C556" s="130"/>
      <c r="D556" s="130"/>
      <c r="E556" s="130"/>
      <c r="F556" s="130"/>
      <c r="G556" s="130"/>
      <c r="H556" s="130"/>
      <c r="I556" s="130"/>
      <c r="J556" s="130"/>
      <c r="K556" s="130"/>
      <c r="L556" s="130"/>
      <c r="M556" s="130"/>
      <c r="N556" s="130"/>
      <c r="O556" s="130"/>
      <c r="P556" s="130"/>
    </row>
    <row r="557" spans="1:16" x14ac:dyDescent="0.2">
      <c r="A557" s="49" t="str">
        <v>0:00</v>
      </c>
      <c r="B557" s="108"/>
      <c r="C557" s="130"/>
      <c r="D557" s="130"/>
      <c r="E557" s="130"/>
      <c r="F557" s="130"/>
      <c r="G557" s="130"/>
      <c r="H557" s="130"/>
      <c r="I557" s="130"/>
      <c r="J557" s="130"/>
      <c r="K557" s="130"/>
      <c r="L557" s="130"/>
      <c r="M557" s="130"/>
      <c r="N557" s="130"/>
      <c r="O557" s="130"/>
      <c r="P557" s="130"/>
    </row>
    <row r="558" spans="1:16" x14ac:dyDescent="0.2">
      <c r="A558" s="49" t="str">
        <v>0:00</v>
      </c>
      <c r="B558" s="108"/>
      <c r="C558" s="130"/>
      <c r="D558" s="130"/>
      <c r="E558" s="130"/>
      <c r="F558" s="130"/>
      <c r="G558" s="130"/>
      <c r="H558" s="130"/>
      <c r="I558" s="130"/>
      <c r="J558" s="130"/>
      <c r="K558" s="130"/>
      <c r="L558" s="130"/>
      <c r="M558" s="130"/>
      <c r="N558" s="130"/>
      <c r="O558" s="130"/>
      <c r="P558" s="130"/>
    </row>
    <row r="559" spans="1:16" x14ac:dyDescent="0.2">
      <c r="A559" s="49" t="str">
        <v>0:00</v>
      </c>
      <c r="B559" s="108"/>
      <c r="C559" s="130"/>
      <c r="D559" s="130"/>
      <c r="E559" s="130"/>
      <c r="F559" s="130"/>
      <c r="G559" s="130"/>
      <c r="H559" s="130"/>
      <c r="I559" s="130"/>
      <c r="J559" s="130"/>
      <c r="K559" s="130"/>
      <c r="L559" s="130"/>
      <c r="M559" s="130"/>
      <c r="N559" s="130"/>
      <c r="O559" s="130"/>
      <c r="P559" s="130"/>
    </row>
    <row r="560" spans="1:16" x14ac:dyDescent="0.2">
      <c r="A560" s="49" t="str">
        <v>0:00</v>
      </c>
      <c r="B560" s="108"/>
      <c r="C560" s="130"/>
      <c r="D560" s="130"/>
      <c r="E560" s="130"/>
      <c r="F560" s="130"/>
      <c r="G560" s="130"/>
      <c r="H560" s="130"/>
      <c r="I560" s="130"/>
      <c r="J560" s="130"/>
      <c r="K560" s="130"/>
      <c r="L560" s="130"/>
      <c r="M560" s="130"/>
      <c r="N560" s="130"/>
      <c r="O560" s="130"/>
      <c r="P560" s="130"/>
    </row>
    <row r="561" spans="1:16" x14ac:dyDescent="0.2">
      <c r="A561" s="49" t="str">
        <v>0:00</v>
      </c>
      <c r="B561" s="108"/>
      <c r="C561" s="130"/>
      <c r="D561" s="130"/>
      <c r="E561" s="130"/>
      <c r="F561" s="130"/>
      <c r="G561" s="130"/>
      <c r="H561" s="130"/>
      <c r="I561" s="130"/>
      <c r="J561" s="130"/>
      <c r="K561" s="130"/>
      <c r="L561" s="130"/>
      <c r="M561" s="130"/>
      <c r="N561" s="130"/>
      <c r="O561" s="130"/>
      <c r="P561" s="130"/>
    </row>
    <row r="562" spans="1:16" x14ac:dyDescent="0.2">
      <c r="A562" s="49" t="str">
        <v>0:00</v>
      </c>
      <c r="B562" s="108"/>
      <c r="C562" s="130"/>
      <c r="D562" s="130"/>
      <c r="E562" s="130"/>
      <c r="F562" s="130"/>
      <c r="G562" s="130"/>
      <c r="H562" s="130"/>
      <c r="I562" s="130"/>
      <c r="J562" s="130"/>
      <c r="K562" s="130"/>
      <c r="L562" s="130"/>
      <c r="M562" s="130"/>
      <c r="N562" s="130"/>
      <c r="O562" s="130"/>
      <c r="P562" s="130"/>
    </row>
    <row r="563" spans="1:16" x14ac:dyDescent="0.2">
      <c r="A563" s="49" t="str">
        <v>0:00</v>
      </c>
      <c r="B563" s="108"/>
      <c r="C563" s="130"/>
      <c r="D563" s="130"/>
      <c r="E563" s="130"/>
      <c r="F563" s="130"/>
      <c r="G563" s="130"/>
      <c r="H563" s="130"/>
      <c r="I563" s="130"/>
      <c r="J563" s="130"/>
      <c r="K563" s="130"/>
      <c r="L563" s="130"/>
      <c r="M563" s="130"/>
      <c r="N563" s="130"/>
      <c r="O563" s="130"/>
      <c r="P563" s="130"/>
    </row>
    <row r="564" spans="1:16" x14ac:dyDescent="0.2">
      <c r="A564" s="49" t="str">
        <v>0:00</v>
      </c>
      <c r="B564" s="108"/>
      <c r="C564" s="130"/>
      <c r="D564" s="130"/>
      <c r="E564" s="130"/>
      <c r="F564" s="130"/>
      <c r="G564" s="130"/>
      <c r="H564" s="130"/>
      <c r="I564" s="130"/>
      <c r="J564" s="130"/>
      <c r="K564" s="130"/>
      <c r="L564" s="130"/>
      <c r="M564" s="130"/>
      <c r="N564" s="130"/>
      <c r="O564" s="130"/>
      <c r="P564" s="130"/>
    </row>
    <row r="565" spans="1:16" x14ac:dyDescent="0.2">
      <c r="A565" s="49" t="str">
        <v>0:00</v>
      </c>
      <c r="B565" s="108"/>
      <c r="C565" s="130"/>
      <c r="D565" s="130"/>
      <c r="E565" s="130"/>
      <c r="F565" s="130"/>
      <c r="G565" s="130"/>
      <c r="H565" s="130"/>
      <c r="I565" s="130"/>
      <c r="J565" s="130"/>
      <c r="K565" s="130"/>
      <c r="L565" s="130"/>
      <c r="M565" s="130"/>
      <c r="N565" s="130"/>
      <c r="O565" s="130"/>
      <c r="P565" s="130"/>
    </row>
    <row r="566" spans="1:16" x14ac:dyDescent="0.2">
      <c r="A566" s="49" t="str">
        <v>0:00</v>
      </c>
      <c r="B566" s="108"/>
      <c r="C566" s="130"/>
      <c r="D566" s="130"/>
      <c r="E566" s="130"/>
      <c r="F566" s="130"/>
      <c r="G566" s="130"/>
      <c r="H566" s="130"/>
      <c r="I566" s="130"/>
      <c r="J566" s="130"/>
      <c r="K566" s="130"/>
      <c r="L566" s="130"/>
      <c r="M566" s="130"/>
      <c r="N566" s="130"/>
      <c r="O566" s="130"/>
      <c r="P566" s="130"/>
    </row>
    <row r="567" spans="1:16" x14ac:dyDescent="0.2">
      <c r="A567" s="49" t="str">
        <v>0:00</v>
      </c>
      <c r="B567" s="108"/>
      <c r="C567" s="130"/>
      <c r="D567" s="130"/>
      <c r="E567" s="130"/>
      <c r="F567" s="130"/>
      <c r="G567" s="130"/>
      <c r="H567" s="130"/>
      <c r="I567" s="130"/>
      <c r="J567" s="130"/>
      <c r="K567" s="130"/>
      <c r="L567" s="130"/>
      <c r="M567" s="130"/>
      <c r="N567" s="130"/>
      <c r="O567" s="130"/>
      <c r="P567" s="130"/>
    </row>
    <row r="568" spans="1:16" x14ac:dyDescent="0.2">
      <c r="A568" s="49" t="str">
        <v>0:00</v>
      </c>
      <c r="B568" s="108"/>
      <c r="C568" s="130"/>
      <c r="D568" s="130"/>
      <c r="E568" s="130"/>
      <c r="F568" s="130"/>
      <c r="G568" s="130"/>
      <c r="H568" s="130"/>
      <c r="I568" s="130"/>
      <c r="J568" s="130"/>
      <c r="K568" s="130"/>
      <c r="L568" s="130"/>
      <c r="M568" s="130"/>
      <c r="N568" s="130"/>
      <c r="O568" s="130"/>
      <c r="P568" s="130"/>
    </row>
    <row r="569" spans="1:16" x14ac:dyDescent="0.2">
      <c r="A569" s="49" t="str">
        <v>0:00</v>
      </c>
      <c r="B569" s="108"/>
      <c r="C569" s="130"/>
      <c r="D569" s="130"/>
      <c r="E569" s="130"/>
      <c r="F569" s="130"/>
      <c r="G569" s="130"/>
      <c r="H569" s="130"/>
      <c r="I569" s="130"/>
      <c r="J569" s="130"/>
      <c r="K569" s="130"/>
      <c r="L569" s="130"/>
      <c r="M569" s="130"/>
      <c r="N569" s="130"/>
      <c r="O569" s="130"/>
      <c r="P569" s="130"/>
    </row>
    <row r="570" spans="1:16" x14ac:dyDescent="0.2">
      <c r="A570" s="49" t="str">
        <v>0:00</v>
      </c>
      <c r="B570" s="108"/>
      <c r="C570" s="130"/>
      <c r="D570" s="130"/>
      <c r="E570" s="130"/>
      <c r="F570" s="130"/>
      <c r="G570" s="130"/>
      <c r="H570" s="130"/>
      <c r="I570" s="130"/>
      <c r="J570" s="130"/>
      <c r="K570" s="130"/>
      <c r="L570" s="130"/>
      <c r="M570" s="130"/>
      <c r="N570" s="130"/>
      <c r="O570" s="130"/>
      <c r="P570" s="130"/>
    </row>
    <row r="571" spans="1:16" x14ac:dyDescent="0.2">
      <c r="A571" s="49" t="str">
        <v>0:00</v>
      </c>
      <c r="B571" s="108"/>
      <c r="C571" s="130"/>
      <c r="D571" s="130"/>
      <c r="E571" s="130"/>
      <c r="F571" s="130"/>
      <c r="G571" s="130"/>
      <c r="H571" s="130"/>
      <c r="I571" s="130"/>
      <c r="J571" s="130"/>
      <c r="K571" s="130"/>
      <c r="L571" s="130"/>
      <c r="M571" s="130"/>
      <c r="N571" s="130"/>
      <c r="O571" s="130"/>
      <c r="P571" s="130"/>
    </row>
    <row r="572" spans="1:16" x14ac:dyDescent="0.2">
      <c r="A572" s="49" t="str">
        <v>0:00</v>
      </c>
      <c r="B572" s="108"/>
      <c r="C572" s="130"/>
      <c r="D572" s="130"/>
      <c r="E572" s="130"/>
      <c r="F572" s="130"/>
      <c r="G572" s="130"/>
      <c r="H572" s="130"/>
      <c r="I572" s="130"/>
      <c r="J572" s="130"/>
      <c r="K572" s="130"/>
      <c r="L572" s="130"/>
      <c r="M572" s="130"/>
      <c r="N572" s="130"/>
      <c r="O572" s="130"/>
      <c r="P572" s="130"/>
    </row>
    <row r="573" spans="1:16" x14ac:dyDescent="0.2">
      <c r="A573" s="49" t="str">
        <v>0:00</v>
      </c>
      <c r="B573" s="108"/>
      <c r="C573" s="130"/>
      <c r="D573" s="130"/>
      <c r="E573" s="130"/>
      <c r="F573" s="130"/>
      <c r="G573" s="130"/>
      <c r="H573" s="130"/>
      <c r="I573" s="130"/>
      <c r="J573" s="130"/>
      <c r="K573" s="130"/>
      <c r="L573" s="130"/>
      <c r="M573" s="130"/>
      <c r="N573" s="130"/>
      <c r="O573" s="130"/>
      <c r="P573" s="130"/>
    </row>
    <row r="574" spans="1:16" x14ac:dyDescent="0.2">
      <c r="A574" s="49" t="str">
        <v>0:00</v>
      </c>
      <c r="B574" s="108"/>
      <c r="C574" s="130"/>
      <c r="D574" s="130"/>
      <c r="E574" s="130"/>
      <c r="F574" s="130"/>
      <c r="G574" s="130"/>
      <c r="H574" s="130"/>
      <c r="I574" s="130"/>
      <c r="J574" s="130"/>
      <c r="K574" s="130"/>
      <c r="L574" s="130"/>
      <c r="M574" s="130"/>
      <c r="N574" s="130"/>
      <c r="O574" s="130"/>
      <c r="P574" s="130"/>
    </row>
    <row r="575" spans="1:16" x14ac:dyDescent="0.2">
      <c r="A575" s="49" t="str">
        <v>0:00</v>
      </c>
      <c r="B575" s="108"/>
      <c r="C575" s="130"/>
      <c r="D575" s="130"/>
      <c r="E575" s="130"/>
      <c r="F575" s="130"/>
      <c r="G575" s="130"/>
      <c r="H575" s="130"/>
      <c r="I575" s="130"/>
      <c r="J575" s="130"/>
      <c r="K575" s="130"/>
      <c r="L575" s="130"/>
      <c r="M575" s="130"/>
      <c r="N575" s="130"/>
      <c r="O575" s="130"/>
      <c r="P575" s="130"/>
    </row>
    <row r="576" spans="1:16" x14ac:dyDescent="0.2">
      <c r="A576" s="49" t="str">
        <v>0:00</v>
      </c>
      <c r="B576" s="108"/>
      <c r="C576" s="130"/>
      <c r="D576" s="130"/>
      <c r="E576" s="130"/>
      <c r="F576" s="130"/>
      <c r="G576" s="130"/>
      <c r="H576" s="130"/>
      <c r="I576" s="130"/>
      <c r="J576" s="130"/>
      <c r="K576" s="130"/>
      <c r="L576" s="130"/>
      <c r="M576" s="130"/>
      <c r="N576" s="130"/>
      <c r="O576" s="130"/>
      <c r="P576" s="130"/>
    </row>
    <row r="577" spans="1:16" x14ac:dyDescent="0.2">
      <c r="A577" s="49" t="str">
        <v>0:00</v>
      </c>
      <c r="B577" s="108"/>
      <c r="C577" s="130"/>
      <c r="D577" s="130"/>
      <c r="E577" s="130"/>
      <c r="F577" s="130"/>
      <c r="G577" s="130"/>
      <c r="H577" s="130"/>
      <c r="I577" s="130"/>
      <c r="J577" s="130"/>
      <c r="K577" s="130"/>
      <c r="L577" s="130"/>
      <c r="M577" s="130"/>
      <c r="N577" s="130"/>
      <c r="O577" s="130"/>
      <c r="P577" s="130"/>
    </row>
    <row r="578" spans="1:16" x14ac:dyDescent="0.2">
      <c r="A578" s="49" t="str">
        <v>0:00</v>
      </c>
      <c r="B578" s="108"/>
      <c r="C578" s="130"/>
      <c r="D578" s="130"/>
      <c r="E578" s="130"/>
      <c r="F578" s="130"/>
      <c r="G578" s="130"/>
      <c r="H578" s="130"/>
      <c r="I578" s="130"/>
      <c r="J578" s="130"/>
      <c r="K578" s="130"/>
      <c r="L578" s="130"/>
      <c r="M578" s="130"/>
      <c r="N578" s="130"/>
      <c r="O578" s="130"/>
      <c r="P578" s="130"/>
    </row>
    <row r="579" spans="1:16" x14ac:dyDescent="0.2">
      <c r="A579" s="49" t="str">
        <v>0:00</v>
      </c>
      <c r="B579" s="108"/>
      <c r="C579" s="130"/>
      <c r="D579" s="130"/>
      <c r="E579" s="130"/>
      <c r="F579" s="130"/>
      <c r="G579" s="130"/>
      <c r="H579" s="130"/>
      <c r="I579" s="130"/>
      <c r="J579" s="130"/>
      <c r="K579" s="130"/>
      <c r="L579" s="130"/>
      <c r="M579" s="130"/>
      <c r="N579" s="130"/>
      <c r="O579" s="130"/>
      <c r="P579" s="130"/>
    </row>
    <row r="580" spans="1:16" x14ac:dyDescent="0.2">
      <c r="A580" s="49" t="str">
        <v>0:00</v>
      </c>
      <c r="B580" s="108"/>
      <c r="C580" s="130"/>
      <c r="D580" s="130"/>
      <c r="E580" s="130"/>
      <c r="F580" s="130"/>
      <c r="G580" s="130"/>
      <c r="H580" s="130"/>
      <c r="I580" s="130"/>
      <c r="J580" s="130"/>
      <c r="K580" s="130"/>
      <c r="L580" s="130"/>
      <c r="M580" s="130"/>
      <c r="N580" s="130"/>
      <c r="O580" s="130"/>
      <c r="P580" s="130"/>
    </row>
    <row r="581" spans="1:16" x14ac:dyDescent="0.2">
      <c r="A581" s="49" t="str">
        <v>0:00</v>
      </c>
      <c r="B581" s="108"/>
      <c r="C581" s="130"/>
      <c r="D581" s="130"/>
      <c r="E581" s="130"/>
      <c r="F581" s="130"/>
      <c r="G581" s="130"/>
      <c r="H581" s="130"/>
      <c r="I581" s="130"/>
      <c r="J581" s="130"/>
      <c r="K581" s="130"/>
      <c r="L581" s="130"/>
      <c r="M581" s="130"/>
      <c r="N581" s="130"/>
      <c r="O581" s="130"/>
      <c r="P581" s="130"/>
    </row>
    <row r="582" spans="1:16" x14ac:dyDescent="0.2">
      <c r="A582" s="49" t="str">
        <v>0:00</v>
      </c>
      <c r="B582" s="108"/>
      <c r="C582" s="130"/>
      <c r="D582" s="130"/>
      <c r="E582" s="130"/>
      <c r="F582" s="130"/>
      <c r="G582" s="130"/>
      <c r="H582" s="130"/>
      <c r="I582" s="130"/>
      <c r="J582" s="130"/>
      <c r="K582" s="130"/>
      <c r="L582" s="130"/>
      <c r="M582" s="130"/>
      <c r="N582" s="130"/>
      <c r="O582" s="130"/>
      <c r="P582" s="130"/>
    </row>
    <row r="583" spans="1:16" x14ac:dyDescent="0.2">
      <c r="A583" s="49" t="str">
        <v>0:00</v>
      </c>
      <c r="B583" s="108"/>
      <c r="C583" s="130"/>
      <c r="D583" s="130"/>
      <c r="E583" s="130"/>
      <c r="F583" s="130"/>
      <c r="G583" s="130"/>
      <c r="H583" s="130"/>
      <c r="I583" s="130"/>
      <c r="J583" s="130"/>
      <c r="K583" s="130"/>
      <c r="L583" s="130"/>
      <c r="M583" s="130"/>
      <c r="N583" s="130"/>
      <c r="O583" s="130"/>
      <c r="P583" s="130"/>
    </row>
    <row r="584" spans="1:16" x14ac:dyDescent="0.2">
      <c r="A584" s="49" t="str">
        <v>0:00</v>
      </c>
      <c r="B584" s="108"/>
      <c r="C584" s="130"/>
      <c r="D584" s="130"/>
      <c r="E584" s="130"/>
      <c r="F584" s="130"/>
      <c r="G584" s="130"/>
      <c r="H584" s="130"/>
      <c r="I584" s="130"/>
      <c r="J584" s="130"/>
      <c r="K584" s="130"/>
      <c r="L584" s="130"/>
      <c r="M584" s="130"/>
      <c r="N584" s="130"/>
      <c r="O584" s="130"/>
      <c r="P584" s="130"/>
    </row>
    <row r="585" spans="1:16" x14ac:dyDescent="0.2">
      <c r="A585" s="49" t="str">
        <v>0:00</v>
      </c>
      <c r="B585" s="108"/>
      <c r="C585" s="130"/>
      <c r="D585" s="130"/>
      <c r="E585" s="130"/>
      <c r="F585" s="130"/>
      <c r="G585" s="130"/>
      <c r="H585" s="130"/>
      <c r="I585" s="130"/>
      <c r="J585" s="130"/>
      <c r="K585" s="130"/>
      <c r="L585" s="130"/>
      <c r="M585" s="130"/>
      <c r="N585" s="130"/>
      <c r="O585" s="130"/>
      <c r="P585" s="130"/>
    </row>
    <row r="586" spans="1:16" x14ac:dyDescent="0.2">
      <c r="A586" s="49" t="str">
        <v>0:00</v>
      </c>
      <c r="B586" s="108"/>
      <c r="C586" s="130"/>
      <c r="D586" s="130"/>
      <c r="E586" s="130"/>
      <c r="F586" s="130"/>
      <c r="G586" s="130"/>
      <c r="H586" s="130"/>
      <c r="I586" s="130"/>
      <c r="J586" s="130"/>
      <c r="K586" s="130"/>
      <c r="L586" s="130"/>
      <c r="M586" s="130"/>
      <c r="N586" s="130"/>
      <c r="O586" s="130"/>
      <c r="P586" s="130"/>
    </row>
    <row r="587" spans="1:16" x14ac:dyDescent="0.2">
      <c r="A587" s="49" t="str">
        <v>0:00</v>
      </c>
      <c r="B587" s="108"/>
      <c r="C587" s="130"/>
      <c r="D587" s="130"/>
      <c r="E587" s="130"/>
      <c r="F587" s="130"/>
      <c r="G587" s="130"/>
      <c r="H587" s="130"/>
      <c r="I587" s="130"/>
      <c r="J587" s="130"/>
      <c r="K587" s="130"/>
      <c r="L587" s="130"/>
      <c r="M587" s="130"/>
      <c r="N587" s="130"/>
      <c r="O587" s="130"/>
      <c r="P587" s="130"/>
    </row>
    <row r="588" spans="1:16" x14ac:dyDescent="0.2">
      <c r="A588" s="49" t="str">
        <v>0:00</v>
      </c>
      <c r="B588" s="108"/>
      <c r="C588" s="130"/>
      <c r="D588" s="130"/>
      <c r="E588" s="130"/>
      <c r="F588" s="130"/>
      <c r="G588" s="130"/>
      <c r="H588" s="130"/>
      <c r="I588" s="130"/>
      <c r="J588" s="130"/>
      <c r="K588" s="130"/>
      <c r="L588" s="130"/>
      <c r="M588" s="130"/>
      <c r="N588" s="130"/>
      <c r="O588" s="130"/>
      <c r="P588" s="130"/>
    </row>
    <row r="589" spans="1:16" x14ac:dyDescent="0.2">
      <c r="A589" s="49" t="str">
        <v>0:00</v>
      </c>
      <c r="B589" s="108"/>
      <c r="C589" s="130"/>
      <c r="D589" s="130"/>
      <c r="E589" s="130"/>
      <c r="F589" s="130"/>
      <c r="G589" s="130"/>
      <c r="H589" s="130"/>
      <c r="I589" s="130"/>
      <c r="J589" s="130"/>
      <c r="K589" s="130"/>
      <c r="L589" s="130"/>
      <c r="M589" s="130"/>
      <c r="N589" s="130"/>
      <c r="O589" s="130"/>
      <c r="P589" s="130"/>
    </row>
    <row r="590" spans="1:16" x14ac:dyDescent="0.2">
      <c r="A590" s="49" t="str">
        <v>0:00</v>
      </c>
      <c r="B590" s="108"/>
      <c r="C590" s="130"/>
      <c r="D590" s="130"/>
      <c r="E590" s="130"/>
      <c r="F590" s="130"/>
      <c r="G590" s="130"/>
      <c r="H590" s="130"/>
      <c r="I590" s="130"/>
      <c r="J590" s="130"/>
      <c r="K590" s="130"/>
      <c r="L590" s="130"/>
      <c r="M590" s="130"/>
      <c r="N590" s="130"/>
      <c r="O590" s="130"/>
      <c r="P590" s="130"/>
    </row>
    <row r="591" spans="1:16" x14ac:dyDescent="0.2">
      <c r="A591" s="49" t="str">
        <v>0:00</v>
      </c>
      <c r="B591" s="108"/>
      <c r="C591" s="130"/>
      <c r="D591" s="130"/>
      <c r="E591" s="130"/>
      <c r="F591" s="130"/>
      <c r="G591" s="130"/>
      <c r="H591" s="130"/>
      <c r="I591" s="130"/>
      <c r="J591" s="130"/>
      <c r="K591" s="130"/>
      <c r="L591" s="130"/>
      <c r="M591" s="130"/>
      <c r="N591" s="130"/>
      <c r="O591" s="130"/>
      <c r="P591" s="130"/>
    </row>
    <row r="592" spans="1:16" x14ac:dyDescent="0.2">
      <c r="A592" s="49" t="str">
        <v>0:00</v>
      </c>
      <c r="B592" s="108"/>
      <c r="C592" s="130"/>
      <c r="D592" s="130"/>
      <c r="E592" s="130"/>
      <c r="F592" s="130"/>
      <c r="G592" s="130"/>
      <c r="H592" s="130"/>
      <c r="I592" s="130"/>
      <c r="J592" s="130"/>
      <c r="K592" s="130"/>
      <c r="L592" s="130"/>
      <c r="M592" s="130"/>
      <c r="N592" s="130"/>
      <c r="O592" s="130"/>
      <c r="P592" s="130"/>
    </row>
    <row r="593" spans="1:16" x14ac:dyDescent="0.2">
      <c r="A593" s="49" t="str">
        <v>0:00</v>
      </c>
      <c r="B593" s="108"/>
      <c r="C593" s="130"/>
      <c r="D593" s="130"/>
      <c r="E593" s="130"/>
      <c r="F593" s="130"/>
      <c r="G593" s="130"/>
      <c r="H593" s="130"/>
      <c r="I593" s="130"/>
      <c r="J593" s="130"/>
      <c r="K593" s="130"/>
      <c r="L593" s="130"/>
      <c r="M593" s="130"/>
      <c r="N593" s="130"/>
      <c r="O593" s="130"/>
      <c r="P593" s="130"/>
    </row>
    <row r="594" spans="1:16" x14ac:dyDescent="0.2">
      <c r="A594" s="49" t="str">
        <v>0:00</v>
      </c>
      <c r="B594" s="108"/>
      <c r="C594" s="130"/>
      <c r="D594" s="130"/>
      <c r="E594" s="130"/>
      <c r="F594" s="130"/>
      <c r="G594" s="130"/>
      <c r="H594" s="130"/>
      <c r="I594" s="130"/>
      <c r="J594" s="130"/>
      <c r="K594" s="130"/>
      <c r="L594" s="130"/>
      <c r="M594" s="130"/>
      <c r="N594" s="130"/>
      <c r="O594" s="130"/>
      <c r="P594" s="130"/>
    </row>
    <row r="595" spans="1:16" x14ac:dyDescent="0.2">
      <c r="A595" s="49" t="str">
        <v>0:00</v>
      </c>
      <c r="B595" s="108"/>
      <c r="C595" s="130"/>
      <c r="D595" s="130"/>
      <c r="E595" s="130"/>
      <c r="F595" s="130"/>
      <c r="G595" s="130"/>
      <c r="H595" s="130"/>
      <c r="I595" s="130"/>
      <c r="J595" s="130"/>
      <c r="K595" s="130"/>
      <c r="L595" s="130"/>
      <c r="M595" s="130"/>
      <c r="N595" s="130"/>
      <c r="O595" s="130"/>
      <c r="P595" s="130"/>
    </row>
    <row r="596" spans="1:16" x14ac:dyDescent="0.2">
      <c r="A596" s="49" t="str">
        <v>0:00</v>
      </c>
      <c r="B596" s="108"/>
      <c r="C596" s="130"/>
      <c r="D596" s="130"/>
      <c r="E596" s="130"/>
      <c r="F596" s="130"/>
      <c r="G596" s="130"/>
      <c r="H596" s="130"/>
      <c r="I596" s="130"/>
      <c r="J596" s="130"/>
      <c r="K596" s="130"/>
      <c r="L596" s="130"/>
      <c r="M596" s="130"/>
      <c r="N596" s="130"/>
      <c r="O596" s="130"/>
      <c r="P596" s="130"/>
    </row>
    <row r="597" spans="1:16" x14ac:dyDescent="0.2">
      <c r="A597" s="49" t="str">
        <v>0:00</v>
      </c>
      <c r="B597" s="108"/>
      <c r="C597" s="130"/>
      <c r="D597" s="130"/>
      <c r="E597" s="130"/>
      <c r="F597" s="130"/>
      <c r="G597" s="130"/>
      <c r="H597" s="130"/>
      <c r="I597" s="130"/>
      <c r="J597" s="130"/>
      <c r="K597" s="130"/>
      <c r="L597" s="130"/>
      <c r="M597" s="130"/>
      <c r="N597" s="130"/>
      <c r="O597" s="130"/>
      <c r="P597" s="130"/>
    </row>
    <row r="598" spans="1:16" x14ac:dyDescent="0.2">
      <c r="A598" s="49" t="str">
        <v>0:00</v>
      </c>
      <c r="B598" s="108"/>
      <c r="C598" s="130"/>
      <c r="D598" s="130"/>
      <c r="E598" s="130"/>
      <c r="F598" s="130"/>
      <c r="G598" s="130"/>
      <c r="H598" s="130"/>
      <c r="I598" s="130"/>
      <c r="J598" s="130"/>
      <c r="K598" s="130"/>
      <c r="L598" s="130"/>
      <c r="M598" s="130"/>
      <c r="N598" s="130"/>
      <c r="O598" s="130"/>
      <c r="P598" s="130"/>
    </row>
    <row r="599" spans="1:16" x14ac:dyDescent="0.2">
      <c r="A599" s="49" t="str">
        <v>0:00</v>
      </c>
      <c r="B599" s="108"/>
      <c r="C599" s="130"/>
      <c r="D599" s="130"/>
      <c r="E599" s="130"/>
      <c r="F599" s="130"/>
      <c r="G599" s="130"/>
      <c r="H599" s="130"/>
      <c r="I599" s="130"/>
      <c r="J599" s="130"/>
      <c r="K599" s="130"/>
      <c r="L599" s="130"/>
      <c r="M599" s="130"/>
      <c r="N599" s="130"/>
      <c r="O599" s="130"/>
      <c r="P599" s="130"/>
    </row>
    <row r="600" spans="1:16" x14ac:dyDescent="0.2">
      <c r="A600" s="49" t="str">
        <v>0:00</v>
      </c>
      <c r="B600" s="108"/>
      <c r="C600" s="130"/>
      <c r="D600" s="130"/>
      <c r="E600" s="130"/>
      <c r="F600" s="130"/>
      <c r="G600" s="130"/>
      <c r="H600" s="130"/>
      <c r="I600" s="130"/>
      <c r="J600" s="130"/>
      <c r="K600" s="130"/>
      <c r="L600" s="130"/>
      <c r="M600" s="130"/>
      <c r="N600" s="130"/>
      <c r="O600" s="130"/>
      <c r="P600" s="130"/>
    </row>
    <row r="601" spans="1:16" x14ac:dyDescent="0.2">
      <c r="A601" s="49" t="str">
        <v>0:00</v>
      </c>
      <c r="B601" s="108"/>
      <c r="C601" s="130"/>
      <c r="D601" s="130"/>
      <c r="E601" s="130"/>
      <c r="F601" s="130"/>
      <c r="G601" s="130"/>
      <c r="H601" s="130"/>
      <c r="I601" s="130"/>
      <c r="J601" s="130"/>
      <c r="K601" s="130"/>
      <c r="L601" s="130"/>
      <c r="M601" s="130"/>
      <c r="N601" s="130"/>
      <c r="O601" s="130"/>
      <c r="P601" s="130"/>
    </row>
    <row r="602" spans="1:16" x14ac:dyDescent="0.2">
      <c r="A602" s="49" t="str">
        <v>0:00</v>
      </c>
      <c r="B602" s="108"/>
      <c r="C602" s="130"/>
      <c r="D602" s="130"/>
      <c r="E602" s="130"/>
      <c r="F602" s="130"/>
      <c r="G602" s="130"/>
      <c r="H602" s="130"/>
      <c r="I602" s="130"/>
      <c r="J602" s="130"/>
      <c r="K602" s="130"/>
      <c r="L602" s="130"/>
      <c r="M602" s="130"/>
      <c r="N602" s="130"/>
      <c r="O602" s="130"/>
      <c r="P602" s="130"/>
    </row>
    <row r="603" spans="1:16" x14ac:dyDescent="0.2">
      <c r="A603" s="49" t="str">
        <v>0:00</v>
      </c>
      <c r="B603" s="108"/>
      <c r="C603" s="130"/>
      <c r="D603" s="130"/>
      <c r="E603" s="130"/>
      <c r="F603" s="130"/>
      <c r="G603" s="130"/>
      <c r="H603" s="130"/>
      <c r="I603" s="130"/>
      <c r="J603" s="130"/>
      <c r="K603" s="130"/>
      <c r="L603" s="130"/>
      <c r="M603" s="130"/>
      <c r="N603" s="130"/>
      <c r="O603" s="130"/>
      <c r="P603" s="130"/>
    </row>
    <row r="604" spans="1:16" x14ac:dyDescent="0.2">
      <c r="A604" s="49" t="str">
        <v>0:00</v>
      </c>
      <c r="B604" s="108"/>
      <c r="C604" s="130"/>
      <c r="D604" s="130"/>
      <c r="E604" s="130"/>
      <c r="F604" s="130"/>
      <c r="G604" s="130"/>
      <c r="H604" s="130"/>
      <c r="I604" s="130"/>
      <c r="J604" s="130"/>
      <c r="K604" s="130"/>
      <c r="L604" s="130"/>
      <c r="M604" s="130"/>
      <c r="N604" s="130"/>
      <c r="O604" s="130"/>
      <c r="P604" s="130"/>
    </row>
    <row r="605" spans="1:16" x14ac:dyDescent="0.2">
      <c r="A605" s="49" t="str">
        <v>0:00</v>
      </c>
      <c r="B605" s="108"/>
      <c r="C605" s="130"/>
      <c r="D605" s="130"/>
      <c r="E605" s="130"/>
      <c r="F605" s="130"/>
      <c r="G605" s="130"/>
      <c r="H605" s="130"/>
      <c r="I605" s="130"/>
      <c r="J605" s="130"/>
      <c r="K605" s="130"/>
      <c r="L605" s="130"/>
      <c r="M605" s="130"/>
      <c r="N605" s="130"/>
      <c r="O605" s="130"/>
      <c r="P605" s="130"/>
    </row>
    <row r="606" spans="1:16" x14ac:dyDescent="0.2">
      <c r="A606" s="49" t="str">
        <v>0:00</v>
      </c>
      <c r="B606" s="108"/>
      <c r="C606" s="130"/>
      <c r="D606" s="130"/>
      <c r="E606" s="130"/>
      <c r="F606" s="130"/>
      <c r="G606" s="130"/>
      <c r="H606" s="130"/>
      <c r="I606" s="130"/>
      <c r="J606" s="130"/>
      <c r="K606" s="130"/>
      <c r="L606" s="130"/>
      <c r="M606" s="130"/>
      <c r="N606" s="130"/>
      <c r="O606" s="130"/>
      <c r="P606" s="130"/>
    </row>
    <row r="607" spans="1:16" x14ac:dyDescent="0.2">
      <c r="A607" s="49" t="str">
        <v>0:00</v>
      </c>
      <c r="B607" s="108"/>
      <c r="C607" s="130"/>
      <c r="D607" s="130"/>
      <c r="E607" s="130"/>
      <c r="F607" s="130"/>
      <c r="G607" s="130"/>
      <c r="H607" s="130"/>
      <c r="I607" s="130"/>
      <c r="J607" s="130"/>
      <c r="K607" s="130"/>
      <c r="L607" s="130"/>
      <c r="M607" s="130"/>
      <c r="N607" s="130"/>
      <c r="O607" s="130"/>
      <c r="P607" s="130"/>
    </row>
    <row r="608" spans="1:16" x14ac:dyDescent="0.2">
      <c r="A608" s="49" t="str">
        <v>0:00</v>
      </c>
      <c r="B608" s="108"/>
      <c r="C608" s="130"/>
      <c r="D608" s="130"/>
      <c r="E608" s="130"/>
      <c r="F608" s="130"/>
      <c r="G608" s="130"/>
      <c r="H608" s="130"/>
      <c r="I608" s="130"/>
      <c r="J608" s="130"/>
      <c r="K608" s="130"/>
      <c r="L608" s="130"/>
      <c r="M608" s="130"/>
      <c r="N608" s="130"/>
      <c r="O608" s="130"/>
      <c r="P608" s="130"/>
    </row>
    <row r="609" spans="1:16" x14ac:dyDescent="0.2">
      <c r="A609" s="49" t="str">
        <v>0:00</v>
      </c>
      <c r="B609" s="108"/>
      <c r="C609" s="130"/>
      <c r="D609" s="130"/>
      <c r="E609" s="130"/>
      <c r="F609" s="130"/>
      <c r="G609" s="130"/>
      <c r="H609" s="130"/>
      <c r="I609" s="130"/>
      <c r="J609" s="130"/>
      <c r="K609" s="130"/>
      <c r="L609" s="130"/>
      <c r="M609" s="130"/>
      <c r="N609" s="130"/>
      <c r="O609" s="130"/>
      <c r="P609" s="130"/>
    </row>
    <row r="610" spans="1:16" x14ac:dyDescent="0.2">
      <c r="A610" s="49" t="str">
        <v>0:00</v>
      </c>
      <c r="B610" s="108"/>
      <c r="C610" s="130"/>
      <c r="D610" s="130"/>
      <c r="E610" s="130"/>
      <c r="F610" s="130"/>
      <c r="G610" s="130"/>
      <c r="H610" s="130"/>
      <c r="I610" s="130"/>
      <c r="J610" s="130"/>
      <c r="K610" s="130"/>
      <c r="L610" s="130"/>
      <c r="M610" s="130"/>
      <c r="N610" s="130"/>
      <c r="O610" s="130"/>
      <c r="P610" s="130"/>
    </row>
    <row r="611" spans="1:16" x14ac:dyDescent="0.2">
      <c r="A611" s="49" t="str">
        <v>0:00</v>
      </c>
      <c r="B611" s="108"/>
      <c r="C611" s="130"/>
      <c r="D611" s="130"/>
      <c r="E611" s="130"/>
      <c r="F611" s="130"/>
      <c r="G611" s="130"/>
      <c r="H611" s="130"/>
      <c r="I611" s="130"/>
      <c r="J611" s="130"/>
      <c r="K611" s="130"/>
      <c r="L611" s="130"/>
      <c r="M611" s="130"/>
      <c r="N611" s="130"/>
      <c r="O611" s="130"/>
      <c r="P611" s="130"/>
    </row>
    <row r="612" spans="1:16" x14ac:dyDescent="0.2">
      <c r="A612" s="49" t="str">
        <v>0:00</v>
      </c>
      <c r="B612" s="108"/>
      <c r="C612" s="130"/>
      <c r="D612" s="130"/>
      <c r="E612" s="130"/>
      <c r="F612" s="130"/>
      <c r="G612" s="130"/>
      <c r="H612" s="130"/>
      <c r="I612" s="130"/>
      <c r="J612" s="130"/>
      <c r="K612" s="130"/>
      <c r="L612" s="130"/>
      <c r="M612" s="130"/>
      <c r="N612" s="130"/>
      <c r="O612" s="130"/>
      <c r="P612" s="130"/>
    </row>
    <row r="613" spans="1:16" x14ac:dyDescent="0.2">
      <c r="A613" s="49" t="str">
        <v>0:00</v>
      </c>
      <c r="B613" s="108"/>
      <c r="C613" s="130"/>
      <c r="D613" s="130"/>
      <c r="E613" s="130"/>
      <c r="F613" s="130"/>
      <c r="G613" s="130"/>
      <c r="H613" s="130"/>
      <c r="I613" s="130"/>
      <c r="J613" s="130"/>
      <c r="K613" s="130"/>
      <c r="L613" s="130"/>
      <c r="M613" s="130"/>
      <c r="N613" s="130"/>
      <c r="O613" s="130"/>
      <c r="P613" s="130"/>
    </row>
    <row r="614" spans="1:16" x14ac:dyDescent="0.2">
      <c r="A614" s="49" t="str">
        <v>0:00</v>
      </c>
      <c r="B614" s="108"/>
      <c r="C614" s="130"/>
      <c r="D614" s="130"/>
      <c r="E614" s="130"/>
      <c r="F614" s="130"/>
      <c r="G614" s="130"/>
      <c r="H614" s="130"/>
      <c r="I614" s="130"/>
      <c r="J614" s="130"/>
      <c r="K614" s="130"/>
      <c r="L614" s="130"/>
      <c r="M614" s="130"/>
      <c r="N614" s="130"/>
      <c r="O614" s="130"/>
      <c r="P614" s="130"/>
    </row>
    <row r="615" spans="1:16" x14ac:dyDescent="0.2">
      <c r="A615" s="49" t="str">
        <v>0:00</v>
      </c>
      <c r="B615" s="108"/>
      <c r="C615" s="130"/>
      <c r="D615" s="130"/>
      <c r="E615" s="130"/>
      <c r="F615" s="130"/>
      <c r="G615" s="130"/>
      <c r="H615" s="130"/>
      <c r="I615" s="130"/>
      <c r="J615" s="130"/>
      <c r="K615" s="130"/>
      <c r="L615" s="130"/>
      <c r="M615" s="130"/>
      <c r="N615" s="130"/>
      <c r="O615" s="130"/>
      <c r="P615" s="130"/>
    </row>
    <row r="616" spans="1:16" x14ac:dyDescent="0.2">
      <c r="A616" s="49" t="str">
        <v>0:00</v>
      </c>
      <c r="B616" s="108"/>
      <c r="C616" s="130"/>
      <c r="D616" s="130"/>
      <c r="E616" s="130"/>
      <c r="F616" s="130"/>
      <c r="G616" s="130"/>
      <c r="H616" s="130"/>
      <c r="I616" s="130"/>
      <c r="J616" s="130"/>
      <c r="K616" s="130"/>
      <c r="L616" s="130"/>
      <c r="M616" s="130"/>
      <c r="N616" s="130"/>
      <c r="O616" s="130"/>
      <c r="P616" s="130"/>
    </row>
    <row r="617" spans="1:16" x14ac:dyDescent="0.2">
      <c r="A617" s="49" t="str">
        <v>0:00</v>
      </c>
      <c r="B617" s="108"/>
      <c r="C617" s="130"/>
      <c r="D617" s="130"/>
      <c r="E617" s="130"/>
      <c r="F617" s="130"/>
      <c r="G617" s="130"/>
      <c r="H617" s="130"/>
      <c r="I617" s="130"/>
      <c r="J617" s="130"/>
      <c r="K617" s="130"/>
      <c r="L617" s="130"/>
      <c r="M617" s="130"/>
      <c r="N617" s="130"/>
      <c r="O617" s="130"/>
      <c r="P617" s="130"/>
    </row>
    <row r="618" spans="1:16" x14ac:dyDescent="0.2">
      <c r="A618" s="49" t="str">
        <v>0:00</v>
      </c>
      <c r="B618" s="108"/>
      <c r="C618" s="130"/>
      <c r="D618" s="130"/>
      <c r="E618" s="130"/>
      <c r="F618" s="130"/>
      <c r="G618" s="130"/>
      <c r="H618" s="130"/>
      <c r="I618" s="130"/>
      <c r="J618" s="130"/>
      <c r="K618" s="130"/>
      <c r="L618" s="130"/>
      <c r="M618" s="130"/>
      <c r="N618" s="130"/>
      <c r="O618" s="130"/>
      <c r="P618" s="130"/>
    </row>
    <row r="619" spans="1:16" x14ac:dyDescent="0.2">
      <c r="A619" s="49" t="str">
        <v>0:00</v>
      </c>
      <c r="B619" s="108"/>
      <c r="C619" s="130"/>
      <c r="D619" s="130"/>
      <c r="E619" s="130"/>
      <c r="F619" s="130"/>
      <c r="G619" s="130"/>
      <c r="H619" s="130"/>
      <c r="I619" s="130"/>
      <c r="J619" s="130"/>
      <c r="K619" s="130"/>
      <c r="L619" s="130"/>
      <c r="M619" s="130"/>
      <c r="N619" s="130"/>
      <c r="O619" s="130"/>
      <c r="P619" s="130"/>
    </row>
    <row r="620" spans="1:16" x14ac:dyDescent="0.2">
      <c r="A620" s="49" t="str">
        <v>0:00</v>
      </c>
      <c r="B620" s="108"/>
      <c r="C620" s="130"/>
      <c r="D620" s="130"/>
      <c r="E620" s="130"/>
      <c r="F620" s="130"/>
      <c r="G620" s="130"/>
      <c r="H620" s="130"/>
      <c r="I620" s="130"/>
      <c r="J620" s="130"/>
      <c r="K620" s="130"/>
      <c r="L620" s="130"/>
      <c r="M620" s="130"/>
      <c r="N620" s="130"/>
      <c r="O620" s="130"/>
      <c r="P620" s="130"/>
    </row>
    <row r="621" spans="1:16" x14ac:dyDescent="0.2">
      <c r="A621" s="49" t="str">
        <v>0:00</v>
      </c>
      <c r="B621" s="108"/>
      <c r="C621" s="130"/>
      <c r="D621" s="130"/>
      <c r="E621" s="130"/>
      <c r="F621" s="130"/>
      <c r="G621" s="130"/>
      <c r="H621" s="130"/>
      <c r="I621" s="130"/>
      <c r="J621" s="130"/>
      <c r="K621" s="130"/>
      <c r="L621" s="130"/>
      <c r="M621" s="130"/>
      <c r="N621" s="130"/>
      <c r="O621" s="130"/>
      <c r="P621" s="130"/>
    </row>
    <row r="622" spans="1:16" x14ac:dyDescent="0.2">
      <c r="A622" s="49" t="str">
        <v>0:00</v>
      </c>
      <c r="B622" s="108"/>
      <c r="C622" s="130"/>
      <c r="D622" s="130"/>
      <c r="E622" s="130"/>
      <c r="F622" s="130"/>
      <c r="G622" s="130"/>
      <c r="H622" s="130"/>
      <c r="I622" s="130"/>
      <c r="J622" s="130"/>
      <c r="K622" s="130"/>
      <c r="L622" s="130"/>
      <c r="M622" s="130"/>
      <c r="N622" s="130"/>
      <c r="O622" s="130"/>
      <c r="P622" s="130"/>
    </row>
    <row r="623" spans="1:16" x14ac:dyDescent="0.2">
      <c r="A623" s="49" t="str">
        <v>0:00</v>
      </c>
      <c r="B623" s="108"/>
      <c r="C623" s="130"/>
      <c r="D623" s="130"/>
      <c r="E623" s="130"/>
      <c r="F623" s="130"/>
      <c r="G623" s="130"/>
      <c r="H623" s="130"/>
      <c r="I623" s="130"/>
      <c r="J623" s="130"/>
      <c r="K623" s="130"/>
      <c r="L623" s="130"/>
      <c r="M623" s="130"/>
      <c r="N623" s="130"/>
      <c r="O623" s="130"/>
      <c r="P623" s="130"/>
    </row>
    <row r="624" spans="1:16" x14ac:dyDescent="0.2">
      <c r="A624" s="49" t="str">
        <v>0:00</v>
      </c>
      <c r="B624" s="108"/>
      <c r="C624" s="130"/>
      <c r="D624" s="130"/>
      <c r="E624" s="130"/>
      <c r="F624" s="130"/>
      <c r="G624" s="130"/>
      <c r="H624" s="130"/>
      <c r="I624" s="130"/>
      <c r="J624" s="130"/>
      <c r="K624" s="130"/>
      <c r="L624" s="130"/>
      <c r="M624" s="130"/>
      <c r="N624" s="130"/>
      <c r="O624" s="130"/>
      <c r="P624" s="130"/>
    </row>
    <row r="625" spans="1:16" x14ac:dyDescent="0.2">
      <c r="A625" s="49" t="str">
        <v>0:00</v>
      </c>
      <c r="B625" s="108"/>
      <c r="C625" s="130"/>
      <c r="D625" s="130"/>
      <c r="E625" s="130"/>
      <c r="F625" s="130"/>
      <c r="G625" s="130"/>
      <c r="H625" s="130"/>
      <c r="I625" s="130"/>
      <c r="J625" s="130"/>
      <c r="K625" s="130"/>
      <c r="L625" s="130"/>
      <c r="M625" s="130"/>
      <c r="N625" s="130"/>
      <c r="O625" s="130"/>
      <c r="P625" s="130"/>
    </row>
    <row r="626" spans="1:16" x14ac:dyDescent="0.2">
      <c r="A626" s="49" t="str">
        <v>0:00</v>
      </c>
      <c r="B626" s="108"/>
      <c r="C626" s="130"/>
      <c r="D626" s="130"/>
      <c r="E626" s="130"/>
      <c r="F626" s="130"/>
      <c r="G626" s="130"/>
      <c r="H626" s="130"/>
      <c r="I626" s="130"/>
      <c r="J626" s="130"/>
      <c r="K626" s="130"/>
      <c r="L626" s="130"/>
      <c r="M626" s="130"/>
      <c r="N626" s="130"/>
      <c r="O626" s="130"/>
      <c r="P626" s="130"/>
    </row>
    <row r="627" spans="1:16" x14ac:dyDescent="0.2">
      <c r="A627" s="49" t="str">
        <v>0:00</v>
      </c>
      <c r="B627" s="108"/>
      <c r="C627" s="130"/>
      <c r="D627" s="130"/>
      <c r="E627" s="130"/>
      <c r="F627" s="130"/>
      <c r="G627" s="130"/>
      <c r="H627" s="130"/>
      <c r="I627" s="130"/>
      <c r="J627" s="130"/>
      <c r="K627" s="130"/>
      <c r="L627" s="130"/>
      <c r="M627" s="130"/>
      <c r="N627" s="130"/>
      <c r="O627" s="130"/>
      <c r="P627" s="130"/>
    </row>
    <row r="628" spans="1:16" x14ac:dyDescent="0.2">
      <c r="A628" s="49" t="str">
        <v>0:00</v>
      </c>
      <c r="B628" s="108"/>
      <c r="C628" s="130"/>
      <c r="D628" s="130"/>
      <c r="E628" s="130"/>
      <c r="F628" s="130"/>
      <c r="G628" s="130"/>
      <c r="H628" s="130"/>
      <c r="I628" s="130"/>
      <c r="J628" s="130"/>
      <c r="K628" s="130"/>
      <c r="L628" s="130"/>
      <c r="M628" s="130"/>
      <c r="N628" s="130"/>
      <c r="O628" s="130"/>
      <c r="P628" s="130"/>
    </row>
    <row r="629" spans="1:16" x14ac:dyDescent="0.2">
      <c r="A629" s="49" t="str">
        <v>0:00</v>
      </c>
      <c r="B629" s="108"/>
      <c r="C629" s="130"/>
      <c r="D629" s="130"/>
      <c r="E629" s="130"/>
      <c r="F629" s="130"/>
      <c r="G629" s="130"/>
      <c r="H629" s="130"/>
      <c r="I629" s="130"/>
      <c r="J629" s="130"/>
      <c r="K629" s="130"/>
      <c r="L629" s="130"/>
      <c r="M629" s="130"/>
      <c r="N629" s="130"/>
      <c r="O629" s="130"/>
      <c r="P629" s="130"/>
    </row>
    <row r="630" spans="1:16" x14ac:dyDescent="0.2">
      <c r="A630" s="49" t="str">
        <v>0:00</v>
      </c>
      <c r="B630" s="108"/>
      <c r="C630" s="130"/>
      <c r="D630" s="130"/>
      <c r="E630" s="130"/>
      <c r="F630" s="130"/>
      <c r="G630" s="130"/>
      <c r="H630" s="130"/>
      <c r="I630" s="130"/>
      <c r="J630" s="130"/>
      <c r="K630" s="130"/>
      <c r="L630" s="130"/>
      <c r="M630" s="130"/>
      <c r="N630" s="130"/>
      <c r="O630" s="130"/>
      <c r="P630" s="130"/>
    </row>
    <row r="631" spans="1:16" x14ac:dyDescent="0.2">
      <c r="A631" s="49" t="str">
        <v>0:00</v>
      </c>
      <c r="B631" s="108"/>
      <c r="C631" s="130"/>
      <c r="D631" s="130"/>
      <c r="E631" s="130"/>
      <c r="F631" s="130"/>
      <c r="G631" s="130"/>
      <c r="H631" s="130"/>
      <c r="I631" s="130"/>
      <c r="J631" s="130"/>
      <c r="K631" s="130"/>
      <c r="L631" s="130"/>
      <c r="M631" s="130"/>
      <c r="N631" s="130"/>
      <c r="O631" s="130"/>
      <c r="P631" s="130"/>
    </row>
    <row r="632" spans="1:16" x14ac:dyDescent="0.2">
      <c r="A632" s="49" t="str">
        <v>0:00</v>
      </c>
      <c r="B632" s="108"/>
      <c r="C632" s="130"/>
      <c r="D632" s="130"/>
      <c r="E632" s="130"/>
      <c r="F632" s="130"/>
      <c r="G632" s="130"/>
      <c r="H632" s="130"/>
      <c r="I632" s="130"/>
      <c r="J632" s="130"/>
      <c r="K632" s="130"/>
      <c r="L632" s="130"/>
      <c r="M632" s="130"/>
      <c r="N632" s="130"/>
      <c r="O632" s="130"/>
      <c r="P632" s="130"/>
    </row>
    <row r="633" spans="1:16" x14ac:dyDescent="0.2">
      <c r="A633" s="49" t="str">
        <v>0:00</v>
      </c>
      <c r="B633" s="108"/>
      <c r="C633" s="130"/>
      <c r="D633" s="130"/>
      <c r="E633" s="130"/>
      <c r="F633" s="130"/>
      <c r="G633" s="130"/>
      <c r="H633" s="130"/>
      <c r="I633" s="130"/>
      <c r="J633" s="130"/>
      <c r="K633" s="130"/>
      <c r="L633" s="130"/>
      <c r="M633" s="130"/>
      <c r="N633" s="130"/>
      <c r="O633" s="130"/>
      <c r="P633" s="130"/>
    </row>
    <row r="634" spans="1:16" x14ac:dyDescent="0.2">
      <c r="A634" s="49" t="str">
        <v>0:00</v>
      </c>
      <c r="B634" s="108"/>
      <c r="C634" s="130"/>
      <c r="D634" s="130"/>
      <c r="E634" s="130"/>
      <c r="F634" s="130"/>
      <c r="G634" s="130"/>
      <c r="H634" s="130"/>
      <c r="I634" s="130"/>
      <c r="J634" s="130"/>
      <c r="K634" s="130"/>
      <c r="L634" s="130"/>
      <c r="M634" s="130"/>
      <c r="N634" s="130"/>
      <c r="O634" s="130"/>
      <c r="P634" s="130"/>
    </row>
    <row r="635" spans="1:16" x14ac:dyDescent="0.2">
      <c r="A635" s="49" t="str">
        <v>0:00</v>
      </c>
      <c r="B635" s="108"/>
      <c r="C635" s="130"/>
      <c r="D635" s="130"/>
      <c r="E635" s="130"/>
      <c r="F635" s="130"/>
      <c r="G635" s="130"/>
      <c r="H635" s="130"/>
      <c r="I635" s="130"/>
      <c r="J635" s="130"/>
      <c r="K635" s="130"/>
      <c r="L635" s="130"/>
      <c r="M635" s="130"/>
      <c r="N635" s="130"/>
      <c r="O635" s="130"/>
      <c r="P635" s="130"/>
    </row>
    <row r="636" spans="1:16" x14ac:dyDescent="0.2">
      <c r="A636" s="49" t="str">
        <v>0:00</v>
      </c>
      <c r="B636" s="108"/>
      <c r="C636" s="130"/>
      <c r="D636" s="130"/>
      <c r="E636" s="130"/>
      <c r="F636" s="130"/>
      <c r="G636" s="130"/>
      <c r="H636" s="130"/>
      <c r="I636" s="130"/>
      <c r="J636" s="130"/>
      <c r="K636" s="130"/>
      <c r="L636" s="130"/>
      <c r="M636" s="130"/>
      <c r="N636" s="130"/>
      <c r="O636" s="130"/>
      <c r="P636" s="130"/>
    </row>
    <row r="637" spans="1:16" x14ac:dyDescent="0.2">
      <c r="A637" s="49" t="str">
        <v>0:00</v>
      </c>
      <c r="B637" s="108"/>
      <c r="C637" s="130"/>
      <c r="D637" s="130"/>
      <c r="E637" s="130"/>
      <c r="F637" s="130"/>
      <c r="G637" s="130"/>
      <c r="H637" s="130"/>
      <c r="I637" s="130"/>
      <c r="J637" s="130"/>
      <c r="K637" s="130"/>
      <c r="L637" s="130"/>
      <c r="M637" s="130"/>
      <c r="N637" s="130"/>
      <c r="O637" s="130"/>
      <c r="P637" s="130"/>
    </row>
    <row r="638" spans="1:16" x14ac:dyDescent="0.2">
      <c r="A638" s="49" t="str">
        <v>0:00</v>
      </c>
      <c r="B638" s="108"/>
      <c r="C638" s="130"/>
      <c r="D638" s="130"/>
      <c r="E638" s="130"/>
      <c r="F638" s="130"/>
      <c r="G638" s="130"/>
      <c r="H638" s="130"/>
      <c r="I638" s="130"/>
      <c r="J638" s="130"/>
      <c r="K638" s="130"/>
      <c r="L638" s="130"/>
      <c r="M638" s="130"/>
      <c r="N638" s="130"/>
      <c r="O638" s="130"/>
      <c r="P638" s="130"/>
    </row>
    <row r="639" spans="1:16" x14ac:dyDescent="0.2">
      <c r="A639" s="49" t="str">
        <v>0:00</v>
      </c>
      <c r="B639" s="108"/>
      <c r="C639" s="130"/>
      <c r="D639" s="130"/>
      <c r="E639" s="130"/>
      <c r="F639" s="130"/>
      <c r="G639" s="130"/>
      <c r="H639" s="130"/>
      <c r="I639" s="130"/>
      <c r="J639" s="130"/>
      <c r="K639" s="130"/>
      <c r="L639" s="130"/>
      <c r="M639" s="130"/>
      <c r="N639" s="130"/>
      <c r="O639" s="130"/>
      <c r="P639" s="130"/>
    </row>
    <row r="640" spans="1:16" x14ac:dyDescent="0.2">
      <c r="A640" s="49" t="str">
        <v>0:00</v>
      </c>
      <c r="B640" s="108"/>
      <c r="C640" s="130"/>
      <c r="D640" s="130"/>
      <c r="E640" s="130"/>
      <c r="F640" s="130"/>
      <c r="G640" s="130"/>
      <c r="H640" s="130"/>
      <c r="I640" s="130"/>
      <c r="J640" s="130"/>
      <c r="K640" s="130"/>
      <c r="L640" s="130"/>
      <c r="M640" s="130"/>
      <c r="N640" s="130"/>
      <c r="O640" s="130"/>
      <c r="P640" s="130"/>
    </row>
    <row r="641" spans="1:16" x14ac:dyDescent="0.2">
      <c r="A641" s="49" t="str">
        <v>0:00</v>
      </c>
      <c r="B641" s="108"/>
      <c r="C641" s="130"/>
      <c r="D641" s="130"/>
      <c r="E641" s="130"/>
      <c r="F641" s="130"/>
      <c r="G641" s="130"/>
      <c r="H641" s="130"/>
      <c r="I641" s="130"/>
      <c r="J641" s="130"/>
      <c r="K641" s="130"/>
      <c r="L641" s="130"/>
      <c r="M641" s="130"/>
      <c r="N641" s="130"/>
      <c r="O641" s="130"/>
      <c r="P641" s="130"/>
    </row>
    <row r="642" spans="1:16" x14ac:dyDescent="0.2">
      <c r="A642" s="49" t="str">
        <v>0:00</v>
      </c>
      <c r="B642" s="108"/>
      <c r="C642" s="130"/>
      <c r="D642" s="130"/>
      <c r="E642" s="130"/>
      <c r="F642" s="130"/>
      <c r="G642" s="130"/>
      <c r="H642" s="130"/>
      <c r="I642" s="130"/>
      <c r="J642" s="130"/>
      <c r="K642" s="130"/>
      <c r="L642" s="130"/>
      <c r="M642" s="130"/>
      <c r="N642" s="130"/>
      <c r="O642" s="130"/>
      <c r="P642" s="130"/>
    </row>
    <row r="643" spans="1:16" x14ac:dyDescent="0.2">
      <c r="A643" s="49" t="str">
        <v>0:00</v>
      </c>
      <c r="B643" s="108"/>
      <c r="C643" s="130"/>
      <c r="D643" s="130"/>
      <c r="E643" s="130"/>
      <c r="F643" s="130"/>
      <c r="G643" s="130"/>
      <c r="H643" s="130"/>
      <c r="I643" s="130"/>
      <c r="J643" s="130"/>
      <c r="K643" s="130"/>
      <c r="L643" s="130"/>
      <c r="M643" s="130"/>
      <c r="N643" s="130"/>
      <c r="O643" s="130"/>
      <c r="P643" s="130"/>
    </row>
    <row r="644" spans="1:16" x14ac:dyDescent="0.2">
      <c r="A644" s="49" t="str">
        <v>0:00</v>
      </c>
      <c r="B644" s="108"/>
      <c r="C644" s="130"/>
      <c r="D644" s="130"/>
      <c r="E644" s="130"/>
      <c r="F644" s="130"/>
      <c r="G644" s="130"/>
      <c r="H644" s="130"/>
      <c r="I644" s="130"/>
      <c r="J644" s="130"/>
      <c r="K644" s="130"/>
      <c r="L644" s="130"/>
      <c r="M644" s="130"/>
      <c r="N644" s="130"/>
      <c r="O644" s="130"/>
      <c r="P644" s="130"/>
    </row>
    <row r="645" spans="1:16" x14ac:dyDescent="0.2">
      <c r="A645" s="49" t="str">
        <v>0:00</v>
      </c>
      <c r="B645" s="108"/>
      <c r="C645" s="130"/>
      <c r="D645" s="130"/>
      <c r="E645" s="130"/>
      <c r="F645" s="130"/>
      <c r="G645" s="130"/>
      <c r="H645" s="130"/>
      <c r="I645" s="130"/>
      <c r="J645" s="130"/>
      <c r="K645" s="130"/>
      <c r="L645" s="130"/>
      <c r="M645" s="130"/>
      <c r="N645" s="130"/>
      <c r="O645" s="130"/>
      <c r="P645" s="130"/>
    </row>
    <row r="646" spans="1:16" x14ac:dyDescent="0.2">
      <c r="A646" s="49" t="str">
        <v>0:00</v>
      </c>
      <c r="B646" s="108"/>
      <c r="C646" s="130"/>
      <c r="D646" s="130"/>
      <c r="E646" s="130"/>
      <c r="F646" s="130"/>
      <c r="G646" s="130"/>
      <c r="H646" s="130"/>
      <c r="I646" s="130"/>
      <c r="J646" s="130"/>
      <c r="K646" s="130"/>
      <c r="L646" s="130"/>
      <c r="M646" s="130"/>
      <c r="N646" s="130"/>
      <c r="O646" s="130"/>
      <c r="P646" s="130"/>
    </row>
    <row r="647" spans="1:16" x14ac:dyDescent="0.2">
      <c r="A647" s="49" t="str">
        <v>0:00</v>
      </c>
      <c r="B647" s="108"/>
      <c r="C647" s="130"/>
      <c r="D647" s="130"/>
      <c r="E647" s="130"/>
      <c r="F647" s="130"/>
      <c r="G647" s="130"/>
      <c r="H647" s="130"/>
      <c r="I647" s="130"/>
      <c r="J647" s="130"/>
      <c r="K647" s="130"/>
      <c r="L647" s="130"/>
      <c r="M647" s="130"/>
      <c r="N647" s="130"/>
      <c r="O647" s="130"/>
      <c r="P647" s="130"/>
    </row>
    <row r="648" spans="1:16" x14ac:dyDescent="0.2">
      <c r="A648" s="49" t="str">
        <v>0:00</v>
      </c>
      <c r="B648" s="108"/>
      <c r="C648" s="130"/>
      <c r="D648" s="130"/>
      <c r="E648" s="130"/>
      <c r="F648" s="130"/>
      <c r="G648" s="130"/>
      <c r="H648" s="130"/>
      <c r="I648" s="130"/>
      <c r="J648" s="130"/>
      <c r="K648" s="130"/>
      <c r="L648" s="130"/>
      <c r="M648" s="130"/>
      <c r="N648" s="130"/>
      <c r="O648" s="130"/>
      <c r="P648" s="130"/>
    </row>
    <row r="649" spans="1:16" x14ac:dyDescent="0.2">
      <c r="A649" s="49" t="str">
        <v>0:00</v>
      </c>
      <c r="B649" s="108"/>
      <c r="C649" s="130"/>
      <c r="D649" s="130"/>
      <c r="E649" s="130"/>
      <c r="F649" s="130"/>
      <c r="G649" s="130"/>
      <c r="H649" s="130"/>
      <c r="I649" s="130"/>
      <c r="J649" s="130"/>
      <c r="K649" s="130"/>
      <c r="L649" s="130"/>
      <c r="M649" s="130"/>
      <c r="N649" s="130"/>
      <c r="O649" s="130"/>
      <c r="P649" s="130"/>
    </row>
    <row r="650" spans="1:16" x14ac:dyDescent="0.2">
      <c r="A650" s="49" t="str">
        <v>0:00</v>
      </c>
      <c r="B650" s="108"/>
      <c r="C650" s="130"/>
      <c r="D650" s="130"/>
      <c r="E650" s="130"/>
      <c r="F650" s="130"/>
      <c r="G650" s="130"/>
      <c r="H650" s="130"/>
      <c r="I650" s="130"/>
      <c r="J650" s="130"/>
      <c r="K650" s="130"/>
      <c r="L650" s="130"/>
      <c r="M650" s="130"/>
      <c r="N650" s="130"/>
      <c r="O650" s="130"/>
      <c r="P650" s="130"/>
    </row>
    <row r="651" spans="1:16" x14ac:dyDescent="0.2">
      <c r="A651" s="49" t="str">
        <v>0:00</v>
      </c>
      <c r="B651" s="108"/>
      <c r="C651" s="130"/>
      <c r="D651" s="130"/>
      <c r="E651" s="130"/>
      <c r="F651" s="130"/>
      <c r="G651" s="130"/>
      <c r="H651" s="130"/>
      <c r="I651" s="130"/>
      <c r="J651" s="130"/>
      <c r="K651" s="130"/>
      <c r="L651" s="130"/>
      <c r="M651" s="130"/>
      <c r="N651" s="130"/>
      <c r="O651" s="130"/>
      <c r="P651" s="130"/>
    </row>
    <row r="652" spans="1:16" x14ac:dyDescent="0.2">
      <c r="A652" s="49" t="str">
        <v>0:00</v>
      </c>
      <c r="B652" s="108"/>
      <c r="C652" s="130"/>
      <c r="D652" s="130"/>
      <c r="E652" s="130"/>
      <c r="F652" s="130"/>
      <c r="G652" s="130"/>
      <c r="H652" s="130"/>
      <c r="I652" s="130"/>
      <c r="J652" s="130"/>
      <c r="K652" s="130"/>
      <c r="L652" s="130"/>
      <c r="M652" s="130"/>
      <c r="N652" s="130"/>
      <c r="O652" s="130"/>
      <c r="P652" s="130"/>
    </row>
    <row r="653" spans="1:16" x14ac:dyDescent="0.2">
      <c r="A653" s="49" t="str">
        <v>0:00</v>
      </c>
      <c r="B653" s="108"/>
      <c r="C653" s="130"/>
      <c r="D653" s="130"/>
      <c r="E653" s="130"/>
      <c r="F653" s="130"/>
      <c r="G653" s="130"/>
      <c r="H653" s="130"/>
      <c r="I653" s="130"/>
      <c r="J653" s="130"/>
      <c r="K653" s="130"/>
      <c r="L653" s="130"/>
      <c r="M653" s="130"/>
      <c r="N653" s="130"/>
      <c r="O653" s="130"/>
      <c r="P653" s="130"/>
    </row>
    <row r="654" spans="1:16" x14ac:dyDescent="0.2">
      <c r="A654" s="49" t="str">
        <v>0:00</v>
      </c>
      <c r="B654" s="108"/>
      <c r="C654" s="130"/>
      <c r="D654" s="130"/>
      <c r="E654" s="130"/>
      <c r="F654" s="130"/>
      <c r="G654" s="130"/>
      <c r="H654" s="130"/>
      <c r="I654" s="130"/>
      <c r="J654" s="130"/>
      <c r="K654" s="130"/>
      <c r="L654" s="130"/>
      <c r="M654" s="130"/>
      <c r="N654" s="130"/>
      <c r="O654" s="130"/>
      <c r="P654" s="130"/>
    </row>
    <row r="655" spans="1:16" x14ac:dyDescent="0.2">
      <c r="A655" s="49" t="str">
        <v>0:00</v>
      </c>
      <c r="B655" s="108"/>
      <c r="C655" s="130"/>
      <c r="D655" s="130"/>
      <c r="E655" s="130"/>
      <c r="F655" s="130"/>
      <c r="G655" s="130"/>
      <c r="H655" s="130"/>
      <c r="I655" s="130"/>
      <c r="J655" s="130"/>
      <c r="K655" s="130"/>
      <c r="L655" s="130"/>
      <c r="M655" s="130"/>
      <c r="N655" s="130"/>
      <c r="O655" s="130"/>
      <c r="P655" s="130"/>
    </row>
    <row r="656" spans="1:16" x14ac:dyDescent="0.2">
      <c r="A656" s="49" t="str">
        <v>0:00</v>
      </c>
      <c r="B656" s="108"/>
      <c r="C656" s="130"/>
      <c r="D656" s="130"/>
      <c r="E656" s="130"/>
      <c r="F656" s="130"/>
      <c r="G656" s="130"/>
      <c r="H656" s="130"/>
      <c r="I656" s="130"/>
      <c r="J656" s="130"/>
      <c r="K656" s="130"/>
      <c r="L656" s="130"/>
      <c r="M656" s="130"/>
      <c r="N656" s="130"/>
      <c r="O656" s="130"/>
      <c r="P656" s="130"/>
    </row>
    <row r="657" spans="1:16" x14ac:dyDescent="0.2">
      <c r="A657" s="49" t="str">
        <v>0:00</v>
      </c>
      <c r="B657" s="108"/>
      <c r="C657" s="130"/>
      <c r="D657" s="130"/>
      <c r="E657" s="130"/>
      <c r="F657" s="130"/>
      <c r="G657" s="130"/>
      <c r="H657" s="130"/>
      <c r="I657" s="130"/>
      <c r="J657" s="130"/>
      <c r="K657" s="130"/>
      <c r="L657" s="130"/>
      <c r="M657" s="130"/>
      <c r="N657" s="130"/>
      <c r="O657" s="130"/>
      <c r="P657" s="130"/>
    </row>
    <row r="658" spans="1:16" x14ac:dyDescent="0.2">
      <c r="A658" s="49" t="str">
        <v>0:00</v>
      </c>
      <c r="B658" s="108"/>
      <c r="C658" s="130"/>
      <c r="D658" s="130"/>
      <c r="E658" s="130"/>
      <c r="F658" s="130"/>
      <c r="G658" s="130"/>
      <c r="H658" s="130"/>
      <c r="I658" s="130"/>
      <c r="J658" s="130"/>
      <c r="K658" s="130"/>
      <c r="L658" s="130"/>
      <c r="M658" s="130"/>
      <c r="N658" s="130"/>
      <c r="O658" s="130"/>
      <c r="P658" s="130"/>
    </row>
    <row r="659" spans="1:16" x14ac:dyDescent="0.2">
      <c r="A659" s="49" t="str">
        <v>0:00</v>
      </c>
      <c r="B659" s="108"/>
      <c r="C659" s="130"/>
      <c r="D659" s="130"/>
      <c r="E659" s="130"/>
      <c r="F659" s="130"/>
      <c r="G659" s="130"/>
      <c r="H659" s="130"/>
      <c r="I659" s="130"/>
      <c r="J659" s="130"/>
      <c r="K659" s="130"/>
      <c r="L659" s="130"/>
      <c r="M659" s="130"/>
      <c r="N659" s="130"/>
      <c r="O659" s="130"/>
      <c r="P659" s="130"/>
    </row>
    <row r="660" spans="1:16" x14ac:dyDescent="0.2">
      <c r="A660" s="49" t="str">
        <v>0:00</v>
      </c>
      <c r="B660" s="108"/>
      <c r="C660" s="130"/>
      <c r="D660" s="130"/>
      <c r="E660" s="130"/>
      <c r="F660" s="130"/>
      <c r="G660" s="130"/>
      <c r="H660" s="130"/>
      <c r="I660" s="130"/>
      <c r="J660" s="130"/>
      <c r="K660" s="130"/>
      <c r="L660" s="130"/>
      <c r="M660" s="130"/>
      <c r="N660" s="130"/>
      <c r="O660" s="130"/>
      <c r="P660" s="130"/>
    </row>
    <row r="661" spans="1:16" x14ac:dyDescent="0.2">
      <c r="A661" s="49" t="str">
        <v>0:00</v>
      </c>
      <c r="B661" s="108"/>
      <c r="C661" s="130"/>
      <c r="D661" s="130"/>
      <c r="E661" s="130"/>
      <c r="F661" s="130"/>
      <c r="G661" s="130"/>
      <c r="H661" s="130"/>
      <c r="I661" s="130"/>
      <c r="J661" s="130"/>
      <c r="K661" s="130"/>
      <c r="L661" s="130"/>
      <c r="M661" s="130"/>
      <c r="N661" s="130"/>
      <c r="O661" s="130"/>
      <c r="P661" s="130"/>
    </row>
    <row r="662" spans="1:16" x14ac:dyDescent="0.2">
      <c r="A662" s="49" t="str">
        <v>0:00</v>
      </c>
      <c r="B662" s="108"/>
      <c r="C662" s="130"/>
      <c r="D662" s="130"/>
      <c r="E662" s="130"/>
      <c r="F662" s="130"/>
      <c r="G662" s="130"/>
      <c r="H662" s="130"/>
      <c r="I662" s="130"/>
      <c r="J662" s="130"/>
      <c r="K662" s="130"/>
      <c r="L662" s="130"/>
      <c r="M662" s="130"/>
      <c r="N662" s="130"/>
      <c r="O662" s="130"/>
      <c r="P662" s="130"/>
    </row>
    <row r="663" spans="1:16" x14ac:dyDescent="0.2">
      <c r="A663" s="49" t="str">
        <v>0:00</v>
      </c>
      <c r="B663" s="108"/>
      <c r="C663" s="130"/>
      <c r="D663" s="130"/>
      <c r="E663" s="130"/>
      <c r="F663" s="130"/>
      <c r="G663" s="130"/>
      <c r="H663" s="130"/>
      <c r="I663" s="130"/>
      <c r="J663" s="130"/>
      <c r="K663" s="130"/>
      <c r="L663" s="130"/>
      <c r="M663" s="130"/>
      <c r="N663" s="130"/>
      <c r="O663" s="130"/>
      <c r="P663" s="130"/>
    </row>
    <row r="664" spans="1:16" x14ac:dyDescent="0.2">
      <c r="A664" s="49" t="str">
        <v>0:00</v>
      </c>
      <c r="B664" s="108"/>
      <c r="C664" s="130"/>
      <c r="D664" s="130"/>
      <c r="E664" s="130"/>
      <c r="F664" s="130"/>
      <c r="G664" s="130"/>
      <c r="H664" s="130"/>
      <c r="I664" s="130"/>
      <c r="J664" s="130"/>
      <c r="K664" s="130"/>
      <c r="L664" s="130"/>
      <c r="M664" s="130"/>
      <c r="N664" s="130"/>
      <c r="O664" s="130"/>
      <c r="P664" s="130"/>
    </row>
    <row r="665" spans="1:16" x14ac:dyDescent="0.2">
      <c r="A665" s="49" t="str">
        <v>0:00</v>
      </c>
      <c r="B665" s="108"/>
      <c r="C665" s="130"/>
      <c r="D665" s="130"/>
      <c r="E665" s="130"/>
      <c r="F665" s="130"/>
      <c r="G665" s="130"/>
      <c r="H665" s="130"/>
      <c r="I665" s="130"/>
      <c r="J665" s="130"/>
      <c r="K665" s="130"/>
      <c r="L665" s="130"/>
      <c r="M665" s="130"/>
      <c r="N665" s="130"/>
      <c r="O665" s="130"/>
      <c r="P665" s="130"/>
    </row>
    <row r="666" spans="1:16" x14ac:dyDescent="0.2">
      <c r="A666" s="49" t="str">
        <v>0:00</v>
      </c>
      <c r="B666" s="108"/>
      <c r="C666" s="130"/>
      <c r="D666" s="130"/>
      <c r="E666" s="130"/>
      <c r="F666" s="130"/>
      <c r="G666" s="130"/>
      <c r="H666" s="130"/>
      <c r="I666" s="130"/>
      <c r="J666" s="130"/>
      <c r="K666" s="130"/>
      <c r="L666" s="130"/>
      <c r="M666" s="130"/>
      <c r="N666" s="130"/>
      <c r="O666" s="130"/>
      <c r="P666" s="130"/>
    </row>
    <row r="667" spans="1:16" x14ac:dyDescent="0.2">
      <c r="A667" s="49" t="str">
        <v>0:00</v>
      </c>
      <c r="B667" s="108"/>
      <c r="C667" s="130"/>
      <c r="D667" s="130"/>
      <c r="E667" s="130"/>
      <c r="F667" s="130"/>
      <c r="G667" s="130"/>
      <c r="H667" s="130"/>
      <c r="I667" s="130"/>
      <c r="J667" s="130"/>
      <c r="K667" s="130"/>
      <c r="L667" s="130"/>
      <c r="M667" s="130"/>
      <c r="N667" s="130"/>
      <c r="O667" s="130"/>
      <c r="P667" s="130"/>
    </row>
    <row r="668" spans="1:16" x14ac:dyDescent="0.2">
      <c r="A668" s="49" t="str">
        <v>0:00</v>
      </c>
      <c r="B668" s="108"/>
      <c r="C668" s="130"/>
      <c r="D668" s="130"/>
      <c r="E668" s="130"/>
      <c r="F668" s="130"/>
      <c r="G668" s="130"/>
      <c r="H668" s="130"/>
      <c r="I668" s="130"/>
      <c r="J668" s="130"/>
      <c r="K668" s="130"/>
      <c r="L668" s="130"/>
      <c r="M668" s="130"/>
      <c r="N668" s="130"/>
      <c r="O668" s="130"/>
      <c r="P668" s="130"/>
    </row>
    <row r="669" spans="1:16" x14ac:dyDescent="0.2">
      <c r="A669" s="49" t="str">
        <v>0:00</v>
      </c>
      <c r="B669" s="108"/>
      <c r="C669" s="130"/>
      <c r="D669" s="130"/>
      <c r="E669" s="130"/>
      <c r="F669" s="130"/>
      <c r="G669" s="130"/>
      <c r="H669" s="130"/>
      <c r="I669" s="130"/>
      <c r="J669" s="130"/>
      <c r="K669" s="130"/>
      <c r="L669" s="130"/>
      <c r="M669" s="130"/>
      <c r="N669" s="130"/>
      <c r="O669" s="130"/>
      <c r="P669" s="130"/>
    </row>
    <row r="670" spans="1:16" x14ac:dyDescent="0.2">
      <c r="A670" s="49" t="str">
        <v>0:00</v>
      </c>
      <c r="B670" s="108"/>
      <c r="C670" s="130"/>
      <c r="D670" s="130"/>
      <c r="E670" s="130"/>
      <c r="F670" s="130"/>
      <c r="G670" s="130"/>
      <c r="H670" s="130"/>
      <c r="I670" s="130"/>
      <c r="J670" s="130"/>
      <c r="K670" s="130"/>
      <c r="L670" s="130"/>
      <c r="M670" s="130"/>
      <c r="N670" s="130"/>
      <c r="O670" s="130"/>
      <c r="P670" s="130"/>
    </row>
    <row r="671" spans="1:16" x14ac:dyDescent="0.2">
      <c r="A671" s="49" t="str">
        <v>0:00</v>
      </c>
      <c r="B671" s="108"/>
      <c r="C671" s="130"/>
      <c r="D671" s="130"/>
      <c r="E671" s="130"/>
      <c r="F671" s="130"/>
      <c r="G671" s="130"/>
      <c r="H671" s="130"/>
      <c r="I671" s="130"/>
      <c r="J671" s="130"/>
      <c r="K671" s="130"/>
      <c r="L671" s="130"/>
      <c r="M671" s="130"/>
      <c r="N671" s="130"/>
      <c r="O671" s="130"/>
      <c r="P671" s="130"/>
    </row>
    <row r="672" spans="1:16" x14ac:dyDescent="0.2">
      <c r="A672" s="49" t="str">
        <v>0:00</v>
      </c>
      <c r="B672" s="108"/>
      <c r="C672" s="130"/>
      <c r="D672" s="130"/>
      <c r="E672" s="130"/>
      <c r="F672" s="130"/>
      <c r="G672" s="130"/>
      <c r="H672" s="130"/>
      <c r="I672" s="130"/>
      <c r="J672" s="130"/>
      <c r="K672" s="130"/>
      <c r="L672" s="130"/>
      <c r="M672" s="130"/>
      <c r="N672" s="130"/>
      <c r="O672" s="130"/>
      <c r="P672" s="130"/>
    </row>
    <row r="673" spans="1:16" x14ac:dyDescent="0.2">
      <c r="A673" s="49" t="str">
        <v>0:00</v>
      </c>
      <c r="B673" s="108"/>
      <c r="C673" s="130"/>
      <c r="D673" s="130"/>
      <c r="E673" s="130"/>
      <c r="F673" s="130"/>
      <c r="G673" s="130"/>
      <c r="H673" s="130"/>
      <c r="I673" s="130"/>
      <c r="J673" s="130"/>
      <c r="K673" s="130"/>
      <c r="L673" s="130"/>
      <c r="M673" s="130"/>
      <c r="N673" s="130"/>
      <c r="O673" s="130"/>
      <c r="P673" s="130"/>
    </row>
    <row r="674" spans="1:16" x14ac:dyDescent="0.2">
      <c r="A674" s="49" t="str">
        <v>0:00</v>
      </c>
      <c r="B674" s="108"/>
      <c r="C674" s="130"/>
      <c r="D674" s="130"/>
      <c r="E674" s="130"/>
      <c r="F674" s="130"/>
      <c r="G674" s="130"/>
      <c r="H674" s="130"/>
      <c r="I674" s="130"/>
      <c r="J674" s="130"/>
      <c r="K674" s="130"/>
      <c r="L674" s="130"/>
      <c r="M674" s="130"/>
      <c r="N674" s="130"/>
      <c r="O674" s="130"/>
      <c r="P674" s="130"/>
    </row>
    <row r="675" spans="1:16" x14ac:dyDescent="0.2">
      <c r="A675" s="49" t="str">
        <v>0:00</v>
      </c>
      <c r="B675" s="108"/>
      <c r="C675" s="130"/>
      <c r="D675" s="130"/>
      <c r="E675" s="130"/>
      <c r="F675" s="130"/>
      <c r="G675" s="130"/>
      <c r="H675" s="130"/>
      <c r="I675" s="130"/>
      <c r="J675" s="130"/>
      <c r="K675" s="130"/>
      <c r="L675" s="130"/>
      <c r="M675" s="130"/>
      <c r="N675" s="130"/>
      <c r="O675" s="130"/>
      <c r="P675" s="130"/>
    </row>
    <row r="676" spans="1:16" x14ac:dyDescent="0.2">
      <c r="A676" s="49" t="str">
        <v>0:00</v>
      </c>
      <c r="B676" s="108"/>
      <c r="C676" s="130"/>
      <c r="D676" s="130"/>
      <c r="E676" s="130"/>
      <c r="F676" s="130"/>
      <c r="G676" s="130"/>
      <c r="H676" s="130"/>
      <c r="I676" s="130"/>
      <c r="J676" s="130"/>
      <c r="K676" s="130"/>
      <c r="L676" s="130"/>
      <c r="M676" s="130"/>
      <c r="N676" s="130"/>
      <c r="O676" s="130"/>
      <c r="P676" s="130"/>
    </row>
    <row r="677" spans="1:16" x14ac:dyDescent="0.2">
      <c r="A677" s="49" t="str">
        <v>0:00</v>
      </c>
      <c r="B677" s="108"/>
      <c r="C677" s="130"/>
      <c r="D677" s="130"/>
      <c r="E677" s="130"/>
      <c r="F677" s="130"/>
      <c r="G677" s="130"/>
      <c r="H677" s="130"/>
      <c r="I677" s="130"/>
      <c r="J677" s="130"/>
      <c r="K677" s="130"/>
      <c r="L677" s="130"/>
      <c r="M677" s="130"/>
      <c r="N677" s="130"/>
      <c r="O677" s="130"/>
      <c r="P677" s="130"/>
    </row>
    <row r="678" spans="1:16" x14ac:dyDescent="0.2">
      <c r="A678" s="49" t="str">
        <v>0:00</v>
      </c>
      <c r="B678" s="108"/>
      <c r="C678" s="130"/>
      <c r="D678" s="130"/>
      <c r="E678" s="130"/>
      <c r="F678" s="130"/>
      <c r="G678" s="130"/>
      <c r="H678" s="130"/>
      <c r="I678" s="130"/>
      <c r="J678" s="130"/>
      <c r="K678" s="130"/>
      <c r="L678" s="130"/>
      <c r="M678" s="130"/>
      <c r="N678" s="130"/>
      <c r="O678" s="130"/>
      <c r="P678" s="130"/>
    </row>
    <row r="679" spans="1:16" x14ac:dyDescent="0.2">
      <c r="A679" s="49" t="str">
        <v>0:00</v>
      </c>
      <c r="B679" s="108"/>
      <c r="C679" s="130"/>
      <c r="D679" s="130"/>
      <c r="E679" s="130"/>
      <c r="F679" s="130"/>
      <c r="G679" s="130"/>
      <c r="H679" s="130"/>
      <c r="I679" s="130"/>
      <c r="J679" s="130"/>
      <c r="K679" s="130"/>
      <c r="L679" s="130"/>
      <c r="M679" s="130"/>
      <c r="N679" s="130"/>
      <c r="O679" s="130"/>
      <c r="P679" s="130"/>
    </row>
    <row r="680" spans="1:16" x14ac:dyDescent="0.2">
      <c r="A680" s="49" t="str">
        <v>0:00</v>
      </c>
      <c r="B680" s="108"/>
      <c r="C680" s="130"/>
      <c r="D680" s="130"/>
      <c r="E680" s="130"/>
      <c r="F680" s="130"/>
      <c r="G680" s="130"/>
      <c r="H680" s="130"/>
      <c r="I680" s="130"/>
      <c r="J680" s="130"/>
      <c r="K680" s="130"/>
      <c r="L680" s="130"/>
      <c r="M680" s="130"/>
      <c r="N680" s="130"/>
      <c r="O680" s="130"/>
      <c r="P680" s="130"/>
    </row>
    <row r="681" spans="1:16" x14ac:dyDescent="0.2">
      <c r="A681" s="49" t="str">
        <v>0:00</v>
      </c>
      <c r="B681" s="108"/>
      <c r="C681" s="130"/>
      <c r="D681" s="130"/>
      <c r="E681" s="130"/>
      <c r="F681" s="130"/>
      <c r="G681" s="130"/>
      <c r="H681" s="130"/>
      <c r="I681" s="130"/>
      <c r="J681" s="130"/>
      <c r="K681" s="130"/>
      <c r="L681" s="130"/>
      <c r="M681" s="130"/>
      <c r="N681" s="130"/>
      <c r="O681" s="130"/>
      <c r="P681" s="130"/>
    </row>
    <row r="682" spans="1:16" x14ac:dyDescent="0.2">
      <c r="A682" s="49" t="str">
        <v>0:00</v>
      </c>
      <c r="B682" s="108"/>
      <c r="C682" s="130"/>
      <c r="D682" s="130"/>
      <c r="E682" s="130"/>
      <c r="F682" s="130"/>
      <c r="G682" s="130"/>
      <c r="H682" s="130"/>
      <c r="I682" s="130"/>
      <c r="J682" s="130"/>
      <c r="K682" s="130"/>
      <c r="L682" s="130"/>
      <c r="M682" s="130"/>
      <c r="N682" s="130"/>
      <c r="O682" s="130"/>
      <c r="P682" s="130"/>
    </row>
    <row r="683" spans="1:16" x14ac:dyDescent="0.2">
      <c r="A683" s="49" t="str">
        <v>0:00</v>
      </c>
      <c r="B683" s="108"/>
      <c r="C683" s="130"/>
      <c r="D683" s="130"/>
      <c r="E683" s="130"/>
      <c r="F683" s="130"/>
      <c r="G683" s="130"/>
      <c r="H683" s="130"/>
      <c r="I683" s="130"/>
      <c r="J683" s="130"/>
      <c r="K683" s="130"/>
      <c r="L683" s="130"/>
      <c r="M683" s="130"/>
      <c r="N683" s="130"/>
      <c r="O683" s="130"/>
      <c r="P683" s="130"/>
    </row>
    <row r="684" spans="1:16" x14ac:dyDescent="0.2">
      <c r="A684" s="49" t="str">
        <v>0:00</v>
      </c>
      <c r="B684" s="108"/>
      <c r="C684" s="130"/>
      <c r="D684" s="130"/>
      <c r="E684" s="130"/>
      <c r="F684" s="130"/>
      <c r="G684" s="130"/>
      <c r="H684" s="130"/>
      <c r="I684" s="130"/>
      <c r="J684" s="130"/>
      <c r="K684" s="130"/>
      <c r="L684" s="130"/>
      <c r="M684" s="130"/>
      <c r="N684" s="130"/>
      <c r="O684" s="130"/>
      <c r="P684" s="130"/>
    </row>
    <row r="685" spans="1:16" x14ac:dyDescent="0.2">
      <c r="A685" s="49" t="str">
        <v>0:00</v>
      </c>
      <c r="B685" s="108"/>
      <c r="C685" s="130"/>
      <c r="D685" s="130"/>
      <c r="E685" s="130"/>
      <c r="F685" s="130"/>
      <c r="G685" s="130"/>
      <c r="H685" s="130"/>
      <c r="I685" s="130"/>
      <c r="J685" s="130"/>
      <c r="K685" s="130"/>
      <c r="L685" s="130"/>
      <c r="M685" s="130"/>
      <c r="N685" s="130"/>
      <c r="O685" s="130"/>
      <c r="P685" s="130"/>
    </row>
    <row r="686" spans="1:16" x14ac:dyDescent="0.2">
      <c r="A686" s="49" t="str">
        <v>0:00</v>
      </c>
      <c r="B686" s="108"/>
      <c r="C686" s="130"/>
      <c r="D686" s="130"/>
      <c r="E686" s="130"/>
      <c r="F686" s="130"/>
      <c r="G686" s="130"/>
      <c r="H686" s="130"/>
      <c r="I686" s="130"/>
      <c r="J686" s="130"/>
      <c r="K686" s="130"/>
      <c r="L686" s="130"/>
      <c r="M686" s="130"/>
      <c r="N686" s="130"/>
      <c r="O686" s="130"/>
      <c r="P686" s="130"/>
    </row>
    <row r="687" spans="1:16" x14ac:dyDescent="0.2">
      <c r="A687" s="49" t="str">
        <v>0:00</v>
      </c>
      <c r="B687" s="108"/>
      <c r="C687" s="130"/>
      <c r="D687" s="130"/>
      <c r="E687" s="130"/>
      <c r="F687" s="130"/>
      <c r="G687" s="130"/>
      <c r="H687" s="130"/>
      <c r="I687" s="130"/>
      <c r="J687" s="130"/>
      <c r="K687" s="130"/>
      <c r="L687" s="130"/>
      <c r="M687" s="130"/>
      <c r="N687" s="130"/>
      <c r="O687" s="130"/>
      <c r="P687" s="130"/>
    </row>
    <row r="688" spans="1:16" x14ac:dyDescent="0.2">
      <c r="A688" s="49" t="str">
        <v>0:00</v>
      </c>
      <c r="B688" s="108"/>
      <c r="C688" s="130"/>
      <c r="D688" s="130"/>
      <c r="E688" s="130"/>
      <c r="F688" s="130"/>
      <c r="G688" s="130"/>
      <c r="H688" s="130"/>
      <c r="I688" s="130"/>
      <c r="J688" s="130"/>
      <c r="K688" s="130"/>
      <c r="L688" s="130"/>
      <c r="M688" s="130"/>
      <c r="N688" s="130"/>
      <c r="O688" s="130"/>
      <c r="P688" s="130"/>
    </row>
    <row r="689" spans="1:16" x14ac:dyDescent="0.2">
      <c r="A689" s="49" t="str">
        <v>0:00</v>
      </c>
      <c r="B689" s="108"/>
      <c r="C689" s="130"/>
      <c r="D689" s="130"/>
      <c r="E689" s="130"/>
      <c r="F689" s="130"/>
      <c r="G689" s="130"/>
      <c r="H689" s="130"/>
      <c r="I689" s="130"/>
      <c r="J689" s="130"/>
      <c r="K689" s="130"/>
      <c r="L689" s="130"/>
      <c r="M689" s="130"/>
      <c r="N689" s="130"/>
      <c r="O689" s="130"/>
      <c r="P689" s="130"/>
    </row>
    <row r="690" spans="1:16" x14ac:dyDescent="0.2">
      <c r="A690" s="49" t="str">
        <v>0:00</v>
      </c>
      <c r="B690" s="108"/>
      <c r="C690" s="130"/>
      <c r="D690" s="130"/>
      <c r="E690" s="130"/>
      <c r="F690" s="130"/>
      <c r="G690" s="130"/>
      <c r="H690" s="130"/>
      <c r="I690" s="130"/>
      <c r="J690" s="130"/>
      <c r="K690" s="130"/>
      <c r="L690" s="130"/>
      <c r="M690" s="130"/>
      <c r="N690" s="130"/>
      <c r="O690" s="130"/>
      <c r="P690" s="130"/>
    </row>
    <row r="691" spans="1:16" x14ac:dyDescent="0.2">
      <c r="A691" s="49" t="str">
        <v>0:00</v>
      </c>
      <c r="B691" s="108"/>
      <c r="C691" s="130"/>
      <c r="D691" s="130"/>
      <c r="E691" s="130"/>
      <c r="F691" s="130"/>
      <c r="G691" s="130"/>
      <c r="H691" s="130"/>
      <c r="I691" s="130"/>
      <c r="J691" s="130"/>
      <c r="K691" s="130"/>
      <c r="L691" s="130"/>
      <c r="M691" s="130"/>
      <c r="N691" s="130"/>
      <c r="O691" s="130"/>
      <c r="P691" s="130"/>
    </row>
    <row r="692" spans="1:16" x14ac:dyDescent="0.2">
      <c r="A692" s="49" t="str">
        <v>0:00</v>
      </c>
      <c r="B692" s="108"/>
      <c r="C692" s="130"/>
      <c r="D692" s="130"/>
      <c r="E692" s="130"/>
      <c r="F692" s="130"/>
      <c r="G692" s="130"/>
      <c r="H692" s="130"/>
      <c r="I692" s="130"/>
      <c r="J692" s="130"/>
      <c r="K692" s="130"/>
      <c r="L692" s="130"/>
      <c r="M692" s="130"/>
      <c r="N692" s="130"/>
      <c r="O692" s="130"/>
      <c r="P692" s="130"/>
    </row>
    <row r="693" spans="1:16" x14ac:dyDescent="0.2">
      <c r="A693" s="49" t="str">
        <v>0:00</v>
      </c>
      <c r="B693" s="108"/>
      <c r="C693" s="130"/>
      <c r="D693" s="130"/>
      <c r="E693" s="130"/>
      <c r="F693" s="130"/>
      <c r="G693" s="130"/>
      <c r="H693" s="130"/>
      <c r="I693" s="130"/>
      <c r="J693" s="130"/>
      <c r="K693" s="130"/>
      <c r="L693" s="130"/>
      <c r="M693" s="130"/>
      <c r="N693" s="130"/>
      <c r="O693" s="130"/>
      <c r="P693" s="130"/>
    </row>
    <row r="694" spans="1:16" x14ac:dyDescent="0.2">
      <c r="A694" s="49" t="str">
        <v>0:00</v>
      </c>
      <c r="B694" s="108"/>
      <c r="C694" s="130"/>
      <c r="D694" s="130"/>
      <c r="E694" s="130"/>
      <c r="F694" s="130"/>
      <c r="G694" s="130"/>
      <c r="H694" s="130"/>
      <c r="I694" s="130"/>
      <c r="J694" s="130"/>
      <c r="K694" s="130"/>
      <c r="L694" s="130"/>
      <c r="M694" s="130"/>
      <c r="N694" s="130"/>
      <c r="O694" s="130"/>
      <c r="P694" s="130"/>
    </row>
    <row r="695" spans="1:16" x14ac:dyDescent="0.2">
      <c r="A695" s="49" t="str">
        <v>0:00</v>
      </c>
      <c r="B695" s="108"/>
      <c r="C695" s="130"/>
      <c r="D695" s="130"/>
      <c r="E695" s="130"/>
      <c r="F695" s="130"/>
      <c r="G695" s="130"/>
      <c r="H695" s="130"/>
      <c r="I695" s="130"/>
      <c r="J695" s="130"/>
      <c r="K695" s="130"/>
      <c r="L695" s="130"/>
      <c r="M695" s="130"/>
      <c r="N695" s="130"/>
      <c r="O695" s="130"/>
      <c r="P695" s="130"/>
    </row>
    <row r="696" spans="1:16" x14ac:dyDescent="0.2">
      <c r="A696" s="49" t="str">
        <v>0:00</v>
      </c>
      <c r="B696" s="108"/>
      <c r="C696" s="130"/>
      <c r="D696" s="130"/>
      <c r="E696" s="130"/>
      <c r="F696" s="130"/>
      <c r="G696" s="130"/>
      <c r="H696" s="130"/>
      <c r="I696" s="130"/>
      <c r="J696" s="130"/>
      <c r="K696" s="130"/>
      <c r="L696" s="130"/>
      <c r="M696" s="130"/>
      <c r="N696" s="130"/>
      <c r="O696" s="130"/>
      <c r="P696" s="130"/>
    </row>
    <row r="697" spans="1:16" x14ac:dyDescent="0.2">
      <c r="A697" s="49" t="str">
        <v>0:00</v>
      </c>
      <c r="B697" s="108"/>
      <c r="C697" s="130"/>
      <c r="D697" s="130"/>
      <c r="E697" s="130"/>
      <c r="F697" s="130"/>
      <c r="G697" s="130"/>
      <c r="H697" s="130"/>
      <c r="I697" s="130"/>
      <c r="J697" s="130"/>
      <c r="K697" s="130"/>
      <c r="L697" s="130"/>
      <c r="M697" s="130"/>
      <c r="N697" s="130"/>
      <c r="O697" s="130"/>
      <c r="P697" s="130"/>
    </row>
    <row r="698" spans="1:16" x14ac:dyDescent="0.2">
      <c r="A698" s="49" t="str">
        <v>0:00</v>
      </c>
      <c r="B698" s="108"/>
      <c r="C698" s="130"/>
      <c r="D698" s="130"/>
      <c r="E698" s="130"/>
      <c r="F698" s="130"/>
      <c r="G698" s="130"/>
      <c r="H698" s="130"/>
      <c r="I698" s="130"/>
      <c r="J698" s="130"/>
      <c r="K698" s="130"/>
      <c r="L698" s="130"/>
      <c r="M698" s="130"/>
      <c r="N698" s="130"/>
      <c r="O698" s="130"/>
      <c r="P698" s="130"/>
    </row>
    <row r="699" spans="1:16" x14ac:dyDescent="0.2">
      <c r="A699" s="49" t="str">
        <v>0:00</v>
      </c>
      <c r="B699" s="108"/>
      <c r="C699" s="130"/>
      <c r="D699" s="130"/>
      <c r="E699" s="130"/>
      <c r="F699" s="130"/>
      <c r="G699" s="130"/>
      <c r="H699" s="130"/>
      <c r="I699" s="130"/>
      <c r="J699" s="130"/>
      <c r="K699" s="130"/>
      <c r="L699" s="130"/>
      <c r="M699" s="130"/>
      <c r="N699" s="130"/>
      <c r="O699" s="130"/>
      <c r="P699" s="130"/>
    </row>
    <row r="700" spans="1:16" x14ac:dyDescent="0.2">
      <c r="A700" s="49" t="str">
        <v>0:00</v>
      </c>
      <c r="B700" s="108"/>
      <c r="C700" s="130"/>
      <c r="D700" s="130"/>
      <c r="E700" s="130"/>
      <c r="F700" s="130"/>
      <c r="G700" s="130"/>
      <c r="H700" s="130"/>
      <c r="I700" s="130"/>
      <c r="J700" s="130"/>
      <c r="K700" s="130"/>
      <c r="L700" s="130"/>
      <c r="M700" s="130"/>
      <c r="N700" s="130"/>
      <c r="O700" s="130"/>
      <c r="P700" s="130"/>
    </row>
    <row r="701" spans="1:16" x14ac:dyDescent="0.2">
      <c r="A701" s="49" t="str">
        <v>0:00</v>
      </c>
      <c r="B701" s="108"/>
      <c r="C701" s="130"/>
      <c r="D701" s="130"/>
      <c r="E701" s="130"/>
      <c r="F701" s="130"/>
      <c r="G701" s="130"/>
      <c r="H701" s="130"/>
      <c r="I701" s="130"/>
      <c r="J701" s="130"/>
      <c r="K701" s="130"/>
      <c r="L701" s="130"/>
      <c r="M701" s="130"/>
      <c r="N701" s="130"/>
      <c r="O701" s="130"/>
      <c r="P701" s="130"/>
    </row>
    <row r="702" spans="1:16" x14ac:dyDescent="0.2">
      <c r="A702" s="49" t="str">
        <v>0:00</v>
      </c>
      <c r="B702" s="108"/>
      <c r="C702" s="130"/>
      <c r="D702" s="130"/>
      <c r="E702" s="130"/>
      <c r="F702" s="130"/>
      <c r="G702" s="130"/>
      <c r="H702" s="130"/>
      <c r="I702" s="130"/>
      <c r="J702" s="130"/>
      <c r="K702" s="130"/>
      <c r="L702" s="130"/>
      <c r="M702" s="130"/>
      <c r="N702" s="130"/>
      <c r="O702" s="130"/>
      <c r="P702" s="130"/>
    </row>
    <row r="703" spans="1:16" x14ac:dyDescent="0.2">
      <c r="A703" s="49" t="str">
        <v>0:00</v>
      </c>
      <c r="B703" s="108"/>
      <c r="C703" s="130"/>
      <c r="D703" s="130"/>
      <c r="E703" s="130"/>
      <c r="F703" s="130"/>
      <c r="G703" s="130"/>
      <c r="H703" s="130"/>
      <c r="I703" s="130"/>
      <c r="J703" s="130"/>
      <c r="K703" s="130"/>
      <c r="L703" s="130"/>
      <c r="M703" s="130"/>
      <c r="N703" s="130"/>
      <c r="O703" s="130"/>
      <c r="P703" s="130"/>
    </row>
    <row r="704" spans="1:16" x14ac:dyDescent="0.2">
      <c r="A704" s="49" t="str">
        <v>0:00</v>
      </c>
      <c r="B704" s="108"/>
      <c r="C704" s="130"/>
      <c r="D704" s="130"/>
      <c r="E704" s="130"/>
      <c r="F704" s="130"/>
      <c r="G704" s="130"/>
      <c r="H704" s="130"/>
      <c r="I704" s="130"/>
      <c r="J704" s="130"/>
      <c r="K704" s="130"/>
      <c r="L704" s="130"/>
      <c r="M704" s="130"/>
      <c r="N704" s="130"/>
      <c r="O704" s="130"/>
      <c r="P704" s="130"/>
    </row>
    <row r="705" spans="1:16" x14ac:dyDescent="0.2">
      <c r="A705" s="49" t="str">
        <v>0:00</v>
      </c>
      <c r="B705" s="108"/>
      <c r="C705" s="130"/>
      <c r="D705" s="130"/>
      <c r="E705" s="130"/>
      <c r="F705" s="130"/>
      <c r="G705" s="130"/>
      <c r="H705" s="130"/>
      <c r="I705" s="130"/>
      <c r="J705" s="130"/>
      <c r="K705" s="130"/>
      <c r="L705" s="130"/>
      <c r="M705" s="130"/>
      <c r="N705" s="130"/>
      <c r="O705" s="130"/>
      <c r="P705" s="130"/>
    </row>
    <row r="706" spans="1:16" x14ac:dyDescent="0.2">
      <c r="A706" s="49" t="str">
        <v>0:00</v>
      </c>
      <c r="B706" s="108"/>
      <c r="C706" s="130"/>
      <c r="D706" s="130"/>
      <c r="E706" s="130"/>
      <c r="F706" s="130"/>
      <c r="G706" s="130"/>
      <c r="H706" s="130"/>
      <c r="I706" s="130"/>
      <c r="J706" s="130"/>
      <c r="K706" s="130"/>
      <c r="L706" s="130"/>
      <c r="M706" s="130"/>
      <c r="N706" s="130"/>
      <c r="O706" s="130"/>
      <c r="P706" s="130"/>
    </row>
    <row r="707" spans="1:16" x14ac:dyDescent="0.2">
      <c r="A707" s="49" t="str">
        <v>0:00</v>
      </c>
      <c r="B707" s="108"/>
      <c r="C707" s="130"/>
      <c r="D707" s="130"/>
      <c r="E707" s="130"/>
      <c r="F707" s="130"/>
      <c r="G707" s="130"/>
      <c r="H707" s="130"/>
      <c r="I707" s="130"/>
      <c r="J707" s="130"/>
      <c r="K707" s="130"/>
      <c r="L707" s="130"/>
      <c r="M707" s="130"/>
      <c r="N707" s="130"/>
      <c r="O707" s="130"/>
      <c r="P707" s="130"/>
    </row>
    <row r="708" spans="1:16" x14ac:dyDescent="0.2">
      <c r="A708" s="49" t="str">
        <v>0:00</v>
      </c>
      <c r="B708" s="108"/>
      <c r="C708" s="130"/>
      <c r="D708" s="130"/>
      <c r="E708" s="130"/>
      <c r="F708" s="130"/>
      <c r="G708" s="130"/>
      <c r="H708" s="130"/>
      <c r="I708" s="130"/>
      <c r="J708" s="130"/>
      <c r="K708" s="130"/>
      <c r="L708" s="130"/>
      <c r="M708" s="130"/>
      <c r="N708" s="130"/>
      <c r="O708" s="130"/>
      <c r="P708" s="130"/>
    </row>
    <row r="709" spans="1:16" x14ac:dyDescent="0.2">
      <c r="A709" s="49" t="str">
        <v>0:00</v>
      </c>
      <c r="B709" s="108"/>
      <c r="C709" s="130"/>
      <c r="D709" s="130"/>
      <c r="E709" s="130"/>
      <c r="F709" s="130"/>
      <c r="G709" s="130"/>
      <c r="H709" s="130"/>
      <c r="I709" s="130"/>
      <c r="J709" s="130"/>
      <c r="K709" s="130"/>
      <c r="L709" s="130"/>
      <c r="M709" s="130"/>
      <c r="N709" s="130"/>
      <c r="O709" s="130"/>
      <c r="P709" s="130"/>
    </row>
    <row r="710" spans="1:16" x14ac:dyDescent="0.2">
      <c r="A710" s="49" t="str">
        <v>0:00</v>
      </c>
      <c r="B710" s="108"/>
      <c r="C710" s="130"/>
      <c r="D710" s="130"/>
      <c r="E710" s="130"/>
      <c r="F710" s="130"/>
      <c r="G710" s="130"/>
      <c r="H710" s="130"/>
      <c r="I710" s="130"/>
      <c r="J710" s="130"/>
      <c r="K710" s="130"/>
      <c r="L710" s="130"/>
      <c r="M710" s="130"/>
      <c r="N710" s="130"/>
      <c r="O710" s="130"/>
      <c r="P710" s="130"/>
    </row>
    <row r="711" spans="1:16" x14ac:dyDescent="0.2">
      <c r="A711" s="49" t="str">
        <v>0:00</v>
      </c>
      <c r="B711" s="108"/>
      <c r="C711" s="130"/>
      <c r="D711" s="130"/>
      <c r="E711" s="130"/>
      <c r="F711" s="130"/>
      <c r="G711" s="130"/>
      <c r="H711" s="130"/>
      <c r="I711" s="130"/>
      <c r="J711" s="130"/>
      <c r="K711" s="130"/>
      <c r="L711" s="130"/>
      <c r="M711" s="130"/>
      <c r="N711" s="130"/>
      <c r="O711" s="130"/>
      <c r="P711" s="130"/>
    </row>
    <row r="712" spans="1:16" x14ac:dyDescent="0.2">
      <c r="A712" s="49" t="str">
        <v>0:00</v>
      </c>
      <c r="B712" s="108"/>
      <c r="C712" s="130"/>
      <c r="D712" s="130"/>
      <c r="E712" s="130"/>
      <c r="F712" s="130"/>
      <c r="G712" s="130"/>
      <c r="H712" s="130"/>
      <c r="I712" s="130"/>
      <c r="J712" s="130"/>
      <c r="K712" s="130"/>
      <c r="L712" s="130"/>
      <c r="M712" s="130"/>
      <c r="N712" s="130"/>
      <c r="O712" s="130"/>
      <c r="P712" s="130"/>
    </row>
    <row r="713" spans="1:16" x14ac:dyDescent="0.2">
      <c r="A713" s="49" t="str">
        <v>0:00</v>
      </c>
      <c r="B713" s="108"/>
      <c r="C713" s="130"/>
      <c r="D713" s="130"/>
      <c r="E713" s="130"/>
      <c r="F713" s="130"/>
      <c r="G713" s="130"/>
      <c r="H713" s="130"/>
      <c r="I713" s="130"/>
      <c r="J713" s="130"/>
      <c r="K713" s="130"/>
      <c r="L713" s="130"/>
      <c r="M713" s="130"/>
      <c r="N713" s="130"/>
      <c r="O713" s="130"/>
      <c r="P713" s="130"/>
    </row>
    <row r="714" spans="1:16" x14ac:dyDescent="0.2">
      <c r="A714" s="49" t="str">
        <v>0:00</v>
      </c>
      <c r="B714" s="108"/>
      <c r="C714" s="130"/>
      <c r="D714" s="130"/>
      <c r="E714" s="130"/>
      <c r="F714" s="130"/>
      <c r="G714" s="130"/>
      <c r="H714" s="130"/>
      <c r="I714" s="130"/>
      <c r="J714" s="130"/>
      <c r="K714" s="130"/>
      <c r="L714" s="130"/>
      <c r="M714" s="130"/>
      <c r="N714" s="130"/>
      <c r="O714" s="130"/>
      <c r="P714" s="130"/>
    </row>
    <row r="715" spans="1:16" x14ac:dyDescent="0.2">
      <c r="A715" s="49" t="str">
        <v>0:00</v>
      </c>
      <c r="B715" s="108"/>
      <c r="C715" s="130"/>
      <c r="D715" s="130"/>
      <c r="E715" s="130"/>
      <c r="F715" s="130"/>
      <c r="G715" s="130"/>
      <c r="H715" s="130"/>
      <c r="I715" s="130"/>
      <c r="J715" s="130"/>
      <c r="K715" s="130"/>
      <c r="L715" s="130"/>
      <c r="M715" s="130"/>
      <c r="N715" s="130"/>
      <c r="O715" s="130"/>
      <c r="P715" s="130"/>
    </row>
    <row r="716" spans="1:16" x14ac:dyDescent="0.2">
      <c r="A716" s="49" t="str">
        <v>0:00</v>
      </c>
      <c r="B716" s="108"/>
      <c r="C716" s="130"/>
      <c r="D716" s="130"/>
      <c r="E716" s="130"/>
      <c r="F716" s="130"/>
      <c r="G716" s="130"/>
      <c r="H716" s="130"/>
      <c r="I716" s="130"/>
      <c r="J716" s="130"/>
      <c r="K716" s="130"/>
      <c r="L716" s="130"/>
      <c r="M716" s="130"/>
      <c r="N716" s="130"/>
      <c r="O716" s="130"/>
      <c r="P716" s="130"/>
    </row>
    <row r="717" spans="1:16" x14ac:dyDescent="0.2">
      <c r="A717" s="49" t="str">
        <v>0:00</v>
      </c>
      <c r="B717" s="108"/>
      <c r="C717" s="130"/>
      <c r="D717" s="130"/>
      <c r="E717" s="130"/>
      <c r="F717" s="130"/>
      <c r="G717" s="130"/>
      <c r="H717" s="130"/>
      <c r="I717" s="130"/>
      <c r="J717" s="130"/>
      <c r="K717" s="130"/>
      <c r="L717" s="130"/>
      <c r="M717" s="130"/>
      <c r="N717" s="130"/>
      <c r="O717" s="130"/>
      <c r="P717" s="130"/>
    </row>
    <row r="718" spans="1:16" x14ac:dyDescent="0.2">
      <c r="A718" s="49" t="str">
        <v>0:00</v>
      </c>
      <c r="B718" s="108"/>
      <c r="C718" s="130"/>
      <c r="D718" s="130"/>
      <c r="E718" s="130"/>
      <c r="F718" s="130"/>
      <c r="G718" s="130"/>
      <c r="H718" s="130"/>
      <c r="I718" s="130"/>
      <c r="J718" s="130"/>
      <c r="K718" s="130"/>
      <c r="L718" s="130"/>
      <c r="M718" s="130"/>
      <c r="N718" s="130"/>
      <c r="O718" s="130"/>
      <c r="P718" s="130"/>
    </row>
    <row r="719" spans="1:16" x14ac:dyDescent="0.2">
      <c r="A719" s="49" t="str">
        <v>0:00</v>
      </c>
      <c r="B719" s="108"/>
      <c r="C719" s="130"/>
      <c r="D719" s="130"/>
      <c r="E719" s="130"/>
      <c r="F719" s="130"/>
      <c r="G719" s="130"/>
      <c r="H719" s="130"/>
      <c r="I719" s="130"/>
      <c r="J719" s="130"/>
      <c r="K719" s="130"/>
      <c r="L719" s="130"/>
      <c r="M719" s="130"/>
      <c r="N719" s="130"/>
      <c r="O719" s="130"/>
      <c r="P719" s="130"/>
    </row>
    <row r="720" spans="1:16" x14ac:dyDescent="0.2">
      <c r="A720" s="49" t="str">
        <v>0:00</v>
      </c>
      <c r="B720" s="108"/>
      <c r="C720" s="130"/>
      <c r="D720" s="130"/>
      <c r="E720" s="130"/>
      <c r="F720" s="130"/>
      <c r="G720" s="130"/>
      <c r="H720" s="130"/>
      <c r="I720" s="130"/>
      <c r="J720" s="130"/>
      <c r="K720" s="130"/>
      <c r="L720" s="130"/>
      <c r="M720" s="130"/>
      <c r="N720" s="130"/>
      <c r="O720" s="130"/>
      <c r="P720" s="130"/>
    </row>
    <row r="721" spans="1:16" x14ac:dyDescent="0.2">
      <c r="A721" s="49" t="str">
        <v>0:00</v>
      </c>
      <c r="B721" s="108"/>
      <c r="C721" s="130"/>
      <c r="D721" s="130"/>
      <c r="E721" s="130"/>
      <c r="F721" s="130"/>
      <c r="G721" s="130"/>
      <c r="H721" s="130"/>
      <c r="I721" s="130"/>
      <c r="J721" s="130"/>
      <c r="K721" s="130"/>
      <c r="L721" s="130"/>
      <c r="M721" s="130"/>
      <c r="N721" s="130"/>
      <c r="O721" s="130"/>
      <c r="P721" s="130"/>
    </row>
    <row r="722" spans="1:16" x14ac:dyDescent="0.2">
      <c r="A722" s="49" t="str">
        <v>0:00</v>
      </c>
      <c r="B722" s="108"/>
      <c r="C722" s="130"/>
      <c r="D722" s="130"/>
      <c r="E722" s="130"/>
      <c r="F722" s="130"/>
      <c r="G722" s="130"/>
      <c r="H722" s="130"/>
      <c r="I722" s="130"/>
      <c r="J722" s="130"/>
      <c r="K722" s="130"/>
      <c r="L722" s="130"/>
      <c r="M722" s="130"/>
      <c r="N722" s="130"/>
      <c r="O722" s="130"/>
      <c r="P722" s="130"/>
    </row>
    <row r="723" spans="1:16" x14ac:dyDescent="0.2">
      <c r="A723" s="49" t="str">
        <v>0:00</v>
      </c>
      <c r="B723" s="108"/>
      <c r="C723" s="130"/>
      <c r="D723" s="130"/>
      <c r="E723" s="130"/>
      <c r="F723" s="130"/>
      <c r="G723" s="130"/>
      <c r="H723" s="130"/>
      <c r="I723" s="130"/>
      <c r="J723" s="130"/>
      <c r="K723" s="130"/>
      <c r="L723" s="130"/>
      <c r="M723" s="130"/>
      <c r="N723" s="130"/>
      <c r="O723" s="130"/>
      <c r="P723" s="130"/>
    </row>
    <row r="724" spans="1:16" x14ac:dyDescent="0.2">
      <c r="A724" s="49" t="str">
        <v>0:00</v>
      </c>
      <c r="B724" s="108"/>
      <c r="C724" s="130"/>
      <c r="D724" s="130"/>
      <c r="E724" s="130"/>
      <c r="F724" s="130"/>
      <c r="G724" s="130"/>
      <c r="H724" s="130"/>
      <c r="I724" s="130"/>
      <c r="J724" s="130"/>
      <c r="K724" s="130"/>
      <c r="L724" s="130"/>
      <c r="M724" s="130"/>
      <c r="N724" s="130"/>
      <c r="O724" s="130"/>
      <c r="P724" s="130"/>
    </row>
    <row r="725" spans="1:16" x14ac:dyDescent="0.2">
      <c r="A725" s="49" t="str">
        <v>0:00</v>
      </c>
      <c r="B725" s="108"/>
      <c r="C725" s="130"/>
      <c r="D725" s="130"/>
      <c r="E725" s="130"/>
      <c r="F725" s="130"/>
      <c r="G725" s="130"/>
      <c r="H725" s="130"/>
      <c r="I725" s="130"/>
      <c r="J725" s="130"/>
      <c r="K725" s="130"/>
      <c r="L725" s="130"/>
      <c r="M725" s="130"/>
      <c r="N725" s="130"/>
      <c r="O725" s="130"/>
      <c r="P725" s="130"/>
    </row>
    <row r="726" spans="1:16" x14ac:dyDescent="0.2">
      <c r="A726" s="49" t="str">
        <v>0:00</v>
      </c>
      <c r="B726" s="108"/>
      <c r="C726" s="130"/>
      <c r="D726" s="130"/>
      <c r="E726" s="130"/>
      <c r="F726" s="130"/>
      <c r="G726" s="130"/>
      <c r="H726" s="130"/>
      <c r="I726" s="130"/>
      <c r="J726" s="130"/>
      <c r="K726" s="130"/>
      <c r="L726" s="130"/>
      <c r="M726" s="130"/>
      <c r="N726" s="130"/>
      <c r="O726" s="130"/>
      <c r="P726" s="130"/>
    </row>
    <row r="727" spans="1:16" x14ac:dyDescent="0.2">
      <c r="A727" s="49" t="str">
        <v>0:00</v>
      </c>
      <c r="B727" s="108"/>
      <c r="C727" s="130"/>
      <c r="D727" s="130"/>
      <c r="E727" s="130"/>
      <c r="F727" s="130"/>
      <c r="G727" s="130"/>
      <c r="H727" s="130"/>
      <c r="I727" s="130"/>
      <c r="J727" s="130"/>
      <c r="K727" s="130"/>
      <c r="L727" s="130"/>
      <c r="M727" s="130"/>
      <c r="N727" s="130"/>
      <c r="O727" s="130"/>
      <c r="P727" s="130"/>
    </row>
    <row r="728" spans="1:16" x14ac:dyDescent="0.2">
      <c r="A728" s="49" t="str">
        <v>0:00</v>
      </c>
      <c r="B728" s="108"/>
      <c r="C728" s="130"/>
      <c r="D728" s="130"/>
      <c r="E728" s="130"/>
      <c r="F728" s="130"/>
      <c r="G728" s="130"/>
      <c r="H728" s="130"/>
      <c r="I728" s="130"/>
      <c r="J728" s="130"/>
      <c r="K728" s="130"/>
      <c r="L728" s="130"/>
      <c r="M728" s="130"/>
      <c r="N728" s="130"/>
      <c r="O728" s="130"/>
      <c r="P728" s="130"/>
    </row>
    <row r="729" spans="1:16" x14ac:dyDescent="0.2">
      <c r="A729" s="49" t="str">
        <v>0:00</v>
      </c>
      <c r="B729" s="108"/>
      <c r="C729" s="130"/>
      <c r="D729" s="130"/>
      <c r="E729" s="130"/>
      <c r="F729" s="130"/>
      <c r="G729" s="130"/>
      <c r="H729" s="130"/>
      <c r="I729" s="130"/>
      <c r="J729" s="130"/>
      <c r="K729" s="130"/>
      <c r="L729" s="130"/>
      <c r="M729" s="130"/>
      <c r="N729" s="130"/>
      <c r="O729" s="130"/>
      <c r="P729" s="130"/>
    </row>
    <row r="730" spans="1:16" x14ac:dyDescent="0.2">
      <c r="A730" s="49" t="str">
        <v>0:00</v>
      </c>
      <c r="B730" s="108"/>
      <c r="C730" s="130"/>
      <c r="D730" s="130"/>
      <c r="E730" s="130"/>
      <c r="F730" s="130"/>
      <c r="G730" s="130"/>
      <c r="H730" s="130"/>
      <c r="I730" s="130"/>
      <c r="J730" s="130"/>
      <c r="K730" s="130"/>
      <c r="L730" s="130"/>
      <c r="M730" s="130"/>
      <c r="N730" s="130"/>
      <c r="O730" s="130"/>
      <c r="P730" s="130"/>
    </row>
    <row r="731" spans="1:16" x14ac:dyDescent="0.2">
      <c r="A731" s="49" t="str">
        <v>0:00</v>
      </c>
      <c r="B731" s="108"/>
      <c r="C731" s="130"/>
      <c r="D731" s="130"/>
      <c r="E731" s="130"/>
      <c r="F731" s="130"/>
      <c r="G731" s="130"/>
      <c r="H731" s="130"/>
      <c r="I731" s="130"/>
      <c r="J731" s="130"/>
      <c r="K731" s="130"/>
      <c r="L731" s="130"/>
      <c r="M731" s="130"/>
      <c r="N731" s="130"/>
      <c r="O731" s="130"/>
      <c r="P731" s="130"/>
    </row>
    <row r="732" spans="1:16" x14ac:dyDescent="0.2">
      <c r="A732" s="49" t="str">
        <v>0:00</v>
      </c>
      <c r="B732" s="108"/>
      <c r="C732" s="130"/>
      <c r="D732" s="130"/>
      <c r="E732" s="130"/>
      <c r="F732" s="130"/>
      <c r="G732" s="130"/>
      <c r="H732" s="130"/>
      <c r="I732" s="130"/>
      <c r="J732" s="130"/>
      <c r="K732" s="130"/>
      <c r="L732" s="130"/>
      <c r="M732" s="130"/>
      <c r="N732" s="130"/>
      <c r="O732" s="130"/>
      <c r="P732" s="130"/>
    </row>
    <row r="733" spans="1:16" x14ac:dyDescent="0.2">
      <c r="A733" s="49" t="str">
        <v>0:00</v>
      </c>
      <c r="B733" s="108"/>
      <c r="C733" s="130"/>
      <c r="D733" s="130"/>
      <c r="E733" s="130"/>
      <c r="F733" s="130"/>
      <c r="G733" s="130"/>
      <c r="H733" s="130"/>
      <c r="I733" s="130"/>
      <c r="J733" s="130"/>
      <c r="K733" s="130"/>
      <c r="L733" s="130"/>
      <c r="M733" s="130"/>
      <c r="N733" s="130"/>
      <c r="O733" s="130"/>
      <c r="P733" s="130"/>
    </row>
    <row r="734" spans="1:16" x14ac:dyDescent="0.2">
      <c r="A734" s="49" t="str">
        <v>0:00</v>
      </c>
      <c r="B734" s="108"/>
      <c r="C734" s="130"/>
      <c r="D734" s="130"/>
      <c r="E734" s="130"/>
      <c r="F734" s="130"/>
      <c r="G734" s="130"/>
      <c r="H734" s="130"/>
      <c r="I734" s="130"/>
      <c r="J734" s="130"/>
      <c r="K734" s="130"/>
      <c r="L734" s="130"/>
      <c r="M734" s="130"/>
      <c r="N734" s="130"/>
      <c r="O734" s="130"/>
      <c r="P734" s="130"/>
    </row>
    <row r="735" spans="1:16" x14ac:dyDescent="0.2">
      <c r="A735" s="49" t="str">
        <v>0:00</v>
      </c>
      <c r="B735" s="108"/>
      <c r="C735" s="130"/>
      <c r="D735" s="130"/>
      <c r="E735" s="130"/>
      <c r="F735" s="130"/>
      <c r="G735" s="130"/>
      <c r="H735" s="130"/>
      <c r="I735" s="130"/>
      <c r="J735" s="130"/>
      <c r="K735" s="130"/>
      <c r="L735" s="130"/>
      <c r="M735" s="130"/>
      <c r="N735" s="130"/>
      <c r="O735" s="130"/>
      <c r="P735" s="130"/>
    </row>
    <row r="736" spans="1:16" x14ac:dyDescent="0.2">
      <c r="A736" s="49" t="str">
        <v>0:00</v>
      </c>
      <c r="B736" s="108"/>
      <c r="C736" s="130"/>
      <c r="D736" s="130"/>
      <c r="E736" s="130"/>
      <c r="F736" s="130"/>
      <c r="G736" s="130"/>
      <c r="H736" s="130"/>
      <c r="I736" s="130"/>
      <c r="J736" s="130"/>
      <c r="K736" s="130"/>
      <c r="L736" s="130"/>
      <c r="M736" s="130"/>
      <c r="N736" s="130"/>
      <c r="O736" s="130"/>
      <c r="P736" s="130"/>
    </row>
    <row r="737" spans="1:16" x14ac:dyDescent="0.2">
      <c r="A737" s="49" t="str">
        <v>0:00</v>
      </c>
      <c r="B737" s="108"/>
      <c r="C737" s="130"/>
      <c r="D737" s="130"/>
      <c r="E737" s="130"/>
      <c r="F737" s="130"/>
      <c r="G737" s="130"/>
      <c r="H737" s="130"/>
      <c r="I737" s="130"/>
      <c r="J737" s="130"/>
      <c r="K737" s="130"/>
      <c r="L737" s="130"/>
      <c r="M737" s="130"/>
      <c r="N737" s="130"/>
      <c r="O737" s="130"/>
      <c r="P737" s="130"/>
    </row>
    <row r="738" spans="1:16" x14ac:dyDescent="0.2">
      <c r="A738" s="49" t="str">
        <v>0:00</v>
      </c>
      <c r="B738" s="108"/>
      <c r="C738" s="130"/>
      <c r="D738" s="130"/>
      <c r="E738" s="130"/>
      <c r="F738" s="130"/>
      <c r="G738" s="130"/>
      <c r="H738" s="130"/>
      <c r="I738" s="130"/>
      <c r="J738" s="130"/>
      <c r="K738" s="130"/>
      <c r="L738" s="130"/>
      <c r="M738" s="130"/>
      <c r="N738" s="130"/>
      <c r="O738" s="130"/>
      <c r="P738" s="130"/>
    </row>
    <row r="739" spans="1:16" x14ac:dyDescent="0.2">
      <c r="A739" s="49" t="str">
        <v>0:00</v>
      </c>
      <c r="B739" s="108"/>
      <c r="C739" s="130"/>
      <c r="D739" s="130"/>
      <c r="E739" s="130"/>
      <c r="F739" s="130"/>
      <c r="G739" s="130"/>
      <c r="H739" s="130"/>
      <c r="I739" s="130"/>
      <c r="J739" s="130"/>
      <c r="K739" s="130"/>
      <c r="L739" s="130"/>
      <c r="M739" s="130"/>
      <c r="N739" s="130"/>
      <c r="O739" s="130"/>
      <c r="P739" s="130"/>
    </row>
    <row r="740" spans="1:16" x14ac:dyDescent="0.2">
      <c r="A740" s="49" t="str">
        <v>0:00</v>
      </c>
      <c r="B740" s="108"/>
      <c r="C740" s="130"/>
      <c r="D740" s="130"/>
      <c r="E740" s="130"/>
      <c r="F740" s="130"/>
      <c r="G740" s="130"/>
      <c r="H740" s="130"/>
      <c r="I740" s="130"/>
      <c r="J740" s="130"/>
      <c r="K740" s="130"/>
      <c r="L740" s="130"/>
      <c r="M740" s="130"/>
      <c r="N740" s="130"/>
      <c r="O740" s="130"/>
      <c r="P740" s="130"/>
    </row>
    <row r="741" spans="1:16" x14ac:dyDescent="0.2">
      <c r="A741" s="49" t="str">
        <v>0:00</v>
      </c>
      <c r="B741" s="108"/>
      <c r="C741" s="130"/>
      <c r="D741" s="130"/>
      <c r="E741" s="130"/>
      <c r="F741" s="130"/>
      <c r="G741" s="130"/>
      <c r="H741" s="130"/>
      <c r="I741" s="130"/>
      <c r="J741" s="130"/>
      <c r="K741" s="130"/>
      <c r="L741" s="130"/>
      <c r="M741" s="130"/>
      <c r="N741" s="130"/>
      <c r="O741" s="130"/>
      <c r="P741" s="130"/>
    </row>
    <row r="742" spans="1:16" x14ac:dyDescent="0.2">
      <c r="A742" s="49" t="str">
        <v>0:00</v>
      </c>
      <c r="B742" s="108"/>
      <c r="C742" s="130"/>
      <c r="D742" s="130"/>
      <c r="E742" s="130"/>
      <c r="F742" s="130"/>
      <c r="G742" s="130"/>
      <c r="H742" s="130"/>
      <c r="I742" s="130"/>
      <c r="J742" s="130"/>
      <c r="K742" s="130"/>
      <c r="L742" s="130"/>
      <c r="M742" s="130"/>
      <c r="N742" s="130"/>
      <c r="O742" s="130"/>
      <c r="P742" s="130"/>
    </row>
    <row r="743" spans="1:16" x14ac:dyDescent="0.2">
      <c r="A743" s="49" t="str">
        <v>0:00</v>
      </c>
      <c r="B743" s="108"/>
      <c r="C743" s="130"/>
      <c r="D743" s="130"/>
      <c r="E743" s="130"/>
      <c r="F743" s="130"/>
      <c r="G743" s="130"/>
      <c r="H743" s="130"/>
      <c r="I743" s="130"/>
      <c r="J743" s="130"/>
      <c r="K743" s="130"/>
      <c r="L743" s="130"/>
      <c r="M743" s="130"/>
      <c r="N743" s="130"/>
      <c r="O743" s="130"/>
      <c r="P743" s="130"/>
    </row>
    <row r="744" spans="1:16" x14ac:dyDescent="0.2">
      <c r="A744" s="49" t="str">
        <v>0:00</v>
      </c>
      <c r="B744" s="108"/>
      <c r="C744" s="130"/>
      <c r="D744" s="130"/>
      <c r="E744" s="130"/>
      <c r="F744" s="130"/>
      <c r="G744" s="130"/>
      <c r="H744" s="130"/>
      <c r="I744" s="130"/>
      <c r="J744" s="130"/>
      <c r="K744" s="130"/>
      <c r="L744" s="130"/>
      <c r="M744" s="130"/>
      <c r="N744" s="130"/>
      <c r="O744" s="130"/>
      <c r="P744" s="130"/>
    </row>
    <row r="745" spans="1:16" x14ac:dyDescent="0.2">
      <c r="A745" s="49" t="str">
        <v>0:00</v>
      </c>
      <c r="B745" s="108"/>
      <c r="C745" s="130"/>
      <c r="D745" s="130"/>
      <c r="E745" s="130"/>
      <c r="F745" s="130"/>
      <c r="G745" s="130"/>
      <c r="H745" s="130"/>
      <c r="I745" s="130"/>
      <c r="J745" s="130"/>
      <c r="K745" s="130"/>
      <c r="L745" s="130"/>
      <c r="M745" s="130"/>
      <c r="N745" s="130"/>
      <c r="O745" s="130"/>
      <c r="P745" s="130"/>
    </row>
    <row r="746" spans="1:16" x14ac:dyDescent="0.2">
      <c r="A746" s="49" t="str">
        <v>0:00</v>
      </c>
      <c r="B746" s="108"/>
      <c r="C746" s="130"/>
      <c r="D746" s="130"/>
      <c r="E746" s="130"/>
      <c r="F746" s="130"/>
      <c r="G746" s="130"/>
      <c r="H746" s="130"/>
      <c r="I746" s="130"/>
      <c r="J746" s="130"/>
      <c r="K746" s="130"/>
      <c r="L746" s="130"/>
      <c r="M746" s="130"/>
      <c r="N746" s="130"/>
      <c r="O746" s="130"/>
      <c r="P746" s="130"/>
    </row>
    <row r="747" spans="1:16" x14ac:dyDescent="0.2">
      <c r="A747" s="49" t="str">
        <v>0:00</v>
      </c>
      <c r="B747" s="108"/>
      <c r="C747" s="130"/>
      <c r="D747" s="130"/>
      <c r="E747" s="130"/>
      <c r="F747" s="130"/>
      <c r="G747" s="130"/>
      <c r="H747" s="130"/>
      <c r="I747" s="130"/>
      <c r="J747" s="130"/>
      <c r="K747" s="130"/>
      <c r="L747" s="130"/>
      <c r="M747" s="130"/>
      <c r="N747" s="130"/>
      <c r="O747" s="130"/>
      <c r="P747" s="130"/>
    </row>
    <row r="748" spans="1:16" x14ac:dyDescent="0.2">
      <c r="A748" s="49" t="str">
        <v>0:00</v>
      </c>
      <c r="B748" s="108"/>
      <c r="C748" s="130"/>
      <c r="D748" s="130"/>
      <c r="E748" s="130"/>
      <c r="F748" s="130"/>
      <c r="G748" s="130"/>
      <c r="H748" s="130"/>
      <c r="I748" s="130"/>
      <c r="J748" s="130"/>
      <c r="K748" s="130"/>
      <c r="L748" s="130"/>
      <c r="M748" s="130"/>
      <c r="N748" s="130"/>
      <c r="O748" s="130"/>
      <c r="P748" s="130"/>
    </row>
    <row r="749" spans="1:16" x14ac:dyDescent="0.2">
      <c r="A749" s="49" t="str">
        <v>0:00</v>
      </c>
      <c r="B749" s="108"/>
      <c r="C749" s="130"/>
      <c r="D749" s="130"/>
      <c r="E749" s="130"/>
      <c r="F749" s="130"/>
      <c r="G749" s="130"/>
      <c r="H749" s="130"/>
      <c r="I749" s="130"/>
      <c r="J749" s="130"/>
      <c r="K749" s="130"/>
      <c r="L749" s="130"/>
      <c r="M749" s="130"/>
      <c r="N749" s="130"/>
      <c r="O749" s="130"/>
      <c r="P749" s="130"/>
    </row>
    <row r="750" spans="1:16" x14ac:dyDescent="0.2">
      <c r="A750" s="49" t="str">
        <v>0:00</v>
      </c>
      <c r="B750" s="108"/>
      <c r="C750" s="130"/>
      <c r="D750" s="130"/>
      <c r="E750" s="130"/>
      <c r="F750" s="130"/>
      <c r="G750" s="130"/>
      <c r="H750" s="130"/>
      <c r="I750" s="130"/>
      <c r="J750" s="130"/>
      <c r="K750" s="130"/>
      <c r="L750" s="130"/>
      <c r="M750" s="130"/>
      <c r="N750" s="130"/>
      <c r="O750" s="130"/>
      <c r="P750" s="130"/>
    </row>
    <row r="751" spans="1:16" x14ac:dyDescent="0.2">
      <c r="A751" s="49" t="str">
        <v>0:00</v>
      </c>
      <c r="B751" s="108"/>
      <c r="C751" s="130"/>
      <c r="D751" s="130"/>
      <c r="E751" s="130"/>
      <c r="F751" s="130"/>
      <c r="G751" s="130"/>
      <c r="H751" s="130"/>
      <c r="I751" s="130"/>
      <c r="J751" s="130"/>
      <c r="K751" s="130"/>
      <c r="L751" s="130"/>
      <c r="M751" s="130"/>
      <c r="N751" s="130"/>
      <c r="O751" s="130"/>
      <c r="P751" s="130"/>
    </row>
    <row r="752" spans="1:16" x14ac:dyDescent="0.2">
      <c r="A752" s="49" t="str">
        <v>0:00</v>
      </c>
      <c r="B752" s="108"/>
      <c r="C752" s="130"/>
      <c r="D752" s="130"/>
      <c r="E752" s="130"/>
      <c r="F752" s="130"/>
      <c r="G752" s="130"/>
      <c r="H752" s="130"/>
      <c r="I752" s="130"/>
      <c r="J752" s="130"/>
      <c r="K752" s="130"/>
      <c r="L752" s="130"/>
      <c r="M752" s="130"/>
      <c r="N752" s="130"/>
      <c r="O752" s="130"/>
      <c r="P752" s="130"/>
    </row>
    <row r="753" spans="1:16" x14ac:dyDescent="0.2">
      <c r="A753" s="49" t="str">
        <v>0:00</v>
      </c>
      <c r="B753" s="108"/>
      <c r="C753" s="130"/>
      <c r="D753" s="130"/>
      <c r="E753" s="130"/>
      <c r="F753" s="130"/>
      <c r="G753" s="130"/>
      <c r="H753" s="130"/>
      <c r="I753" s="130"/>
      <c r="J753" s="130"/>
      <c r="K753" s="130"/>
      <c r="L753" s="130"/>
      <c r="M753" s="130"/>
      <c r="N753" s="130"/>
      <c r="O753" s="130"/>
      <c r="P753" s="130"/>
    </row>
    <row r="754" spans="1:16" x14ac:dyDescent="0.2">
      <c r="A754" s="49" t="str">
        <v>0:00</v>
      </c>
      <c r="B754" s="108"/>
      <c r="C754" s="130"/>
      <c r="D754" s="130"/>
      <c r="E754" s="130"/>
      <c r="F754" s="130"/>
      <c r="G754" s="130"/>
      <c r="H754" s="130"/>
      <c r="I754" s="130"/>
      <c r="J754" s="130"/>
      <c r="K754" s="130"/>
      <c r="L754" s="130"/>
      <c r="M754" s="130"/>
      <c r="N754" s="130"/>
      <c r="O754" s="130"/>
      <c r="P754" s="130"/>
    </row>
    <row r="755" spans="1:16" x14ac:dyDescent="0.2">
      <c r="A755" s="49" t="str">
        <v>0:00</v>
      </c>
      <c r="B755" s="108"/>
      <c r="C755" s="130"/>
      <c r="D755" s="130"/>
      <c r="E755" s="130"/>
      <c r="F755" s="130"/>
      <c r="G755" s="130"/>
      <c r="H755" s="130"/>
      <c r="I755" s="130"/>
      <c r="J755" s="130"/>
      <c r="K755" s="130"/>
      <c r="L755" s="130"/>
      <c r="M755" s="130"/>
      <c r="N755" s="130"/>
      <c r="O755" s="130"/>
      <c r="P755" s="130"/>
    </row>
    <row r="756" spans="1:16" x14ac:dyDescent="0.2">
      <c r="A756" s="49" t="str">
        <v>0:00</v>
      </c>
      <c r="B756" s="108"/>
      <c r="C756" s="130"/>
      <c r="D756" s="130"/>
      <c r="E756" s="130"/>
      <c r="F756" s="130"/>
      <c r="G756" s="130"/>
      <c r="H756" s="130"/>
      <c r="I756" s="130"/>
      <c r="J756" s="130"/>
      <c r="K756" s="130"/>
      <c r="L756" s="130"/>
      <c r="M756" s="130"/>
      <c r="N756" s="130"/>
      <c r="O756" s="130"/>
      <c r="P756" s="130"/>
    </row>
    <row r="757" spans="1:16" x14ac:dyDescent="0.2">
      <c r="A757" s="49" t="str">
        <v>0:00</v>
      </c>
      <c r="B757" s="108"/>
      <c r="C757" s="130"/>
      <c r="D757" s="130"/>
      <c r="E757" s="130"/>
      <c r="F757" s="130"/>
      <c r="G757" s="130"/>
      <c r="H757" s="130"/>
      <c r="I757" s="130"/>
      <c r="J757" s="130"/>
      <c r="K757" s="130"/>
      <c r="L757" s="130"/>
      <c r="M757" s="130"/>
      <c r="N757" s="130"/>
      <c r="O757" s="130"/>
      <c r="P757" s="130"/>
    </row>
    <row r="758" spans="1:16" x14ac:dyDescent="0.2">
      <c r="A758" s="49" t="str">
        <v>0:00</v>
      </c>
      <c r="B758" s="108"/>
      <c r="C758" s="130"/>
      <c r="D758" s="130"/>
      <c r="E758" s="130"/>
      <c r="F758" s="130"/>
      <c r="G758" s="130"/>
      <c r="H758" s="130"/>
      <c r="I758" s="130"/>
      <c r="J758" s="130"/>
      <c r="K758" s="130"/>
      <c r="L758" s="130"/>
      <c r="M758" s="130"/>
      <c r="N758" s="130"/>
      <c r="O758" s="130"/>
      <c r="P758" s="130"/>
    </row>
    <row r="759" spans="1:16" x14ac:dyDescent="0.2">
      <c r="A759" s="49" t="str">
        <v>0:00</v>
      </c>
      <c r="B759" s="108"/>
      <c r="C759" s="130"/>
      <c r="D759" s="130"/>
      <c r="E759" s="130"/>
      <c r="F759" s="130"/>
      <c r="G759" s="130"/>
      <c r="H759" s="130"/>
      <c r="I759" s="130"/>
      <c r="J759" s="130"/>
      <c r="K759" s="130"/>
      <c r="L759" s="130"/>
      <c r="M759" s="130"/>
      <c r="N759" s="130"/>
      <c r="O759" s="130"/>
      <c r="P759" s="130"/>
    </row>
    <row r="760" spans="1:16" x14ac:dyDescent="0.2">
      <c r="A760" s="49" t="str">
        <v>0:00</v>
      </c>
      <c r="B760" s="108"/>
      <c r="C760" s="130"/>
      <c r="D760" s="130"/>
      <c r="E760" s="130"/>
      <c r="F760" s="130"/>
      <c r="G760" s="130"/>
      <c r="H760" s="130"/>
      <c r="I760" s="130"/>
      <c r="J760" s="130"/>
      <c r="K760" s="130"/>
      <c r="L760" s="130"/>
      <c r="M760" s="130"/>
      <c r="N760" s="130"/>
      <c r="O760" s="130"/>
      <c r="P760" s="130"/>
    </row>
    <row r="761" spans="1:16" x14ac:dyDescent="0.2">
      <c r="A761" s="49" t="str">
        <v>0:00</v>
      </c>
      <c r="B761" s="108"/>
      <c r="C761" s="130"/>
      <c r="D761" s="130"/>
      <c r="E761" s="130"/>
      <c r="F761" s="130"/>
      <c r="G761" s="130"/>
      <c r="H761" s="130"/>
      <c r="I761" s="130"/>
      <c r="J761" s="130"/>
      <c r="K761" s="130"/>
      <c r="L761" s="130"/>
      <c r="M761" s="130"/>
      <c r="N761" s="130"/>
      <c r="O761" s="130"/>
      <c r="P761" s="130"/>
    </row>
    <row r="762" spans="1:16" x14ac:dyDescent="0.2">
      <c r="A762" s="49" t="str">
        <v>0:00</v>
      </c>
      <c r="B762" s="108"/>
      <c r="C762" s="130"/>
      <c r="D762" s="130"/>
      <c r="E762" s="130"/>
      <c r="F762" s="130"/>
      <c r="G762" s="130"/>
      <c r="H762" s="130"/>
      <c r="I762" s="130"/>
      <c r="J762" s="130"/>
      <c r="K762" s="130"/>
      <c r="L762" s="130"/>
      <c r="M762" s="130"/>
      <c r="N762" s="130"/>
      <c r="O762" s="130"/>
      <c r="P762" s="130"/>
    </row>
    <row r="763" spans="1:16" x14ac:dyDescent="0.2">
      <c r="A763" s="49" t="str">
        <v>0:00</v>
      </c>
      <c r="B763" s="108"/>
      <c r="C763" s="130"/>
      <c r="D763" s="130"/>
      <c r="E763" s="130"/>
      <c r="F763" s="130"/>
      <c r="G763" s="130"/>
      <c r="H763" s="130"/>
      <c r="I763" s="130"/>
      <c r="J763" s="130"/>
      <c r="K763" s="130"/>
      <c r="L763" s="130"/>
      <c r="M763" s="130"/>
      <c r="N763" s="130"/>
      <c r="O763" s="130"/>
      <c r="P763" s="130"/>
    </row>
    <row r="764" spans="1:16" x14ac:dyDescent="0.2">
      <c r="A764" s="49" t="str">
        <v>0:00</v>
      </c>
      <c r="B764" s="108"/>
      <c r="C764" s="130"/>
      <c r="D764" s="130"/>
      <c r="E764" s="130"/>
      <c r="F764" s="130"/>
      <c r="G764" s="130"/>
      <c r="H764" s="130"/>
      <c r="I764" s="130"/>
      <c r="J764" s="130"/>
      <c r="K764" s="130"/>
      <c r="L764" s="130"/>
      <c r="M764" s="130"/>
      <c r="N764" s="130"/>
      <c r="O764" s="130"/>
      <c r="P764" s="130"/>
    </row>
    <row r="765" spans="1:16" x14ac:dyDescent="0.2">
      <c r="A765" s="49" t="str">
        <v>0:00</v>
      </c>
      <c r="B765" s="108"/>
      <c r="C765" s="130"/>
      <c r="D765" s="130"/>
      <c r="E765" s="130"/>
      <c r="F765" s="130"/>
      <c r="G765" s="130"/>
      <c r="H765" s="130"/>
      <c r="I765" s="130"/>
      <c r="J765" s="130"/>
      <c r="K765" s="130"/>
      <c r="L765" s="130"/>
      <c r="M765" s="130"/>
      <c r="N765" s="130"/>
      <c r="O765" s="130"/>
      <c r="P765" s="130"/>
    </row>
    <row r="766" spans="1:16" x14ac:dyDescent="0.2">
      <c r="A766" s="49" t="str">
        <v>0:00</v>
      </c>
      <c r="B766" s="108"/>
      <c r="C766" s="130"/>
      <c r="D766" s="130"/>
      <c r="E766" s="130"/>
      <c r="F766" s="130"/>
      <c r="G766" s="130"/>
      <c r="H766" s="130"/>
      <c r="I766" s="130"/>
      <c r="J766" s="130"/>
      <c r="K766" s="130"/>
      <c r="L766" s="130"/>
      <c r="M766" s="130"/>
      <c r="N766" s="130"/>
      <c r="O766" s="130"/>
      <c r="P766" s="130"/>
    </row>
    <row r="767" spans="1:16" x14ac:dyDescent="0.2">
      <c r="A767" s="49" t="str">
        <v>0:00</v>
      </c>
      <c r="B767" s="108"/>
      <c r="C767" s="130"/>
      <c r="D767" s="130"/>
      <c r="E767" s="130"/>
      <c r="F767" s="130"/>
      <c r="G767" s="130"/>
      <c r="H767" s="130"/>
      <c r="I767" s="130"/>
      <c r="J767" s="130"/>
      <c r="K767" s="130"/>
      <c r="L767" s="130"/>
      <c r="M767" s="130"/>
      <c r="N767" s="130"/>
      <c r="O767" s="130"/>
      <c r="P767" s="130"/>
    </row>
    <row r="768" spans="1:16" x14ac:dyDescent="0.2">
      <c r="A768" s="49" t="str">
        <v>0:00</v>
      </c>
      <c r="B768" s="108"/>
      <c r="C768" s="130"/>
      <c r="D768" s="130"/>
      <c r="E768" s="130"/>
      <c r="F768" s="130"/>
      <c r="G768" s="130"/>
      <c r="H768" s="130"/>
      <c r="I768" s="130"/>
      <c r="J768" s="130"/>
      <c r="K768" s="130"/>
      <c r="L768" s="130"/>
      <c r="M768" s="130"/>
      <c r="N768" s="130"/>
      <c r="O768" s="130"/>
      <c r="P768" s="130"/>
    </row>
    <row r="769" spans="1:16" x14ac:dyDescent="0.2">
      <c r="A769" s="49" t="str">
        <v>0:00</v>
      </c>
      <c r="B769" s="108"/>
      <c r="C769" s="130"/>
      <c r="D769" s="130"/>
      <c r="E769" s="130"/>
      <c r="F769" s="130"/>
      <c r="G769" s="130"/>
      <c r="H769" s="130"/>
      <c r="I769" s="130"/>
      <c r="J769" s="130"/>
      <c r="K769" s="130"/>
      <c r="L769" s="130"/>
      <c r="M769" s="130"/>
      <c r="N769" s="130"/>
      <c r="O769" s="130"/>
      <c r="P769" s="130"/>
    </row>
    <row r="770" spans="1:16" x14ac:dyDescent="0.2">
      <c r="A770" s="49" t="str">
        <v>0:00</v>
      </c>
      <c r="B770" s="108"/>
      <c r="C770" s="130"/>
      <c r="D770" s="130"/>
      <c r="E770" s="130"/>
      <c r="F770" s="130"/>
      <c r="G770" s="130"/>
      <c r="H770" s="130"/>
      <c r="I770" s="130"/>
      <c r="J770" s="130"/>
      <c r="K770" s="130"/>
      <c r="L770" s="130"/>
      <c r="M770" s="130"/>
      <c r="N770" s="130"/>
      <c r="O770" s="130"/>
      <c r="P770" s="130"/>
    </row>
    <row r="771" spans="1:16" x14ac:dyDescent="0.2">
      <c r="A771" s="49" t="str">
        <v>0:00</v>
      </c>
      <c r="B771" s="108"/>
      <c r="C771" s="130"/>
      <c r="D771" s="130"/>
      <c r="E771" s="130"/>
      <c r="F771" s="130"/>
      <c r="G771" s="130"/>
      <c r="H771" s="130"/>
      <c r="I771" s="130"/>
      <c r="J771" s="130"/>
      <c r="K771" s="130"/>
      <c r="L771" s="130"/>
      <c r="M771" s="130"/>
      <c r="N771" s="130"/>
      <c r="O771" s="130"/>
      <c r="P771" s="130"/>
    </row>
    <row r="772" spans="1:16" x14ac:dyDescent="0.2">
      <c r="A772" s="49" t="str">
        <v>0:00</v>
      </c>
      <c r="B772" s="108"/>
      <c r="C772" s="130"/>
      <c r="D772" s="130"/>
      <c r="E772" s="130"/>
      <c r="F772" s="130"/>
      <c r="G772" s="130"/>
      <c r="H772" s="130"/>
      <c r="I772" s="130"/>
      <c r="J772" s="130"/>
      <c r="K772" s="130"/>
      <c r="L772" s="130"/>
      <c r="M772" s="130"/>
      <c r="N772" s="130"/>
      <c r="O772" s="130"/>
      <c r="P772" s="130"/>
    </row>
    <row r="773" spans="1:16" x14ac:dyDescent="0.2">
      <c r="A773" s="49" t="str">
        <v>0:00</v>
      </c>
      <c r="B773" s="108"/>
      <c r="C773" s="130"/>
      <c r="D773" s="130"/>
      <c r="E773" s="130"/>
      <c r="F773" s="130"/>
      <c r="G773" s="130"/>
      <c r="H773" s="130"/>
      <c r="I773" s="130"/>
      <c r="J773" s="130"/>
      <c r="K773" s="130"/>
      <c r="L773" s="130"/>
      <c r="M773" s="130"/>
      <c r="N773" s="130"/>
      <c r="O773" s="130"/>
      <c r="P773" s="130"/>
    </row>
    <row r="774" spans="1:16" x14ac:dyDescent="0.2">
      <c r="A774" s="49" t="str">
        <v>0:00</v>
      </c>
      <c r="B774" s="108"/>
      <c r="C774" s="130"/>
      <c r="D774" s="130"/>
      <c r="E774" s="130"/>
      <c r="F774" s="130"/>
      <c r="G774" s="130"/>
      <c r="H774" s="130"/>
      <c r="I774" s="130"/>
      <c r="J774" s="130"/>
      <c r="K774" s="130"/>
      <c r="L774" s="130"/>
      <c r="M774" s="130"/>
      <c r="N774" s="130"/>
      <c r="O774" s="130"/>
      <c r="P774" s="130"/>
    </row>
    <row r="775" spans="1:16" x14ac:dyDescent="0.2">
      <c r="A775" s="49" t="str">
        <v>0:00</v>
      </c>
      <c r="B775" s="108"/>
      <c r="C775" s="130"/>
      <c r="D775" s="130"/>
      <c r="E775" s="130"/>
      <c r="F775" s="130"/>
      <c r="G775" s="130"/>
      <c r="H775" s="130"/>
      <c r="I775" s="130"/>
      <c r="J775" s="130"/>
      <c r="K775" s="130"/>
      <c r="L775" s="130"/>
      <c r="M775" s="130"/>
      <c r="N775" s="130"/>
      <c r="O775" s="130"/>
      <c r="P775" s="130"/>
    </row>
    <row r="776" spans="1:16" x14ac:dyDescent="0.2">
      <c r="A776" s="49" t="str">
        <v>0:00</v>
      </c>
      <c r="B776" s="108"/>
      <c r="C776" s="130"/>
      <c r="D776" s="130"/>
      <c r="E776" s="130"/>
      <c r="F776" s="130"/>
      <c r="G776" s="130"/>
      <c r="H776" s="130"/>
      <c r="I776" s="130"/>
      <c r="J776" s="130"/>
      <c r="K776" s="130"/>
      <c r="L776" s="130"/>
      <c r="M776" s="130"/>
      <c r="N776" s="130"/>
      <c r="O776" s="130"/>
      <c r="P776" s="130"/>
    </row>
    <row r="777" spans="1:16" x14ac:dyDescent="0.2">
      <c r="A777" s="49" t="str">
        <v>0:00</v>
      </c>
      <c r="B777" s="108"/>
      <c r="C777" s="130"/>
      <c r="D777" s="130"/>
      <c r="E777" s="130"/>
      <c r="F777" s="130"/>
      <c r="G777" s="130"/>
      <c r="H777" s="130"/>
      <c r="I777" s="130"/>
      <c r="J777" s="130"/>
      <c r="K777" s="130"/>
      <c r="L777" s="130"/>
      <c r="M777" s="130"/>
      <c r="N777" s="130"/>
      <c r="O777" s="130"/>
      <c r="P777" s="130"/>
    </row>
    <row r="778" spans="1:16" x14ac:dyDescent="0.2">
      <c r="A778" s="49" t="str">
        <v>0:00</v>
      </c>
      <c r="B778" s="108"/>
      <c r="C778" s="130"/>
      <c r="D778" s="130"/>
      <c r="E778" s="130"/>
      <c r="F778" s="130"/>
      <c r="G778" s="130"/>
      <c r="H778" s="130"/>
      <c r="I778" s="130"/>
      <c r="J778" s="130"/>
      <c r="K778" s="130"/>
      <c r="L778" s="130"/>
      <c r="M778" s="130"/>
      <c r="N778" s="130"/>
      <c r="O778" s="130"/>
      <c r="P778" s="130"/>
    </row>
    <row r="779" spans="1:16" x14ac:dyDescent="0.2">
      <c r="A779" s="49" t="str">
        <v>0:00</v>
      </c>
      <c r="B779" s="108"/>
      <c r="C779" s="130"/>
      <c r="D779" s="130"/>
      <c r="E779" s="130"/>
      <c r="F779" s="130"/>
      <c r="G779" s="130"/>
      <c r="H779" s="130"/>
      <c r="I779" s="130"/>
      <c r="J779" s="130"/>
      <c r="K779" s="130"/>
      <c r="L779" s="130"/>
      <c r="M779" s="130"/>
      <c r="N779" s="130"/>
      <c r="O779" s="130"/>
      <c r="P779" s="130"/>
    </row>
    <row r="780" spans="1:16" x14ac:dyDescent="0.2">
      <c r="A780" s="49" t="str">
        <v>0:00</v>
      </c>
      <c r="B780" s="108"/>
      <c r="C780" s="130"/>
      <c r="D780" s="130"/>
      <c r="E780" s="130"/>
      <c r="F780" s="130"/>
      <c r="G780" s="130"/>
      <c r="H780" s="130"/>
      <c r="I780" s="130"/>
      <c r="J780" s="130"/>
      <c r="K780" s="130"/>
      <c r="L780" s="130"/>
      <c r="M780" s="130"/>
      <c r="N780" s="130"/>
      <c r="O780" s="130"/>
      <c r="P780" s="130"/>
    </row>
    <row r="781" spans="1:16" x14ac:dyDescent="0.2">
      <c r="A781" s="49" t="str">
        <v>0:00</v>
      </c>
      <c r="B781" s="108"/>
      <c r="C781" s="130"/>
      <c r="D781" s="130"/>
      <c r="E781" s="130"/>
      <c r="F781" s="130"/>
      <c r="G781" s="130"/>
      <c r="H781" s="130"/>
      <c r="I781" s="130"/>
      <c r="J781" s="130"/>
      <c r="K781" s="130"/>
      <c r="L781" s="130"/>
      <c r="M781" s="130"/>
      <c r="N781" s="130"/>
      <c r="O781" s="130"/>
      <c r="P781" s="130"/>
    </row>
    <row r="782" spans="1:16" x14ac:dyDescent="0.2">
      <c r="A782" s="49" t="str">
        <v>0:00</v>
      </c>
      <c r="B782" s="108"/>
      <c r="C782" s="130"/>
      <c r="D782" s="130"/>
      <c r="E782" s="130"/>
      <c r="F782" s="130"/>
      <c r="G782" s="130"/>
      <c r="H782" s="130"/>
      <c r="I782" s="130"/>
      <c r="J782" s="130"/>
      <c r="K782" s="130"/>
      <c r="L782" s="130"/>
      <c r="M782" s="130"/>
      <c r="N782" s="130"/>
      <c r="O782" s="130"/>
      <c r="P782" s="130"/>
    </row>
    <row r="783" spans="1:16" x14ac:dyDescent="0.2">
      <c r="A783" s="49" t="str">
        <v>0:00</v>
      </c>
      <c r="B783" s="108"/>
      <c r="C783" s="130"/>
      <c r="D783" s="130"/>
      <c r="E783" s="130"/>
      <c r="F783" s="130"/>
      <c r="G783" s="130"/>
      <c r="H783" s="130"/>
      <c r="I783" s="130"/>
      <c r="J783" s="130"/>
      <c r="K783" s="130"/>
      <c r="L783" s="130"/>
      <c r="M783" s="130"/>
      <c r="N783" s="130"/>
      <c r="O783" s="130"/>
      <c r="P783" s="130"/>
    </row>
    <row r="784" spans="1:16" x14ac:dyDescent="0.2">
      <c r="A784" s="49" t="str">
        <v>0:00</v>
      </c>
      <c r="B784" s="108"/>
      <c r="C784" s="130"/>
      <c r="D784" s="130"/>
      <c r="E784" s="130"/>
      <c r="F784" s="130"/>
      <c r="G784" s="130"/>
      <c r="H784" s="130"/>
      <c r="I784" s="130"/>
      <c r="J784" s="130"/>
      <c r="K784" s="130"/>
      <c r="L784" s="130"/>
      <c r="M784" s="130"/>
      <c r="N784" s="130"/>
      <c r="O784" s="130"/>
      <c r="P784" s="130"/>
    </row>
    <row r="785" spans="1:16" x14ac:dyDescent="0.2">
      <c r="A785" s="49" t="str">
        <v>0:00</v>
      </c>
      <c r="B785" s="108"/>
      <c r="C785" s="130"/>
      <c r="D785" s="130"/>
      <c r="E785" s="130"/>
      <c r="F785" s="130"/>
      <c r="G785" s="130"/>
      <c r="H785" s="130"/>
      <c r="I785" s="130"/>
      <c r="J785" s="130"/>
      <c r="K785" s="130"/>
      <c r="L785" s="130"/>
      <c r="M785" s="130"/>
      <c r="N785" s="130"/>
      <c r="O785" s="130"/>
      <c r="P785" s="130"/>
    </row>
    <row r="786" spans="1:16" x14ac:dyDescent="0.2">
      <c r="A786" s="49" t="str">
        <v>0:00</v>
      </c>
      <c r="B786" s="108"/>
      <c r="C786" s="130"/>
      <c r="D786" s="130"/>
      <c r="E786" s="130"/>
      <c r="F786" s="130"/>
      <c r="G786" s="130"/>
      <c r="H786" s="130"/>
      <c r="I786" s="130"/>
      <c r="J786" s="130"/>
      <c r="K786" s="130"/>
      <c r="L786" s="130"/>
      <c r="M786" s="130"/>
      <c r="N786" s="130"/>
      <c r="O786" s="130"/>
      <c r="P786" s="130"/>
    </row>
    <row r="787" spans="1:16" x14ac:dyDescent="0.2">
      <c r="A787" s="49" t="str">
        <v>0:00</v>
      </c>
      <c r="B787" s="108"/>
      <c r="C787" s="130"/>
      <c r="D787" s="130"/>
      <c r="E787" s="130"/>
      <c r="F787" s="130"/>
      <c r="G787" s="130"/>
      <c r="H787" s="130"/>
      <c r="I787" s="130"/>
      <c r="J787" s="130"/>
      <c r="K787" s="130"/>
      <c r="L787" s="130"/>
      <c r="M787" s="130"/>
      <c r="N787" s="130"/>
      <c r="O787" s="130"/>
      <c r="P787" s="130"/>
    </row>
    <row r="788" spans="1:16" x14ac:dyDescent="0.2">
      <c r="A788" s="49" t="str">
        <v>0:00</v>
      </c>
      <c r="B788" s="108"/>
      <c r="C788" s="130"/>
      <c r="D788" s="130"/>
      <c r="E788" s="130"/>
      <c r="F788" s="130"/>
      <c r="G788" s="130"/>
      <c r="H788" s="130"/>
      <c r="I788" s="130"/>
      <c r="J788" s="130"/>
      <c r="K788" s="130"/>
      <c r="L788" s="130"/>
      <c r="M788" s="130"/>
      <c r="N788" s="130"/>
      <c r="O788" s="130"/>
      <c r="P788" s="130"/>
    </row>
    <row r="789" spans="1:16" x14ac:dyDescent="0.2">
      <c r="A789" s="49" t="str">
        <v>0:00</v>
      </c>
      <c r="B789" s="108"/>
      <c r="C789" s="130"/>
      <c r="D789" s="130"/>
      <c r="E789" s="130"/>
      <c r="F789" s="130"/>
      <c r="G789" s="130"/>
      <c r="H789" s="130"/>
      <c r="I789" s="130"/>
      <c r="J789" s="130"/>
      <c r="K789" s="130"/>
      <c r="L789" s="130"/>
      <c r="M789" s="130"/>
      <c r="N789" s="130"/>
      <c r="O789" s="130"/>
      <c r="P789" s="130"/>
    </row>
    <row r="790" spans="1:16" x14ac:dyDescent="0.2">
      <c r="A790" s="49" t="str">
        <v>0:00</v>
      </c>
      <c r="B790" s="108"/>
      <c r="C790" s="130"/>
      <c r="D790" s="130"/>
      <c r="E790" s="130"/>
      <c r="F790" s="130"/>
      <c r="G790" s="130"/>
      <c r="H790" s="130"/>
      <c r="I790" s="130"/>
      <c r="J790" s="130"/>
      <c r="K790" s="130"/>
      <c r="L790" s="130"/>
      <c r="M790" s="130"/>
      <c r="N790" s="130"/>
      <c r="O790" s="130"/>
      <c r="P790" s="130"/>
    </row>
    <row r="791" spans="1:16" x14ac:dyDescent="0.2">
      <c r="A791" s="49" t="str">
        <v>0:00</v>
      </c>
      <c r="B791" s="108"/>
      <c r="C791" s="130"/>
      <c r="D791" s="130"/>
      <c r="E791" s="130"/>
      <c r="F791" s="130"/>
      <c r="G791" s="130"/>
      <c r="H791" s="130"/>
      <c r="I791" s="130"/>
      <c r="J791" s="130"/>
      <c r="K791" s="130"/>
      <c r="L791" s="130"/>
      <c r="M791" s="130"/>
      <c r="N791" s="130"/>
      <c r="O791" s="130"/>
      <c r="P791" s="130"/>
    </row>
    <row r="792" spans="1:16" x14ac:dyDescent="0.2">
      <c r="A792" s="49" t="str">
        <v>0:00</v>
      </c>
      <c r="B792" s="108"/>
      <c r="C792" s="130"/>
      <c r="D792" s="130"/>
      <c r="E792" s="130"/>
      <c r="F792" s="130"/>
      <c r="G792" s="130"/>
      <c r="H792" s="130"/>
      <c r="I792" s="130"/>
      <c r="J792" s="130"/>
      <c r="K792" s="130"/>
      <c r="L792" s="130"/>
      <c r="M792" s="130"/>
      <c r="N792" s="130"/>
      <c r="O792" s="130"/>
      <c r="P792" s="130"/>
    </row>
    <row r="793" spans="1:16" x14ac:dyDescent="0.2">
      <c r="A793" s="49" t="str">
        <v>0:00</v>
      </c>
      <c r="B793" s="108"/>
      <c r="C793" s="130"/>
      <c r="D793" s="130"/>
      <c r="E793" s="130"/>
      <c r="F793" s="130"/>
      <c r="G793" s="130"/>
      <c r="H793" s="130"/>
      <c r="I793" s="130"/>
      <c r="J793" s="130"/>
      <c r="K793" s="130"/>
      <c r="L793" s="130"/>
      <c r="M793" s="130"/>
      <c r="N793" s="130"/>
      <c r="O793" s="130"/>
      <c r="P793" s="130"/>
    </row>
    <row r="794" spans="1:16" x14ac:dyDescent="0.2">
      <c r="A794" s="49" t="str">
        <v>0:00</v>
      </c>
      <c r="B794" s="108"/>
      <c r="C794" s="130"/>
      <c r="D794" s="130"/>
      <c r="E794" s="130"/>
      <c r="F794" s="130"/>
      <c r="G794" s="130"/>
      <c r="H794" s="130"/>
      <c r="I794" s="130"/>
      <c r="J794" s="130"/>
      <c r="K794" s="130"/>
      <c r="L794" s="130"/>
      <c r="M794" s="130"/>
      <c r="N794" s="130"/>
      <c r="O794" s="130"/>
      <c r="P794" s="130"/>
    </row>
    <row r="795" spans="1:16" x14ac:dyDescent="0.2">
      <c r="A795" s="49" t="str">
        <v>0:00</v>
      </c>
      <c r="B795" s="108"/>
      <c r="C795" s="130"/>
      <c r="D795" s="130"/>
      <c r="E795" s="130"/>
      <c r="F795" s="130"/>
      <c r="G795" s="130"/>
      <c r="H795" s="130"/>
      <c r="I795" s="130"/>
      <c r="J795" s="130"/>
      <c r="K795" s="130"/>
      <c r="L795" s="130"/>
      <c r="M795" s="130"/>
      <c r="N795" s="130"/>
      <c r="O795" s="130"/>
      <c r="P795" s="130"/>
    </row>
    <row r="796" spans="1:16" x14ac:dyDescent="0.2">
      <c r="A796" s="49" t="str">
        <v>0:00</v>
      </c>
      <c r="B796" s="108"/>
      <c r="C796" s="130"/>
      <c r="D796" s="130"/>
      <c r="E796" s="130"/>
      <c r="F796" s="130"/>
      <c r="G796" s="130"/>
      <c r="H796" s="130"/>
      <c r="I796" s="130"/>
      <c r="J796" s="130"/>
      <c r="K796" s="130"/>
      <c r="L796" s="130"/>
      <c r="M796" s="130"/>
      <c r="N796" s="130"/>
      <c r="O796" s="130"/>
      <c r="P796" s="130"/>
    </row>
    <row r="797" spans="1:16" x14ac:dyDescent="0.2">
      <c r="A797" s="49" t="str">
        <v>0:00</v>
      </c>
      <c r="B797" s="108"/>
      <c r="C797" s="130"/>
      <c r="D797" s="130"/>
      <c r="E797" s="130"/>
      <c r="F797" s="130"/>
      <c r="G797" s="130"/>
      <c r="H797" s="130"/>
      <c r="I797" s="130"/>
      <c r="J797" s="130"/>
      <c r="K797" s="130"/>
      <c r="L797" s="130"/>
      <c r="M797" s="130"/>
      <c r="N797" s="130"/>
      <c r="O797" s="130"/>
      <c r="P797" s="130"/>
    </row>
    <row r="798" spans="1:16" x14ac:dyDescent="0.2">
      <c r="A798" s="49" t="str">
        <v>0:00</v>
      </c>
      <c r="B798" s="108"/>
      <c r="C798" s="130"/>
      <c r="D798" s="130"/>
      <c r="E798" s="130"/>
      <c r="F798" s="130"/>
      <c r="G798" s="130"/>
      <c r="H798" s="130"/>
      <c r="I798" s="130"/>
      <c r="J798" s="130"/>
      <c r="K798" s="130"/>
      <c r="L798" s="130"/>
      <c r="M798" s="130"/>
      <c r="N798" s="130"/>
      <c r="O798" s="130"/>
      <c r="P798" s="130"/>
    </row>
    <row r="799" spans="1:16" x14ac:dyDescent="0.2">
      <c r="A799" s="49" t="str">
        <v>0:00</v>
      </c>
      <c r="B799" s="108"/>
      <c r="C799" s="130"/>
      <c r="D799" s="130"/>
      <c r="E799" s="130"/>
      <c r="F799" s="130"/>
      <c r="G799" s="130"/>
      <c r="H799" s="130"/>
      <c r="I799" s="130"/>
      <c r="J799" s="130"/>
      <c r="K799" s="130"/>
      <c r="L799" s="130"/>
      <c r="M799" s="130"/>
      <c r="N799" s="130"/>
      <c r="O799" s="130"/>
      <c r="P799" s="130"/>
    </row>
    <row r="800" spans="1:16" x14ac:dyDescent="0.2">
      <c r="A800" s="49" t="str">
        <v>0:00</v>
      </c>
      <c r="B800" s="108"/>
      <c r="C800" s="130"/>
      <c r="D800" s="130"/>
      <c r="E800" s="130"/>
      <c r="F800" s="130"/>
      <c r="G800" s="130"/>
      <c r="H800" s="130"/>
      <c r="I800" s="130"/>
      <c r="J800" s="130"/>
      <c r="K800" s="130"/>
      <c r="L800" s="130"/>
      <c r="M800" s="130"/>
      <c r="N800" s="130"/>
      <c r="O800" s="130"/>
      <c r="P800" s="130"/>
    </row>
    <row r="801" spans="1:16" x14ac:dyDescent="0.2">
      <c r="A801" s="49" t="str">
        <v>0:00</v>
      </c>
      <c r="B801" s="108"/>
      <c r="C801" s="130"/>
      <c r="D801" s="130"/>
      <c r="E801" s="130"/>
      <c r="F801" s="130"/>
      <c r="G801" s="130"/>
      <c r="H801" s="130"/>
      <c r="I801" s="130"/>
      <c r="J801" s="130"/>
      <c r="K801" s="130"/>
      <c r="L801" s="130"/>
      <c r="M801" s="130"/>
      <c r="N801" s="130"/>
      <c r="O801" s="130"/>
      <c r="P801" s="130"/>
    </row>
    <row r="802" spans="1:16" x14ac:dyDescent="0.2">
      <c r="A802" s="49" t="str">
        <v>0:00</v>
      </c>
      <c r="B802" s="108"/>
      <c r="C802" s="130"/>
      <c r="D802" s="130"/>
      <c r="E802" s="130"/>
      <c r="F802" s="130"/>
      <c r="G802" s="130"/>
      <c r="H802" s="130"/>
      <c r="I802" s="130"/>
      <c r="J802" s="130"/>
      <c r="K802" s="130"/>
      <c r="L802" s="130"/>
      <c r="M802" s="130"/>
      <c r="N802" s="130"/>
      <c r="O802" s="130"/>
      <c r="P802" s="130"/>
    </row>
    <row r="803" spans="1:16" x14ac:dyDescent="0.2">
      <c r="A803" s="49" t="str">
        <v>0:00</v>
      </c>
      <c r="B803" s="108"/>
      <c r="C803" s="130"/>
      <c r="D803" s="130"/>
      <c r="E803" s="130"/>
      <c r="F803" s="130"/>
      <c r="G803" s="130"/>
      <c r="H803" s="130"/>
      <c r="I803" s="130"/>
      <c r="J803" s="130"/>
      <c r="K803" s="130"/>
      <c r="L803" s="130"/>
      <c r="M803" s="130"/>
      <c r="N803" s="130"/>
      <c r="O803" s="130"/>
      <c r="P803" s="130"/>
    </row>
    <row r="804" spans="1:16" x14ac:dyDescent="0.2">
      <c r="A804" s="49" t="str">
        <v>0:00</v>
      </c>
      <c r="B804" s="108"/>
      <c r="C804" s="130"/>
      <c r="D804" s="130"/>
      <c r="E804" s="130"/>
      <c r="F804" s="130"/>
      <c r="G804" s="130"/>
      <c r="H804" s="130"/>
      <c r="I804" s="130"/>
      <c r="J804" s="130"/>
      <c r="K804" s="130"/>
      <c r="L804" s="130"/>
      <c r="M804" s="130"/>
      <c r="N804" s="130"/>
      <c r="O804" s="130"/>
      <c r="P804" s="130"/>
    </row>
    <row r="805" spans="1:16" x14ac:dyDescent="0.2">
      <c r="A805" s="49" t="str">
        <v>0:00</v>
      </c>
      <c r="B805" s="108"/>
      <c r="C805" s="130"/>
      <c r="D805" s="130"/>
      <c r="E805" s="130"/>
      <c r="F805" s="130"/>
      <c r="G805" s="130"/>
      <c r="H805" s="130"/>
      <c r="I805" s="130"/>
      <c r="J805" s="130"/>
      <c r="K805" s="130"/>
      <c r="L805" s="130"/>
      <c r="M805" s="130"/>
      <c r="N805" s="130"/>
      <c r="O805" s="130"/>
      <c r="P805" s="130"/>
    </row>
    <row r="806" spans="1:16" x14ac:dyDescent="0.2">
      <c r="A806" s="49" t="str">
        <v>0:00</v>
      </c>
      <c r="B806" s="108"/>
      <c r="C806" s="130"/>
      <c r="D806" s="130"/>
      <c r="E806" s="130"/>
      <c r="F806" s="130"/>
      <c r="G806" s="130"/>
      <c r="H806" s="130"/>
      <c r="I806" s="130"/>
      <c r="J806" s="130"/>
      <c r="K806" s="130"/>
      <c r="L806" s="130"/>
      <c r="M806" s="130"/>
      <c r="N806" s="130"/>
      <c r="O806" s="130"/>
      <c r="P806" s="130"/>
    </row>
    <row r="807" spans="1:16" x14ac:dyDescent="0.2">
      <c r="A807" s="49" t="str">
        <v>0:00</v>
      </c>
      <c r="B807" s="108"/>
      <c r="C807" s="130"/>
      <c r="D807" s="130"/>
      <c r="E807" s="130"/>
      <c r="F807" s="130"/>
      <c r="G807" s="130"/>
      <c r="H807" s="130"/>
      <c r="I807" s="130"/>
      <c r="J807" s="130"/>
      <c r="K807" s="130"/>
      <c r="L807" s="130"/>
      <c r="M807" s="130"/>
      <c r="N807" s="130"/>
      <c r="O807" s="130"/>
      <c r="P807" s="130"/>
    </row>
    <row r="808" spans="1:16" x14ac:dyDescent="0.2">
      <c r="A808" s="49" t="str">
        <v>0:00</v>
      </c>
      <c r="B808" s="108"/>
      <c r="C808" s="130"/>
      <c r="D808" s="130"/>
      <c r="E808" s="130"/>
      <c r="F808" s="130"/>
      <c r="G808" s="130"/>
      <c r="H808" s="130"/>
      <c r="I808" s="130"/>
      <c r="J808" s="130"/>
      <c r="K808" s="130"/>
      <c r="L808" s="130"/>
      <c r="M808" s="130"/>
      <c r="N808" s="130"/>
      <c r="O808" s="130"/>
      <c r="P808" s="130"/>
    </row>
    <row r="809" spans="1:16" x14ac:dyDescent="0.2">
      <c r="A809" s="49" t="str">
        <v>0:00</v>
      </c>
      <c r="B809" s="108"/>
      <c r="C809" s="130"/>
      <c r="D809" s="130"/>
      <c r="E809" s="130"/>
      <c r="F809" s="130"/>
      <c r="G809" s="130"/>
      <c r="H809" s="130"/>
      <c r="I809" s="130"/>
      <c r="J809" s="130"/>
      <c r="K809" s="130"/>
      <c r="L809" s="130"/>
      <c r="M809" s="130"/>
      <c r="N809" s="130"/>
      <c r="O809" s="130"/>
      <c r="P809" s="130"/>
    </row>
    <row r="810" spans="1:16" x14ac:dyDescent="0.2">
      <c r="A810" s="49" t="str">
        <v>0:00</v>
      </c>
      <c r="B810" s="108"/>
      <c r="C810" s="130"/>
      <c r="D810" s="130"/>
      <c r="E810" s="130"/>
      <c r="F810" s="130"/>
      <c r="G810" s="130"/>
      <c r="H810" s="130"/>
      <c r="I810" s="130"/>
      <c r="J810" s="130"/>
      <c r="K810" s="130"/>
      <c r="L810" s="130"/>
      <c r="M810" s="130"/>
      <c r="N810" s="130"/>
      <c r="O810" s="130"/>
      <c r="P810" s="130"/>
    </row>
    <row r="811" spans="1:16" x14ac:dyDescent="0.2">
      <c r="A811" s="49" t="str">
        <v>0:00</v>
      </c>
      <c r="B811" s="108"/>
      <c r="C811" s="130"/>
      <c r="D811" s="130"/>
      <c r="E811" s="130"/>
      <c r="F811" s="130"/>
      <c r="G811" s="130"/>
      <c r="H811" s="130"/>
      <c r="I811" s="130"/>
      <c r="J811" s="130"/>
      <c r="K811" s="130"/>
      <c r="L811" s="130"/>
      <c r="M811" s="130"/>
      <c r="N811" s="130"/>
      <c r="O811" s="130"/>
      <c r="P811" s="130"/>
    </row>
    <row r="812" spans="1:16" x14ac:dyDescent="0.2">
      <c r="A812" s="49" t="str">
        <v>0:00</v>
      </c>
      <c r="B812" s="108"/>
      <c r="C812" s="130"/>
      <c r="D812" s="130"/>
      <c r="E812" s="130"/>
      <c r="F812" s="130"/>
      <c r="G812" s="130"/>
      <c r="H812" s="130"/>
      <c r="I812" s="130"/>
      <c r="J812" s="130"/>
      <c r="K812" s="130"/>
      <c r="L812" s="130"/>
      <c r="M812" s="130"/>
      <c r="N812" s="130"/>
      <c r="O812" s="130"/>
      <c r="P812" s="130"/>
    </row>
    <row r="813" spans="1:16" x14ac:dyDescent="0.2">
      <c r="A813" s="49" t="str">
        <v>0:00</v>
      </c>
      <c r="B813" s="108"/>
      <c r="C813" s="130"/>
      <c r="D813" s="130"/>
      <c r="E813" s="130"/>
      <c r="F813" s="130"/>
      <c r="G813" s="130"/>
      <c r="H813" s="130"/>
      <c r="I813" s="130"/>
      <c r="J813" s="130"/>
      <c r="K813" s="130"/>
      <c r="L813" s="130"/>
      <c r="M813" s="130"/>
      <c r="N813" s="130"/>
      <c r="O813" s="130"/>
      <c r="P813" s="130"/>
    </row>
    <row r="814" spans="1:16" x14ac:dyDescent="0.2">
      <c r="A814" s="49" t="str">
        <v>0:00</v>
      </c>
      <c r="B814" s="108"/>
      <c r="C814" s="130"/>
      <c r="D814" s="130"/>
      <c r="E814" s="130"/>
      <c r="F814" s="130"/>
      <c r="G814" s="130"/>
      <c r="H814" s="130"/>
      <c r="I814" s="130"/>
      <c r="J814" s="130"/>
      <c r="K814" s="130"/>
      <c r="L814" s="130"/>
      <c r="M814" s="130"/>
      <c r="N814" s="130"/>
      <c r="O814" s="130"/>
      <c r="P814" s="130"/>
    </row>
    <row r="815" spans="1:16" x14ac:dyDescent="0.2">
      <c r="A815" s="49" t="str">
        <v>0:00</v>
      </c>
      <c r="B815" s="108"/>
      <c r="C815" s="130"/>
      <c r="D815" s="130"/>
      <c r="E815" s="130"/>
      <c r="F815" s="130"/>
      <c r="G815" s="130"/>
      <c r="H815" s="130"/>
      <c r="I815" s="130"/>
      <c r="J815" s="130"/>
      <c r="K815" s="130"/>
      <c r="L815" s="130"/>
      <c r="M815" s="130"/>
      <c r="N815" s="130"/>
      <c r="O815" s="130"/>
      <c r="P815" s="130"/>
    </row>
    <row r="816" spans="1:16" x14ac:dyDescent="0.2">
      <c r="A816" s="49" t="str">
        <v>0:00</v>
      </c>
      <c r="B816" s="108"/>
      <c r="C816" s="130"/>
      <c r="D816" s="130"/>
      <c r="E816" s="130"/>
      <c r="F816" s="130"/>
      <c r="G816" s="130"/>
      <c r="H816" s="130"/>
      <c r="I816" s="130"/>
      <c r="J816" s="130"/>
      <c r="K816" s="130"/>
      <c r="L816" s="130"/>
      <c r="M816" s="130"/>
      <c r="N816" s="130"/>
      <c r="O816" s="130"/>
      <c r="P816" s="130"/>
    </row>
    <row r="817" spans="1:16" x14ac:dyDescent="0.2">
      <c r="A817" s="49" t="str">
        <v>0:00</v>
      </c>
      <c r="B817" s="108"/>
      <c r="C817" s="130"/>
      <c r="D817" s="130"/>
      <c r="E817" s="130"/>
      <c r="F817" s="130"/>
      <c r="G817" s="130"/>
      <c r="H817" s="130"/>
      <c r="I817" s="130"/>
      <c r="J817" s="130"/>
      <c r="K817" s="130"/>
      <c r="L817" s="130"/>
      <c r="M817" s="130"/>
      <c r="N817" s="130"/>
      <c r="O817" s="130"/>
      <c r="P817" s="130"/>
    </row>
    <row r="818" spans="1:16" x14ac:dyDescent="0.2">
      <c r="A818" s="49" t="str">
        <v>0:00</v>
      </c>
      <c r="B818" s="108"/>
      <c r="C818" s="130"/>
      <c r="D818" s="130"/>
      <c r="E818" s="130"/>
      <c r="F818" s="130"/>
      <c r="G818" s="130"/>
      <c r="H818" s="130"/>
      <c r="I818" s="130"/>
      <c r="J818" s="130"/>
      <c r="K818" s="130"/>
      <c r="L818" s="130"/>
      <c r="M818" s="130"/>
      <c r="N818" s="130"/>
      <c r="O818" s="130"/>
      <c r="P818" s="130"/>
    </row>
    <row r="819" spans="1:16" x14ac:dyDescent="0.2">
      <c r="A819" s="49" t="str">
        <v>0:00</v>
      </c>
      <c r="B819" s="108"/>
      <c r="C819" s="130"/>
      <c r="D819" s="130"/>
      <c r="E819" s="130"/>
      <c r="F819" s="130"/>
      <c r="G819" s="130"/>
      <c r="H819" s="130"/>
      <c r="I819" s="130"/>
      <c r="J819" s="130"/>
      <c r="K819" s="130"/>
      <c r="L819" s="130"/>
      <c r="M819" s="130"/>
      <c r="N819" s="130"/>
      <c r="O819" s="130"/>
      <c r="P819" s="130"/>
    </row>
    <row r="820" spans="1:16" x14ac:dyDescent="0.2">
      <c r="A820" s="49" t="str">
        <v>0:00</v>
      </c>
      <c r="B820" s="108"/>
      <c r="C820" s="130"/>
      <c r="D820" s="130"/>
      <c r="E820" s="130"/>
      <c r="F820" s="130"/>
      <c r="G820" s="130"/>
      <c r="H820" s="130"/>
      <c r="I820" s="130"/>
      <c r="J820" s="130"/>
      <c r="K820" s="130"/>
      <c r="L820" s="130"/>
      <c r="M820" s="130"/>
      <c r="N820" s="130"/>
      <c r="O820" s="130"/>
      <c r="P820" s="130"/>
    </row>
    <row r="821" spans="1:16" x14ac:dyDescent="0.2">
      <c r="A821" s="49" t="str">
        <v>0:00</v>
      </c>
      <c r="B821" s="108"/>
      <c r="C821" s="130"/>
      <c r="D821" s="130"/>
      <c r="E821" s="130"/>
      <c r="F821" s="130"/>
      <c r="G821" s="130"/>
      <c r="H821" s="130"/>
      <c r="I821" s="130"/>
      <c r="J821" s="130"/>
      <c r="K821" s="130"/>
      <c r="L821" s="130"/>
      <c r="M821" s="130"/>
      <c r="N821" s="130"/>
      <c r="O821" s="130"/>
      <c r="P821" s="130"/>
    </row>
    <row r="822" spans="1:16" x14ac:dyDescent="0.2">
      <c r="A822" s="49" t="str">
        <v>0:00</v>
      </c>
      <c r="B822" s="108"/>
      <c r="C822" s="130"/>
      <c r="D822" s="130"/>
      <c r="E822" s="130"/>
      <c r="F822" s="130"/>
      <c r="G822" s="130"/>
      <c r="H822" s="130"/>
      <c r="I822" s="130"/>
      <c r="J822" s="130"/>
      <c r="K822" s="130"/>
      <c r="L822" s="130"/>
      <c r="M822" s="130"/>
      <c r="N822" s="130"/>
      <c r="O822" s="130"/>
      <c r="P822" s="130"/>
    </row>
    <row r="823" spans="1:16" x14ac:dyDescent="0.2">
      <c r="A823" s="49" t="str">
        <v>0:00</v>
      </c>
      <c r="B823" s="108"/>
      <c r="C823" s="130"/>
      <c r="D823" s="130"/>
      <c r="E823" s="130"/>
      <c r="F823" s="130"/>
      <c r="G823" s="130"/>
      <c r="H823" s="130"/>
      <c r="I823" s="130"/>
      <c r="J823" s="130"/>
      <c r="K823" s="130"/>
      <c r="L823" s="130"/>
      <c r="M823" s="130"/>
      <c r="N823" s="130"/>
      <c r="O823" s="130"/>
      <c r="P823" s="130"/>
    </row>
    <row r="824" spans="1:16" x14ac:dyDescent="0.2">
      <c r="A824" s="49" t="str">
        <v>0:00</v>
      </c>
      <c r="B824" s="108"/>
      <c r="C824" s="130"/>
      <c r="D824" s="130"/>
      <c r="E824" s="130"/>
      <c r="F824" s="130"/>
      <c r="G824" s="130"/>
      <c r="H824" s="130"/>
      <c r="I824" s="130"/>
      <c r="J824" s="130"/>
      <c r="K824" s="130"/>
      <c r="L824" s="130"/>
      <c r="M824" s="130"/>
      <c r="N824" s="130"/>
      <c r="O824" s="130"/>
      <c r="P824" s="130"/>
    </row>
    <row r="825" spans="1:16" x14ac:dyDescent="0.2">
      <c r="A825" s="49" t="str">
        <v>0:00</v>
      </c>
      <c r="B825" s="108"/>
      <c r="C825" s="130"/>
      <c r="D825" s="130"/>
      <c r="E825" s="130"/>
      <c r="F825" s="130"/>
      <c r="G825" s="130"/>
      <c r="H825" s="130"/>
      <c r="I825" s="130"/>
      <c r="J825" s="130"/>
      <c r="K825" s="130"/>
      <c r="L825" s="130"/>
      <c r="M825" s="130"/>
      <c r="N825" s="130"/>
      <c r="O825" s="130"/>
      <c r="P825" s="130"/>
    </row>
    <row r="826" spans="1:16" x14ac:dyDescent="0.2">
      <c r="A826" s="49" t="str">
        <v>0:00</v>
      </c>
      <c r="B826" s="108"/>
      <c r="C826" s="130"/>
      <c r="D826" s="130"/>
      <c r="E826" s="130"/>
      <c r="F826" s="130"/>
      <c r="G826" s="130"/>
      <c r="H826" s="130"/>
      <c r="I826" s="130"/>
      <c r="J826" s="130"/>
      <c r="K826" s="130"/>
      <c r="L826" s="130"/>
      <c r="M826" s="130"/>
      <c r="N826" s="130"/>
      <c r="O826" s="130"/>
      <c r="P826" s="130"/>
    </row>
    <row r="827" spans="1:16" x14ac:dyDescent="0.2">
      <c r="A827" s="49" t="str">
        <v>0:00</v>
      </c>
      <c r="B827" s="108"/>
      <c r="C827" s="130"/>
      <c r="D827" s="130"/>
      <c r="E827" s="130"/>
      <c r="F827" s="130"/>
      <c r="G827" s="130"/>
      <c r="H827" s="130"/>
      <c r="I827" s="130"/>
      <c r="J827" s="130"/>
      <c r="K827" s="130"/>
      <c r="L827" s="130"/>
      <c r="M827" s="130"/>
      <c r="N827" s="130"/>
      <c r="O827" s="130"/>
      <c r="P827" s="130"/>
    </row>
    <row r="828" spans="1:16" x14ac:dyDescent="0.2">
      <c r="A828" s="49" t="str">
        <v>0:00</v>
      </c>
      <c r="B828" s="108"/>
      <c r="C828" s="130"/>
      <c r="D828" s="130"/>
      <c r="E828" s="130"/>
      <c r="F828" s="130"/>
      <c r="G828" s="130"/>
      <c r="H828" s="130"/>
      <c r="I828" s="130"/>
      <c r="J828" s="130"/>
      <c r="K828" s="130"/>
      <c r="L828" s="130"/>
      <c r="M828" s="130"/>
      <c r="N828" s="130"/>
      <c r="O828" s="130"/>
      <c r="P828" s="130"/>
    </row>
    <row r="829" spans="1:16" x14ac:dyDescent="0.2">
      <c r="A829" s="49" t="str">
        <v>0:00</v>
      </c>
      <c r="B829" s="108"/>
      <c r="C829" s="130"/>
      <c r="D829" s="130"/>
      <c r="E829" s="130"/>
      <c r="F829" s="130"/>
      <c r="G829" s="130"/>
      <c r="H829" s="130"/>
      <c r="I829" s="130"/>
      <c r="J829" s="130"/>
      <c r="K829" s="130"/>
      <c r="L829" s="130"/>
      <c r="M829" s="130"/>
      <c r="N829" s="130"/>
      <c r="O829" s="130"/>
      <c r="P829" s="130"/>
    </row>
    <row r="830" spans="1:16" x14ac:dyDescent="0.2">
      <c r="A830" s="49" t="str">
        <v>0:00</v>
      </c>
      <c r="B830" s="108"/>
      <c r="C830" s="130"/>
      <c r="D830" s="130"/>
      <c r="E830" s="130"/>
      <c r="F830" s="130"/>
      <c r="G830" s="130"/>
      <c r="H830" s="130"/>
      <c r="I830" s="130"/>
      <c r="J830" s="130"/>
      <c r="K830" s="130"/>
      <c r="L830" s="130"/>
      <c r="M830" s="130"/>
      <c r="N830" s="130"/>
      <c r="O830" s="130"/>
      <c r="P830" s="130"/>
    </row>
    <row r="831" spans="1:16" x14ac:dyDescent="0.2">
      <c r="A831" s="49" t="str">
        <v>0:00</v>
      </c>
      <c r="B831" s="108"/>
      <c r="C831" s="130"/>
      <c r="D831" s="130"/>
      <c r="E831" s="130"/>
      <c r="F831" s="130"/>
      <c r="G831" s="130"/>
      <c r="H831" s="130"/>
      <c r="I831" s="130"/>
      <c r="J831" s="130"/>
      <c r="K831" s="130"/>
      <c r="L831" s="130"/>
      <c r="M831" s="130"/>
      <c r="N831" s="130"/>
      <c r="O831" s="130"/>
      <c r="P831" s="130"/>
    </row>
    <row r="832" spans="1:16" x14ac:dyDescent="0.2">
      <c r="A832" s="49" t="str">
        <v>0:00</v>
      </c>
      <c r="B832" s="108"/>
      <c r="C832" s="130"/>
      <c r="D832" s="130"/>
      <c r="E832" s="130"/>
      <c r="F832" s="130"/>
      <c r="G832" s="130"/>
      <c r="H832" s="130"/>
      <c r="I832" s="130"/>
      <c r="J832" s="130"/>
      <c r="K832" s="130"/>
      <c r="L832" s="130"/>
      <c r="M832" s="130"/>
      <c r="N832" s="130"/>
      <c r="O832" s="130"/>
      <c r="P832" s="130"/>
    </row>
    <row r="833" spans="1:16" x14ac:dyDescent="0.2">
      <c r="A833" s="49" t="str">
        <v>0:00</v>
      </c>
      <c r="B833" s="108"/>
      <c r="C833" s="130"/>
      <c r="D833" s="130"/>
      <c r="E833" s="130"/>
      <c r="F833" s="130"/>
      <c r="G833" s="130"/>
      <c r="H833" s="130"/>
      <c r="I833" s="130"/>
      <c r="J833" s="130"/>
      <c r="K833" s="130"/>
      <c r="L833" s="130"/>
      <c r="M833" s="130"/>
      <c r="N833" s="130"/>
      <c r="O833" s="130"/>
      <c r="P833" s="130"/>
    </row>
    <row r="834" spans="1:16" x14ac:dyDescent="0.2">
      <c r="A834" s="49" t="str">
        <v>0:00</v>
      </c>
      <c r="B834" s="108"/>
      <c r="C834" s="130"/>
      <c r="D834" s="130"/>
      <c r="E834" s="130"/>
      <c r="F834" s="130"/>
      <c r="G834" s="130"/>
      <c r="H834" s="130"/>
      <c r="I834" s="130"/>
      <c r="J834" s="130"/>
      <c r="K834" s="130"/>
      <c r="L834" s="130"/>
      <c r="M834" s="130"/>
      <c r="N834" s="130"/>
      <c r="O834" s="130"/>
      <c r="P834" s="130"/>
    </row>
    <row r="835" spans="1:16" x14ac:dyDescent="0.2">
      <c r="A835" s="49" t="str">
        <v>0:00</v>
      </c>
      <c r="B835" s="108"/>
      <c r="C835" s="130"/>
      <c r="D835" s="130"/>
      <c r="E835" s="130"/>
      <c r="F835" s="130"/>
      <c r="G835" s="130"/>
      <c r="H835" s="130"/>
      <c r="I835" s="130"/>
      <c r="J835" s="130"/>
      <c r="K835" s="130"/>
      <c r="L835" s="130"/>
      <c r="M835" s="130"/>
      <c r="N835" s="130"/>
      <c r="O835" s="130"/>
      <c r="P835" s="130"/>
    </row>
    <row r="836" spans="1:16" x14ac:dyDescent="0.2">
      <c r="A836" s="49" t="str">
        <v>0:00</v>
      </c>
      <c r="B836" s="108"/>
      <c r="C836" s="130"/>
      <c r="D836" s="130"/>
      <c r="E836" s="130"/>
      <c r="F836" s="130"/>
      <c r="G836" s="130"/>
      <c r="H836" s="130"/>
      <c r="I836" s="130"/>
      <c r="J836" s="130"/>
      <c r="K836" s="130"/>
      <c r="L836" s="130"/>
      <c r="M836" s="130"/>
      <c r="N836" s="130"/>
      <c r="O836" s="130"/>
      <c r="P836" s="130"/>
    </row>
    <row r="837" spans="1:16" x14ac:dyDescent="0.2">
      <c r="A837" s="49" t="str">
        <v>0:00</v>
      </c>
      <c r="B837" s="108"/>
      <c r="C837" s="130"/>
      <c r="D837" s="130"/>
      <c r="E837" s="130"/>
      <c r="F837" s="130"/>
      <c r="G837" s="130"/>
      <c r="H837" s="130"/>
      <c r="I837" s="130"/>
      <c r="J837" s="130"/>
      <c r="K837" s="130"/>
      <c r="L837" s="130"/>
      <c r="M837" s="130"/>
      <c r="N837" s="130"/>
      <c r="O837" s="130"/>
      <c r="P837" s="130"/>
    </row>
    <row r="838" spans="1:16" x14ac:dyDescent="0.2">
      <c r="A838" s="49" t="str">
        <v>0:00</v>
      </c>
      <c r="B838" s="108"/>
      <c r="C838" s="130"/>
      <c r="D838" s="130"/>
      <c r="E838" s="130"/>
      <c r="F838" s="130"/>
      <c r="G838" s="130"/>
      <c r="H838" s="130"/>
      <c r="I838" s="130"/>
      <c r="J838" s="130"/>
      <c r="K838" s="130"/>
      <c r="L838" s="130"/>
      <c r="M838" s="130"/>
      <c r="N838" s="130"/>
      <c r="O838" s="130"/>
      <c r="P838" s="130"/>
    </row>
    <row r="839" spans="1:16" x14ac:dyDescent="0.2">
      <c r="A839" s="49" t="str">
        <v>0:00</v>
      </c>
      <c r="B839" s="108"/>
      <c r="C839" s="130"/>
      <c r="D839" s="130"/>
      <c r="E839" s="130"/>
      <c r="F839" s="130"/>
      <c r="G839" s="130"/>
      <c r="H839" s="130"/>
      <c r="I839" s="130"/>
      <c r="J839" s="130"/>
      <c r="K839" s="130"/>
      <c r="L839" s="130"/>
      <c r="M839" s="130"/>
      <c r="N839" s="130"/>
      <c r="O839" s="130"/>
      <c r="P839" s="130"/>
    </row>
    <row r="840" spans="1:16" x14ac:dyDescent="0.2">
      <c r="A840" s="49" t="str">
        <v>0:00</v>
      </c>
      <c r="B840" s="108"/>
      <c r="C840" s="130"/>
      <c r="D840" s="130"/>
      <c r="E840" s="130"/>
      <c r="F840" s="130"/>
      <c r="G840" s="130"/>
      <c r="H840" s="130"/>
      <c r="I840" s="130"/>
      <c r="J840" s="130"/>
      <c r="K840" s="130"/>
      <c r="L840" s="130"/>
      <c r="M840" s="130"/>
      <c r="N840" s="130"/>
      <c r="O840" s="130"/>
      <c r="P840" s="130"/>
    </row>
    <row r="841" spans="1:16" x14ac:dyDescent="0.2">
      <c r="A841" s="49" t="str">
        <v>0:00</v>
      </c>
      <c r="B841" s="108"/>
      <c r="C841" s="130"/>
      <c r="D841" s="130"/>
      <c r="E841" s="130"/>
      <c r="F841" s="130"/>
      <c r="G841" s="130"/>
      <c r="H841" s="130"/>
      <c r="I841" s="130"/>
      <c r="J841" s="130"/>
      <c r="K841" s="130"/>
      <c r="L841" s="130"/>
      <c r="M841" s="130"/>
      <c r="N841" s="130"/>
      <c r="O841" s="130"/>
      <c r="P841" s="130"/>
    </row>
    <row r="842" spans="1:16" x14ac:dyDescent="0.2">
      <c r="A842" s="49" t="str">
        <v>0:00</v>
      </c>
      <c r="B842" s="108"/>
      <c r="C842" s="130"/>
      <c r="D842" s="130"/>
      <c r="E842" s="130"/>
      <c r="F842" s="130"/>
      <c r="G842" s="130"/>
      <c r="H842" s="130"/>
      <c r="I842" s="130"/>
      <c r="J842" s="130"/>
      <c r="K842" s="130"/>
      <c r="L842" s="130"/>
      <c r="M842" s="130"/>
      <c r="N842" s="130"/>
      <c r="O842" s="130"/>
      <c r="P842" s="130"/>
    </row>
    <row r="843" spans="1:16" x14ac:dyDescent="0.2">
      <c r="A843" s="49" t="str">
        <v>0:00</v>
      </c>
      <c r="B843" s="108"/>
      <c r="C843" s="130"/>
      <c r="D843" s="130"/>
      <c r="E843" s="130"/>
      <c r="F843" s="130"/>
      <c r="G843" s="130"/>
      <c r="H843" s="130"/>
      <c r="I843" s="130"/>
      <c r="J843" s="130"/>
      <c r="K843" s="130"/>
      <c r="L843" s="130"/>
      <c r="M843" s="130"/>
      <c r="N843" s="130"/>
      <c r="O843" s="130"/>
      <c r="P843" s="130"/>
    </row>
    <row r="844" spans="1:16" x14ac:dyDescent="0.2">
      <c r="A844" s="49" t="str">
        <v>0:00</v>
      </c>
      <c r="B844" s="108"/>
      <c r="C844" s="130"/>
      <c r="D844" s="130"/>
      <c r="E844" s="130"/>
      <c r="F844" s="130"/>
      <c r="G844" s="130"/>
      <c r="H844" s="130"/>
      <c r="I844" s="130"/>
      <c r="J844" s="130"/>
      <c r="K844" s="130"/>
      <c r="L844" s="130"/>
      <c r="M844" s="130"/>
      <c r="N844" s="130"/>
      <c r="O844" s="130"/>
      <c r="P844" s="130"/>
    </row>
    <row r="845" spans="1:16" x14ac:dyDescent="0.2">
      <c r="A845" s="49" t="str">
        <v>0:00</v>
      </c>
      <c r="B845" s="108"/>
      <c r="C845" s="130"/>
      <c r="D845" s="130"/>
      <c r="E845" s="130"/>
      <c r="F845" s="130"/>
      <c r="G845" s="130"/>
      <c r="H845" s="130"/>
      <c r="I845" s="130"/>
      <c r="J845" s="130"/>
      <c r="K845" s="130"/>
      <c r="L845" s="130"/>
      <c r="M845" s="130"/>
      <c r="N845" s="130"/>
      <c r="O845" s="130"/>
      <c r="P845" s="130"/>
    </row>
    <row r="846" spans="1:16" x14ac:dyDescent="0.2">
      <c r="A846" s="49" t="str">
        <v>0:00</v>
      </c>
      <c r="B846" s="108"/>
      <c r="C846" s="130"/>
      <c r="D846" s="130"/>
      <c r="E846" s="130"/>
      <c r="F846" s="130"/>
      <c r="G846" s="130"/>
      <c r="H846" s="130"/>
      <c r="I846" s="130"/>
      <c r="J846" s="130"/>
      <c r="K846" s="130"/>
      <c r="L846" s="130"/>
      <c r="M846" s="130"/>
      <c r="N846" s="130"/>
      <c r="O846" s="130"/>
      <c r="P846" s="130"/>
    </row>
    <row r="847" spans="1:16" x14ac:dyDescent="0.2">
      <c r="A847" s="49" t="str">
        <v>0:00</v>
      </c>
      <c r="B847" s="108"/>
      <c r="C847" s="130"/>
      <c r="D847" s="130"/>
      <c r="E847" s="130"/>
      <c r="F847" s="130"/>
      <c r="G847" s="130"/>
      <c r="H847" s="130"/>
      <c r="I847" s="130"/>
      <c r="J847" s="130"/>
      <c r="K847" s="130"/>
      <c r="L847" s="130"/>
      <c r="M847" s="130"/>
      <c r="N847" s="130"/>
      <c r="O847" s="130"/>
      <c r="P847" s="130"/>
    </row>
    <row r="848" spans="1:16" x14ac:dyDescent="0.2">
      <c r="A848" s="49" t="str">
        <v>0:00</v>
      </c>
      <c r="B848" s="108"/>
      <c r="C848" s="130"/>
      <c r="D848" s="130"/>
      <c r="E848" s="130"/>
      <c r="F848" s="130"/>
      <c r="G848" s="130"/>
      <c r="H848" s="130"/>
      <c r="I848" s="130"/>
      <c r="J848" s="130"/>
      <c r="K848" s="130"/>
      <c r="L848" s="130"/>
      <c r="M848" s="130"/>
      <c r="N848" s="130"/>
      <c r="O848" s="130"/>
      <c r="P848" s="130"/>
    </row>
    <row r="849" spans="1:16" x14ac:dyDescent="0.2">
      <c r="A849" s="49" t="str">
        <v>0:00</v>
      </c>
      <c r="B849" s="108"/>
      <c r="C849" s="130"/>
      <c r="D849" s="130"/>
      <c r="E849" s="130"/>
      <c r="F849" s="130"/>
      <c r="G849" s="130"/>
      <c r="H849" s="130"/>
      <c r="I849" s="130"/>
      <c r="J849" s="130"/>
      <c r="K849" s="130"/>
      <c r="L849" s="130"/>
      <c r="M849" s="130"/>
      <c r="N849" s="130"/>
      <c r="O849" s="130"/>
      <c r="P849" s="130"/>
    </row>
    <row r="850" spans="1:16" x14ac:dyDescent="0.2">
      <c r="A850" s="49" t="str">
        <v>0:00</v>
      </c>
      <c r="B850" s="108"/>
      <c r="C850" s="130"/>
      <c r="D850" s="130"/>
      <c r="E850" s="130"/>
      <c r="F850" s="130"/>
      <c r="G850" s="130"/>
      <c r="H850" s="130"/>
      <c r="I850" s="130"/>
      <c r="J850" s="130"/>
      <c r="K850" s="130"/>
      <c r="L850" s="130"/>
      <c r="M850" s="130"/>
      <c r="N850" s="130"/>
      <c r="O850" s="130"/>
      <c r="P850" s="130"/>
    </row>
    <row r="851" spans="1:16" x14ac:dyDescent="0.2">
      <c r="A851" s="49" t="str">
        <v>0:00</v>
      </c>
      <c r="B851" s="108"/>
      <c r="C851" s="130"/>
      <c r="D851" s="130"/>
      <c r="E851" s="130"/>
      <c r="F851" s="130"/>
      <c r="G851" s="130"/>
      <c r="H851" s="130"/>
      <c r="I851" s="130"/>
      <c r="J851" s="130"/>
      <c r="K851" s="130"/>
      <c r="L851" s="130"/>
      <c r="M851" s="130"/>
      <c r="N851" s="130"/>
      <c r="O851" s="130"/>
      <c r="P851" s="130"/>
    </row>
    <row r="852" spans="1:16" x14ac:dyDescent="0.2">
      <c r="A852" s="49" t="str">
        <v>0:00</v>
      </c>
      <c r="B852" s="108"/>
      <c r="C852" s="130"/>
      <c r="D852" s="130"/>
      <c r="E852" s="130"/>
      <c r="F852" s="130"/>
      <c r="G852" s="130"/>
      <c r="H852" s="130"/>
      <c r="I852" s="130"/>
      <c r="J852" s="130"/>
      <c r="K852" s="130"/>
      <c r="L852" s="130"/>
      <c r="M852" s="130"/>
      <c r="N852" s="130"/>
      <c r="O852" s="130"/>
      <c r="P852" s="130"/>
    </row>
    <row r="853" spans="1:16" x14ac:dyDescent="0.2">
      <c r="A853" s="49" t="str">
        <v>0:00</v>
      </c>
      <c r="B853" s="108"/>
      <c r="C853" s="130"/>
      <c r="D853" s="130"/>
      <c r="E853" s="130"/>
      <c r="F853" s="130"/>
      <c r="G853" s="130"/>
      <c r="H853" s="130"/>
      <c r="I853" s="130"/>
      <c r="J853" s="130"/>
      <c r="K853" s="130"/>
      <c r="L853" s="130"/>
      <c r="M853" s="130"/>
      <c r="N853" s="130"/>
      <c r="O853" s="130"/>
      <c r="P853" s="130"/>
    </row>
    <row r="854" spans="1:16" x14ac:dyDescent="0.2">
      <c r="A854" s="49" t="str">
        <v>0:00</v>
      </c>
      <c r="B854" s="108"/>
      <c r="C854" s="130"/>
      <c r="D854" s="130"/>
      <c r="E854" s="130"/>
      <c r="F854" s="130"/>
      <c r="G854" s="130"/>
      <c r="H854" s="130"/>
      <c r="I854" s="130"/>
      <c r="J854" s="130"/>
      <c r="K854" s="130"/>
      <c r="L854" s="130"/>
      <c r="M854" s="130"/>
      <c r="N854" s="130"/>
      <c r="O854" s="130"/>
      <c r="P854" s="130"/>
    </row>
    <row r="855" spans="1:16" x14ac:dyDescent="0.2">
      <c r="A855" s="49" t="str">
        <v>0:00</v>
      </c>
      <c r="B855" s="108"/>
      <c r="C855" s="130"/>
      <c r="D855" s="130"/>
      <c r="E855" s="130"/>
      <c r="F855" s="130"/>
      <c r="G855" s="130"/>
      <c r="H855" s="130"/>
      <c r="I855" s="130"/>
      <c r="J855" s="130"/>
      <c r="K855" s="130"/>
      <c r="L855" s="130"/>
      <c r="M855" s="130"/>
      <c r="N855" s="130"/>
      <c r="O855" s="130"/>
      <c r="P855" s="130"/>
    </row>
    <row r="856" spans="1:16" x14ac:dyDescent="0.2">
      <c r="A856" s="49" t="str">
        <v>0:00</v>
      </c>
      <c r="B856" s="108"/>
      <c r="C856" s="130"/>
      <c r="D856" s="130"/>
      <c r="E856" s="130"/>
      <c r="F856" s="130"/>
      <c r="G856" s="130"/>
      <c r="H856" s="130"/>
      <c r="I856" s="130"/>
      <c r="J856" s="130"/>
      <c r="K856" s="130"/>
      <c r="L856" s="130"/>
      <c r="M856" s="130"/>
      <c r="N856" s="130"/>
      <c r="O856" s="130"/>
      <c r="P856" s="130"/>
    </row>
    <row r="857" spans="1:16" x14ac:dyDescent="0.2">
      <c r="A857" s="49" t="str">
        <v>0:00</v>
      </c>
      <c r="B857" s="108"/>
      <c r="C857" s="130"/>
      <c r="D857" s="130"/>
      <c r="E857" s="130"/>
      <c r="F857" s="130"/>
      <c r="G857" s="130"/>
      <c r="H857" s="130"/>
      <c r="I857" s="130"/>
      <c r="J857" s="130"/>
      <c r="K857" s="130"/>
      <c r="L857" s="130"/>
      <c r="M857" s="130"/>
      <c r="N857" s="130"/>
      <c r="O857" s="130"/>
      <c r="P857" s="130"/>
    </row>
    <row r="858" spans="1:16" x14ac:dyDescent="0.2">
      <c r="A858" s="49" t="str">
        <v>0:00</v>
      </c>
      <c r="B858" s="108"/>
      <c r="C858" s="130"/>
      <c r="D858" s="130"/>
      <c r="E858" s="130"/>
      <c r="F858" s="130"/>
      <c r="G858" s="130"/>
      <c r="H858" s="130"/>
      <c r="I858" s="130"/>
      <c r="J858" s="130"/>
      <c r="K858" s="130"/>
      <c r="L858" s="130"/>
      <c r="M858" s="130"/>
      <c r="N858" s="130"/>
      <c r="O858" s="130"/>
      <c r="P858" s="130"/>
    </row>
    <row r="859" spans="1:16" x14ac:dyDescent="0.2">
      <c r="A859" s="49" t="str">
        <v>0:00</v>
      </c>
      <c r="B859" s="108"/>
      <c r="C859" s="130"/>
      <c r="D859" s="130"/>
      <c r="E859" s="130"/>
      <c r="F859" s="130"/>
      <c r="G859" s="130"/>
      <c r="H859" s="130"/>
      <c r="I859" s="130"/>
      <c r="J859" s="130"/>
      <c r="K859" s="130"/>
      <c r="L859" s="130"/>
      <c r="M859" s="130"/>
      <c r="N859" s="130"/>
      <c r="O859" s="130"/>
      <c r="P859" s="130"/>
    </row>
    <row r="860" spans="1:16" x14ac:dyDescent="0.2">
      <c r="A860" s="49" t="str">
        <v>0:00</v>
      </c>
      <c r="B860" s="108"/>
      <c r="C860" s="130"/>
      <c r="D860" s="130"/>
      <c r="E860" s="130"/>
      <c r="F860" s="130"/>
      <c r="G860" s="130"/>
      <c r="H860" s="130"/>
      <c r="I860" s="130"/>
      <c r="J860" s="130"/>
      <c r="K860" s="130"/>
      <c r="L860" s="130"/>
      <c r="M860" s="130"/>
      <c r="N860" s="130"/>
      <c r="O860" s="130"/>
      <c r="P860" s="130"/>
    </row>
    <row r="861" spans="1:16" x14ac:dyDescent="0.2">
      <c r="A861" s="49" t="str">
        <v>0:00</v>
      </c>
      <c r="B861" s="108"/>
      <c r="C861" s="130"/>
      <c r="D861" s="130"/>
      <c r="E861" s="130"/>
      <c r="F861" s="130"/>
      <c r="G861" s="130"/>
      <c r="H861" s="130"/>
      <c r="I861" s="130"/>
      <c r="J861" s="130"/>
      <c r="K861" s="130"/>
      <c r="L861" s="130"/>
      <c r="M861" s="130"/>
      <c r="N861" s="130"/>
      <c r="O861" s="130"/>
      <c r="P861" s="130"/>
    </row>
    <row r="862" spans="1:16" x14ac:dyDescent="0.2">
      <c r="A862" s="49" t="str">
        <v>0:00</v>
      </c>
      <c r="B862" s="108"/>
      <c r="C862" s="130"/>
      <c r="D862" s="130"/>
      <c r="E862" s="130"/>
      <c r="F862" s="130"/>
      <c r="G862" s="130"/>
      <c r="H862" s="130"/>
      <c r="I862" s="130"/>
      <c r="J862" s="130"/>
      <c r="K862" s="130"/>
      <c r="L862" s="130"/>
      <c r="M862" s="130"/>
      <c r="N862" s="130"/>
      <c r="O862" s="130"/>
      <c r="P862" s="130"/>
    </row>
    <row r="863" spans="1:16" x14ac:dyDescent="0.2">
      <c r="A863" s="49" t="str">
        <v>0:00</v>
      </c>
      <c r="B863" s="108"/>
      <c r="C863" s="130"/>
      <c r="D863" s="130"/>
      <c r="E863" s="130"/>
      <c r="F863" s="130"/>
      <c r="G863" s="130"/>
      <c r="H863" s="130"/>
      <c r="I863" s="130"/>
      <c r="J863" s="130"/>
      <c r="K863" s="130"/>
      <c r="L863" s="130"/>
      <c r="M863" s="130"/>
      <c r="N863" s="130"/>
      <c r="O863" s="130"/>
      <c r="P863" s="130"/>
    </row>
    <row r="864" spans="1:16" x14ac:dyDescent="0.2">
      <c r="A864" s="49" t="str">
        <v>0:00</v>
      </c>
      <c r="B864" s="108"/>
      <c r="C864" s="130"/>
      <c r="D864" s="130"/>
      <c r="E864" s="130"/>
      <c r="F864" s="130"/>
      <c r="G864" s="130"/>
      <c r="H864" s="130"/>
      <c r="I864" s="130"/>
      <c r="J864" s="130"/>
      <c r="K864" s="130"/>
      <c r="L864" s="130"/>
      <c r="M864" s="130"/>
      <c r="N864" s="130"/>
      <c r="O864" s="130"/>
      <c r="P864" s="130"/>
    </row>
    <row r="865" spans="1:16" x14ac:dyDescent="0.2">
      <c r="A865" s="49" t="str">
        <v>0:00</v>
      </c>
      <c r="B865" s="108"/>
      <c r="C865" s="130"/>
      <c r="D865" s="130"/>
      <c r="E865" s="130"/>
      <c r="F865" s="130"/>
      <c r="G865" s="130"/>
      <c r="H865" s="130"/>
      <c r="I865" s="130"/>
      <c r="J865" s="130"/>
      <c r="K865" s="130"/>
      <c r="L865" s="130"/>
      <c r="M865" s="130"/>
      <c r="N865" s="130"/>
      <c r="O865" s="130"/>
      <c r="P865" s="130"/>
    </row>
    <row r="866" spans="1:16" x14ac:dyDescent="0.2">
      <c r="A866" s="49" t="str">
        <v>0:00</v>
      </c>
      <c r="B866" s="108"/>
      <c r="C866" s="130"/>
      <c r="D866" s="130"/>
      <c r="E866" s="130"/>
      <c r="F866" s="130"/>
      <c r="G866" s="130"/>
      <c r="H866" s="130"/>
      <c r="I866" s="130"/>
      <c r="J866" s="130"/>
      <c r="K866" s="130"/>
      <c r="L866" s="130"/>
      <c r="M866" s="130"/>
      <c r="N866" s="130"/>
      <c r="O866" s="130"/>
      <c r="P866" s="130"/>
    </row>
    <row r="867" spans="1:16" x14ac:dyDescent="0.2">
      <c r="A867" s="49" t="str">
        <v>0:00</v>
      </c>
      <c r="B867" s="108"/>
      <c r="C867" s="130"/>
      <c r="D867" s="130"/>
      <c r="E867" s="130"/>
      <c r="F867" s="130"/>
      <c r="G867" s="130"/>
      <c r="H867" s="130"/>
      <c r="I867" s="130"/>
      <c r="J867" s="130"/>
      <c r="K867" s="130"/>
      <c r="L867" s="130"/>
      <c r="M867" s="130"/>
      <c r="N867" s="130"/>
      <c r="O867" s="130"/>
      <c r="P867" s="130"/>
    </row>
    <row r="868" spans="1:16" x14ac:dyDescent="0.2">
      <c r="A868" s="49" t="str">
        <v>0:00</v>
      </c>
      <c r="B868" s="108"/>
      <c r="C868" s="130"/>
      <c r="D868" s="130"/>
      <c r="E868" s="130"/>
      <c r="F868" s="130"/>
      <c r="G868" s="130"/>
      <c r="H868" s="130"/>
      <c r="I868" s="130"/>
      <c r="J868" s="130"/>
      <c r="K868" s="130"/>
      <c r="L868" s="130"/>
      <c r="M868" s="130"/>
      <c r="N868" s="130"/>
      <c r="O868" s="130"/>
      <c r="P868" s="130"/>
    </row>
    <row r="869" spans="1:16" x14ac:dyDescent="0.2">
      <c r="A869" s="49" t="str">
        <v>0:00</v>
      </c>
      <c r="B869" s="108"/>
      <c r="C869" s="130"/>
      <c r="D869" s="130"/>
      <c r="E869" s="130"/>
      <c r="F869" s="130"/>
      <c r="G869" s="130"/>
      <c r="H869" s="130"/>
      <c r="I869" s="130"/>
      <c r="J869" s="130"/>
      <c r="K869" s="130"/>
      <c r="L869" s="130"/>
      <c r="M869" s="130"/>
      <c r="N869" s="130"/>
      <c r="O869" s="130"/>
      <c r="P869" s="130"/>
    </row>
    <row r="870" spans="1:16" x14ac:dyDescent="0.2">
      <c r="A870" s="49" t="str">
        <v>0:00</v>
      </c>
      <c r="B870" s="108"/>
      <c r="C870" s="130"/>
      <c r="D870" s="130"/>
      <c r="E870" s="130"/>
      <c r="F870" s="130"/>
      <c r="G870" s="130"/>
      <c r="H870" s="130"/>
      <c r="I870" s="130"/>
      <c r="J870" s="130"/>
      <c r="K870" s="130"/>
      <c r="L870" s="130"/>
      <c r="M870" s="130"/>
      <c r="N870" s="130"/>
      <c r="O870" s="130"/>
      <c r="P870" s="130"/>
    </row>
    <row r="871" spans="1:16" x14ac:dyDescent="0.2">
      <c r="A871" s="49" t="str">
        <v>0:00</v>
      </c>
      <c r="B871" s="108"/>
      <c r="C871" s="130"/>
      <c r="D871" s="130"/>
      <c r="E871" s="130"/>
      <c r="F871" s="130"/>
      <c r="G871" s="130"/>
      <c r="H871" s="130"/>
      <c r="I871" s="130"/>
      <c r="J871" s="130"/>
      <c r="K871" s="130"/>
      <c r="L871" s="130"/>
      <c r="M871" s="130"/>
      <c r="N871" s="130"/>
      <c r="O871" s="130"/>
      <c r="P871" s="130"/>
    </row>
    <row r="872" spans="1:16" x14ac:dyDescent="0.2">
      <c r="A872" s="49" t="str">
        <v>0:00</v>
      </c>
      <c r="B872" s="108"/>
      <c r="C872" s="130"/>
      <c r="D872" s="130"/>
      <c r="E872" s="130"/>
      <c r="F872" s="130"/>
      <c r="G872" s="130"/>
      <c r="H872" s="130"/>
      <c r="I872" s="130"/>
      <c r="J872" s="130"/>
      <c r="K872" s="130"/>
      <c r="L872" s="130"/>
      <c r="M872" s="130"/>
      <c r="N872" s="130"/>
      <c r="O872" s="130"/>
      <c r="P872" s="130"/>
    </row>
    <row r="873" spans="1:16" x14ac:dyDescent="0.2">
      <c r="A873" s="49" t="str">
        <v>0:00</v>
      </c>
      <c r="B873" s="108"/>
      <c r="C873" s="130"/>
      <c r="D873" s="130"/>
      <c r="E873" s="130"/>
      <c r="F873" s="130"/>
      <c r="G873" s="130"/>
      <c r="H873" s="130"/>
      <c r="I873" s="130"/>
      <c r="J873" s="130"/>
      <c r="K873" s="130"/>
      <c r="L873" s="130"/>
      <c r="M873" s="130"/>
      <c r="N873" s="130"/>
      <c r="O873" s="130"/>
      <c r="P873" s="130"/>
    </row>
    <row r="874" spans="1:16" x14ac:dyDescent="0.2">
      <c r="A874" s="49" t="str">
        <v>0:00</v>
      </c>
      <c r="B874" s="108"/>
      <c r="C874" s="130"/>
      <c r="D874" s="130"/>
      <c r="E874" s="130"/>
      <c r="F874" s="130"/>
      <c r="G874" s="130"/>
      <c r="H874" s="130"/>
      <c r="I874" s="130"/>
      <c r="J874" s="130"/>
      <c r="K874" s="130"/>
      <c r="L874" s="130"/>
      <c r="M874" s="130"/>
      <c r="N874" s="130"/>
      <c r="O874" s="130"/>
      <c r="P874" s="130"/>
    </row>
    <row r="875" spans="1:16" x14ac:dyDescent="0.2">
      <c r="A875" s="49" t="str">
        <v>0:00</v>
      </c>
      <c r="B875" s="108"/>
      <c r="C875" s="130"/>
      <c r="D875" s="130"/>
      <c r="E875" s="130"/>
      <c r="F875" s="130"/>
      <c r="G875" s="130"/>
      <c r="H875" s="130"/>
      <c r="I875" s="130"/>
      <c r="J875" s="130"/>
      <c r="K875" s="130"/>
      <c r="L875" s="130"/>
      <c r="M875" s="130"/>
      <c r="N875" s="130"/>
      <c r="O875" s="130"/>
      <c r="P875" s="130"/>
    </row>
    <row r="876" spans="1:16" x14ac:dyDescent="0.2">
      <c r="A876" s="49" t="str">
        <v>0:00</v>
      </c>
      <c r="B876" s="108"/>
      <c r="C876" s="130"/>
      <c r="D876" s="130"/>
      <c r="E876" s="130"/>
      <c r="F876" s="130"/>
      <c r="G876" s="130"/>
      <c r="H876" s="130"/>
      <c r="I876" s="130"/>
      <c r="J876" s="130"/>
      <c r="K876" s="130"/>
      <c r="L876" s="130"/>
      <c r="M876" s="130"/>
      <c r="N876" s="130"/>
      <c r="O876" s="130"/>
      <c r="P876" s="130"/>
    </row>
    <row r="877" spans="1:16" x14ac:dyDescent="0.2">
      <c r="A877" s="49" t="str">
        <v>0:00</v>
      </c>
      <c r="B877" s="108"/>
      <c r="C877" s="130"/>
      <c r="D877" s="130"/>
      <c r="E877" s="130"/>
      <c r="F877" s="130"/>
      <c r="G877" s="130"/>
      <c r="H877" s="130"/>
      <c r="I877" s="130"/>
      <c r="J877" s="130"/>
      <c r="K877" s="130"/>
      <c r="L877" s="130"/>
      <c r="M877" s="130"/>
      <c r="N877" s="130"/>
      <c r="O877" s="130"/>
      <c r="P877" s="130"/>
    </row>
    <row r="878" spans="1:16" x14ac:dyDescent="0.2">
      <c r="A878" s="49" t="str">
        <v>0:00</v>
      </c>
      <c r="B878" s="108"/>
      <c r="C878" s="130"/>
      <c r="D878" s="130"/>
      <c r="E878" s="130"/>
      <c r="F878" s="130"/>
      <c r="G878" s="130"/>
      <c r="H878" s="130"/>
      <c r="I878" s="130"/>
      <c r="J878" s="130"/>
      <c r="K878" s="130"/>
      <c r="L878" s="130"/>
      <c r="M878" s="130"/>
      <c r="N878" s="130"/>
      <c r="O878" s="130"/>
      <c r="P878" s="130"/>
    </row>
    <row r="879" spans="1:16" x14ac:dyDescent="0.2">
      <c r="A879" s="49" t="str">
        <v>0:00</v>
      </c>
      <c r="B879" s="108"/>
      <c r="C879" s="130"/>
      <c r="D879" s="130"/>
      <c r="E879" s="130"/>
      <c r="F879" s="130"/>
      <c r="G879" s="130"/>
      <c r="H879" s="130"/>
      <c r="I879" s="130"/>
      <c r="J879" s="130"/>
      <c r="K879" s="130"/>
      <c r="L879" s="130"/>
      <c r="M879" s="130"/>
      <c r="N879" s="130"/>
      <c r="O879" s="130"/>
      <c r="P879" s="130"/>
    </row>
    <row r="880" spans="1:16" x14ac:dyDescent="0.2">
      <c r="A880" s="49" t="str">
        <v>0:00</v>
      </c>
      <c r="B880" s="108"/>
      <c r="C880" s="130"/>
      <c r="D880" s="130"/>
      <c r="E880" s="130"/>
      <c r="F880" s="130"/>
      <c r="G880" s="130"/>
      <c r="H880" s="130"/>
      <c r="I880" s="130"/>
      <c r="J880" s="130"/>
      <c r="K880" s="130"/>
      <c r="L880" s="130"/>
      <c r="M880" s="130"/>
      <c r="N880" s="130"/>
      <c r="O880" s="130"/>
      <c r="P880" s="130"/>
    </row>
    <row r="881" spans="1:16" x14ac:dyDescent="0.2">
      <c r="A881" s="49" t="str">
        <v>0:00</v>
      </c>
      <c r="B881" s="108"/>
      <c r="C881" s="130"/>
      <c r="D881" s="130"/>
      <c r="E881" s="130"/>
      <c r="F881" s="130"/>
      <c r="G881" s="130"/>
      <c r="H881" s="130"/>
      <c r="I881" s="130"/>
      <c r="J881" s="130"/>
      <c r="K881" s="130"/>
      <c r="L881" s="130"/>
      <c r="M881" s="130"/>
      <c r="N881" s="130"/>
      <c r="O881" s="130"/>
      <c r="P881" s="130"/>
    </row>
    <row r="882" spans="1:16" x14ac:dyDescent="0.2">
      <c r="A882" s="49" t="str">
        <v>0:00</v>
      </c>
      <c r="B882" s="108"/>
      <c r="C882" s="130"/>
      <c r="D882" s="130"/>
      <c r="E882" s="130"/>
      <c r="F882" s="130"/>
      <c r="G882" s="130"/>
      <c r="H882" s="130"/>
      <c r="I882" s="130"/>
      <c r="J882" s="130"/>
      <c r="K882" s="130"/>
      <c r="L882" s="130"/>
      <c r="M882" s="130"/>
      <c r="N882" s="130"/>
      <c r="O882" s="130"/>
      <c r="P882" s="130"/>
    </row>
    <row r="883" spans="1:16" x14ac:dyDescent="0.2">
      <c r="A883" s="49" t="str">
        <v>0:00</v>
      </c>
      <c r="B883" s="108"/>
      <c r="C883" s="130"/>
      <c r="D883" s="130"/>
      <c r="E883" s="130"/>
      <c r="F883" s="130"/>
      <c r="G883" s="130"/>
      <c r="H883" s="130"/>
      <c r="I883" s="130"/>
      <c r="J883" s="130"/>
      <c r="K883" s="130"/>
      <c r="L883" s="130"/>
      <c r="M883" s="130"/>
      <c r="N883" s="130"/>
      <c r="O883" s="130"/>
      <c r="P883" s="130"/>
    </row>
    <row r="884" spans="1:16" x14ac:dyDescent="0.2">
      <c r="A884" s="49" t="str">
        <v>0:00</v>
      </c>
      <c r="B884" s="108"/>
      <c r="C884" s="130"/>
      <c r="D884" s="130"/>
      <c r="E884" s="130"/>
      <c r="F884" s="130"/>
      <c r="G884" s="130"/>
      <c r="H884" s="130"/>
      <c r="I884" s="130"/>
      <c r="J884" s="130"/>
      <c r="K884" s="130"/>
      <c r="L884" s="130"/>
      <c r="M884" s="130"/>
      <c r="N884" s="130"/>
      <c r="O884" s="130"/>
      <c r="P884" s="130"/>
    </row>
    <row r="885" spans="1:16" x14ac:dyDescent="0.2">
      <c r="A885" s="49" t="str">
        <v>0:00</v>
      </c>
      <c r="B885" s="108"/>
      <c r="C885" s="130"/>
      <c r="D885" s="130"/>
      <c r="E885" s="130"/>
      <c r="F885" s="130"/>
      <c r="G885" s="130"/>
      <c r="H885" s="130"/>
      <c r="I885" s="130"/>
      <c r="J885" s="130"/>
      <c r="K885" s="130"/>
      <c r="L885" s="130"/>
      <c r="M885" s="130"/>
      <c r="N885" s="130"/>
      <c r="O885" s="130"/>
      <c r="P885" s="130"/>
    </row>
    <row r="886" spans="1:16" x14ac:dyDescent="0.2">
      <c r="A886" s="49" t="str">
        <v>0:00</v>
      </c>
      <c r="B886" s="108"/>
      <c r="C886" s="130"/>
      <c r="D886" s="130"/>
      <c r="E886" s="130"/>
      <c r="F886" s="130"/>
      <c r="G886" s="130"/>
      <c r="H886" s="130"/>
      <c r="I886" s="130"/>
      <c r="J886" s="130"/>
      <c r="K886" s="130"/>
      <c r="L886" s="130"/>
      <c r="M886" s="130"/>
      <c r="N886" s="130"/>
      <c r="O886" s="130"/>
      <c r="P886" s="130"/>
    </row>
    <row r="887" spans="1:16" x14ac:dyDescent="0.2">
      <c r="A887" s="49" t="str">
        <v>0:00</v>
      </c>
      <c r="B887" s="108"/>
      <c r="C887" s="130"/>
      <c r="D887" s="130"/>
      <c r="E887" s="130"/>
      <c r="F887" s="130"/>
      <c r="G887" s="130"/>
      <c r="H887" s="130"/>
      <c r="I887" s="130"/>
      <c r="J887" s="130"/>
      <c r="K887" s="130"/>
      <c r="L887" s="130"/>
      <c r="M887" s="130"/>
      <c r="N887" s="130"/>
      <c r="O887" s="130"/>
      <c r="P887" s="130"/>
    </row>
    <row r="888" spans="1:16" x14ac:dyDescent="0.2">
      <c r="A888" s="49" t="str">
        <v>0:00</v>
      </c>
      <c r="B888" s="108"/>
      <c r="C888" s="130"/>
      <c r="D888" s="130"/>
      <c r="E888" s="130"/>
      <c r="F888" s="130"/>
      <c r="G888" s="130"/>
      <c r="H888" s="130"/>
      <c r="I888" s="130"/>
      <c r="J888" s="130"/>
      <c r="K888" s="130"/>
      <c r="L888" s="130"/>
      <c r="M888" s="130"/>
      <c r="N888" s="130"/>
      <c r="O888" s="130"/>
      <c r="P888" s="130"/>
    </row>
    <row r="889" spans="1:16" x14ac:dyDescent="0.2">
      <c r="A889" s="49" t="str">
        <v>0:00</v>
      </c>
      <c r="B889" s="108"/>
      <c r="C889" s="130"/>
      <c r="D889" s="130"/>
      <c r="E889" s="130"/>
      <c r="F889" s="130"/>
      <c r="G889" s="130"/>
      <c r="H889" s="130"/>
      <c r="I889" s="130"/>
      <c r="J889" s="130"/>
      <c r="K889" s="130"/>
      <c r="L889" s="130"/>
      <c r="M889" s="130"/>
      <c r="N889" s="130"/>
      <c r="O889" s="130"/>
      <c r="P889" s="130"/>
    </row>
    <row r="890" spans="1:16" x14ac:dyDescent="0.2">
      <c r="A890" s="49" t="str">
        <v>0:00</v>
      </c>
      <c r="B890" s="108"/>
      <c r="C890" s="130"/>
      <c r="D890" s="130"/>
      <c r="E890" s="130"/>
      <c r="F890" s="130"/>
      <c r="G890" s="130"/>
      <c r="H890" s="130"/>
      <c r="I890" s="130"/>
      <c r="J890" s="130"/>
      <c r="K890" s="130"/>
      <c r="L890" s="130"/>
      <c r="M890" s="130"/>
      <c r="N890" s="130"/>
      <c r="O890" s="130"/>
      <c r="P890" s="130"/>
    </row>
    <row r="891" spans="1:16" x14ac:dyDescent="0.2">
      <c r="A891" s="49" t="str">
        <v>0:00</v>
      </c>
      <c r="B891" s="108"/>
      <c r="C891" s="130"/>
      <c r="D891" s="130"/>
      <c r="E891" s="130"/>
      <c r="F891" s="130"/>
      <c r="G891" s="130"/>
      <c r="H891" s="130"/>
      <c r="I891" s="130"/>
      <c r="J891" s="130"/>
      <c r="K891" s="130"/>
      <c r="L891" s="130"/>
      <c r="M891" s="130"/>
      <c r="N891" s="130"/>
      <c r="O891" s="130"/>
      <c r="P891" s="130"/>
    </row>
    <row r="892" spans="1:16" x14ac:dyDescent="0.2">
      <c r="A892" s="49" t="str">
        <v>0:00</v>
      </c>
      <c r="B892" s="108"/>
      <c r="C892" s="130"/>
      <c r="D892" s="130"/>
      <c r="E892" s="130"/>
      <c r="F892" s="130"/>
      <c r="G892" s="130"/>
      <c r="H892" s="130"/>
      <c r="I892" s="130"/>
      <c r="J892" s="130"/>
      <c r="K892" s="130"/>
      <c r="L892" s="130"/>
      <c r="M892" s="130"/>
      <c r="N892" s="130"/>
      <c r="O892" s="130"/>
      <c r="P892" s="130"/>
    </row>
    <row r="893" spans="1:16" x14ac:dyDescent="0.2">
      <c r="A893" s="49" t="str">
        <v>0:00</v>
      </c>
      <c r="B893" s="108"/>
      <c r="C893" s="130"/>
      <c r="D893" s="130"/>
      <c r="E893" s="130"/>
      <c r="F893" s="130"/>
      <c r="G893" s="130"/>
      <c r="H893" s="130"/>
      <c r="I893" s="130"/>
      <c r="J893" s="130"/>
      <c r="K893" s="130"/>
      <c r="L893" s="130"/>
      <c r="M893" s="130"/>
      <c r="N893" s="130"/>
      <c r="O893" s="130"/>
      <c r="P893" s="130"/>
    </row>
    <row r="894" spans="1:16" x14ac:dyDescent="0.2">
      <c r="A894" s="49" t="str">
        <v>0:00</v>
      </c>
      <c r="B894" s="108"/>
      <c r="C894" s="130"/>
      <c r="D894" s="130"/>
      <c r="E894" s="130"/>
      <c r="F894" s="130"/>
      <c r="G894" s="130"/>
      <c r="H894" s="130"/>
      <c r="I894" s="130"/>
      <c r="J894" s="130"/>
      <c r="K894" s="130"/>
      <c r="L894" s="130"/>
      <c r="M894" s="130"/>
      <c r="N894" s="130"/>
      <c r="O894" s="130"/>
      <c r="P894" s="130"/>
    </row>
    <row r="895" spans="1:16" x14ac:dyDescent="0.2">
      <c r="A895" s="49" t="str">
        <v>0:00</v>
      </c>
      <c r="B895" s="108"/>
      <c r="C895" s="130"/>
      <c r="D895" s="130"/>
      <c r="E895" s="130"/>
      <c r="F895" s="130"/>
      <c r="G895" s="130"/>
      <c r="H895" s="130"/>
      <c r="I895" s="130"/>
      <c r="J895" s="130"/>
      <c r="K895" s="130"/>
      <c r="L895" s="130"/>
      <c r="M895" s="130"/>
      <c r="N895" s="130"/>
      <c r="O895" s="130"/>
      <c r="P895" s="130"/>
    </row>
    <row r="896" spans="1:16" x14ac:dyDescent="0.2">
      <c r="A896" s="49" t="str">
        <v>0:00</v>
      </c>
      <c r="B896" s="108"/>
      <c r="C896" s="130"/>
      <c r="D896" s="130"/>
      <c r="E896" s="130"/>
      <c r="F896" s="130"/>
      <c r="G896" s="130"/>
      <c r="H896" s="130"/>
      <c r="I896" s="130"/>
      <c r="J896" s="130"/>
      <c r="K896" s="130"/>
      <c r="L896" s="130"/>
      <c r="M896" s="130"/>
      <c r="N896" s="130"/>
      <c r="O896" s="130"/>
      <c r="P896" s="130"/>
    </row>
    <row r="897" spans="1:16" x14ac:dyDescent="0.2">
      <c r="A897" s="49" t="str">
        <v>0:00</v>
      </c>
      <c r="B897" s="108"/>
      <c r="C897" s="130"/>
      <c r="D897" s="130"/>
      <c r="E897" s="130"/>
      <c r="F897" s="130"/>
      <c r="G897" s="130"/>
      <c r="H897" s="130"/>
      <c r="I897" s="130"/>
      <c r="J897" s="130"/>
      <c r="K897" s="130"/>
      <c r="L897" s="130"/>
      <c r="M897" s="130"/>
      <c r="N897" s="130"/>
      <c r="O897" s="130"/>
      <c r="P897" s="130"/>
    </row>
    <row r="898" spans="1:16" x14ac:dyDescent="0.2">
      <c r="A898" s="49" t="str">
        <v>0:00</v>
      </c>
      <c r="B898" s="108"/>
      <c r="C898" s="130"/>
      <c r="D898" s="130"/>
      <c r="E898" s="130"/>
      <c r="F898" s="130"/>
      <c r="G898" s="130"/>
      <c r="H898" s="130"/>
      <c r="I898" s="130"/>
      <c r="J898" s="130"/>
      <c r="K898" s="130"/>
      <c r="L898" s="130"/>
      <c r="M898" s="130"/>
      <c r="N898" s="130"/>
      <c r="O898" s="130"/>
      <c r="P898" s="130"/>
    </row>
    <row r="899" spans="1:16" x14ac:dyDescent="0.2">
      <c r="A899" s="49" t="str">
        <v>0:00</v>
      </c>
      <c r="B899" s="108"/>
      <c r="C899" s="130"/>
      <c r="D899" s="130"/>
      <c r="E899" s="130"/>
      <c r="F899" s="130"/>
      <c r="G899" s="130"/>
      <c r="H899" s="130"/>
      <c r="I899" s="130"/>
      <c r="J899" s="130"/>
      <c r="K899" s="130"/>
      <c r="L899" s="130"/>
      <c r="M899" s="130"/>
      <c r="N899" s="130"/>
      <c r="O899" s="130"/>
      <c r="P899" s="130"/>
    </row>
    <row r="900" spans="1:16" x14ac:dyDescent="0.2">
      <c r="A900" s="49" t="str">
        <v>0:00</v>
      </c>
      <c r="B900" s="108"/>
      <c r="C900" s="130"/>
      <c r="D900" s="130"/>
      <c r="E900" s="130"/>
      <c r="F900" s="130"/>
      <c r="G900" s="130"/>
      <c r="H900" s="130"/>
      <c r="I900" s="130"/>
      <c r="J900" s="130"/>
      <c r="K900" s="130"/>
      <c r="L900" s="130"/>
      <c r="M900" s="130"/>
      <c r="N900" s="130"/>
      <c r="O900" s="130"/>
      <c r="P900" s="130"/>
    </row>
    <row r="901" spans="1:16" x14ac:dyDescent="0.2">
      <c r="A901" s="49" t="str">
        <v>0:00</v>
      </c>
      <c r="B901" s="108"/>
      <c r="C901" s="130"/>
      <c r="D901" s="130"/>
      <c r="E901" s="130"/>
      <c r="F901" s="130"/>
      <c r="G901" s="130"/>
      <c r="H901" s="130"/>
      <c r="I901" s="130"/>
      <c r="J901" s="130"/>
      <c r="K901" s="130"/>
      <c r="L901" s="130"/>
      <c r="M901" s="130"/>
      <c r="N901" s="130"/>
      <c r="O901" s="130"/>
      <c r="P901" s="130"/>
    </row>
    <row r="902" spans="1:16" x14ac:dyDescent="0.2">
      <c r="A902" s="49" t="str">
        <v>0:00</v>
      </c>
      <c r="B902" s="108"/>
      <c r="C902" s="130"/>
      <c r="D902" s="130"/>
      <c r="E902" s="130"/>
      <c r="F902" s="130"/>
      <c r="G902" s="130"/>
      <c r="H902" s="130"/>
      <c r="I902" s="130"/>
      <c r="J902" s="130"/>
      <c r="K902" s="130"/>
      <c r="L902" s="130"/>
      <c r="M902" s="130"/>
      <c r="N902" s="130"/>
      <c r="O902" s="130"/>
      <c r="P902" s="130"/>
    </row>
    <row r="903" spans="1:16" x14ac:dyDescent="0.2">
      <c r="A903" s="49" t="str">
        <v>0:00</v>
      </c>
      <c r="B903" s="108"/>
      <c r="C903" s="130"/>
      <c r="D903" s="130"/>
      <c r="E903" s="130"/>
      <c r="F903" s="130"/>
      <c r="G903" s="130"/>
      <c r="H903" s="130"/>
      <c r="I903" s="130"/>
      <c r="J903" s="130"/>
      <c r="K903" s="130"/>
      <c r="L903" s="130"/>
      <c r="M903" s="130"/>
      <c r="N903" s="130"/>
      <c r="O903" s="130"/>
      <c r="P903" s="130"/>
    </row>
  </sheetData>
  <sheetProtection algorithmName="SHA-512" hashValue="YKpFLooOkp88ztaP++QQePMLMuMWLpKhakdGJVtlbnPndbFzWIekDJU4Wll5HqfIwjTKGSgqvxIz8EdpWMTrzA==" saltValue="3Ifmdrk8yp+Fewy3nKjT5g==" spinCount="100000" sheet="1" objects="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59" priority="2" stopIfTrue="1" operator="between">
      <formula>$E$1</formula>
      <formula>$E$2</formula>
    </cfRule>
    <cfRule type="cellIs" dxfId="58" priority="3" stopIfTrue="1" operator="greaterThan">
      <formula>$C$2</formula>
    </cfRule>
    <cfRule type="cellIs" dxfId="57" priority="4" stopIfTrue="1" operator="lessThan">
      <formula>$C$1</formula>
    </cfRule>
    <cfRule type="cellIs" dxfId="56" priority="5" stopIfTrue="1" operator="greaterThanOrEqual">
      <formula>$C$1</formula>
    </cfRule>
  </conditionalFormatting>
  <conditionalFormatting sqref="B14:P903">
    <cfRule type="expression" dxfId="5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9" hidden="1" customWidth="1"/>
    <col min="2" max="2" width="8.7109375" style="47" customWidth="1"/>
    <col min="3" max="3" width="11.85546875" customWidth="1"/>
    <col min="4" max="16" width="8.42578125" customWidth="1"/>
  </cols>
  <sheetData>
    <row r="1" spans="1:17" ht="18" x14ac:dyDescent="0.25">
      <c r="A1" s="118"/>
      <c r="B1" s="125">
        <f>Main!$D$16</f>
        <v>0</v>
      </c>
      <c r="C1" s="119">
        <f>$B$1-$B$2</f>
        <v>0</v>
      </c>
      <c r="D1" s="119"/>
      <c r="E1" s="125">
        <f>B1-D2</f>
        <v>0</v>
      </c>
      <c r="F1" s="36" t="s">
        <v>74</v>
      </c>
      <c r="P1" s="313" t="str">
        <f>IF(Main!$E$30="","A10",ADDRESS(13+(MATCH(Main!$E$30,Data_Sheet!$A$14:$A$903,0)),1,4))</f>
        <v>A10</v>
      </c>
      <c r="Q1" s="313">
        <f>VALUE(MID(P1, 2, LEN(P1)-1))</f>
        <v>10</v>
      </c>
    </row>
    <row r="2" spans="1:17" x14ac:dyDescent="0.2">
      <c r="A2" s="118"/>
      <c r="B2" s="125">
        <f>Main!$D$19</f>
        <v>0</v>
      </c>
      <c r="C2" s="119">
        <f>$B$1+$B$2</f>
        <v>0</v>
      </c>
      <c r="D2" s="119">
        <f>(Main!$D$19)/2</f>
        <v>0</v>
      </c>
      <c r="E2" s="125">
        <f>B1+D2</f>
        <v>0</v>
      </c>
      <c r="F2" s="111"/>
      <c r="I2" s="79" t="s">
        <v>227</v>
      </c>
      <c r="M2" s="623" t="s">
        <v>103</v>
      </c>
      <c r="N2" s="623"/>
      <c r="O2" s="623"/>
      <c r="P2" s="313" t="str">
        <f>IF(Main!$E$30="","A10",ADDRESS(13+Standards_Info!W2+(MATCH(Main!$E$30,Data_Sheet!$A$14:$A$903,0)),1,4))</f>
        <v>A10</v>
      </c>
      <c r="Q2" s="313">
        <f>VALUE(MID(P2, 2, LEN(P2)-1))</f>
        <v>10</v>
      </c>
    </row>
    <row r="3" spans="1:17" ht="15" x14ac:dyDescent="0.25">
      <c r="B3" s="134" t="s">
        <v>0</v>
      </c>
      <c r="C3" s="3"/>
      <c r="M3" s="611" t="s">
        <v>104</v>
      </c>
      <c r="N3" s="612"/>
      <c r="O3" s="613"/>
      <c r="P3" s="44"/>
    </row>
    <row r="4" spans="1:17" ht="15" x14ac:dyDescent="0.25">
      <c r="B4" s="121" t="s">
        <v>25</v>
      </c>
      <c r="C4" s="4"/>
      <c r="M4" s="614" t="s">
        <v>145</v>
      </c>
      <c r="N4" s="615"/>
      <c r="O4" s="616"/>
    </row>
    <row r="5" spans="1:17" x14ac:dyDescent="0.2">
      <c r="B5" s="122" t="s">
        <v>26</v>
      </c>
      <c r="C5" s="61">
        <f>Main!D3</f>
        <v>0</v>
      </c>
      <c r="D5" s="41"/>
      <c r="E5" s="41"/>
      <c r="F5" s="41"/>
      <c r="G5" s="41"/>
      <c r="H5" s="41"/>
      <c r="I5" s="59" t="s">
        <v>4</v>
      </c>
      <c r="J5" s="41" t="e">
        <f>Main!D5</f>
        <v>#N/A</v>
      </c>
      <c r="L5" s="41"/>
      <c r="M5" s="617" t="s">
        <v>144</v>
      </c>
      <c r="N5" s="618"/>
      <c r="O5" s="619"/>
    </row>
    <row r="6" spans="1:17" ht="13.5" thickBot="1" x14ac:dyDescent="0.25">
      <c r="B6" s="122" t="s">
        <v>3</v>
      </c>
      <c r="C6" s="62" t="e">
        <f>Main!D6</f>
        <v>#N/A</v>
      </c>
      <c r="D6" s="41"/>
      <c r="E6" s="41"/>
      <c r="F6" s="41"/>
      <c r="G6" s="41"/>
      <c r="H6" s="41"/>
      <c r="I6" s="59" t="s">
        <v>5</v>
      </c>
      <c r="J6" s="58">
        <f>Main!D16</f>
        <v>0</v>
      </c>
      <c r="L6" s="41"/>
      <c r="M6" s="620" t="s">
        <v>143</v>
      </c>
      <c r="N6" s="621"/>
      <c r="O6" s="622"/>
    </row>
    <row r="7" spans="1:17" ht="13.5" thickBot="1" x14ac:dyDescent="0.25">
      <c r="B7" s="122" t="s">
        <v>27</v>
      </c>
      <c r="C7" s="62" t="str">
        <f>Main!D7</f>
        <v>Jeff Hall</v>
      </c>
      <c r="D7" s="41"/>
      <c r="E7" s="41"/>
      <c r="F7" s="41"/>
      <c r="G7" s="41"/>
      <c r="H7" s="41"/>
      <c r="I7" s="64" t="s">
        <v>169</v>
      </c>
      <c r="J7" s="608">
        <f>Main!$D$30</f>
        <v>0</v>
      </c>
      <c r="K7" s="609"/>
      <c r="L7" s="108"/>
      <c r="M7" s="607" t="s">
        <v>142</v>
      </c>
      <c r="N7" s="607"/>
      <c r="O7" s="607"/>
    </row>
    <row r="8" spans="1:17" x14ac:dyDescent="0.2">
      <c r="B8" s="122"/>
      <c r="C8" s="62"/>
      <c r="D8" s="41"/>
      <c r="E8" s="41"/>
      <c r="F8" s="41"/>
      <c r="G8" s="41"/>
      <c r="H8" s="41"/>
      <c r="I8" s="64"/>
      <c r="J8" s="131"/>
      <c r="K8" s="131"/>
      <c r="L8" s="108"/>
      <c r="M8" s="132"/>
      <c r="N8" s="132"/>
      <c r="O8" s="132"/>
    </row>
    <row r="9" spans="1:17" x14ac:dyDescent="0.2">
      <c r="B9" s="122"/>
      <c r="C9" s="62"/>
      <c r="D9" s="41"/>
      <c r="E9" s="41"/>
      <c r="F9" s="41"/>
      <c r="G9" s="41"/>
      <c r="H9" s="41"/>
      <c r="I9" s="135" t="str">
        <f>IF(Main!K15="SIM Load Hot",Main!N59,"")</f>
        <v/>
      </c>
      <c r="J9" s="131"/>
      <c r="K9" s="131"/>
      <c r="L9" s="108"/>
      <c r="M9" s="132"/>
      <c r="N9" s="132"/>
      <c r="O9" s="132"/>
    </row>
    <row r="10" spans="1:17" s="69" customFormat="1" x14ac:dyDescent="0.2">
      <c r="A10" s="109"/>
      <c r="B10" s="139"/>
      <c r="C10" s="140"/>
      <c r="I10" s="135" t="str">
        <f>IF(OR(Main!E60="",Main!K60=""),IF(OR(Main!E61="",Main!K61=""),"",Main!N61),Main!N60)</f>
        <v/>
      </c>
      <c r="J10" s="141"/>
      <c r="K10" s="141"/>
      <c r="L10" s="123"/>
      <c r="M10" s="142"/>
      <c r="N10" s="142"/>
      <c r="O10" s="142"/>
    </row>
    <row r="11" spans="1:17" s="69" customFormat="1" x14ac:dyDescent="0.2">
      <c r="A11" s="109"/>
      <c r="B11" s="123"/>
      <c r="C11" s="136"/>
      <c r="D11" s="136"/>
      <c r="E11" s="136"/>
      <c r="F11" s="136"/>
      <c r="G11" s="136"/>
      <c r="H11" s="136"/>
      <c r="I11" s="136"/>
      <c r="J11" s="136"/>
      <c r="K11" s="136"/>
      <c r="L11" s="136"/>
      <c r="M11" s="136"/>
      <c r="N11" s="136"/>
      <c r="O11" s="136"/>
      <c r="P11" s="136"/>
    </row>
    <row r="12" spans="1:17" s="463" customFormat="1" x14ac:dyDescent="0.2">
      <c r="A12" s="462"/>
      <c r="B12" s="131" t="str" cm="1">
        <f t="array" ref="B12:N12">_xlfn.LET(
  _xlpm.tbl, DataForChannels29to40[],
  _xlpm.hdrs, DataForChannels29to40[#Headers],
  _xlfn.BYCOL(_xlpm.tbl, _xlfn.LAMBDA(_xlpm.col, IF(COUNTA(_xlpm.col)&gt;0, INDEX(_xlpm.hdrs, 1, COLUMN(_xlpm.col) - COLUMN(INDEX(_xlpm.tbl,1,1)) + 1), "")))
)</f>
        <v/>
      </c>
      <c r="C12" s="59" t="str">
        <v/>
      </c>
      <c r="D12" s="59" t="str">
        <v/>
      </c>
      <c r="E12" s="59" t="str">
        <v/>
      </c>
      <c r="F12" s="59" t="str">
        <v/>
      </c>
      <c r="G12" s="59" t="str">
        <v/>
      </c>
      <c r="H12" s="59" t="str">
        <v/>
      </c>
      <c r="I12" s="59" t="str">
        <v/>
      </c>
      <c r="J12" s="59" t="str">
        <v/>
      </c>
      <c r="K12" s="59" t="str">
        <v/>
      </c>
      <c r="L12" s="59" t="str">
        <v/>
      </c>
      <c r="M12" s="59" t="str">
        <v/>
      </c>
      <c r="N12" s="59" t="str">
        <v/>
      </c>
      <c r="O12" s="59"/>
      <c r="P12" s="59"/>
    </row>
    <row r="13" spans="1:17" s="69" customFormat="1" x14ac:dyDescent="0.2">
      <c r="A13" s="109"/>
      <c r="B13" s="108"/>
      <c r="C13" s="41"/>
      <c r="D13" s="41"/>
      <c r="E13" s="41"/>
      <c r="F13" s="41"/>
      <c r="G13" s="41"/>
      <c r="H13" s="41"/>
      <c r="I13" s="41"/>
      <c r="J13" s="41"/>
      <c r="K13" s="41"/>
      <c r="L13" s="41"/>
      <c r="M13" s="41" t="str">
        <f>IF(ISBLANK(DaqBook_RAW_Data!AR3),"",DaqBook_RAW_Data!AR3)</f>
        <v/>
      </c>
      <c r="N13" s="41" t="str">
        <f>IF(ISBLANK(DaqBook_RAW_Data!AS3),"",DaqBook_RAW_Data!AS3)</f>
        <v/>
      </c>
      <c r="O13" s="41"/>
      <c r="P13" s="41"/>
    </row>
    <row r="14" spans="1:17" s="69" customFormat="1" x14ac:dyDescent="0.2">
      <c r="A14" s="109" t="str" cm="1">
        <f t="array" ref="A14:A903">TEXT(B14:B903, "h:mm")</f>
        <v>0:00</v>
      </c>
      <c r="B14" s="108" cm="1">
        <f t="array" ref="B14:N14">DataForChannels29to40[]</f>
        <v>0</v>
      </c>
      <c r="C14" s="130">
        <v>0</v>
      </c>
      <c r="D14" s="130">
        <v>0</v>
      </c>
      <c r="E14" s="130">
        <v>0</v>
      </c>
      <c r="F14" s="130">
        <v>0</v>
      </c>
      <c r="G14" s="130">
        <v>0</v>
      </c>
      <c r="H14" s="130">
        <v>0</v>
      </c>
      <c r="I14" s="130">
        <v>0</v>
      </c>
      <c r="J14" s="130">
        <v>0</v>
      </c>
      <c r="K14" s="130">
        <v>0</v>
      </c>
      <c r="L14" s="130">
        <v>0</v>
      </c>
      <c r="M14" s="130">
        <v>0</v>
      </c>
      <c r="N14" s="130">
        <v>0</v>
      </c>
      <c r="O14" s="130"/>
      <c r="P14" s="130"/>
    </row>
    <row r="15" spans="1:17" s="69" customFormat="1" x14ac:dyDescent="0.2">
      <c r="A15" s="109" t="str">
        <v>0:00</v>
      </c>
      <c r="B15" s="108"/>
      <c r="C15" s="130"/>
      <c r="D15" s="130"/>
      <c r="E15" s="130"/>
      <c r="F15" s="130"/>
      <c r="G15" s="130"/>
      <c r="H15" s="130"/>
      <c r="I15" s="130"/>
      <c r="J15" s="130"/>
      <c r="K15" s="130"/>
      <c r="L15" s="130"/>
      <c r="M15" s="130"/>
      <c r="N15" s="130"/>
      <c r="O15" s="130"/>
      <c r="P15" s="130"/>
    </row>
    <row r="16" spans="1:17" s="69" customFormat="1" x14ac:dyDescent="0.2">
      <c r="A16" s="109" t="str">
        <v>0:00</v>
      </c>
      <c r="B16" s="108"/>
      <c r="C16" s="130"/>
      <c r="D16" s="130"/>
      <c r="E16" s="130"/>
      <c r="F16" s="130"/>
      <c r="G16" s="130"/>
      <c r="H16" s="130"/>
      <c r="I16" s="130"/>
      <c r="J16" s="130"/>
      <c r="K16" s="130"/>
      <c r="L16" s="130"/>
      <c r="M16" s="130"/>
      <c r="N16" s="130"/>
      <c r="O16" s="130"/>
      <c r="P16" s="130"/>
    </row>
    <row r="17" spans="1:17" s="69" customFormat="1" x14ac:dyDescent="0.2">
      <c r="A17" s="109" t="str">
        <v>0:00</v>
      </c>
      <c r="B17" s="108"/>
      <c r="C17" s="130"/>
      <c r="D17" s="130"/>
      <c r="E17" s="130"/>
      <c r="F17" s="130"/>
      <c r="G17" s="130"/>
      <c r="H17" s="130"/>
      <c r="I17" s="130"/>
      <c r="J17" s="130"/>
      <c r="K17" s="130"/>
      <c r="L17" s="130"/>
      <c r="M17" s="130"/>
      <c r="N17" s="130"/>
      <c r="O17" s="130"/>
      <c r="P17" s="130"/>
    </row>
    <row r="18" spans="1:17" s="69" customFormat="1" x14ac:dyDescent="0.2">
      <c r="A18" s="109" t="str">
        <v>0:00</v>
      </c>
      <c r="B18" s="108"/>
      <c r="C18" s="130"/>
      <c r="D18" s="130"/>
      <c r="E18" s="130"/>
      <c r="F18" s="130"/>
      <c r="G18" s="130"/>
      <c r="H18" s="130"/>
      <c r="I18" s="130"/>
      <c r="J18" s="130"/>
      <c r="K18" s="130"/>
      <c r="L18" s="130"/>
      <c r="M18" s="130"/>
      <c r="N18" s="130"/>
      <c r="O18" s="130"/>
      <c r="P18" s="130"/>
    </row>
    <row r="19" spans="1:17" s="69" customFormat="1" x14ac:dyDescent="0.2">
      <c r="A19" s="109" t="str">
        <v>0:00</v>
      </c>
      <c r="B19" s="108"/>
      <c r="C19" s="130"/>
      <c r="D19" s="130"/>
      <c r="E19" s="130"/>
      <c r="F19" s="130"/>
      <c r="G19" s="130"/>
      <c r="H19" s="130"/>
      <c r="I19" s="130"/>
      <c r="J19" s="130"/>
      <c r="K19" s="130"/>
      <c r="L19" s="130"/>
      <c r="M19" s="130"/>
      <c r="N19" s="130"/>
      <c r="O19" s="130"/>
      <c r="P19" s="130"/>
    </row>
    <row r="20" spans="1:17" s="69" customFormat="1" x14ac:dyDescent="0.2">
      <c r="A20" s="109" t="str">
        <v>0:00</v>
      </c>
      <c r="B20" s="108"/>
      <c r="C20" s="130"/>
      <c r="D20" s="130"/>
      <c r="E20" s="130"/>
      <c r="F20" s="130"/>
      <c r="G20" s="130"/>
      <c r="H20" s="130"/>
      <c r="I20" s="130"/>
      <c r="J20" s="130"/>
      <c r="K20" s="130"/>
      <c r="L20" s="130"/>
      <c r="M20" s="130"/>
      <c r="N20" s="130"/>
      <c r="O20" s="130"/>
      <c r="P20" s="130"/>
    </row>
    <row r="21" spans="1:17" s="69" customFormat="1" x14ac:dyDescent="0.2">
      <c r="A21" s="109" t="str">
        <v>0:00</v>
      </c>
      <c r="B21" s="108"/>
      <c r="C21" s="130"/>
      <c r="D21" s="130"/>
      <c r="E21" s="130"/>
      <c r="F21" s="130"/>
      <c r="G21" s="130"/>
      <c r="H21" s="130"/>
      <c r="I21" s="130"/>
      <c r="J21" s="130"/>
      <c r="K21" s="130"/>
      <c r="L21" s="130"/>
      <c r="M21" s="130"/>
      <c r="N21" s="130"/>
      <c r="O21" s="130"/>
      <c r="P21" s="130"/>
    </row>
    <row r="22" spans="1:17" s="69" customFormat="1" x14ac:dyDescent="0.2">
      <c r="A22" s="109" t="str">
        <v>0:00</v>
      </c>
      <c r="B22" s="108"/>
      <c r="C22" s="130"/>
      <c r="D22" s="130"/>
      <c r="E22" s="130"/>
      <c r="F22" s="130"/>
      <c r="G22" s="130"/>
      <c r="H22" s="130"/>
      <c r="I22" s="130"/>
      <c r="J22" s="130"/>
      <c r="K22" s="130"/>
      <c r="L22" s="130"/>
      <c r="M22" s="130"/>
      <c r="N22" s="130"/>
      <c r="O22" s="130"/>
      <c r="P22" s="130"/>
    </row>
    <row r="23" spans="1:17" s="69" customFormat="1" x14ac:dyDescent="0.2">
      <c r="A23" s="109" t="str">
        <v>0:00</v>
      </c>
      <c r="B23" s="108"/>
      <c r="C23" s="130"/>
      <c r="D23" s="130"/>
      <c r="E23" s="130"/>
      <c r="F23" s="130"/>
      <c r="G23" s="130"/>
      <c r="H23" s="130"/>
      <c r="I23" s="130"/>
      <c r="J23" s="130"/>
      <c r="K23" s="130"/>
      <c r="L23" s="130"/>
      <c r="M23" s="130"/>
      <c r="N23" s="130"/>
      <c r="O23" s="130"/>
      <c r="P23" s="130"/>
    </row>
    <row r="24" spans="1:17" s="69" customFormat="1" x14ac:dyDescent="0.2">
      <c r="A24" s="109" t="str">
        <v>0:00</v>
      </c>
      <c r="B24" s="108"/>
      <c r="C24" s="130"/>
      <c r="D24" s="130"/>
      <c r="E24" s="130"/>
      <c r="F24" s="130"/>
      <c r="G24" s="130"/>
      <c r="H24" s="130"/>
      <c r="I24" s="130"/>
      <c r="J24" s="130"/>
      <c r="K24" s="130"/>
      <c r="L24" s="130"/>
      <c r="M24" s="130"/>
      <c r="N24" s="130"/>
      <c r="O24" s="130"/>
      <c r="P24" s="130"/>
    </row>
    <row r="25" spans="1:17" s="69" customFormat="1" x14ac:dyDescent="0.2">
      <c r="A25" s="109" t="str">
        <v>0:00</v>
      </c>
      <c r="B25" s="108"/>
      <c r="C25" s="130"/>
      <c r="D25" s="130"/>
      <c r="E25" s="130"/>
      <c r="F25" s="130"/>
      <c r="G25" s="130"/>
      <c r="H25" s="130"/>
      <c r="I25" s="130"/>
      <c r="J25" s="130"/>
      <c r="K25" s="130"/>
      <c r="L25" s="130"/>
      <c r="M25" s="130"/>
      <c r="N25" s="130"/>
      <c r="O25" s="130"/>
      <c r="P25" s="130"/>
    </row>
    <row r="26" spans="1:17" s="69" customFormat="1" x14ac:dyDescent="0.2">
      <c r="A26" s="109" t="str">
        <v>0:00</v>
      </c>
      <c r="B26" s="108"/>
      <c r="C26" s="130"/>
      <c r="D26" s="130"/>
      <c r="E26" s="130"/>
      <c r="F26" s="130"/>
      <c r="G26" s="130"/>
      <c r="H26" s="130"/>
      <c r="I26" s="130"/>
      <c r="J26" s="130"/>
      <c r="K26" s="130"/>
      <c r="L26" s="130"/>
      <c r="M26" s="130"/>
      <c r="N26" s="130"/>
      <c r="O26" s="130"/>
      <c r="P26" s="130"/>
    </row>
    <row r="27" spans="1:17" s="69" customFormat="1" x14ac:dyDescent="0.2">
      <c r="A27" s="109" t="str">
        <v>0:00</v>
      </c>
      <c r="B27" s="108"/>
      <c r="C27" s="130"/>
      <c r="D27" s="130"/>
      <c r="E27" s="130"/>
      <c r="F27" s="130"/>
      <c r="G27" s="130"/>
      <c r="H27" s="130"/>
      <c r="I27" s="130"/>
      <c r="J27" s="130"/>
      <c r="K27" s="130"/>
      <c r="L27" s="130"/>
      <c r="M27" s="130"/>
      <c r="N27" s="130"/>
      <c r="O27" s="130"/>
      <c r="P27" s="130"/>
      <c r="Q27" s="110"/>
    </row>
    <row r="28" spans="1:17" s="69" customFormat="1" x14ac:dyDescent="0.2">
      <c r="A28" s="109" t="str">
        <v>0:00</v>
      </c>
      <c r="B28" s="108"/>
      <c r="C28" s="130"/>
      <c r="D28" s="130"/>
      <c r="E28" s="130"/>
      <c r="F28" s="130"/>
      <c r="G28" s="130"/>
      <c r="H28" s="130"/>
      <c r="I28" s="130"/>
      <c r="J28" s="130"/>
      <c r="K28" s="130"/>
      <c r="L28" s="130"/>
      <c r="M28" s="130"/>
      <c r="N28" s="130"/>
      <c r="O28" s="130"/>
      <c r="P28" s="130"/>
    </row>
    <row r="29" spans="1:17" s="69" customFormat="1" x14ac:dyDescent="0.2">
      <c r="A29" s="109" t="str">
        <v>0:00</v>
      </c>
      <c r="B29" s="108"/>
      <c r="C29" s="130"/>
      <c r="D29" s="130"/>
      <c r="E29" s="130"/>
      <c r="F29" s="130"/>
      <c r="G29" s="130"/>
      <c r="H29" s="130"/>
      <c r="I29" s="130"/>
      <c r="J29" s="130"/>
      <c r="K29" s="130"/>
      <c r="L29" s="130"/>
      <c r="M29" s="130"/>
      <c r="N29" s="130"/>
      <c r="O29" s="130"/>
      <c r="P29" s="130"/>
    </row>
    <row r="30" spans="1:17" s="69" customFormat="1" x14ac:dyDescent="0.2">
      <c r="A30" s="109" t="str">
        <v>0:00</v>
      </c>
      <c r="B30" s="108"/>
      <c r="C30" s="130"/>
      <c r="D30" s="130"/>
      <c r="E30" s="130"/>
      <c r="F30" s="130"/>
      <c r="G30" s="130"/>
      <c r="H30" s="130"/>
      <c r="I30" s="130"/>
      <c r="J30" s="130"/>
      <c r="K30" s="130"/>
      <c r="L30" s="130"/>
      <c r="M30" s="130"/>
      <c r="N30" s="130"/>
      <c r="O30" s="130"/>
      <c r="P30" s="130"/>
    </row>
    <row r="31" spans="1:17" s="69" customFormat="1" x14ac:dyDescent="0.2">
      <c r="A31" s="109" t="str">
        <v>0:00</v>
      </c>
      <c r="B31" s="108"/>
      <c r="C31" s="130"/>
      <c r="D31" s="130"/>
      <c r="E31" s="130"/>
      <c r="F31" s="130"/>
      <c r="G31" s="130"/>
      <c r="H31" s="130"/>
      <c r="I31" s="130"/>
      <c r="J31" s="130"/>
      <c r="K31" s="130"/>
      <c r="L31" s="130"/>
      <c r="M31" s="130"/>
      <c r="N31" s="130"/>
      <c r="O31" s="130"/>
      <c r="P31" s="130"/>
    </row>
    <row r="32" spans="1:17" s="69" customFormat="1" x14ac:dyDescent="0.2">
      <c r="A32" s="109" t="str">
        <v>0:00</v>
      </c>
      <c r="B32" s="108"/>
      <c r="C32" s="130"/>
      <c r="D32" s="130"/>
      <c r="E32" s="130"/>
      <c r="F32" s="130"/>
      <c r="G32" s="130"/>
      <c r="H32" s="130"/>
      <c r="I32" s="130"/>
      <c r="J32" s="130"/>
      <c r="K32" s="130"/>
      <c r="L32" s="130"/>
      <c r="M32" s="130"/>
      <c r="N32" s="130"/>
      <c r="O32" s="130"/>
      <c r="P32" s="130"/>
    </row>
    <row r="33" spans="1:16" s="69" customFormat="1" x14ac:dyDescent="0.2">
      <c r="A33" s="109" t="str">
        <v>0:00</v>
      </c>
      <c r="B33" s="108"/>
      <c r="C33" s="130"/>
      <c r="D33" s="130"/>
      <c r="E33" s="130"/>
      <c r="F33" s="130"/>
      <c r="G33" s="130"/>
      <c r="H33" s="130"/>
      <c r="I33" s="130"/>
      <c r="J33" s="130"/>
      <c r="K33" s="130"/>
      <c r="L33" s="130"/>
      <c r="M33" s="130"/>
      <c r="N33" s="130"/>
      <c r="O33" s="130"/>
      <c r="P33" s="130"/>
    </row>
    <row r="34" spans="1:16" s="69" customFormat="1" x14ac:dyDescent="0.2">
      <c r="A34" s="109" t="str">
        <v>0:00</v>
      </c>
      <c r="B34" s="108"/>
      <c r="C34" s="130"/>
      <c r="D34" s="130"/>
      <c r="E34" s="130"/>
      <c r="F34" s="130"/>
      <c r="G34" s="130"/>
      <c r="H34" s="130"/>
      <c r="I34" s="130"/>
      <c r="J34" s="130"/>
      <c r="K34" s="130"/>
      <c r="L34" s="130"/>
      <c r="M34" s="130"/>
      <c r="N34" s="130"/>
      <c r="O34" s="130"/>
      <c r="P34" s="130"/>
    </row>
    <row r="35" spans="1:16" s="69" customFormat="1" x14ac:dyDescent="0.2">
      <c r="A35" s="109" t="str">
        <v>0:00</v>
      </c>
      <c r="B35" s="108"/>
      <c r="C35" s="130"/>
      <c r="D35" s="130"/>
      <c r="E35" s="130"/>
      <c r="F35" s="130"/>
      <c r="G35" s="130"/>
      <c r="H35" s="130"/>
      <c r="I35" s="130"/>
      <c r="J35" s="130"/>
      <c r="K35" s="130"/>
      <c r="L35" s="130"/>
      <c r="M35" s="130"/>
      <c r="N35" s="130"/>
      <c r="O35" s="130"/>
      <c r="P35" s="130"/>
    </row>
    <row r="36" spans="1:16" s="69" customFormat="1" x14ac:dyDescent="0.2">
      <c r="A36" s="109" t="str">
        <v>0:00</v>
      </c>
      <c r="B36" s="108"/>
      <c r="C36" s="130"/>
      <c r="D36" s="130"/>
      <c r="E36" s="130"/>
      <c r="F36" s="130"/>
      <c r="G36" s="130"/>
      <c r="H36" s="130"/>
      <c r="I36" s="130"/>
      <c r="J36" s="130"/>
      <c r="K36" s="130"/>
      <c r="L36" s="130"/>
      <c r="M36" s="130"/>
      <c r="N36" s="130"/>
      <c r="O36" s="130"/>
      <c r="P36" s="130"/>
    </row>
    <row r="37" spans="1:16" s="69" customFormat="1" x14ac:dyDescent="0.2">
      <c r="A37" s="109" t="str">
        <v>0:00</v>
      </c>
      <c r="B37" s="108"/>
      <c r="C37" s="130"/>
      <c r="D37" s="130"/>
      <c r="E37" s="130"/>
      <c r="F37" s="130"/>
      <c r="G37" s="130"/>
      <c r="H37" s="130"/>
      <c r="I37" s="130"/>
      <c r="J37" s="130"/>
      <c r="K37" s="130"/>
      <c r="L37" s="130"/>
      <c r="M37" s="130"/>
      <c r="N37" s="130"/>
      <c r="O37" s="130"/>
      <c r="P37" s="130"/>
    </row>
    <row r="38" spans="1:16" s="69" customFormat="1" x14ac:dyDescent="0.2">
      <c r="A38" s="109" t="str">
        <v>0:00</v>
      </c>
      <c r="B38" s="108"/>
      <c r="C38" s="130"/>
      <c r="D38" s="130"/>
      <c r="E38" s="130"/>
      <c r="F38" s="130"/>
      <c r="G38" s="130"/>
      <c r="H38" s="130"/>
      <c r="I38" s="130"/>
      <c r="J38" s="130"/>
      <c r="K38" s="130"/>
      <c r="L38" s="130"/>
      <c r="M38" s="130"/>
      <c r="N38" s="130"/>
      <c r="O38" s="130"/>
      <c r="P38" s="130"/>
    </row>
    <row r="39" spans="1:16" s="69" customFormat="1" x14ac:dyDescent="0.2">
      <c r="A39" s="109" t="str">
        <v>0:00</v>
      </c>
      <c r="B39" s="108"/>
      <c r="C39" s="130"/>
      <c r="D39" s="130"/>
      <c r="E39" s="130"/>
      <c r="F39" s="130"/>
      <c r="G39" s="130"/>
      <c r="H39" s="130"/>
      <c r="I39" s="130"/>
      <c r="J39" s="130"/>
      <c r="K39" s="130"/>
      <c r="L39" s="130"/>
      <c r="M39" s="130"/>
      <c r="N39" s="130"/>
      <c r="O39" s="130"/>
      <c r="P39" s="130"/>
    </row>
    <row r="40" spans="1:16" s="69" customFormat="1" x14ac:dyDescent="0.2">
      <c r="A40" s="109" t="str">
        <v>0:00</v>
      </c>
      <c r="B40" s="108"/>
      <c r="C40" s="130"/>
      <c r="D40" s="130"/>
      <c r="E40" s="130"/>
      <c r="F40" s="130"/>
      <c r="G40" s="130"/>
      <c r="H40" s="130"/>
      <c r="I40" s="130"/>
      <c r="J40" s="130"/>
      <c r="K40" s="130"/>
      <c r="L40" s="130"/>
      <c r="M40" s="130"/>
      <c r="N40" s="130"/>
      <c r="O40" s="130"/>
      <c r="P40" s="130"/>
    </row>
    <row r="41" spans="1:16" s="69" customFormat="1" x14ac:dyDescent="0.2">
      <c r="A41" s="109" t="str">
        <v>0:00</v>
      </c>
      <c r="B41" s="108"/>
      <c r="C41" s="130"/>
      <c r="D41" s="130"/>
      <c r="E41" s="130"/>
      <c r="F41" s="130"/>
      <c r="G41" s="130"/>
      <c r="H41" s="130"/>
      <c r="I41" s="130"/>
      <c r="J41" s="130"/>
      <c r="K41" s="130"/>
      <c r="L41" s="130"/>
      <c r="M41" s="130"/>
      <c r="N41" s="130"/>
      <c r="O41" s="130"/>
      <c r="P41" s="130"/>
    </row>
    <row r="42" spans="1:16" s="69" customFormat="1" x14ac:dyDescent="0.2">
      <c r="A42" s="109" t="str">
        <v>0:00</v>
      </c>
      <c r="B42" s="108"/>
      <c r="C42" s="130"/>
      <c r="D42" s="130"/>
      <c r="E42" s="130"/>
      <c r="F42" s="130"/>
      <c r="G42" s="130"/>
      <c r="H42" s="130"/>
      <c r="I42" s="130"/>
      <c r="J42" s="130"/>
      <c r="K42" s="130"/>
      <c r="L42" s="130"/>
      <c r="M42" s="130"/>
      <c r="N42" s="130"/>
      <c r="O42" s="130"/>
      <c r="P42" s="130"/>
    </row>
    <row r="43" spans="1:16" s="69" customFormat="1" x14ac:dyDescent="0.2">
      <c r="A43" s="109" t="str">
        <v>0:00</v>
      </c>
      <c r="B43" s="108"/>
      <c r="C43" s="130"/>
      <c r="D43" s="130"/>
      <c r="E43" s="130"/>
      <c r="F43" s="130"/>
      <c r="G43" s="130"/>
      <c r="H43" s="130"/>
      <c r="I43" s="130"/>
      <c r="J43" s="130"/>
      <c r="K43" s="130"/>
      <c r="L43" s="130"/>
      <c r="M43" s="130"/>
      <c r="N43" s="130"/>
      <c r="O43" s="130"/>
      <c r="P43" s="130"/>
    </row>
    <row r="44" spans="1:16" s="69" customFormat="1" x14ac:dyDescent="0.2">
      <c r="A44" s="109" t="str">
        <v>0:00</v>
      </c>
      <c r="B44" s="108"/>
      <c r="C44" s="130"/>
      <c r="D44" s="130"/>
      <c r="E44" s="130"/>
      <c r="F44" s="130"/>
      <c r="G44" s="130"/>
      <c r="H44" s="130"/>
      <c r="I44" s="130"/>
      <c r="J44" s="130"/>
      <c r="K44" s="130"/>
      <c r="L44" s="130"/>
      <c r="M44" s="130"/>
      <c r="N44" s="130"/>
      <c r="O44" s="130"/>
      <c r="P44" s="130"/>
    </row>
    <row r="45" spans="1:16" s="69" customFormat="1" x14ac:dyDescent="0.2">
      <c r="A45" s="109" t="str">
        <v>0:00</v>
      </c>
      <c r="B45" s="108"/>
      <c r="C45" s="130"/>
      <c r="D45" s="130"/>
      <c r="E45" s="130"/>
      <c r="F45" s="130"/>
      <c r="G45" s="130"/>
      <c r="H45" s="130"/>
      <c r="I45" s="130"/>
      <c r="J45" s="130"/>
      <c r="K45" s="130"/>
      <c r="L45" s="130"/>
      <c r="M45" s="130"/>
      <c r="N45" s="130"/>
      <c r="O45" s="130"/>
      <c r="P45" s="130"/>
    </row>
    <row r="46" spans="1:16" s="69" customFormat="1" x14ac:dyDescent="0.2">
      <c r="A46" s="109" t="str">
        <v>0:00</v>
      </c>
      <c r="B46" s="108"/>
      <c r="C46" s="130"/>
      <c r="D46" s="130"/>
      <c r="E46" s="130"/>
      <c r="F46" s="130"/>
      <c r="G46" s="130"/>
      <c r="H46" s="130"/>
      <c r="I46" s="130"/>
      <c r="J46" s="130"/>
      <c r="K46" s="130"/>
      <c r="L46" s="130"/>
      <c r="M46" s="130"/>
      <c r="N46" s="130"/>
      <c r="O46" s="130"/>
      <c r="P46" s="130"/>
    </row>
    <row r="47" spans="1:16" s="69" customFormat="1" x14ac:dyDescent="0.2">
      <c r="A47" s="109" t="str">
        <v>0:00</v>
      </c>
      <c r="B47" s="108"/>
      <c r="C47" s="130"/>
      <c r="D47" s="130"/>
      <c r="E47" s="130"/>
      <c r="F47" s="130"/>
      <c r="G47" s="130"/>
      <c r="H47" s="130"/>
      <c r="I47" s="130"/>
      <c r="J47" s="130"/>
      <c r="K47" s="130"/>
      <c r="L47" s="130"/>
      <c r="M47" s="130"/>
      <c r="N47" s="130"/>
      <c r="O47" s="130"/>
      <c r="P47" s="130"/>
    </row>
    <row r="48" spans="1:16" s="69" customFormat="1" x14ac:dyDescent="0.2">
      <c r="A48" s="109" t="str">
        <v>0:00</v>
      </c>
      <c r="B48" s="108"/>
      <c r="C48" s="130"/>
      <c r="D48" s="130"/>
      <c r="E48" s="130"/>
      <c r="F48" s="130"/>
      <c r="G48" s="130"/>
      <c r="H48" s="130"/>
      <c r="I48" s="130"/>
      <c r="J48" s="130"/>
      <c r="K48" s="130"/>
      <c r="L48" s="130"/>
      <c r="M48" s="130"/>
      <c r="N48" s="130"/>
      <c r="O48" s="130"/>
      <c r="P48" s="130"/>
    </row>
    <row r="49" spans="1:16" s="69" customFormat="1" x14ac:dyDescent="0.2">
      <c r="A49" s="109" t="str">
        <v>0:00</v>
      </c>
      <c r="B49" s="108"/>
      <c r="C49" s="130"/>
      <c r="D49" s="130"/>
      <c r="E49" s="130"/>
      <c r="F49" s="130"/>
      <c r="G49" s="130"/>
      <c r="H49" s="130"/>
      <c r="I49" s="130"/>
      <c r="J49" s="130"/>
      <c r="K49" s="130"/>
      <c r="L49" s="130"/>
      <c r="M49" s="130"/>
      <c r="N49" s="130"/>
      <c r="O49" s="130"/>
      <c r="P49" s="130"/>
    </row>
    <row r="50" spans="1:16" s="69" customFormat="1" x14ac:dyDescent="0.2">
      <c r="A50" s="109" t="str">
        <v>0:00</v>
      </c>
      <c r="B50" s="108"/>
      <c r="C50" s="130"/>
      <c r="D50" s="130"/>
      <c r="E50" s="130"/>
      <c r="F50" s="130"/>
      <c r="G50" s="130"/>
      <c r="H50" s="130"/>
      <c r="I50" s="130"/>
      <c r="J50" s="130"/>
      <c r="K50" s="130"/>
      <c r="L50" s="130"/>
      <c r="M50" s="130"/>
      <c r="N50" s="130"/>
      <c r="O50" s="130"/>
      <c r="P50" s="130"/>
    </row>
    <row r="51" spans="1:16" s="69" customFormat="1" x14ac:dyDescent="0.2">
      <c r="A51" s="109" t="str">
        <v>0:00</v>
      </c>
      <c r="B51" s="108"/>
      <c r="C51" s="130"/>
      <c r="D51" s="130"/>
      <c r="E51" s="130"/>
      <c r="F51" s="130"/>
      <c r="G51" s="130"/>
      <c r="H51" s="130"/>
      <c r="I51" s="130"/>
      <c r="J51" s="130"/>
      <c r="K51" s="130"/>
      <c r="L51" s="130"/>
      <c r="M51" s="130"/>
      <c r="N51" s="130"/>
      <c r="O51" s="130"/>
      <c r="P51" s="130"/>
    </row>
    <row r="52" spans="1:16" s="69" customFormat="1" x14ac:dyDescent="0.2">
      <c r="A52" s="109" t="str">
        <v>0:00</v>
      </c>
      <c r="B52" s="108"/>
      <c r="C52" s="130"/>
      <c r="D52" s="130"/>
      <c r="E52" s="130"/>
      <c r="F52" s="130"/>
      <c r="G52" s="130"/>
      <c r="H52" s="130"/>
      <c r="I52" s="130"/>
      <c r="J52" s="130"/>
      <c r="K52" s="130"/>
      <c r="L52" s="130"/>
      <c r="M52" s="130"/>
      <c r="N52" s="130"/>
      <c r="O52" s="130"/>
      <c r="P52" s="130"/>
    </row>
    <row r="53" spans="1:16" s="69" customFormat="1" x14ac:dyDescent="0.2">
      <c r="A53" s="109" t="str">
        <v>0:00</v>
      </c>
      <c r="B53" s="108"/>
      <c r="C53" s="130"/>
      <c r="D53" s="130"/>
      <c r="E53" s="130"/>
      <c r="F53" s="130"/>
      <c r="G53" s="130"/>
      <c r="H53" s="130"/>
      <c r="I53" s="130"/>
      <c r="J53" s="130"/>
      <c r="K53" s="130"/>
      <c r="L53" s="130"/>
      <c r="M53" s="130"/>
      <c r="N53" s="130"/>
      <c r="O53" s="130"/>
      <c r="P53" s="130"/>
    </row>
    <row r="54" spans="1:16" s="69" customFormat="1" x14ac:dyDescent="0.2">
      <c r="A54" s="109" t="str">
        <v>0:00</v>
      </c>
      <c r="B54" s="108"/>
      <c r="C54" s="130"/>
      <c r="D54" s="130"/>
      <c r="E54" s="130"/>
      <c r="F54" s="130"/>
      <c r="G54" s="130"/>
      <c r="H54" s="130"/>
      <c r="I54" s="130"/>
      <c r="J54" s="130"/>
      <c r="K54" s="130"/>
      <c r="L54" s="130"/>
      <c r="M54" s="130"/>
      <c r="N54" s="130"/>
      <c r="O54" s="130"/>
      <c r="P54" s="130"/>
    </row>
    <row r="55" spans="1:16" s="69" customFormat="1" x14ac:dyDescent="0.2">
      <c r="A55" s="109" t="str">
        <v>0:00</v>
      </c>
      <c r="B55" s="108"/>
      <c r="C55" s="130"/>
      <c r="D55" s="130"/>
      <c r="E55" s="130"/>
      <c r="F55" s="130"/>
      <c r="G55" s="130"/>
      <c r="H55" s="130"/>
      <c r="I55" s="130"/>
      <c r="J55" s="130"/>
      <c r="K55" s="130"/>
      <c r="L55" s="130"/>
      <c r="M55" s="130"/>
      <c r="N55" s="130"/>
      <c r="O55" s="130"/>
      <c r="P55" s="130"/>
    </row>
    <row r="56" spans="1:16" s="69" customFormat="1" x14ac:dyDescent="0.2">
      <c r="A56" s="109" t="str">
        <v>0:00</v>
      </c>
      <c r="B56" s="108"/>
      <c r="C56" s="130"/>
      <c r="D56" s="130"/>
      <c r="E56" s="130"/>
      <c r="F56" s="130"/>
      <c r="G56" s="130"/>
      <c r="H56" s="130"/>
      <c r="I56" s="130"/>
      <c r="J56" s="130"/>
      <c r="K56" s="130"/>
      <c r="L56" s="130"/>
      <c r="M56" s="130"/>
      <c r="N56" s="130"/>
      <c r="O56" s="130"/>
      <c r="P56" s="130"/>
    </row>
    <row r="57" spans="1:16" s="69" customFormat="1" x14ac:dyDescent="0.2">
      <c r="A57" s="109" t="str">
        <v>0:00</v>
      </c>
      <c r="B57" s="108"/>
      <c r="C57" s="130"/>
      <c r="D57" s="130"/>
      <c r="E57" s="130"/>
      <c r="F57" s="130"/>
      <c r="G57" s="130"/>
      <c r="H57" s="130"/>
      <c r="I57" s="130"/>
      <c r="J57" s="130"/>
      <c r="K57" s="130"/>
      <c r="L57" s="130"/>
      <c r="M57" s="130"/>
      <c r="N57" s="130"/>
      <c r="O57" s="130"/>
      <c r="P57" s="130"/>
    </row>
    <row r="58" spans="1:16" s="69" customFormat="1" x14ac:dyDescent="0.2">
      <c r="A58" s="109" t="str">
        <v>0:00</v>
      </c>
      <c r="B58" s="108"/>
      <c r="C58" s="130"/>
      <c r="D58" s="130"/>
      <c r="E58" s="130"/>
      <c r="F58" s="130"/>
      <c r="G58" s="130"/>
      <c r="H58" s="130"/>
      <c r="I58" s="130"/>
      <c r="J58" s="130"/>
      <c r="K58" s="130"/>
      <c r="L58" s="130"/>
      <c r="M58" s="130"/>
      <c r="N58" s="130"/>
      <c r="O58" s="130"/>
      <c r="P58" s="130"/>
    </row>
    <row r="59" spans="1:16" s="69" customFormat="1" x14ac:dyDescent="0.2">
      <c r="A59" s="109" t="str">
        <v>0:00</v>
      </c>
      <c r="B59" s="108"/>
      <c r="C59" s="130"/>
      <c r="D59" s="130"/>
      <c r="E59" s="130"/>
      <c r="F59" s="130"/>
      <c r="G59" s="130"/>
      <c r="H59" s="130"/>
      <c r="I59" s="130"/>
      <c r="J59" s="130"/>
      <c r="K59" s="130"/>
      <c r="L59" s="130"/>
      <c r="M59" s="130"/>
      <c r="N59" s="130"/>
      <c r="O59" s="130"/>
      <c r="P59" s="130"/>
    </row>
    <row r="60" spans="1:16" s="69" customFormat="1" x14ac:dyDescent="0.2">
      <c r="A60" s="109" t="str">
        <v>0:00</v>
      </c>
      <c r="B60" s="108"/>
      <c r="C60" s="130"/>
      <c r="D60" s="130"/>
      <c r="E60" s="130"/>
      <c r="F60" s="130"/>
      <c r="G60" s="130"/>
      <c r="H60" s="130"/>
      <c r="I60" s="130"/>
      <c r="J60" s="130"/>
      <c r="K60" s="130"/>
      <c r="L60" s="130"/>
      <c r="M60" s="130"/>
      <c r="N60" s="130"/>
      <c r="O60" s="130"/>
      <c r="P60" s="130"/>
    </row>
    <row r="61" spans="1:16" s="69" customFormat="1" x14ac:dyDescent="0.2">
      <c r="A61" s="109" t="str">
        <v>0:00</v>
      </c>
      <c r="B61" s="108"/>
      <c r="C61" s="130"/>
      <c r="D61" s="130"/>
      <c r="E61" s="130"/>
      <c r="F61" s="130"/>
      <c r="G61" s="130"/>
      <c r="H61" s="130"/>
      <c r="I61" s="130"/>
      <c r="J61" s="130"/>
      <c r="K61" s="130"/>
      <c r="L61" s="130"/>
      <c r="M61" s="130"/>
      <c r="N61" s="130"/>
      <c r="O61" s="130"/>
      <c r="P61" s="130"/>
    </row>
    <row r="62" spans="1:16" s="69" customFormat="1" x14ac:dyDescent="0.2">
      <c r="A62" s="109" t="str">
        <v>0:00</v>
      </c>
      <c r="B62" s="108"/>
      <c r="C62" s="130"/>
      <c r="D62" s="130"/>
      <c r="E62" s="130"/>
      <c r="F62" s="130"/>
      <c r="G62" s="130"/>
      <c r="H62" s="130"/>
      <c r="I62" s="130"/>
      <c r="J62" s="130"/>
      <c r="K62" s="130"/>
      <c r="L62" s="130"/>
      <c r="M62" s="130"/>
      <c r="N62" s="130"/>
      <c r="O62" s="130"/>
      <c r="P62" s="130"/>
    </row>
    <row r="63" spans="1:16" s="69" customFormat="1" x14ac:dyDescent="0.2">
      <c r="A63" s="109" t="str">
        <v>0:00</v>
      </c>
      <c r="B63" s="108"/>
      <c r="C63" s="130"/>
      <c r="D63" s="130"/>
      <c r="E63" s="130"/>
      <c r="F63" s="130"/>
      <c r="G63" s="130"/>
      <c r="H63" s="130"/>
      <c r="I63" s="130"/>
      <c r="J63" s="130"/>
      <c r="K63" s="130"/>
      <c r="L63" s="130"/>
      <c r="M63" s="130"/>
      <c r="N63" s="130"/>
      <c r="O63" s="130"/>
      <c r="P63" s="130"/>
    </row>
    <row r="64" spans="1:16" s="69" customFormat="1" x14ac:dyDescent="0.2">
      <c r="A64" s="109" t="str">
        <v>0:00</v>
      </c>
      <c r="B64" s="108"/>
      <c r="C64" s="130"/>
      <c r="D64" s="130"/>
      <c r="E64" s="130"/>
      <c r="F64" s="130"/>
      <c r="G64" s="130"/>
      <c r="H64" s="130"/>
      <c r="I64" s="130"/>
      <c r="J64" s="130"/>
      <c r="K64" s="130"/>
      <c r="L64" s="130"/>
      <c r="M64" s="130"/>
      <c r="N64" s="130"/>
      <c r="O64" s="130"/>
      <c r="P64" s="130"/>
    </row>
    <row r="65" spans="1:16" s="69" customFormat="1" x14ac:dyDescent="0.2">
      <c r="A65" s="109" t="str">
        <v>0:00</v>
      </c>
      <c r="B65" s="108"/>
      <c r="C65" s="130"/>
      <c r="D65" s="130"/>
      <c r="E65" s="130"/>
      <c r="F65" s="130"/>
      <c r="G65" s="130"/>
      <c r="H65" s="130"/>
      <c r="I65" s="130"/>
      <c r="J65" s="130"/>
      <c r="K65" s="130"/>
      <c r="L65" s="130"/>
      <c r="M65" s="130"/>
      <c r="N65" s="130"/>
      <c r="O65" s="130"/>
      <c r="P65" s="130"/>
    </row>
    <row r="66" spans="1:16" s="69" customFormat="1" x14ac:dyDescent="0.2">
      <c r="A66" s="109" t="str">
        <v>0:00</v>
      </c>
      <c r="B66" s="108"/>
      <c r="C66" s="130"/>
      <c r="D66" s="130"/>
      <c r="E66" s="130"/>
      <c r="F66" s="130"/>
      <c r="G66" s="130"/>
      <c r="H66" s="130"/>
      <c r="I66" s="130"/>
      <c r="J66" s="130"/>
      <c r="K66" s="130"/>
      <c r="L66" s="130"/>
      <c r="M66" s="130"/>
      <c r="N66" s="130"/>
      <c r="O66" s="130"/>
      <c r="P66" s="130"/>
    </row>
    <row r="67" spans="1:16" s="69" customFormat="1" x14ac:dyDescent="0.2">
      <c r="A67" s="109" t="str">
        <v>0:00</v>
      </c>
      <c r="B67" s="108"/>
      <c r="C67" s="130"/>
      <c r="D67" s="130"/>
      <c r="E67" s="130"/>
      <c r="F67" s="130"/>
      <c r="G67" s="130"/>
      <c r="H67" s="130"/>
      <c r="I67" s="130"/>
      <c r="J67" s="130"/>
      <c r="K67" s="130"/>
      <c r="L67" s="130"/>
      <c r="M67" s="130"/>
      <c r="N67" s="130"/>
      <c r="O67" s="130"/>
      <c r="P67" s="130"/>
    </row>
    <row r="68" spans="1:16" s="69" customFormat="1" x14ac:dyDescent="0.2">
      <c r="A68" s="109" t="str">
        <v>0:00</v>
      </c>
      <c r="B68" s="108"/>
      <c r="C68" s="130"/>
      <c r="D68" s="130"/>
      <c r="E68" s="130"/>
      <c r="F68" s="130"/>
      <c r="G68" s="130"/>
      <c r="H68" s="130"/>
      <c r="I68" s="130"/>
      <c r="J68" s="130"/>
      <c r="K68" s="130"/>
      <c r="L68" s="130"/>
      <c r="M68" s="130"/>
      <c r="N68" s="130"/>
      <c r="O68" s="130"/>
      <c r="P68" s="130"/>
    </row>
    <row r="69" spans="1:16" s="69" customFormat="1" x14ac:dyDescent="0.2">
      <c r="A69" s="109" t="str">
        <v>0:00</v>
      </c>
      <c r="B69" s="108"/>
      <c r="C69" s="130"/>
      <c r="D69" s="130"/>
      <c r="E69" s="130"/>
      <c r="F69" s="130"/>
      <c r="G69" s="130"/>
      <c r="H69" s="130"/>
      <c r="I69" s="130"/>
      <c r="J69" s="130"/>
      <c r="K69" s="130"/>
      <c r="L69" s="130"/>
      <c r="M69" s="130"/>
      <c r="N69" s="130"/>
      <c r="O69" s="130"/>
      <c r="P69" s="130"/>
    </row>
    <row r="70" spans="1:16" s="69" customFormat="1" x14ac:dyDescent="0.2">
      <c r="A70" s="109" t="str">
        <v>0:00</v>
      </c>
      <c r="B70" s="108"/>
      <c r="C70" s="130"/>
      <c r="D70" s="130"/>
      <c r="E70" s="130"/>
      <c r="F70" s="130"/>
      <c r="G70" s="130"/>
      <c r="H70" s="130"/>
      <c r="I70" s="130"/>
      <c r="J70" s="130"/>
      <c r="K70" s="130"/>
      <c r="L70" s="130"/>
      <c r="M70" s="130"/>
      <c r="N70" s="130"/>
      <c r="O70" s="130"/>
      <c r="P70" s="130"/>
    </row>
    <row r="71" spans="1:16" s="69" customFormat="1" x14ac:dyDescent="0.2">
      <c r="A71" s="109" t="str">
        <v>0:00</v>
      </c>
      <c r="B71" s="108"/>
      <c r="C71" s="130"/>
      <c r="D71" s="130"/>
      <c r="E71" s="130"/>
      <c r="F71" s="130"/>
      <c r="G71" s="130"/>
      <c r="H71" s="130"/>
      <c r="I71" s="130"/>
      <c r="J71" s="130"/>
      <c r="K71" s="130"/>
      <c r="L71" s="130"/>
      <c r="M71" s="130"/>
      <c r="N71" s="130"/>
      <c r="O71" s="130"/>
      <c r="P71" s="130"/>
    </row>
    <row r="72" spans="1:16" s="69" customFormat="1" x14ac:dyDescent="0.2">
      <c r="A72" s="109" t="str">
        <v>0:00</v>
      </c>
      <c r="B72" s="108"/>
      <c r="C72" s="130"/>
      <c r="D72" s="130"/>
      <c r="E72" s="130"/>
      <c r="F72" s="130"/>
      <c r="G72" s="130"/>
      <c r="H72" s="130"/>
      <c r="I72" s="130"/>
      <c r="J72" s="130"/>
      <c r="K72" s="130"/>
      <c r="L72" s="130"/>
      <c r="M72" s="130"/>
      <c r="N72" s="130"/>
      <c r="O72" s="130"/>
      <c r="P72" s="130"/>
    </row>
    <row r="73" spans="1:16" s="69" customFormat="1" x14ac:dyDescent="0.2">
      <c r="A73" s="109" t="str">
        <v>0:00</v>
      </c>
      <c r="B73" s="108"/>
      <c r="C73" s="130"/>
      <c r="D73" s="130"/>
      <c r="E73" s="130"/>
      <c r="F73" s="130"/>
      <c r="G73" s="130"/>
      <c r="H73" s="130"/>
      <c r="I73" s="130"/>
      <c r="J73" s="130"/>
      <c r="K73" s="130"/>
      <c r="L73" s="130"/>
      <c r="M73" s="130"/>
      <c r="N73" s="130"/>
      <c r="O73" s="130"/>
      <c r="P73" s="130"/>
    </row>
    <row r="74" spans="1:16" s="69" customFormat="1" x14ac:dyDescent="0.2">
      <c r="A74" s="109" t="str">
        <v>0:00</v>
      </c>
      <c r="B74" s="108"/>
      <c r="C74" s="130"/>
      <c r="D74" s="130"/>
      <c r="E74" s="130"/>
      <c r="F74" s="130"/>
      <c r="G74" s="130"/>
      <c r="H74" s="130"/>
      <c r="I74" s="130"/>
      <c r="J74" s="130"/>
      <c r="K74" s="130"/>
      <c r="L74" s="130"/>
      <c r="M74" s="130"/>
      <c r="N74" s="130"/>
      <c r="O74" s="130"/>
      <c r="P74" s="130"/>
    </row>
    <row r="75" spans="1:16" s="69" customFormat="1" x14ac:dyDescent="0.2">
      <c r="A75" s="109" t="str">
        <v>0:00</v>
      </c>
      <c r="B75" s="108"/>
      <c r="C75" s="130"/>
      <c r="D75" s="130"/>
      <c r="E75" s="130"/>
      <c r="F75" s="130"/>
      <c r="G75" s="130"/>
      <c r="H75" s="130"/>
      <c r="I75" s="130"/>
      <c r="J75" s="130"/>
      <c r="K75" s="130"/>
      <c r="L75" s="130"/>
      <c r="M75" s="130"/>
      <c r="N75" s="130"/>
      <c r="O75" s="130"/>
      <c r="P75" s="130"/>
    </row>
    <row r="76" spans="1:16" s="69" customFormat="1" x14ac:dyDescent="0.2">
      <c r="A76" s="109" t="str">
        <v>0:00</v>
      </c>
      <c r="B76" s="108"/>
      <c r="C76" s="130"/>
      <c r="D76" s="130"/>
      <c r="E76" s="130"/>
      <c r="F76" s="130"/>
      <c r="G76" s="130"/>
      <c r="H76" s="130"/>
      <c r="I76" s="130"/>
      <c r="J76" s="130"/>
      <c r="K76" s="130"/>
      <c r="L76" s="130"/>
      <c r="M76" s="130"/>
      <c r="N76" s="130"/>
      <c r="O76" s="130"/>
      <c r="P76" s="130"/>
    </row>
    <row r="77" spans="1:16" s="69" customFormat="1" x14ac:dyDescent="0.2">
      <c r="A77" s="109" t="str">
        <v>0:00</v>
      </c>
      <c r="B77" s="108"/>
      <c r="C77" s="130"/>
      <c r="D77" s="130"/>
      <c r="E77" s="130"/>
      <c r="F77" s="130"/>
      <c r="G77" s="130"/>
      <c r="H77" s="130"/>
      <c r="I77" s="130"/>
      <c r="J77" s="130"/>
      <c r="K77" s="130"/>
      <c r="L77" s="130"/>
      <c r="M77" s="130"/>
      <c r="N77" s="130"/>
      <c r="O77" s="130"/>
      <c r="P77" s="130"/>
    </row>
    <row r="78" spans="1:16" s="69" customFormat="1" x14ac:dyDescent="0.2">
      <c r="A78" s="109" t="str">
        <v>0:00</v>
      </c>
      <c r="B78" s="108"/>
      <c r="C78" s="130"/>
      <c r="D78" s="130"/>
      <c r="E78" s="130"/>
      <c r="F78" s="130"/>
      <c r="G78" s="130"/>
      <c r="H78" s="130"/>
      <c r="I78" s="130"/>
      <c r="J78" s="130"/>
      <c r="K78" s="130"/>
      <c r="L78" s="130"/>
      <c r="M78" s="130"/>
      <c r="N78" s="130"/>
      <c r="O78" s="130"/>
      <c r="P78" s="130"/>
    </row>
    <row r="79" spans="1:16" s="71" customFormat="1" x14ac:dyDescent="0.2">
      <c r="A79" s="70" t="str">
        <v>0:00</v>
      </c>
      <c r="B79" s="108"/>
      <c r="C79" s="130"/>
      <c r="D79" s="130"/>
      <c r="E79" s="130"/>
      <c r="F79" s="130"/>
      <c r="G79" s="130"/>
      <c r="H79" s="130"/>
      <c r="I79" s="130"/>
      <c r="J79" s="130"/>
      <c r="K79" s="130"/>
      <c r="L79" s="130"/>
      <c r="M79" s="130"/>
      <c r="N79" s="130"/>
      <c r="O79" s="130"/>
      <c r="P79" s="130"/>
    </row>
    <row r="80" spans="1:16" s="71" customFormat="1" x14ac:dyDescent="0.2">
      <c r="A80" s="70" t="str">
        <v>0:00</v>
      </c>
      <c r="B80" s="108"/>
      <c r="C80" s="130"/>
      <c r="D80" s="130"/>
      <c r="E80" s="130"/>
      <c r="F80" s="130"/>
      <c r="G80" s="130"/>
      <c r="H80" s="130"/>
      <c r="I80" s="130"/>
      <c r="J80" s="130"/>
      <c r="K80" s="130"/>
      <c r="L80" s="130"/>
      <c r="M80" s="130"/>
      <c r="N80" s="130"/>
      <c r="O80" s="130"/>
      <c r="P80" s="130"/>
    </row>
    <row r="81" spans="1:16" s="71" customFormat="1" x14ac:dyDescent="0.2">
      <c r="A81" s="70" t="str">
        <v>0:00</v>
      </c>
      <c r="B81" s="108"/>
      <c r="C81" s="130"/>
      <c r="D81" s="130"/>
      <c r="E81" s="130"/>
      <c r="F81" s="130"/>
      <c r="G81" s="130"/>
      <c r="H81" s="130"/>
      <c r="I81" s="130"/>
      <c r="J81" s="130"/>
      <c r="K81" s="130"/>
      <c r="L81" s="130"/>
      <c r="M81" s="130"/>
      <c r="N81" s="130"/>
      <c r="O81" s="130"/>
      <c r="P81" s="130"/>
    </row>
    <row r="82" spans="1:16" s="71" customFormat="1" x14ac:dyDescent="0.2">
      <c r="A82" s="70" t="str">
        <v>0:00</v>
      </c>
      <c r="B82" s="108"/>
      <c r="C82" s="130"/>
      <c r="D82" s="130"/>
      <c r="E82" s="130"/>
      <c r="F82" s="130"/>
      <c r="G82" s="130"/>
      <c r="H82" s="130"/>
      <c r="I82" s="130"/>
      <c r="J82" s="130"/>
      <c r="K82" s="130"/>
      <c r="L82" s="130"/>
      <c r="M82" s="130"/>
      <c r="N82" s="130"/>
      <c r="O82" s="130"/>
      <c r="P82" s="130"/>
    </row>
    <row r="83" spans="1:16" s="71" customFormat="1" x14ac:dyDescent="0.2">
      <c r="A83" s="70" t="str">
        <v>0:00</v>
      </c>
      <c r="B83" s="108"/>
      <c r="C83" s="130"/>
      <c r="D83" s="130"/>
      <c r="E83" s="130"/>
      <c r="F83" s="130"/>
      <c r="G83" s="130"/>
      <c r="H83" s="130"/>
      <c r="I83" s="130"/>
      <c r="J83" s="130"/>
      <c r="K83" s="130"/>
      <c r="L83" s="130"/>
      <c r="M83" s="130"/>
      <c r="N83" s="130"/>
      <c r="O83" s="130"/>
      <c r="P83" s="130"/>
    </row>
    <row r="84" spans="1:16" s="69" customFormat="1" x14ac:dyDescent="0.2">
      <c r="A84" s="109" t="str">
        <v>0:00</v>
      </c>
      <c r="B84" s="108"/>
      <c r="C84" s="130"/>
      <c r="D84" s="130"/>
      <c r="E84" s="130"/>
      <c r="F84" s="130"/>
      <c r="G84" s="130"/>
      <c r="H84" s="130"/>
      <c r="I84" s="130"/>
      <c r="J84" s="130"/>
      <c r="K84" s="130"/>
      <c r="L84" s="130"/>
      <c r="M84" s="130"/>
      <c r="N84" s="130"/>
      <c r="O84" s="130"/>
      <c r="P84" s="130"/>
    </row>
    <row r="85" spans="1:16" s="69" customFormat="1" x14ac:dyDescent="0.2">
      <c r="A85" s="109" t="str">
        <v>0:00</v>
      </c>
      <c r="B85" s="108"/>
      <c r="C85" s="130"/>
      <c r="D85" s="130"/>
      <c r="E85" s="130"/>
      <c r="F85" s="130"/>
      <c r="G85" s="130"/>
      <c r="H85" s="130"/>
      <c r="I85" s="130"/>
      <c r="J85" s="130"/>
      <c r="K85" s="130"/>
      <c r="L85" s="130"/>
      <c r="M85" s="130"/>
      <c r="N85" s="130"/>
      <c r="O85" s="130"/>
      <c r="P85" s="130"/>
    </row>
    <row r="86" spans="1:16" s="69" customFormat="1" x14ac:dyDescent="0.2">
      <c r="A86" s="109" t="str">
        <v>0:00</v>
      </c>
      <c r="B86" s="108"/>
      <c r="C86" s="130"/>
      <c r="D86" s="130"/>
      <c r="E86" s="130"/>
      <c r="F86" s="130"/>
      <c r="G86" s="130"/>
      <c r="H86" s="130"/>
      <c r="I86" s="130"/>
      <c r="J86" s="130"/>
      <c r="K86" s="130"/>
      <c r="L86" s="130"/>
      <c r="M86" s="130"/>
      <c r="N86" s="130"/>
      <c r="O86" s="130"/>
      <c r="P86" s="130"/>
    </row>
    <row r="87" spans="1:16" s="69" customFormat="1" x14ac:dyDescent="0.2">
      <c r="A87" s="109" t="str">
        <v>0:00</v>
      </c>
      <c r="B87" s="108"/>
      <c r="C87" s="130"/>
      <c r="D87" s="130"/>
      <c r="E87" s="130"/>
      <c r="F87" s="130"/>
      <c r="G87" s="130"/>
      <c r="H87" s="130"/>
      <c r="I87" s="130"/>
      <c r="J87" s="130"/>
      <c r="K87" s="130"/>
      <c r="L87" s="130"/>
      <c r="M87" s="130"/>
      <c r="N87" s="130"/>
      <c r="O87" s="130"/>
      <c r="P87" s="130"/>
    </row>
    <row r="88" spans="1:16" s="69" customFormat="1" x14ac:dyDescent="0.2">
      <c r="A88" s="109" t="str">
        <v>0:00</v>
      </c>
      <c r="B88" s="108"/>
      <c r="C88" s="130"/>
      <c r="D88" s="130"/>
      <c r="E88" s="130"/>
      <c r="F88" s="130"/>
      <c r="G88" s="130"/>
      <c r="H88" s="130"/>
      <c r="I88" s="130"/>
      <c r="J88" s="130"/>
      <c r="K88" s="130"/>
      <c r="L88" s="130"/>
      <c r="M88" s="130"/>
      <c r="N88" s="130"/>
      <c r="O88" s="130"/>
      <c r="P88" s="130"/>
    </row>
    <row r="89" spans="1:16" s="69" customFormat="1" x14ac:dyDescent="0.2">
      <c r="A89" s="109" t="str">
        <v>0:00</v>
      </c>
      <c r="B89" s="108"/>
      <c r="C89" s="130"/>
      <c r="D89" s="130"/>
      <c r="E89" s="130"/>
      <c r="F89" s="130"/>
      <c r="G89" s="130"/>
      <c r="H89" s="130"/>
      <c r="I89" s="130"/>
      <c r="J89" s="130"/>
      <c r="K89" s="130"/>
      <c r="L89" s="130"/>
      <c r="M89" s="130"/>
      <c r="N89" s="130"/>
      <c r="O89" s="130"/>
      <c r="P89" s="130"/>
    </row>
    <row r="90" spans="1:16" s="69" customFormat="1" x14ac:dyDescent="0.2">
      <c r="A90" s="109" t="str">
        <v>0:00</v>
      </c>
      <c r="B90" s="108"/>
      <c r="C90" s="130"/>
      <c r="D90" s="130"/>
      <c r="E90" s="130"/>
      <c r="F90" s="130"/>
      <c r="G90" s="130"/>
      <c r="H90" s="130"/>
      <c r="I90" s="130"/>
      <c r="J90" s="130"/>
      <c r="K90" s="130"/>
      <c r="L90" s="130"/>
      <c r="M90" s="130"/>
      <c r="N90" s="130"/>
      <c r="O90" s="130"/>
      <c r="P90" s="130"/>
    </row>
    <row r="91" spans="1:16" s="69" customFormat="1" x14ac:dyDescent="0.2">
      <c r="A91" s="109" t="str">
        <v>0:00</v>
      </c>
      <c r="B91" s="108"/>
      <c r="C91" s="130"/>
      <c r="D91" s="130"/>
      <c r="E91" s="130"/>
      <c r="F91" s="130"/>
      <c r="G91" s="130"/>
      <c r="H91" s="130"/>
      <c r="I91" s="130"/>
      <c r="J91" s="130"/>
      <c r="K91" s="130"/>
      <c r="L91" s="130"/>
      <c r="M91" s="130"/>
      <c r="N91" s="130"/>
      <c r="O91" s="130"/>
      <c r="P91" s="130"/>
    </row>
    <row r="92" spans="1:16" s="69" customFormat="1" x14ac:dyDescent="0.2">
      <c r="A92" s="109" t="str">
        <v>0:00</v>
      </c>
      <c r="B92" s="108"/>
      <c r="C92" s="130"/>
      <c r="D92" s="130"/>
      <c r="E92" s="130"/>
      <c r="F92" s="130"/>
      <c r="G92" s="130"/>
      <c r="H92" s="130"/>
      <c r="I92" s="130"/>
      <c r="J92" s="130"/>
      <c r="K92" s="130"/>
      <c r="L92" s="130"/>
      <c r="M92" s="130"/>
      <c r="N92" s="130"/>
      <c r="O92" s="130"/>
      <c r="P92" s="130"/>
    </row>
    <row r="93" spans="1:16" s="69" customFormat="1" x14ac:dyDescent="0.2">
      <c r="A93" s="109" t="str">
        <v>0:00</v>
      </c>
      <c r="B93" s="108"/>
      <c r="C93" s="130"/>
      <c r="D93" s="130"/>
      <c r="E93" s="130"/>
      <c r="F93" s="130"/>
      <c r="G93" s="130"/>
      <c r="H93" s="130"/>
      <c r="I93" s="130"/>
      <c r="J93" s="130"/>
      <c r="K93" s="130"/>
      <c r="L93" s="130"/>
      <c r="M93" s="130"/>
      <c r="N93" s="130"/>
      <c r="O93" s="130"/>
      <c r="P93" s="130"/>
    </row>
    <row r="94" spans="1:16" s="69" customFormat="1" x14ac:dyDescent="0.2">
      <c r="A94" s="109" t="str">
        <v>0:00</v>
      </c>
      <c r="B94" s="108"/>
      <c r="C94" s="130"/>
      <c r="D94" s="130"/>
      <c r="E94" s="130"/>
      <c r="F94" s="130"/>
      <c r="G94" s="130"/>
      <c r="H94" s="130"/>
      <c r="I94" s="130"/>
      <c r="J94" s="130"/>
      <c r="K94" s="130"/>
      <c r="L94" s="130"/>
      <c r="M94" s="130"/>
      <c r="N94" s="130"/>
      <c r="O94" s="130"/>
      <c r="P94" s="130"/>
    </row>
    <row r="95" spans="1:16" s="69" customFormat="1" x14ac:dyDescent="0.2">
      <c r="A95" s="109" t="str">
        <v>0:00</v>
      </c>
      <c r="B95" s="108"/>
      <c r="C95" s="130"/>
      <c r="D95" s="130"/>
      <c r="E95" s="130"/>
      <c r="F95" s="130"/>
      <c r="G95" s="130"/>
      <c r="H95" s="130"/>
      <c r="I95" s="130"/>
      <c r="J95" s="130"/>
      <c r="K95" s="130"/>
      <c r="L95" s="130"/>
      <c r="M95" s="130"/>
      <c r="N95" s="130"/>
      <c r="O95" s="130"/>
      <c r="P95" s="130"/>
    </row>
    <row r="96" spans="1:16" s="69" customFormat="1" x14ac:dyDescent="0.2">
      <c r="A96" s="109" t="str">
        <v>0:00</v>
      </c>
      <c r="B96" s="108"/>
      <c r="C96" s="130"/>
      <c r="D96" s="130"/>
      <c r="E96" s="130"/>
      <c r="F96" s="130"/>
      <c r="G96" s="130"/>
      <c r="H96" s="130"/>
      <c r="I96" s="130"/>
      <c r="J96" s="130"/>
      <c r="K96" s="130"/>
      <c r="L96" s="130"/>
      <c r="M96" s="130"/>
      <c r="N96" s="130"/>
      <c r="O96" s="130"/>
      <c r="P96" s="130"/>
    </row>
    <row r="97" spans="1:16" s="69" customFormat="1" x14ac:dyDescent="0.2">
      <c r="A97" s="109" t="str">
        <v>0:00</v>
      </c>
      <c r="B97" s="108"/>
      <c r="C97" s="130"/>
      <c r="D97" s="130"/>
      <c r="E97" s="130"/>
      <c r="F97" s="130"/>
      <c r="G97" s="130"/>
      <c r="H97" s="130"/>
      <c r="I97" s="130"/>
      <c r="J97" s="130"/>
      <c r="K97" s="130"/>
      <c r="L97" s="130"/>
      <c r="M97" s="130"/>
      <c r="N97" s="130"/>
      <c r="O97" s="130"/>
      <c r="P97" s="130"/>
    </row>
    <row r="98" spans="1:16" s="69" customFormat="1" x14ac:dyDescent="0.2">
      <c r="A98" s="109" t="str">
        <v>0:00</v>
      </c>
      <c r="B98" s="108"/>
      <c r="C98" s="130"/>
      <c r="D98" s="130"/>
      <c r="E98" s="130"/>
      <c r="F98" s="130"/>
      <c r="G98" s="130"/>
      <c r="H98" s="130"/>
      <c r="I98" s="130"/>
      <c r="J98" s="130"/>
      <c r="K98" s="130"/>
      <c r="L98" s="130"/>
      <c r="M98" s="130"/>
      <c r="N98" s="130"/>
      <c r="O98" s="130"/>
      <c r="P98" s="130"/>
    </row>
    <row r="99" spans="1:16" s="69" customFormat="1" x14ac:dyDescent="0.2">
      <c r="A99" s="109" t="str">
        <v>0:00</v>
      </c>
      <c r="B99" s="108"/>
      <c r="C99" s="130"/>
      <c r="D99" s="130"/>
      <c r="E99" s="130"/>
      <c r="F99" s="130"/>
      <c r="G99" s="130"/>
      <c r="H99" s="130"/>
      <c r="I99" s="130"/>
      <c r="J99" s="130"/>
      <c r="K99" s="130"/>
      <c r="L99" s="130"/>
      <c r="M99" s="130"/>
      <c r="N99" s="130"/>
      <c r="O99" s="130"/>
      <c r="P99" s="130"/>
    </row>
    <row r="100" spans="1:16" s="69" customFormat="1" x14ac:dyDescent="0.2">
      <c r="A100" s="109" t="str">
        <v>0:00</v>
      </c>
      <c r="B100" s="108"/>
      <c r="C100" s="130"/>
      <c r="D100" s="130"/>
      <c r="E100" s="130"/>
      <c r="F100" s="130"/>
      <c r="G100" s="130"/>
      <c r="H100" s="130"/>
      <c r="I100" s="130"/>
      <c r="J100" s="130"/>
      <c r="K100" s="130"/>
      <c r="L100" s="130"/>
      <c r="M100" s="130"/>
      <c r="N100" s="130"/>
      <c r="O100" s="130"/>
      <c r="P100" s="130"/>
    </row>
    <row r="101" spans="1:16" s="69" customFormat="1" x14ac:dyDescent="0.2">
      <c r="A101" s="109" t="str">
        <v>0:00</v>
      </c>
      <c r="B101" s="108"/>
      <c r="C101" s="130"/>
      <c r="D101" s="130"/>
      <c r="E101" s="130"/>
      <c r="F101" s="130"/>
      <c r="G101" s="130"/>
      <c r="H101" s="130"/>
      <c r="I101" s="130"/>
      <c r="J101" s="130"/>
      <c r="K101" s="130"/>
      <c r="L101" s="130"/>
      <c r="M101" s="130"/>
      <c r="N101" s="130"/>
      <c r="O101" s="130"/>
      <c r="P101" s="130"/>
    </row>
    <row r="102" spans="1:16" s="69" customFormat="1" x14ac:dyDescent="0.2">
      <c r="A102" s="109" t="str">
        <v>0:00</v>
      </c>
      <c r="B102" s="108"/>
      <c r="C102" s="130"/>
      <c r="D102" s="130"/>
      <c r="E102" s="130"/>
      <c r="F102" s="130"/>
      <c r="G102" s="130"/>
      <c r="H102" s="130"/>
      <c r="I102" s="130"/>
      <c r="J102" s="130"/>
      <c r="K102" s="130"/>
      <c r="L102" s="130"/>
      <c r="M102" s="130"/>
      <c r="N102" s="130"/>
      <c r="O102" s="130"/>
      <c r="P102" s="130"/>
    </row>
    <row r="103" spans="1:16" s="69" customFormat="1" x14ac:dyDescent="0.2">
      <c r="A103" s="109" t="str">
        <v>0:00</v>
      </c>
      <c r="B103" s="108"/>
      <c r="C103" s="130"/>
      <c r="D103" s="130"/>
      <c r="E103" s="130"/>
      <c r="F103" s="130"/>
      <c r="G103" s="130"/>
      <c r="H103" s="130"/>
      <c r="I103" s="130"/>
      <c r="J103" s="130"/>
      <c r="K103" s="130"/>
      <c r="L103" s="130"/>
      <c r="M103" s="130"/>
      <c r="N103" s="130"/>
      <c r="O103" s="130"/>
      <c r="P103" s="130"/>
    </row>
    <row r="104" spans="1:16" s="69" customFormat="1" x14ac:dyDescent="0.2">
      <c r="A104" s="109" t="str">
        <v>0:00</v>
      </c>
      <c r="B104" s="108"/>
      <c r="C104" s="130"/>
      <c r="D104" s="130"/>
      <c r="E104" s="130"/>
      <c r="F104" s="130"/>
      <c r="G104" s="130"/>
      <c r="H104" s="130"/>
      <c r="I104" s="130"/>
      <c r="J104" s="130"/>
      <c r="K104" s="130"/>
      <c r="L104" s="130"/>
      <c r="M104" s="130"/>
      <c r="N104" s="130"/>
      <c r="O104" s="130"/>
      <c r="P104" s="130"/>
    </row>
    <row r="105" spans="1:16" s="69" customFormat="1" x14ac:dyDescent="0.2">
      <c r="A105" s="109" t="str">
        <v>0:00</v>
      </c>
      <c r="B105" s="108"/>
      <c r="C105" s="130"/>
      <c r="D105" s="130"/>
      <c r="E105" s="130"/>
      <c r="F105" s="130"/>
      <c r="G105" s="130"/>
      <c r="H105" s="130"/>
      <c r="I105" s="130"/>
      <c r="J105" s="130"/>
      <c r="K105" s="130"/>
      <c r="L105" s="130"/>
      <c r="M105" s="130"/>
      <c r="N105" s="130"/>
      <c r="O105" s="130"/>
      <c r="P105" s="130"/>
    </row>
    <row r="106" spans="1:16" x14ac:dyDescent="0.2">
      <c r="A106" s="49" t="str">
        <v>0:00</v>
      </c>
      <c r="B106" s="108"/>
      <c r="C106" s="130"/>
      <c r="D106" s="130"/>
      <c r="E106" s="130"/>
      <c r="F106" s="130"/>
      <c r="G106" s="130"/>
      <c r="H106" s="130"/>
      <c r="I106" s="130"/>
      <c r="J106" s="130"/>
      <c r="K106" s="130"/>
      <c r="L106" s="130"/>
      <c r="M106" s="130"/>
      <c r="N106" s="130"/>
      <c r="O106" s="130"/>
      <c r="P106" s="130"/>
    </row>
    <row r="107" spans="1:16" x14ac:dyDescent="0.2">
      <c r="A107" s="49" t="str">
        <v>0:00</v>
      </c>
      <c r="B107" s="108"/>
      <c r="C107" s="130"/>
      <c r="D107" s="130"/>
      <c r="E107" s="130"/>
      <c r="F107" s="130"/>
      <c r="G107" s="130"/>
      <c r="H107" s="130"/>
      <c r="I107" s="130"/>
      <c r="J107" s="130"/>
      <c r="K107" s="130"/>
      <c r="L107" s="130"/>
      <c r="M107" s="130"/>
      <c r="N107" s="130"/>
      <c r="O107" s="130"/>
      <c r="P107" s="130"/>
    </row>
    <row r="108" spans="1:16" x14ac:dyDescent="0.2">
      <c r="A108" s="49" t="str">
        <v>0:00</v>
      </c>
      <c r="B108" s="108"/>
      <c r="C108" s="130"/>
      <c r="D108" s="130"/>
      <c r="E108" s="130"/>
      <c r="F108" s="130"/>
      <c r="G108" s="130"/>
      <c r="H108" s="130"/>
      <c r="I108" s="130"/>
      <c r="J108" s="130"/>
      <c r="K108" s="130"/>
      <c r="L108" s="130"/>
      <c r="M108" s="130"/>
      <c r="N108" s="130"/>
      <c r="O108" s="130"/>
      <c r="P108" s="130"/>
    </row>
    <row r="109" spans="1:16" x14ac:dyDescent="0.2">
      <c r="A109" s="49" t="str">
        <v>0:00</v>
      </c>
      <c r="B109" s="108"/>
      <c r="C109" s="130"/>
      <c r="D109" s="130"/>
      <c r="E109" s="130"/>
      <c r="F109" s="130"/>
      <c r="G109" s="130"/>
      <c r="H109" s="130"/>
      <c r="I109" s="130"/>
      <c r="J109" s="130"/>
      <c r="K109" s="130"/>
      <c r="L109" s="130"/>
      <c r="M109" s="130"/>
      <c r="N109" s="130"/>
      <c r="O109" s="130"/>
      <c r="P109" s="130"/>
    </row>
    <row r="110" spans="1:16" x14ac:dyDescent="0.2">
      <c r="A110" s="49" t="str">
        <v>0:00</v>
      </c>
      <c r="B110" s="108"/>
      <c r="C110" s="130"/>
      <c r="D110" s="130"/>
      <c r="E110" s="130"/>
      <c r="F110" s="130"/>
      <c r="G110" s="130"/>
      <c r="H110" s="130"/>
      <c r="I110" s="130"/>
      <c r="J110" s="130"/>
      <c r="K110" s="130"/>
      <c r="L110" s="130"/>
      <c r="M110" s="130"/>
      <c r="N110" s="130"/>
      <c r="O110" s="130"/>
      <c r="P110" s="130"/>
    </row>
    <row r="111" spans="1:16" x14ac:dyDescent="0.2">
      <c r="A111" s="49" t="str">
        <v>0:00</v>
      </c>
      <c r="B111" s="108"/>
      <c r="C111" s="130"/>
      <c r="D111" s="130"/>
      <c r="E111" s="130"/>
      <c r="F111" s="130"/>
      <c r="G111" s="130"/>
      <c r="H111" s="130"/>
      <c r="I111" s="130"/>
      <c r="J111" s="130"/>
      <c r="K111" s="130"/>
      <c r="L111" s="130"/>
      <c r="M111" s="130"/>
      <c r="N111" s="130"/>
      <c r="O111" s="130"/>
      <c r="P111" s="130"/>
    </row>
    <row r="112" spans="1:16" x14ac:dyDescent="0.2">
      <c r="A112" s="49" t="str">
        <v>0:00</v>
      </c>
      <c r="B112" s="108"/>
      <c r="C112" s="130"/>
      <c r="D112" s="130"/>
      <c r="E112" s="130"/>
      <c r="F112" s="130"/>
      <c r="G112" s="130"/>
      <c r="H112" s="130"/>
      <c r="I112" s="130"/>
      <c r="J112" s="130"/>
      <c r="K112" s="130"/>
      <c r="L112" s="130"/>
      <c r="M112" s="130"/>
      <c r="N112" s="130"/>
      <c r="O112" s="130"/>
      <c r="P112" s="130"/>
    </row>
    <row r="113" spans="1:16" x14ac:dyDescent="0.2">
      <c r="A113" s="49" t="str">
        <v>0:00</v>
      </c>
      <c r="B113" s="108"/>
      <c r="C113" s="130"/>
      <c r="D113" s="130"/>
      <c r="E113" s="130"/>
      <c r="F113" s="130"/>
      <c r="G113" s="130"/>
      <c r="H113" s="130"/>
      <c r="I113" s="130"/>
      <c r="J113" s="130"/>
      <c r="K113" s="130"/>
      <c r="L113" s="130"/>
      <c r="M113" s="130"/>
      <c r="N113" s="130"/>
      <c r="O113" s="130"/>
      <c r="P113" s="130"/>
    </row>
    <row r="114" spans="1:16" x14ac:dyDescent="0.2">
      <c r="A114" s="49" t="str">
        <v>0:00</v>
      </c>
      <c r="B114" s="108"/>
      <c r="C114" s="130"/>
      <c r="D114" s="130"/>
      <c r="E114" s="130"/>
      <c r="F114" s="130"/>
      <c r="G114" s="130"/>
      <c r="H114" s="130"/>
      <c r="I114" s="130"/>
      <c r="J114" s="130"/>
      <c r="K114" s="130"/>
      <c r="L114" s="130"/>
      <c r="M114" s="130"/>
      <c r="N114" s="130"/>
      <c r="O114" s="130"/>
      <c r="P114" s="130"/>
    </row>
    <row r="115" spans="1:16" x14ac:dyDescent="0.2">
      <c r="A115" s="49" t="str">
        <v>0:00</v>
      </c>
      <c r="B115" s="108"/>
      <c r="C115" s="130"/>
      <c r="D115" s="130"/>
      <c r="E115" s="130"/>
      <c r="F115" s="130"/>
      <c r="G115" s="130"/>
      <c r="H115" s="130"/>
      <c r="I115" s="130"/>
      <c r="J115" s="130"/>
      <c r="K115" s="130"/>
      <c r="L115" s="130"/>
      <c r="M115" s="130"/>
      <c r="N115" s="130"/>
      <c r="O115" s="130"/>
      <c r="P115" s="130"/>
    </row>
    <row r="116" spans="1:16" x14ac:dyDescent="0.2">
      <c r="A116" s="49" t="str">
        <v>0:00</v>
      </c>
      <c r="B116" s="108"/>
      <c r="C116" s="130"/>
      <c r="D116" s="130"/>
      <c r="E116" s="130"/>
      <c r="F116" s="130"/>
      <c r="G116" s="130"/>
      <c r="H116" s="130"/>
      <c r="I116" s="130"/>
      <c r="J116" s="130"/>
      <c r="K116" s="130"/>
      <c r="L116" s="130"/>
      <c r="M116" s="130"/>
      <c r="N116" s="130"/>
      <c r="O116" s="130"/>
      <c r="P116" s="130"/>
    </row>
    <row r="117" spans="1:16" x14ac:dyDescent="0.2">
      <c r="A117" s="49" t="str">
        <v>0:00</v>
      </c>
      <c r="B117" s="108"/>
      <c r="C117" s="130"/>
      <c r="D117" s="130"/>
      <c r="E117" s="130"/>
      <c r="F117" s="130"/>
      <c r="G117" s="130"/>
      <c r="H117" s="130"/>
      <c r="I117" s="130"/>
      <c r="J117" s="130"/>
      <c r="K117" s="130"/>
      <c r="L117" s="130"/>
      <c r="M117" s="130"/>
      <c r="N117" s="130"/>
      <c r="O117" s="130"/>
      <c r="P117" s="130"/>
    </row>
    <row r="118" spans="1:16" x14ac:dyDescent="0.2">
      <c r="A118" s="49" t="str">
        <v>0:00</v>
      </c>
      <c r="B118" s="108"/>
      <c r="C118" s="130"/>
      <c r="D118" s="130"/>
      <c r="E118" s="130"/>
      <c r="F118" s="130"/>
      <c r="G118" s="130"/>
      <c r="H118" s="130"/>
      <c r="I118" s="130"/>
      <c r="J118" s="130"/>
      <c r="K118" s="130"/>
      <c r="L118" s="130"/>
      <c r="M118" s="130"/>
      <c r="N118" s="130"/>
      <c r="O118" s="130"/>
      <c r="P118" s="130"/>
    </row>
    <row r="119" spans="1:16" x14ac:dyDescent="0.2">
      <c r="A119" s="49" t="str">
        <v>0:00</v>
      </c>
      <c r="B119" s="108"/>
      <c r="C119" s="130"/>
      <c r="D119" s="130"/>
      <c r="E119" s="130"/>
      <c r="F119" s="130"/>
      <c r="G119" s="130"/>
      <c r="H119" s="130"/>
      <c r="I119" s="130"/>
      <c r="J119" s="130"/>
      <c r="K119" s="130"/>
      <c r="L119" s="130"/>
      <c r="M119" s="130"/>
      <c r="N119" s="130"/>
      <c r="O119" s="130"/>
      <c r="P119" s="130"/>
    </row>
    <row r="120" spans="1:16" x14ac:dyDescent="0.2">
      <c r="A120" s="49" t="str">
        <v>0:00</v>
      </c>
      <c r="B120" s="108"/>
      <c r="C120" s="130"/>
      <c r="D120" s="130"/>
      <c r="E120" s="130"/>
      <c r="F120" s="130"/>
      <c r="G120" s="130"/>
      <c r="H120" s="130"/>
      <c r="I120" s="130"/>
      <c r="J120" s="130"/>
      <c r="K120" s="130"/>
      <c r="L120" s="130"/>
      <c r="M120" s="130"/>
      <c r="N120" s="130"/>
      <c r="O120" s="130"/>
      <c r="P120" s="130"/>
    </row>
    <row r="121" spans="1:16" x14ac:dyDescent="0.2">
      <c r="A121" s="49" t="str">
        <v>0:00</v>
      </c>
      <c r="B121" s="108"/>
      <c r="C121" s="130"/>
      <c r="D121" s="130"/>
      <c r="E121" s="130"/>
      <c r="F121" s="130"/>
      <c r="G121" s="130"/>
      <c r="H121" s="130"/>
      <c r="I121" s="130"/>
      <c r="J121" s="130"/>
      <c r="K121" s="130"/>
      <c r="L121" s="130"/>
      <c r="M121" s="130"/>
      <c r="N121" s="130"/>
      <c r="O121" s="130"/>
      <c r="P121" s="130"/>
    </row>
    <row r="122" spans="1:16" x14ac:dyDescent="0.2">
      <c r="A122" s="49" t="str">
        <v>0:00</v>
      </c>
      <c r="B122" s="108"/>
      <c r="C122" s="130"/>
      <c r="D122" s="130"/>
      <c r="E122" s="130"/>
      <c r="F122" s="130"/>
      <c r="G122" s="130"/>
      <c r="H122" s="130"/>
      <c r="I122" s="130"/>
      <c r="J122" s="130"/>
      <c r="K122" s="130"/>
      <c r="L122" s="130"/>
      <c r="M122" s="130"/>
      <c r="N122" s="130"/>
      <c r="O122" s="130"/>
      <c r="P122" s="130"/>
    </row>
    <row r="123" spans="1:16" x14ac:dyDescent="0.2">
      <c r="A123" s="49" t="str">
        <v>0:00</v>
      </c>
      <c r="B123" s="108"/>
      <c r="C123" s="130"/>
      <c r="D123" s="130"/>
      <c r="E123" s="130"/>
      <c r="F123" s="130"/>
      <c r="G123" s="130"/>
      <c r="H123" s="130"/>
      <c r="I123" s="130"/>
      <c r="J123" s="130"/>
      <c r="K123" s="130"/>
      <c r="L123" s="130"/>
      <c r="M123" s="130"/>
      <c r="N123" s="130"/>
      <c r="O123" s="130"/>
      <c r="P123" s="130"/>
    </row>
    <row r="124" spans="1:16" x14ac:dyDescent="0.2">
      <c r="A124" s="49" t="str">
        <v>0:00</v>
      </c>
      <c r="B124" s="108"/>
      <c r="C124" s="130"/>
      <c r="D124" s="130"/>
      <c r="E124" s="130"/>
      <c r="F124" s="130"/>
      <c r="G124" s="130"/>
      <c r="H124" s="130"/>
      <c r="I124" s="130"/>
      <c r="J124" s="130"/>
      <c r="K124" s="130"/>
      <c r="L124" s="130"/>
      <c r="M124" s="130"/>
      <c r="N124" s="130"/>
      <c r="O124" s="130"/>
      <c r="P124" s="130"/>
    </row>
    <row r="125" spans="1:16" x14ac:dyDescent="0.2">
      <c r="A125" s="49" t="str">
        <v>0:00</v>
      </c>
      <c r="B125" s="108"/>
      <c r="C125" s="130"/>
      <c r="D125" s="130"/>
      <c r="E125" s="130"/>
      <c r="F125" s="130"/>
      <c r="G125" s="130"/>
      <c r="H125" s="130"/>
      <c r="I125" s="130"/>
      <c r="J125" s="130"/>
      <c r="K125" s="130"/>
      <c r="L125" s="130"/>
      <c r="M125" s="130"/>
      <c r="N125" s="130"/>
      <c r="O125" s="130"/>
      <c r="P125" s="130"/>
    </row>
    <row r="126" spans="1:16" x14ac:dyDescent="0.2">
      <c r="A126" s="49" t="str">
        <v>0:00</v>
      </c>
      <c r="B126" s="108"/>
      <c r="C126" s="130"/>
      <c r="D126" s="130"/>
      <c r="E126" s="130"/>
      <c r="F126" s="130"/>
      <c r="G126" s="130"/>
      <c r="H126" s="130"/>
      <c r="I126" s="130"/>
      <c r="J126" s="130"/>
      <c r="K126" s="130"/>
      <c r="L126" s="130"/>
      <c r="M126" s="130"/>
      <c r="N126" s="130"/>
      <c r="O126" s="130"/>
      <c r="P126" s="130"/>
    </row>
    <row r="127" spans="1:16" x14ac:dyDescent="0.2">
      <c r="A127" s="49" t="str">
        <v>0:00</v>
      </c>
      <c r="B127" s="108"/>
      <c r="C127" s="130"/>
      <c r="D127" s="130"/>
      <c r="E127" s="130"/>
      <c r="F127" s="130"/>
      <c r="G127" s="130"/>
      <c r="H127" s="130"/>
      <c r="I127" s="130"/>
      <c r="J127" s="130"/>
      <c r="K127" s="130"/>
      <c r="L127" s="130"/>
      <c r="M127" s="130"/>
      <c r="N127" s="130"/>
      <c r="O127" s="130"/>
      <c r="P127" s="130"/>
    </row>
    <row r="128" spans="1:16" x14ac:dyDescent="0.2">
      <c r="A128" s="49" t="str">
        <v>0:00</v>
      </c>
      <c r="B128" s="108"/>
      <c r="C128" s="130"/>
      <c r="D128" s="130"/>
      <c r="E128" s="130"/>
      <c r="F128" s="130"/>
      <c r="G128" s="130"/>
      <c r="H128" s="130"/>
      <c r="I128" s="130"/>
      <c r="J128" s="130"/>
      <c r="K128" s="130"/>
      <c r="L128" s="130"/>
      <c r="M128" s="130"/>
      <c r="N128" s="130"/>
      <c r="O128" s="130"/>
      <c r="P128" s="130"/>
    </row>
    <row r="129" spans="1:16" x14ac:dyDescent="0.2">
      <c r="A129" s="49" t="str">
        <v>0:00</v>
      </c>
      <c r="B129" s="108"/>
      <c r="C129" s="130"/>
      <c r="D129" s="130"/>
      <c r="E129" s="130"/>
      <c r="F129" s="130"/>
      <c r="G129" s="130"/>
      <c r="H129" s="130"/>
      <c r="I129" s="130"/>
      <c r="J129" s="130"/>
      <c r="K129" s="130"/>
      <c r="L129" s="130"/>
      <c r="M129" s="130"/>
      <c r="N129" s="130"/>
      <c r="O129" s="130"/>
      <c r="P129" s="130"/>
    </row>
    <row r="130" spans="1:16" x14ac:dyDescent="0.2">
      <c r="A130" s="49" t="str">
        <v>0:00</v>
      </c>
      <c r="B130" s="108"/>
      <c r="C130" s="130"/>
      <c r="D130" s="130"/>
      <c r="E130" s="130"/>
      <c r="F130" s="130"/>
      <c r="G130" s="130"/>
      <c r="H130" s="130"/>
      <c r="I130" s="130"/>
      <c r="J130" s="130"/>
      <c r="K130" s="130"/>
      <c r="L130" s="130"/>
      <c r="M130" s="130"/>
      <c r="N130" s="130"/>
      <c r="O130" s="130"/>
      <c r="P130" s="130"/>
    </row>
    <row r="131" spans="1:16" x14ac:dyDescent="0.2">
      <c r="A131" s="49" t="str">
        <v>0:00</v>
      </c>
      <c r="B131" s="108"/>
      <c r="C131" s="130"/>
      <c r="D131" s="130"/>
      <c r="E131" s="130"/>
      <c r="F131" s="130"/>
      <c r="G131" s="130"/>
      <c r="H131" s="130"/>
      <c r="I131" s="130"/>
      <c r="J131" s="130"/>
      <c r="K131" s="130"/>
      <c r="L131" s="130"/>
      <c r="M131" s="130"/>
      <c r="N131" s="130"/>
      <c r="O131" s="130"/>
      <c r="P131" s="130"/>
    </row>
    <row r="132" spans="1:16" x14ac:dyDescent="0.2">
      <c r="A132" s="49" t="str">
        <v>0:00</v>
      </c>
      <c r="B132" s="108"/>
      <c r="C132" s="130"/>
      <c r="D132" s="130"/>
      <c r="E132" s="130"/>
      <c r="F132" s="130"/>
      <c r="G132" s="130"/>
      <c r="H132" s="130"/>
      <c r="I132" s="130"/>
      <c r="J132" s="130"/>
      <c r="K132" s="130"/>
      <c r="L132" s="130"/>
      <c r="M132" s="130"/>
      <c r="N132" s="130"/>
      <c r="O132" s="130"/>
      <c r="P132" s="130"/>
    </row>
    <row r="133" spans="1:16" x14ac:dyDescent="0.2">
      <c r="A133" s="49" t="str">
        <v>0:00</v>
      </c>
      <c r="B133" s="108"/>
      <c r="C133" s="130"/>
      <c r="D133" s="130"/>
      <c r="E133" s="130"/>
      <c r="F133" s="130"/>
      <c r="G133" s="130"/>
      <c r="H133" s="130"/>
      <c r="I133" s="130"/>
      <c r="J133" s="130"/>
      <c r="K133" s="130"/>
      <c r="L133" s="130"/>
      <c r="M133" s="130"/>
      <c r="N133" s="130"/>
      <c r="O133" s="130"/>
      <c r="P133" s="130"/>
    </row>
    <row r="134" spans="1:16" x14ac:dyDescent="0.2">
      <c r="A134" s="49" t="str">
        <v>0:00</v>
      </c>
      <c r="B134" s="108"/>
      <c r="C134" s="130"/>
      <c r="D134" s="130"/>
      <c r="E134" s="130"/>
      <c r="F134" s="130"/>
      <c r="G134" s="130"/>
      <c r="H134" s="130"/>
      <c r="I134" s="130"/>
      <c r="J134" s="130"/>
      <c r="K134" s="130"/>
      <c r="L134" s="130"/>
      <c r="M134" s="130"/>
      <c r="N134" s="130"/>
      <c r="O134" s="130"/>
      <c r="P134" s="130"/>
    </row>
    <row r="135" spans="1:16" x14ac:dyDescent="0.2">
      <c r="A135" s="49" t="str">
        <v>0:00</v>
      </c>
      <c r="B135" s="108"/>
      <c r="C135" s="130"/>
      <c r="D135" s="130"/>
      <c r="E135" s="130"/>
      <c r="F135" s="130"/>
      <c r="G135" s="130"/>
      <c r="H135" s="130"/>
      <c r="I135" s="130"/>
      <c r="J135" s="130"/>
      <c r="K135" s="130"/>
      <c r="L135" s="130"/>
      <c r="M135" s="130"/>
      <c r="N135" s="130"/>
      <c r="O135" s="130"/>
      <c r="P135" s="130"/>
    </row>
    <row r="136" spans="1:16" x14ac:dyDescent="0.2">
      <c r="A136" s="49" t="str">
        <v>0:00</v>
      </c>
      <c r="B136" s="108"/>
      <c r="C136" s="130"/>
      <c r="D136" s="130"/>
      <c r="E136" s="130"/>
      <c r="F136" s="130"/>
      <c r="G136" s="130"/>
      <c r="H136" s="130"/>
      <c r="I136" s="130"/>
      <c r="J136" s="130"/>
      <c r="K136" s="130"/>
      <c r="L136" s="130"/>
      <c r="M136" s="130"/>
      <c r="N136" s="130"/>
      <c r="O136" s="130"/>
      <c r="P136" s="130"/>
    </row>
    <row r="137" spans="1:16" x14ac:dyDescent="0.2">
      <c r="A137" s="49" t="str">
        <v>0:00</v>
      </c>
      <c r="B137" s="108"/>
      <c r="C137" s="130"/>
      <c r="D137" s="130"/>
      <c r="E137" s="130"/>
      <c r="F137" s="130"/>
      <c r="G137" s="130"/>
      <c r="H137" s="130"/>
      <c r="I137" s="130"/>
      <c r="J137" s="130"/>
      <c r="K137" s="130"/>
      <c r="L137" s="130"/>
      <c r="M137" s="130"/>
      <c r="N137" s="130"/>
      <c r="O137" s="130"/>
      <c r="P137" s="130"/>
    </row>
    <row r="138" spans="1:16" x14ac:dyDescent="0.2">
      <c r="A138" s="49" t="str">
        <v>0:00</v>
      </c>
      <c r="B138" s="108"/>
      <c r="C138" s="130"/>
      <c r="D138" s="130"/>
      <c r="E138" s="130"/>
      <c r="F138" s="130"/>
      <c r="G138" s="130"/>
      <c r="H138" s="130"/>
      <c r="I138" s="130"/>
      <c r="J138" s="130"/>
      <c r="K138" s="130"/>
      <c r="L138" s="130"/>
      <c r="M138" s="130"/>
      <c r="N138" s="130"/>
      <c r="O138" s="130"/>
      <c r="P138" s="130"/>
    </row>
    <row r="139" spans="1:16" x14ac:dyDescent="0.2">
      <c r="A139" s="49" t="str">
        <v>0:00</v>
      </c>
      <c r="B139" s="108"/>
      <c r="C139" s="130"/>
      <c r="D139" s="130"/>
      <c r="E139" s="130"/>
      <c r="F139" s="130"/>
      <c r="G139" s="130"/>
      <c r="H139" s="130"/>
      <c r="I139" s="130"/>
      <c r="J139" s="130"/>
      <c r="K139" s="130"/>
      <c r="L139" s="130"/>
      <c r="M139" s="130"/>
      <c r="N139" s="130"/>
      <c r="O139" s="130"/>
      <c r="P139" s="130"/>
    </row>
    <row r="140" spans="1:16" x14ac:dyDescent="0.2">
      <c r="A140" s="49" t="str">
        <v>0:00</v>
      </c>
      <c r="B140" s="108"/>
      <c r="C140" s="130"/>
      <c r="D140" s="130"/>
      <c r="E140" s="130"/>
      <c r="F140" s="130"/>
      <c r="G140" s="130"/>
      <c r="H140" s="130"/>
      <c r="I140" s="130"/>
      <c r="J140" s="130"/>
      <c r="K140" s="130"/>
      <c r="L140" s="130"/>
      <c r="M140" s="130"/>
      <c r="N140" s="130"/>
      <c r="O140" s="130"/>
      <c r="P140" s="130"/>
    </row>
    <row r="141" spans="1:16" x14ac:dyDescent="0.2">
      <c r="A141" s="49" t="str">
        <v>0:00</v>
      </c>
      <c r="B141" s="108"/>
      <c r="C141" s="130"/>
      <c r="D141" s="130"/>
      <c r="E141" s="130"/>
      <c r="F141" s="130"/>
      <c r="G141" s="130"/>
      <c r="H141" s="130"/>
      <c r="I141" s="130"/>
      <c r="J141" s="130"/>
      <c r="K141" s="130"/>
      <c r="L141" s="130"/>
      <c r="M141" s="130"/>
      <c r="N141" s="130"/>
      <c r="O141" s="130"/>
      <c r="P141" s="130"/>
    </row>
    <row r="142" spans="1:16" x14ac:dyDescent="0.2">
      <c r="A142" s="49" t="str">
        <v>0:00</v>
      </c>
      <c r="B142" s="108"/>
      <c r="C142" s="130"/>
      <c r="D142" s="130"/>
      <c r="E142" s="130"/>
      <c r="F142" s="130"/>
      <c r="G142" s="130"/>
      <c r="H142" s="130"/>
      <c r="I142" s="130"/>
      <c r="J142" s="130"/>
      <c r="K142" s="130"/>
      <c r="L142" s="130"/>
      <c r="M142" s="130"/>
      <c r="N142" s="130"/>
      <c r="O142" s="130"/>
      <c r="P142" s="130"/>
    </row>
    <row r="143" spans="1:16" x14ac:dyDescent="0.2">
      <c r="A143" s="49" t="str">
        <v>0:00</v>
      </c>
      <c r="B143" s="108"/>
      <c r="C143" s="130"/>
      <c r="D143" s="130"/>
      <c r="E143" s="130"/>
      <c r="F143" s="130"/>
      <c r="G143" s="130"/>
      <c r="H143" s="130"/>
      <c r="I143" s="130"/>
      <c r="J143" s="130"/>
      <c r="K143" s="130"/>
      <c r="L143" s="130"/>
      <c r="M143" s="130"/>
      <c r="N143" s="130"/>
      <c r="O143" s="130"/>
      <c r="P143" s="130"/>
    </row>
    <row r="144" spans="1:16" x14ac:dyDescent="0.2">
      <c r="A144" s="49" t="str">
        <v>0:00</v>
      </c>
      <c r="B144" s="108"/>
      <c r="C144" s="130"/>
      <c r="D144" s="130"/>
      <c r="E144" s="130"/>
      <c r="F144" s="130"/>
      <c r="G144" s="130"/>
      <c r="H144" s="130"/>
      <c r="I144" s="130"/>
      <c r="J144" s="130"/>
      <c r="K144" s="130"/>
      <c r="L144" s="130"/>
      <c r="M144" s="130"/>
      <c r="N144" s="130"/>
      <c r="O144" s="130"/>
      <c r="P144" s="130"/>
    </row>
    <row r="145" spans="1:16" x14ac:dyDescent="0.2">
      <c r="A145" s="49" t="str">
        <v>0:00</v>
      </c>
      <c r="B145" s="108"/>
      <c r="C145" s="130"/>
      <c r="D145" s="130"/>
      <c r="E145" s="130"/>
      <c r="F145" s="130"/>
      <c r="G145" s="130"/>
      <c r="H145" s="130"/>
      <c r="I145" s="130"/>
      <c r="J145" s="130"/>
      <c r="K145" s="130"/>
      <c r="L145" s="130"/>
      <c r="M145" s="130"/>
      <c r="N145" s="130"/>
      <c r="O145" s="130"/>
      <c r="P145" s="130"/>
    </row>
    <row r="146" spans="1:16" x14ac:dyDescent="0.2">
      <c r="A146" s="49" t="str">
        <v>0:00</v>
      </c>
      <c r="B146" s="108"/>
      <c r="C146" s="130"/>
      <c r="D146" s="130"/>
      <c r="E146" s="130"/>
      <c r="F146" s="130"/>
      <c r="G146" s="130"/>
      <c r="H146" s="130"/>
      <c r="I146" s="130"/>
      <c r="J146" s="130"/>
      <c r="K146" s="130"/>
      <c r="L146" s="130"/>
      <c r="M146" s="130"/>
      <c r="N146" s="130"/>
      <c r="O146" s="130"/>
      <c r="P146" s="130"/>
    </row>
    <row r="147" spans="1:16" x14ac:dyDescent="0.2">
      <c r="A147" s="49" t="str">
        <v>0:00</v>
      </c>
      <c r="B147" s="108"/>
      <c r="C147" s="130"/>
      <c r="D147" s="130"/>
      <c r="E147" s="130"/>
      <c r="F147" s="130"/>
      <c r="G147" s="130"/>
      <c r="H147" s="130"/>
      <c r="I147" s="130"/>
      <c r="J147" s="130"/>
      <c r="K147" s="130"/>
      <c r="L147" s="130"/>
      <c r="M147" s="130"/>
      <c r="N147" s="130"/>
      <c r="O147" s="130"/>
      <c r="P147" s="130"/>
    </row>
    <row r="148" spans="1:16" x14ac:dyDescent="0.2">
      <c r="A148" s="49" t="str">
        <v>0:00</v>
      </c>
      <c r="B148" s="108"/>
      <c r="C148" s="130"/>
      <c r="D148" s="130"/>
      <c r="E148" s="130"/>
      <c r="F148" s="130"/>
      <c r="G148" s="130"/>
      <c r="H148" s="130"/>
      <c r="I148" s="130"/>
      <c r="J148" s="130"/>
      <c r="K148" s="130"/>
      <c r="L148" s="130"/>
      <c r="M148" s="130"/>
      <c r="N148" s="130"/>
      <c r="O148" s="130"/>
      <c r="P148" s="130"/>
    </row>
    <row r="149" spans="1:16" x14ac:dyDescent="0.2">
      <c r="A149" s="49" t="str">
        <v>0:00</v>
      </c>
      <c r="B149" s="108"/>
      <c r="C149" s="130"/>
      <c r="D149" s="130"/>
      <c r="E149" s="130"/>
      <c r="F149" s="130"/>
      <c r="G149" s="130"/>
      <c r="H149" s="130"/>
      <c r="I149" s="130"/>
      <c r="J149" s="130"/>
      <c r="K149" s="130"/>
      <c r="L149" s="130"/>
      <c r="M149" s="130"/>
      <c r="N149" s="130"/>
      <c r="O149" s="130"/>
      <c r="P149" s="130"/>
    </row>
    <row r="150" spans="1:16" x14ac:dyDescent="0.2">
      <c r="A150" s="49" t="str">
        <v>0:00</v>
      </c>
      <c r="B150" s="108"/>
      <c r="C150" s="130"/>
      <c r="D150" s="130"/>
      <c r="E150" s="130"/>
      <c r="F150" s="130"/>
      <c r="G150" s="130"/>
      <c r="H150" s="130"/>
      <c r="I150" s="130"/>
      <c r="J150" s="130"/>
      <c r="K150" s="130"/>
      <c r="L150" s="130"/>
      <c r="M150" s="130"/>
      <c r="N150" s="130"/>
      <c r="O150" s="130"/>
      <c r="P150" s="130"/>
    </row>
    <row r="151" spans="1:16" x14ac:dyDescent="0.2">
      <c r="A151" s="49" t="str">
        <v>0:00</v>
      </c>
      <c r="B151" s="108"/>
      <c r="C151" s="130"/>
      <c r="D151" s="130"/>
      <c r="E151" s="130"/>
      <c r="F151" s="130"/>
      <c r="G151" s="130"/>
      <c r="H151" s="130"/>
      <c r="I151" s="130"/>
      <c r="J151" s="130"/>
      <c r="K151" s="130"/>
      <c r="L151" s="130"/>
      <c r="M151" s="130"/>
      <c r="N151" s="130"/>
      <c r="O151" s="130"/>
      <c r="P151" s="130"/>
    </row>
    <row r="152" spans="1:16" x14ac:dyDescent="0.2">
      <c r="A152" s="49" t="str">
        <v>0:00</v>
      </c>
      <c r="B152" s="108"/>
      <c r="C152" s="130"/>
      <c r="D152" s="130"/>
      <c r="E152" s="130"/>
      <c r="F152" s="130"/>
      <c r="G152" s="130"/>
      <c r="H152" s="130"/>
      <c r="I152" s="130"/>
      <c r="J152" s="130"/>
      <c r="K152" s="130"/>
      <c r="L152" s="130"/>
      <c r="M152" s="130"/>
      <c r="N152" s="130"/>
      <c r="O152" s="130"/>
      <c r="P152" s="130"/>
    </row>
    <row r="153" spans="1:16" x14ac:dyDescent="0.2">
      <c r="A153" s="49" t="str">
        <v>0:00</v>
      </c>
      <c r="B153" s="108"/>
      <c r="C153" s="130"/>
      <c r="D153" s="130"/>
      <c r="E153" s="130"/>
      <c r="F153" s="130"/>
      <c r="G153" s="130"/>
      <c r="H153" s="130"/>
      <c r="I153" s="130"/>
      <c r="J153" s="130"/>
      <c r="K153" s="130"/>
      <c r="L153" s="130"/>
      <c r="M153" s="130"/>
      <c r="N153" s="130"/>
      <c r="O153" s="130"/>
      <c r="P153" s="130"/>
    </row>
    <row r="154" spans="1:16" x14ac:dyDescent="0.2">
      <c r="A154" s="49" t="str">
        <v>0:00</v>
      </c>
      <c r="B154" s="108"/>
      <c r="C154" s="130"/>
      <c r="D154" s="130"/>
      <c r="E154" s="130"/>
      <c r="F154" s="130"/>
      <c r="G154" s="130"/>
      <c r="H154" s="130"/>
      <c r="I154" s="130"/>
      <c r="J154" s="130"/>
      <c r="K154" s="130"/>
      <c r="L154" s="130"/>
      <c r="M154" s="130"/>
      <c r="N154" s="130"/>
      <c r="O154" s="130"/>
      <c r="P154" s="130"/>
    </row>
    <row r="155" spans="1:16" x14ac:dyDescent="0.2">
      <c r="A155" s="49" t="str">
        <v>0:00</v>
      </c>
      <c r="B155" s="108"/>
      <c r="C155" s="130"/>
      <c r="D155" s="130"/>
      <c r="E155" s="130"/>
      <c r="F155" s="130"/>
      <c r="G155" s="130"/>
      <c r="H155" s="130"/>
      <c r="I155" s="130"/>
      <c r="J155" s="130"/>
      <c r="K155" s="130"/>
      <c r="L155" s="130"/>
      <c r="M155" s="130"/>
      <c r="N155" s="130"/>
      <c r="O155" s="130"/>
      <c r="P155" s="130"/>
    </row>
    <row r="156" spans="1:16" x14ac:dyDescent="0.2">
      <c r="A156" s="49" t="str">
        <v>0:00</v>
      </c>
      <c r="B156" s="108"/>
      <c r="C156" s="130"/>
      <c r="D156" s="130"/>
      <c r="E156" s="130"/>
      <c r="F156" s="130"/>
      <c r="G156" s="130"/>
      <c r="H156" s="130"/>
      <c r="I156" s="130"/>
      <c r="J156" s="130"/>
      <c r="K156" s="130"/>
      <c r="L156" s="130"/>
      <c r="M156" s="130"/>
      <c r="N156" s="130"/>
      <c r="O156" s="130"/>
      <c r="P156" s="130"/>
    </row>
    <row r="157" spans="1:16" x14ac:dyDescent="0.2">
      <c r="A157" s="49" t="str">
        <v>0:00</v>
      </c>
      <c r="B157" s="108"/>
      <c r="C157" s="130"/>
      <c r="D157" s="130"/>
      <c r="E157" s="130"/>
      <c r="F157" s="130"/>
      <c r="G157" s="130"/>
      <c r="H157" s="130"/>
      <c r="I157" s="130"/>
      <c r="J157" s="130"/>
      <c r="K157" s="130"/>
      <c r="L157" s="130"/>
      <c r="M157" s="130"/>
      <c r="N157" s="130"/>
      <c r="O157" s="130"/>
      <c r="P157" s="130"/>
    </row>
    <row r="158" spans="1:16" x14ac:dyDescent="0.2">
      <c r="A158" s="49" t="str">
        <v>0:00</v>
      </c>
      <c r="B158" s="108"/>
      <c r="C158" s="130"/>
      <c r="D158" s="130"/>
      <c r="E158" s="130"/>
      <c r="F158" s="130"/>
      <c r="G158" s="130"/>
      <c r="H158" s="130"/>
      <c r="I158" s="130"/>
      <c r="J158" s="130"/>
      <c r="K158" s="130"/>
      <c r="L158" s="130"/>
      <c r="M158" s="130"/>
      <c r="N158" s="130"/>
      <c r="O158" s="130"/>
      <c r="P158" s="130"/>
    </row>
    <row r="159" spans="1:16" x14ac:dyDescent="0.2">
      <c r="A159" s="49" t="str">
        <v>0:00</v>
      </c>
      <c r="B159" s="108"/>
      <c r="C159" s="130"/>
      <c r="D159" s="130"/>
      <c r="E159" s="130"/>
      <c r="F159" s="130"/>
      <c r="G159" s="130"/>
      <c r="H159" s="130"/>
      <c r="I159" s="130"/>
      <c r="J159" s="130"/>
      <c r="K159" s="130"/>
      <c r="L159" s="130"/>
      <c r="M159" s="130"/>
      <c r="N159" s="130"/>
      <c r="O159" s="130"/>
      <c r="P159" s="130"/>
    </row>
    <row r="160" spans="1:16" x14ac:dyDescent="0.2">
      <c r="A160" s="49" t="str">
        <v>0:00</v>
      </c>
      <c r="B160" s="108"/>
      <c r="C160" s="130"/>
      <c r="D160" s="130"/>
      <c r="E160" s="130"/>
      <c r="F160" s="130"/>
      <c r="G160" s="130"/>
      <c r="H160" s="130"/>
      <c r="I160" s="130"/>
      <c r="J160" s="130"/>
      <c r="K160" s="130"/>
      <c r="L160" s="130"/>
      <c r="M160" s="130"/>
      <c r="N160" s="130"/>
      <c r="O160" s="130"/>
      <c r="P160" s="130"/>
    </row>
    <row r="161" spans="1:16" x14ac:dyDescent="0.2">
      <c r="A161" s="49" t="str">
        <v>0:00</v>
      </c>
      <c r="B161" s="108"/>
      <c r="C161" s="130"/>
      <c r="D161" s="130"/>
      <c r="E161" s="130"/>
      <c r="F161" s="130"/>
      <c r="G161" s="130"/>
      <c r="H161" s="130"/>
      <c r="I161" s="130"/>
      <c r="J161" s="130"/>
      <c r="K161" s="130"/>
      <c r="L161" s="130"/>
      <c r="M161" s="130"/>
      <c r="N161" s="130"/>
      <c r="O161" s="130"/>
      <c r="P161" s="130"/>
    </row>
    <row r="162" spans="1:16" x14ac:dyDescent="0.2">
      <c r="A162" s="49" t="str">
        <v>0:00</v>
      </c>
      <c r="B162" s="108"/>
      <c r="C162" s="130"/>
      <c r="D162" s="130"/>
      <c r="E162" s="130"/>
      <c r="F162" s="130"/>
      <c r="G162" s="130"/>
      <c r="H162" s="130"/>
      <c r="I162" s="130"/>
      <c r="J162" s="130"/>
      <c r="K162" s="130"/>
      <c r="L162" s="130"/>
      <c r="M162" s="130"/>
      <c r="N162" s="130"/>
      <c r="O162" s="130"/>
      <c r="P162" s="130"/>
    </row>
    <row r="163" spans="1:16" x14ac:dyDescent="0.2">
      <c r="A163" s="49" t="str">
        <v>0:00</v>
      </c>
      <c r="B163" s="108"/>
      <c r="C163" s="130"/>
      <c r="D163" s="130"/>
      <c r="E163" s="130"/>
      <c r="F163" s="130"/>
      <c r="G163" s="130"/>
      <c r="H163" s="130"/>
      <c r="I163" s="130"/>
      <c r="J163" s="130"/>
      <c r="K163" s="130"/>
      <c r="L163" s="130"/>
      <c r="M163" s="130"/>
      <c r="N163" s="130"/>
      <c r="O163" s="130"/>
      <c r="P163" s="130"/>
    </row>
    <row r="164" spans="1:16" x14ac:dyDescent="0.2">
      <c r="A164" s="49" t="str">
        <v>0:00</v>
      </c>
      <c r="B164" s="108"/>
      <c r="C164" s="130"/>
      <c r="D164" s="130"/>
      <c r="E164" s="130"/>
      <c r="F164" s="130"/>
      <c r="G164" s="130"/>
      <c r="H164" s="130"/>
      <c r="I164" s="130"/>
      <c r="J164" s="130"/>
      <c r="K164" s="130"/>
      <c r="L164" s="130"/>
      <c r="M164" s="130"/>
      <c r="N164" s="130"/>
      <c r="O164" s="130"/>
      <c r="P164" s="130"/>
    </row>
    <row r="165" spans="1:16" x14ac:dyDescent="0.2">
      <c r="A165" s="49" t="str">
        <v>0:00</v>
      </c>
      <c r="B165" s="108"/>
      <c r="C165" s="130"/>
      <c r="D165" s="130"/>
      <c r="E165" s="130"/>
      <c r="F165" s="130"/>
      <c r="G165" s="130"/>
      <c r="H165" s="130"/>
      <c r="I165" s="130"/>
      <c r="J165" s="130"/>
      <c r="K165" s="130"/>
      <c r="L165" s="130"/>
      <c r="M165" s="130"/>
      <c r="N165" s="130"/>
      <c r="O165" s="130"/>
      <c r="P165" s="130"/>
    </row>
    <row r="166" spans="1:16" x14ac:dyDescent="0.2">
      <c r="A166" s="49" t="str">
        <v>0:00</v>
      </c>
      <c r="B166" s="108"/>
      <c r="C166" s="130"/>
      <c r="D166" s="130"/>
      <c r="E166" s="130"/>
      <c r="F166" s="130"/>
      <c r="G166" s="130"/>
      <c r="H166" s="130"/>
      <c r="I166" s="130"/>
      <c r="J166" s="130"/>
      <c r="K166" s="130"/>
      <c r="L166" s="130"/>
      <c r="M166" s="130"/>
      <c r="N166" s="130"/>
      <c r="O166" s="130"/>
      <c r="P166" s="130"/>
    </row>
    <row r="167" spans="1:16" x14ac:dyDescent="0.2">
      <c r="A167" s="49" t="str">
        <v>0:00</v>
      </c>
      <c r="B167" s="108"/>
      <c r="C167" s="130"/>
      <c r="D167" s="130"/>
      <c r="E167" s="130"/>
      <c r="F167" s="130"/>
      <c r="G167" s="130"/>
      <c r="H167" s="130"/>
      <c r="I167" s="130"/>
      <c r="J167" s="130"/>
      <c r="K167" s="130"/>
      <c r="L167" s="130"/>
      <c r="M167" s="130"/>
      <c r="N167" s="130"/>
      <c r="O167" s="130"/>
      <c r="P167" s="130"/>
    </row>
    <row r="168" spans="1:16" x14ac:dyDescent="0.2">
      <c r="A168" s="49" t="str">
        <v>0:00</v>
      </c>
      <c r="B168" s="108"/>
      <c r="C168" s="130"/>
      <c r="D168" s="130"/>
      <c r="E168" s="130"/>
      <c r="F168" s="130"/>
      <c r="G168" s="130"/>
      <c r="H168" s="130"/>
      <c r="I168" s="130"/>
      <c r="J168" s="130"/>
      <c r="K168" s="130"/>
      <c r="L168" s="130"/>
      <c r="M168" s="130"/>
      <c r="N168" s="130"/>
      <c r="O168" s="130"/>
      <c r="P168" s="130"/>
    </row>
    <row r="169" spans="1:16" x14ac:dyDescent="0.2">
      <c r="A169" s="49" t="str">
        <v>0:00</v>
      </c>
      <c r="B169" s="108"/>
      <c r="C169" s="130"/>
      <c r="D169" s="130"/>
      <c r="E169" s="130"/>
      <c r="F169" s="130"/>
      <c r="G169" s="130"/>
      <c r="H169" s="130"/>
      <c r="I169" s="130"/>
      <c r="J169" s="130"/>
      <c r="K169" s="130"/>
      <c r="L169" s="130"/>
      <c r="M169" s="130"/>
      <c r="N169" s="130"/>
      <c r="O169" s="130"/>
      <c r="P169" s="130"/>
    </row>
    <row r="170" spans="1:16" x14ac:dyDescent="0.2">
      <c r="A170" s="49" t="str">
        <v>0:00</v>
      </c>
      <c r="B170" s="108"/>
      <c r="C170" s="130"/>
      <c r="D170" s="130"/>
      <c r="E170" s="130"/>
      <c r="F170" s="130"/>
      <c r="G170" s="130"/>
      <c r="H170" s="130"/>
      <c r="I170" s="130"/>
      <c r="J170" s="130"/>
      <c r="K170" s="130"/>
      <c r="L170" s="130"/>
      <c r="M170" s="130"/>
      <c r="N170" s="130"/>
      <c r="O170" s="130"/>
      <c r="P170" s="130"/>
    </row>
    <row r="171" spans="1:16" x14ac:dyDescent="0.2">
      <c r="A171" s="49" t="str">
        <v>0:00</v>
      </c>
      <c r="B171" s="108"/>
      <c r="C171" s="130"/>
      <c r="D171" s="130"/>
      <c r="E171" s="130"/>
      <c r="F171" s="130"/>
      <c r="G171" s="130"/>
      <c r="H171" s="130"/>
      <c r="I171" s="130"/>
      <c r="J171" s="130"/>
      <c r="K171" s="130"/>
      <c r="L171" s="130"/>
      <c r="M171" s="130"/>
      <c r="N171" s="130"/>
      <c r="O171" s="130"/>
      <c r="P171" s="130"/>
    </row>
    <row r="172" spans="1:16" x14ac:dyDescent="0.2">
      <c r="A172" s="49" t="str">
        <v>0:00</v>
      </c>
      <c r="B172" s="108"/>
      <c r="C172" s="130"/>
      <c r="D172" s="130"/>
      <c r="E172" s="130"/>
      <c r="F172" s="130"/>
      <c r="G172" s="130"/>
      <c r="H172" s="130"/>
      <c r="I172" s="130"/>
      <c r="J172" s="130"/>
      <c r="K172" s="130"/>
      <c r="L172" s="130"/>
      <c r="M172" s="130"/>
      <c r="N172" s="130"/>
      <c r="O172" s="130"/>
      <c r="P172" s="130"/>
    </row>
    <row r="173" spans="1:16" x14ac:dyDescent="0.2">
      <c r="A173" s="49" t="str">
        <v>0:00</v>
      </c>
      <c r="B173" s="108"/>
      <c r="C173" s="130"/>
      <c r="D173" s="130"/>
      <c r="E173" s="130"/>
      <c r="F173" s="130"/>
      <c r="G173" s="130"/>
      <c r="H173" s="130"/>
      <c r="I173" s="130"/>
      <c r="J173" s="130"/>
      <c r="K173" s="130"/>
      <c r="L173" s="130"/>
      <c r="M173" s="130"/>
      <c r="N173" s="130"/>
      <c r="O173" s="130"/>
      <c r="P173" s="130"/>
    </row>
    <row r="174" spans="1:16" x14ac:dyDescent="0.2">
      <c r="A174" s="49" t="str">
        <v>0:00</v>
      </c>
      <c r="B174" s="108"/>
      <c r="C174" s="130"/>
      <c r="D174" s="130"/>
      <c r="E174" s="130"/>
      <c r="F174" s="130"/>
      <c r="G174" s="130"/>
      <c r="H174" s="130"/>
      <c r="I174" s="130"/>
      <c r="J174" s="130"/>
      <c r="K174" s="130"/>
      <c r="L174" s="130"/>
      <c r="M174" s="130"/>
      <c r="N174" s="130"/>
      <c r="O174" s="130"/>
      <c r="P174" s="130"/>
    </row>
    <row r="175" spans="1:16" x14ac:dyDescent="0.2">
      <c r="A175" s="49" t="str">
        <v>0:00</v>
      </c>
      <c r="B175" s="108"/>
      <c r="C175" s="130"/>
      <c r="D175" s="130"/>
      <c r="E175" s="130"/>
      <c r="F175" s="130"/>
      <c r="G175" s="130"/>
      <c r="H175" s="130"/>
      <c r="I175" s="130"/>
      <c r="J175" s="130"/>
      <c r="K175" s="130"/>
      <c r="L175" s="130"/>
      <c r="M175" s="130"/>
      <c r="N175" s="130"/>
      <c r="O175" s="130"/>
      <c r="P175" s="130"/>
    </row>
    <row r="176" spans="1:16" x14ac:dyDescent="0.2">
      <c r="A176" s="49" t="str">
        <v>0:00</v>
      </c>
      <c r="B176" s="108"/>
      <c r="C176" s="130"/>
      <c r="D176" s="130"/>
      <c r="E176" s="130"/>
      <c r="F176" s="130"/>
      <c r="G176" s="130"/>
      <c r="H176" s="130"/>
      <c r="I176" s="130"/>
      <c r="J176" s="130"/>
      <c r="K176" s="130"/>
      <c r="L176" s="130"/>
      <c r="M176" s="130"/>
      <c r="N176" s="130"/>
      <c r="O176" s="130"/>
      <c r="P176" s="130"/>
    </row>
    <row r="177" spans="1:16" x14ac:dyDescent="0.2">
      <c r="A177" s="49" t="str">
        <v>0:00</v>
      </c>
      <c r="B177" s="108"/>
      <c r="C177" s="130"/>
      <c r="D177" s="130"/>
      <c r="E177" s="130"/>
      <c r="F177" s="130"/>
      <c r="G177" s="130"/>
      <c r="H177" s="130"/>
      <c r="I177" s="130"/>
      <c r="J177" s="130"/>
      <c r="K177" s="130"/>
      <c r="L177" s="130"/>
      <c r="M177" s="130"/>
      <c r="N177" s="130"/>
      <c r="O177" s="130"/>
      <c r="P177" s="130"/>
    </row>
    <row r="178" spans="1:16" x14ac:dyDescent="0.2">
      <c r="A178" s="49" t="str">
        <v>0:00</v>
      </c>
      <c r="B178" s="108"/>
      <c r="C178" s="130"/>
      <c r="D178" s="130"/>
      <c r="E178" s="130"/>
      <c r="F178" s="130"/>
      <c r="G178" s="130"/>
      <c r="H178" s="130"/>
      <c r="I178" s="130"/>
      <c r="J178" s="130"/>
      <c r="K178" s="130"/>
      <c r="L178" s="130"/>
      <c r="M178" s="130"/>
      <c r="N178" s="130"/>
      <c r="O178" s="130"/>
      <c r="P178" s="130"/>
    </row>
    <row r="179" spans="1:16" x14ac:dyDescent="0.2">
      <c r="A179" s="49" t="str">
        <v>0:00</v>
      </c>
      <c r="B179" s="108"/>
      <c r="C179" s="130"/>
      <c r="D179" s="130"/>
      <c r="E179" s="130"/>
      <c r="F179" s="130"/>
      <c r="G179" s="130"/>
      <c r="H179" s="130"/>
      <c r="I179" s="130"/>
      <c r="J179" s="130"/>
      <c r="K179" s="130"/>
      <c r="L179" s="130"/>
      <c r="M179" s="130"/>
      <c r="N179" s="130"/>
      <c r="O179" s="130"/>
      <c r="P179" s="130"/>
    </row>
    <row r="180" spans="1:16" x14ac:dyDescent="0.2">
      <c r="A180" s="49" t="str">
        <v>0:00</v>
      </c>
      <c r="B180" s="108"/>
      <c r="C180" s="130"/>
      <c r="D180" s="130"/>
      <c r="E180" s="130"/>
      <c r="F180" s="130"/>
      <c r="G180" s="130"/>
      <c r="H180" s="130"/>
      <c r="I180" s="130"/>
      <c r="J180" s="130"/>
      <c r="K180" s="130"/>
      <c r="L180" s="130"/>
      <c r="M180" s="130"/>
      <c r="N180" s="130"/>
      <c r="O180" s="130"/>
      <c r="P180" s="130"/>
    </row>
    <row r="181" spans="1:16" x14ac:dyDescent="0.2">
      <c r="A181" s="49" t="str">
        <v>0:00</v>
      </c>
      <c r="B181" s="108"/>
      <c r="C181" s="130"/>
      <c r="D181" s="130"/>
      <c r="E181" s="130"/>
      <c r="F181" s="130"/>
      <c r="G181" s="130"/>
      <c r="H181" s="130"/>
      <c r="I181" s="130"/>
      <c r="J181" s="130"/>
      <c r="K181" s="130"/>
      <c r="L181" s="130"/>
      <c r="M181" s="130"/>
      <c r="N181" s="130"/>
      <c r="O181" s="130"/>
      <c r="P181" s="130"/>
    </row>
    <row r="182" spans="1:16" x14ac:dyDescent="0.2">
      <c r="A182" s="49" t="str">
        <v>0:00</v>
      </c>
      <c r="B182" s="108"/>
      <c r="C182" s="130"/>
      <c r="D182" s="130"/>
      <c r="E182" s="130"/>
      <c r="F182" s="130"/>
      <c r="G182" s="130"/>
      <c r="H182" s="130"/>
      <c r="I182" s="130"/>
      <c r="J182" s="130"/>
      <c r="K182" s="130"/>
      <c r="L182" s="130"/>
      <c r="M182" s="130"/>
      <c r="N182" s="130"/>
      <c r="O182" s="130"/>
      <c r="P182" s="130"/>
    </row>
    <row r="183" spans="1:16" x14ac:dyDescent="0.2">
      <c r="A183" s="49" t="str">
        <v>0:00</v>
      </c>
      <c r="B183" s="108"/>
      <c r="C183" s="130"/>
      <c r="D183" s="130"/>
      <c r="E183" s="130"/>
      <c r="F183" s="130"/>
      <c r="G183" s="130"/>
      <c r="H183" s="130"/>
      <c r="I183" s="130"/>
      <c r="J183" s="130"/>
      <c r="K183" s="130"/>
      <c r="L183" s="130"/>
      <c r="M183" s="130"/>
      <c r="N183" s="130"/>
      <c r="O183" s="130"/>
      <c r="P183" s="130"/>
    </row>
    <row r="184" spans="1:16" x14ac:dyDescent="0.2">
      <c r="A184" s="49" t="str">
        <v>0:00</v>
      </c>
      <c r="B184" s="108"/>
      <c r="C184" s="130"/>
      <c r="D184" s="130"/>
      <c r="E184" s="130"/>
      <c r="F184" s="130"/>
      <c r="G184" s="130"/>
      <c r="H184" s="130"/>
      <c r="I184" s="130"/>
      <c r="J184" s="130"/>
      <c r="K184" s="130"/>
      <c r="L184" s="130"/>
      <c r="M184" s="130"/>
      <c r="N184" s="130"/>
      <c r="O184" s="130"/>
      <c r="P184" s="130"/>
    </row>
    <row r="185" spans="1:16" x14ac:dyDescent="0.2">
      <c r="A185" s="49" t="str">
        <v>0:00</v>
      </c>
      <c r="B185" s="108"/>
      <c r="C185" s="130"/>
      <c r="D185" s="130"/>
      <c r="E185" s="130"/>
      <c r="F185" s="130"/>
      <c r="G185" s="130"/>
      <c r="H185" s="130"/>
      <c r="I185" s="130"/>
      <c r="J185" s="130"/>
      <c r="K185" s="130"/>
      <c r="L185" s="130"/>
      <c r="M185" s="130"/>
      <c r="N185" s="130"/>
      <c r="O185" s="130"/>
      <c r="P185" s="130"/>
    </row>
    <row r="186" spans="1:16" x14ac:dyDescent="0.2">
      <c r="A186" s="49" t="str">
        <v>0:00</v>
      </c>
      <c r="B186" s="108"/>
      <c r="C186" s="130"/>
      <c r="D186" s="130"/>
      <c r="E186" s="130"/>
      <c r="F186" s="130"/>
      <c r="G186" s="130"/>
      <c r="H186" s="130"/>
      <c r="I186" s="130"/>
      <c r="J186" s="130"/>
      <c r="K186" s="130"/>
      <c r="L186" s="130"/>
      <c r="M186" s="130"/>
      <c r="N186" s="130"/>
      <c r="O186" s="130"/>
      <c r="P186" s="130"/>
    </row>
    <row r="187" spans="1:16" x14ac:dyDescent="0.2">
      <c r="A187" s="49" t="str">
        <v>0:00</v>
      </c>
      <c r="B187" s="108"/>
      <c r="C187" s="130"/>
      <c r="D187" s="130"/>
      <c r="E187" s="130"/>
      <c r="F187" s="130"/>
      <c r="G187" s="130"/>
      <c r="H187" s="130"/>
      <c r="I187" s="130"/>
      <c r="J187" s="130"/>
      <c r="K187" s="130"/>
      <c r="L187" s="130"/>
      <c r="M187" s="130"/>
      <c r="N187" s="130"/>
      <c r="O187" s="130"/>
      <c r="P187" s="130"/>
    </row>
    <row r="188" spans="1:16" x14ac:dyDescent="0.2">
      <c r="A188" s="49" t="str">
        <v>0:00</v>
      </c>
      <c r="B188" s="108"/>
      <c r="C188" s="130"/>
      <c r="D188" s="130"/>
      <c r="E188" s="130"/>
      <c r="F188" s="130"/>
      <c r="G188" s="130"/>
      <c r="H188" s="130"/>
      <c r="I188" s="130"/>
      <c r="J188" s="130"/>
      <c r="K188" s="130"/>
      <c r="L188" s="130"/>
      <c r="M188" s="130"/>
      <c r="N188" s="130"/>
      <c r="O188" s="130"/>
      <c r="P188" s="130"/>
    </row>
    <row r="189" spans="1:16" x14ac:dyDescent="0.2">
      <c r="A189" s="49" t="str">
        <v>0:00</v>
      </c>
      <c r="B189" s="108"/>
      <c r="C189" s="130"/>
      <c r="D189" s="130"/>
      <c r="E189" s="130"/>
      <c r="F189" s="130"/>
      <c r="G189" s="130"/>
      <c r="H189" s="130"/>
      <c r="I189" s="130"/>
      <c r="J189" s="130"/>
      <c r="K189" s="130"/>
      <c r="L189" s="130"/>
      <c r="M189" s="130"/>
      <c r="N189" s="130"/>
      <c r="O189" s="130"/>
      <c r="P189" s="130"/>
    </row>
    <row r="190" spans="1:16" x14ac:dyDescent="0.2">
      <c r="A190" s="49" t="str">
        <v>0:00</v>
      </c>
      <c r="B190" s="108"/>
      <c r="C190" s="130"/>
      <c r="D190" s="130"/>
      <c r="E190" s="130"/>
      <c r="F190" s="130"/>
      <c r="G190" s="130"/>
      <c r="H190" s="130"/>
      <c r="I190" s="130"/>
      <c r="J190" s="130"/>
      <c r="K190" s="130"/>
      <c r="L190" s="130"/>
      <c r="M190" s="130"/>
      <c r="N190" s="130"/>
      <c r="O190" s="130"/>
      <c r="P190" s="130"/>
    </row>
    <row r="191" spans="1:16" x14ac:dyDescent="0.2">
      <c r="A191" s="49" t="str">
        <v>0:00</v>
      </c>
      <c r="B191" s="108"/>
      <c r="C191" s="130"/>
      <c r="D191" s="130"/>
      <c r="E191" s="130"/>
      <c r="F191" s="130"/>
      <c r="G191" s="130"/>
      <c r="H191" s="130"/>
      <c r="I191" s="130"/>
      <c r="J191" s="130"/>
      <c r="K191" s="130"/>
      <c r="L191" s="130"/>
      <c r="M191" s="130"/>
      <c r="N191" s="130"/>
      <c r="O191" s="130"/>
      <c r="P191" s="130"/>
    </row>
    <row r="192" spans="1:16" x14ac:dyDescent="0.2">
      <c r="A192" s="49" t="str">
        <v>0:00</v>
      </c>
      <c r="B192" s="108"/>
      <c r="C192" s="130"/>
      <c r="D192" s="130"/>
      <c r="E192" s="130"/>
      <c r="F192" s="130"/>
      <c r="G192" s="130"/>
      <c r="H192" s="130"/>
      <c r="I192" s="130"/>
      <c r="J192" s="130"/>
      <c r="K192" s="130"/>
      <c r="L192" s="130"/>
      <c r="M192" s="130"/>
      <c r="N192" s="130"/>
      <c r="O192" s="130"/>
      <c r="P192" s="130"/>
    </row>
    <row r="193" spans="1:16" x14ac:dyDescent="0.2">
      <c r="A193" s="49" t="str">
        <v>0:00</v>
      </c>
      <c r="B193" s="108"/>
      <c r="C193" s="130"/>
      <c r="D193" s="130"/>
      <c r="E193" s="130"/>
      <c r="F193" s="130"/>
      <c r="G193" s="130"/>
      <c r="H193" s="130"/>
      <c r="I193" s="130"/>
      <c r="J193" s="130"/>
      <c r="K193" s="130"/>
      <c r="L193" s="130"/>
      <c r="M193" s="130"/>
      <c r="N193" s="130"/>
      <c r="O193" s="130"/>
      <c r="P193" s="130"/>
    </row>
    <row r="194" spans="1:16" x14ac:dyDescent="0.2">
      <c r="A194" s="49" t="str">
        <v>0:00</v>
      </c>
      <c r="B194" s="108"/>
      <c r="C194" s="130"/>
      <c r="D194" s="130"/>
      <c r="E194" s="130"/>
      <c r="F194" s="130"/>
      <c r="G194" s="130"/>
      <c r="H194" s="130"/>
      <c r="I194" s="130"/>
      <c r="J194" s="130"/>
      <c r="K194" s="130"/>
      <c r="L194" s="130"/>
      <c r="M194" s="130"/>
      <c r="N194" s="130"/>
      <c r="O194" s="130"/>
      <c r="P194" s="130"/>
    </row>
    <row r="195" spans="1:16" x14ac:dyDescent="0.2">
      <c r="A195" s="49" t="str">
        <v>0:00</v>
      </c>
      <c r="B195" s="108"/>
      <c r="C195" s="130"/>
      <c r="D195" s="130"/>
      <c r="E195" s="130"/>
      <c r="F195" s="130"/>
      <c r="G195" s="130"/>
      <c r="H195" s="130"/>
      <c r="I195" s="130"/>
      <c r="J195" s="130"/>
      <c r="K195" s="130"/>
      <c r="L195" s="130"/>
      <c r="M195" s="130"/>
      <c r="N195" s="130"/>
      <c r="O195" s="130"/>
      <c r="P195" s="130"/>
    </row>
    <row r="196" spans="1:16" x14ac:dyDescent="0.2">
      <c r="A196" s="49" t="str">
        <v>0:00</v>
      </c>
      <c r="B196" s="108"/>
      <c r="C196" s="130"/>
      <c r="D196" s="130"/>
      <c r="E196" s="130"/>
      <c r="F196" s="130"/>
      <c r="G196" s="130"/>
      <c r="H196" s="130"/>
      <c r="I196" s="130"/>
      <c r="J196" s="130"/>
      <c r="K196" s="130"/>
      <c r="L196" s="130"/>
      <c r="M196" s="130"/>
      <c r="N196" s="130"/>
      <c r="O196" s="130"/>
      <c r="P196" s="130"/>
    </row>
    <row r="197" spans="1:16" x14ac:dyDescent="0.2">
      <c r="A197" s="49" t="str">
        <v>0:00</v>
      </c>
      <c r="B197" s="108"/>
      <c r="C197" s="130"/>
      <c r="D197" s="130"/>
      <c r="E197" s="130"/>
      <c r="F197" s="130"/>
      <c r="G197" s="130"/>
      <c r="H197" s="130"/>
      <c r="I197" s="130"/>
      <c r="J197" s="130"/>
      <c r="K197" s="130"/>
      <c r="L197" s="130"/>
      <c r="M197" s="130"/>
      <c r="N197" s="130"/>
      <c r="O197" s="130"/>
      <c r="P197" s="130"/>
    </row>
    <row r="198" spans="1:16" x14ac:dyDescent="0.2">
      <c r="A198" s="49" t="str">
        <v>0:00</v>
      </c>
      <c r="B198" s="108"/>
      <c r="C198" s="130"/>
      <c r="D198" s="130"/>
      <c r="E198" s="130"/>
      <c r="F198" s="130"/>
      <c r="G198" s="130"/>
      <c r="H198" s="130"/>
      <c r="I198" s="130"/>
      <c r="J198" s="130"/>
      <c r="K198" s="130"/>
      <c r="L198" s="130"/>
      <c r="M198" s="130"/>
      <c r="N198" s="130"/>
      <c r="O198" s="130"/>
      <c r="P198" s="130"/>
    </row>
    <row r="199" spans="1:16" x14ac:dyDescent="0.2">
      <c r="A199" s="49" t="str">
        <v>0:00</v>
      </c>
      <c r="B199" s="108"/>
      <c r="C199" s="130"/>
      <c r="D199" s="130"/>
      <c r="E199" s="130"/>
      <c r="F199" s="130"/>
      <c r="G199" s="130"/>
      <c r="H199" s="130"/>
      <c r="I199" s="130"/>
      <c r="J199" s="130"/>
      <c r="K199" s="130"/>
      <c r="L199" s="130"/>
      <c r="M199" s="130"/>
      <c r="N199" s="130"/>
      <c r="O199" s="130"/>
      <c r="P199" s="130"/>
    </row>
    <row r="200" spans="1:16" x14ac:dyDescent="0.2">
      <c r="A200" s="49" t="str">
        <v>0:00</v>
      </c>
      <c r="B200" s="108"/>
      <c r="C200" s="130"/>
      <c r="D200" s="130"/>
      <c r="E200" s="130"/>
      <c r="F200" s="130"/>
      <c r="G200" s="130"/>
      <c r="H200" s="130"/>
      <c r="I200" s="130"/>
      <c r="J200" s="130"/>
      <c r="K200" s="130"/>
      <c r="L200" s="130"/>
      <c r="M200" s="130"/>
      <c r="N200" s="130"/>
      <c r="O200" s="130"/>
      <c r="P200" s="130"/>
    </row>
    <row r="201" spans="1:16" x14ac:dyDescent="0.2">
      <c r="A201" s="49" t="str">
        <v>0:00</v>
      </c>
      <c r="B201" s="108"/>
      <c r="C201" s="130"/>
      <c r="D201" s="130"/>
      <c r="E201" s="130"/>
      <c r="F201" s="130"/>
      <c r="G201" s="130"/>
      <c r="H201" s="130"/>
      <c r="I201" s="130"/>
      <c r="J201" s="130"/>
      <c r="K201" s="130"/>
      <c r="L201" s="130"/>
      <c r="M201" s="130"/>
      <c r="N201" s="130"/>
      <c r="O201" s="130"/>
      <c r="P201" s="130"/>
    </row>
    <row r="202" spans="1:16" x14ac:dyDescent="0.2">
      <c r="A202" s="49" t="str">
        <v>0:00</v>
      </c>
      <c r="B202" s="108"/>
      <c r="C202" s="130"/>
      <c r="D202" s="130"/>
      <c r="E202" s="130"/>
      <c r="F202" s="130"/>
      <c r="G202" s="130"/>
      <c r="H202" s="130"/>
      <c r="I202" s="130"/>
      <c r="J202" s="130"/>
      <c r="K202" s="130"/>
      <c r="L202" s="130"/>
      <c r="M202" s="130"/>
      <c r="N202" s="130"/>
      <c r="O202" s="130"/>
      <c r="P202" s="130"/>
    </row>
    <row r="203" spans="1:16" x14ac:dyDescent="0.2">
      <c r="A203" s="49" t="str">
        <v>0:00</v>
      </c>
      <c r="B203" s="108"/>
      <c r="C203" s="130"/>
      <c r="D203" s="130"/>
      <c r="E203" s="130"/>
      <c r="F203" s="130"/>
      <c r="G203" s="130"/>
      <c r="H203" s="130"/>
      <c r="I203" s="130"/>
      <c r="J203" s="130"/>
      <c r="K203" s="130"/>
      <c r="L203" s="130"/>
      <c r="M203" s="130"/>
      <c r="N203" s="130"/>
      <c r="O203" s="130"/>
      <c r="P203" s="130"/>
    </row>
    <row r="204" spans="1:16" x14ac:dyDescent="0.2">
      <c r="A204" s="49" t="str">
        <v>0:00</v>
      </c>
      <c r="B204" s="108"/>
      <c r="C204" s="130"/>
      <c r="D204" s="130"/>
      <c r="E204" s="130"/>
      <c r="F204" s="130"/>
      <c r="G204" s="130"/>
      <c r="H204" s="130"/>
      <c r="I204" s="130"/>
      <c r="J204" s="130"/>
      <c r="K204" s="130"/>
      <c r="L204" s="130"/>
      <c r="M204" s="130"/>
      <c r="N204" s="130"/>
      <c r="O204" s="130"/>
      <c r="P204" s="130"/>
    </row>
    <row r="205" spans="1:16" x14ac:dyDescent="0.2">
      <c r="A205" s="49" t="str">
        <v>0:00</v>
      </c>
      <c r="B205" s="108"/>
      <c r="C205" s="130"/>
      <c r="D205" s="130"/>
      <c r="E205" s="130"/>
      <c r="F205" s="130"/>
      <c r="G205" s="130"/>
      <c r="H205" s="130"/>
      <c r="I205" s="130"/>
      <c r="J205" s="130"/>
      <c r="K205" s="130"/>
      <c r="L205" s="130"/>
      <c r="M205" s="130"/>
      <c r="N205" s="130"/>
      <c r="O205" s="130"/>
      <c r="P205" s="130"/>
    </row>
    <row r="206" spans="1:16" x14ac:dyDescent="0.2">
      <c r="A206" s="49" t="str">
        <v>0:00</v>
      </c>
      <c r="B206" s="108"/>
      <c r="C206" s="130"/>
      <c r="D206" s="130"/>
      <c r="E206" s="130"/>
      <c r="F206" s="130"/>
      <c r="G206" s="130"/>
      <c r="H206" s="130"/>
      <c r="I206" s="130"/>
      <c r="J206" s="130"/>
      <c r="K206" s="130"/>
      <c r="L206" s="130"/>
      <c r="M206" s="130"/>
      <c r="N206" s="130"/>
      <c r="O206" s="130"/>
      <c r="P206" s="130"/>
    </row>
    <row r="207" spans="1:16" x14ac:dyDescent="0.2">
      <c r="A207" s="49" t="str">
        <v>0:00</v>
      </c>
      <c r="B207" s="108"/>
      <c r="C207" s="130"/>
      <c r="D207" s="130"/>
      <c r="E207" s="130"/>
      <c r="F207" s="130"/>
      <c r="G207" s="130"/>
      <c r="H207" s="130"/>
      <c r="I207" s="130"/>
      <c r="J207" s="130"/>
      <c r="K207" s="130"/>
      <c r="L207" s="130"/>
      <c r="M207" s="130"/>
      <c r="N207" s="130"/>
      <c r="O207" s="130"/>
      <c r="P207" s="130"/>
    </row>
    <row r="208" spans="1:16" x14ac:dyDescent="0.2">
      <c r="A208" s="49" t="str">
        <v>0:00</v>
      </c>
      <c r="B208" s="108"/>
      <c r="C208" s="130"/>
      <c r="D208" s="130"/>
      <c r="E208" s="130"/>
      <c r="F208" s="130"/>
      <c r="G208" s="130"/>
      <c r="H208" s="130"/>
      <c r="I208" s="130"/>
      <c r="J208" s="130"/>
      <c r="K208" s="130"/>
      <c r="L208" s="130"/>
      <c r="M208" s="130"/>
      <c r="N208" s="130"/>
      <c r="O208" s="130"/>
      <c r="P208" s="130"/>
    </row>
    <row r="209" spans="1:16" x14ac:dyDescent="0.2">
      <c r="A209" s="49" t="str">
        <v>0:00</v>
      </c>
      <c r="B209" s="108"/>
      <c r="C209" s="130"/>
      <c r="D209" s="130"/>
      <c r="E209" s="130"/>
      <c r="F209" s="130"/>
      <c r="G209" s="130"/>
      <c r="H209" s="130"/>
      <c r="I209" s="130"/>
      <c r="J209" s="130"/>
      <c r="K209" s="130"/>
      <c r="L209" s="130"/>
      <c r="M209" s="130"/>
      <c r="N209" s="130"/>
      <c r="O209" s="130"/>
      <c r="P209" s="130"/>
    </row>
    <row r="210" spans="1:16" x14ac:dyDescent="0.2">
      <c r="A210" s="49" t="str">
        <v>0:00</v>
      </c>
      <c r="B210" s="108"/>
      <c r="C210" s="130"/>
      <c r="D210" s="130"/>
      <c r="E210" s="130"/>
      <c r="F210" s="130"/>
      <c r="G210" s="130"/>
      <c r="H210" s="130"/>
      <c r="I210" s="130"/>
      <c r="J210" s="130"/>
      <c r="K210" s="130"/>
      <c r="L210" s="130"/>
      <c r="M210" s="130"/>
      <c r="N210" s="130"/>
      <c r="O210" s="130"/>
      <c r="P210" s="130"/>
    </row>
    <row r="211" spans="1:16" x14ac:dyDescent="0.2">
      <c r="A211" s="49" t="str">
        <v>0:00</v>
      </c>
      <c r="B211" s="108"/>
      <c r="C211" s="130"/>
      <c r="D211" s="130"/>
      <c r="E211" s="130"/>
      <c r="F211" s="130"/>
      <c r="G211" s="130"/>
      <c r="H211" s="130"/>
      <c r="I211" s="130"/>
      <c r="J211" s="130"/>
      <c r="K211" s="130"/>
      <c r="L211" s="130"/>
      <c r="M211" s="130"/>
      <c r="N211" s="130"/>
      <c r="O211" s="130"/>
      <c r="P211" s="130"/>
    </row>
    <row r="212" spans="1:16" x14ac:dyDescent="0.2">
      <c r="A212" s="49" t="str">
        <v>0:00</v>
      </c>
      <c r="B212" s="108"/>
      <c r="C212" s="130"/>
      <c r="D212" s="130"/>
      <c r="E212" s="130"/>
      <c r="F212" s="130"/>
      <c r="G212" s="130"/>
      <c r="H212" s="130"/>
      <c r="I212" s="130"/>
      <c r="J212" s="130"/>
      <c r="K212" s="130"/>
      <c r="L212" s="130"/>
      <c r="M212" s="130"/>
      <c r="N212" s="130"/>
      <c r="O212" s="130"/>
      <c r="P212" s="130"/>
    </row>
    <row r="213" spans="1:16" x14ac:dyDescent="0.2">
      <c r="A213" s="49" t="str">
        <v>0:00</v>
      </c>
      <c r="B213" s="108"/>
      <c r="C213" s="130"/>
      <c r="D213" s="130"/>
      <c r="E213" s="130"/>
      <c r="F213" s="130"/>
      <c r="G213" s="130"/>
      <c r="H213" s="130"/>
      <c r="I213" s="130"/>
      <c r="J213" s="130"/>
      <c r="K213" s="130"/>
      <c r="L213" s="130"/>
      <c r="M213" s="130"/>
      <c r="N213" s="130"/>
      <c r="O213" s="130"/>
      <c r="P213" s="130"/>
    </row>
    <row r="214" spans="1:16" x14ac:dyDescent="0.2">
      <c r="A214" s="49" t="str">
        <v>0:00</v>
      </c>
      <c r="B214" s="108"/>
      <c r="C214" s="130"/>
      <c r="D214" s="130"/>
      <c r="E214" s="130"/>
      <c r="F214" s="130"/>
      <c r="G214" s="130"/>
      <c r="H214" s="130"/>
      <c r="I214" s="130"/>
      <c r="J214" s="130"/>
      <c r="K214" s="130"/>
      <c r="L214" s="130"/>
      <c r="M214" s="130"/>
      <c r="N214" s="130"/>
      <c r="O214" s="130"/>
      <c r="P214" s="130"/>
    </row>
    <row r="215" spans="1:16" x14ac:dyDescent="0.2">
      <c r="A215" s="49" t="str">
        <v>0:00</v>
      </c>
      <c r="B215" s="108"/>
      <c r="C215" s="130"/>
      <c r="D215" s="130"/>
      <c r="E215" s="130"/>
      <c r="F215" s="130"/>
      <c r="G215" s="130"/>
      <c r="H215" s="130"/>
      <c r="I215" s="130"/>
      <c r="J215" s="130"/>
      <c r="K215" s="130"/>
      <c r="L215" s="130"/>
      <c r="M215" s="130"/>
      <c r="N215" s="130"/>
      <c r="O215" s="130"/>
      <c r="P215" s="130"/>
    </row>
    <row r="216" spans="1:16" x14ac:dyDescent="0.2">
      <c r="A216" s="49" t="str">
        <v>0:00</v>
      </c>
      <c r="B216" s="108"/>
      <c r="C216" s="130"/>
      <c r="D216" s="130"/>
      <c r="E216" s="130"/>
      <c r="F216" s="130"/>
      <c r="G216" s="130"/>
      <c r="H216" s="130"/>
      <c r="I216" s="130"/>
      <c r="J216" s="130"/>
      <c r="K216" s="130"/>
      <c r="L216" s="130"/>
      <c r="M216" s="130"/>
      <c r="N216" s="130"/>
      <c r="O216" s="130"/>
      <c r="P216" s="130"/>
    </row>
    <row r="217" spans="1:16" x14ac:dyDescent="0.2">
      <c r="A217" s="49" t="str">
        <v>0:00</v>
      </c>
      <c r="B217" s="108"/>
      <c r="C217" s="130"/>
      <c r="D217" s="130"/>
      <c r="E217" s="130"/>
      <c r="F217" s="130"/>
      <c r="G217" s="130"/>
      <c r="H217" s="130"/>
      <c r="I217" s="130"/>
      <c r="J217" s="130"/>
      <c r="K217" s="130"/>
      <c r="L217" s="130"/>
      <c r="M217" s="130"/>
      <c r="N217" s="130"/>
      <c r="O217" s="130"/>
      <c r="P217" s="130"/>
    </row>
    <row r="218" spans="1:16" x14ac:dyDescent="0.2">
      <c r="A218" s="49" t="str">
        <v>0:00</v>
      </c>
      <c r="B218" s="108"/>
      <c r="C218" s="130"/>
      <c r="D218" s="130"/>
      <c r="E218" s="130"/>
      <c r="F218" s="130"/>
      <c r="G218" s="130"/>
      <c r="H218" s="130"/>
      <c r="I218" s="130"/>
      <c r="J218" s="130"/>
      <c r="K218" s="130"/>
      <c r="L218" s="130"/>
      <c r="M218" s="130"/>
      <c r="N218" s="130"/>
      <c r="O218" s="130"/>
      <c r="P218" s="130"/>
    </row>
    <row r="219" spans="1:16" x14ac:dyDescent="0.2">
      <c r="A219" s="49" t="str">
        <v>0:00</v>
      </c>
      <c r="B219" s="108"/>
      <c r="C219" s="130"/>
      <c r="D219" s="130"/>
      <c r="E219" s="130"/>
      <c r="F219" s="130"/>
      <c r="G219" s="130"/>
      <c r="H219" s="130"/>
      <c r="I219" s="130"/>
      <c r="J219" s="130"/>
      <c r="K219" s="130"/>
      <c r="L219" s="130"/>
      <c r="M219" s="130"/>
      <c r="N219" s="130"/>
      <c r="O219" s="130"/>
      <c r="P219" s="130"/>
    </row>
    <row r="220" spans="1:16" x14ac:dyDescent="0.2">
      <c r="A220" s="49" t="str">
        <v>0:00</v>
      </c>
      <c r="B220" s="108"/>
      <c r="C220" s="130"/>
      <c r="D220" s="130"/>
      <c r="E220" s="130"/>
      <c r="F220" s="130"/>
      <c r="G220" s="130"/>
      <c r="H220" s="130"/>
      <c r="I220" s="130"/>
      <c r="J220" s="130"/>
      <c r="K220" s="130"/>
      <c r="L220" s="130"/>
      <c r="M220" s="130"/>
      <c r="N220" s="130"/>
      <c r="O220" s="130"/>
      <c r="P220" s="130"/>
    </row>
    <row r="221" spans="1:16" x14ac:dyDescent="0.2">
      <c r="A221" s="49" t="str">
        <v>0:00</v>
      </c>
      <c r="B221" s="108"/>
      <c r="C221" s="130"/>
      <c r="D221" s="130"/>
      <c r="E221" s="130"/>
      <c r="F221" s="130"/>
      <c r="G221" s="130"/>
      <c r="H221" s="130"/>
      <c r="I221" s="130"/>
      <c r="J221" s="130"/>
      <c r="K221" s="130"/>
      <c r="L221" s="130"/>
      <c r="M221" s="130"/>
      <c r="N221" s="130"/>
      <c r="O221" s="130"/>
      <c r="P221" s="130"/>
    </row>
    <row r="222" spans="1:16" x14ac:dyDescent="0.2">
      <c r="A222" s="49" t="str">
        <v>0:00</v>
      </c>
      <c r="B222" s="108"/>
      <c r="C222" s="130"/>
      <c r="D222" s="130"/>
      <c r="E222" s="130"/>
      <c r="F222" s="130"/>
      <c r="G222" s="130"/>
      <c r="H222" s="130"/>
      <c r="I222" s="130"/>
      <c r="J222" s="130"/>
      <c r="K222" s="130"/>
      <c r="L222" s="130"/>
      <c r="M222" s="130"/>
      <c r="N222" s="130"/>
      <c r="O222" s="130"/>
      <c r="P222" s="130"/>
    </row>
    <row r="223" spans="1:16" x14ac:dyDescent="0.2">
      <c r="A223" s="49" t="str">
        <v>0:00</v>
      </c>
      <c r="B223" s="108"/>
      <c r="C223" s="130"/>
      <c r="D223" s="130"/>
      <c r="E223" s="130"/>
      <c r="F223" s="130"/>
      <c r="G223" s="130"/>
      <c r="H223" s="130"/>
      <c r="I223" s="130"/>
      <c r="J223" s="130"/>
      <c r="K223" s="130"/>
      <c r="L223" s="130"/>
      <c r="M223" s="130"/>
      <c r="N223" s="130"/>
      <c r="O223" s="130"/>
      <c r="P223" s="130"/>
    </row>
    <row r="224" spans="1:16" x14ac:dyDescent="0.2">
      <c r="A224" s="49" t="str">
        <v>0:00</v>
      </c>
      <c r="B224" s="108"/>
      <c r="C224" s="130"/>
      <c r="D224" s="130"/>
      <c r="E224" s="130"/>
      <c r="F224" s="130"/>
      <c r="G224" s="130"/>
      <c r="H224" s="130"/>
      <c r="I224" s="130"/>
      <c r="J224" s="130"/>
      <c r="K224" s="130"/>
      <c r="L224" s="130"/>
      <c r="M224" s="130"/>
      <c r="N224" s="130"/>
      <c r="O224" s="130"/>
      <c r="P224" s="130"/>
    </row>
    <row r="225" spans="1:16" x14ac:dyDescent="0.2">
      <c r="A225" s="49" t="str">
        <v>0:00</v>
      </c>
      <c r="B225" s="108"/>
      <c r="C225" s="130"/>
      <c r="D225" s="130"/>
      <c r="E225" s="130"/>
      <c r="F225" s="130"/>
      <c r="G225" s="130"/>
      <c r="H225" s="130"/>
      <c r="I225" s="130"/>
      <c r="J225" s="130"/>
      <c r="K225" s="130"/>
      <c r="L225" s="130"/>
      <c r="M225" s="130"/>
      <c r="N225" s="130"/>
      <c r="O225" s="130"/>
      <c r="P225" s="130"/>
    </row>
    <row r="226" spans="1:16" x14ac:dyDescent="0.2">
      <c r="A226" s="49" t="str">
        <v>0:00</v>
      </c>
      <c r="B226" s="108"/>
      <c r="C226" s="130"/>
      <c r="D226" s="130"/>
      <c r="E226" s="130"/>
      <c r="F226" s="130"/>
      <c r="G226" s="130"/>
      <c r="H226" s="130"/>
      <c r="I226" s="130"/>
      <c r="J226" s="130"/>
      <c r="K226" s="130"/>
      <c r="L226" s="130"/>
      <c r="M226" s="130"/>
      <c r="N226" s="130"/>
      <c r="O226" s="130"/>
      <c r="P226" s="130"/>
    </row>
    <row r="227" spans="1:16" x14ac:dyDescent="0.2">
      <c r="A227" s="49" t="str">
        <v>0:00</v>
      </c>
      <c r="B227" s="108"/>
      <c r="C227" s="130"/>
      <c r="D227" s="130"/>
      <c r="E227" s="130"/>
      <c r="F227" s="130"/>
      <c r="G227" s="130"/>
      <c r="H227" s="130"/>
      <c r="I227" s="130"/>
      <c r="J227" s="130"/>
      <c r="K227" s="130"/>
      <c r="L227" s="130"/>
      <c r="M227" s="130"/>
      <c r="N227" s="130"/>
      <c r="O227" s="130"/>
      <c r="P227" s="130"/>
    </row>
    <row r="228" spans="1:16" x14ac:dyDescent="0.2">
      <c r="A228" s="49" t="str">
        <v>0:00</v>
      </c>
      <c r="B228" s="108"/>
      <c r="C228" s="130"/>
      <c r="D228" s="130"/>
      <c r="E228" s="130"/>
      <c r="F228" s="130"/>
      <c r="G228" s="130"/>
      <c r="H228" s="130"/>
      <c r="I228" s="130"/>
      <c r="J228" s="130"/>
      <c r="K228" s="130"/>
      <c r="L228" s="130"/>
      <c r="M228" s="130"/>
      <c r="N228" s="130"/>
      <c r="O228" s="130"/>
      <c r="P228" s="130"/>
    </row>
    <row r="229" spans="1:16" x14ac:dyDescent="0.2">
      <c r="A229" s="49" t="str">
        <v>0:00</v>
      </c>
      <c r="B229" s="108"/>
      <c r="C229" s="130"/>
      <c r="D229" s="130"/>
      <c r="E229" s="130"/>
      <c r="F229" s="130"/>
      <c r="G229" s="130"/>
      <c r="H229" s="130"/>
      <c r="I229" s="130"/>
      <c r="J229" s="130"/>
      <c r="K229" s="130"/>
      <c r="L229" s="130"/>
      <c r="M229" s="130"/>
      <c r="N229" s="130"/>
      <c r="O229" s="130"/>
      <c r="P229" s="130"/>
    </row>
    <row r="230" spans="1:16" x14ac:dyDescent="0.2">
      <c r="A230" s="49" t="str">
        <v>0:00</v>
      </c>
      <c r="B230" s="108"/>
      <c r="C230" s="130"/>
      <c r="D230" s="130"/>
      <c r="E230" s="130"/>
      <c r="F230" s="130"/>
      <c r="G230" s="130"/>
      <c r="H230" s="130"/>
      <c r="I230" s="130"/>
      <c r="J230" s="130"/>
      <c r="K230" s="130"/>
      <c r="L230" s="130"/>
      <c r="M230" s="130"/>
      <c r="N230" s="130"/>
      <c r="O230" s="130"/>
      <c r="P230" s="130"/>
    </row>
    <row r="231" spans="1:16" x14ac:dyDescent="0.2">
      <c r="A231" s="49" t="str">
        <v>0:00</v>
      </c>
      <c r="B231" s="108"/>
      <c r="C231" s="130"/>
      <c r="D231" s="130"/>
      <c r="E231" s="130"/>
      <c r="F231" s="130"/>
      <c r="G231" s="130"/>
      <c r="H231" s="130"/>
      <c r="I231" s="130"/>
      <c r="J231" s="130"/>
      <c r="K231" s="130"/>
      <c r="L231" s="130"/>
      <c r="M231" s="130"/>
      <c r="N231" s="130"/>
      <c r="O231" s="130"/>
      <c r="P231" s="130"/>
    </row>
    <row r="232" spans="1:16" x14ac:dyDescent="0.2">
      <c r="A232" s="49" t="str">
        <v>0:00</v>
      </c>
      <c r="B232" s="108"/>
      <c r="C232" s="130"/>
      <c r="D232" s="130"/>
      <c r="E232" s="130"/>
      <c r="F232" s="130"/>
      <c r="G232" s="130"/>
      <c r="H232" s="130"/>
      <c r="I232" s="130"/>
      <c r="J232" s="130"/>
      <c r="K232" s="130"/>
      <c r="L232" s="130"/>
      <c r="M232" s="130"/>
      <c r="N232" s="130"/>
      <c r="O232" s="130"/>
      <c r="P232" s="130"/>
    </row>
    <row r="233" spans="1:16" x14ac:dyDescent="0.2">
      <c r="A233" s="49" t="str">
        <v>0:00</v>
      </c>
      <c r="B233" s="108"/>
      <c r="C233" s="130"/>
      <c r="D233" s="130"/>
      <c r="E233" s="130"/>
      <c r="F233" s="130"/>
      <c r="G233" s="130"/>
      <c r="H233" s="130"/>
      <c r="I233" s="130"/>
      <c r="J233" s="130"/>
      <c r="K233" s="130"/>
      <c r="L233" s="130"/>
      <c r="M233" s="130"/>
      <c r="N233" s="130"/>
      <c r="O233" s="130"/>
      <c r="P233" s="130"/>
    </row>
    <row r="234" spans="1:16" x14ac:dyDescent="0.2">
      <c r="A234" s="49" t="str">
        <v>0:00</v>
      </c>
      <c r="B234" s="108"/>
      <c r="C234" s="130"/>
      <c r="D234" s="130"/>
      <c r="E234" s="130"/>
      <c r="F234" s="130"/>
      <c r="G234" s="130"/>
      <c r="H234" s="130"/>
      <c r="I234" s="130"/>
      <c r="J234" s="130"/>
      <c r="K234" s="130"/>
      <c r="L234" s="130"/>
      <c r="M234" s="130"/>
      <c r="N234" s="130"/>
      <c r="O234" s="130"/>
      <c r="P234" s="130"/>
    </row>
    <row r="235" spans="1:16" x14ac:dyDescent="0.2">
      <c r="A235" s="49" t="str">
        <v>0:00</v>
      </c>
      <c r="B235" s="108"/>
      <c r="C235" s="130"/>
      <c r="D235" s="130"/>
      <c r="E235" s="130"/>
      <c r="F235" s="130"/>
      <c r="G235" s="130"/>
      <c r="H235" s="130"/>
      <c r="I235" s="130"/>
      <c r="J235" s="130"/>
      <c r="K235" s="130"/>
      <c r="L235" s="130"/>
      <c r="M235" s="130"/>
      <c r="N235" s="130"/>
      <c r="O235" s="130"/>
      <c r="P235" s="130"/>
    </row>
    <row r="236" spans="1:16" x14ac:dyDescent="0.2">
      <c r="A236" s="49" t="str">
        <v>0:00</v>
      </c>
      <c r="B236" s="108"/>
      <c r="C236" s="130"/>
      <c r="D236" s="130"/>
      <c r="E236" s="130"/>
      <c r="F236" s="130"/>
      <c r="G236" s="130"/>
      <c r="H236" s="130"/>
      <c r="I236" s="130"/>
      <c r="J236" s="130"/>
      <c r="K236" s="130"/>
      <c r="L236" s="130"/>
      <c r="M236" s="130"/>
      <c r="N236" s="130"/>
      <c r="O236" s="130"/>
      <c r="P236" s="130"/>
    </row>
    <row r="237" spans="1:16" x14ac:dyDescent="0.2">
      <c r="A237" s="49" t="str">
        <v>0:00</v>
      </c>
      <c r="B237" s="108"/>
      <c r="C237" s="130"/>
      <c r="D237" s="130"/>
      <c r="E237" s="130"/>
      <c r="F237" s="130"/>
      <c r="G237" s="130"/>
      <c r="H237" s="130"/>
      <c r="I237" s="130"/>
      <c r="J237" s="130"/>
      <c r="K237" s="130"/>
      <c r="L237" s="130"/>
      <c r="M237" s="130"/>
      <c r="N237" s="130"/>
      <c r="O237" s="130"/>
      <c r="P237" s="130"/>
    </row>
    <row r="238" spans="1:16" x14ac:dyDescent="0.2">
      <c r="A238" s="49" t="str">
        <v>0:00</v>
      </c>
      <c r="B238" s="108"/>
      <c r="C238" s="130"/>
      <c r="D238" s="130"/>
      <c r="E238" s="130"/>
      <c r="F238" s="130"/>
      <c r="G238" s="130"/>
      <c r="H238" s="130"/>
      <c r="I238" s="130"/>
      <c r="J238" s="130"/>
      <c r="K238" s="130"/>
      <c r="L238" s="130"/>
      <c r="M238" s="130"/>
      <c r="N238" s="130"/>
      <c r="O238" s="130"/>
      <c r="P238" s="130"/>
    </row>
    <row r="239" spans="1:16" x14ac:dyDescent="0.2">
      <c r="A239" s="49" t="str">
        <v>0:00</v>
      </c>
      <c r="B239" s="108"/>
      <c r="C239" s="130"/>
      <c r="D239" s="130"/>
      <c r="E239" s="130"/>
      <c r="F239" s="130"/>
      <c r="G239" s="130"/>
      <c r="H239" s="130"/>
      <c r="I239" s="130"/>
      <c r="J239" s="130"/>
      <c r="K239" s="130"/>
      <c r="L239" s="130"/>
      <c r="M239" s="130"/>
      <c r="N239" s="130"/>
      <c r="O239" s="130"/>
      <c r="P239" s="130"/>
    </row>
    <row r="240" spans="1:16" x14ac:dyDescent="0.2">
      <c r="A240" s="49" t="str">
        <v>0:00</v>
      </c>
      <c r="B240" s="108"/>
      <c r="C240" s="130"/>
      <c r="D240" s="130"/>
      <c r="E240" s="130"/>
      <c r="F240" s="130"/>
      <c r="G240" s="130"/>
      <c r="H240" s="130"/>
      <c r="I240" s="130"/>
      <c r="J240" s="130"/>
      <c r="K240" s="130"/>
      <c r="L240" s="130"/>
      <c r="M240" s="130"/>
      <c r="N240" s="130"/>
      <c r="O240" s="130"/>
      <c r="P240" s="130"/>
    </row>
    <row r="241" spans="1:16" x14ac:dyDescent="0.2">
      <c r="A241" s="49" t="str">
        <v>0:00</v>
      </c>
      <c r="B241" s="108"/>
      <c r="C241" s="130"/>
      <c r="D241" s="130"/>
      <c r="E241" s="130"/>
      <c r="F241" s="130"/>
      <c r="G241" s="130"/>
      <c r="H241" s="130"/>
      <c r="I241" s="130"/>
      <c r="J241" s="130"/>
      <c r="K241" s="130"/>
      <c r="L241" s="130"/>
      <c r="M241" s="130"/>
      <c r="N241" s="130"/>
      <c r="O241" s="130"/>
      <c r="P241" s="130"/>
    </row>
    <row r="242" spans="1:16" x14ac:dyDescent="0.2">
      <c r="A242" s="49" t="str">
        <v>0:00</v>
      </c>
      <c r="B242" s="108"/>
      <c r="C242" s="130"/>
      <c r="D242" s="130"/>
      <c r="E242" s="130"/>
      <c r="F242" s="130"/>
      <c r="G242" s="130"/>
      <c r="H242" s="130"/>
      <c r="I242" s="130"/>
      <c r="J242" s="130"/>
      <c r="K242" s="130"/>
      <c r="L242" s="130"/>
      <c r="M242" s="130"/>
      <c r="N242" s="130"/>
      <c r="O242" s="130"/>
      <c r="P242" s="130"/>
    </row>
    <row r="243" spans="1:16" x14ac:dyDescent="0.2">
      <c r="A243" s="49" t="str">
        <v>0:00</v>
      </c>
      <c r="B243" s="108"/>
      <c r="C243" s="130"/>
      <c r="D243" s="130"/>
      <c r="E243" s="130"/>
      <c r="F243" s="130"/>
      <c r="G243" s="130"/>
      <c r="H243" s="130"/>
      <c r="I243" s="130"/>
      <c r="J243" s="130"/>
      <c r="K243" s="130"/>
      <c r="L243" s="130"/>
      <c r="M243" s="130"/>
      <c r="N243" s="130"/>
      <c r="O243" s="130"/>
      <c r="P243" s="130"/>
    </row>
    <row r="244" spans="1:16" x14ac:dyDescent="0.2">
      <c r="A244" s="49" t="str">
        <v>0:00</v>
      </c>
      <c r="B244" s="108"/>
      <c r="C244" s="130"/>
      <c r="D244" s="130"/>
      <c r="E244" s="130"/>
      <c r="F244" s="130"/>
      <c r="G244" s="130"/>
      <c r="H244" s="130"/>
      <c r="I244" s="130"/>
      <c r="J244" s="130"/>
      <c r="K244" s="130"/>
      <c r="L244" s="130"/>
      <c r="M244" s="130"/>
      <c r="N244" s="130"/>
      <c r="O244" s="130"/>
      <c r="P244" s="130"/>
    </row>
    <row r="245" spans="1:16" x14ac:dyDescent="0.2">
      <c r="A245" s="49" t="str">
        <v>0:00</v>
      </c>
      <c r="B245" s="108"/>
      <c r="C245" s="130"/>
      <c r="D245" s="130"/>
      <c r="E245" s="130"/>
      <c r="F245" s="130"/>
      <c r="G245" s="130"/>
      <c r="H245" s="130"/>
      <c r="I245" s="130"/>
      <c r="J245" s="130"/>
      <c r="K245" s="130"/>
      <c r="L245" s="130"/>
      <c r="M245" s="130"/>
      <c r="N245" s="130"/>
      <c r="O245" s="130"/>
      <c r="P245" s="130"/>
    </row>
    <row r="246" spans="1:16" x14ac:dyDescent="0.2">
      <c r="A246" s="49" t="str">
        <v>0:00</v>
      </c>
      <c r="B246" s="108"/>
      <c r="C246" s="130"/>
      <c r="D246" s="130"/>
      <c r="E246" s="130"/>
      <c r="F246" s="130"/>
      <c r="G246" s="130"/>
      <c r="H246" s="130"/>
      <c r="I246" s="130"/>
      <c r="J246" s="130"/>
      <c r="K246" s="130"/>
      <c r="L246" s="130"/>
      <c r="M246" s="130"/>
      <c r="N246" s="130"/>
      <c r="O246" s="130"/>
      <c r="P246" s="130"/>
    </row>
    <row r="247" spans="1:16" x14ac:dyDescent="0.2">
      <c r="A247" s="49" t="str">
        <v>0:00</v>
      </c>
      <c r="B247" s="108"/>
      <c r="C247" s="130"/>
      <c r="D247" s="130"/>
      <c r="E247" s="130"/>
      <c r="F247" s="130"/>
      <c r="G247" s="130"/>
      <c r="H247" s="130"/>
      <c r="I247" s="130"/>
      <c r="J247" s="130"/>
      <c r="K247" s="130"/>
      <c r="L247" s="130"/>
      <c r="M247" s="130"/>
      <c r="N247" s="130"/>
      <c r="O247" s="130"/>
      <c r="P247" s="130"/>
    </row>
    <row r="248" spans="1:16" x14ac:dyDescent="0.2">
      <c r="A248" s="49" t="str">
        <v>0:00</v>
      </c>
      <c r="B248" s="108"/>
      <c r="C248" s="130"/>
      <c r="D248" s="130"/>
      <c r="E248" s="130"/>
      <c r="F248" s="130"/>
      <c r="G248" s="130"/>
      <c r="H248" s="130"/>
      <c r="I248" s="130"/>
      <c r="J248" s="130"/>
      <c r="K248" s="130"/>
      <c r="L248" s="130"/>
      <c r="M248" s="130"/>
      <c r="N248" s="130"/>
      <c r="O248" s="130"/>
      <c r="P248" s="130"/>
    </row>
    <row r="249" spans="1:16" x14ac:dyDescent="0.2">
      <c r="A249" s="49" t="str">
        <v>0:00</v>
      </c>
      <c r="B249" s="108"/>
      <c r="C249" s="130"/>
      <c r="D249" s="130"/>
      <c r="E249" s="130"/>
      <c r="F249" s="130"/>
      <c r="G249" s="130"/>
      <c r="H249" s="130"/>
      <c r="I249" s="130"/>
      <c r="J249" s="130"/>
      <c r="K249" s="130"/>
      <c r="L249" s="130"/>
      <c r="M249" s="130"/>
      <c r="N249" s="130"/>
      <c r="O249" s="130"/>
      <c r="P249" s="130"/>
    </row>
    <row r="250" spans="1:16" x14ac:dyDescent="0.2">
      <c r="A250" s="49" t="str">
        <v>0:00</v>
      </c>
      <c r="B250" s="108"/>
      <c r="C250" s="130"/>
      <c r="D250" s="130"/>
      <c r="E250" s="130"/>
      <c r="F250" s="130"/>
      <c r="G250" s="130"/>
      <c r="H250" s="130"/>
      <c r="I250" s="130"/>
      <c r="J250" s="130"/>
      <c r="K250" s="130"/>
      <c r="L250" s="130"/>
      <c r="M250" s="130"/>
      <c r="N250" s="130"/>
      <c r="O250" s="130"/>
      <c r="P250" s="130"/>
    </row>
    <row r="251" spans="1:16" x14ac:dyDescent="0.2">
      <c r="A251" s="49" t="str">
        <v>0:00</v>
      </c>
      <c r="B251" s="108"/>
      <c r="C251" s="130"/>
      <c r="D251" s="130"/>
      <c r="E251" s="130"/>
      <c r="F251" s="130"/>
      <c r="G251" s="130"/>
      <c r="H251" s="130"/>
      <c r="I251" s="130"/>
      <c r="J251" s="130"/>
      <c r="K251" s="130"/>
      <c r="L251" s="130"/>
      <c r="M251" s="130"/>
      <c r="N251" s="130"/>
      <c r="O251" s="130"/>
      <c r="P251" s="130"/>
    </row>
    <row r="252" spans="1:16" x14ac:dyDescent="0.2">
      <c r="A252" s="49" t="str">
        <v>0:00</v>
      </c>
      <c r="B252" s="108"/>
      <c r="C252" s="130"/>
      <c r="D252" s="130"/>
      <c r="E252" s="130"/>
      <c r="F252" s="130"/>
      <c r="G252" s="130"/>
      <c r="H252" s="130"/>
      <c r="I252" s="130"/>
      <c r="J252" s="130"/>
      <c r="K252" s="130"/>
      <c r="L252" s="130"/>
      <c r="M252" s="130"/>
      <c r="N252" s="130"/>
      <c r="O252" s="130"/>
      <c r="P252" s="130"/>
    </row>
    <row r="253" spans="1:16" x14ac:dyDescent="0.2">
      <c r="A253" s="49" t="str">
        <v>0:00</v>
      </c>
      <c r="B253" s="108"/>
      <c r="C253" s="130"/>
      <c r="D253" s="130"/>
      <c r="E253" s="130"/>
      <c r="F253" s="130"/>
      <c r="G253" s="130"/>
      <c r="H253" s="130"/>
      <c r="I253" s="130"/>
      <c r="J253" s="130"/>
      <c r="K253" s="130"/>
      <c r="L253" s="130"/>
      <c r="M253" s="130"/>
      <c r="N253" s="130"/>
      <c r="O253" s="130"/>
      <c r="P253" s="130"/>
    </row>
    <row r="254" spans="1:16" x14ac:dyDescent="0.2">
      <c r="A254" s="49" t="str">
        <v>0:00</v>
      </c>
      <c r="B254" s="108"/>
      <c r="C254" s="130"/>
      <c r="D254" s="130"/>
      <c r="E254" s="130"/>
      <c r="F254" s="130"/>
      <c r="G254" s="130"/>
      <c r="H254" s="130"/>
      <c r="I254" s="130"/>
      <c r="J254" s="130"/>
      <c r="K254" s="130"/>
      <c r="L254" s="130"/>
      <c r="M254" s="130"/>
      <c r="N254" s="130"/>
      <c r="O254" s="130"/>
      <c r="P254" s="130"/>
    </row>
    <row r="255" spans="1:16" x14ac:dyDescent="0.2">
      <c r="A255" s="49" t="str">
        <v>0:00</v>
      </c>
      <c r="B255" s="108"/>
      <c r="C255" s="130"/>
      <c r="D255" s="130"/>
      <c r="E255" s="130"/>
      <c r="F255" s="130"/>
      <c r="G255" s="130"/>
      <c r="H255" s="130"/>
      <c r="I255" s="130"/>
      <c r="J255" s="130"/>
      <c r="K255" s="130"/>
      <c r="L255" s="130"/>
      <c r="M255" s="130"/>
      <c r="N255" s="130"/>
      <c r="O255" s="130"/>
      <c r="P255" s="130"/>
    </row>
    <row r="256" spans="1:16" x14ac:dyDescent="0.2">
      <c r="A256" s="49" t="str">
        <v>0:00</v>
      </c>
      <c r="B256" s="108"/>
      <c r="C256" s="130"/>
      <c r="D256" s="130"/>
      <c r="E256" s="130"/>
      <c r="F256" s="130"/>
      <c r="G256" s="130"/>
      <c r="H256" s="130"/>
      <c r="I256" s="130"/>
      <c r="J256" s="130"/>
      <c r="K256" s="130"/>
      <c r="L256" s="130"/>
      <c r="M256" s="130"/>
      <c r="N256" s="130"/>
      <c r="O256" s="130"/>
      <c r="P256" s="130"/>
    </row>
    <row r="257" spans="1:16" x14ac:dyDescent="0.2">
      <c r="A257" s="49" t="str">
        <v>0:00</v>
      </c>
      <c r="B257" s="108"/>
      <c r="C257" s="130"/>
      <c r="D257" s="130"/>
      <c r="E257" s="130"/>
      <c r="F257" s="130"/>
      <c r="G257" s="130"/>
      <c r="H257" s="130"/>
      <c r="I257" s="130"/>
      <c r="J257" s="130"/>
      <c r="K257" s="130"/>
      <c r="L257" s="130"/>
      <c r="M257" s="130"/>
      <c r="N257" s="130"/>
      <c r="O257" s="130"/>
      <c r="P257" s="130"/>
    </row>
    <row r="258" spans="1:16" x14ac:dyDescent="0.2">
      <c r="A258" s="49" t="str">
        <v>0:00</v>
      </c>
      <c r="B258" s="108"/>
      <c r="C258" s="130"/>
      <c r="D258" s="130"/>
      <c r="E258" s="130"/>
      <c r="F258" s="130"/>
      <c r="G258" s="130"/>
      <c r="H258" s="130"/>
      <c r="I258" s="130"/>
      <c r="J258" s="130"/>
      <c r="K258" s="130"/>
      <c r="L258" s="130"/>
      <c r="M258" s="130"/>
      <c r="N258" s="130"/>
      <c r="O258" s="130"/>
      <c r="P258" s="130"/>
    </row>
    <row r="259" spans="1:16" x14ac:dyDescent="0.2">
      <c r="A259" s="49" t="str">
        <v>0:00</v>
      </c>
      <c r="B259" s="108"/>
      <c r="C259" s="130"/>
      <c r="D259" s="130"/>
      <c r="E259" s="130"/>
      <c r="F259" s="130"/>
      <c r="G259" s="130"/>
      <c r="H259" s="130"/>
      <c r="I259" s="130"/>
      <c r="J259" s="130"/>
      <c r="K259" s="130"/>
      <c r="L259" s="130"/>
      <c r="M259" s="130"/>
      <c r="N259" s="130"/>
      <c r="O259" s="130"/>
      <c r="P259" s="130"/>
    </row>
    <row r="260" spans="1:16" x14ac:dyDescent="0.2">
      <c r="A260" s="49" t="str">
        <v>0:00</v>
      </c>
      <c r="B260" s="108"/>
      <c r="C260" s="130"/>
      <c r="D260" s="130"/>
      <c r="E260" s="130"/>
      <c r="F260" s="130"/>
      <c r="G260" s="130"/>
      <c r="H260" s="130"/>
      <c r="I260" s="130"/>
      <c r="J260" s="130"/>
      <c r="K260" s="130"/>
      <c r="L260" s="130"/>
      <c r="M260" s="130"/>
      <c r="N260" s="130"/>
      <c r="O260" s="130"/>
      <c r="P260" s="130"/>
    </row>
    <row r="261" spans="1:16" x14ac:dyDescent="0.2">
      <c r="A261" s="49" t="str">
        <v>0:00</v>
      </c>
      <c r="B261" s="108"/>
      <c r="C261" s="130"/>
      <c r="D261" s="130"/>
      <c r="E261" s="130"/>
      <c r="F261" s="130"/>
      <c r="G261" s="130"/>
      <c r="H261" s="130"/>
      <c r="I261" s="130"/>
      <c r="J261" s="130"/>
      <c r="K261" s="130"/>
      <c r="L261" s="130"/>
      <c r="M261" s="130"/>
      <c r="N261" s="130"/>
      <c r="O261" s="130"/>
      <c r="P261" s="130"/>
    </row>
    <row r="262" spans="1:16" x14ac:dyDescent="0.2">
      <c r="A262" s="49" t="str">
        <v>0:00</v>
      </c>
      <c r="B262" s="108"/>
      <c r="C262" s="130"/>
      <c r="D262" s="130"/>
      <c r="E262" s="130"/>
      <c r="F262" s="130"/>
      <c r="G262" s="130"/>
      <c r="H262" s="130"/>
      <c r="I262" s="130"/>
      <c r="J262" s="130"/>
      <c r="K262" s="130"/>
      <c r="L262" s="130"/>
      <c r="M262" s="130"/>
      <c r="N262" s="130"/>
      <c r="O262" s="130"/>
      <c r="P262" s="130"/>
    </row>
    <row r="263" spans="1:16" x14ac:dyDescent="0.2">
      <c r="A263" s="49" t="str">
        <v>0:00</v>
      </c>
      <c r="B263" s="108"/>
      <c r="C263" s="130"/>
      <c r="D263" s="130"/>
      <c r="E263" s="130"/>
      <c r="F263" s="130"/>
      <c r="G263" s="130"/>
      <c r="H263" s="130"/>
      <c r="I263" s="130"/>
      <c r="J263" s="130"/>
      <c r="K263" s="130"/>
      <c r="L263" s="130"/>
      <c r="M263" s="130"/>
      <c r="N263" s="130"/>
      <c r="O263" s="130"/>
      <c r="P263" s="130"/>
    </row>
    <row r="264" spans="1:16" x14ac:dyDescent="0.2">
      <c r="A264" s="49" t="str">
        <v>0:00</v>
      </c>
      <c r="B264" s="108"/>
      <c r="C264" s="130"/>
      <c r="D264" s="130"/>
      <c r="E264" s="130"/>
      <c r="F264" s="130"/>
      <c r="G264" s="130"/>
      <c r="H264" s="130"/>
      <c r="I264" s="130"/>
      <c r="J264" s="130"/>
      <c r="K264" s="130"/>
      <c r="L264" s="130"/>
      <c r="M264" s="130"/>
      <c r="N264" s="130"/>
      <c r="O264" s="130"/>
      <c r="P264" s="130"/>
    </row>
    <row r="265" spans="1:16" x14ac:dyDescent="0.2">
      <c r="A265" s="49" t="str">
        <v>0:00</v>
      </c>
      <c r="B265" s="108"/>
      <c r="C265" s="130"/>
      <c r="D265" s="130"/>
      <c r="E265" s="130"/>
      <c r="F265" s="130"/>
      <c r="G265" s="130"/>
      <c r="H265" s="130"/>
      <c r="I265" s="130"/>
      <c r="J265" s="130"/>
      <c r="K265" s="130"/>
      <c r="L265" s="130"/>
      <c r="M265" s="130"/>
      <c r="N265" s="130"/>
      <c r="O265" s="130"/>
      <c r="P265" s="130"/>
    </row>
    <row r="266" spans="1:16" x14ac:dyDescent="0.2">
      <c r="A266" s="49" t="str">
        <v>0:00</v>
      </c>
      <c r="B266" s="108"/>
      <c r="C266" s="130"/>
      <c r="D266" s="130"/>
      <c r="E266" s="130"/>
      <c r="F266" s="130"/>
      <c r="G266" s="130"/>
      <c r="H266" s="130"/>
      <c r="I266" s="130"/>
      <c r="J266" s="130"/>
      <c r="K266" s="130"/>
      <c r="L266" s="130"/>
      <c r="M266" s="130"/>
      <c r="N266" s="130"/>
      <c r="O266" s="130"/>
      <c r="P266" s="130"/>
    </row>
    <row r="267" spans="1:16" x14ac:dyDescent="0.2">
      <c r="A267" s="49" t="str">
        <v>0:00</v>
      </c>
      <c r="B267" s="108"/>
      <c r="C267" s="130"/>
      <c r="D267" s="130"/>
      <c r="E267" s="130"/>
      <c r="F267" s="130"/>
      <c r="G267" s="130"/>
      <c r="H267" s="130"/>
      <c r="I267" s="130"/>
      <c r="J267" s="130"/>
      <c r="K267" s="130"/>
      <c r="L267" s="130"/>
      <c r="M267" s="130"/>
      <c r="N267" s="130"/>
      <c r="O267" s="130"/>
      <c r="P267" s="130"/>
    </row>
    <row r="268" spans="1:16" x14ac:dyDescent="0.2">
      <c r="A268" s="49" t="str">
        <v>0:00</v>
      </c>
      <c r="B268" s="108"/>
      <c r="C268" s="130"/>
      <c r="D268" s="130"/>
      <c r="E268" s="130"/>
      <c r="F268" s="130"/>
      <c r="G268" s="130"/>
      <c r="H268" s="130"/>
      <c r="I268" s="130"/>
      <c r="J268" s="130"/>
      <c r="K268" s="130"/>
      <c r="L268" s="130"/>
      <c r="M268" s="130"/>
      <c r="N268" s="130"/>
      <c r="O268" s="130"/>
      <c r="P268" s="130"/>
    </row>
    <row r="269" spans="1:16" x14ac:dyDescent="0.2">
      <c r="A269" s="49" t="str">
        <v>0:00</v>
      </c>
      <c r="B269" s="108"/>
      <c r="C269" s="130"/>
      <c r="D269" s="130"/>
      <c r="E269" s="130"/>
      <c r="F269" s="130"/>
      <c r="G269" s="130"/>
      <c r="H269" s="130"/>
      <c r="I269" s="130"/>
      <c r="J269" s="130"/>
      <c r="K269" s="130"/>
      <c r="L269" s="130"/>
      <c r="M269" s="130"/>
      <c r="N269" s="130"/>
      <c r="O269" s="130"/>
      <c r="P269" s="130"/>
    </row>
    <row r="270" spans="1:16" x14ac:dyDescent="0.2">
      <c r="A270" s="49" t="str">
        <v>0:00</v>
      </c>
      <c r="B270" s="108"/>
      <c r="C270" s="130"/>
      <c r="D270" s="130"/>
      <c r="E270" s="130"/>
      <c r="F270" s="130"/>
      <c r="G270" s="130"/>
      <c r="H270" s="130"/>
      <c r="I270" s="130"/>
      <c r="J270" s="130"/>
      <c r="K270" s="130"/>
      <c r="L270" s="130"/>
      <c r="M270" s="130"/>
      <c r="N270" s="130"/>
      <c r="O270" s="130"/>
      <c r="P270" s="130"/>
    </row>
    <row r="271" spans="1:16" x14ac:dyDescent="0.2">
      <c r="A271" s="49" t="str">
        <v>0:00</v>
      </c>
      <c r="B271" s="108"/>
      <c r="C271" s="130"/>
      <c r="D271" s="130"/>
      <c r="E271" s="130"/>
      <c r="F271" s="130"/>
      <c r="G271" s="130"/>
      <c r="H271" s="130"/>
      <c r="I271" s="130"/>
      <c r="J271" s="130"/>
      <c r="K271" s="130"/>
      <c r="L271" s="130"/>
      <c r="M271" s="130"/>
      <c r="N271" s="130"/>
      <c r="O271" s="130"/>
      <c r="P271" s="130"/>
    </row>
    <row r="272" spans="1:16" x14ac:dyDescent="0.2">
      <c r="A272" s="49" t="str">
        <v>0:00</v>
      </c>
      <c r="B272" s="108"/>
      <c r="C272" s="130"/>
      <c r="D272" s="130"/>
      <c r="E272" s="130"/>
      <c r="F272" s="130"/>
      <c r="G272" s="130"/>
      <c r="H272" s="130"/>
      <c r="I272" s="130"/>
      <c r="J272" s="130"/>
      <c r="K272" s="130"/>
      <c r="L272" s="130"/>
      <c r="M272" s="130"/>
      <c r="N272" s="130"/>
      <c r="O272" s="130"/>
      <c r="P272" s="130"/>
    </row>
    <row r="273" spans="1:16" x14ac:dyDescent="0.2">
      <c r="A273" s="49" t="str">
        <v>0:00</v>
      </c>
      <c r="B273" s="108"/>
      <c r="C273" s="130"/>
      <c r="D273" s="130"/>
      <c r="E273" s="130"/>
      <c r="F273" s="130"/>
      <c r="G273" s="130"/>
      <c r="H273" s="130"/>
      <c r="I273" s="130"/>
      <c r="J273" s="130"/>
      <c r="K273" s="130"/>
      <c r="L273" s="130"/>
      <c r="M273" s="130"/>
      <c r="N273" s="130"/>
      <c r="O273" s="130"/>
      <c r="P273" s="130"/>
    </row>
    <row r="274" spans="1:16" x14ac:dyDescent="0.2">
      <c r="A274" s="49" t="str">
        <v>0:00</v>
      </c>
      <c r="B274" s="108"/>
      <c r="C274" s="130"/>
      <c r="D274" s="130"/>
      <c r="E274" s="130"/>
      <c r="F274" s="130"/>
      <c r="G274" s="130"/>
      <c r="H274" s="130"/>
      <c r="I274" s="130"/>
      <c r="J274" s="130"/>
      <c r="K274" s="130"/>
      <c r="L274" s="130"/>
      <c r="M274" s="130"/>
      <c r="N274" s="130"/>
      <c r="O274" s="130"/>
      <c r="P274" s="130"/>
    </row>
    <row r="275" spans="1:16" x14ac:dyDescent="0.2">
      <c r="A275" s="49" t="str">
        <v>0:00</v>
      </c>
      <c r="B275" s="108"/>
      <c r="C275" s="130"/>
      <c r="D275" s="130"/>
      <c r="E275" s="130"/>
      <c r="F275" s="130"/>
      <c r="G275" s="130"/>
      <c r="H275" s="130"/>
      <c r="I275" s="130"/>
      <c r="J275" s="130"/>
      <c r="K275" s="130"/>
      <c r="L275" s="130"/>
      <c r="M275" s="130"/>
      <c r="N275" s="130"/>
      <c r="O275" s="130"/>
      <c r="P275" s="130"/>
    </row>
    <row r="276" spans="1:16" x14ac:dyDescent="0.2">
      <c r="A276" s="49" t="str">
        <v>0:00</v>
      </c>
      <c r="B276" s="108"/>
      <c r="C276" s="130"/>
      <c r="D276" s="130"/>
      <c r="E276" s="130"/>
      <c r="F276" s="130"/>
      <c r="G276" s="130"/>
      <c r="H276" s="130"/>
      <c r="I276" s="130"/>
      <c r="J276" s="130"/>
      <c r="K276" s="130"/>
      <c r="L276" s="130"/>
      <c r="M276" s="130"/>
      <c r="N276" s="130"/>
      <c r="O276" s="130"/>
      <c r="P276" s="130"/>
    </row>
    <row r="277" spans="1:16" x14ac:dyDescent="0.2">
      <c r="A277" s="49" t="str">
        <v>0:00</v>
      </c>
      <c r="B277" s="108"/>
      <c r="C277" s="130"/>
      <c r="D277" s="130"/>
      <c r="E277" s="130"/>
      <c r="F277" s="130"/>
      <c r="G277" s="130"/>
      <c r="H277" s="130"/>
      <c r="I277" s="130"/>
      <c r="J277" s="130"/>
      <c r="K277" s="130"/>
      <c r="L277" s="130"/>
      <c r="M277" s="130"/>
      <c r="N277" s="130"/>
      <c r="O277" s="130"/>
      <c r="P277" s="130"/>
    </row>
    <row r="278" spans="1:16" x14ac:dyDescent="0.2">
      <c r="A278" s="49" t="str">
        <v>0:00</v>
      </c>
      <c r="B278" s="108"/>
      <c r="C278" s="130"/>
      <c r="D278" s="130"/>
      <c r="E278" s="130"/>
      <c r="F278" s="130"/>
      <c r="G278" s="130"/>
      <c r="H278" s="130"/>
      <c r="I278" s="130"/>
      <c r="J278" s="130"/>
      <c r="K278" s="130"/>
      <c r="L278" s="130"/>
      <c r="M278" s="130"/>
      <c r="N278" s="130"/>
      <c r="O278" s="130"/>
      <c r="P278" s="130"/>
    </row>
    <row r="279" spans="1:16" x14ac:dyDescent="0.2">
      <c r="A279" s="49" t="str">
        <v>0:00</v>
      </c>
      <c r="B279" s="108"/>
      <c r="C279" s="130"/>
      <c r="D279" s="130"/>
      <c r="E279" s="130"/>
      <c r="F279" s="130"/>
      <c r="G279" s="130"/>
      <c r="H279" s="130"/>
      <c r="I279" s="130"/>
      <c r="J279" s="130"/>
      <c r="K279" s="130"/>
      <c r="L279" s="130"/>
      <c r="M279" s="130"/>
      <c r="N279" s="130"/>
      <c r="O279" s="130"/>
      <c r="P279" s="130"/>
    </row>
    <row r="280" spans="1:16" x14ac:dyDescent="0.2">
      <c r="A280" s="49" t="str">
        <v>0:00</v>
      </c>
      <c r="B280" s="108"/>
      <c r="C280" s="130"/>
      <c r="D280" s="130"/>
      <c r="E280" s="130"/>
      <c r="F280" s="130"/>
      <c r="G280" s="130"/>
      <c r="H280" s="130"/>
      <c r="I280" s="130"/>
      <c r="J280" s="130"/>
      <c r="K280" s="130"/>
      <c r="L280" s="130"/>
      <c r="M280" s="130"/>
      <c r="N280" s="130"/>
      <c r="O280" s="130"/>
      <c r="P280" s="130"/>
    </row>
    <row r="281" spans="1:16" x14ac:dyDescent="0.2">
      <c r="A281" s="49" t="str">
        <v>0:00</v>
      </c>
      <c r="B281" s="108"/>
      <c r="C281" s="130"/>
      <c r="D281" s="130"/>
      <c r="E281" s="130"/>
      <c r="F281" s="130"/>
      <c r="G281" s="130"/>
      <c r="H281" s="130"/>
      <c r="I281" s="130"/>
      <c r="J281" s="130"/>
      <c r="K281" s="130"/>
      <c r="L281" s="130"/>
      <c r="M281" s="130"/>
      <c r="N281" s="130"/>
      <c r="O281" s="130"/>
      <c r="P281" s="130"/>
    </row>
    <row r="282" spans="1:16" x14ac:dyDescent="0.2">
      <c r="A282" s="49" t="str">
        <v>0:00</v>
      </c>
      <c r="B282" s="108"/>
      <c r="C282" s="130"/>
      <c r="D282" s="130"/>
      <c r="E282" s="130"/>
      <c r="F282" s="130"/>
      <c r="G282" s="130"/>
      <c r="H282" s="130"/>
      <c r="I282" s="130"/>
      <c r="J282" s="130"/>
      <c r="K282" s="130"/>
      <c r="L282" s="130"/>
      <c r="M282" s="130"/>
      <c r="N282" s="130"/>
      <c r="O282" s="130"/>
      <c r="P282" s="130"/>
    </row>
    <row r="283" spans="1:16" x14ac:dyDescent="0.2">
      <c r="A283" s="49" t="str">
        <v>0:00</v>
      </c>
      <c r="B283" s="108"/>
      <c r="C283" s="130"/>
      <c r="D283" s="130"/>
      <c r="E283" s="130"/>
      <c r="F283" s="130"/>
      <c r="G283" s="130"/>
      <c r="H283" s="130"/>
      <c r="I283" s="130"/>
      <c r="J283" s="130"/>
      <c r="K283" s="130"/>
      <c r="L283" s="130"/>
      <c r="M283" s="130"/>
      <c r="N283" s="130"/>
      <c r="O283" s="130"/>
      <c r="P283" s="130"/>
    </row>
    <row r="284" spans="1:16" x14ac:dyDescent="0.2">
      <c r="A284" s="49" t="str">
        <v>0:00</v>
      </c>
      <c r="B284" s="108"/>
      <c r="C284" s="130"/>
      <c r="D284" s="130"/>
      <c r="E284" s="130"/>
      <c r="F284" s="130"/>
      <c r="G284" s="130"/>
      <c r="H284" s="130"/>
      <c r="I284" s="130"/>
      <c r="J284" s="130"/>
      <c r="K284" s="130"/>
      <c r="L284" s="130"/>
      <c r="M284" s="130"/>
      <c r="N284" s="130"/>
      <c r="O284" s="130"/>
      <c r="P284" s="130"/>
    </row>
    <row r="285" spans="1:16" x14ac:dyDescent="0.2">
      <c r="A285" s="49" t="str">
        <v>0:00</v>
      </c>
      <c r="B285" s="108"/>
      <c r="C285" s="130"/>
      <c r="D285" s="130"/>
      <c r="E285" s="130"/>
      <c r="F285" s="130"/>
      <c r="G285" s="130"/>
      <c r="H285" s="130"/>
      <c r="I285" s="130"/>
      <c r="J285" s="130"/>
      <c r="K285" s="130"/>
      <c r="L285" s="130"/>
      <c r="M285" s="130"/>
      <c r="N285" s="130"/>
      <c r="O285" s="130"/>
      <c r="P285" s="130"/>
    </row>
    <row r="286" spans="1:16" x14ac:dyDescent="0.2">
      <c r="A286" s="49" t="str">
        <v>0:00</v>
      </c>
      <c r="B286" s="108"/>
      <c r="C286" s="130"/>
      <c r="D286" s="130"/>
      <c r="E286" s="130"/>
      <c r="F286" s="130"/>
      <c r="G286" s="130"/>
      <c r="H286" s="130"/>
      <c r="I286" s="130"/>
      <c r="J286" s="130"/>
      <c r="K286" s="130"/>
      <c r="L286" s="130"/>
      <c r="M286" s="130"/>
      <c r="N286" s="130"/>
      <c r="O286" s="130"/>
      <c r="P286" s="130"/>
    </row>
    <row r="287" spans="1:16" x14ac:dyDescent="0.2">
      <c r="A287" s="49" t="str">
        <v>0:00</v>
      </c>
      <c r="B287" s="108"/>
      <c r="C287" s="130"/>
      <c r="D287" s="130"/>
      <c r="E287" s="130"/>
      <c r="F287" s="130"/>
      <c r="G287" s="130"/>
      <c r="H287" s="130"/>
      <c r="I287" s="130"/>
      <c r="J287" s="130"/>
      <c r="K287" s="130"/>
      <c r="L287" s="130"/>
      <c r="M287" s="130"/>
      <c r="N287" s="130"/>
      <c r="O287" s="130"/>
      <c r="P287" s="130"/>
    </row>
    <row r="288" spans="1:16" x14ac:dyDescent="0.2">
      <c r="A288" s="49" t="str">
        <v>0:00</v>
      </c>
      <c r="B288" s="108"/>
      <c r="C288" s="130"/>
      <c r="D288" s="130"/>
      <c r="E288" s="130"/>
      <c r="F288" s="130"/>
      <c r="G288" s="130"/>
      <c r="H288" s="130"/>
      <c r="I288" s="130"/>
      <c r="J288" s="130"/>
      <c r="K288" s="130"/>
      <c r="L288" s="130"/>
      <c r="M288" s="130"/>
      <c r="N288" s="130"/>
      <c r="O288" s="130"/>
      <c r="P288" s="130"/>
    </row>
    <row r="289" spans="1:16" x14ac:dyDescent="0.2">
      <c r="A289" s="49" t="str">
        <v>0:00</v>
      </c>
      <c r="B289" s="108"/>
      <c r="C289" s="130"/>
      <c r="D289" s="130"/>
      <c r="E289" s="130"/>
      <c r="F289" s="130"/>
      <c r="G289" s="130"/>
      <c r="H289" s="130"/>
      <c r="I289" s="130"/>
      <c r="J289" s="130"/>
      <c r="K289" s="130"/>
      <c r="L289" s="130"/>
      <c r="M289" s="130"/>
      <c r="N289" s="130"/>
      <c r="O289" s="130"/>
      <c r="P289" s="130"/>
    </row>
    <row r="290" spans="1:16" x14ac:dyDescent="0.2">
      <c r="A290" s="49" t="str">
        <v>0:00</v>
      </c>
      <c r="B290" s="108"/>
      <c r="C290" s="130"/>
      <c r="D290" s="130"/>
      <c r="E290" s="130"/>
      <c r="F290" s="130"/>
      <c r="G290" s="130"/>
      <c r="H290" s="130"/>
      <c r="I290" s="130"/>
      <c r="J290" s="130"/>
      <c r="K290" s="130"/>
      <c r="L290" s="130"/>
      <c r="M290" s="130"/>
      <c r="N290" s="130"/>
      <c r="O290" s="130"/>
      <c r="P290" s="130"/>
    </row>
    <row r="291" spans="1:16" x14ac:dyDescent="0.2">
      <c r="A291" s="49" t="str">
        <v>0:00</v>
      </c>
      <c r="B291" s="108"/>
      <c r="C291" s="130"/>
      <c r="D291" s="130"/>
      <c r="E291" s="130"/>
      <c r="F291" s="130"/>
      <c r="G291" s="130"/>
      <c r="H291" s="130"/>
      <c r="I291" s="130"/>
      <c r="J291" s="130"/>
      <c r="K291" s="130"/>
      <c r="L291" s="130"/>
      <c r="M291" s="130"/>
      <c r="N291" s="130"/>
      <c r="O291" s="130"/>
      <c r="P291" s="130"/>
    </row>
    <row r="292" spans="1:16" x14ac:dyDescent="0.2">
      <c r="A292" s="49" t="str">
        <v>0:00</v>
      </c>
      <c r="B292" s="108"/>
      <c r="C292" s="130"/>
      <c r="D292" s="130"/>
      <c r="E292" s="130"/>
      <c r="F292" s="130"/>
      <c r="G292" s="130"/>
      <c r="H292" s="130"/>
      <c r="I292" s="130"/>
      <c r="J292" s="130"/>
      <c r="K292" s="130"/>
      <c r="L292" s="130"/>
      <c r="M292" s="130"/>
      <c r="N292" s="130"/>
      <c r="O292" s="130"/>
      <c r="P292" s="130"/>
    </row>
    <row r="293" spans="1:16" x14ac:dyDescent="0.2">
      <c r="A293" s="49" t="str">
        <v>0:00</v>
      </c>
      <c r="B293" s="108"/>
      <c r="C293" s="130"/>
      <c r="D293" s="130"/>
      <c r="E293" s="130"/>
      <c r="F293" s="130"/>
      <c r="G293" s="130"/>
      <c r="H293" s="130"/>
      <c r="I293" s="130"/>
      <c r="J293" s="130"/>
      <c r="K293" s="130"/>
      <c r="L293" s="130"/>
      <c r="M293" s="130"/>
      <c r="N293" s="130"/>
      <c r="O293" s="130"/>
      <c r="P293" s="130"/>
    </row>
    <row r="294" spans="1:16" x14ac:dyDescent="0.2">
      <c r="A294" s="49" t="str">
        <v>0:00</v>
      </c>
      <c r="B294" s="108"/>
      <c r="C294" s="130"/>
      <c r="D294" s="130"/>
      <c r="E294" s="130"/>
      <c r="F294" s="130"/>
      <c r="G294" s="130"/>
      <c r="H294" s="130"/>
      <c r="I294" s="130"/>
      <c r="J294" s="130"/>
      <c r="K294" s="130"/>
      <c r="L294" s="130"/>
      <c r="M294" s="130"/>
      <c r="N294" s="130"/>
      <c r="O294" s="130"/>
      <c r="P294" s="130"/>
    </row>
    <row r="295" spans="1:16" x14ac:dyDescent="0.2">
      <c r="A295" s="49" t="str">
        <v>0:00</v>
      </c>
      <c r="B295" s="108"/>
      <c r="C295" s="130"/>
      <c r="D295" s="130"/>
      <c r="E295" s="130"/>
      <c r="F295" s="130"/>
      <c r="G295" s="130"/>
      <c r="H295" s="130"/>
      <c r="I295" s="130"/>
      <c r="J295" s="130"/>
      <c r="K295" s="130"/>
      <c r="L295" s="130"/>
      <c r="M295" s="130"/>
      <c r="N295" s="130"/>
      <c r="O295" s="130"/>
      <c r="P295" s="130"/>
    </row>
    <row r="296" spans="1:16" x14ac:dyDescent="0.2">
      <c r="A296" s="49" t="str">
        <v>0:00</v>
      </c>
      <c r="B296" s="108"/>
      <c r="C296" s="130"/>
      <c r="D296" s="130"/>
      <c r="E296" s="130"/>
      <c r="F296" s="130"/>
      <c r="G296" s="130"/>
      <c r="H296" s="130"/>
      <c r="I296" s="130"/>
      <c r="J296" s="130"/>
      <c r="K296" s="130"/>
      <c r="L296" s="130"/>
      <c r="M296" s="130"/>
      <c r="N296" s="130"/>
      <c r="O296" s="130"/>
      <c r="P296" s="130"/>
    </row>
    <row r="297" spans="1:16" x14ac:dyDescent="0.2">
      <c r="A297" s="49" t="str">
        <v>0:00</v>
      </c>
      <c r="B297" s="108"/>
      <c r="C297" s="130"/>
      <c r="D297" s="130"/>
      <c r="E297" s="130"/>
      <c r="F297" s="130"/>
      <c r="G297" s="130"/>
      <c r="H297" s="130"/>
      <c r="I297" s="130"/>
      <c r="J297" s="130"/>
      <c r="K297" s="130"/>
      <c r="L297" s="130"/>
      <c r="M297" s="130"/>
      <c r="N297" s="130"/>
      <c r="O297" s="130"/>
      <c r="P297" s="130"/>
    </row>
    <row r="298" spans="1:16" x14ac:dyDescent="0.2">
      <c r="A298" s="49" t="str">
        <v>0:00</v>
      </c>
      <c r="B298" s="108"/>
      <c r="C298" s="130"/>
      <c r="D298" s="130"/>
      <c r="E298" s="130"/>
      <c r="F298" s="130"/>
      <c r="G298" s="130"/>
      <c r="H298" s="130"/>
      <c r="I298" s="130"/>
      <c r="J298" s="130"/>
      <c r="K298" s="130"/>
      <c r="L298" s="130"/>
      <c r="M298" s="130"/>
      <c r="N298" s="130"/>
      <c r="O298" s="130"/>
      <c r="P298" s="130"/>
    </row>
    <row r="299" spans="1:16" x14ac:dyDescent="0.2">
      <c r="A299" s="49" t="str">
        <v>0:00</v>
      </c>
      <c r="B299" s="108"/>
      <c r="C299" s="130"/>
      <c r="D299" s="130"/>
      <c r="E299" s="130"/>
      <c r="F299" s="130"/>
      <c r="G299" s="130"/>
      <c r="H299" s="130"/>
      <c r="I299" s="130"/>
      <c r="J299" s="130"/>
      <c r="K299" s="130"/>
      <c r="L299" s="130"/>
      <c r="M299" s="130"/>
      <c r="N299" s="130"/>
      <c r="O299" s="130"/>
      <c r="P299" s="130"/>
    </row>
    <row r="300" spans="1:16" x14ac:dyDescent="0.2">
      <c r="A300" s="49" t="str">
        <v>0:00</v>
      </c>
      <c r="B300" s="108"/>
      <c r="C300" s="130"/>
      <c r="D300" s="130"/>
      <c r="E300" s="130"/>
      <c r="F300" s="130"/>
      <c r="G300" s="130"/>
      <c r="H300" s="130"/>
      <c r="I300" s="130"/>
      <c r="J300" s="130"/>
      <c r="K300" s="130"/>
      <c r="L300" s="130"/>
      <c r="M300" s="130"/>
      <c r="N300" s="130"/>
      <c r="O300" s="130"/>
      <c r="P300" s="130"/>
    </row>
    <row r="301" spans="1:16" x14ac:dyDescent="0.2">
      <c r="A301" s="49" t="str">
        <v>0:00</v>
      </c>
      <c r="B301" s="108"/>
      <c r="C301" s="130"/>
      <c r="D301" s="130"/>
      <c r="E301" s="130"/>
      <c r="F301" s="130"/>
      <c r="G301" s="130"/>
      <c r="H301" s="130"/>
      <c r="I301" s="130"/>
      <c r="J301" s="130"/>
      <c r="K301" s="130"/>
      <c r="L301" s="130"/>
      <c r="M301" s="130"/>
      <c r="N301" s="130"/>
      <c r="O301" s="130"/>
      <c r="P301" s="130"/>
    </row>
    <row r="302" spans="1:16" x14ac:dyDescent="0.2">
      <c r="A302" s="49" t="str">
        <v>0:00</v>
      </c>
      <c r="B302" s="108"/>
      <c r="C302" s="130"/>
      <c r="D302" s="130"/>
      <c r="E302" s="130"/>
      <c r="F302" s="130"/>
      <c r="G302" s="130"/>
      <c r="H302" s="130"/>
      <c r="I302" s="130"/>
      <c r="J302" s="130"/>
      <c r="K302" s="130"/>
      <c r="L302" s="130"/>
      <c r="M302" s="130"/>
      <c r="N302" s="130"/>
      <c r="O302" s="130"/>
      <c r="P302" s="130"/>
    </row>
    <row r="303" spans="1:16" x14ac:dyDescent="0.2">
      <c r="A303" s="49" t="str">
        <v>0:00</v>
      </c>
      <c r="B303" s="108"/>
      <c r="C303" s="130"/>
      <c r="D303" s="130"/>
      <c r="E303" s="130"/>
      <c r="F303" s="130"/>
      <c r="G303" s="130"/>
      <c r="H303" s="130"/>
      <c r="I303" s="130"/>
      <c r="J303" s="130"/>
      <c r="K303" s="130"/>
      <c r="L303" s="130"/>
      <c r="M303" s="130"/>
      <c r="N303" s="130"/>
      <c r="O303" s="130"/>
      <c r="P303" s="130"/>
    </row>
    <row r="304" spans="1:16" x14ac:dyDescent="0.2">
      <c r="A304" s="49" t="str">
        <v>0:00</v>
      </c>
      <c r="B304" s="108"/>
      <c r="C304" s="130"/>
      <c r="D304" s="130"/>
      <c r="E304" s="130"/>
      <c r="F304" s="130"/>
      <c r="G304" s="130"/>
      <c r="H304" s="130"/>
      <c r="I304" s="130"/>
      <c r="J304" s="130"/>
      <c r="K304" s="130"/>
      <c r="L304" s="130"/>
      <c r="M304" s="130"/>
      <c r="N304" s="130"/>
      <c r="O304" s="130"/>
      <c r="P304" s="130"/>
    </row>
    <row r="305" spans="1:16" x14ac:dyDescent="0.2">
      <c r="A305" s="49" t="str">
        <v>0:00</v>
      </c>
      <c r="B305" s="108"/>
      <c r="C305" s="130"/>
      <c r="D305" s="130"/>
      <c r="E305" s="130"/>
      <c r="F305" s="130"/>
      <c r="G305" s="130"/>
      <c r="H305" s="130"/>
      <c r="I305" s="130"/>
      <c r="J305" s="130"/>
      <c r="K305" s="130"/>
      <c r="L305" s="130"/>
      <c r="M305" s="130"/>
      <c r="N305" s="130"/>
      <c r="O305" s="130"/>
      <c r="P305" s="130"/>
    </row>
    <row r="306" spans="1:16" x14ac:dyDescent="0.2">
      <c r="A306" s="49" t="str">
        <v>0:00</v>
      </c>
      <c r="B306" s="108"/>
      <c r="C306" s="130"/>
      <c r="D306" s="130"/>
      <c r="E306" s="130"/>
      <c r="F306" s="130"/>
      <c r="G306" s="130"/>
      <c r="H306" s="130"/>
      <c r="I306" s="130"/>
      <c r="J306" s="130"/>
      <c r="K306" s="130"/>
      <c r="L306" s="130"/>
      <c r="M306" s="130"/>
      <c r="N306" s="130"/>
      <c r="O306" s="130"/>
      <c r="P306" s="130"/>
    </row>
    <row r="307" spans="1:16" x14ac:dyDescent="0.2">
      <c r="A307" s="49" t="str">
        <v>0:00</v>
      </c>
      <c r="B307" s="108"/>
      <c r="C307" s="130"/>
      <c r="D307" s="130"/>
      <c r="E307" s="130"/>
      <c r="F307" s="130"/>
      <c r="G307" s="130"/>
      <c r="H307" s="130"/>
      <c r="I307" s="130"/>
      <c r="J307" s="130"/>
      <c r="K307" s="130"/>
      <c r="L307" s="130"/>
      <c r="M307" s="130"/>
      <c r="N307" s="130"/>
      <c r="O307" s="130"/>
      <c r="P307" s="130"/>
    </row>
    <row r="308" spans="1:16" x14ac:dyDescent="0.2">
      <c r="A308" s="49" t="str">
        <v>0:00</v>
      </c>
      <c r="B308" s="108"/>
      <c r="C308" s="130"/>
      <c r="D308" s="130"/>
      <c r="E308" s="130"/>
      <c r="F308" s="130"/>
      <c r="G308" s="130"/>
      <c r="H308" s="130"/>
      <c r="I308" s="130"/>
      <c r="J308" s="130"/>
      <c r="K308" s="130"/>
      <c r="L308" s="130"/>
      <c r="M308" s="130"/>
      <c r="N308" s="130"/>
      <c r="O308" s="130"/>
      <c r="P308" s="130"/>
    </row>
    <row r="309" spans="1:16" x14ac:dyDescent="0.2">
      <c r="A309" s="49" t="str">
        <v>0:00</v>
      </c>
      <c r="B309" s="108"/>
      <c r="C309" s="130"/>
      <c r="D309" s="130"/>
      <c r="E309" s="130"/>
      <c r="F309" s="130"/>
      <c r="G309" s="130"/>
      <c r="H309" s="130"/>
      <c r="I309" s="130"/>
      <c r="J309" s="130"/>
      <c r="K309" s="130"/>
      <c r="L309" s="130"/>
      <c r="M309" s="130"/>
      <c r="N309" s="130"/>
      <c r="O309" s="130"/>
      <c r="P309" s="130"/>
    </row>
    <row r="310" spans="1:16" x14ac:dyDescent="0.2">
      <c r="A310" s="49" t="str">
        <v>0:00</v>
      </c>
      <c r="B310" s="108"/>
      <c r="C310" s="130"/>
      <c r="D310" s="130"/>
      <c r="E310" s="130"/>
      <c r="F310" s="130"/>
      <c r="G310" s="130"/>
      <c r="H310" s="130"/>
      <c r="I310" s="130"/>
      <c r="J310" s="130"/>
      <c r="K310" s="130"/>
      <c r="L310" s="130"/>
      <c r="M310" s="130"/>
      <c r="N310" s="130"/>
      <c r="O310" s="130"/>
      <c r="P310" s="130"/>
    </row>
    <row r="311" spans="1:16" x14ac:dyDescent="0.2">
      <c r="A311" s="49" t="str">
        <v>0:00</v>
      </c>
      <c r="B311" s="108"/>
      <c r="C311" s="130"/>
      <c r="D311" s="130"/>
      <c r="E311" s="130"/>
      <c r="F311" s="130"/>
      <c r="G311" s="130"/>
      <c r="H311" s="130"/>
      <c r="I311" s="130"/>
      <c r="J311" s="130"/>
      <c r="K311" s="130"/>
      <c r="L311" s="130"/>
      <c r="M311" s="130"/>
      <c r="N311" s="130"/>
      <c r="O311" s="130"/>
      <c r="P311" s="130"/>
    </row>
    <row r="312" spans="1:16" x14ac:dyDescent="0.2">
      <c r="A312" s="49" t="str">
        <v>0:00</v>
      </c>
      <c r="B312" s="108"/>
      <c r="C312" s="130"/>
      <c r="D312" s="130"/>
      <c r="E312" s="130"/>
      <c r="F312" s="130"/>
      <c r="G312" s="130"/>
      <c r="H312" s="130"/>
      <c r="I312" s="130"/>
      <c r="J312" s="130"/>
      <c r="K312" s="130"/>
      <c r="L312" s="130"/>
      <c r="M312" s="130"/>
      <c r="N312" s="130"/>
      <c r="O312" s="130"/>
      <c r="P312" s="130"/>
    </row>
    <row r="313" spans="1:16" x14ac:dyDescent="0.2">
      <c r="A313" s="49" t="str">
        <v>0:00</v>
      </c>
      <c r="B313" s="108"/>
      <c r="C313" s="130"/>
      <c r="D313" s="130"/>
      <c r="E313" s="130"/>
      <c r="F313" s="130"/>
      <c r="G313" s="130"/>
      <c r="H313" s="130"/>
      <c r="I313" s="130"/>
      <c r="J313" s="130"/>
      <c r="K313" s="130"/>
      <c r="L313" s="130"/>
      <c r="M313" s="130"/>
      <c r="N313" s="130"/>
      <c r="O313" s="130"/>
      <c r="P313" s="130"/>
    </row>
    <row r="314" spans="1:16" x14ac:dyDescent="0.2">
      <c r="A314" s="49" t="str">
        <v>0:00</v>
      </c>
      <c r="B314" s="108"/>
      <c r="C314" s="130"/>
      <c r="D314" s="130"/>
      <c r="E314" s="130"/>
      <c r="F314" s="130"/>
      <c r="G314" s="130"/>
      <c r="H314" s="130"/>
      <c r="I314" s="130"/>
      <c r="J314" s="130"/>
      <c r="K314" s="130"/>
      <c r="L314" s="130"/>
      <c r="M314" s="130"/>
      <c r="N314" s="130"/>
      <c r="O314" s="130"/>
      <c r="P314" s="130"/>
    </row>
    <row r="315" spans="1:16" x14ac:dyDescent="0.2">
      <c r="A315" s="49" t="str">
        <v>0:00</v>
      </c>
      <c r="B315" s="108"/>
      <c r="C315" s="130"/>
      <c r="D315" s="130"/>
      <c r="E315" s="130"/>
      <c r="F315" s="130"/>
      <c r="G315" s="130"/>
      <c r="H315" s="130"/>
      <c r="I315" s="130"/>
      <c r="J315" s="130"/>
      <c r="K315" s="130"/>
      <c r="L315" s="130"/>
      <c r="M315" s="130"/>
      <c r="N315" s="130"/>
      <c r="O315" s="130"/>
      <c r="P315" s="130"/>
    </row>
    <row r="316" spans="1:16" x14ac:dyDescent="0.2">
      <c r="A316" s="49" t="str">
        <v>0:00</v>
      </c>
      <c r="B316" s="108"/>
      <c r="C316" s="130"/>
      <c r="D316" s="130"/>
      <c r="E316" s="130"/>
      <c r="F316" s="130"/>
      <c r="G316" s="130"/>
      <c r="H316" s="130"/>
      <c r="I316" s="130"/>
      <c r="J316" s="130"/>
      <c r="K316" s="130"/>
      <c r="L316" s="130"/>
      <c r="M316" s="130"/>
      <c r="N316" s="130"/>
      <c r="O316" s="130"/>
      <c r="P316" s="130"/>
    </row>
    <row r="317" spans="1:16" x14ac:dyDescent="0.2">
      <c r="A317" s="49" t="str">
        <v>0:00</v>
      </c>
      <c r="B317" s="108"/>
      <c r="C317" s="130"/>
      <c r="D317" s="130"/>
      <c r="E317" s="130"/>
      <c r="F317" s="130"/>
      <c r="G317" s="130"/>
      <c r="H317" s="130"/>
      <c r="I317" s="130"/>
      <c r="J317" s="130"/>
      <c r="K317" s="130"/>
      <c r="L317" s="130"/>
      <c r="M317" s="130"/>
      <c r="N317" s="130"/>
      <c r="O317" s="130"/>
      <c r="P317" s="130"/>
    </row>
    <row r="318" spans="1:16" x14ac:dyDescent="0.2">
      <c r="A318" s="49" t="str">
        <v>0:00</v>
      </c>
      <c r="B318" s="108"/>
      <c r="C318" s="130"/>
      <c r="D318" s="130"/>
      <c r="E318" s="130"/>
      <c r="F318" s="130"/>
      <c r="G318" s="130"/>
      <c r="H318" s="130"/>
      <c r="I318" s="130"/>
      <c r="J318" s="130"/>
      <c r="K318" s="130"/>
      <c r="L318" s="130"/>
      <c r="M318" s="130"/>
      <c r="N318" s="130"/>
      <c r="O318" s="130"/>
      <c r="P318" s="130"/>
    </row>
    <row r="319" spans="1:16" x14ac:dyDescent="0.2">
      <c r="A319" s="49" t="str">
        <v>0:00</v>
      </c>
      <c r="B319" s="108"/>
      <c r="C319" s="130"/>
      <c r="D319" s="130"/>
      <c r="E319" s="130"/>
      <c r="F319" s="130"/>
      <c r="G319" s="130"/>
      <c r="H319" s="130"/>
      <c r="I319" s="130"/>
      <c r="J319" s="130"/>
      <c r="K319" s="130"/>
      <c r="L319" s="130"/>
      <c r="M319" s="130"/>
      <c r="N319" s="130"/>
      <c r="O319" s="130"/>
      <c r="P319" s="130"/>
    </row>
    <row r="320" spans="1:16" x14ac:dyDescent="0.2">
      <c r="A320" s="49" t="str">
        <v>0:00</v>
      </c>
      <c r="B320" s="108"/>
      <c r="C320" s="130"/>
      <c r="D320" s="130"/>
      <c r="E320" s="130"/>
      <c r="F320" s="130"/>
      <c r="G320" s="130"/>
      <c r="H320" s="130"/>
      <c r="I320" s="130"/>
      <c r="J320" s="130"/>
      <c r="K320" s="130"/>
      <c r="L320" s="130"/>
      <c r="M320" s="130"/>
      <c r="N320" s="130"/>
      <c r="O320" s="130"/>
      <c r="P320" s="130"/>
    </row>
    <row r="321" spans="1:16" x14ac:dyDescent="0.2">
      <c r="A321" s="49" t="str">
        <v>0:00</v>
      </c>
      <c r="B321" s="108"/>
      <c r="C321" s="130"/>
      <c r="D321" s="130"/>
      <c r="E321" s="130"/>
      <c r="F321" s="130"/>
      <c r="G321" s="130"/>
      <c r="H321" s="130"/>
      <c r="I321" s="130"/>
      <c r="J321" s="130"/>
      <c r="K321" s="130"/>
      <c r="L321" s="130"/>
      <c r="M321" s="130"/>
      <c r="N321" s="130"/>
      <c r="O321" s="130"/>
      <c r="P321" s="130"/>
    </row>
    <row r="322" spans="1:16" x14ac:dyDescent="0.2">
      <c r="A322" s="49" t="str">
        <v>0:00</v>
      </c>
      <c r="B322" s="108"/>
      <c r="C322" s="130"/>
      <c r="D322" s="130"/>
      <c r="E322" s="130"/>
      <c r="F322" s="130"/>
      <c r="G322" s="130"/>
      <c r="H322" s="130"/>
      <c r="I322" s="130"/>
      <c r="J322" s="130"/>
      <c r="K322" s="130"/>
      <c r="L322" s="130"/>
      <c r="M322" s="130"/>
      <c r="N322" s="130"/>
      <c r="O322" s="130"/>
      <c r="P322" s="130"/>
    </row>
    <row r="323" spans="1:16" x14ac:dyDescent="0.2">
      <c r="A323" s="49" t="str">
        <v>0:00</v>
      </c>
      <c r="B323" s="108"/>
      <c r="C323" s="130"/>
      <c r="D323" s="130"/>
      <c r="E323" s="130"/>
      <c r="F323" s="130"/>
      <c r="G323" s="130"/>
      <c r="H323" s="130"/>
      <c r="I323" s="130"/>
      <c r="J323" s="130"/>
      <c r="K323" s="130"/>
      <c r="L323" s="130"/>
      <c r="M323" s="130"/>
      <c r="N323" s="130"/>
      <c r="O323" s="130"/>
      <c r="P323" s="130"/>
    </row>
    <row r="324" spans="1:16" x14ac:dyDescent="0.2">
      <c r="A324" s="49" t="str">
        <v>0:00</v>
      </c>
      <c r="B324" s="108"/>
      <c r="C324" s="130"/>
      <c r="D324" s="130"/>
      <c r="E324" s="130"/>
      <c r="F324" s="130"/>
      <c r="G324" s="130"/>
      <c r="H324" s="130"/>
      <c r="I324" s="130"/>
      <c r="J324" s="130"/>
      <c r="K324" s="130"/>
      <c r="L324" s="130"/>
      <c r="M324" s="130"/>
      <c r="N324" s="130"/>
      <c r="O324" s="130"/>
      <c r="P324" s="130"/>
    </row>
    <row r="325" spans="1:16" x14ac:dyDescent="0.2">
      <c r="A325" s="49" t="str">
        <v>0:00</v>
      </c>
      <c r="B325" s="108"/>
      <c r="C325" s="130"/>
      <c r="D325" s="130"/>
      <c r="E325" s="130"/>
      <c r="F325" s="130"/>
      <c r="G325" s="130"/>
      <c r="H325" s="130"/>
      <c r="I325" s="130"/>
      <c r="J325" s="130"/>
      <c r="K325" s="130"/>
      <c r="L325" s="130"/>
      <c r="M325" s="130"/>
      <c r="N325" s="130"/>
      <c r="O325" s="130"/>
      <c r="P325" s="130"/>
    </row>
    <row r="326" spans="1:16" x14ac:dyDescent="0.2">
      <c r="A326" s="49" t="str">
        <v>0:00</v>
      </c>
      <c r="B326" s="108"/>
      <c r="C326" s="130"/>
      <c r="D326" s="130"/>
      <c r="E326" s="130"/>
      <c r="F326" s="130"/>
      <c r="G326" s="130"/>
      <c r="H326" s="130"/>
      <c r="I326" s="130"/>
      <c r="J326" s="130"/>
      <c r="K326" s="130"/>
      <c r="L326" s="130"/>
      <c r="M326" s="130"/>
      <c r="N326" s="130"/>
      <c r="O326" s="130"/>
      <c r="P326" s="130"/>
    </row>
    <row r="327" spans="1:16" x14ac:dyDescent="0.2">
      <c r="A327" s="49" t="str">
        <v>0:00</v>
      </c>
      <c r="B327" s="108"/>
      <c r="C327" s="130"/>
      <c r="D327" s="130"/>
      <c r="E327" s="130"/>
      <c r="F327" s="130"/>
      <c r="G327" s="130"/>
      <c r="H327" s="130"/>
      <c r="I327" s="130"/>
      <c r="J327" s="130"/>
      <c r="K327" s="130"/>
      <c r="L327" s="130"/>
      <c r="M327" s="130"/>
      <c r="N327" s="130"/>
      <c r="O327" s="130"/>
      <c r="P327" s="130"/>
    </row>
    <row r="328" spans="1:16" x14ac:dyDescent="0.2">
      <c r="A328" s="49" t="str">
        <v>0:00</v>
      </c>
      <c r="B328" s="108"/>
      <c r="C328" s="130"/>
      <c r="D328" s="130"/>
      <c r="E328" s="130"/>
      <c r="F328" s="130"/>
      <c r="G328" s="130"/>
      <c r="H328" s="130"/>
      <c r="I328" s="130"/>
      <c r="J328" s="130"/>
      <c r="K328" s="130"/>
      <c r="L328" s="130"/>
      <c r="M328" s="130"/>
      <c r="N328" s="130"/>
      <c r="O328" s="130"/>
      <c r="P328" s="130"/>
    </row>
    <row r="329" spans="1:16" x14ac:dyDescent="0.2">
      <c r="A329" s="49" t="str">
        <v>0:00</v>
      </c>
      <c r="B329" s="108"/>
      <c r="C329" s="130"/>
      <c r="D329" s="130"/>
      <c r="E329" s="130"/>
      <c r="F329" s="130"/>
      <c r="G329" s="130"/>
      <c r="H329" s="130"/>
      <c r="I329" s="130"/>
      <c r="J329" s="130"/>
      <c r="K329" s="130"/>
      <c r="L329" s="130"/>
      <c r="M329" s="130"/>
      <c r="N329" s="130"/>
      <c r="O329" s="130"/>
      <c r="P329" s="130"/>
    </row>
    <row r="330" spans="1:16" x14ac:dyDescent="0.2">
      <c r="A330" s="49" t="str">
        <v>0:00</v>
      </c>
      <c r="B330" s="108"/>
      <c r="C330" s="130"/>
      <c r="D330" s="130"/>
      <c r="E330" s="130"/>
      <c r="F330" s="130"/>
      <c r="G330" s="130"/>
      <c r="H330" s="130"/>
      <c r="I330" s="130"/>
      <c r="J330" s="130"/>
      <c r="K330" s="130"/>
      <c r="L330" s="130"/>
      <c r="M330" s="130"/>
      <c r="N330" s="130"/>
      <c r="O330" s="130"/>
      <c r="P330" s="130"/>
    </row>
    <row r="331" spans="1:16" x14ac:dyDescent="0.2">
      <c r="A331" s="49" t="str">
        <v>0:00</v>
      </c>
      <c r="B331" s="108"/>
      <c r="C331" s="130"/>
      <c r="D331" s="130"/>
      <c r="E331" s="130"/>
      <c r="F331" s="130"/>
      <c r="G331" s="130"/>
      <c r="H331" s="130"/>
      <c r="I331" s="130"/>
      <c r="J331" s="130"/>
      <c r="K331" s="130"/>
      <c r="L331" s="130"/>
      <c r="M331" s="130"/>
      <c r="N331" s="130"/>
      <c r="O331" s="130"/>
      <c r="P331" s="130"/>
    </row>
    <row r="332" spans="1:16" x14ac:dyDescent="0.2">
      <c r="A332" s="49" t="str">
        <v>0:00</v>
      </c>
      <c r="B332" s="108"/>
      <c r="C332" s="130"/>
      <c r="D332" s="130"/>
      <c r="E332" s="130"/>
      <c r="F332" s="130"/>
      <c r="G332" s="130"/>
      <c r="H332" s="130"/>
      <c r="I332" s="130"/>
      <c r="J332" s="130"/>
      <c r="K332" s="130"/>
      <c r="L332" s="130"/>
      <c r="M332" s="130"/>
      <c r="N332" s="130"/>
      <c r="O332" s="130"/>
      <c r="P332" s="130"/>
    </row>
    <row r="333" spans="1:16" x14ac:dyDescent="0.2">
      <c r="A333" s="49" t="str">
        <v>0:00</v>
      </c>
      <c r="B333" s="108"/>
      <c r="C333" s="130"/>
      <c r="D333" s="130"/>
      <c r="E333" s="130"/>
      <c r="F333" s="130"/>
      <c r="G333" s="130"/>
      <c r="H333" s="130"/>
      <c r="I333" s="130"/>
      <c r="J333" s="130"/>
      <c r="K333" s="130"/>
      <c r="L333" s="130"/>
      <c r="M333" s="130"/>
      <c r="N333" s="130"/>
      <c r="O333" s="130"/>
      <c r="P333" s="130"/>
    </row>
    <row r="334" spans="1:16" x14ac:dyDescent="0.2">
      <c r="A334" s="49" t="str">
        <v>0:00</v>
      </c>
      <c r="B334" s="108"/>
      <c r="C334" s="130"/>
      <c r="D334" s="130"/>
      <c r="E334" s="130"/>
      <c r="F334" s="130"/>
      <c r="G334" s="130"/>
      <c r="H334" s="130"/>
      <c r="I334" s="130"/>
      <c r="J334" s="130"/>
      <c r="K334" s="130"/>
      <c r="L334" s="130"/>
      <c r="M334" s="130"/>
      <c r="N334" s="130"/>
      <c r="O334" s="130"/>
      <c r="P334" s="130"/>
    </row>
    <row r="335" spans="1:16" x14ac:dyDescent="0.2">
      <c r="A335" s="49" t="str">
        <v>0:00</v>
      </c>
      <c r="B335" s="108"/>
      <c r="C335" s="130"/>
      <c r="D335" s="130"/>
      <c r="E335" s="130"/>
      <c r="F335" s="130"/>
      <c r="G335" s="130"/>
      <c r="H335" s="130"/>
      <c r="I335" s="130"/>
      <c r="J335" s="130"/>
      <c r="K335" s="130"/>
      <c r="L335" s="130"/>
      <c r="M335" s="130"/>
      <c r="N335" s="130"/>
      <c r="O335" s="130"/>
      <c r="P335" s="130"/>
    </row>
    <row r="336" spans="1:16" x14ac:dyDescent="0.2">
      <c r="A336" s="49" t="str">
        <v>0:00</v>
      </c>
      <c r="B336" s="108"/>
      <c r="C336" s="130"/>
      <c r="D336" s="130"/>
      <c r="E336" s="130"/>
      <c r="F336" s="130"/>
      <c r="G336" s="130"/>
      <c r="H336" s="130"/>
      <c r="I336" s="130"/>
      <c r="J336" s="130"/>
      <c r="K336" s="130"/>
      <c r="L336" s="130"/>
      <c r="M336" s="130"/>
      <c r="N336" s="130"/>
      <c r="O336" s="130"/>
      <c r="P336" s="130"/>
    </row>
    <row r="337" spans="1:16" x14ac:dyDescent="0.2">
      <c r="A337" s="49" t="str">
        <v>0:00</v>
      </c>
      <c r="B337" s="108"/>
      <c r="C337" s="130"/>
      <c r="D337" s="130"/>
      <c r="E337" s="130"/>
      <c r="F337" s="130"/>
      <c r="G337" s="130"/>
      <c r="H337" s="130"/>
      <c r="I337" s="130"/>
      <c r="J337" s="130"/>
      <c r="K337" s="130"/>
      <c r="L337" s="130"/>
      <c r="M337" s="130"/>
      <c r="N337" s="130"/>
      <c r="O337" s="130"/>
      <c r="P337" s="130"/>
    </row>
    <row r="338" spans="1:16" x14ac:dyDescent="0.2">
      <c r="A338" s="49" t="str">
        <v>0:00</v>
      </c>
      <c r="B338" s="108"/>
      <c r="C338" s="130"/>
      <c r="D338" s="130"/>
      <c r="E338" s="130"/>
      <c r="F338" s="130"/>
      <c r="G338" s="130"/>
      <c r="H338" s="130"/>
      <c r="I338" s="130"/>
      <c r="J338" s="130"/>
      <c r="K338" s="130"/>
      <c r="L338" s="130"/>
      <c r="M338" s="130"/>
      <c r="N338" s="130"/>
      <c r="O338" s="130"/>
      <c r="P338" s="130"/>
    </row>
    <row r="339" spans="1:16" x14ac:dyDescent="0.2">
      <c r="A339" s="49" t="str">
        <v>0:00</v>
      </c>
      <c r="B339" s="108"/>
      <c r="C339" s="130"/>
      <c r="D339" s="130"/>
      <c r="E339" s="130"/>
      <c r="F339" s="130"/>
      <c r="G339" s="130"/>
      <c r="H339" s="130"/>
      <c r="I339" s="130"/>
      <c r="J339" s="130"/>
      <c r="K339" s="130"/>
      <c r="L339" s="130"/>
      <c r="M339" s="130"/>
      <c r="N339" s="130"/>
      <c r="O339" s="130"/>
      <c r="P339" s="130"/>
    </row>
    <row r="340" spans="1:16" x14ac:dyDescent="0.2">
      <c r="A340" s="49" t="str">
        <v>0:00</v>
      </c>
      <c r="B340" s="108"/>
      <c r="C340" s="130"/>
      <c r="D340" s="130"/>
      <c r="E340" s="130"/>
      <c r="F340" s="130"/>
      <c r="G340" s="130"/>
      <c r="H340" s="130"/>
      <c r="I340" s="130"/>
      <c r="J340" s="130"/>
      <c r="K340" s="130"/>
      <c r="L340" s="130"/>
      <c r="M340" s="130"/>
      <c r="N340" s="130"/>
      <c r="O340" s="130"/>
      <c r="P340" s="130"/>
    </row>
    <row r="341" spans="1:16" x14ac:dyDescent="0.2">
      <c r="A341" s="49" t="str">
        <v>0:00</v>
      </c>
      <c r="B341" s="108"/>
      <c r="C341" s="130"/>
      <c r="D341" s="130"/>
      <c r="E341" s="130"/>
      <c r="F341" s="130"/>
      <c r="G341" s="130"/>
      <c r="H341" s="130"/>
      <c r="I341" s="130"/>
      <c r="J341" s="130"/>
      <c r="K341" s="130"/>
      <c r="L341" s="130"/>
      <c r="M341" s="130"/>
      <c r="N341" s="130"/>
      <c r="O341" s="130"/>
      <c r="P341" s="130"/>
    </row>
    <row r="342" spans="1:16" x14ac:dyDescent="0.2">
      <c r="A342" s="49" t="str">
        <v>0:00</v>
      </c>
      <c r="B342" s="108"/>
      <c r="C342" s="130"/>
      <c r="D342" s="130"/>
      <c r="E342" s="130"/>
      <c r="F342" s="130"/>
      <c r="G342" s="130"/>
      <c r="H342" s="130"/>
      <c r="I342" s="130"/>
      <c r="J342" s="130"/>
      <c r="K342" s="130"/>
      <c r="L342" s="130"/>
      <c r="M342" s="130"/>
      <c r="N342" s="130"/>
      <c r="O342" s="130"/>
      <c r="P342" s="130"/>
    </row>
    <row r="343" spans="1:16" x14ac:dyDescent="0.2">
      <c r="A343" s="49" t="str">
        <v>0:00</v>
      </c>
      <c r="B343" s="108"/>
      <c r="C343" s="130"/>
      <c r="D343" s="130"/>
      <c r="E343" s="130"/>
      <c r="F343" s="130"/>
      <c r="G343" s="130"/>
      <c r="H343" s="130"/>
      <c r="I343" s="130"/>
      <c r="J343" s="130"/>
      <c r="K343" s="130"/>
      <c r="L343" s="130"/>
      <c r="M343" s="130"/>
      <c r="N343" s="130"/>
      <c r="O343" s="130"/>
      <c r="P343" s="130"/>
    </row>
    <row r="344" spans="1:16" x14ac:dyDescent="0.2">
      <c r="A344" s="49" t="str">
        <v>0:00</v>
      </c>
      <c r="B344" s="108"/>
      <c r="C344" s="130"/>
      <c r="D344" s="130"/>
      <c r="E344" s="130"/>
      <c r="F344" s="130"/>
      <c r="G344" s="130"/>
      <c r="H344" s="130"/>
      <c r="I344" s="130"/>
      <c r="J344" s="130"/>
      <c r="K344" s="130"/>
      <c r="L344" s="130"/>
      <c r="M344" s="130"/>
      <c r="N344" s="130"/>
      <c r="O344" s="130"/>
      <c r="P344" s="130"/>
    </row>
    <row r="345" spans="1:16" x14ac:dyDescent="0.2">
      <c r="A345" s="49" t="str">
        <v>0:00</v>
      </c>
      <c r="B345" s="108"/>
      <c r="C345" s="130"/>
      <c r="D345" s="130"/>
      <c r="E345" s="130"/>
      <c r="F345" s="130"/>
      <c r="G345" s="130"/>
      <c r="H345" s="130"/>
      <c r="I345" s="130"/>
      <c r="J345" s="130"/>
      <c r="K345" s="130"/>
      <c r="L345" s="130"/>
      <c r="M345" s="130"/>
      <c r="N345" s="130"/>
      <c r="O345" s="130"/>
      <c r="P345" s="130"/>
    </row>
    <row r="346" spans="1:16" x14ac:dyDescent="0.2">
      <c r="A346" s="49" t="str">
        <v>0:00</v>
      </c>
      <c r="B346" s="108"/>
      <c r="C346" s="130"/>
      <c r="D346" s="130"/>
      <c r="E346" s="130"/>
      <c r="F346" s="130"/>
      <c r="G346" s="130"/>
      <c r="H346" s="130"/>
      <c r="I346" s="130"/>
      <c r="J346" s="130"/>
      <c r="K346" s="130"/>
      <c r="L346" s="130"/>
      <c r="M346" s="130"/>
      <c r="N346" s="130"/>
      <c r="O346" s="130"/>
      <c r="P346" s="130"/>
    </row>
    <row r="347" spans="1:16" x14ac:dyDescent="0.2">
      <c r="A347" s="49" t="str">
        <v>0:00</v>
      </c>
      <c r="B347" s="108"/>
      <c r="C347" s="130"/>
      <c r="D347" s="130"/>
      <c r="E347" s="130"/>
      <c r="F347" s="130"/>
      <c r="G347" s="130"/>
      <c r="H347" s="130"/>
      <c r="I347" s="130"/>
      <c r="J347" s="130"/>
      <c r="K347" s="130"/>
      <c r="L347" s="130"/>
      <c r="M347" s="130"/>
      <c r="N347" s="130"/>
      <c r="O347" s="130"/>
      <c r="P347" s="130"/>
    </row>
    <row r="348" spans="1:16" x14ac:dyDescent="0.2">
      <c r="A348" s="49" t="str">
        <v>0:00</v>
      </c>
      <c r="B348" s="108"/>
      <c r="C348" s="130"/>
      <c r="D348" s="130"/>
      <c r="E348" s="130"/>
      <c r="F348" s="130"/>
      <c r="G348" s="130"/>
      <c r="H348" s="130"/>
      <c r="I348" s="130"/>
      <c r="J348" s="130"/>
      <c r="K348" s="130"/>
      <c r="L348" s="130"/>
      <c r="M348" s="130"/>
      <c r="N348" s="130"/>
      <c r="O348" s="130"/>
      <c r="P348" s="130"/>
    </row>
    <row r="349" spans="1:16" x14ac:dyDescent="0.2">
      <c r="A349" s="49" t="str">
        <v>0:00</v>
      </c>
      <c r="B349" s="108"/>
      <c r="C349" s="130"/>
      <c r="D349" s="130"/>
      <c r="E349" s="130"/>
      <c r="F349" s="130"/>
      <c r="G349" s="130"/>
      <c r="H349" s="130"/>
      <c r="I349" s="130"/>
      <c r="J349" s="130"/>
      <c r="K349" s="130"/>
      <c r="L349" s="130"/>
      <c r="M349" s="130"/>
      <c r="N349" s="130"/>
      <c r="O349" s="130"/>
      <c r="P349" s="130"/>
    </row>
    <row r="350" spans="1:16" x14ac:dyDescent="0.2">
      <c r="A350" s="49" t="str">
        <v>0:00</v>
      </c>
      <c r="B350" s="108"/>
      <c r="C350" s="130"/>
      <c r="D350" s="130"/>
      <c r="E350" s="130"/>
      <c r="F350" s="130"/>
      <c r="G350" s="130"/>
      <c r="H350" s="130"/>
      <c r="I350" s="130"/>
      <c r="J350" s="130"/>
      <c r="K350" s="130"/>
      <c r="L350" s="130"/>
      <c r="M350" s="130"/>
      <c r="N350" s="130"/>
      <c r="O350" s="130"/>
      <c r="P350" s="130"/>
    </row>
    <row r="351" spans="1:16" x14ac:dyDescent="0.2">
      <c r="A351" s="49" t="str">
        <v>0:00</v>
      </c>
      <c r="B351" s="108"/>
      <c r="C351" s="130"/>
      <c r="D351" s="130"/>
      <c r="E351" s="130"/>
      <c r="F351" s="130"/>
      <c r="G351" s="130"/>
      <c r="H351" s="130"/>
      <c r="I351" s="130"/>
      <c r="J351" s="130"/>
      <c r="K351" s="130"/>
      <c r="L351" s="130"/>
      <c r="M351" s="130"/>
      <c r="N351" s="130"/>
      <c r="O351" s="130"/>
      <c r="P351" s="130"/>
    </row>
    <row r="352" spans="1:16" x14ac:dyDescent="0.2">
      <c r="A352" s="49" t="str">
        <v>0:00</v>
      </c>
      <c r="B352" s="108"/>
      <c r="C352" s="130"/>
      <c r="D352" s="130"/>
      <c r="E352" s="130"/>
      <c r="F352" s="130"/>
      <c r="G352" s="130"/>
      <c r="H352" s="130"/>
      <c r="I352" s="130"/>
      <c r="J352" s="130"/>
      <c r="K352" s="130"/>
      <c r="L352" s="130"/>
      <c r="M352" s="130"/>
      <c r="N352" s="130"/>
      <c r="O352" s="130"/>
      <c r="P352" s="130"/>
    </row>
    <row r="353" spans="1:16" x14ac:dyDescent="0.2">
      <c r="A353" s="49" t="str">
        <v>0:00</v>
      </c>
      <c r="B353" s="108"/>
      <c r="C353" s="130"/>
      <c r="D353" s="130"/>
      <c r="E353" s="130"/>
      <c r="F353" s="130"/>
      <c r="G353" s="130"/>
      <c r="H353" s="130"/>
      <c r="I353" s="130"/>
      <c r="J353" s="130"/>
      <c r="K353" s="130"/>
      <c r="L353" s="130"/>
      <c r="M353" s="130"/>
      <c r="N353" s="130"/>
      <c r="O353" s="130"/>
      <c r="P353" s="130"/>
    </row>
    <row r="354" spans="1:16" x14ac:dyDescent="0.2">
      <c r="A354" s="49" t="str">
        <v>0:00</v>
      </c>
      <c r="B354" s="108"/>
      <c r="C354" s="130"/>
      <c r="D354" s="130"/>
      <c r="E354" s="130"/>
      <c r="F354" s="130"/>
      <c r="G354" s="130"/>
      <c r="H354" s="130"/>
      <c r="I354" s="130"/>
      <c r="J354" s="130"/>
      <c r="K354" s="130"/>
      <c r="L354" s="130"/>
      <c r="M354" s="130"/>
      <c r="N354" s="130"/>
      <c r="O354" s="130"/>
      <c r="P354" s="130"/>
    </row>
    <row r="355" spans="1:16" x14ac:dyDescent="0.2">
      <c r="A355" s="49" t="str">
        <v>0:00</v>
      </c>
      <c r="B355" s="108"/>
      <c r="C355" s="130"/>
      <c r="D355" s="130"/>
      <c r="E355" s="130"/>
      <c r="F355" s="130"/>
      <c r="G355" s="130"/>
      <c r="H355" s="130"/>
      <c r="I355" s="130"/>
      <c r="J355" s="130"/>
      <c r="K355" s="130"/>
      <c r="L355" s="130"/>
      <c r="M355" s="130"/>
      <c r="N355" s="130"/>
      <c r="O355" s="130"/>
      <c r="P355" s="130"/>
    </row>
    <row r="356" spans="1:16" x14ac:dyDescent="0.2">
      <c r="A356" s="49" t="str">
        <v>0:00</v>
      </c>
      <c r="B356" s="108"/>
      <c r="C356" s="130"/>
      <c r="D356" s="130"/>
      <c r="E356" s="130"/>
      <c r="F356" s="130"/>
      <c r="G356" s="130"/>
      <c r="H356" s="130"/>
      <c r="I356" s="130"/>
      <c r="J356" s="130"/>
      <c r="K356" s="130"/>
      <c r="L356" s="130"/>
      <c r="M356" s="130"/>
      <c r="N356" s="130"/>
      <c r="O356" s="130"/>
      <c r="P356" s="130"/>
    </row>
    <row r="357" spans="1:16" x14ac:dyDescent="0.2">
      <c r="A357" s="49" t="str">
        <v>0:00</v>
      </c>
      <c r="B357" s="108"/>
      <c r="C357" s="130"/>
      <c r="D357" s="130"/>
      <c r="E357" s="130"/>
      <c r="F357" s="130"/>
      <c r="G357" s="130"/>
      <c r="H357" s="130"/>
      <c r="I357" s="130"/>
      <c r="J357" s="130"/>
      <c r="K357" s="130"/>
      <c r="L357" s="130"/>
      <c r="M357" s="130"/>
      <c r="N357" s="130"/>
      <c r="O357" s="130"/>
      <c r="P357" s="130"/>
    </row>
    <row r="358" spans="1:16" x14ac:dyDescent="0.2">
      <c r="A358" s="49" t="str">
        <v>0:00</v>
      </c>
      <c r="B358" s="108"/>
      <c r="C358" s="130"/>
      <c r="D358" s="130"/>
      <c r="E358" s="130"/>
      <c r="F358" s="130"/>
      <c r="G358" s="130"/>
      <c r="H358" s="130"/>
      <c r="I358" s="130"/>
      <c r="J358" s="130"/>
      <c r="K358" s="130"/>
      <c r="L358" s="130"/>
      <c r="M358" s="130"/>
      <c r="N358" s="130"/>
      <c r="O358" s="130"/>
      <c r="P358" s="130"/>
    </row>
    <row r="359" spans="1:16" x14ac:dyDescent="0.2">
      <c r="A359" s="49" t="str">
        <v>0:00</v>
      </c>
      <c r="B359" s="108"/>
      <c r="C359" s="130"/>
      <c r="D359" s="130"/>
      <c r="E359" s="130"/>
      <c r="F359" s="130"/>
      <c r="G359" s="130"/>
      <c r="H359" s="130"/>
      <c r="I359" s="130"/>
      <c r="J359" s="130"/>
      <c r="K359" s="130"/>
      <c r="L359" s="130"/>
      <c r="M359" s="130"/>
      <c r="N359" s="130"/>
      <c r="O359" s="130"/>
      <c r="P359" s="130"/>
    </row>
    <row r="360" spans="1:16" x14ac:dyDescent="0.2">
      <c r="A360" s="49" t="str">
        <v>0:00</v>
      </c>
      <c r="B360" s="108"/>
      <c r="C360" s="130"/>
      <c r="D360" s="130"/>
      <c r="E360" s="130"/>
      <c r="F360" s="130"/>
      <c r="G360" s="130"/>
      <c r="H360" s="130"/>
      <c r="I360" s="130"/>
      <c r="J360" s="130"/>
      <c r="K360" s="130"/>
      <c r="L360" s="130"/>
      <c r="M360" s="130"/>
      <c r="N360" s="130"/>
      <c r="O360" s="130"/>
      <c r="P360" s="130"/>
    </row>
    <row r="361" spans="1:16" x14ac:dyDescent="0.2">
      <c r="A361" s="49" t="str">
        <v>0:00</v>
      </c>
      <c r="B361" s="108"/>
      <c r="C361" s="130"/>
      <c r="D361" s="130"/>
      <c r="E361" s="130"/>
      <c r="F361" s="130"/>
      <c r="G361" s="130"/>
      <c r="H361" s="130"/>
      <c r="I361" s="130"/>
      <c r="J361" s="130"/>
      <c r="K361" s="130"/>
      <c r="L361" s="130"/>
      <c r="M361" s="130"/>
      <c r="N361" s="130"/>
      <c r="O361" s="130"/>
      <c r="P361" s="130"/>
    </row>
    <row r="362" spans="1:16" x14ac:dyDescent="0.2">
      <c r="A362" s="49" t="str">
        <v>0:00</v>
      </c>
      <c r="B362" s="108"/>
      <c r="C362" s="130"/>
      <c r="D362" s="130"/>
      <c r="E362" s="130"/>
      <c r="F362" s="130"/>
      <c r="G362" s="130"/>
      <c r="H362" s="130"/>
      <c r="I362" s="130"/>
      <c r="J362" s="130"/>
      <c r="K362" s="130"/>
      <c r="L362" s="130"/>
      <c r="M362" s="130"/>
      <c r="N362" s="130"/>
      <c r="O362" s="130"/>
      <c r="P362" s="130"/>
    </row>
    <row r="363" spans="1:16" x14ac:dyDescent="0.2">
      <c r="A363" s="49" t="str">
        <v>0:00</v>
      </c>
      <c r="B363" s="108"/>
      <c r="C363" s="130"/>
      <c r="D363" s="130"/>
      <c r="E363" s="130"/>
      <c r="F363" s="130"/>
      <c r="G363" s="130"/>
      <c r="H363" s="130"/>
      <c r="I363" s="130"/>
      <c r="J363" s="130"/>
      <c r="K363" s="130"/>
      <c r="L363" s="130"/>
      <c r="M363" s="130"/>
      <c r="N363" s="130"/>
      <c r="O363" s="130"/>
      <c r="P363" s="130"/>
    </row>
    <row r="364" spans="1:16" x14ac:dyDescent="0.2">
      <c r="A364" s="49" t="str">
        <v>0:00</v>
      </c>
      <c r="B364" s="108"/>
      <c r="C364" s="130"/>
      <c r="D364" s="130"/>
      <c r="E364" s="130"/>
      <c r="F364" s="130"/>
      <c r="G364" s="130"/>
      <c r="H364" s="130"/>
      <c r="I364" s="130"/>
      <c r="J364" s="130"/>
      <c r="K364" s="130"/>
      <c r="L364" s="130"/>
      <c r="M364" s="130"/>
      <c r="N364" s="130"/>
      <c r="O364" s="130"/>
      <c r="P364" s="130"/>
    </row>
    <row r="365" spans="1:16" x14ac:dyDescent="0.2">
      <c r="A365" s="49" t="str">
        <v>0:00</v>
      </c>
      <c r="B365" s="108"/>
      <c r="C365" s="130"/>
      <c r="D365" s="130"/>
      <c r="E365" s="130"/>
      <c r="F365" s="130"/>
      <c r="G365" s="130"/>
      <c r="H365" s="130"/>
      <c r="I365" s="130"/>
      <c r="J365" s="130"/>
      <c r="K365" s="130"/>
      <c r="L365" s="130"/>
      <c r="M365" s="130"/>
      <c r="N365" s="130"/>
      <c r="O365" s="130"/>
      <c r="P365" s="130"/>
    </row>
    <row r="366" spans="1:16" x14ac:dyDescent="0.2">
      <c r="A366" s="49" t="str">
        <v>0:00</v>
      </c>
      <c r="B366" s="108"/>
      <c r="C366" s="130"/>
      <c r="D366" s="130"/>
      <c r="E366" s="130"/>
      <c r="F366" s="130"/>
      <c r="G366" s="130"/>
      <c r="H366" s="130"/>
      <c r="I366" s="130"/>
      <c r="J366" s="130"/>
      <c r="K366" s="130"/>
      <c r="L366" s="130"/>
      <c r="M366" s="130"/>
      <c r="N366" s="130"/>
      <c r="O366" s="130"/>
      <c r="P366" s="130"/>
    </row>
    <row r="367" spans="1:16" x14ac:dyDescent="0.2">
      <c r="A367" s="49" t="str">
        <v>0:00</v>
      </c>
      <c r="B367" s="108"/>
      <c r="C367" s="130"/>
      <c r="D367" s="130"/>
      <c r="E367" s="130"/>
      <c r="F367" s="130"/>
      <c r="G367" s="130"/>
      <c r="H367" s="130"/>
      <c r="I367" s="130"/>
      <c r="J367" s="130"/>
      <c r="K367" s="130"/>
      <c r="L367" s="130"/>
      <c r="M367" s="130"/>
      <c r="N367" s="130"/>
      <c r="O367" s="130"/>
      <c r="P367" s="130"/>
    </row>
    <row r="368" spans="1:16" x14ac:dyDescent="0.2">
      <c r="A368" s="49" t="str">
        <v>0:00</v>
      </c>
      <c r="B368" s="108"/>
      <c r="C368" s="130"/>
      <c r="D368" s="130"/>
      <c r="E368" s="130"/>
      <c r="F368" s="130"/>
      <c r="G368" s="130"/>
      <c r="H368" s="130"/>
      <c r="I368" s="130"/>
      <c r="J368" s="130"/>
      <c r="K368" s="130"/>
      <c r="L368" s="130"/>
      <c r="M368" s="130"/>
      <c r="N368" s="130"/>
      <c r="O368" s="130"/>
      <c r="P368" s="130"/>
    </row>
    <row r="369" spans="1:16" x14ac:dyDescent="0.2">
      <c r="A369" s="49" t="str">
        <v>0:00</v>
      </c>
      <c r="B369" s="108"/>
      <c r="C369" s="130"/>
      <c r="D369" s="130"/>
      <c r="E369" s="130"/>
      <c r="F369" s="130"/>
      <c r="G369" s="130"/>
      <c r="H369" s="130"/>
      <c r="I369" s="130"/>
      <c r="J369" s="130"/>
      <c r="K369" s="130"/>
      <c r="L369" s="130"/>
      <c r="M369" s="130"/>
      <c r="N369" s="130"/>
      <c r="O369" s="130"/>
      <c r="P369" s="130"/>
    </row>
    <row r="370" spans="1:16" x14ac:dyDescent="0.2">
      <c r="A370" s="49" t="str">
        <v>0:00</v>
      </c>
      <c r="B370" s="108"/>
      <c r="C370" s="130"/>
      <c r="D370" s="130"/>
      <c r="E370" s="130"/>
      <c r="F370" s="130"/>
      <c r="G370" s="130"/>
      <c r="H370" s="130"/>
      <c r="I370" s="130"/>
      <c r="J370" s="130"/>
      <c r="K370" s="130"/>
      <c r="L370" s="130"/>
      <c r="M370" s="130"/>
      <c r="N370" s="130"/>
      <c r="O370" s="130"/>
      <c r="P370" s="130"/>
    </row>
    <row r="371" spans="1:16" x14ac:dyDescent="0.2">
      <c r="A371" s="49" t="str">
        <v>0:00</v>
      </c>
      <c r="B371" s="108"/>
      <c r="C371" s="130"/>
      <c r="D371" s="130"/>
      <c r="E371" s="130"/>
      <c r="F371" s="130"/>
      <c r="G371" s="130"/>
      <c r="H371" s="130"/>
      <c r="I371" s="130"/>
      <c r="J371" s="130"/>
      <c r="K371" s="130"/>
      <c r="L371" s="130"/>
      <c r="M371" s="130"/>
      <c r="N371" s="130"/>
      <c r="O371" s="130"/>
      <c r="P371" s="130"/>
    </row>
    <row r="372" spans="1:16" x14ac:dyDescent="0.2">
      <c r="A372" s="49" t="str">
        <v>0:00</v>
      </c>
      <c r="B372" s="108"/>
      <c r="C372" s="130"/>
      <c r="D372" s="130"/>
      <c r="E372" s="130"/>
      <c r="F372" s="130"/>
      <c r="G372" s="130"/>
      <c r="H372" s="130"/>
      <c r="I372" s="130"/>
      <c r="J372" s="130"/>
      <c r="K372" s="130"/>
      <c r="L372" s="130"/>
      <c r="M372" s="130"/>
      <c r="N372" s="130"/>
      <c r="O372" s="130"/>
      <c r="P372" s="130"/>
    </row>
    <row r="373" spans="1:16" x14ac:dyDescent="0.2">
      <c r="A373" s="49" t="str">
        <v>0:00</v>
      </c>
      <c r="B373" s="108"/>
      <c r="C373" s="130"/>
      <c r="D373" s="130"/>
      <c r="E373" s="130"/>
      <c r="F373" s="130"/>
      <c r="G373" s="130"/>
      <c r="H373" s="130"/>
      <c r="I373" s="130"/>
      <c r="J373" s="130"/>
      <c r="K373" s="130"/>
      <c r="L373" s="130"/>
      <c r="M373" s="130"/>
      <c r="N373" s="130"/>
      <c r="O373" s="130"/>
      <c r="P373" s="130"/>
    </row>
    <row r="374" spans="1:16" x14ac:dyDescent="0.2">
      <c r="A374" s="49" t="str">
        <v>0:00</v>
      </c>
      <c r="B374" s="108"/>
      <c r="C374" s="130"/>
      <c r="D374" s="130"/>
      <c r="E374" s="130"/>
      <c r="F374" s="130"/>
      <c r="G374" s="130"/>
      <c r="H374" s="130"/>
      <c r="I374" s="130"/>
      <c r="J374" s="130"/>
      <c r="K374" s="130"/>
      <c r="L374" s="130"/>
      <c r="M374" s="130"/>
      <c r="N374" s="130"/>
      <c r="O374" s="130"/>
      <c r="P374" s="130"/>
    </row>
    <row r="375" spans="1:16" x14ac:dyDescent="0.2">
      <c r="A375" s="49" t="str">
        <v>0:00</v>
      </c>
      <c r="B375" s="108"/>
      <c r="C375" s="130"/>
      <c r="D375" s="130"/>
      <c r="E375" s="130"/>
      <c r="F375" s="130"/>
      <c r="G375" s="130"/>
      <c r="H375" s="130"/>
      <c r="I375" s="130"/>
      <c r="J375" s="130"/>
      <c r="K375" s="130"/>
      <c r="L375" s="130"/>
      <c r="M375" s="130"/>
      <c r="N375" s="130"/>
      <c r="O375" s="130"/>
      <c r="P375" s="130"/>
    </row>
    <row r="376" spans="1:16" x14ac:dyDescent="0.2">
      <c r="A376" s="49" t="str">
        <v>0:00</v>
      </c>
      <c r="B376" s="108"/>
      <c r="C376" s="130"/>
      <c r="D376" s="130"/>
      <c r="E376" s="130"/>
      <c r="F376" s="130"/>
      <c r="G376" s="130"/>
      <c r="H376" s="130"/>
      <c r="I376" s="130"/>
      <c r="J376" s="130"/>
      <c r="K376" s="130"/>
      <c r="L376" s="130"/>
      <c r="M376" s="130"/>
      <c r="N376" s="130"/>
      <c r="O376" s="130"/>
      <c r="P376" s="130"/>
    </row>
    <row r="377" spans="1:16" x14ac:dyDescent="0.2">
      <c r="A377" s="49" t="str">
        <v>0:00</v>
      </c>
      <c r="B377" s="108"/>
      <c r="C377" s="130"/>
      <c r="D377" s="130"/>
      <c r="E377" s="130"/>
      <c r="F377" s="130"/>
      <c r="G377" s="130"/>
      <c r="H377" s="130"/>
      <c r="I377" s="130"/>
      <c r="J377" s="130"/>
      <c r="K377" s="130"/>
      <c r="L377" s="130"/>
      <c r="M377" s="130"/>
      <c r="N377" s="130"/>
      <c r="O377" s="130"/>
      <c r="P377" s="130"/>
    </row>
    <row r="378" spans="1:16" x14ac:dyDescent="0.2">
      <c r="A378" s="49" t="str">
        <v>0:00</v>
      </c>
      <c r="B378" s="108"/>
      <c r="C378" s="130"/>
      <c r="D378" s="130"/>
      <c r="E378" s="130"/>
      <c r="F378" s="130"/>
      <c r="G378" s="130"/>
      <c r="H378" s="130"/>
      <c r="I378" s="130"/>
      <c r="J378" s="130"/>
      <c r="K378" s="130"/>
      <c r="L378" s="130"/>
      <c r="M378" s="130"/>
      <c r="N378" s="130"/>
      <c r="O378" s="130"/>
      <c r="P378" s="130"/>
    </row>
    <row r="379" spans="1:16" x14ac:dyDescent="0.2">
      <c r="A379" s="49" t="str">
        <v>0:00</v>
      </c>
      <c r="B379" s="108"/>
      <c r="C379" s="130"/>
      <c r="D379" s="130"/>
      <c r="E379" s="130"/>
      <c r="F379" s="130"/>
      <c r="G379" s="130"/>
      <c r="H379" s="130"/>
      <c r="I379" s="130"/>
      <c r="J379" s="130"/>
      <c r="K379" s="130"/>
      <c r="L379" s="130"/>
      <c r="M379" s="130"/>
      <c r="N379" s="130"/>
      <c r="O379" s="130"/>
      <c r="P379" s="130"/>
    </row>
    <row r="380" spans="1:16" x14ac:dyDescent="0.2">
      <c r="A380" s="49" t="str">
        <v>0:00</v>
      </c>
      <c r="B380" s="108"/>
      <c r="C380" s="130"/>
      <c r="D380" s="130"/>
      <c r="E380" s="130"/>
      <c r="F380" s="130"/>
      <c r="G380" s="130"/>
      <c r="H380" s="130"/>
      <c r="I380" s="130"/>
      <c r="J380" s="130"/>
      <c r="K380" s="130"/>
      <c r="L380" s="130"/>
      <c r="M380" s="130"/>
      <c r="N380" s="130"/>
      <c r="O380" s="130"/>
      <c r="P380" s="130"/>
    </row>
    <row r="381" spans="1:16" x14ac:dyDescent="0.2">
      <c r="A381" s="49" t="str">
        <v>0:00</v>
      </c>
      <c r="B381" s="108"/>
      <c r="C381" s="130"/>
      <c r="D381" s="130"/>
      <c r="E381" s="130"/>
      <c r="F381" s="130"/>
      <c r="G381" s="130"/>
      <c r="H381" s="130"/>
      <c r="I381" s="130"/>
      <c r="J381" s="130"/>
      <c r="K381" s="130"/>
      <c r="L381" s="130"/>
      <c r="M381" s="130"/>
      <c r="N381" s="130"/>
      <c r="O381" s="130"/>
      <c r="P381" s="130"/>
    </row>
    <row r="382" spans="1:16" x14ac:dyDescent="0.2">
      <c r="A382" s="49" t="str">
        <v>0:00</v>
      </c>
      <c r="B382" s="108"/>
      <c r="C382" s="130"/>
      <c r="D382" s="130"/>
      <c r="E382" s="130"/>
      <c r="F382" s="130"/>
      <c r="G382" s="130"/>
      <c r="H382" s="130"/>
      <c r="I382" s="130"/>
      <c r="J382" s="130"/>
      <c r="K382" s="130"/>
      <c r="L382" s="130"/>
      <c r="M382" s="130"/>
      <c r="N382" s="130"/>
      <c r="O382" s="130"/>
      <c r="P382" s="130"/>
    </row>
    <row r="383" spans="1:16" x14ac:dyDescent="0.2">
      <c r="A383" s="49" t="str">
        <v>0:00</v>
      </c>
      <c r="B383" s="108"/>
      <c r="C383" s="130"/>
      <c r="D383" s="130"/>
      <c r="E383" s="130"/>
      <c r="F383" s="130"/>
      <c r="G383" s="130"/>
      <c r="H383" s="130"/>
      <c r="I383" s="130"/>
      <c r="J383" s="130"/>
      <c r="K383" s="130"/>
      <c r="L383" s="130"/>
      <c r="M383" s="130"/>
      <c r="N383" s="130"/>
      <c r="O383" s="130"/>
      <c r="P383" s="130"/>
    </row>
    <row r="384" spans="1:16" x14ac:dyDescent="0.2">
      <c r="A384" s="49" t="str">
        <v>0:00</v>
      </c>
      <c r="B384" s="108"/>
      <c r="C384" s="130"/>
      <c r="D384" s="130"/>
      <c r="E384" s="130"/>
      <c r="F384" s="130"/>
      <c r="G384" s="130"/>
      <c r="H384" s="130"/>
      <c r="I384" s="130"/>
      <c r="J384" s="130"/>
      <c r="K384" s="130"/>
      <c r="L384" s="130"/>
      <c r="M384" s="130"/>
      <c r="N384" s="130"/>
      <c r="O384" s="130"/>
      <c r="P384" s="130"/>
    </row>
    <row r="385" spans="1:16" x14ac:dyDescent="0.2">
      <c r="A385" s="49" t="str">
        <v>0:00</v>
      </c>
      <c r="B385" s="108"/>
      <c r="C385" s="130"/>
      <c r="D385" s="130"/>
      <c r="E385" s="130"/>
      <c r="F385" s="130"/>
      <c r="G385" s="130"/>
      <c r="H385" s="130"/>
      <c r="I385" s="130"/>
      <c r="J385" s="130"/>
      <c r="K385" s="130"/>
      <c r="L385" s="130"/>
      <c r="M385" s="130"/>
      <c r="N385" s="130"/>
      <c r="O385" s="130"/>
      <c r="P385" s="130"/>
    </row>
    <row r="386" spans="1:16" x14ac:dyDescent="0.2">
      <c r="A386" s="49" t="str">
        <v>0:00</v>
      </c>
      <c r="B386" s="108"/>
      <c r="C386" s="130"/>
      <c r="D386" s="130"/>
      <c r="E386" s="130"/>
      <c r="F386" s="130"/>
      <c r="G386" s="130"/>
      <c r="H386" s="130"/>
      <c r="I386" s="130"/>
      <c r="J386" s="130"/>
      <c r="K386" s="130"/>
      <c r="L386" s="130"/>
      <c r="M386" s="130"/>
      <c r="N386" s="130"/>
      <c r="O386" s="130"/>
      <c r="P386" s="130"/>
    </row>
    <row r="387" spans="1:16" x14ac:dyDescent="0.2">
      <c r="A387" s="49" t="str">
        <v>0:00</v>
      </c>
      <c r="B387" s="108"/>
      <c r="C387" s="130"/>
      <c r="D387" s="130"/>
      <c r="E387" s="130"/>
      <c r="F387" s="130"/>
      <c r="G387" s="130"/>
      <c r="H387" s="130"/>
      <c r="I387" s="130"/>
      <c r="J387" s="130"/>
      <c r="K387" s="130"/>
      <c r="L387" s="130"/>
      <c r="M387" s="130"/>
      <c r="N387" s="130"/>
      <c r="O387" s="130"/>
      <c r="P387" s="130"/>
    </row>
    <row r="388" spans="1:16" x14ac:dyDescent="0.2">
      <c r="A388" s="49" t="str">
        <v>0:00</v>
      </c>
      <c r="B388" s="108"/>
      <c r="C388" s="130"/>
      <c r="D388" s="130"/>
      <c r="E388" s="130"/>
      <c r="F388" s="130"/>
      <c r="G388" s="130"/>
      <c r="H388" s="130"/>
      <c r="I388" s="130"/>
      <c r="J388" s="130"/>
      <c r="K388" s="130"/>
      <c r="L388" s="130"/>
      <c r="M388" s="130"/>
      <c r="N388" s="130"/>
      <c r="O388" s="130"/>
      <c r="P388" s="130"/>
    </row>
    <row r="389" spans="1:16" x14ac:dyDescent="0.2">
      <c r="A389" s="49" t="str">
        <v>0:00</v>
      </c>
      <c r="B389" s="108"/>
      <c r="C389" s="130"/>
      <c r="D389" s="130"/>
      <c r="E389" s="130"/>
      <c r="F389" s="130"/>
      <c r="G389" s="130"/>
      <c r="H389" s="130"/>
      <c r="I389" s="130"/>
      <c r="J389" s="130"/>
      <c r="K389" s="130"/>
      <c r="L389" s="130"/>
      <c r="M389" s="130"/>
      <c r="N389" s="130"/>
      <c r="O389" s="130"/>
      <c r="P389" s="130"/>
    </row>
    <row r="390" spans="1:16" x14ac:dyDescent="0.2">
      <c r="A390" s="49" t="str">
        <v>0:00</v>
      </c>
      <c r="B390" s="108"/>
      <c r="C390" s="130"/>
      <c r="D390" s="130"/>
      <c r="E390" s="130"/>
      <c r="F390" s="130"/>
      <c r="G390" s="130"/>
      <c r="H390" s="130"/>
      <c r="I390" s="130"/>
      <c r="J390" s="130"/>
      <c r="K390" s="130"/>
      <c r="L390" s="130"/>
      <c r="M390" s="130"/>
      <c r="N390" s="130"/>
      <c r="O390" s="130"/>
      <c r="P390" s="130"/>
    </row>
    <row r="391" spans="1:16" x14ac:dyDescent="0.2">
      <c r="A391" s="49" t="str">
        <v>0:00</v>
      </c>
      <c r="B391" s="108"/>
      <c r="C391" s="130"/>
      <c r="D391" s="130"/>
      <c r="E391" s="130"/>
      <c r="F391" s="130"/>
      <c r="G391" s="130"/>
      <c r="H391" s="130"/>
      <c r="I391" s="130"/>
      <c r="J391" s="130"/>
      <c r="K391" s="130"/>
      <c r="L391" s="130"/>
      <c r="M391" s="130"/>
      <c r="N391" s="130"/>
      <c r="O391" s="130"/>
      <c r="P391" s="130"/>
    </row>
    <row r="392" spans="1:16" x14ac:dyDescent="0.2">
      <c r="A392" s="49" t="str">
        <v>0:00</v>
      </c>
      <c r="B392" s="108"/>
      <c r="C392" s="130"/>
      <c r="D392" s="130"/>
      <c r="E392" s="130"/>
      <c r="F392" s="130"/>
      <c r="G392" s="130"/>
      <c r="H392" s="130"/>
      <c r="I392" s="130"/>
      <c r="J392" s="130"/>
      <c r="K392" s="130"/>
      <c r="L392" s="130"/>
      <c r="M392" s="130"/>
      <c r="N392" s="130"/>
      <c r="O392" s="130"/>
      <c r="P392" s="130"/>
    </row>
    <row r="393" spans="1:16" x14ac:dyDescent="0.2">
      <c r="A393" s="49" t="str">
        <v>0:00</v>
      </c>
      <c r="B393" s="108"/>
      <c r="C393" s="130"/>
      <c r="D393" s="130"/>
      <c r="E393" s="130"/>
      <c r="F393" s="130"/>
      <c r="G393" s="130"/>
      <c r="H393" s="130"/>
      <c r="I393" s="130"/>
      <c r="J393" s="130"/>
      <c r="K393" s="130"/>
      <c r="L393" s="130"/>
      <c r="M393" s="130"/>
      <c r="N393" s="130"/>
      <c r="O393" s="130"/>
      <c r="P393" s="130"/>
    </row>
    <row r="394" spans="1:16" x14ac:dyDescent="0.2">
      <c r="A394" s="49" t="str">
        <v>0:00</v>
      </c>
      <c r="B394" s="108"/>
      <c r="C394" s="130"/>
      <c r="D394" s="130"/>
      <c r="E394" s="130"/>
      <c r="F394" s="130"/>
      <c r="G394" s="130"/>
      <c r="H394" s="130"/>
      <c r="I394" s="130"/>
      <c r="J394" s="130"/>
      <c r="K394" s="130"/>
      <c r="L394" s="130"/>
      <c r="M394" s="130"/>
      <c r="N394" s="130"/>
      <c r="O394" s="130"/>
      <c r="P394" s="130"/>
    </row>
    <row r="395" spans="1:16" x14ac:dyDescent="0.2">
      <c r="A395" s="49" t="str">
        <v>0:00</v>
      </c>
      <c r="B395" s="108"/>
      <c r="C395" s="130"/>
      <c r="D395" s="130"/>
      <c r="E395" s="130"/>
      <c r="F395" s="130"/>
      <c r="G395" s="130"/>
      <c r="H395" s="130"/>
      <c r="I395" s="130"/>
      <c r="J395" s="130"/>
      <c r="K395" s="130"/>
      <c r="L395" s="130"/>
      <c r="M395" s="130"/>
      <c r="N395" s="130"/>
      <c r="O395" s="130"/>
      <c r="P395" s="130"/>
    </row>
    <row r="396" spans="1:16" x14ac:dyDescent="0.2">
      <c r="A396" s="49" t="str">
        <v>0:00</v>
      </c>
      <c r="B396" s="108"/>
      <c r="C396" s="130"/>
      <c r="D396" s="130"/>
      <c r="E396" s="130"/>
      <c r="F396" s="130"/>
      <c r="G396" s="130"/>
      <c r="H396" s="130"/>
      <c r="I396" s="130"/>
      <c r="J396" s="130"/>
      <c r="K396" s="130"/>
      <c r="L396" s="130"/>
      <c r="M396" s="130"/>
      <c r="N396" s="130"/>
      <c r="O396" s="130"/>
      <c r="P396" s="130"/>
    </row>
    <row r="397" spans="1:16" x14ac:dyDescent="0.2">
      <c r="A397" s="49" t="str">
        <v>0:00</v>
      </c>
      <c r="B397" s="108"/>
      <c r="C397" s="130"/>
      <c r="D397" s="130"/>
      <c r="E397" s="130"/>
      <c r="F397" s="130"/>
      <c r="G397" s="130"/>
      <c r="H397" s="130"/>
      <c r="I397" s="130"/>
      <c r="J397" s="130"/>
      <c r="K397" s="130"/>
      <c r="L397" s="130"/>
      <c r="M397" s="130"/>
      <c r="N397" s="130"/>
      <c r="O397" s="130"/>
      <c r="P397" s="130"/>
    </row>
    <row r="398" spans="1:16" x14ac:dyDescent="0.2">
      <c r="A398" s="49" t="str">
        <v>0:00</v>
      </c>
      <c r="B398" s="108"/>
      <c r="C398" s="130"/>
      <c r="D398" s="130"/>
      <c r="E398" s="130"/>
      <c r="F398" s="130"/>
      <c r="G398" s="130"/>
      <c r="H398" s="130"/>
      <c r="I398" s="130"/>
      <c r="J398" s="130"/>
      <c r="K398" s="130"/>
      <c r="L398" s="130"/>
      <c r="M398" s="130"/>
      <c r="N398" s="130"/>
      <c r="O398" s="130"/>
      <c r="P398" s="130"/>
    </row>
    <row r="399" spans="1:16" x14ac:dyDescent="0.2">
      <c r="A399" s="49" t="str">
        <v>0:00</v>
      </c>
      <c r="B399" s="108"/>
      <c r="C399" s="130"/>
      <c r="D399" s="130"/>
      <c r="E399" s="130"/>
      <c r="F399" s="130"/>
      <c r="G399" s="130"/>
      <c r="H399" s="130"/>
      <c r="I399" s="130"/>
      <c r="J399" s="130"/>
      <c r="K399" s="130"/>
      <c r="L399" s="130"/>
      <c r="M399" s="130"/>
      <c r="N399" s="130"/>
      <c r="O399" s="130"/>
      <c r="P399" s="130"/>
    </row>
    <row r="400" spans="1:16" x14ac:dyDescent="0.2">
      <c r="A400" s="49" t="str">
        <v>0:00</v>
      </c>
      <c r="B400" s="108"/>
      <c r="C400" s="130"/>
      <c r="D400" s="130"/>
      <c r="E400" s="130"/>
      <c r="F400" s="130"/>
      <c r="G400" s="130"/>
      <c r="H400" s="130"/>
      <c r="I400" s="130"/>
      <c r="J400" s="130"/>
      <c r="K400" s="130"/>
      <c r="L400" s="130"/>
      <c r="M400" s="130"/>
      <c r="N400" s="130"/>
      <c r="O400" s="130"/>
      <c r="P400" s="130"/>
    </row>
    <row r="401" spans="1:16" x14ac:dyDescent="0.2">
      <c r="A401" s="49" t="str">
        <v>0:00</v>
      </c>
      <c r="B401" s="108"/>
      <c r="C401" s="130"/>
      <c r="D401" s="130"/>
      <c r="E401" s="130"/>
      <c r="F401" s="130"/>
      <c r="G401" s="130"/>
      <c r="H401" s="130"/>
      <c r="I401" s="130"/>
      <c r="J401" s="130"/>
      <c r="K401" s="130"/>
      <c r="L401" s="130"/>
      <c r="M401" s="130"/>
      <c r="N401" s="130"/>
      <c r="O401" s="130"/>
      <c r="P401" s="130"/>
    </row>
    <row r="402" spans="1:16" x14ac:dyDescent="0.2">
      <c r="A402" s="49" t="str">
        <v>0:00</v>
      </c>
      <c r="B402" s="108"/>
      <c r="C402" s="130"/>
      <c r="D402" s="130"/>
      <c r="E402" s="130"/>
      <c r="F402" s="130"/>
      <c r="G402" s="130"/>
      <c r="H402" s="130"/>
      <c r="I402" s="130"/>
      <c r="J402" s="130"/>
      <c r="K402" s="130"/>
      <c r="L402" s="130"/>
      <c r="M402" s="130"/>
      <c r="N402" s="130"/>
      <c r="O402" s="130"/>
      <c r="P402" s="130"/>
    </row>
    <row r="403" spans="1:16" x14ac:dyDescent="0.2">
      <c r="A403" s="49" t="str">
        <v>0:00</v>
      </c>
      <c r="B403" s="108"/>
      <c r="C403" s="130"/>
      <c r="D403" s="130"/>
      <c r="E403" s="130"/>
      <c r="F403" s="130"/>
      <c r="G403" s="130"/>
      <c r="H403" s="130"/>
      <c r="I403" s="130"/>
      <c r="J403" s="130"/>
      <c r="K403" s="130"/>
      <c r="L403" s="130"/>
      <c r="M403" s="130"/>
      <c r="N403" s="130"/>
      <c r="O403" s="130"/>
      <c r="P403" s="130"/>
    </row>
    <row r="404" spans="1:16" x14ac:dyDescent="0.2">
      <c r="A404" s="49" t="str">
        <v>0:00</v>
      </c>
      <c r="B404" s="108"/>
      <c r="C404" s="130"/>
      <c r="D404" s="130"/>
      <c r="E404" s="130"/>
      <c r="F404" s="130"/>
      <c r="G404" s="130"/>
      <c r="H404" s="130"/>
      <c r="I404" s="130"/>
      <c r="J404" s="130"/>
      <c r="K404" s="130"/>
      <c r="L404" s="130"/>
      <c r="M404" s="130"/>
      <c r="N404" s="130"/>
      <c r="O404" s="130"/>
      <c r="P404" s="130"/>
    </row>
    <row r="405" spans="1:16" x14ac:dyDescent="0.2">
      <c r="A405" s="49" t="str">
        <v>0:00</v>
      </c>
      <c r="B405" s="108"/>
      <c r="C405" s="130"/>
      <c r="D405" s="130"/>
      <c r="E405" s="130"/>
      <c r="F405" s="130"/>
      <c r="G405" s="130"/>
      <c r="H405" s="130"/>
      <c r="I405" s="130"/>
      <c r="J405" s="130"/>
      <c r="K405" s="130"/>
      <c r="L405" s="130"/>
      <c r="M405" s="130"/>
      <c r="N405" s="130"/>
      <c r="O405" s="130"/>
      <c r="P405" s="130"/>
    </row>
    <row r="406" spans="1:16" x14ac:dyDescent="0.2">
      <c r="A406" s="49" t="str">
        <v>0:00</v>
      </c>
      <c r="B406" s="108"/>
      <c r="C406" s="130"/>
      <c r="D406" s="130"/>
      <c r="E406" s="130"/>
      <c r="F406" s="130"/>
      <c r="G406" s="130"/>
      <c r="H406" s="130"/>
      <c r="I406" s="130"/>
      <c r="J406" s="130"/>
      <c r="K406" s="130"/>
      <c r="L406" s="130"/>
      <c r="M406" s="130"/>
      <c r="N406" s="130"/>
      <c r="O406" s="130"/>
      <c r="P406" s="130"/>
    </row>
    <row r="407" spans="1:16" x14ac:dyDescent="0.2">
      <c r="A407" s="49" t="str">
        <v>0:00</v>
      </c>
      <c r="B407" s="108"/>
      <c r="C407" s="130"/>
      <c r="D407" s="130"/>
      <c r="E407" s="130"/>
      <c r="F407" s="130"/>
      <c r="G407" s="130"/>
      <c r="H407" s="130"/>
      <c r="I407" s="130"/>
      <c r="J407" s="130"/>
      <c r="K407" s="130"/>
      <c r="L407" s="130"/>
      <c r="M407" s="130"/>
      <c r="N407" s="130"/>
      <c r="O407" s="130"/>
      <c r="P407" s="130"/>
    </row>
    <row r="408" spans="1:16" x14ac:dyDescent="0.2">
      <c r="A408" s="49" t="str">
        <v>0:00</v>
      </c>
      <c r="B408" s="108"/>
      <c r="C408" s="130"/>
      <c r="D408" s="130"/>
      <c r="E408" s="130"/>
      <c r="F408" s="130"/>
      <c r="G408" s="130"/>
      <c r="H408" s="130"/>
      <c r="I408" s="130"/>
      <c r="J408" s="130"/>
      <c r="K408" s="130"/>
      <c r="L408" s="130"/>
      <c r="M408" s="130"/>
      <c r="N408" s="130"/>
      <c r="O408" s="130"/>
      <c r="P408" s="130"/>
    </row>
    <row r="409" spans="1:16" x14ac:dyDescent="0.2">
      <c r="A409" s="49" t="str">
        <v>0:00</v>
      </c>
      <c r="B409" s="108"/>
      <c r="C409" s="130"/>
      <c r="D409" s="130"/>
      <c r="E409" s="130"/>
      <c r="F409" s="130"/>
      <c r="G409" s="130"/>
      <c r="H409" s="130"/>
      <c r="I409" s="130"/>
      <c r="J409" s="130"/>
      <c r="K409" s="130"/>
      <c r="L409" s="130"/>
      <c r="M409" s="130"/>
      <c r="N409" s="130"/>
      <c r="O409" s="130"/>
      <c r="P409" s="130"/>
    </row>
    <row r="410" spans="1:16" x14ac:dyDescent="0.2">
      <c r="A410" s="49" t="str">
        <v>0:00</v>
      </c>
      <c r="B410" s="108"/>
      <c r="C410" s="130"/>
      <c r="D410" s="130"/>
      <c r="E410" s="130"/>
      <c r="F410" s="130"/>
      <c r="G410" s="130"/>
      <c r="H410" s="130"/>
      <c r="I410" s="130"/>
      <c r="J410" s="130"/>
      <c r="K410" s="130"/>
      <c r="L410" s="130"/>
      <c r="M410" s="130"/>
      <c r="N410" s="130"/>
      <c r="O410" s="130"/>
      <c r="P410" s="130"/>
    </row>
    <row r="411" spans="1:16" x14ac:dyDescent="0.2">
      <c r="A411" s="49" t="str">
        <v>0:00</v>
      </c>
      <c r="B411" s="108"/>
      <c r="C411" s="130"/>
      <c r="D411" s="130"/>
      <c r="E411" s="130"/>
      <c r="F411" s="130"/>
      <c r="G411" s="130"/>
      <c r="H411" s="130"/>
      <c r="I411" s="130"/>
      <c r="J411" s="130"/>
      <c r="K411" s="130"/>
      <c r="L411" s="130"/>
      <c r="M411" s="130"/>
      <c r="N411" s="130"/>
      <c r="O411" s="130"/>
      <c r="P411" s="130"/>
    </row>
    <row r="412" spans="1:16" x14ac:dyDescent="0.2">
      <c r="A412" s="49" t="str">
        <v>0:00</v>
      </c>
      <c r="B412" s="108"/>
      <c r="C412" s="130"/>
      <c r="D412" s="130"/>
      <c r="E412" s="130"/>
      <c r="F412" s="130"/>
      <c r="G412" s="130"/>
      <c r="H412" s="130"/>
      <c r="I412" s="130"/>
      <c r="J412" s="130"/>
      <c r="K412" s="130"/>
      <c r="L412" s="130"/>
      <c r="M412" s="130"/>
      <c r="N412" s="130"/>
      <c r="O412" s="130"/>
      <c r="P412" s="130"/>
    </row>
    <row r="413" spans="1:16" x14ac:dyDescent="0.2">
      <c r="A413" s="49" t="str">
        <v>0:00</v>
      </c>
      <c r="B413" s="108"/>
      <c r="C413" s="130"/>
      <c r="D413" s="130"/>
      <c r="E413" s="130"/>
      <c r="F413" s="130"/>
      <c r="G413" s="130"/>
      <c r="H413" s="130"/>
      <c r="I413" s="130"/>
      <c r="J413" s="130"/>
      <c r="K413" s="130"/>
      <c r="L413" s="130"/>
      <c r="M413" s="130"/>
      <c r="N413" s="130"/>
      <c r="O413" s="130"/>
      <c r="P413" s="130"/>
    </row>
    <row r="414" spans="1:16" x14ac:dyDescent="0.2">
      <c r="A414" s="49" t="str">
        <v>0:00</v>
      </c>
      <c r="B414" s="108"/>
      <c r="C414" s="130"/>
      <c r="D414" s="130"/>
      <c r="E414" s="130"/>
      <c r="F414" s="130"/>
      <c r="G414" s="130"/>
      <c r="H414" s="130"/>
      <c r="I414" s="130"/>
      <c r="J414" s="130"/>
      <c r="K414" s="130"/>
      <c r="L414" s="130"/>
      <c r="M414" s="130"/>
      <c r="N414" s="130"/>
      <c r="O414" s="130"/>
      <c r="P414" s="130"/>
    </row>
    <row r="415" spans="1:16" x14ac:dyDescent="0.2">
      <c r="A415" s="49" t="str">
        <v>0:00</v>
      </c>
      <c r="B415" s="108"/>
      <c r="C415" s="130"/>
      <c r="D415" s="130"/>
      <c r="E415" s="130"/>
      <c r="F415" s="130"/>
      <c r="G415" s="130"/>
      <c r="H415" s="130"/>
      <c r="I415" s="130"/>
      <c r="J415" s="130"/>
      <c r="K415" s="130"/>
      <c r="L415" s="130"/>
      <c r="M415" s="130"/>
      <c r="N415" s="130"/>
      <c r="O415" s="130"/>
      <c r="P415" s="130"/>
    </row>
    <row r="416" spans="1:16" x14ac:dyDescent="0.2">
      <c r="A416" s="49" t="str">
        <v>0:00</v>
      </c>
      <c r="B416" s="108"/>
      <c r="C416" s="130"/>
      <c r="D416" s="130"/>
      <c r="E416" s="130"/>
      <c r="F416" s="130"/>
      <c r="G416" s="130"/>
      <c r="H416" s="130"/>
      <c r="I416" s="130"/>
      <c r="J416" s="130"/>
      <c r="K416" s="130"/>
      <c r="L416" s="130"/>
      <c r="M416" s="130"/>
      <c r="N416" s="130"/>
      <c r="O416" s="130"/>
      <c r="P416" s="130"/>
    </row>
    <row r="417" spans="1:16" x14ac:dyDescent="0.2">
      <c r="A417" s="49" t="str">
        <v>0:00</v>
      </c>
      <c r="B417" s="108"/>
      <c r="C417" s="130"/>
      <c r="D417" s="130"/>
      <c r="E417" s="130"/>
      <c r="F417" s="130"/>
      <c r="G417" s="130"/>
      <c r="H417" s="130"/>
      <c r="I417" s="130"/>
      <c r="J417" s="130"/>
      <c r="K417" s="130"/>
      <c r="L417" s="130"/>
      <c r="M417" s="130"/>
      <c r="N417" s="130"/>
      <c r="O417" s="130"/>
      <c r="P417" s="130"/>
    </row>
    <row r="418" spans="1:16" x14ac:dyDescent="0.2">
      <c r="A418" s="49" t="str">
        <v>0:00</v>
      </c>
      <c r="B418" s="108"/>
      <c r="C418" s="130"/>
      <c r="D418" s="130"/>
      <c r="E418" s="130"/>
      <c r="F418" s="130"/>
      <c r="G418" s="130"/>
      <c r="H418" s="130"/>
      <c r="I418" s="130"/>
      <c r="J418" s="130"/>
      <c r="K418" s="130"/>
      <c r="L418" s="130"/>
      <c r="M418" s="130"/>
      <c r="N418" s="130"/>
      <c r="O418" s="130"/>
      <c r="P418" s="130"/>
    </row>
    <row r="419" spans="1:16" x14ac:dyDescent="0.2">
      <c r="A419" s="49" t="str">
        <v>0:00</v>
      </c>
      <c r="B419" s="108"/>
      <c r="C419" s="130"/>
      <c r="D419" s="130"/>
      <c r="E419" s="130"/>
      <c r="F419" s="130"/>
      <c r="G419" s="130"/>
      <c r="H419" s="130"/>
      <c r="I419" s="130"/>
      <c r="J419" s="130"/>
      <c r="K419" s="130"/>
      <c r="L419" s="130"/>
      <c r="M419" s="130"/>
      <c r="N419" s="130"/>
      <c r="O419" s="130"/>
      <c r="P419" s="130"/>
    </row>
    <row r="420" spans="1:16" x14ac:dyDescent="0.2">
      <c r="A420" s="49" t="str">
        <v>0:00</v>
      </c>
      <c r="B420" s="108"/>
      <c r="C420" s="130"/>
      <c r="D420" s="130"/>
      <c r="E420" s="130"/>
      <c r="F420" s="130"/>
      <c r="G420" s="130"/>
      <c r="H420" s="130"/>
      <c r="I420" s="130"/>
      <c r="J420" s="130"/>
      <c r="K420" s="130"/>
      <c r="L420" s="130"/>
      <c r="M420" s="130"/>
      <c r="N420" s="130"/>
      <c r="O420" s="130"/>
      <c r="P420" s="130"/>
    </row>
    <row r="421" spans="1:16" x14ac:dyDescent="0.2">
      <c r="A421" s="49" t="str">
        <v>0:00</v>
      </c>
      <c r="B421" s="108"/>
      <c r="C421" s="130"/>
      <c r="D421" s="130"/>
      <c r="E421" s="130"/>
      <c r="F421" s="130"/>
      <c r="G421" s="130"/>
      <c r="H421" s="130"/>
      <c r="I421" s="130"/>
      <c r="J421" s="130"/>
      <c r="K421" s="130"/>
      <c r="L421" s="130"/>
      <c r="M421" s="130"/>
      <c r="N421" s="130"/>
      <c r="O421" s="130"/>
      <c r="P421" s="130"/>
    </row>
    <row r="422" spans="1:16" x14ac:dyDescent="0.2">
      <c r="A422" s="49" t="str">
        <v>0:00</v>
      </c>
      <c r="B422" s="108"/>
      <c r="C422" s="130"/>
      <c r="D422" s="130"/>
      <c r="E422" s="130"/>
      <c r="F422" s="130"/>
      <c r="G422" s="130"/>
      <c r="H422" s="130"/>
      <c r="I422" s="130"/>
      <c r="J422" s="130"/>
      <c r="K422" s="130"/>
      <c r="L422" s="130"/>
      <c r="M422" s="130"/>
      <c r="N422" s="130"/>
      <c r="O422" s="130"/>
      <c r="P422" s="130"/>
    </row>
    <row r="423" spans="1:16" x14ac:dyDescent="0.2">
      <c r="A423" s="49" t="str">
        <v>0:00</v>
      </c>
      <c r="B423" s="108"/>
      <c r="C423" s="130"/>
      <c r="D423" s="130"/>
      <c r="E423" s="130"/>
      <c r="F423" s="130"/>
      <c r="G423" s="130"/>
      <c r="H423" s="130"/>
      <c r="I423" s="130"/>
      <c r="J423" s="130"/>
      <c r="K423" s="130"/>
      <c r="L423" s="130"/>
      <c r="M423" s="130"/>
      <c r="N423" s="130"/>
      <c r="O423" s="130"/>
      <c r="P423" s="130"/>
    </row>
    <row r="424" spans="1:16" x14ac:dyDescent="0.2">
      <c r="A424" s="49" t="str">
        <v>0:00</v>
      </c>
      <c r="B424" s="108"/>
      <c r="C424" s="130"/>
      <c r="D424" s="130"/>
      <c r="E424" s="130"/>
      <c r="F424" s="130"/>
      <c r="G424" s="130"/>
      <c r="H424" s="130"/>
      <c r="I424" s="130"/>
      <c r="J424" s="130"/>
      <c r="K424" s="130"/>
      <c r="L424" s="130"/>
      <c r="M424" s="130"/>
      <c r="N424" s="130"/>
      <c r="O424" s="130"/>
      <c r="P424" s="130"/>
    </row>
    <row r="425" spans="1:16" x14ac:dyDescent="0.2">
      <c r="A425" s="49" t="str">
        <v>0:00</v>
      </c>
      <c r="B425" s="108"/>
      <c r="C425" s="130"/>
      <c r="D425" s="130"/>
      <c r="E425" s="130"/>
      <c r="F425" s="130"/>
      <c r="G425" s="130"/>
      <c r="H425" s="130"/>
      <c r="I425" s="130"/>
      <c r="J425" s="130"/>
      <c r="K425" s="130"/>
      <c r="L425" s="130"/>
      <c r="M425" s="130"/>
      <c r="N425" s="130"/>
      <c r="O425" s="130"/>
      <c r="P425" s="130"/>
    </row>
    <row r="426" spans="1:16" x14ac:dyDescent="0.2">
      <c r="A426" s="49" t="str">
        <v>0:00</v>
      </c>
      <c r="B426" s="108"/>
      <c r="C426" s="130"/>
      <c r="D426" s="130"/>
      <c r="E426" s="130"/>
      <c r="F426" s="130"/>
      <c r="G426" s="130"/>
      <c r="H426" s="130"/>
      <c r="I426" s="130"/>
      <c r="J426" s="130"/>
      <c r="K426" s="130"/>
      <c r="L426" s="130"/>
      <c r="M426" s="130"/>
      <c r="N426" s="130"/>
      <c r="O426" s="130"/>
      <c r="P426" s="130"/>
    </row>
    <row r="427" spans="1:16" x14ac:dyDescent="0.2">
      <c r="A427" s="49" t="str">
        <v>0:00</v>
      </c>
      <c r="B427" s="108"/>
      <c r="C427" s="130"/>
      <c r="D427" s="130"/>
      <c r="E427" s="130"/>
      <c r="F427" s="130"/>
      <c r="G427" s="130"/>
      <c r="H427" s="130"/>
      <c r="I427" s="130"/>
      <c r="J427" s="130"/>
      <c r="K427" s="130"/>
      <c r="L427" s="130"/>
      <c r="M427" s="130"/>
      <c r="N427" s="130"/>
      <c r="O427" s="130"/>
      <c r="P427" s="130"/>
    </row>
    <row r="428" spans="1:16" x14ac:dyDescent="0.2">
      <c r="A428" s="49" t="str">
        <v>0:00</v>
      </c>
      <c r="B428" s="108"/>
      <c r="C428" s="130"/>
      <c r="D428" s="130"/>
      <c r="E428" s="130"/>
      <c r="F428" s="130"/>
      <c r="G428" s="130"/>
      <c r="H428" s="130"/>
      <c r="I428" s="130"/>
      <c r="J428" s="130"/>
      <c r="K428" s="130"/>
      <c r="L428" s="130"/>
      <c r="M428" s="130"/>
      <c r="N428" s="130"/>
      <c r="O428" s="130"/>
      <c r="P428" s="130"/>
    </row>
    <row r="429" spans="1:16" x14ac:dyDescent="0.2">
      <c r="A429" s="49" t="str">
        <v>0:00</v>
      </c>
      <c r="B429" s="108"/>
      <c r="C429" s="130"/>
      <c r="D429" s="130"/>
      <c r="E429" s="130"/>
      <c r="F429" s="130"/>
      <c r="G429" s="130"/>
      <c r="H429" s="130"/>
      <c r="I429" s="130"/>
      <c r="J429" s="130"/>
      <c r="K429" s="130"/>
      <c r="L429" s="130"/>
      <c r="M429" s="130"/>
      <c r="N429" s="130"/>
      <c r="O429" s="130"/>
      <c r="P429" s="130"/>
    </row>
    <row r="430" spans="1:16" x14ac:dyDescent="0.2">
      <c r="A430" s="49" t="str">
        <v>0:00</v>
      </c>
      <c r="B430" s="108"/>
      <c r="C430" s="130"/>
      <c r="D430" s="130"/>
      <c r="E430" s="130"/>
      <c r="F430" s="130"/>
      <c r="G430" s="130"/>
      <c r="H430" s="130"/>
      <c r="I430" s="130"/>
      <c r="J430" s="130"/>
      <c r="K430" s="130"/>
      <c r="L430" s="130"/>
      <c r="M430" s="130"/>
      <c r="N430" s="130"/>
      <c r="O430" s="130"/>
      <c r="P430" s="130"/>
    </row>
    <row r="431" spans="1:16" x14ac:dyDescent="0.2">
      <c r="A431" s="49" t="str">
        <v>0:00</v>
      </c>
      <c r="B431" s="108"/>
      <c r="C431" s="130"/>
      <c r="D431" s="130"/>
      <c r="E431" s="130"/>
      <c r="F431" s="130"/>
      <c r="G431" s="130"/>
      <c r="H431" s="130"/>
      <c r="I431" s="130"/>
      <c r="J431" s="130"/>
      <c r="K431" s="130"/>
      <c r="L431" s="130"/>
      <c r="M431" s="130"/>
      <c r="N431" s="130"/>
      <c r="O431" s="130"/>
      <c r="P431" s="130"/>
    </row>
    <row r="432" spans="1:16" x14ac:dyDescent="0.2">
      <c r="A432" s="49" t="str">
        <v>0:00</v>
      </c>
      <c r="B432" s="108"/>
      <c r="C432" s="130"/>
      <c r="D432" s="130"/>
      <c r="E432" s="130"/>
      <c r="F432" s="130"/>
      <c r="G432" s="130"/>
      <c r="H432" s="130"/>
      <c r="I432" s="130"/>
      <c r="J432" s="130"/>
      <c r="K432" s="130"/>
      <c r="L432" s="130"/>
      <c r="M432" s="130"/>
      <c r="N432" s="130"/>
      <c r="O432" s="130"/>
      <c r="P432" s="130"/>
    </row>
    <row r="433" spans="1:16" x14ac:dyDescent="0.2">
      <c r="A433" s="49" t="str">
        <v>0:00</v>
      </c>
      <c r="B433" s="108"/>
      <c r="C433" s="130"/>
      <c r="D433" s="130"/>
      <c r="E433" s="130"/>
      <c r="F433" s="130"/>
      <c r="G433" s="130"/>
      <c r="H433" s="130"/>
      <c r="I433" s="130"/>
      <c r="J433" s="130"/>
      <c r="K433" s="130"/>
      <c r="L433" s="130"/>
      <c r="M433" s="130"/>
      <c r="N433" s="130"/>
      <c r="O433" s="130"/>
      <c r="P433" s="130"/>
    </row>
    <row r="434" spans="1:16" x14ac:dyDescent="0.2">
      <c r="A434" s="49" t="str">
        <v>0:00</v>
      </c>
      <c r="B434" s="108"/>
      <c r="C434" s="130"/>
      <c r="D434" s="130"/>
      <c r="E434" s="130"/>
      <c r="F434" s="130"/>
      <c r="G434" s="130"/>
      <c r="H434" s="130"/>
      <c r="I434" s="130"/>
      <c r="J434" s="130"/>
      <c r="K434" s="130"/>
      <c r="L434" s="130"/>
      <c r="M434" s="130"/>
      <c r="N434" s="130"/>
      <c r="O434" s="130"/>
      <c r="P434" s="130"/>
    </row>
    <row r="435" spans="1:16" x14ac:dyDescent="0.2">
      <c r="A435" s="49" t="str">
        <v>0:00</v>
      </c>
      <c r="B435" s="108"/>
      <c r="C435" s="130"/>
      <c r="D435" s="130"/>
      <c r="E435" s="130"/>
      <c r="F435" s="130"/>
      <c r="G435" s="130"/>
      <c r="H435" s="130"/>
      <c r="I435" s="130"/>
      <c r="J435" s="130"/>
      <c r="K435" s="130"/>
      <c r="L435" s="130"/>
      <c r="M435" s="130"/>
      <c r="N435" s="130"/>
      <c r="O435" s="130"/>
      <c r="P435" s="130"/>
    </row>
    <row r="436" spans="1:16" x14ac:dyDescent="0.2">
      <c r="A436" s="49" t="str">
        <v>0:00</v>
      </c>
      <c r="B436" s="108"/>
      <c r="C436" s="130"/>
      <c r="D436" s="130"/>
      <c r="E436" s="130"/>
      <c r="F436" s="130"/>
      <c r="G436" s="130"/>
      <c r="H436" s="130"/>
      <c r="I436" s="130"/>
      <c r="J436" s="130"/>
      <c r="K436" s="130"/>
      <c r="L436" s="130"/>
      <c r="M436" s="130"/>
      <c r="N436" s="130"/>
      <c r="O436" s="130"/>
      <c r="P436" s="130"/>
    </row>
    <row r="437" spans="1:16" x14ac:dyDescent="0.2">
      <c r="A437" s="49" t="str">
        <v>0:00</v>
      </c>
      <c r="B437" s="108"/>
      <c r="C437" s="130"/>
      <c r="D437" s="130"/>
      <c r="E437" s="130"/>
      <c r="F437" s="130"/>
      <c r="G437" s="130"/>
      <c r="H437" s="130"/>
      <c r="I437" s="130"/>
      <c r="J437" s="130"/>
      <c r="K437" s="130"/>
      <c r="L437" s="130"/>
      <c r="M437" s="130"/>
      <c r="N437" s="130"/>
      <c r="O437" s="130"/>
      <c r="P437" s="130"/>
    </row>
    <row r="438" spans="1:16" x14ac:dyDescent="0.2">
      <c r="A438" s="49" t="str">
        <v>0:00</v>
      </c>
      <c r="B438" s="108"/>
      <c r="C438" s="130"/>
      <c r="D438" s="130"/>
      <c r="E438" s="130"/>
      <c r="F438" s="130"/>
      <c r="G438" s="130"/>
      <c r="H438" s="130"/>
      <c r="I438" s="130"/>
      <c r="J438" s="130"/>
      <c r="K438" s="130"/>
      <c r="L438" s="130"/>
      <c r="M438" s="130"/>
      <c r="N438" s="130"/>
      <c r="O438" s="130"/>
      <c r="P438" s="130"/>
    </row>
    <row r="439" spans="1:16" x14ac:dyDescent="0.2">
      <c r="A439" s="49" t="str">
        <v>0:00</v>
      </c>
      <c r="B439" s="108"/>
      <c r="C439" s="130"/>
      <c r="D439" s="130"/>
      <c r="E439" s="130"/>
      <c r="F439" s="130"/>
      <c r="G439" s="130"/>
      <c r="H439" s="130"/>
      <c r="I439" s="130"/>
      <c r="J439" s="130"/>
      <c r="K439" s="130"/>
      <c r="L439" s="130"/>
      <c r="M439" s="130"/>
      <c r="N439" s="130"/>
      <c r="O439" s="130"/>
      <c r="P439" s="130"/>
    </row>
    <row r="440" spans="1:16" x14ac:dyDescent="0.2">
      <c r="A440" s="49" t="str">
        <v>0:00</v>
      </c>
      <c r="B440" s="108"/>
      <c r="C440" s="130"/>
      <c r="D440" s="130"/>
      <c r="E440" s="130"/>
      <c r="F440" s="130"/>
      <c r="G440" s="130"/>
      <c r="H440" s="130"/>
      <c r="I440" s="130"/>
      <c r="J440" s="130"/>
      <c r="K440" s="130"/>
      <c r="L440" s="130"/>
      <c r="M440" s="130"/>
      <c r="N440" s="130"/>
      <c r="O440" s="130"/>
      <c r="P440" s="130"/>
    </row>
    <row r="441" spans="1:16" x14ac:dyDescent="0.2">
      <c r="A441" s="49" t="str">
        <v>0:00</v>
      </c>
      <c r="B441" s="108"/>
      <c r="C441" s="130"/>
      <c r="D441" s="130"/>
      <c r="E441" s="130"/>
      <c r="F441" s="130"/>
      <c r="G441" s="130"/>
      <c r="H441" s="130"/>
      <c r="I441" s="130"/>
      <c r="J441" s="130"/>
      <c r="K441" s="130"/>
      <c r="L441" s="130"/>
      <c r="M441" s="130"/>
      <c r="N441" s="130"/>
      <c r="O441" s="130"/>
      <c r="P441" s="130"/>
    </row>
    <row r="442" spans="1:16" x14ac:dyDescent="0.2">
      <c r="A442" s="49" t="str">
        <v>0:00</v>
      </c>
      <c r="B442" s="108"/>
      <c r="C442" s="130"/>
      <c r="D442" s="130"/>
      <c r="E442" s="130"/>
      <c r="F442" s="130"/>
      <c r="G442" s="130"/>
      <c r="H442" s="130"/>
      <c r="I442" s="130"/>
      <c r="J442" s="130"/>
      <c r="K442" s="130"/>
      <c r="L442" s="130"/>
      <c r="M442" s="130"/>
      <c r="N442" s="130"/>
      <c r="O442" s="130"/>
      <c r="P442" s="130"/>
    </row>
    <row r="443" spans="1:16" x14ac:dyDescent="0.2">
      <c r="A443" s="49" t="str">
        <v>0:00</v>
      </c>
      <c r="B443" s="108"/>
      <c r="C443" s="130"/>
      <c r="D443" s="130"/>
      <c r="E443" s="130"/>
      <c r="F443" s="130"/>
      <c r="G443" s="130"/>
      <c r="H443" s="130"/>
      <c r="I443" s="130"/>
      <c r="J443" s="130"/>
      <c r="K443" s="130"/>
      <c r="L443" s="130"/>
      <c r="M443" s="130"/>
      <c r="N443" s="130"/>
      <c r="O443" s="130"/>
      <c r="P443" s="130"/>
    </row>
    <row r="444" spans="1:16" x14ac:dyDescent="0.2">
      <c r="A444" s="49" t="str">
        <v>0:00</v>
      </c>
      <c r="B444" s="108"/>
      <c r="C444" s="130"/>
      <c r="D444" s="130"/>
      <c r="E444" s="130"/>
      <c r="F444" s="130"/>
      <c r="G444" s="130"/>
      <c r="H444" s="130"/>
      <c r="I444" s="130"/>
      <c r="J444" s="130"/>
      <c r="K444" s="130"/>
      <c r="L444" s="130"/>
      <c r="M444" s="130"/>
      <c r="N444" s="130"/>
      <c r="O444" s="130"/>
      <c r="P444" s="130"/>
    </row>
    <row r="445" spans="1:16" x14ac:dyDescent="0.2">
      <c r="A445" s="49" t="str">
        <v>0:00</v>
      </c>
      <c r="B445" s="108"/>
      <c r="C445" s="130"/>
      <c r="D445" s="130"/>
      <c r="E445" s="130"/>
      <c r="F445" s="130"/>
      <c r="G445" s="130"/>
      <c r="H445" s="130"/>
      <c r="I445" s="130"/>
      <c r="J445" s="130"/>
      <c r="K445" s="130"/>
      <c r="L445" s="130"/>
      <c r="M445" s="130"/>
      <c r="N445" s="130"/>
      <c r="O445" s="130"/>
      <c r="P445" s="130"/>
    </row>
    <row r="446" spans="1:16" x14ac:dyDescent="0.2">
      <c r="A446" s="49" t="str">
        <v>0:00</v>
      </c>
      <c r="B446" s="108"/>
      <c r="C446" s="130"/>
      <c r="D446" s="130"/>
      <c r="E446" s="130"/>
      <c r="F446" s="130"/>
      <c r="G446" s="130"/>
      <c r="H446" s="130"/>
      <c r="I446" s="130"/>
      <c r="J446" s="130"/>
      <c r="K446" s="130"/>
      <c r="L446" s="130"/>
      <c r="M446" s="130"/>
      <c r="N446" s="130"/>
      <c r="O446" s="130"/>
      <c r="P446" s="130"/>
    </row>
    <row r="447" spans="1:16" x14ac:dyDescent="0.2">
      <c r="A447" s="49" t="str">
        <v>0:00</v>
      </c>
      <c r="B447" s="108"/>
      <c r="C447" s="130"/>
      <c r="D447" s="130"/>
      <c r="E447" s="130"/>
      <c r="F447" s="130"/>
      <c r="G447" s="130"/>
      <c r="H447" s="130"/>
      <c r="I447" s="130"/>
      <c r="J447" s="130"/>
      <c r="K447" s="130"/>
      <c r="L447" s="130"/>
      <c r="M447" s="130"/>
      <c r="N447" s="130"/>
      <c r="O447" s="130"/>
      <c r="P447" s="130"/>
    </row>
    <row r="448" spans="1:16" x14ac:dyDescent="0.2">
      <c r="A448" s="49" t="str">
        <v>0:00</v>
      </c>
      <c r="B448" s="108"/>
      <c r="C448" s="130"/>
      <c r="D448" s="130"/>
      <c r="E448" s="130"/>
      <c r="F448" s="130"/>
      <c r="G448" s="130"/>
      <c r="H448" s="130"/>
      <c r="I448" s="130"/>
      <c r="J448" s="130"/>
      <c r="K448" s="130"/>
      <c r="L448" s="130"/>
      <c r="M448" s="130"/>
      <c r="N448" s="130"/>
      <c r="O448" s="130"/>
      <c r="P448" s="130"/>
    </row>
    <row r="449" spans="1:16" x14ac:dyDescent="0.2">
      <c r="A449" s="49" t="str">
        <v>0:00</v>
      </c>
      <c r="B449" s="108"/>
      <c r="C449" s="130"/>
      <c r="D449" s="130"/>
      <c r="E449" s="130"/>
      <c r="F449" s="130"/>
      <c r="G449" s="130"/>
      <c r="H449" s="130"/>
      <c r="I449" s="130"/>
      <c r="J449" s="130"/>
      <c r="K449" s="130"/>
      <c r="L449" s="130"/>
      <c r="M449" s="130"/>
      <c r="N449" s="130"/>
      <c r="O449" s="130"/>
      <c r="P449" s="130"/>
    </row>
    <row r="450" spans="1:16" x14ac:dyDescent="0.2">
      <c r="A450" s="49" t="str">
        <v>0:00</v>
      </c>
      <c r="B450" s="108"/>
      <c r="C450" s="130"/>
      <c r="D450" s="130"/>
      <c r="E450" s="130"/>
      <c r="F450" s="130"/>
      <c r="G450" s="130"/>
      <c r="H450" s="130"/>
      <c r="I450" s="130"/>
      <c r="J450" s="130"/>
      <c r="K450" s="130"/>
      <c r="L450" s="130"/>
      <c r="M450" s="130"/>
      <c r="N450" s="130"/>
      <c r="O450" s="130"/>
      <c r="P450" s="130"/>
    </row>
    <row r="451" spans="1:16" x14ac:dyDescent="0.2">
      <c r="A451" s="49" t="str">
        <v>0:00</v>
      </c>
      <c r="B451" s="108"/>
      <c r="C451" s="130"/>
      <c r="D451" s="130"/>
      <c r="E451" s="130"/>
      <c r="F451" s="130"/>
      <c r="G451" s="130"/>
      <c r="H451" s="130"/>
      <c r="I451" s="130"/>
      <c r="J451" s="130"/>
      <c r="K451" s="130"/>
      <c r="L451" s="130"/>
      <c r="M451" s="130"/>
      <c r="N451" s="130"/>
      <c r="O451" s="130"/>
      <c r="P451" s="130"/>
    </row>
    <row r="452" spans="1:16" x14ac:dyDescent="0.2">
      <c r="A452" s="49" t="str">
        <v>0:00</v>
      </c>
      <c r="B452" s="108"/>
      <c r="C452" s="130"/>
      <c r="D452" s="130"/>
      <c r="E452" s="130"/>
      <c r="F452" s="130"/>
      <c r="G452" s="130"/>
      <c r="H452" s="130"/>
      <c r="I452" s="130"/>
      <c r="J452" s="130"/>
      <c r="K452" s="130"/>
      <c r="L452" s="130"/>
      <c r="M452" s="130"/>
      <c r="N452" s="130"/>
      <c r="O452" s="130"/>
      <c r="P452" s="130"/>
    </row>
    <row r="453" spans="1:16" x14ac:dyDescent="0.2">
      <c r="A453" s="49" t="str">
        <v>0:00</v>
      </c>
      <c r="B453" s="108"/>
      <c r="C453" s="130"/>
      <c r="D453" s="130"/>
      <c r="E453" s="130"/>
      <c r="F453" s="130"/>
      <c r="G453" s="130"/>
      <c r="H453" s="130"/>
      <c r="I453" s="130"/>
      <c r="J453" s="130"/>
      <c r="K453" s="130"/>
      <c r="L453" s="130"/>
      <c r="M453" s="130"/>
      <c r="N453" s="130"/>
      <c r="O453" s="130"/>
      <c r="P453" s="130"/>
    </row>
    <row r="454" spans="1:16" x14ac:dyDescent="0.2">
      <c r="A454" s="49" t="str">
        <v>0:00</v>
      </c>
      <c r="B454" s="108"/>
      <c r="C454" s="130"/>
      <c r="D454" s="130"/>
      <c r="E454" s="130"/>
      <c r="F454" s="130"/>
      <c r="G454" s="130"/>
      <c r="H454" s="130"/>
      <c r="I454" s="130"/>
      <c r="J454" s="130"/>
      <c r="K454" s="130"/>
      <c r="L454" s="130"/>
      <c r="M454" s="130"/>
      <c r="N454" s="130"/>
      <c r="O454" s="130"/>
      <c r="P454" s="130"/>
    </row>
    <row r="455" spans="1:16" x14ac:dyDescent="0.2">
      <c r="A455" s="49" t="str">
        <v>0:00</v>
      </c>
      <c r="B455" s="108"/>
      <c r="C455" s="130"/>
      <c r="D455" s="130"/>
      <c r="E455" s="130"/>
      <c r="F455" s="130"/>
      <c r="G455" s="130"/>
      <c r="H455" s="130"/>
      <c r="I455" s="130"/>
      <c r="J455" s="130"/>
      <c r="K455" s="130"/>
      <c r="L455" s="130"/>
      <c r="M455" s="130"/>
      <c r="N455" s="130"/>
      <c r="O455" s="130"/>
      <c r="P455" s="130"/>
    </row>
    <row r="456" spans="1:16" x14ac:dyDescent="0.2">
      <c r="A456" s="49" t="str">
        <v>0:00</v>
      </c>
      <c r="B456" s="108"/>
      <c r="C456" s="130"/>
      <c r="D456" s="130"/>
      <c r="E456" s="130"/>
      <c r="F456" s="130"/>
      <c r="G456" s="130"/>
      <c r="H456" s="130"/>
      <c r="I456" s="130"/>
      <c r="J456" s="130"/>
      <c r="K456" s="130"/>
      <c r="L456" s="130"/>
      <c r="M456" s="130"/>
      <c r="N456" s="130"/>
      <c r="O456" s="130"/>
      <c r="P456" s="130"/>
    </row>
    <row r="457" spans="1:16" x14ac:dyDescent="0.2">
      <c r="A457" s="49" t="str">
        <v>0:00</v>
      </c>
      <c r="B457" s="108"/>
      <c r="C457" s="130"/>
      <c r="D457" s="130"/>
      <c r="E457" s="130"/>
      <c r="F457" s="130"/>
      <c r="G457" s="130"/>
      <c r="H457" s="130"/>
      <c r="I457" s="130"/>
      <c r="J457" s="130"/>
      <c r="K457" s="130"/>
      <c r="L457" s="130"/>
      <c r="M457" s="130"/>
      <c r="N457" s="130"/>
      <c r="O457" s="130"/>
      <c r="P457" s="130"/>
    </row>
    <row r="458" spans="1:16" x14ac:dyDescent="0.2">
      <c r="A458" s="49" t="str">
        <v>0:00</v>
      </c>
      <c r="B458" s="108"/>
      <c r="C458" s="130"/>
      <c r="D458" s="130"/>
      <c r="E458" s="130"/>
      <c r="F458" s="130"/>
      <c r="G458" s="130"/>
      <c r="H458" s="130"/>
      <c r="I458" s="130"/>
      <c r="J458" s="130"/>
      <c r="K458" s="130"/>
      <c r="L458" s="130"/>
      <c r="M458" s="130"/>
      <c r="N458" s="130"/>
      <c r="O458" s="130"/>
      <c r="P458" s="130"/>
    </row>
    <row r="459" spans="1:16" x14ac:dyDescent="0.2">
      <c r="A459" s="49" t="str">
        <v>0:00</v>
      </c>
      <c r="B459" s="108"/>
      <c r="C459" s="130"/>
      <c r="D459" s="130"/>
      <c r="E459" s="130"/>
      <c r="F459" s="130"/>
      <c r="G459" s="130"/>
      <c r="H459" s="130"/>
      <c r="I459" s="130"/>
      <c r="J459" s="130"/>
      <c r="K459" s="130"/>
      <c r="L459" s="130"/>
      <c r="M459" s="130"/>
      <c r="N459" s="130"/>
      <c r="O459" s="130"/>
      <c r="P459" s="130"/>
    </row>
    <row r="460" spans="1:16" x14ac:dyDescent="0.2">
      <c r="A460" s="49" t="str">
        <v>0:00</v>
      </c>
      <c r="B460" s="108"/>
      <c r="C460" s="130"/>
      <c r="D460" s="130"/>
      <c r="E460" s="130"/>
      <c r="F460" s="130"/>
      <c r="G460" s="130"/>
      <c r="H460" s="130"/>
      <c r="I460" s="130"/>
      <c r="J460" s="130"/>
      <c r="K460" s="130"/>
      <c r="L460" s="130"/>
      <c r="M460" s="130"/>
      <c r="N460" s="130"/>
      <c r="O460" s="130"/>
      <c r="P460" s="130"/>
    </row>
    <row r="461" spans="1:16" x14ac:dyDescent="0.2">
      <c r="A461" s="49" t="str">
        <v>0:00</v>
      </c>
      <c r="B461" s="108"/>
      <c r="C461" s="130"/>
      <c r="D461" s="130"/>
      <c r="E461" s="130"/>
      <c r="F461" s="130"/>
      <c r="G461" s="130"/>
      <c r="H461" s="130"/>
      <c r="I461" s="130"/>
      <c r="J461" s="130"/>
      <c r="K461" s="130"/>
      <c r="L461" s="130"/>
      <c r="M461" s="130"/>
      <c r="N461" s="130"/>
      <c r="O461" s="130"/>
      <c r="P461" s="130"/>
    </row>
    <row r="462" spans="1:16" x14ac:dyDescent="0.2">
      <c r="A462" s="49" t="str">
        <v>0:00</v>
      </c>
      <c r="B462" s="108"/>
      <c r="C462" s="130"/>
      <c r="D462" s="130"/>
      <c r="E462" s="130"/>
      <c r="F462" s="130"/>
      <c r="G462" s="130"/>
      <c r="H462" s="130"/>
      <c r="I462" s="130"/>
      <c r="J462" s="130"/>
      <c r="K462" s="130"/>
      <c r="L462" s="130"/>
      <c r="M462" s="130"/>
      <c r="N462" s="130"/>
      <c r="O462" s="130"/>
      <c r="P462" s="130"/>
    </row>
    <row r="463" spans="1:16" x14ac:dyDescent="0.2">
      <c r="A463" s="49" t="str">
        <v>0:00</v>
      </c>
      <c r="B463" s="108"/>
      <c r="C463" s="130"/>
      <c r="D463" s="130"/>
      <c r="E463" s="130"/>
      <c r="F463" s="130"/>
      <c r="G463" s="130"/>
      <c r="H463" s="130"/>
      <c r="I463" s="130"/>
      <c r="J463" s="130"/>
      <c r="K463" s="130"/>
      <c r="L463" s="130"/>
      <c r="M463" s="130"/>
      <c r="N463" s="130"/>
      <c r="O463" s="130"/>
      <c r="P463" s="130"/>
    </row>
    <row r="464" spans="1:16" x14ac:dyDescent="0.2">
      <c r="A464" s="49" t="str">
        <v>0:00</v>
      </c>
      <c r="B464" s="108"/>
      <c r="C464" s="130"/>
      <c r="D464" s="130"/>
      <c r="E464" s="130"/>
      <c r="F464" s="130"/>
      <c r="G464" s="130"/>
      <c r="H464" s="130"/>
      <c r="I464" s="130"/>
      <c r="J464" s="130"/>
      <c r="K464" s="130"/>
      <c r="L464" s="130"/>
      <c r="M464" s="130"/>
      <c r="N464" s="130"/>
      <c r="O464" s="130"/>
      <c r="P464" s="130"/>
    </row>
    <row r="465" spans="1:16" x14ac:dyDescent="0.2">
      <c r="A465" s="49" t="str">
        <v>0:00</v>
      </c>
      <c r="B465" s="108"/>
      <c r="C465" s="130"/>
      <c r="D465" s="130"/>
      <c r="E465" s="130"/>
      <c r="F465" s="130"/>
      <c r="G465" s="130"/>
      <c r="H465" s="130"/>
      <c r="I465" s="130"/>
      <c r="J465" s="130"/>
      <c r="K465" s="130"/>
      <c r="L465" s="130"/>
      <c r="M465" s="130"/>
      <c r="N465" s="130"/>
      <c r="O465" s="130"/>
      <c r="P465" s="130"/>
    </row>
    <row r="466" spans="1:16" x14ac:dyDescent="0.2">
      <c r="A466" s="49" t="str">
        <v>0:00</v>
      </c>
      <c r="B466" s="108"/>
      <c r="C466" s="130"/>
      <c r="D466" s="130"/>
      <c r="E466" s="130"/>
      <c r="F466" s="130"/>
      <c r="G466" s="130"/>
      <c r="H466" s="130"/>
      <c r="I466" s="130"/>
      <c r="J466" s="130"/>
      <c r="K466" s="130"/>
      <c r="L466" s="130"/>
      <c r="M466" s="130"/>
      <c r="N466" s="130"/>
      <c r="O466" s="130"/>
      <c r="P466" s="130"/>
    </row>
    <row r="467" spans="1:16" x14ac:dyDescent="0.2">
      <c r="A467" s="49" t="str">
        <v>0:00</v>
      </c>
      <c r="B467" s="108"/>
      <c r="C467" s="130"/>
      <c r="D467" s="130"/>
      <c r="E467" s="130"/>
      <c r="F467" s="130"/>
      <c r="G467" s="130"/>
      <c r="H467" s="130"/>
      <c r="I467" s="130"/>
      <c r="J467" s="130"/>
      <c r="K467" s="130"/>
      <c r="L467" s="130"/>
      <c r="M467" s="130"/>
      <c r="N467" s="130"/>
      <c r="O467" s="130"/>
      <c r="P467" s="130"/>
    </row>
    <row r="468" spans="1:16" x14ac:dyDescent="0.2">
      <c r="A468" s="49" t="str">
        <v>0:00</v>
      </c>
      <c r="B468" s="108"/>
      <c r="C468" s="130"/>
      <c r="D468" s="130"/>
      <c r="E468" s="130"/>
      <c r="F468" s="130"/>
      <c r="G468" s="130"/>
      <c r="H468" s="130"/>
      <c r="I468" s="130"/>
      <c r="J468" s="130"/>
      <c r="K468" s="130"/>
      <c r="L468" s="130"/>
      <c r="M468" s="130"/>
      <c r="N468" s="130"/>
      <c r="O468" s="130"/>
      <c r="P468" s="130"/>
    </row>
    <row r="469" spans="1:16" x14ac:dyDescent="0.2">
      <c r="A469" s="49" t="str">
        <v>0:00</v>
      </c>
      <c r="B469" s="108"/>
      <c r="C469" s="130"/>
      <c r="D469" s="130"/>
      <c r="E469" s="130"/>
      <c r="F469" s="130"/>
      <c r="G469" s="130"/>
      <c r="H469" s="130"/>
      <c r="I469" s="130"/>
      <c r="J469" s="130"/>
      <c r="K469" s="130"/>
      <c r="L469" s="130"/>
      <c r="M469" s="130"/>
      <c r="N469" s="130"/>
      <c r="O469" s="130"/>
      <c r="P469" s="130"/>
    </row>
    <row r="470" spans="1:16" x14ac:dyDescent="0.2">
      <c r="A470" s="49" t="str">
        <v>0:00</v>
      </c>
      <c r="B470" s="108"/>
      <c r="C470" s="130"/>
      <c r="D470" s="130"/>
      <c r="E470" s="130"/>
      <c r="F470" s="130"/>
      <c r="G470" s="130"/>
      <c r="H470" s="130"/>
      <c r="I470" s="130"/>
      <c r="J470" s="130"/>
      <c r="K470" s="130"/>
      <c r="L470" s="130"/>
      <c r="M470" s="130"/>
      <c r="N470" s="130"/>
      <c r="O470" s="130"/>
      <c r="P470" s="130"/>
    </row>
    <row r="471" spans="1:16" x14ac:dyDescent="0.2">
      <c r="A471" s="49" t="str">
        <v>0:00</v>
      </c>
      <c r="B471" s="108"/>
      <c r="C471" s="130"/>
      <c r="D471" s="130"/>
      <c r="E471" s="130"/>
      <c r="F471" s="130"/>
      <c r="G471" s="130"/>
      <c r="H471" s="130"/>
      <c r="I471" s="130"/>
      <c r="J471" s="130"/>
      <c r="K471" s="130"/>
      <c r="L471" s="130"/>
      <c r="M471" s="130"/>
      <c r="N471" s="130"/>
      <c r="O471" s="130"/>
      <c r="P471" s="130"/>
    </row>
    <row r="472" spans="1:16" x14ac:dyDescent="0.2">
      <c r="A472" s="49" t="str">
        <v>0:00</v>
      </c>
      <c r="B472" s="108"/>
      <c r="C472" s="130"/>
      <c r="D472" s="130"/>
      <c r="E472" s="130"/>
      <c r="F472" s="130"/>
      <c r="G472" s="130"/>
      <c r="H472" s="130"/>
      <c r="I472" s="130"/>
      <c r="J472" s="130"/>
      <c r="K472" s="130"/>
      <c r="L472" s="130"/>
      <c r="M472" s="130"/>
      <c r="N472" s="130"/>
      <c r="O472" s="130"/>
      <c r="P472" s="130"/>
    </row>
    <row r="473" spans="1:16" x14ac:dyDescent="0.2">
      <c r="A473" s="49" t="str">
        <v>0:00</v>
      </c>
      <c r="B473" s="108"/>
      <c r="C473" s="130"/>
      <c r="D473" s="130"/>
      <c r="E473" s="130"/>
      <c r="F473" s="130"/>
      <c r="G473" s="130"/>
      <c r="H473" s="130"/>
      <c r="I473" s="130"/>
      <c r="J473" s="130"/>
      <c r="K473" s="130"/>
      <c r="L473" s="130"/>
      <c r="M473" s="130"/>
      <c r="N473" s="130"/>
      <c r="O473" s="130"/>
      <c r="P473" s="130"/>
    </row>
    <row r="474" spans="1:16" x14ac:dyDescent="0.2">
      <c r="A474" s="49" t="str">
        <v>0:00</v>
      </c>
      <c r="B474" s="108"/>
      <c r="C474" s="130"/>
      <c r="D474" s="130"/>
      <c r="E474" s="130"/>
      <c r="F474" s="130"/>
      <c r="G474" s="130"/>
      <c r="H474" s="130"/>
      <c r="I474" s="130"/>
      <c r="J474" s="130"/>
      <c r="K474" s="130"/>
      <c r="L474" s="130"/>
      <c r="M474" s="130"/>
      <c r="N474" s="130"/>
      <c r="O474" s="130"/>
      <c r="P474" s="130"/>
    </row>
    <row r="475" spans="1:16" x14ac:dyDescent="0.2">
      <c r="A475" s="49" t="str">
        <v>0:00</v>
      </c>
      <c r="B475" s="108"/>
      <c r="C475" s="130"/>
      <c r="D475" s="130"/>
      <c r="E475" s="130"/>
      <c r="F475" s="130"/>
      <c r="G475" s="130"/>
      <c r="H475" s="130"/>
      <c r="I475" s="130"/>
      <c r="J475" s="130"/>
      <c r="K475" s="130"/>
      <c r="L475" s="130"/>
      <c r="M475" s="130"/>
      <c r="N475" s="130"/>
      <c r="O475" s="130"/>
      <c r="P475" s="130"/>
    </row>
    <row r="476" spans="1:16" x14ac:dyDescent="0.2">
      <c r="A476" s="49" t="str">
        <v>0:00</v>
      </c>
      <c r="B476" s="108"/>
      <c r="C476" s="130"/>
      <c r="D476" s="130"/>
      <c r="E476" s="130"/>
      <c r="F476" s="130"/>
      <c r="G476" s="130"/>
      <c r="H476" s="130"/>
      <c r="I476" s="130"/>
      <c r="J476" s="130"/>
      <c r="K476" s="130"/>
      <c r="L476" s="130"/>
      <c r="M476" s="130"/>
      <c r="N476" s="130"/>
      <c r="O476" s="130"/>
      <c r="P476" s="130"/>
    </row>
    <row r="477" spans="1:16" x14ac:dyDescent="0.2">
      <c r="A477" s="49" t="str">
        <v>0:00</v>
      </c>
      <c r="B477" s="108"/>
      <c r="C477" s="130"/>
      <c r="D477" s="130"/>
      <c r="E477" s="130"/>
      <c r="F477" s="130"/>
      <c r="G477" s="130"/>
      <c r="H477" s="130"/>
      <c r="I477" s="130"/>
      <c r="J477" s="130"/>
      <c r="K477" s="130"/>
      <c r="L477" s="130"/>
      <c r="M477" s="130"/>
      <c r="N477" s="130"/>
      <c r="O477" s="130"/>
      <c r="P477" s="130"/>
    </row>
    <row r="478" spans="1:16" x14ac:dyDescent="0.2">
      <c r="A478" s="49" t="str">
        <v>0:00</v>
      </c>
      <c r="B478" s="108"/>
      <c r="C478" s="130"/>
      <c r="D478" s="130"/>
      <c r="E478" s="130"/>
      <c r="F478" s="130"/>
      <c r="G478" s="130"/>
      <c r="H478" s="130"/>
      <c r="I478" s="130"/>
      <c r="J478" s="130"/>
      <c r="K478" s="130"/>
      <c r="L478" s="130"/>
      <c r="M478" s="130"/>
      <c r="N478" s="130"/>
      <c r="O478" s="130"/>
      <c r="P478" s="130"/>
    </row>
    <row r="479" spans="1:16" x14ac:dyDescent="0.2">
      <c r="A479" s="49" t="str">
        <v>0:00</v>
      </c>
      <c r="B479" s="108"/>
      <c r="C479" s="130"/>
      <c r="D479" s="130"/>
      <c r="E479" s="130"/>
      <c r="F479" s="130"/>
      <c r="G479" s="130"/>
      <c r="H479" s="130"/>
      <c r="I479" s="130"/>
      <c r="J479" s="130"/>
      <c r="K479" s="130"/>
      <c r="L479" s="130"/>
      <c r="M479" s="130"/>
      <c r="N479" s="130"/>
      <c r="O479" s="130"/>
      <c r="P479" s="130"/>
    </row>
    <row r="480" spans="1:16" x14ac:dyDescent="0.2">
      <c r="A480" s="49" t="str">
        <v>0:00</v>
      </c>
      <c r="B480" s="108"/>
      <c r="C480" s="130"/>
      <c r="D480" s="130"/>
      <c r="E480" s="130"/>
      <c r="F480" s="130"/>
      <c r="G480" s="130"/>
      <c r="H480" s="130"/>
      <c r="I480" s="130"/>
      <c r="J480" s="130"/>
      <c r="K480" s="130"/>
      <c r="L480" s="130"/>
      <c r="M480" s="130"/>
      <c r="N480" s="130"/>
      <c r="O480" s="130"/>
      <c r="P480" s="130"/>
    </row>
    <row r="481" spans="1:16" x14ac:dyDescent="0.2">
      <c r="A481" s="49" t="str">
        <v>0:00</v>
      </c>
      <c r="B481" s="108"/>
      <c r="C481" s="130"/>
      <c r="D481" s="130"/>
      <c r="E481" s="130"/>
      <c r="F481" s="130"/>
      <c r="G481" s="130"/>
      <c r="H481" s="130"/>
      <c r="I481" s="130"/>
      <c r="J481" s="130"/>
      <c r="K481" s="130"/>
      <c r="L481" s="130"/>
      <c r="M481" s="130"/>
      <c r="N481" s="130"/>
      <c r="O481" s="130"/>
      <c r="P481" s="130"/>
    </row>
    <row r="482" spans="1:16" x14ac:dyDescent="0.2">
      <c r="A482" s="49" t="str">
        <v>0:00</v>
      </c>
      <c r="B482" s="108"/>
      <c r="C482" s="130"/>
      <c r="D482" s="130"/>
      <c r="E482" s="130"/>
      <c r="F482" s="130"/>
      <c r="G482" s="130"/>
      <c r="H482" s="130"/>
      <c r="I482" s="130"/>
      <c r="J482" s="130"/>
      <c r="K482" s="130"/>
      <c r="L482" s="130"/>
      <c r="M482" s="130"/>
      <c r="N482" s="130"/>
      <c r="O482" s="130"/>
      <c r="P482" s="130"/>
    </row>
    <row r="483" spans="1:16" x14ac:dyDescent="0.2">
      <c r="A483" s="49" t="str">
        <v>0:00</v>
      </c>
      <c r="B483" s="108"/>
      <c r="C483" s="130"/>
      <c r="D483" s="130"/>
      <c r="E483" s="130"/>
      <c r="F483" s="130"/>
      <c r="G483" s="130"/>
      <c r="H483" s="130"/>
      <c r="I483" s="130"/>
      <c r="J483" s="130"/>
      <c r="K483" s="130"/>
      <c r="L483" s="130"/>
      <c r="M483" s="130"/>
      <c r="N483" s="130"/>
      <c r="O483" s="130"/>
      <c r="P483" s="130"/>
    </row>
    <row r="484" spans="1:16" x14ac:dyDescent="0.2">
      <c r="A484" s="49" t="str">
        <v>0:00</v>
      </c>
      <c r="B484" s="108"/>
      <c r="C484" s="130"/>
      <c r="D484" s="130"/>
      <c r="E484" s="130"/>
      <c r="F484" s="130"/>
      <c r="G484" s="130"/>
      <c r="H484" s="130"/>
      <c r="I484" s="130"/>
      <c r="J484" s="130"/>
      <c r="K484" s="130"/>
      <c r="L484" s="130"/>
      <c r="M484" s="130"/>
      <c r="N484" s="130"/>
      <c r="O484" s="130"/>
      <c r="P484" s="130"/>
    </row>
    <row r="485" spans="1:16" x14ac:dyDescent="0.2">
      <c r="A485" s="49" t="str">
        <v>0:00</v>
      </c>
      <c r="B485" s="108"/>
      <c r="C485" s="130"/>
      <c r="D485" s="130"/>
      <c r="E485" s="130"/>
      <c r="F485" s="130"/>
      <c r="G485" s="130"/>
      <c r="H485" s="130"/>
      <c r="I485" s="130"/>
      <c r="J485" s="130"/>
      <c r="K485" s="130"/>
      <c r="L485" s="130"/>
      <c r="M485" s="130"/>
      <c r="N485" s="130"/>
      <c r="O485" s="130"/>
      <c r="P485" s="130"/>
    </row>
    <row r="486" spans="1:16" x14ac:dyDescent="0.2">
      <c r="A486" s="49" t="str">
        <v>0:00</v>
      </c>
      <c r="B486" s="108"/>
      <c r="C486" s="130"/>
      <c r="D486" s="130"/>
      <c r="E486" s="130"/>
      <c r="F486" s="130"/>
      <c r="G486" s="130"/>
      <c r="H486" s="130"/>
      <c r="I486" s="130"/>
      <c r="J486" s="130"/>
      <c r="K486" s="130"/>
      <c r="L486" s="130"/>
      <c r="M486" s="130"/>
      <c r="N486" s="130"/>
      <c r="O486" s="130"/>
      <c r="P486" s="130"/>
    </row>
    <row r="487" spans="1:16" x14ac:dyDescent="0.2">
      <c r="A487" s="49" t="str">
        <v>0:00</v>
      </c>
      <c r="B487" s="108"/>
      <c r="C487" s="130"/>
      <c r="D487" s="130"/>
      <c r="E487" s="130"/>
      <c r="F487" s="130"/>
      <c r="G487" s="130"/>
      <c r="H487" s="130"/>
      <c r="I487" s="130"/>
      <c r="J487" s="130"/>
      <c r="K487" s="130"/>
      <c r="L487" s="130"/>
      <c r="M487" s="130"/>
      <c r="N487" s="130"/>
      <c r="O487" s="130"/>
      <c r="P487" s="130"/>
    </row>
    <row r="488" spans="1:16" x14ac:dyDescent="0.2">
      <c r="A488" s="49" t="str">
        <v>0:00</v>
      </c>
      <c r="B488" s="108"/>
      <c r="C488" s="130"/>
      <c r="D488" s="130"/>
      <c r="E488" s="130"/>
      <c r="F488" s="130"/>
      <c r="G488" s="130"/>
      <c r="H488" s="130"/>
      <c r="I488" s="130"/>
      <c r="J488" s="130"/>
      <c r="K488" s="130"/>
      <c r="L488" s="130"/>
      <c r="M488" s="130"/>
      <c r="N488" s="130"/>
      <c r="O488" s="130"/>
      <c r="P488" s="130"/>
    </row>
    <row r="489" spans="1:16" x14ac:dyDescent="0.2">
      <c r="A489" s="49" t="str">
        <v>0:00</v>
      </c>
      <c r="B489" s="108"/>
      <c r="C489" s="130"/>
      <c r="D489" s="130"/>
      <c r="E489" s="130"/>
      <c r="F489" s="130"/>
      <c r="G489" s="130"/>
      <c r="H489" s="130"/>
      <c r="I489" s="130"/>
      <c r="J489" s="130"/>
      <c r="K489" s="130"/>
      <c r="L489" s="130"/>
      <c r="M489" s="130"/>
      <c r="N489" s="130"/>
      <c r="O489" s="130"/>
      <c r="P489" s="130"/>
    </row>
    <row r="490" spans="1:16" x14ac:dyDescent="0.2">
      <c r="A490" s="49" t="str">
        <v>0:00</v>
      </c>
      <c r="B490" s="108"/>
      <c r="C490" s="130"/>
      <c r="D490" s="130"/>
      <c r="E490" s="130"/>
      <c r="F490" s="130"/>
      <c r="G490" s="130"/>
      <c r="H490" s="130"/>
      <c r="I490" s="130"/>
      <c r="J490" s="130"/>
      <c r="K490" s="130"/>
      <c r="L490" s="130"/>
      <c r="M490" s="130"/>
      <c r="N490" s="130"/>
      <c r="O490" s="130"/>
      <c r="P490" s="130"/>
    </row>
    <row r="491" spans="1:16" x14ac:dyDescent="0.2">
      <c r="A491" s="49" t="str">
        <v>0:00</v>
      </c>
      <c r="B491" s="108"/>
      <c r="C491" s="130"/>
      <c r="D491" s="130"/>
      <c r="E491" s="130"/>
      <c r="F491" s="130"/>
      <c r="G491" s="130"/>
      <c r="H491" s="130"/>
      <c r="I491" s="130"/>
      <c r="J491" s="130"/>
      <c r="K491" s="130"/>
      <c r="L491" s="130"/>
      <c r="M491" s="130"/>
      <c r="N491" s="130"/>
      <c r="O491" s="130"/>
      <c r="P491" s="130"/>
    </row>
    <row r="492" spans="1:16" x14ac:dyDescent="0.2">
      <c r="A492" s="49" t="str">
        <v>0:00</v>
      </c>
      <c r="B492" s="108"/>
      <c r="C492" s="130"/>
      <c r="D492" s="130"/>
      <c r="E492" s="130"/>
      <c r="F492" s="130"/>
      <c r="G492" s="130"/>
      <c r="H492" s="130"/>
      <c r="I492" s="130"/>
      <c r="J492" s="130"/>
      <c r="K492" s="130"/>
      <c r="L492" s="130"/>
      <c r="M492" s="130"/>
      <c r="N492" s="130"/>
      <c r="O492" s="130"/>
      <c r="P492" s="130"/>
    </row>
    <row r="493" spans="1:16" x14ac:dyDescent="0.2">
      <c r="A493" s="49" t="str">
        <v>0:00</v>
      </c>
      <c r="B493" s="108"/>
      <c r="C493" s="130"/>
      <c r="D493" s="130"/>
      <c r="E493" s="130"/>
      <c r="F493" s="130"/>
      <c r="G493" s="130"/>
      <c r="H493" s="130"/>
      <c r="I493" s="130"/>
      <c r="J493" s="130"/>
      <c r="K493" s="130"/>
      <c r="L493" s="130"/>
      <c r="M493" s="130"/>
      <c r="N493" s="130"/>
      <c r="O493" s="130"/>
      <c r="P493" s="130"/>
    </row>
    <row r="494" spans="1:16" x14ac:dyDescent="0.2">
      <c r="A494" s="49" t="str">
        <v>0:00</v>
      </c>
      <c r="B494" s="108"/>
      <c r="C494" s="130"/>
      <c r="D494" s="130"/>
      <c r="E494" s="130"/>
      <c r="F494" s="130"/>
      <c r="G494" s="130"/>
      <c r="H494" s="130"/>
      <c r="I494" s="130"/>
      <c r="J494" s="130"/>
      <c r="K494" s="130"/>
      <c r="L494" s="130"/>
      <c r="M494" s="130"/>
      <c r="N494" s="130"/>
      <c r="O494" s="130"/>
      <c r="P494" s="130"/>
    </row>
    <row r="495" spans="1:16" x14ac:dyDescent="0.2">
      <c r="A495" s="49" t="str">
        <v>0:00</v>
      </c>
      <c r="B495" s="108"/>
      <c r="C495" s="130"/>
      <c r="D495" s="130"/>
      <c r="E495" s="130"/>
      <c r="F495" s="130"/>
      <c r="G495" s="130"/>
      <c r="H495" s="130"/>
      <c r="I495" s="130"/>
      <c r="J495" s="130"/>
      <c r="K495" s="130"/>
      <c r="L495" s="130"/>
      <c r="M495" s="130"/>
      <c r="N495" s="130"/>
      <c r="O495" s="130"/>
      <c r="P495" s="130"/>
    </row>
    <row r="496" spans="1:16" x14ac:dyDescent="0.2">
      <c r="A496" s="49" t="str">
        <v>0:00</v>
      </c>
      <c r="B496" s="108"/>
      <c r="C496" s="130"/>
      <c r="D496" s="130"/>
      <c r="E496" s="130"/>
      <c r="F496" s="130"/>
      <c r="G496" s="130"/>
      <c r="H496" s="130"/>
      <c r="I496" s="130"/>
      <c r="J496" s="130"/>
      <c r="K496" s="130"/>
      <c r="L496" s="130"/>
      <c r="M496" s="130"/>
      <c r="N496" s="130"/>
      <c r="O496" s="130"/>
      <c r="P496" s="130"/>
    </row>
    <row r="497" spans="1:16" x14ac:dyDescent="0.2">
      <c r="A497" s="49" t="str">
        <v>0:00</v>
      </c>
      <c r="B497" s="108"/>
      <c r="C497" s="130"/>
      <c r="D497" s="130"/>
      <c r="E497" s="130"/>
      <c r="F497" s="130"/>
      <c r="G497" s="130"/>
      <c r="H497" s="130"/>
      <c r="I497" s="130"/>
      <c r="J497" s="130"/>
      <c r="K497" s="130"/>
      <c r="L497" s="130"/>
      <c r="M497" s="130"/>
      <c r="N497" s="130"/>
      <c r="O497" s="130"/>
      <c r="P497" s="130"/>
    </row>
    <row r="498" spans="1:16" x14ac:dyDescent="0.2">
      <c r="A498" s="49" t="str">
        <v>0:00</v>
      </c>
      <c r="B498" s="108"/>
      <c r="C498" s="130"/>
      <c r="D498" s="130"/>
      <c r="E498" s="130"/>
      <c r="F498" s="130"/>
      <c r="G498" s="130"/>
      <c r="H498" s="130"/>
      <c r="I498" s="130"/>
      <c r="J498" s="130"/>
      <c r="K498" s="130"/>
      <c r="L498" s="130"/>
      <c r="M498" s="130"/>
      <c r="N498" s="130"/>
      <c r="O498" s="130"/>
      <c r="P498" s="130"/>
    </row>
    <row r="499" spans="1:16" x14ac:dyDescent="0.2">
      <c r="A499" s="49" t="str">
        <v>0:00</v>
      </c>
      <c r="B499" s="108"/>
      <c r="C499" s="130"/>
      <c r="D499" s="130"/>
      <c r="E499" s="130"/>
      <c r="F499" s="130"/>
      <c r="G499" s="130"/>
      <c r="H499" s="130"/>
      <c r="I499" s="130"/>
      <c r="J499" s="130"/>
      <c r="K499" s="130"/>
      <c r="L499" s="130"/>
      <c r="M499" s="130"/>
      <c r="N499" s="130"/>
      <c r="O499" s="130"/>
      <c r="P499" s="130"/>
    </row>
    <row r="500" spans="1:16" x14ac:dyDescent="0.2">
      <c r="A500" s="49" t="str">
        <v>0:00</v>
      </c>
      <c r="B500" s="108"/>
      <c r="C500" s="130"/>
      <c r="D500" s="130"/>
      <c r="E500" s="130"/>
      <c r="F500" s="130"/>
      <c r="G500" s="130"/>
      <c r="H500" s="130"/>
      <c r="I500" s="130"/>
      <c r="J500" s="130"/>
      <c r="K500" s="130"/>
      <c r="L500" s="130"/>
      <c r="M500" s="130"/>
      <c r="N500" s="130"/>
      <c r="O500" s="130"/>
      <c r="P500" s="130"/>
    </row>
    <row r="501" spans="1:16" x14ac:dyDescent="0.2">
      <c r="A501" s="49" t="str">
        <v>0:00</v>
      </c>
      <c r="B501" s="108"/>
      <c r="C501" s="130"/>
      <c r="D501" s="130"/>
      <c r="E501" s="130"/>
      <c r="F501" s="130"/>
      <c r="G501" s="130"/>
      <c r="H501" s="130"/>
      <c r="I501" s="130"/>
      <c r="J501" s="130"/>
      <c r="K501" s="130"/>
      <c r="L501" s="130"/>
      <c r="M501" s="130"/>
      <c r="N501" s="130"/>
      <c r="O501" s="41"/>
      <c r="P501" s="41"/>
    </row>
    <row r="502" spans="1:16" x14ac:dyDescent="0.2">
      <c r="A502" s="49" t="str">
        <v>0:00</v>
      </c>
      <c r="B502" s="108"/>
      <c r="C502" s="130"/>
      <c r="D502" s="130"/>
      <c r="E502" s="130"/>
      <c r="F502" s="130"/>
      <c r="G502" s="130"/>
      <c r="H502" s="130"/>
      <c r="I502" s="130"/>
      <c r="J502" s="130"/>
      <c r="K502" s="130"/>
      <c r="L502" s="130"/>
      <c r="M502" s="130"/>
      <c r="N502" s="130"/>
      <c r="O502" s="41"/>
      <c r="P502" s="41"/>
    </row>
    <row r="503" spans="1:16" x14ac:dyDescent="0.2">
      <c r="A503" s="49" t="str">
        <v>0:00</v>
      </c>
      <c r="B503" s="108"/>
      <c r="C503" s="130"/>
      <c r="D503" s="130"/>
      <c r="E503" s="130"/>
      <c r="F503" s="130"/>
      <c r="G503" s="130"/>
      <c r="H503" s="130"/>
      <c r="I503" s="130"/>
      <c r="J503" s="130"/>
      <c r="K503" s="130"/>
      <c r="L503" s="130"/>
      <c r="M503" s="130"/>
      <c r="N503" s="130"/>
      <c r="O503" s="41"/>
      <c r="P503" s="41"/>
    </row>
    <row r="504" spans="1:16" x14ac:dyDescent="0.2">
      <c r="A504" s="49" t="str">
        <v>0:00</v>
      </c>
      <c r="B504" s="108"/>
      <c r="C504" s="130"/>
      <c r="D504" s="130"/>
      <c r="E504" s="130"/>
      <c r="F504" s="130"/>
      <c r="G504" s="130"/>
      <c r="H504" s="130"/>
      <c r="I504" s="130"/>
      <c r="J504" s="130"/>
      <c r="K504" s="130"/>
      <c r="L504" s="130"/>
      <c r="M504" s="130"/>
      <c r="N504" s="130"/>
      <c r="O504" s="41"/>
      <c r="P504" s="41"/>
    </row>
    <row r="505" spans="1:16" x14ac:dyDescent="0.2">
      <c r="A505" s="49" t="str">
        <v>0:00</v>
      </c>
      <c r="B505" s="108"/>
      <c r="C505" s="130"/>
      <c r="D505" s="130"/>
      <c r="E505" s="130"/>
      <c r="F505" s="130"/>
      <c r="G505" s="130"/>
      <c r="H505" s="130"/>
      <c r="I505" s="130"/>
      <c r="J505" s="130"/>
      <c r="K505" s="130"/>
      <c r="L505" s="130"/>
      <c r="M505" s="130"/>
      <c r="N505" s="130"/>
      <c r="O505" s="41"/>
      <c r="P505" s="41"/>
    </row>
    <row r="506" spans="1:16" x14ac:dyDescent="0.2">
      <c r="A506" s="49" t="str">
        <v>0:00</v>
      </c>
      <c r="B506" s="108"/>
      <c r="C506" s="130"/>
      <c r="D506" s="130"/>
      <c r="E506" s="130"/>
      <c r="F506" s="130"/>
      <c r="G506" s="130"/>
      <c r="H506" s="130"/>
      <c r="I506" s="130"/>
      <c r="J506" s="130"/>
      <c r="K506" s="130"/>
      <c r="L506" s="130"/>
      <c r="M506" s="130"/>
      <c r="N506" s="130"/>
      <c r="O506" s="41"/>
      <c r="P506" s="41"/>
    </row>
    <row r="507" spans="1:16" x14ac:dyDescent="0.2">
      <c r="A507" s="49" t="str">
        <v>0:00</v>
      </c>
      <c r="B507" s="108"/>
      <c r="C507" s="130"/>
      <c r="D507" s="130"/>
      <c r="E507" s="130"/>
      <c r="F507" s="130"/>
      <c r="G507" s="130"/>
      <c r="H507" s="130"/>
      <c r="I507" s="130"/>
      <c r="J507" s="130"/>
      <c r="K507" s="130"/>
      <c r="L507" s="130"/>
      <c r="M507" s="130"/>
      <c r="N507" s="130"/>
      <c r="O507" s="41"/>
      <c r="P507" s="41"/>
    </row>
    <row r="508" spans="1:16" x14ac:dyDescent="0.2">
      <c r="A508" s="49" t="str">
        <v>0:00</v>
      </c>
      <c r="B508" s="108"/>
      <c r="C508" s="130"/>
      <c r="D508" s="130"/>
      <c r="E508" s="130"/>
      <c r="F508" s="130"/>
      <c r="G508" s="130"/>
      <c r="H508" s="130"/>
      <c r="I508" s="130"/>
      <c r="J508" s="130"/>
      <c r="K508" s="130"/>
      <c r="L508" s="130"/>
      <c r="M508" s="130"/>
      <c r="N508" s="130"/>
      <c r="O508" s="41"/>
      <c r="P508" s="41"/>
    </row>
    <row r="509" spans="1:16" x14ac:dyDescent="0.2">
      <c r="A509" s="49" t="str">
        <v>0:00</v>
      </c>
      <c r="B509" s="108"/>
      <c r="C509" s="130"/>
      <c r="D509" s="130"/>
      <c r="E509" s="130"/>
      <c r="F509" s="130"/>
      <c r="G509" s="130"/>
      <c r="H509" s="130"/>
      <c r="I509" s="130"/>
      <c r="J509" s="130"/>
      <c r="K509" s="130"/>
      <c r="L509" s="130"/>
      <c r="M509" s="130"/>
      <c r="N509" s="130"/>
      <c r="O509" s="41"/>
      <c r="P509" s="41"/>
    </row>
    <row r="510" spans="1:16" x14ac:dyDescent="0.2">
      <c r="A510" s="49" t="str">
        <v>0:00</v>
      </c>
      <c r="B510" s="108"/>
      <c r="C510" s="130"/>
      <c r="D510" s="130"/>
      <c r="E510" s="130"/>
      <c r="F510" s="130"/>
      <c r="G510" s="130"/>
      <c r="H510" s="130"/>
      <c r="I510" s="130"/>
      <c r="J510" s="130"/>
      <c r="K510" s="130"/>
      <c r="L510" s="130"/>
      <c r="M510" s="130"/>
      <c r="N510" s="130"/>
      <c r="O510" s="41"/>
      <c r="P510" s="41"/>
    </row>
    <row r="511" spans="1:16" x14ac:dyDescent="0.2">
      <c r="A511" s="49" t="str">
        <v>0:00</v>
      </c>
      <c r="B511" s="108"/>
      <c r="C511" s="130"/>
      <c r="D511" s="130"/>
      <c r="E511" s="130"/>
      <c r="F511" s="130"/>
      <c r="G511" s="130"/>
      <c r="H511" s="130"/>
      <c r="I511" s="130"/>
      <c r="J511" s="130"/>
      <c r="K511" s="130"/>
      <c r="L511" s="130"/>
      <c r="M511" s="130"/>
      <c r="N511" s="130"/>
      <c r="O511" s="41"/>
      <c r="P511" s="41"/>
    </row>
    <row r="512" spans="1:16" x14ac:dyDescent="0.2">
      <c r="A512" s="49" t="str">
        <v>0:00</v>
      </c>
      <c r="B512" s="108"/>
      <c r="C512" s="130"/>
      <c r="D512" s="130"/>
      <c r="E512" s="130"/>
      <c r="F512" s="130"/>
      <c r="G512" s="130"/>
      <c r="H512" s="130"/>
      <c r="I512" s="130"/>
      <c r="J512" s="130"/>
      <c r="K512" s="130"/>
      <c r="L512" s="130"/>
      <c r="M512" s="130"/>
      <c r="N512" s="130"/>
      <c r="O512" s="41"/>
      <c r="P512" s="41"/>
    </row>
    <row r="513" spans="1:16" x14ac:dyDescent="0.2">
      <c r="A513" s="49" t="str">
        <v>0:00</v>
      </c>
      <c r="B513" s="108"/>
      <c r="C513" s="130"/>
      <c r="D513" s="130"/>
      <c r="E513" s="130"/>
      <c r="F513" s="130"/>
      <c r="G513" s="130"/>
      <c r="H513" s="130"/>
      <c r="I513" s="130"/>
      <c r="J513" s="130"/>
      <c r="K513" s="130"/>
      <c r="L513" s="130"/>
      <c r="M513" s="130"/>
      <c r="N513" s="130"/>
      <c r="O513" s="41"/>
      <c r="P513" s="41"/>
    </row>
    <row r="514" spans="1:16" x14ac:dyDescent="0.2">
      <c r="A514" s="49" t="str">
        <v>0:00</v>
      </c>
      <c r="B514" s="108"/>
      <c r="C514" s="130"/>
      <c r="D514" s="130"/>
      <c r="E514" s="130"/>
      <c r="F514" s="130"/>
      <c r="G514" s="130"/>
      <c r="H514" s="130"/>
      <c r="I514" s="130"/>
      <c r="J514" s="130"/>
      <c r="K514" s="130"/>
      <c r="L514" s="130"/>
      <c r="M514" s="130"/>
      <c r="N514" s="130"/>
      <c r="O514" s="41"/>
      <c r="P514" s="41"/>
    </row>
    <row r="515" spans="1:16" x14ac:dyDescent="0.2">
      <c r="A515" s="49" t="str">
        <v>0:00</v>
      </c>
      <c r="B515" s="108"/>
      <c r="C515" s="130"/>
      <c r="D515" s="130"/>
      <c r="E515" s="130"/>
      <c r="F515" s="130"/>
      <c r="G515" s="130"/>
      <c r="H515" s="130"/>
      <c r="I515" s="130"/>
      <c r="J515" s="130"/>
      <c r="K515" s="130"/>
      <c r="L515" s="130"/>
      <c r="M515" s="130"/>
      <c r="N515" s="130"/>
      <c r="O515" s="41"/>
      <c r="P515" s="41"/>
    </row>
    <row r="516" spans="1:16" x14ac:dyDescent="0.2">
      <c r="A516" s="49" t="str">
        <v>0:00</v>
      </c>
      <c r="B516" s="108"/>
      <c r="C516" s="130"/>
      <c r="D516" s="130"/>
      <c r="E516" s="130"/>
      <c r="F516" s="130"/>
      <c r="G516" s="130"/>
      <c r="H516" s="130"/>
      <c r="I516" s="130"/>
      <c r="J516" s="130"/>
      <c r="K516" s="130"/>
      <c r="L516" s="130"/>
      <c r="M516" s="130"/>
      <c r="N516" s="130"/>
      <c r="O516" s="41"/>
      <c r="P516" s="41"/>
    </row>
    <row r="517" spans="1:16" x14ac:dyDescent="0.2">
      <c r="A517" s="49" t="str">
        <v>0:00</v>
      </c>
      <c r="B517" s="108"/>
      <c r="C517" s="130"/>
      <c r="D517" s="130"/>
      <c r="E517" s="130"/>
      <c r="F517" s="130"/>
      <c r="G517" s="130"/>
      <c r="H517" s="130"/>
      <c r="I517" s="130"/>
      <c r="J517" s="130"/>
      <c r="K517" s="130"/>
      <c r="L517" s="130"/>
      <c r="M517" s="130"/>
      <c r="N517" s="130"/>
      <c r="O517" s="41"/>
      <c r="P517" s="41"/>
    </row>
    <row r="518" spans="1:16" x14ac:dyDescent="0.2">
      <c r="A518" s="49" t="str">
        <v>0:00</v>
      </c>
      <c r="B518" s="108"/>
      <c r="C518" s="130"/>
      <c r="D518" s="130"/>
      <c r="E518" s="130"/>
      <c r="F518" s="130"/>
      <c r="G518" s="130"/>
      <c r="H518" s="130"/>
      <c r="I518" s="130"/>
      <c r="J518" s="130"/>
      <c r="K518" s="130"/>
      <c r="L518" s="130"/>
      <c r="M518" s="130"/>
      <c r="N518" s="130"/>
      <c r="O518" s="41"/>
      <c r="P518" s="41"/>
    </row>
    <row r="519" spans="1:16" x14ac:dyDescent="0.2">
      <c r="A519" s="49" t="str">
        <v>0:00</v>
      </c>
      <c r="B519" s="108"/>
      <c r="C519" s="130"/>
      <c r="D519" s="130"/>
      <c r="E519" s="130"/>
      <c r="F519" s="130"/>
      <c r="G519" s="130"/>
      <c r="H519" s="130"/>
      <c r="I519" s="130"/>
      <c r="J519" s="130"/>
      <c r="K519" s="130"/>
      <c r="L519" s="130"/>
      <c r="M519" s="130"/>
      <c r="N519" s="130"/>
      <c r="O519" s="41"/>
      <c r="P519" s="41"/>
    </row>
    <row r="520" spans="1:16" x14ac:dyDescent="0.2">
      <c r="A520" s="49" t="str">
        <v>0:00</v>
      </c>
      <c r="B520" s="108"/>
      <c r="C520" s="130"/>
      <c r="D520" s="130"/>
      <c r="E520" s="130"/>
      <c r="F520" s="130"/>
      <c r="G520" s="130"/>
      <c r="H520" s="130"/>
      <c r="I520" s="130"/>
      <c r="J520" s="130"/>
      <c r="K520" s="130"/>
      <c r="L520" s="130"/>
      <c r="M520" s="130"/>
      <c r="N520" s="130"/>
      <c r="O520" s="41"/>
      <c r="P520" s="41"/>
    </row>
    <row r="521" spans="1:16" x14ac:dyDescent="0.2">
      <c r="A521" s="49" t="str">
        <v>0:00</v>
      </c>
      <c r="B521" s="108"/>
      <c r="C521" s="130"/>
      <c r="D521" s="130"/>
      <c r="E521" s="130"/>
      <c r="F521" s="130"/>
      <c r="G521" s="130"/>
      <c r="H521" s="130"/>
      <c r="I521" s="130"/>
      <c r="J521" s="130"/>
      <c r="K521" s="130"/>
      <c r="L521" s="130"/>
      <c r="M521" s="130"/>
      <c r="N521" s="130"/>
      <c r="O521" s="41"/>
      <c r="P521" s="41"/>
    </row>
    <row r="522" spans="1:16" x14ac:dyDescent="0.2">
      <c r="A522" s="49" t="str">
        <v>0:00</v>
      </c>
      <c r="B522" s="108"/>
      <c r="C522" s="130"/>
      <c r="D522" s="130"/>
      <c r="E522" s="130"/>
      <c r="F522" s="130"/>
      <c r="G522" s="130"/>
      <c r="H522" s="130"/>
      <c r="I522" s="130"/>
      <c r="J522" s="130"/>
      <c r="K522" s="130"/>
      <c r="L522" s="130"/>
      <c r="M522" s="130"/>
      <c r="N522" s="130"/>
      <c r="O522" s="41"/>
      <c r="P522" s="41"/>
    </row>
    <row r="523" spans="1:16" x14ac:dyDescent="0.2">
      <c r="A523" s="49" t="str">
        <v>0:00</v>
      </c>
      <c r="B523" s="108"/>
      <c r="C523" s="130"/>
      <c r="D523" s="130"/>
      <c r="E523" s="130"/>
      <c r="F523" s="130"/>
      <c r="G523" s="130"/>
      <c r="H523" s="130"/>
      <c r="I523" s="130"/>
      <c r="J523" s="130"/>
      <c r="K523" s="130"/>
      <c r="L523" s="130"/>
      <c r="M523" s="130"/>
      <c r="N523" s="130"/>
      <c r="O523" s="41"/>
      <c r="P523" s="41"/>
    </row>
    <row r="524" spans="1:16" x14ac:dyDescent="0.2">
      <c r="A524" s="49" t="str">
        <v>0:00</v>
      </c>
      <c r="B524" s="108"/>
      <c r="C524" s="130"/>
      <c r="D524" s="130"/>
      <c r="E524" s="130"/>
      <c r="F524" s="130"/>
      <c r="G524" s="130"/>
      <c r="H524" s="130"/>
      <c r="I524" s="130"/>
      <c r="J524" s="130"/>
      <c r="K524" s="130"/>
      <c r="L524" s="130"/>
      <c r="M524" s="130"/>
      <c r="N524" s="130"/>
      <c r="O524" s="41"/>
      <c r="P524" s="41"/>
    </row>
    <row r="525" spans="1:16" x14ac:dyDescent="0.2">
      <c r="A525" s="49" t="str">
        <v>0:00</v>
      </c>
      <c r="B525" s="108"/>
      <c r="C525" s="130"/>
      <c r="D525" s="130"/>
      <c r="E525" s="130"/>
      <c r="F525" s="130"/>
      <c r="G525" s="130"/>
      <c r="H525" s="130"/>
      <c r="I525" s="130"/>
      <c r="J525" s="130"/>
      <c r="K525" s="130"/>
      <c r="L525" s="130"/>
      <c r="M525" s="130"/>
      <c r="N525" s="130"/>
      <c r="O525" s="41"/>
      <c r="P525" s="41"/>
    </row>
    <row r="526" spans="1:16" x14ac:dyDescent="0.2">
      <c r="A526" s="49" t="str">
        <v>0:00</v>
      </c>
      <c r="B526" s="108"/>
      <c r="C526" s="130"/>
      <c r="D526" s="130"/>
      <c r="E526" s="130"/>
      <c r="F526" s="130"/>
      <c r="G526" s="130"/>
      <c r="H526" s="130"/>
      <c r="I526" s="130"/>
      <c r="J526" s="130"/>
      <c r="K526" s="130"/>
      <c r="L526" s="130"/>
      <c r="M526" s="130"/>
      <c r="N526" s="130"/>
      <c r="O526" s="41"/>
      <c r="P526" s="41"/>
    </row>
    <row r="527" spans="1:16" x14ac:dyDescent="0.2">
      <c r="A527" s="49" t="str">
        <v>0:00</v>
      </c>
      <c r="B527" s="108"/>
      <c r="C527" s="130"/>
      <c r="D527" s="130"/>
      <c r="E527" s="130"/>
      <c r="F527" s="130"/>
      <c r="G527" s="130"/>
      <c r="H527" s="130"/>
      <c r="I527" s="130"/>
      <c r="J527" s="130"/>
      <c r="K527" s="130"/>
      <c r="L527" s="130"/>
      <c r="M527" s="130"/>
      <c r="N527" s="130"/>
      <c r="O527" s="41"/>
      <c r="P527" s="41"/>
    </row>
    <row r="528" spans="1:16" x14ac:dyDescent="0.2">
      <c r="A528" s="49" t="str">
        <v>0:00</v>
      </c>
      <c r="B528" s="108"/>
      <c r="C528" s="130"/>
      <c r="D528" s="130"/>
      <c r="E528" s="130"/>
      <c r="F528" s="130"/>
      <c r="G528" s="130"/>
      <c r="H528" s="130"/>
      <c r="I528" s="130"/>
      <c r="J528" s="130"/>
      <c r="K528" s="130"/>
      <c r="L528" s="130"/>
      <c r="M528" s="130"/>
      <c r="N528" s="130"/>
      <c r="O528" s="41"/>
      <c r="P528" s="41"/>
    </row>
    <row r="529" spans="1:16" x14ac:dyDescent="0.2">
      <c r="A529" s="49" t="str">
        <v>0:00</v>
      </c>
      <c r="B529" s="108"/>
      <c r="C529" s="130"/>
      <c r="D529" s="130"/>
      <c r="E529" s="130"/>
      <c r="F529" s="130"/>
      <c r="G529" s="130"/>
      <c r="H529" s="130"/>
      <c r="I529" s="130"/>
      <c r="J529" s="130"/>
      <c r="K529" s="130"/>
      <c r="L529" s="130"/>
      <c r="M529" s="130"/>
      <c r="N529" s="130"/>
      <c r="O529" s="41"/>
      <c r="P529" s="41"/>
    </row>
    <row r="530" spans="1:16" x14ac:dyDescent="0.2">
      <c r="A530" s="49" t="str">
        <v>0:00</v>
      </c>
      <c r="B530" s="108"/>
      <c r="C530" s="130"/>
      <c r="D530" s="130"/>
      <c r="E530" s="130"/>
      <c r="F530" s="130"/>
      <c r="G530" s="130"/>
      <c r="H530" s="130"/>
      <c r="I530" s="130"/>
      <c r="J530" s="130"/>
      <c r="K530" s="130"/>
      <c r="L530" s="130"/>
      <c r="M530" s="130"/>
      <c r="N530" s="130"/>
      <c r="O530" s="41"/>
      <c r="P530" s="41"/>
    </row>
    <row r="531" spans="1:16" x14ac:dyDescent="0.2">
      <c r="A531" s="49" t="str">
        <v>0:00</v>
      </c>
      <c r="B531" s="108"/>
      <c r="C531" s="130"/>
      <c r="D531" s="130"/>
      <c r="E531" s="130"/>
      <c r="F531" s="130"/>
      <c r="G531" s="130"/>
      <c r="H531" s="130"/>
      <c r="I531" s="130"/>
      <c r="J531" s="130"/>
      <c r="K531" s="130"/>
      <c r="L531" s="130"/>
      <c r="M531" s="130"/>
      <c r="N531" s="130"/>
      <c r="O531" s="41"/>
      <c r="P531" s="41"/>
    </row>
    <row r="532" spans="1:16" x14ac:dyDescent="0.2">
      <c r="A532" s="49" t="str">
        <v>0:00</v>
      </c>
      <c r="B532" s="108"/>
      <c r="C532" s="130"/>
      <c r="D532" s="130"/>
      <c r="E532" s="130"/>
      <c r="F532" s="130"/>
      <c r="G532" s="130"/>
      <c r="H532" s="130"/>
      <c r="I532" s="130"/>
      <c r="J532" s="130"/>
      <c r="K532" s="130"/>
      <c r="L532" s="130"/>
      <c r="M532" s="130"/>
      <c r="N532" s="130"/>
      <c r="O532" s="41"/>
      <c r="P532" s="41"/>
    </row>
    <row r="533" spans="1:16" x14ac:dyDescent="0.2">
      <c r="A533" s="49" t="str">
        <v>0:00</v>
      </c>
      <c r="B533" s="108"/>
      <c r="C533" s="130"/>
      <c r="D533" s="130"/>
      <c r="E533" s="130"/>
      <c r="F533" s="130"/>
      <c r="G533" s="130"/>
      <c r="H533" s="130"/>
      <c r="I533" s="130"/>
      <c r="J533" s="130"/>
      <c r="K533" s="130"/>
      <c r="L533" s="130"/>
      <c r="M533" s="130"/>
      <c r="N533" s="130"/>
      <c r="O533" s="41"/>
      <c r="P533" s="41"/>
    </row>
    <row r="534" spans="1:16" x14ac:dyDescent="0.2">
      <c r="A534" s="49" t="str">
        <v>0:00</v>
      </c>
      <c r="B534" s="108"/>
      <c r="C534" s="130"/>
      <c r="D534" s="130"/>
      <c r="E534" s="130"/>
      <c r="F534" s="130"/>
      <c r="G534" s="130"/>
      <c r="H534" s="130"/>
      <c r="I534" s="130"/>
      <c r="J534" s="130"/>
      <c r="K534" s="130"/>
      <c r="L534" s="130"/>
      <c r="M534" s="130"/>
      <c r="N534" s="130"/>
      <c r="O534" s="41"/>
      <c r="P534" s="41"/>
    </row>
    <row r="535" spans="1:16" x14ac:dyDescent="0.2">
      <c r="A535" s="49" t="str">
        <v>0:00</v>
      </c>
      <c r="B535" s="108"/>
      <c r="C535" s="130"/>
      <c r="D535" s="130"/>
      <c r="E535" s="130"/>
      <c r="F535" s="130"/>
      <c r="G535" s="130"/>
      <c r="H535" s="130"/>
      <c r="I535" s="130"/>
      <c r="J535" s="130"/>
      <c r="K535" s="130"/>
      <c r="L535" s="130"/>
      <c r="M535" s="130"/>
      <c r="N535" s="130"/>
      <c r="O535" s="41"/>
      <c r="P535" s="41"/>
    </row>
    <row r="536" spans="1:16" x14ac:dyDescent="0.2">
      <c r="A536" s="49" t="str">
        <v>0:00</v>
      </c>
      <c r="B536" s="108"/>
      <c r="C536" s="130"/>
      <c r="D536" s="130"/>
      <c r="E536" s="130"/>
      <c r="F536" s="130"/>
      <c r="G536" s="130"/>
      <c r="H536" s="130"/>
      <c r="I536" s="130"/>
      <c r="J536" s="130"/>
      <c r="K536" s="130"/>
      <c r="L536" s="130"/>
      <c r="M536" s="130"/>
      <c r="N536" s="130"/>
      <c r="O536" s="41"/>
      <c r="P536" s="41"/>
    </row>
    <row r="537" spans="1:16" x14ac:dyDescent="0.2">
      <c r="A537" s="49" t="str">
        <v>0:00</v>
      </c>
      <c r="B537" s="108"/>
      <c r="C537" s="130"/>
      <c r="D537" s="130"/>
      <c r="E537" s="130"/>
      <c r="F537" s="130"/>
      <c r="G537" s="130"/>
      <c r="H537" s="130"/>
      <c r="I537" s="130"/>
      <c r="J537" s="130"/>
      <c r="K537" s="130"/>
      <c r="L537" s="130"/>
      <c r="M537" s="130"/>
      <c r="N537" s="130"/>
      <c r="O537" s="41"/>
      <c r="P537" s="41"/>
    </row>
    <row r="538" spans="1:16" x14ac:dyDescent="0.2">
      <c r="A538" s="49" t="str">
        <v>0:00</v>
      </c>
      <c r="B538" s="108"/>
      <c r="C538" s="130"/>
      <c r="D538" s="130"/>
      <c r="E538" s="130"/>
      <c r="F538" s="130"/>
      <c r="G538" s="130"/>
      <c r="H538" s="130"/>
      <c r="I538" s="130"/>
      <c r="J538" s="130"/>
      <c r="K538" s="130"/>
      <c r="L538" s="130"/>
      <c r="M538" s="130"/>
      <c r="N538" s="130"/>
      <c r="O538" s="41"/>
      <c r="P538" s="41"/>
    </row>
    <row r="539" spans="1:16" x14ac:dyDescent="0.2">
      <c r="A539" s="49" t="str">
        <v>0:00</v>
      </c>
      <c r="B539" s="108"/>
      <c r="C539" s="130"/>
      <c r="D539" s="130"/>
      <c r="E539" s="130"/>
      <c r="F539" s="130"/>
      <c r="G539" s="130"/>
      <c r="H539" s="130"/>
      <c r="I539" s="130"/>
      <c r="J539" s="130"/>
      <c r="K539" s="130"/>
      <c r="L539" s="130"/>
      <c r="M539" s="130"/>
      <c r="N539" s="130"/>
      <c r="O539" s="41"/>
      <c r="P539" s="41"/>
    </row>
    <row r="540" spans="1:16" x14ac:dyDescent="0.2">
      <c r="A540" s="49" t="str">
        <v>0:00</v>
      </c>
      <c r="B540" s="108"/>
      <c r="C540" s="130"/>
      <c r="D540" s="130"/>
      <c r="E540" s="130"/>
      <c r="F540" s="130"/>
      <c r="G540" s="130"/>
      <c r="H540" s="130"/>
      <c r="I540" s="130"/>
      <c r="J540" s="130"/>
      <c r="K540" s="130"/>
      <c r="L540" s="130"/>
      <c r="M540" s="130"/>
      <c r="N540" s="130"/>
      <c r="O540" s="41"/>
      <c r="P540" s="41"/>
    </row>
    <row r="541" spans="1:16" x14ac:dyDescent="0.2">
      <c r="A541" s="49" t="str">
        <v>0:00</v>
      </c>
      <c r="B541" s="108"/>
      <c r="C541" s="130"/>
      <c r="D541" s="130"/>
      <c r="E541" s="130"/>
      <c r="F541" s="130"/>
      <c r="G541" s="130"/>
      <c r="H541" s="130"/>
      <c r="I541" s="130"/>
      <c r="J541" s="130"/>
      <c r="K541" s="130"/>
      <c r="L541" s="130"/>
      <c r="M541" s="130"/>
      <c r="N541" s="130"/>
      <c r="O541" s="41"/>
      <c r="P541" s="41"/>
    </row>
    <row r="542" spans="1:16" x14ac:dyDescent="0.2">
      <c r="A542" s="49" t="str">
        <v>0:00</v>
      </c>
      <c r="B542" s="108"/>
      <c r="C542" s="130"/>
      <c r="D542" s="130"/>
      <c r="E542" s="130"/>
      <c r="F542" s="130"/>
      <c r="G542" s="130"/>
      <c r="H542" s="130"/>
      <c r="I542" s="130"/>
      <c r="J542" s="130"/>
      <c r="K542" s="130"/>
      <c r="L542" s="130"/>
      <c r="M542" s="130"/>
      <c r="N542" s="130"/>
      <c r="O542" s="41"/>
      <c r="P542" s="41"/>
    </row>
    <row r="543" spans="1:16" x14ac:dyDescent="0.2">
      <c r="A543" s="49" t="str">
        <v>0:00</v>
      </c>
      <c r="B543" s="108"/>
      <c r="C543" s="130"/>
      <c r="D543" s="130"/>
      <c r="E543" s="130"/>
      <c r="F543" s="130"/>
      <c r="G543" s="130"/>
      <c r="H543" s="130"/>
      <c r="I543" s="130"/>
      <c r="J543" s="130"/>
      <c r="K543" s="130"/>
      <c r="L543" s="130"/>
      <c r="M543" s="130"/>
      <c r="N543" s="130"/>
      <c r="O543" s="41"/>
      <c r="P543" s="41"/>
    </row>
    <row r="544" spans="1:16" x14ac:dyDescent="0.2">
      <c r="A544" s="49" t="str">
        <v>0:00</v>
      </c>
      <c r="B544" s="108"/>
      <c r="C544" s="130"/>
      <c r="D544" s="130"/>
      <c r="E544" s="130"/>
      <c r="F544" s="130"/>
      <c r="G544" s="130"/>
      <c r="H544" s="130"/>
      <c r="I544" s="130"/>
      <c r="J544" s="130"/>
      <c r="K544" s="130"/>
      <c r="L544" s="130"/>
      <c r="M544" s="130"/>
      <c r="N544" s="130"/>
      <c r="O544" s="41"/>
      <c r="P544" s="41"/>
    </row>
    <row r="545" spans="1:16" x14ac:dyDescent="0.2">
      <c r="A545" s="49" t="str">
        <v>0:00</v>
      </c>
      <c r="B545" s="108"/>
      <c r="C545" s="130"/>
      <c r="D545" s="130"/>
      <c r="E545" s="130"/>
      <c r="F545" s="130"/>
      <c r="G545" s="130"/>
      <c r="H545" s="130"/>
      <c r="I545" s="130"/>
      <c r="J545" s="130"/>
      <c r="K545" s="130"/>
      <c r="L545" s="130"/>
      <c r="M545" s="130"/>
      <c r="N545" s="130"/>
      <c r="O545" s="41"/>
      <c r="P545" s="41"/>
    </row>
    <row r="546" spans="1:16" x14ac:dyDescent="0.2">
      <c r="A546" s="49" t="str">
        <v>0:00</v>
      </c>
      <c r="B546" s="108"/>
      <c r="C546" s="130"/>
      <c r="D546" s="130"/>
      <c r="E546" s="130"/>
      <c r="F546" s="130"/>
      <c r="G546" s="130"/>
      <c r="H546" s="130"/>
      <c r="I546" s="130"/>
      <c r="J546" s="130"/>
      <c r="K546" s="130"/>
      <c r="L546" s="130"/>
      <c r="M546" s="130"/>
      <c r="N546" s="130"/>
      <c r="O546" s="41"/>
      <c r="P546" s="41"/>
    </row>
    <row r="547" spans="1:16" x14ac:dyDescent="0.2">
      <c r="A547" s="49" t="str">
        <v>0:00</v>
      </c>
      <c r="B547" s="108"/>
      <c r="C547" s="130"/>
      <c r="D547" s="130"/>
      <c r="E547" s="130"/>
      <c r="F547" s="130"/>
      <c r="G547" s="130"/>
      <c r="H547" s="130"/>
      <c r="I547" s="130"/>
      <c r="J547" s="130"/>
      <c r="K547" s="130"/>
      <c r="L547" s="130"/>
      <c r="M547" s="130"/>
      <c r="N547" s="130"/>
      <c r="O547" s="41"/>
      <c r="P547" s="41"/>
    </row>
    <row r="548" spans="1:16" x14ac:dyDescent="0.2">
      <c r="A548" s="49" t="str">
        <v>0:00</v>
      </c>
      <c r="B548" s="108"/>
      <c r="C548" s="130"/>
      <c r="D548" s="130"/>
      <c r="E548" s="130"/>
      <c r="F548" s="130"/>
      <c r="G548" s="130"/>
      <c r="H548" s="130"/>
      <c r="I548" s="130"/>
      <c r="J548" s="130"/>
      <c r="K548" s="130"/>
      <c r="L548" s="130"/>
      <c r="M548" s="130"/>
      <c r="N548" s="130"/>
      <c r="O548" s="41"/>
      <c r="P548" s="41"/>
    </row>
    <row r="549" spans="1:16" x14ac:dyDescent="0.2">
      <c r="A549" s="49" t="str">
        <v>0:00</v>
      </c>
      <c r="B549" s="108"/>
      <c r="C549" s="130"/>
      <c r="D549" s="130"/>
      <c r="E549" s="130"/>
      <c r="F549" s="130"/>
      <c r="G549" s="130"/>
      <c r="H549" s="130"/>
      <c r="I549" s="130"/>
      <c r="J549" s="130"/>
      <c r="K549" s="130"/>
      <c r="L549" s="130"/>
      <c r="M549" s="130"/>
      <c r="N549" s="130"/>
      <c r="O549" s="41"/>
      <c r="P549" s="41"/>
    </row>
    <row r="550" spans="1:16" x14ac:dyDescent="0.2">
      <c r="A550" s="49" t="str">
        <v>0:00</v>
      </c>
      <c r="B550" s="108"/>
      <c r="C550" s="130"/>
      <c r="D550" s="130"/>
      <c r="E550" s="130"/>
      <c r="F550" s="130"/>
      <c r="G550" s="130"/>
      <c r="H550" s="130"/>
      <c r="I550" s="130"/>
      <c r="J550" s="130"/>
      <c r="K550" s="130"/>
      <c r="L550" s="130"/>
      <c r="M550" s="130"/>
      <c r="N550" s="130"/>
      <c r="O550" s="41"/>
      <c r="P550" s="41"/>
    </row>
    <row r="551" spans="1:16" x14ac:dyDescent="0.2">
      <c r="A551" s="49" t="str">
        <v>0:00</v>
      </c>
      <c r="B551" s="108"/>
      <c r="C551" s="130"/>
      <c r="D551" s="130"/>
      <c r="E551" s="130"/>
      <c r="F551" s="130"/>
      <c r="G551" s="130"/>
      <c r="H551" s="130"/>
      <c r="I551" s="130"/>
      <c r="J551" s="130"/>
      <c r="K551" s="130"/>
      <c r="L551" s="130"/>
      <c r="M551" s="130"/>
      <c r="N551" s="130"/>
      <c r="O551" s="41"/>
      <c r="P551" s="41"/>
    </row>
    <row r="552" spans="1:16" x14ac:dyDescent="0.2">
      <c r="A552" s="49" t="str">
        <v>0:00</v>
      </c>
      <c r="B552" s="108"/>
      <c r="C552" s="130"/>
      <c r="D552" s="130"/>
      <c r="E552" s="130"/>
      <c r="F552" s="130"/>
      <c r="G552" s="130"/>
      <c r="H552" s="130"/>
      <c r="I552" s="130"/>
      <c r="J552" s="130"/>
      <c r="K552" s="130"/>
      <c r="L552" s="130"/>
      <c r="M552" s="130"/>
      <c r="N552" s="130"/>
      <c r="O552" s="41"/>
      <c r="P552" s="41"/>
    </row>
    <row r="553" spans="1:16" x14ac:dyDescent="0.2">
      <c r="A553" s="49" t="str">
        <v>0:00</v>
      </c>
      <c r="B553" s="108"/>
      <c r="C553" s="130"/>
      <c r="D553" s="130"/>
      <c r="E553" s="130"/>
      <c r="F553" s="130"/>
      <c r="G553" s="130"/>
      <c r="H553" s="130"/>
      <c r="I553" s="130"/>
      <c r="J553" s="130"/>
      <c r="K553" s="130"/>
      <c r="L553" s="130"/>
      <c r="M553" s="130"/>
      <c r="N553" s="130"/>
      <c r="O553" s="41"/>
      <c r="P553" s="41"/>
    </row>
    <row r="554" spans="1:16" x14ac:dyDescent="0.2">
      <c r="A554" s="49" t="str">
        <v>0:00</v>
      </c>
      <c r="B554" s="108"/>
      <c r="C554" s="130"/>
      <c r="D554" s="130"/>
      <c r="E554" s="130"/>
      <c r="F554" s="130"/>
      <c r="G554" s="130"/>
      <c r="H554" s="130"/>
      <c r="I554" s="130"/>
      <c r="J554" s="130"/>
      <c r="K554" s="130"/>
      <c r="L554" s="130"/>
      <c r="M554" s="130"/>
      <c r="N554" s="130"/>
      <c r="O554" s="41"/>
      <c r="P554" s="41"/>
    </row>
    <row r="555" spans="1:16" x14ac:dyDescent="0.2">
      <c r="A555" s="49" t="str">
        <v>0:00</v>
      </c>
      <c r="B555" s="108"/>
      <c r="C555" s="130"/>
      <c r="D555" s="130"/>
      <c r="E555" s="130"/>
      <c r="F555" s="130"/>
      <c r="G555" s="130"/>
      <c r="H555" s="130"/>
      <c r="I555" s="130"/>
      <c r="J555" s="130"/>
      <c r="K555" s="130"/>
      <c r="L555" s="130"/>
      <c r="M555" s="130"/>
      <c r="N555" s="130"/>
      <c r="O555" s="41"/>
      <c r="P555" s="41"/>
    </row>
    <row r="556" spans="1:16" x14ac:dyDescent="0.2">
      <c r="A556" s="49" t="str">
        <v>0:00</v>
      </c>
      <c r="B556" s="108"/>
      <c r="C556" s="130"/>
      <c r="D556" s="130"/>
      <c r="E556" s="130"/>
      <c r="F556" s="130"/>
      <c r="G556" s="130"/>
      <c r="H556" s="130"/>
      <c r="I556" s="130"/>
      <c r="J556" s="130"/>
      <c r="K556" s="130"/>
      <c r="L556" s="130"/>
      <c r="M556" s="130"/>
      <c r="N556" s="130"/>
      <c r="O556" s="41"/>
      <c r="P556" s="41"/>
    </row>
    <row r="557" spans="1:16" x14ac:dyDescent="0.2">
      <c r="A557" s="49" t="str">
        <v>0:00</v>
      </c>
      <c r="B557" s="108"/>
      <c r="C557" s="130"/>
      <c r="D557" s="130"/>
      <c r="E557" s="130"/>
      <c r="F557" s="130"/>
      <c r="G557" s="130"/>
      <c r="H557" s="130"/>
      <c r="I557" s="130"/>
      <c r="J557" s="130"/>
      <c r="K557" s="130"/>
      <c r="L557" s="130"/>
      <c r="M557" s="130"/>
      <c r="N557" s="130"/>
      <c r="O557" s="41"/>
      <c r="P557" s="41"/>
    </row>
    <row r="558" spans="1:16" x14ac:dyDescent="0.2">
      <c r="A558" s="49" t="str">
        <v>0:00</v>
      </c>
      <c r="B558" s="108"/>
      <c r="C558" s="130"/>
      <c r="D558" s="130"/>
      <c r="E558" s="130"/>
      <c r="F558" s="130"/>
      <c r="G558" s="130"/>
      <c r="H558" s="130"/>
      <c r="I558" s="130"/>
      <c r="J558" s="130"/>
      <c r="K558" s="130"/>
      <c r="L558" s="130"/>
      <c r="M558" s="130"/>
      <c r="N558" s="130"/>
      <c r="O558" s="41"/>
      <c r="P558" s="41"/>
    </row>
    <row r="559" spans="1:16" x14ac:dyDescent="0.2">
      <c r="A559" s="49" t="str">
        <v>0:00</v>
      </c>
      <c r="B559" s="108"/>
      <c r="C559" s="130"/>
      <c r="D559" s="130"/>
      <c r="E559" s="130"/>
      <c r="F559" s="130"/>
      <c r="G559" s="130"/>
      <c r="H559" s="130"/>
      <c r="I559" s="130"/>
      <c r="J559" s="130"/>
      <c r="K559" s="130"/>
      <c r="L559" s="130"/>
      <c r="M559" s="130"/>
      <c r="N559" s="130"/>
      <c r="O559" s="41"/>
      <c r="P559" s="41"/>
    </row>
    <row r="560" spans="1:16" x14ac:dyDescent="0.2">
      <c r="A560" s="49" t="str">
        <v>0:00</v>
      </c>
      <c r="B560" s="108"/>
      <c r="C560" s="130"/>
      <c r="D560" s="130"/>
      <c r="E560" s="130"/>
      <c r="F560" s="130"/>
      <c r="G560" s="130"/>
      <c r="H560" s="130"/>
      <c r="I560" s="130"/>
      <c r="J560" s="130"/>
      <c r="K560" s="130"/>
      <c r="L560" s="130"/>
      <c r="M560" s="130"/>
      <c r="N560" s="130"/>
      <c r="O560" s="41"/>
      <c r="P560" s="41"/>
    </row>
    <row r="561" spans="1:16" x14ac:dyDescent="0.2">
      <c r="A561" s="49" t="str">
        <v>0:00</v>
      </c>
      <c r="B561" s="108"/>
      <c r="C561" s="130"/>
      <c r="D561" s="130"/>
      <c r="E561" s="130"/>
      <c r="F561" s="130"/>
      <c r="G561" s="130"/>
      <c r="H561" s="130"/>
      <c r="I561" s="130"/>
      <c r="J561" s="130"/>
      <c r="K561" s="130"/>
      <c r="L561" s="130"/>
      <c r="M561" s="130"/>
      <c r="N561" s="130"/>
      <c r="O561" s="41"/>
      <c r="P561" s="41"/>
    </row>
    <row r="562" spans="1:16" x14ac:dyDescent="0.2">
      <c r="A562" s="49" t="str">
        <v>0:00</v>
      </c>
      <c r="B562" s="108"/>
      <c r="C562" s="130"/>
      <c r="D562" s="130"/>
      <c r="E562" s="130"/>
      <c r="F562" s="130"/>
      <c r="G562" s="130"/>
      <c r="H562" s="130"/>
      <c r="I562" s="130"/>
      <c r="J562" s="130"/>
      <c r="K562" s="130"/>
      <c r="L562" s="130"/>
      <c r="M562" s="130"/>
      <c r="N562" s="130"/>
      <c r="O562" s="41"/>
      <c r="P562" s="41"/>
    </row>
    <row r="563" spans="1:16" x14ac:dyDescent="0.2">
      <c r="A563" s="49" t="str">
        <v>0:00</v>
      </c>
      <c r="B563" s="108"/>
      <c r="C563" s="130"/>
      <c r="D563" s="130"/>
      <c r="E563" s="130"/>
      <c r="F563" s="130"/>
      <c r="G563" s="130"/>
      <c r="H563" s="130"/>
      <c r="I563" s="130"/>
      <c r="J563" s="130"/>
      <c r="K563" s="130"/>
      <c r="L563" s="130"/>
      <c r="M563" s="130"/>
      <c r="N563" s="130"/>
      <c r="O563" s="41"/>
      <c r="P563" s="41"/>
    </row>
    <row r="564" spans="1:16" x14ac:dyDescent="0.2">
      <c r="A564" s="49" t="str">
        <v>0:00</v>
      </c>
      <c r="B564" s="108"/>
      <c r="C564" s="130"/>
      <c r="D564" s="130"/>
      <c r="E564" s="130"/>
      <c r="F564" s="130"/>
      <c r="G564" s="130"/>
      <c r="H564" s="130"/>
      <c r="I564" s="130"/>
      <c r="J564" s="130"/>
      <c r="K564" s="130"/>
      <c r="L564" s="130"/>
      <c r="M564" s="130"/>
      <c r="N564" s="130"/>
      <c r="O564" s="41"/>
      <c r="P564" s="41"/>
    </row>
    <row r="565" spans="1:16" x14ac:dyDescent="0.2">
      <c r="A565" s="49" t="str">
        <v>0:00</v>
      </c>
      <c r="B565" s="108"/>
      <c r="C565" s="130"/>
      <c r="D565" s="130"/>
      <c r="E565" s="130"/>
      <c r="F565" s="130"/>
      <c r="G565" s="130"/>
      <c r="H565" s="130"/>
      <c r="I565" s="130"/>
      <c r="J565" s="130"/>
      <c r="K565" s="130"/>
      <c r="L565" s="130"/>
      <c r="M565" s="130"/>
      <c r="N565" s="130"/>
      <c r="O565" s="41"/>
      <c r="P565" s="41"/>
    </row>
    <row r="566" spans="1:16" x14ac:dyDescent="0.2">
      <c r="A566" s="49" t="str">
        <v>0:00</v>
      </c>
      <c r="B566" s="108"/>
      <c r="C566" s="130"/>
      <c r="D566" s="130"/>
      <c r="E566" s="130"/>
      <c r="F566" s="130"/>
      <c r="G566" s="130"/>
      <c r="H566" s="130"/>
      <c r="I566" s="130"/>
      <c r="J566" s="130"/>
      <c r="K566" s="130"/>
      <c r="L566" s="130"/>
      <c r="M566" s="130"/>
      <c r="N566" s="130"/>
      <c r="O566" s="41"/>
      <c r="P566" s="41"/>
    </row>
    <row r="567" spans="1:16" x14ac:dyDescent="0.2">
      <c r="A567" s="49" t="str">
        <v>0:00</v>
      </c>
      <c r="B567" s="108"/>
      <c r="C567" s="130"/>
      <c r="D567" s="130"/>
      <c r="E567" s="130"/>
      <c r="F567" s="130"/>
      <c r="G567" s="130"/>
      <c r="H567" s="130"/>
      <c r="I567" s="130"/>
      <c r="J567" s="130"/>
      <c r="K567" s="130"/>
      <c r="L567" s="130"/>
      <c r="M567" s="130"/>
      <c r="N567" s="130"/>
      <c r="O567" s="41"/>
      <c r="P567" s="41"/>
    </row>
    <row r="568" spans="1:16" x14ac:dyDescent="0.2">
      <c r="A568" s="49" t="str">
        <v>0:00</v>
      </c>
      <c r="B568" s="108"/>
      <c r="C568" s="130"/>
      <c r="D568" s="130"/>
      <c r="E568" s="130"/>
      <c r="F568" s="130"/>
      <c r="G568" s="130"/>
      <c r="H568" s="130"/>
      <c r="I568" s="130"/>
      <c r="J568" s="130"/>
      <c r="K568" s="130"/>
      <c r="L568" s="130"/>
      <c r="M568" s="130"/>
      <c r="N568" s="130"/>
      <c r="O568" s="41"/>
      <c r="P568" s="41"/>
    </row>
    <row r="569" spans="1:16" x14ac:dyDescent="0.2">
      <c r="A569" s="49" t="str">
        <v>0:00</v>
      </c>
      <c r="B569" s="108"/>
      <c r="C569" s="130"/>
      <c r="D569" s="130"/>
      <c r="E569" s="130"/>
      <c r="F569" s="130"/>
      <c r="G569" s="130"/>
      <c r="H569" s="130"/>
      <c r="I569" s="130"/>
      <c r="J569" s="130"/>
      <c r="K569" s="130"/>
      <c r="L569" s="130"/>
      <c r="M569" s="130"/>
      <c r="N569" s="130"/>
      <c r="O569" s="41"/>
      <c r="P569" s="41"/>
    </row>
    <row r="570" spans="1:16" x14ac:dyDescent="0.2">
      <c r="A570" s="49" t="str">
        <v>0:00</v>
      </c>
      <c r="B570" s="108"/>
      <c r="C570" s="130"/>
      <c r="D570" s="130"/>
      <c r="E570" s="130"/>
      <c r="F570" s="130"/>
      <c r="G570" s="130"/>
      <c r="H570" s="130"/>
      <c r="I570" s="130"/>
      <c r="J570" s="130"/>
      <c r="K570" s="130"/>
      <c r="L570" s="130"/>
      <c r="M570" s="130"/>
      <c r="N570" s="130"/>
      <c r="O570" s="41"/>
      <c r="P570" s="41"/>
    </row>
    <row r="571" spans="1:16" x14ac:dyDescent="0.2">
      <c r="A571" s="49" t="str">
        <v>0:00</v>
      </c>
      <c r="B571" s="108"/>
      <c r="C571" s="130"/>
      <c r="D571" s="130"/>
      <c r="E571" s="130"/>
      <c r="F571" s="130"/>
      <c r="G571" s="130"/>
      <c r="H571" s="130"/>
      <c r="I571" s="130"/>
      <c r="J571" s="130"/>
      <c r="K571" s="130"/>
      <c r="L571" s="130"/>
      <c r="M571" s="130"/>
      <c r="N571" s="130"/>
      <c r="O571" s="41"/>
      <c r="P571" s="41"/>
    </row>
    <row r="572" spans="1:16" x14ac:dyDescent="0.2">
      <c r="A572" s="49" t="str">
        <v>0:00</v>
      </c>
      <c r="B572" s="108"/>
      <c r="C572" s="130"/>
      <c r="D572" s="130"/>
      <c r="E572" s="130"/>
      <c r="F572" s="130"/>
      <c r="G572" s="130"/>
      <c r="H572" s="130"/>
      <c r="I572" s="130"/>
      <c r="J572" s="130"/>
      <c r="K572" s="130"/>
      <c r="L572" s="130"/>
      <c r="M572" s="130"/>
      <c r="N572" s="130"/>
      <c r="O572" s="41"/>
      <c r="P572" s="41"/>
    </row>
    <row r="573" spans="1:16" x14ac:dyDescent="0.2">
      <c r="A573" s="49" t="str">
        <v>0:00</v>
      </c>
      <c r="B573" s="108"/>
      <c r="C573" s="130"/>
      <c r="D573" s="130"/>
      <c r="E573" s="130"/>
      <c r="F573" s="130"/>
      <c r="G573" s="130"/>
      <c r="H573" s="130"/>
      <c r="I573" s="130"/>
      <c r="J573" s="130"/>
      <c r="K573" s="130"/>
      <c r="L573" s="130"/>
      <c r="M573" s="130"/>
      <c r="N573" s="130"/>
      <c r="O573" s="41"/>
      <c r="P573" s="41"/>
    </row>
    <row r="574" spans="1:16" x14ac:dyDescent="0.2">
      <c r="A574" s="49" t="str">
        <v>0:00</v>
      </c>
      <c r="B574" s="108"/>
      <c r="C574" s="130"/>
      <c r="D574" s="130"/>
      <c r="E574" s="130"/>
      <c r="F574" s="130"/>
      <c r="G574" s="130"/>
      <c r="H574" s="130"/>
      <c r="I574" s="130"/>
      <c r="J574" s="130"/>
      <c r="K574" s="130"/>
      <c r="L574" s="130"/>
      <c r="M574" s="130"/>
      <c r="N574" s="130"/>
      <c r="O574" s="41"/>
      <c r="P574" s="41"/>
    </row>
    <row r="575" spans="1:16" x14ac:dyDescent="0.2">
      <c r="A575" s="49" t="str">
        <v>0:00</v>
      </c>
      <c r="B575" s="108"/>
      <c r="C575" s="130"/>
      <c r="D575" s="130"/>
      <c r="E575" s="130"/>
      <c r="F575" s="130"/>
      <c r="G575" s="130"/>
      <c r="H575" s="130"/>
      <c r="I575" s="130"/>
      <c r="J575" s="130"/>
      <c r="K575" s="130"/>
      <c r="L575" s="130"/>
      <c r="M575" s="130"/>
      <c r="N575" s="130"/>
      <c r="O575" s="41"/>
      <c r="P575" s="41"/>
    </row>
    <row r="576" spans="1:16" x14ac:dyDescent="0.2">
      <c r="A576" s="49" t="str">
        <v>0:00</v>
      </c>
      <c r="B576" s="108"/>
      <c r="C576" s="130"/>
      <c r="D576" s="130"/>
      <c r="E576" s="130"/>
      <c r="F576" s="130"/>
      <c r="G576" s="130"/>
      <c r="H576" s="130"/>
      <c r="I576" s="130"/>
      <c r="J576" s="130"/>
      <c r="K576" s="130"/>
      <c r="L576" s="130"/>
      <c r="M576" s="130"/>
      <c r="N576" s="130"/>
      <c r="O576" s="41"/>
      <c r="P576" s="41"/>
    </row>
    <row r="577" spans="1:16" x14ac:dyDescent="0.2">
      <c r="A577" s="49" t="str">
        <v>0:00</v>
      </c>
      <c r="B577" s="108"/>
      <c r="C577" s="130"/>
      <c r="D577" s="130"/>
      <c r="E577" s="130"/>
      <c r="F577" s="130"/>
      <c r="G577" s="130"/>
      <c r="H577" s="130"/>
      <c r="I577" s="130"/>
      <c r="J577" s="130"/>
      <c r="K577" s="130"/>
      <c r="L577" s="130"/>
      <c r="M577" s="130"/>
      <c r="N577" s="130"/>
      <c r="O577" s="41"/>
      <c r="P577" s="41"/>
    </row>
    <row r="578" spans="1:16" x14ac:dyDescent="0.2">
      <c r="A578" s="49" t="str">
        <v>0:00</v>
      </c>
      <c r="B578" s="108"/>
      <c r="C578" s="130"/>
      <c r="D578" s="130"/>
      <c r="E578" s="130"/>
      <c r="F578" s="130"/>
      <c r="G578" s="130"/>
      <c r="H578" s="130"/>
      <c r="I578" s="130"/>
      <c r="J578" s="130"/>
      <c r="K578" s="130"/>
      <c r="L578" s="130"/>
      <c r="M578" s="130"/>
      <c r="N578" s="130"/>
      <c r="O578" s="41"/>
      <c r="P578" s="41"/>
    </row>
    <row r="579" spans="1:16" x14ac:dyDescent="0.2">
      <c r="A579" s="49" t="str">
        <v>0:00</v>
      </c>
      <c r="B579" s="108"/>
      <c r="C579" s="130"/>
      <c r="D579" s="130"/>
      <c r="E579" s="130"/>
      <c r="F579" s="130"/>
      <c r="G579" s="130"/>
      <c r="H579" s="130"/>
      <c r="I579" s="130"/>
      <c r="J579" s="130"/>
      <c r="K579" s="130"/>
      <c r="L579" s="130"/>
      <c r="M579" s="130"/>
      <c r="N579" s="130"/>
      <c r="O579" s="41"/>
      <c r="P579" s="41"/>
    </row>
    <row r="580" spans="1:16" x14ac:dyDescent="0.2">
      <c r="A580" s="49" t="str">
        <v>0:00</v>
      </c>
      <c r="B580" s="108"/>
      <c r="C580" s="130"/>
      <c r="D580" s="130"/>
      <c r="E580" s="130"/>
      <c r="F580" s="130"/>
      <c r="G580" s="130"/>
      <c r="H580" s="130"/>
      <c r="I580" s="130"/>
      <c r="J580" s="130"/>
      <c r="K580" s="130"/>
      <c r="L580" s="130"/>
      <c r="M580" s="130"/>
      <c r="N580" s="130"/>
      <c r="O580" s="41"/>
      <c r="P580" s="41"/>
    </row>
    <row r="581" spans="1:16" x14ac:dyDescent="0.2">
      <c r="A581" s="49" t="str">
        <v>0:00</v>
      </c>
      <c r="B581" s="108"/>
      <c r="C581" s="130"/>
      <c r="D581" s="130"/>
      <c r="E581" s="130"/>
      <c r="F581" s="130"/>
      <c r="G581" s="130"/>
      <c r="H581" s="130"/>
      <c r="I581" s="130"/>
      <c r="J581" s="130"/>
      <c r="K581" s="130"/>
      <c r="L581" s="130"/>
      <c r="M581" s="130"/>
      <c r="N581" s="130"/>
      <c r="O581" s="41"/>
      <c r="P581" s="41"/>
    </row>
    <row r="582" spans="1:16" x14ac:dyDescent="0.2">
      <c r="A582" s="49" t="str">
        <v>0:00</v>
      </c>
      <c r="B582" s="108"/>
      <c r="C582" s="130"/>
      <c r="D582" s="130"/>
      <c r="E582" s="130"/>
      <c r="F582" s="130"/>
      <c r="G582" s="130"/>
      <c r="H582" s="130"/>
      <c r="I582" s="130"/>
      <c r="J582" s="130"/>
      <c r="K582" s="130"/>
      <c r="L582" s="130"/>
      <c r="M582" s="130"/>
      <c r="N582" s="130"/>
      <c r="O582" s="41"/>
      <c r="P582" s="41"/>
    </row>
    <row r="583" spans="1:16" x14ac:dyDescent="0.2">
      <c r="A583" s="49" t="str">
        <v>0:00</v>
      </c>
      <c r="B583" s="108"/>
      <c r="C583" s="130"/>
      <c r="D583" s="130"/>
      <c r="E583" s="130"/>
      <c r="F583" s="130"/>
      <c r="G583" s="130"/>
      <c r="H583" s="130"/>
      <c r="I583" s="130"/>
      <c r="J583" s="130"/>
      <c r="K583" s="130"/>
      <c r="L583" s="130"/>
      <c r="M583" s="130"/>
      <c r="N583" s="130"/>
      <c r="O583" s="41"/>
      <c r="P583" s="41"/>
    </row>
    <row r="584" spans="1:16" x14ac:dyDescent="0.2">
      <c r="A584" s="49" t="str">
        <v>0:00</v>
      </c>
      <c r="B584" s="108"/>
      <c r="C584" s="130"/>
      <c r="D584" s="130"/>
      <c r="E584" s="130"/>
      <c r="F584" s="130"/>
      <c r="G584" s="130"/>
      <c r="H584" s="130"/>
      <c r="I584" s="130"/>
      <c r="J584" s="130"/>
      <c r="K584" s="130"/>
      <c r="L584" s="130"/>
      <c r="M584" s="130"/>
      <c r="N584" s="130"/>
      <c r="O584" s="41"/>
      <c r="P584" s="41"/>
    </row>
    <row r="585" spans="1:16" x14ac:dyDescent="0.2">
      <c r="A585" s="49" t="str">
        <v>0:00</v>
      </c>
      <c r="B585" s="108"/>
      <c r="C585" s="130"/>
      <c r="D585" s="130"/>
      <c r="E585" s="130"/>
      <c r="F585" s="130"/>
      <c r="G585" s="130"/>
      <c r="H585" s="130"/>
      <c r="I585" s="130"/>
      <c r="J585" s="130"/>
      <c r="K585" s="130"/>
      <c r="L585" s="130"/>
      <c r="M585" s="130"/>
      <c r="N585" s="130"/>
      <c r="O585" s="41"/>
      <c r="P585" s="41"/>
    </row>
    <row r="586" spans="1:16" x14ac:dyDescent="0.2">
      <c r="A586" s="49" t="str">
        <v>0:00</v>
      </c>
      <c r="B586" s="108"/>
      <c r="C586" s="130"/>
      <c r="D586" s="130"/>
      <c r="E586" s="130"/>
      <c r="F586" s="130"/>
      <c r="G586" s="130"/>
      <c r="H586" s="130"/>
      <c r="I586" s="130"/>
      <c r="J586" s="130"/>
      <c r="K586" s="130"/>
      <c r="L586" s="130"/>
      <c r="M586" s="130"/>
      <c r="N586" s="130"/>
      <c r="O586" s="41"/>
      <c r="P586" s="41"/>
    </row>
    <row r="587" spans="1:16" x14ac:dyDescent="0.2">
      <c r="A587" s="49" t="str">
        <v>0:00</v>
      </c>
      <c r="B587" s="108"/>
      <c r="C587" s="130"/>
      <c r="D587" s="130"/>
      <c r="E587" s="130"/>
      <c r="F587" s="130"/>
      <c r="G587" s="130"/>
      <c r="H587" s="130"/>
      <c r="I587" s="130"/>
      <c r="J587" s="130"/>
      <c r="K587" s="130"/>
      <c r="L587" s="130"/>
      <c r="M587" s="130"/>
      <c r="N587" s="130"/>
      <c r="O587" s="41"/>
      <c r="P587" s="41"/>
    </row>
    <row r="588" spans="1:16" x14ac:dyDescent="0.2">
      <c r="A588" s="49" t="str">
        <v>0:00</v>
      </c>
      <c r="B588" s="108"/>
      <c r="C588" s="130"/>
      <c r="D588" s="130"/>
      <c r="E588" s="130"/>
      <c r="F588" s="130"/>
      <c r="G588" s="130"/>
      <c r="H588" s="130"/>
      <c r="I588" s="130"/>
      <c r="J588" s="130"/>
      <c r="K588" s="130"/>
      <c r="L588" s="130"/>
      <c r="M588" s="130"/>
      <c r="N588" s="130"/>
      <c r="O588" s="41"/>
      <c r="P588" s="41"/>
    </row>
    <row r="589" spans="1:16" x14ac:dyDescent="0.2">
      <c r="A589" s="49" t="str">
        <v>0:00</v>
      </c>
      <c r="B589" s="108"/>
      <c r="C589" s="130"/>
      <c r="D589" s="130"/>
      <c r="E589" s="130"/>
      <c r="F589" s="130"/>
      <c r="G589" s="130"/>
      <c r="H589" s="130"/>
      <c r="I589" s="130"/>
      <c r="J589" s="130"/>
      <c r="K589" s="130"/>
      <c r="L589" s="130"/>
      <c r="M589" s="130"/>
      <c r="N589" s="130"/>
      <c r="O589" s="41"/>
      <c r="P589" s="41"/>
    </row>
    <row r="590" spans="1:16" x14ac:dyDescent="0.2">
      <c r="A590" s="49" t="str">
        <v>0:00</v>
      </c>
      <c r="B590" s="108"/>
      <c r="C590" s="130"/>
      <c r="D590" s="130"/>
      <c r="E590" s="130"/>
      <c r="F590" s="130"/>
      <c r="G590" s="130"/>
      <c r="H590" s="130"/>
      <c r="I590" s="130"/>
      <c r="J590" s="130"/>
      <c r="K590" s="130"/>
      <c r="L590" s="130"/>
      <c r="M590" s="130"/>
      <c r="N590" s="130"/>
      <c r="O590" s="41"/>
      <c r="P590" s="41"/>
    </row>
    <row r="591" spans="1:16" x14ac:dyDescent="0.2">
      <c r="A591" s="49" t="str">
        <v>0:00</v>
      </c>
      <c r="B591" s="108"/>
      <c r="C591" s="130"/>
      <c r="D591" s="130"/>
      <c r="E591" s="130"/>
      <c r="F591" s="130"/>
      <c r="G591" s="130"/>
      <c r="H591" s="130"/>
      <c r="I591" s="130"/>
      <c r="J591" s="130"/>
      <c r="K591" s="130"/>
      <c r="L591" s="130"/>
      <c r="M591" s="130"/>
      <c r="N591" s="130"/>
      <c r="O591" s="41"/>
      <c r="P591" s="41"/>
    </row>
    <row r="592" spans="1:16" x14ac:dyDescent="0.2">
      <c r="A592" s="49" t="str">
        <v>0:00</v>
      </c>
      <c r="B592" s="108"/>
      <c r="C592" s="130"/>
      <c r="D592" s="130"/>
      <c r="E592" s="130"/>
      <c r="F592" s="130"/>
      <c r="G592" s="130"/>
      <c r="H592" s="130"/>
      <c r="I592" s="130"/>
      <c r="J592" s="130"/>
      <c r="K592" s="130"/>
      <c r="L592" s="130"/>
      <c r="M592" s="130"/>
      <c r="N592" s="130"/>
      <c r="O592" s="41"/>
      <c r="P592" s="41"/>
    </row>
    <row r="593" spans="1:16" x14ac:dyDescent="0.2">
      <c r="A593" s="49" t="str">
        <v>0:00</v>
      </c>
      <c r="B593" s="108"/>
      <c r="C593" s="130"/>
      <c r="D593" s="130"/>
      <c r="E593" s="130"/>
      <c r="F593" s="130"/>
      <c r="G593" s="130"/>
      <c r="H593" s="130"/>
      <c r="I593" s="130"/>
      <c r="J593" s="130"/>
      <c r="K593" s="130"/>
      <c r="L593" s="130"/>
      <c r="M593" s="130"/>
      <c r="N593" s="130"/>
      <c r="O593" s="41"/>
      <c r="P593" s="41"/>
    </row>
    <row r="594" spans="1:16" x14ac:dyDescent="0.2">
      <c r="A594" s="49" t="str">
        <v>0:00</v>
      </c>
      <c r="B594" s="108"/>
      <c r="C594" s="130"/>
      <c r="D594" s="130"/>
      <c r="E594" s="130"/>
      <c r="F594" s="130"/>
      <c r="G594" s="130"/>
      <c r="H594" s="130"/>
      <c r="I594" s="130"/>
      <c r="J594" s="130"/>
      <c r="K594" s="130"/>
      <c r="L594" s="130"/>
      <c r="M594" s="130"/>
      <c r="N594" s="130"/>
      <c r="O594" s="41"/>
      <c r="P594" s="41"/>
    </row>
    <row r="595" spans="1:16" x14ac:dyDescent="0.2">
      <c r="A595" s="49" t="str">
        <v>0:00</v>
      </c>
      <c r="B595" s="108"/>
      <c r="C595" s="130"/>
      <c r="D595" s="130"/>
      <c r="E595" s="130"/>
      <c r="F595" s="130"/>
      <c r="G595" s="130"/>
      <c r="H595" s="130"/>
      <c r="I595" s="130"/>
      <c r="J595" s="130"/>
      <c r="K595" s="130"/>
      <c r="L595" s="130"/>
      <c r="M595" s="130"/>
      <c r="N595" s="130"/>
      <c r="O595" s="41"/>
      <c r="P595" s="41"/>
    </row>
    <row r="596" spans="1:16" x14ac:dyDescent="0.2">
      <c r="A596" s="49" t="str">
        <v>0:00</v>
      </c>
      <c r="B596" s="108"/>
      <c r="C596" s="130"/>
      <c r="D596" s="130"/>
      <c r="E596" s="130"/>
      <c r="F596" s="130"/>
      <c r="G596" s="130"/>
      <c r="H596" s="130"/>
      <c r="I596" s="130"/>
      <c r="J596" s="130"/>
      <c r="K596" s="130"/>
      <c r="L596" s="130"/>
      <c r="M596" s="130"/>
      <c r="N596" s="130"/>
      <c r="O596" s="41"/>
      <c r="P596" s="41"/>
    </row>
    <row r="597" spans="1:16" x14ac:dyDescent="0.2">
      <c r="A597" s="49" t="str">
        <v>0:00</v>
      </c>
      <c r="B597" s="108"/>
      <c r="C597" s="130"/>
      <c r="D597" s="130"/>
      <c r="E597" s="130"/>
      <c r="F597" s="130"/>
      <c r="G597" s="130"/>
      <c r="H597" s="130"/>
      <c r="I597" s="130"/>
      <c r="J597" s="130"/>
      <c r="K597" s="130"/>
      <c r="L597" s="130"/>
      <c r="M597" s="130"/>
      <c r="N597" s="130"/>
      <c r="O597" s="41"/>
      <c r="P597" s="41"/>
    </row>
    <row r="598" spans="1:16" x14ac:dyDescent="0.2">
      <c r="A598" s="49" t="str">
        <v>0:00</v>
      </c>
      <c r="B598" s="108"/>
      <c r="C598" s="130"/>
      <c r="D598" s="130"/>
      <c r="E598" s="130"/>
      <c r="F598" s="130"/>
      <c r="G598" s="130"/>
      <c r="H598" s="130"/>
      <c r="I598" s="130"/>
      <c r="J598" s="130"/>
      <c r="K598" s="130"/>
      <c r="L598" s="130"/>
      <c r="M598" s="130"/>
      <c r="N598" s="130"/>
      <c r="O598" s="41"/>
      <c r="P598" s="41"/>
    </row>
    <row r="599" spans="1:16" x14ac:dyDescent="0.2">
      <c r="A599" s="49" t="str">
        <v>0:00</v>
      </c>
      <c r="B599" s="108"/>
      <c r="C599" s="130"/>
      <c r="D599" s="130"/>
      <c r="E599" s="130"/>
      <c r="F599" s="130"/>
      <c r="G599" s="130"/>
      <c r="H599" s="130"/>
      <c r="I599" s="130"/>
      <c r="J599" s="130"/>
      <c r="K599" s="130"/>
      <c r="L599" s="130"/>
      <c r="M599" s="130"/>
      <c r="N599" s="130"/>
      <c r="O599" s="41"/>
      <c r="P599" s="41"/>
    </row>
    <row r="600" spans="1:16" x14ac:dyDescent="0.2">
      <c r="A600" s="49" t="str">
        <v>0:00</v>
      </c>
      <c r="B600" s="108"/>
      <c r="C600" s="130"/>
      <c r="D600" s="130"/>
      <c r="E600" s="130"/>
      <c r="F600" s="130"/>
      <c r="G600" s="130"/>
      <c r="H600" s="130"/>
      <c r="I600" s="130"/>
      <c r="J600" s="130"/>
      <c r="K600" s="130"/>
      <c r="L600" s="130"/>
      <c r="M600" s="130"/>
      <c r="N600" s="130"/>
      <c r="O600" s="41"/>
      <c r="P600" s="41"/>
    </row>
    <row r="601" spans="1:16" x14ac:dyDescent="0.2">
      <c r="A601" s="49" t="str">
        <v>0:00</v>
      </c>
      <c r="B601" s="108"/>
      <c r="C601" s="130"/>
      <c r="D601" s="130"/>
      <c r="E601" s="130"/>
      <c r="F601" s="130"/>
      <c r="G601" s="130"/>
      <c r="H601" s="130"/>
      <c r="I601" s="130"/>
      <c r="J601" s="130"/>
      <c r="K601" s="130"/>
      <c r="L601" s="130"/>
      <c r="M601" s="130"/>
      <c r="N601" s="130"/>
      <c r="O601" s="41"/>
      <c r="P601" s="41"/>
    </row>
    <row r="602" spans="1:16" x14ac:dyDescent="0.2">
      <c r="A602" s="49" t="str">
        <v>0:00</v>
      </c>
      <c r="B602" s="108"/>
      <c r="C602" s="130"/>
      <c r="D602" s="130"/>
      <c r="E602" s="130"/>
      <c r="F602" s="130"/>
      <c r="G602" s="130"/>
      <c r="H602" s="130"/>
      <c r="I602" s="130"/>
      <c r="J602" s="130"/>
      <c r="K602" s="130"/>
      <c r="L602" s="130"/>
      <c r="M602" s="130"/>
      <c r="N602" s="130"/>
      <c r="O602" s="41"/>
      <c r="P602" s="41"/>
    </row>
    <row r="603" spans="1:16" x14ac:dyDescent="0.2">
      <c r="A603" s="49" t="str">
        <v>0:00</v>
      </c>
      <c r="B603" s="108"/>
      <c r="C603" s="130"/>
      <c r="D603" s="130"/>
      <c r="E603" s="130"/>
      <c r="F603" s="130"/>
      <c r="G603" s="130"/>
      <c r="H603" s="130"/>
      <c r="I603" s="130"/>
      <c r="J603" s="130"/>
      <c r="K603" s="130"/>
      <c r="L603" s="130"/>
      <c r="M603" s="130"/>
      <c r="N603" s="130"/>
      <c r="O603" s="41"/>
      <c r="P603" s="41"/>
    </row>
    <row r="604" spans="1:16" x14ac:dyDescent="0.2">
      <c r="A604" s="49" t="str">
        <v>0:00</v>
      </c>
      <c r="B604" s="108"/>
      <c r="C604" s="130"/>
      <c r="D604" s="130"/>
      <c r="E604" s="130"/>
      <c r="F604" s="130"/>
      <c r="G604" s="130"/>
      <c r="H604" s="130"/>
      <c r="I604" s="130"/>
      <c r="J604" s="130"/>
      <c r="K604" s="130"/>
      <c r="L604" s="130"/>
      <c r="M604" s="130"/>
      <c r="N604" s="130"/>
      <c r="O604" s="41"/>
      <c r="P604" s="41"/>
    </row>
    <row r="605" spans="1:16" x14ac:dyDescent="0.2">
      <c r="A605" s="49" t="str">
        <v>0:00</v>
      </c>
      <c r="B605" s="108"/>
      <c r="C605" s="130"/>
      <c r="D605" s="130"/>
      <c r="E605" s="130"/>
      <c r="F605" s="130"/>
      <c r="G605" s="130"/>
      <c r="H605" s="130"/>
      <c r="I605" s="130"/>
      <c r="J605" s="130"/>
      <c r="K605" s="130"/>
      <c r="L605" s="130"/>
      <c r="M605" s="130"/>
      <c r="N605" s="130"/>
      <c r="O605" s="41"/>
      <c r="P605" s="41"/>
    </row>
    <row r="606" spans="1:16" x14ac:dyDescent="0.2">
      <c r="A606" s="49" t="str">
        <v>0:00</v>
      </c>
      <c r="B606" s="108"/>
      <c r="C606" s="130"/>
      <c r="D606" s="130"/>
      <c r="E606" s="130"/>
      <c r="F606" s="130"/>
      <c r="G606" s="130"/>
      <c r="H606" s="130"/>
      <c r="I606" s="130"/>
      <c r="J606" s="130"/>
      <c r="K606" s="130"/>
      <c r="L606" s="130"/>
      <c r="M606" s="130"/>
      <c r="N606" s="130"/>
      <c r="O606" s="41"/>
      <c r="P606" s="41"/>
    </row>
    <row r="607" spans="1:16" x14ac:dyDescent="0.2">
      <c r="A607" s="49" t="str">
        <v>0:00</v>
      </c>
      <c r="B607" s="108"/>
      <c r="C607" s="130"/>
      <c r="D607" s="130"/>
      <c r="E607" s="130"/>
      <c r="F607" s="130"/>
      <c r="G607" s="130"/>
      <c r="H607" s="130"/>
      <c r="I607" s="130"/>
      <c r="J607" s="130"/>
      <c r="K607" s="130"/>
      <c r="L607" s="130"/>
      <c r="M607" s="130"/>
      <c r="N607" s="130"/>
      <c r="O607" s="41"/>
      <c r="P607" s="41"/>
    </row>
    <row r="608" spans="1:16" x14ac:dyDescent="0.2">
      <c r="A608" s="49" t="str">
        <v>0:00</v>
      </c>
      <c r="B608" s="108"/>
      <c r="C608" s="130"/>
      <c r="D608" s="130"/>
      <c r="E608" s="130"/>
      <c r="F608" s="130"/>
      <c r="G608" s="130"/>
      <c r="H608" s="130"/>
      <c r="I608" s="130"/>
      <c r="J608" s="130"/>
      <c r="K608" s="130"/>
      <c r="L608" s="130"/>
      <c r="M608" s="130"/>
      <c r="N608" s="130"/>
      <c r="O608" s="41"/>
      <c r="P608" s="41"/>
    </row>
    <row r="609" spans="1:16" x14ac:dyDescent="0.2">
      <c r="A609" s="49" t="str">
        <v>0:00</v>
      </c>
      <c r="B609" s="108"/>
      <c r="C609" s="130"/>
      <c r="D609" s="130"/>
      <c r="E609" s="130"/>
      <c r="F609" s="130"/>
      <c r="G609" s="130"/>
      <c r="H609" s="130"/>
      <c r="I609" s="130"/>
      <c r="J609" s="130"/>
      <c r="K609" s="130"/>
      <c r="L609" s="130"/>
      <c r="M609" s="130"/>
      <c r="N609" s="130"/>
      <c r="O609" s="41"/>
      <c r="P609" s="41"/>
    </row>
    <row r="610" spans="1:16" x14ac:dyDescent="0.2">
      <c r="A610" s="49" t="str">
        <v>0:00</v>
      </c>
      <c r="B610" s="108"/>
      <c r="C610" s="130"/>
      <c r="D610" s="130"/>
      <c r="E610" s="130"/>
      <c r="F610" s="130"/>
      <c r="G610" s="130"/>
      <c r="H610" s="130"/>
      <c r="I610" s="130"/>
      <c r="J610" s="130"/>
      <c r="K610" s="130"/>
      <c r="L610" s="130"/>
      <c r="M610" s="130"/>
      <c r="N610" s="130"/>
      <c r="O610" s="41"/>
      <c r="P610" s="41"/>
    </row>
    <row r="611" spans="1:16" x14ac:dyDescent="0.2">
      <c r="A611" s="49" t="str">
        <v>0:00</v>
      </c>
      <c r="B611" s="108"/>
      <c r="C611" s="130"/>
      <c r="D611" s="130"/>
      <c r="E611" s="130"/>
      <c r="F611" s="130"/>
      <c r="G611" s="130"/>
      <c r="H611" s="130"/>
      <c r="I611" s="130"/>
      <c r="J611" s="130"/>
      <c r="K611" s="130"/>
      <c r="L611" s="130"/>
      <c r="M611" s="130"/>
      <c r="N611" s="130"/>
      <c r="O611" s="41"/>
      <c r="P611" s="41"/>
    </row>
    <row r="612" spans="1:16" x14ac:dyDescent="0.2">
      <c r="A612" s="49" t="str">
        <v>0:00</v>
      </c>
      <c r="B612" s="108"/>
      <c r="C612" s="130"/>
      <c r="D612" s="130"/>
      <c r="E612" s="130"/>
      <c r="F612" s="130"/>
      <c r="G612" s="130"/>
      <c r="H612" s="130"/>
      <c r="I612" s="130"/>
      <c r="J612" s="130"/>
      <c r="K612" s="130"/>
      <c r="L612" s="130"/>
      <c r="M612" s="130"/>
      <c r="N612" s="130"/>
      <c r="O612" s="41"/>
      <c r="P612" s="41"/>
    </row>
    <row r="613" spans="1:16" x14ac:dyDescent="0.2">
      <c r="A613" s="49" t="str">
        <v>0:00</v>
      </c>
      <c r="B613" s="108"/>
      <c r="C613" s="130"/>
      <c r="D613" s="130"/>
      <c r="E613" s="130"/>
      <c r="F613" s="130"/>
      <c r="G613" s="130"/>
      <c r="H613" s="130"/>
      <c r="I613" s="130"/>
      <c r="J613" s="130"/>
      <c r="K613" s="130"/>
      <c r="L613" s="130"/>
      <c r="M613" s="130"/>
      <c r="N613" s="130"/>
      <c r="O613" s="41"/>
      <c r="P613" s="41"/>
    </row>
    <row r="614" spans="1:16" x14ac:dyDescent="0.2">
      <c r="A614" s="49" t="str">
        <v>0:00</v>
      </c>
      <c r="B614" s="108"/>
      <c r="C614" s="130"/>
      <c r="D614" s="130"/>
      <c r="E614" s="130"/>
      <c r="F614" s="130"/>
      <c r="G614" s="130"/>
      <c r="H614" s="130"/>
      <c r="I614" s="130"/>
      <c r="J614" s="130"/>
      <c r="K614" s="130"/>
      <c r="L614" s="130"/>
      <c r="M614" s="130"/>
      <c r="N614" s="130"/>
      <c r="O614" s="41"/>
      <c r="P614" s="41"/>
    </row>
    <row r="615" spans="1:16" x14ac:dyDescent="0.2">
      <c r="A615" s="49" t="str">
        <v>0:00</v>
      </c>
      <c r="B615" s="108"/>
      <c r="C615" s="130"/>
      <c r="D615" s="130"/>
      <c r="E615" s="130"/>
      <c r="F615" s="130"/>
      <c r="G615" s="130"/>
      <c r="H615" s="130"/>
      <c r="I615" s="130"/>
      <c r="J615" s="130"/>
      <c r="K615" s="130"/>
      <c r="L615" s="130"/>
      <c r="M615" s="130"/>
      <c r="N615" s="130"/>
      <c r="O615" s="41"/>
      <c r="P615" s="41"/>
    </row>
    <row r="616" spans="1:16" x14ac:dyDescent="0.2">
      <c r="A616" s="49" t="str">
        <v>0:00</v>
      </c>
      <c r="B616" s="108"/>
      <c r="C616" s="130"/>
      <c r="D616" s="130"/>
      <c r="E616" s="130"/>
      <c r="F616" s="130"/>
      <c r="G616" s="130"/>
      <c r="H616" s="130"/>
      <c r="I616" s="130"/>
      <c r="J616" s="130"/>
      <c r="K616" s="130"/>
      <c r="L616" s="130"/>
      <c r="M616" s="130"/>
      <c r="N616" s="130"/>
      <c r="O616" s="41"/>
      <c r="P616" s="41"/>
    </row>
    <row r="617" spans="1:16" x14ac:dyDescent="0.2">
      <c r="A617" s="49" t="str">
        <v>0:00</v>
      </c>
      <c r="B617" s="108"/>
      <c r="C617" s="130"/>
      <c r="D617" s="130"/>
      <c r="E617" s="130"/>
      <c r="F617" s="130"/>
      <c r="G617" s="130"/>
      <c r="H617" s="130"/>
      <c r="I617" s="130"/>
      <c r="J617" s="130"/>
      <c r="K617" s="130"/>
      <c r="L617" s="130"/>
      <c r="M617" s="130"/>
      <c r="N617" s="130"/>
      <c r="O617" s="41"/>
      <c r="P617" s="41"/>
    </row>
    <row r="618" spans="1:16" x14ac:dyDescent="0.2">
      <c r="A618" s="49" t="str">
        <v>0:00</v>
      </c>
      <c r="B618" s="108"/>
      <c r="C618" s="130"/>
      <c r="D618" s="130"/>
      <c r="E618" s="130"/>
      <c r="F618" s="130"/>
      <c r="G618" s="130"/>
      <c r="H618" s="130"/>
      <c r="I618" s="130"/>
      <c r="J618" s="130"/>
      <c r="K618" s="130"/>
      <c r="L618" s="130"/>
      <c r="M618" s="130"/>
      <c r="N618" s="130"/>
      <c r="O618" s="41"/>
      <c r="P618" s="41"/>
    </row>
    <row r="619" spans="1:16" x14ac:dyDescent="0.2">
      <c r="A619" s="49" t="str">
        <v>0:00</v>
      </c>
      <c r="B619" s="108"/>
      <c r="C619" s="130"/>
      <c r="D619" s="130"/>
      <c r="E619" s="130"/>
      <c r="F619" s="130"/>
      <c r="G619" s="130"/>
      <c r="H619" s="130"/>
      <c r="I619" s="130"/>
      <c r="J619" s="130"/>
      <c r="K619" s="130"/>
      <c r="L619" s="130"/>
      <c r="M619" s="130"/>
      <c r="N619" s="130"/>
      <c r="O619" s="41"/>
      <c r="P619" s="41"/>
    </row>
    <row r="620" spans="1:16" x14ac:dyDescent="0.2">
      <c r="A620" s="49" t="str">
        <v>0:00</v>
      </c>
      <c r="B620" s="108"/>
      <c r="C620" s="130"/>
      <c r="D620" s="130"/>
      <c r="E620" s="130"/>
      <c r="F620" s="130"/>
      <c r="G620" s="130"/>
      <c r="H620" s="130"/>
      <c r="I620" s="130"/>
      <c r="J620" s="130"/>
      <c r="K620" s="130"/>
      <c r="L620" s="130"/>
      <c r="M620" s="130"/>
      <c r="N620" s="130"/>
      <c r="O620" s="41"/>
      <c r="P620" s="41"/>
    </row>
    <row r="621" spans="1:16" x14ac:dyDescent="0.2">
      <c r="A621" s="49" t="str">
        <v>0:00</v>
      </c>
      <c r="B621" s="108"/>
      <c r="C621" s="130"/>
      <c r="D621" s="130"/>
      <c r="E621" s="130"/>
      <c r="F621" s="130"/>
      <c r="G621" s="130"/>
      <c r="H621" s="130"/>
      <c r="I621" s="130"/>
      <c r="J621" s="130"/>
      <c r="K621" s="130"/>
      <c r="L621" s="130"/>
      <c r="M621" s="130"/>
      <c r="N621" s="130"/>
      <c r="O621" s="41"/>
      <c r="P621" s="41"/>
    </row>
    <row r="622" spans="1:16" x14ac:dyDescent="0.2">
      <c r="A622" s="49" t="str">
        <v>0:00</v>
      </c>
      <c r="B622" s="108"/>
      <c r="C622" s="130"/>
      <c r="D622" s="130"/>
      <c r="E622" s="130"/>
      <c r="F622" s="130"/>
      <c r="G622" s="130"/>
      <c r="H622" s="130"/>
      <c r="I622" s="130"/>
      <c r="J622" s="130"/>
      <c r="K622" s="130"/>
      <c r="L622" s="130"/>
      <c r="M622" s="130"/>
      <c r="N622" s="130"/>
      <c r="O622" s="41"/>
      <c r="P622" s="41"/>
    </row>
    <row r="623" spans="1:16" x14ac:dyDescent="0.2">
      <c r="A623" s="49" t="str">
        <v>0:00</v>
      </c>
      <c r="B623" s="108"/>
      <c r="C623" s="130"/>
      <c r="D623" s="130"/>
      <c r="E623" s="130"/>
      <c r="F623" s="130"/>
      <c r="G623" s="130"/>
      <c r="H623" s="130"/>
      <c r="I623" s="130"/>
      <c r="J623" s="130"/>
      <c r="K623" s="130"/>
      <c r="L623" s="130"/>
      <c r="M623" s="130"/>
      <c r="N623" s="130"/>
      <c r="O623" s="41"/>
      <c r="P623" s="41"/>
    </row>
    <row r="624" spans="1:16" x14ac:dyDescent="0.2">
      <c r="A624" s="49" t="str">
        <v>0:00</v>
      </c>
      <c r="B624" s="108"/>
      <c r="C624" s="130"/>
      <c r="D624" s="130"/>
      <c r="E624" s="130"/>
      <c r="F624" s="130"/>
      <c r="G624" s="130"/>
      <c r="H624" s="130"/>
      <c r="I624" s="130"/>
      <c r="J624" s="130"/>
      <c r="K624" s="130"/>
      <c r="L624" s="130"/>
      <c r="M624" s="130"/>
      <c r="N624" s="130"/>
      <c r="O624" s="41"/>
      <c r="P624" s="41"/>
    </row>
    <row r="625" spans="1:16" x14ac:dyDescent="0.2">
      <c r="A625" s="49" t="str">
        <v>0:00</v>
      </c>
      <c r="B625" s="108"/>
      <c r="C625" s="130"/>
      <c r="D625" s="130"/>
      <c r="E625" s="130"/>
      <c r="F625" s="130"/>
      <c r="G625" s="130"/>
      <c r="H625" s="130"/>
      <c r="I625" s="130"/>
      <c r="J625" s="130"/>
      <c r="K625" s="130"/>
      <c r="L625" s="130"/>
      <c r="M625" s="130"/>
      <c r="N625" s="130"/>
      <c r="O625" s="41"/>
      <c r="P625" s="41"/>
    </row>
    <row r="626" spans="1:16" x14ac:dyDescent="0.2">
      <c r="A626" s="49" t="str">
        <v>0:00</v>
      </c>
      <c r="B626" s="108"/>
      <c r="C626" s="130"/>
      <c r="D626" s="130"/>
      <c r="E626" s="130"/>
      <c r="F626" s="130"/>
      <c r="G626" s="130"/>
      <c r="H626" s="130"/>
      <c r="I626" s="130"/>
      <c r="J626" s="130"/>
      <c r="K626" s="130"/>
      <c r="L626" s="130"/>
      <c r="M626" s="130"/>
      <c r="N626" s="130"/>
      <c r="O626" s="41"/>
      <c r="P626" s="41"/>
    </row>
    <row r="627" spans="1:16" x14ac:dyDescent="0.2">
      <c r="A627" s="49" t="str">
        <v>0:00</v>
      </c>
      <c r="B627" s="108"/>
      <c r="C627" s="130"/>
      <c r="D627" s="130"/>
      <c r="E627" s="130"/>
      <c r="F627" s="130"/>
      <c r="G627" s="130"/>
      <c r="H627" s="130"/>
      <c r="I627" s="130"/>
      <c r="J627" s="130"/>
      <c r="K627" s="130"/>
      <c r="L627" s="130"/>
      <c r="M627" s="130"/>
      <c r="N627" s="130"/>
      <c r="O627" s="41"/>
      <c r="P627" s="41"/>
    </row>
    <row r="628" spans="1:16" x14ac:dyDescent="0.2">
      <c r="A628" s="49" t="str">
        <v>0:00</v>
      </c>
      <c r="B628" s="108"/>
      <c r="C628" s="130"/>
      <c r="D628" s="130"/>
      <c r="E628" s="130"/>
      <c r="F628" s="130"/>
      <c r="G628" s="130"/>
      <c r="H628" s="130"/>
      <c r="I628" s="130"/>
      <c r="J628" s="130"/>
      <c r="K628" s="130"/>
      <c r="L628" s="130"/>
      <c r="M628" s="130"/>
      <c r="N628" s="130"/>
      <c r="O628" s="41"/>
      <c r="P628" s="41"/>
    </row>
    <row r="629" spans="1:16" x14ac:dyDescent="0.2">
      <c r="A629" s="49" t="str">
        <v>0:00</v>
      </c>
      <c r="B629" s="108"/>
      <c r="C629" s="130"/>
      <c r="D629" s="130"/>
      <c r="E629" s="130"/>
      <c r="F629" s="130"/>
      <c r="G629" s="130"/>
      <c r="H629" s="130"/>
      <c r="I629" s="130"/>
      <c r="J629" s="130"/>
      <c r="K629" s="130"/>
      <c r="L629" s="130"/>
      <c r="M629" s="130"/>
      <c r="N629" s="130"/>
      <c r="O629" s="41"/>
      <c r="P629" s="41"/>
    </row>
    <row r="630" spans="1:16" x14ac:dyDescent="0.2">
      <c r="A630" s="49" t="str">
        <v>0:00</v>
      </c>
      <c r="B630" s="108"/>
      <c r="C630" s="130"/>
      <c r="D630" s="130"/>
      <c r="E630" s="130"/>
      <c r="F630" s="130"/>
      <c r="G630" s="130"/>
      <c r="H630" s="130"/>
      <c r="I630" s="130"/>
      <c r="J630" s="130"/>
      <c r="K630" s="130"/>
      <c r="L630" s="130"/>
      <c r="M630" s="130"/>
      <c r="N630" s="130"/>
      <c r="O630" s="41"/>
      <c r="P630" s="41"/>
    </row>
    <row r="631" spans="1:16" x14ac:dyDescent="0.2">
      <c r="A631" s="49" t="str">
        <v>0:00</v>
      </c>
      <c r="B631" s="108"/>
      <c r="C631" s="130"/>
      <c r="D631" s="130"/>
      <c r="E631" s="130"/>
      <c r="F631" s="130"/>
      <c r="G631" s="130"/>
      <c r="H631" s="130"/>
      <c r="I631" s="130"/>
      <c r="J631" s="130"/>
      <c r="K631" s="130"/>
      <c r="L631" s="130"/>
      <c r="M631" s="130"/>
      <c r="N631" s="130"/>
      <c r="O631" s="41"/>
      <c r="P631" s="41"/>
    </row>
    <row r="632" spans="1:16" x14ac:dyDescent="0.2">
      <c r="A632" s="49" t="str">
        <v>0:00</v>
      </c>
      <c r="B632" s="108"/>
      <c r="C632" s="130"/>
      <c r="D632" s="130"/>
      <c r="E632" s="130"/>
      <c r="F632" s="130"/>
      <c r="G632" s="130"/>
      <c r="H632" s="130"/>
      <c r="I632" s="130"/>
      <c r="J632" s="130"/>
      <c r="K632" s="130"/>
      <c r="L632" s="130"/>
      <c r="M632" s="130"/>
      <c r="N632" s="130"/>
      <c r="O632" s="41"/>
      <c r="P632" s="41"/>
    </row>
    <row r="633" spans="1:16" x14ac:dyDescent="0.2">
      <c r="A633" s="49" t="str">
        <v>0:00</v>
      </c>
      <c r="B633" s="108"/>
      <c r="C633" s="130"/>
      <c r="D633" s="130"/>
      <c r="E633" s="130"/>
      <c r="F633" s="130"/>
      <c r="G633" s="130"/>
      <c r="H633" s="130"/>
      <c r="I633" s="130"/>
      <c r="J633" s="130"/>
      <c r="K633" s="130"/>
      <c r="L633" s="130"/>
      <c r="M633" s="130"/>
      <c r="N633" s="130"/>
      <c r="O633" s="41"/>
      <c r="P633" s="41"/>
    </row>
    <row r="634" spans="1:16" x14ac:dyDescent="0.2">
      <c r="A634" s="49" t="str">
        <v>0:00</v>
      </c>
      <c r="B634" s="108"/>
      <c r="C634" s="130"/>
      <c r="D634" s="130"/>
      <c r="E634" s="130"/>
      <c r="F634" s="130"/>
      <c r="G634" s="130"/>
      <c r="H634" s="130"/>
      <c r="I634" s="130"/>
      <c r="J634" s="130"/>
      <c r="K634" s="130"/>
      <c r="L634" s="130"/>
      <c r="M634" s="130"/>
      <c r="N634" s="130"/>
      <c r="O634" s="41"/>
      <c r="P634" s="41"/>
    </row>
    <row r="635" spans="1:16" x14ac:dyDescent="0.2">
      <c r="A635" s="49" t="str">
        <v>0:00</v>
      </c>
      <c r="B635" s="108"/>
      <c r="C635" s="130"/>
      <c r="D635" s="130"/>
      <c r="E635" s="130"/>
      <c r="F635" s="130"/>
      <c r="G635" s="130"/>
      <c r="H635" s="130"/>
      <c r="I635" s="130"/>
      <c r="J635" s="130"/>
      <c r="K635" s="130"/>
      <c r="L635" s="130"/>
      <c r="M635" s="130"/>
      <c r="N635" s="130"/>
      <c r="O635" s="41"/>
      <c r="P635" s="41"/>
    </row>
    <row r="636" spans="1:16" x14ac:dyDescent="0.2">
      <c r="A636" s="49" t="str">
        <v>0:00</v>
      </c>
      <c r="B636" s="108"/>
      <c r="C636" s="130"/>
      <c r="D636" s="130"/>
      <c r="E636" s="130"/>
      <c r="F636" s="130"/>
      <c r="G636" s="130"/>
      <c r="H636" s="130"/>
      <c r="I636" s="130"/>
      <c r="J636" s="130"/>
      <c r="K636" s="130"/>
      <c r="L636" s="130"/>
      <c r="M636" s="130"/>
      <c r="N636" s="130"/>
      <c r="O636" s="41"/>
      <c r="P636" s="41"/>
    </row>
    <row r="637" spans="1:16" x14ac:dyDescent="0.2">
      <c r="A637" s="49" t="str">
        <v>0:00</v>
      </c>
      <c r="B637" s="108"/>
      <c r="C637" s="130"/>
      <c r="D637" s="130"/>
      <c r="E637" s="130"/>
      <c r="F637" s="130"/>
      <c r="G637" s="130"/>
      <c r="H637" s="130"/>
      <c r="I637" s="130"/>
      <c r="J637" s="130"/>
      <c r="K637" s="130"/>
      <c r="L637" s="130"/>
      <c r="M637" s="130"/>
      <c r="N637" s="130"/>
      <c r="O637" s="41"/>
      <c r="P637" s="41"/>
    </row>
    <row r="638" spans="1:16" x14ac:dyDescent="0.2">
      <c r="A638" s="49" t="str">
        <v>0:00</v>
      </c>
      <c r="B638" s="108"/>
      <c r="C638" s="130"/>
      <c r="D638" s="130"/>
      <c r="E638" s="130"/>
      <c r="F638" s="130"/>
      <c r="G638" s="130"/>
      <c r="H638" s="130"/>
      <c r="I638" s="130"/>
      <c r="J638" s="130"/>
      <c r="K638" s="130"/>
      <c r="L638" s="130"/>
      <c r="M638" s="130"/>
      <c r="N638" s="130"/>
      <c r="O638" s="41"/>
      <c r="P638" s="41"/>
    </row>
    <row r="639" spans="1:16" x14ac:dyDescent="0.2">
      <c r="A639" s="49" t="str">
        <v>0:00</v>
      </c>
      <c r="B639" s="108"/>
      <c r="C639" s="130"/>
      <c r="D639" s="130"/>
      <c r="E639" s="130"/>
      <c r="F639" s="130"/>
      <c r="G639" s="130"/>
      <c r="H639" s="130"/>
      <c r="I639" s="130"/>
      <c r="J639" s="130"/>
      <c r="K639" s="130"/>
      <c r="L639" s="130"/>
      <c r="M639" s="130"/>
      <c r="N639" s="130"/>
      <c r="O639" s="41"/>
      <c r="P639" s="41"/>
    </row>
    <row r="640" spans="1:16" x14ac:dyDescent="0.2">
      <c r="A640" s="49" t="str">
        <v>0:00</v>
      </c>
      <c r="B640" s="108"/>
      <c r="C640" s="130"/>
      <c r="D640" s="130"/>
      <c r="E640" s="130"/>
      <c r="F640" s="130"/>
      <c r="G640" s="130"/>
      <c r="H640" s="130"/>
      <c r="I640" s="130"/>
      <c r="J640" s="130"/>
      <c r="K640" s="130"/>
      <c r="L640" s="130"/>
      <c r="M640" s="130"/>
      <c r="N640" s="130"/>
      <c r="O640" s="41"/>
      <c r="P640" s="41"/>
    </row>
    <row r="641" spans="1:16" x14ac:dyDescent="0.2">
      <c r="A641" s="49" t="str">
        <v>0:00</v>
      </c>
      <c r="B641" s="108"/>
      <c r="C641" s="130"/>
      <c r="D641" s="130"/>
      <c r="E641" s="130"/>
      <c r="F641" s="130"/>
      <c r="G641" s="130"/>
      <c r="H641" s="130"/>
      <c r="I641" s="130"/>
      <c r="J641" s="130"/>
      <c r="K641" s="130"/>
      <c r="L641" s="130"/>
      <c r="M641" s="130"/>
      <c r="N641" s="130"/>
      <c r="O641" s="41"/>
      <c r="P641" s="41"/>
    </row>
    <row r="642" spans="1:16" x14ac:dyDescent="0.2">
      <c r="A642" s="49" t="str">
        <v>0:00</v>
      </c>
      <c r="B642" s="108"/>
      <c r="C642" s="130"/>
      <c r="D642" s="130"/>
      <c r="E642" s="130"/>
      <c r="F642" s="130"/>
      <c r="G642" s="130"/>
      <c r="H642" s="130"/>
      <c r="I642" s="130"/>
      <c r="J642" s="130"/>
      <c r="K642" s="130"/>
      <c r="L642" s="130"/>
      <c r="M642" s="130"/>
      <c r="N642" s="130"/>
      <c r="O642" s="41"/>
      <c r="P642" s="41"/>
    </row>
    <row r="643" spans="1:16" x14ac:dyDescent="0.2">
      <c r="A643" s="49" t="str">
        <v>0:00</v>
      </c>
      <c r="B643" s="108"/>
      <c r="C643" s="130"/>
      <c r="D643" s="130"/>
      <c r="E643" s="130"/>
      <c r="F643" s="130"/>
      <c r="G643" s="130"/>
      <c r="H643" s="130"/>
      <c r="I643" s="130"/>
      <c r="J643" s="130"/>
      <c r="K643" s="130"/>
      <c r="L643" s="130"/>
      <c r="M643" s="130"/>
      <c r="N643" s="130"/>
      <c r="O643" s="41"/>
      <c r="P643" s="41"/>
    </row>
    <row r="644" spans="1:16" x14ac:dyDescent="0.2">
      <c r="A644" s="49" t="str">
        <v>0:00</v>
      </c>
      <c r="B644" s="108"/>
      <c r="C644" s="130"/>
      <c r="D644" s="130"/>
      <c r="E644" s="130"/>
      <c r="F644" s="130"/>
      <c r="G644" s="130"/>
      <c r="H644" s="130"/>
      <c r="I644" s="130"/>
      <c r="J644" s="130"/>
      <c r="K644" s="130"/>
      <c r="L644" s="130"/>
      <c r="M644" s="130"/>
      <c r="N644" s="130"/>
      <c r="O644" s="41"/>
      <c r="P644" s="41"/>
    </row>
    <row r="645" spans="1:16" x14ac:dyDescent="0.2">
      <c r="A645" s="49" t="str">
        <v>0:00</v>
      </c>
      <c r="B645" s="108"/>
      <c r="C645" s="130"/>
      <c r="D645" s="130"/>
      <c r="E645" s="130"/>
      <c r="F645" s="130"/>
      <c r="G645" s="130"/>
      <c r="H645" s="130"/>
      <c r="I645" s="130"/>
      <c r="J645" s="130"/>
      <c r="K645" s="130"/>
      <c r="L645" s="130"/>
      <c r="M645" s="130"/>
      <c r="N645" s="130"/>
      <c r="O645" s="41"/>
      <c r="P645" s="41"/>
    </row>
    <row r="646" spans="1:16" x14ac:dyDescent="0.2">
      <c r="A646" s="49" t="str">
        <v>0:00</v>
      </c>
      <c r="B646" s="108"/>
      <c r="C646" s="130"/>
      <c r="D646" s="130"/>
      <c r="E646" s="130"/>
      <c r="F646" s="130"/>
      <c r="G646" s="130"/>
      <c r="H646" s="130"/>
      <c r="I646" s="130"/>
      <c r="J646" s="130"/>
      <c r="K646" s="130"/>
      <c r="L646" s="130"/>
      <c r="M646" s="130"/>
      <c r="N646" s="130"/>
      <c r="O646" s="41"/>
      <c r="P646" s="41"/>
    </row>
    <row r="647" spans="1:16" x14ac:dyDescent="0.2">
      <c r="A647" s="49" t="str">
        <v>0:00</v>
      </c>
      <c r="B647" s="108"/>
      <c r="C647" s="130"/>
      <c r="D647" s="130"/>
      <c r="E647" s="130"/>
      <c r="F647" s="130"/>
      <c r="G647" s="130"/>
      <c r="H647" s="130"/>
      <c r="I647" s="130"/>
      <c r="J647" s="130"/>
      <c r="K647" s="130"/>
      <c r="L647" s="130"/>
      <c r="M647" s="130"/>
      <c r="N647" s="130"/>
      <c r="O647" s="41"/>
      <c r="P647" s="41"/>
    </row>
    <row r="648" spans="1:16" x14ac:dyDescent="0.2">
      <c r="A648" s="49" t="str">
        <v>0:00</v>
      </c>
      <c r="B648" s="108"/>
      <c r="C648" s="130"/>
      <c r="D648" s="130"/>
      <c r="E648" s="130"/>
      <c r="F648" s="130"/>
      <c r="G648" s="130"/>
      <c r="H648" s="130"/>
      <c r="I648" s="130"/>
      <c r="J648" s="130"/>
      <c r="K648" s="130"/>
      <c r="L648" s="130"/>
      <c r="M648" s="130"/>
      <c r="N648" s="130"/>
      <c r="O648" s="41"/>
      <c r="P648" s="41"/>
    </row>
    <row r="649" spans="1:16" x14ac:dyDescent="0.2">
      <c r="A649" s="49" t="str">
        <v>0:00</v>
      </c>
      <c r="B649" s="108"/>
      <c r="C649" s="130"/>
      <c r="D649" s="130"/>
      <c r="E649" s="130"/>
      <c r="F649" s="130"/>
      <c r="G649" s="130"/>
      <c r="H649" s="130"/>
      <c r="I649" s="130"/>
      <c r="J649" s="130"/>
      <c r="K649" s="130"/>
      <c r="L649" s="130"/>
      <c r="M649" s="130"/>
      <c r="N649" s="130"/>
      <c r="O649" s="41"/>
      <c r="P649" s="41"/>
    </row>
    <row r="650" spans="1:16" x14ac:dyDescent="0.2">
      <c r="A650" s="49" t="str">
        <v>0:00</v>
      </c>
      <c r="B650" s="108"/>
      <c r="C650" s="130"/>
      <c r="D650" s="130"/>
      <c r="E650" s="130"/>
      <c r="F650" s="130"/>
      <c r="G650" s="130"/>
      <c r="H650" s="130"/>
      <c r="I650" s="130"/>
      <c r="J650" s="130"/>
      <c r="K650" s="130"/>
      <c r="L650" s="130"/>
      <c r="M650" s="130"/>
      <c r="N650" s="130"/>
      <c r="O650" s="41"/>
      <c r="P650" s="41"/>
    </row>
    <row r="651" spans="1:16" x14ac:dyDescent="0.2">
      <c r="A651" s="49" t="str">
        <v>0:00</v>
      </c>
      <c r="B651" s="108"/>
      <c r="C651" s="130"/>
      <c r="D651" s="130"/>
      <c r="E651" s="130"/>
      <c r="F651" s="130"/>
      <c r="G651" s="130"/>
      <c r="H651" s="130"/>
      <c r="I651" s="130"/>
      <c r="J651" s="130"/>
      <c r="K651" s="130"/>
      <c r="L651" s="130"/>
      <c r="M651" s="130"/>
      <c r="N651" s="130"/>
      <c r="O651" s="41"/>
      <c r="P651" s="41"/>
    </row>
    <row r="652" spans="1:16" x14ac:dyDescent="0.2">
      <c r="A652" s="49" t="str">
        <v>0:00</v>
      </c>
      <c r="B652" s="108"/>
      <c r="C652" s="130"/>
      <c r="D652" s="130"/>
      <c r="E652" s="130"/>
      <c r="F652" s="130"/>
      <c r="G652" s="130"/>
      <c r="H652" s="130"/>
      <c r="I652" s="130"/>
      <c r="J652" s="130"/>
      <c r="K652" s="130"/>
      <c r="L652" s="130"/>
      <c r="M652" s="130"/>
      <c r="N652" s="130"/>
      <c r="O652" s="41"/>
      <c r="P652" s="41"/>
    </row>
    <row r="653" spans="1:16" x14ac:dyDescent="0.2">
      <c r="A653" s="49" t="str">
        <v>0:00</v>
      </c>
      <c r="B653" s="108"/>
      <c r="C653" s="130"/>
      <c r="D653" s="130"/>
      <c r="E653" s="130"/>
      <c r="F653" s="130"/>
      <c r="G653" s="130"/>
      <c r="H653" s="130"/>
      <c r="I653" s="130"/>
      <c r="J653" s="130"/>
      <c r="K653" s="130"/>
      <c r="L653" s="130"/>
      <c r="M653" s="130"/>
      <c r="N653" s="130"/>
      <c r="O653" s="41"/>
      <c r="P653" s="41"/>
    </row>
    <row r="654" spans="1:16" x14ac:dyDescent="0.2">
      <c r="A654" s="49" t="str">
        <v>0:00</v>
      </c>
      <c r="B654" s="108"/>
      <c r="C654" s="130"/>
      <c r="D654" s="130"/>
      <c r="E654" s="130"/>
      <c r="F654" s="130"/>
      <c r="G654" s="130"/>
      <c r="H654" s="130"/>
      <c r="I654" s="130"/>
      <c r="J654" s="130"/>
      <c r="K654" s="130"/>
      <c r="L654" s="130"/>
      <c r="M654" s="130"/>
      <c r="N654" s="130"/>
      <c r="O654" s="41"/>
      <c r="P654" s="41"/>
    </row>
    <row r="655" spans="1:16" x14ac:dyDescent="0.2">
      <c r="A655" s="49" t="str">
        <v>0:00</v>
      </c>
      <c r="B655" s="108"/>
      <c r="C655" s="130"/>
      <c r="D655" s="130"/>
      <c r="E655" s="130"/>
      <c r="F655" s="130"/>
      <c r="G655" s="130"/>
      <c r="H655" s="130"/>
      <c r="I655" s="130"/>
      <c r="J655" s="130"/>
      <c r="K655" s="130"/>
      <c r="L655" s="130"/>
      <c r="M655" s="130"/>
      <c r="N655" s="130"/>
      <c r="O655" s="41"/>
      <c r="P655" s="41"/>
    </row>
    <row r="656" spans="1:16" x14ac:dyDescent="0.2">
      <c r="A656" s="49" t="str">
        <v>0:00</v>
      </c>
      <c r="B656" s="108"/>
      <c r="C656" s="130"/>
      <c r="D656" s="130"/>
      <c r="E656" s="130"/>
      <c r="F656" s="130"/>
      <c r="G656" s="130"/>
      <c r="H656" s="130"/>
      <c r="I656" s="130"/>
      <c r="J656" s="130"/>
      <c r="K656" s="130"/>
      <c r="L656" s="130"/>
      <c r="M656" s="130"/>
      <c r="N656" s="130"/>
      <c r="O656" s="41"/>
      <c r="P656" s="41"/>
    </row>
    <row r="657" spans="1:16" x14ac:dyDescent="0.2">
      <c r="A657" s="49" t="str">
        <v>0:00</v>
      </c>
      <c r="B657" s="108"/>
      <c r="C657" s="130"/>
      <c r="D657" s="130"/>
      <c r="E657" s="130"/>
      <c r="F657" s="130"/>
      <c r="G657" s="130"/>
      <c r="H657" s="130"/>
      <c r="I657" s="130"/>
      <c r="J657" s="130"/>
      <c r="K657" s="130"/>
      <c r="L657" s="130"/>
      <c r="M657" s="130"/>
      <c r="N657" s="130"/>
      <c r="O657" s="41"/>
      <c r="P657" s="41"/>
    </row>
    <row r="658" spans="1:16" x14ac:dyDescent="0.2">
      <c r="A658" s="49" t="str">
        <v>0:00</v>
      </c>
      <c r="B658" s="108"/>
      <c r="C658" s="130"/>
      <c r="D658" s="130"/>
      <c r="E658" s="130"/>
      <c r="F658" s="130"/>
      <c r="G658" s="130"/>
      <c r="H658" s="130"/>
      <c r="I658" s="130"/>
      <c r="J658" s="130"/>
      <c r="K658" s="130"/>
      <c r="L658" s="130"/>
      <c r="M658" s="130"/>
      <c r="N658" s="130"/>
      <c r="O658" s="41"/>
      <c r="P658" s="41"/>
    </row>
    <row r="659" spans="1:16" x14ac:dyDescent="0.2">
      <c r="A659" s="49" t="str">
        <v>0:00</v>
      </c>
      <c r="B659" s="108"/>
      <c r="C659" s="130"/>
      <c r="D659" s="130"/>
      <c r="E659" s="130"/>
      <c r="F659" s="130"/>
      <c r="G659" s="130"/>
      <c r="H659" s="130"/>
      <c r="I659" s="130"/>
      <c r="J659" s="130"/>
      <c r="K659" s="130"/>
      <c r="L659" s="130"/>
      <c r="M659" s="130"/>
      <c r="N659" s="130"/>
      <c r="O659" s="41"/>
      <c r="P659" s="41"/>
    </row>
    <row r="660" spans="1:16" x14ac:dyDescent="0.2">
      <c r="A660" s="49" t="str">
        <v>0:00</v>
      </c>
      <c r="B660" s="108"/>
      <c r="C660" s="130"/>
      <c r="D660" s="130"/>
      <c r="E660" s="130"/>
      <c r="F660" s="130"/>
      <c r="G660" s="130"/>
      <c r="H660" s="130"/>
      <c r="I660" s="130"/>
      <c r="J660" s="130"/>
      <c r="K660" s="130"/>
      <c r="L660" s="130"/>
      <c r="M660" s="130"/>
      <c r="N660" s="130"/>
      <c r="O660" s="41"/>
      <c r="P660" s="41"/>
    </row>
    <row r="661" spans="1:16" x14ac:dyDescent="0.2">
      <c r="A661" s="49" t="str">
        <v>0:00</v>
      </c>
      <c r="B661" s="108"/>
      <c r="C661" s="130"/>
      <c r="D661" s="130"/>
      <c r="E661" s="130"/>
      <c r="F661" s="130"/>
      <c r="G661" s="130"/>
      <c r="H661" s="130"/>
      <c r="I661" s="130"/>
      <c r="J661" s="130"/>
      <c r="K661" s="130"/>
      <c r="L661" s="130"/>
      <c r="M661" s="130"/>
      <c r="N661" s="130"/>
      <c r="O661" s="41"/>
      <c r="P661" s="41"/>
    </row>
    <row r="662" spans="1:16" x14ac:dyDescent="0.2">
      <c r="A662" s="49" t="str">
        <v>0:00</v>
      </c>
      <c r="B662" s="108"/>
      <c r="C662" s="130"/>
      <c r="D662" s="130"/>
      <c r="E662" s="130"/>
      <c r="F662" s="130"/>
      <c r="G662" s="130"/>
      <c r="H662" s="130"/>
      <c r="I662" s="130"/>
      <c r="J662" s="130"/>
      <c r="K662" s="130"/>
      <c r="L662" s="130"/>
      <c r="M662" s="130"/>
      <c r="N662" s="130"/>
      <c r="O662" s="41"/>
      <c r="P662" s="41"/>
    </row>
    <row r="663" spans="1:16" x14ac:dyDescent="0.2">
      <c r="A663" s="49" t="str">
        <v>0:00</v>
      </c>
      <c r="B663" s="108"/>
      <c r="C663" s="130"/>
      <c r="D663" s="130"/>
      <c r="E663" s="130"/>
      <c r="F663" s="130"/>
      <c r="G663" s="130"/>
      <c r="H663" s="130"/>
      <c r="I663" s="130"/>
      <c r="J663" s="130"/>
      <c r="K663" s="130"/>
      <c r="L663" s="130"/>
      <c r="M663" s="130"/>
      <c r="N663" s="130"/>
      <c r="O663" s="41"/>
      <c r="P663" s="41"/>
    </row>
    <row r="664" spans="1:16" x14ac:dyDescent="0.2">
      <c r="A664" s="49" t="str">
        <v>0:00</v>
      </c>
      <c r="B664" s="108"/>
      <c r="C664" s="130"/>
      <c r="D664" s="130"/>
      <c r="E664" s="130"/>
      <c r="F664" s="130"/>
      <c r="G664" s="130"/>
      <c r="H664" s="130"/>
      <c r="I664" s="130"/>
      <c r="J664" s="130"/>
      <c r="K664" s="130"/>
      <c r="L664" s="130"/>
      <c r="M664" s="130"/>
      <c r="N664" s="130"/>
      <c r="O664" s="41"/>
      <c r="P664" s="41"/>
    </row>
    <row r="665" spans="1:16" x14ac:dyDescent="0.2">
      <c r="A665" s="49" t="str">
        <v>0:00</v>
      </c>
      <c r="B665" s="108"/>
      <c r="C665" s="130"/>
      <c r="D665" s="130"/>
      <c r="E665" s="130"/>
      <c r="F665" s="130"/>
      <c r="G665" s="130"/>
      <c r="H665" s="130"/>
      <c r="I665" s="130"/>
      <c r="J665" s="130"/>
      <c r="K665" s="130"/>
      <c r="L665" s="130"/>
      <c r="M665" s="130"/>
      <c r="N665" s="130"/>
      <c r="O665" s="41"/>
      <c r="P665" s="41"/>
    </row>
    <row r="666" spans="1:16" x14ac:dyDescent="0.2">
      <c r="A666" s="49" t="str">
        <v>0:00</v>
      </c>
      <c r="B666" s="108"/>
      <c r="C666" s="130"/>
      <c r="D666" s="130"/>
      <c r="E666" s="130"/>
      <c r="F666" s="130"/>
      <c r="G666" s="130"/>
      <c r="H666" s="130"/>
      <c r="I666" s="130"/>
      <c r="J666" s="130"/>
      <c r="K666" s="130"/>
      <c r="L666" s="130"/>
      <c r="M666" s="130"/>
      <c r="N666" s="130"/>
      <c r="O666" s="41"/>
      <c r="P666" s="41"/>
    </row>
    <row r="667" spans="1:16" x14ac:dyDescent="0.2">
      <c r="A667" s="49" t="str">
        <v>0:00</v>
      </c>
      <c r="B667" s="108"/>
      <c r="C667" s="130"/>
      <c r="D667" s="130"/>
      <c r="E667" s="130"/>
      <c r="F667" s="130"/>
      <c r="G667" s="130"/>
      <c r="H667" s="130"/>
      <c r="I667" s="130"/>
      <c r="J667" s="130"/>
      <c r="K667" s="130"/>
      <c r="L667" s="130"/>
      <c r="M667" s="130"/>
      <c r="N667" s="130"/>
      <c r="O667" s="41"/>
      <c r="P667" s="41"/>
    </row>
    <row r="668" spans="1:16" x14ac:dyDescent="0.2">
      <c r="A668" s="49" t="str">
        <v>0:00</v>
      </c>
      <c r="B668" s="108"/>
      <c r="C668" s="130"/>
      <c r="D668" s="130"/>
      <c r="E668" s="130"/>
      <c r="F668" s="130"/>
      <c r="G668" s="130"/>
      <c r="H668" s="130"/>
      <c r="I668" s="130"/>
      <c r="J668" s="130"/>
      <c r="K668" s="130"/>
      <c r="L668" s="130"/>
      <c r="M668" s="130"/>
      <c r="N668" s="130"/>
      <c r="O668" s="41"/>
      <c r="P668" s="41"/>
    </row>
    <row r="669" spans="1:16" x14ac:dyDescent="0.2">
      <c r="A669" s="49" t="str">
        <v>0:00</v>
      </c>
      <c r="B669" s="108"/>
      <c r="C669" s="130"/>
      <c r="D669" s="130"/>
      <c r="E669" s="130"/>
      <c r="F669" s="130"/>
      <c r="G669" s="130"/>
      <c r="H669" s="130"/>
      <c r="I669" s="130"/>
      <c r="J669" s="130"/>
      <c r="K669" s="130"/>
      <c r="L669" s="130"/>
      <c r="M669" s="130"/>
      <c r="N669" s="130"/>
      <c r="O669" s="41"/>
      <c r="P669" s="41"/>
    </row>
    <row r="670" spans="1:16" x14ac:dyDescent="0.2">
      <c r="A670" s="49" t="str">
        <v>0:00</v>
      </c>
      <c r="B670" s="108"/>
      <c r="C670" s="130"/>
      <c r="D670" s="130"/>
      <c r="E670" s="130"/>
      <c r="F670" s="130"/>
      <c r="G670" s="130"/>
      <c r="H670" s="130"/>
      <c r="I670" s="130"/>
      <c r="J670" s="130"/>
      <c r="K670" s="130"/>
      <c r="L670" s="130"/>
      <c r="M670" s="130"/>
      <c r="N670" s="130"/>
      <c r="O670" s="41"/>
      <c r="P670" s="41"/>
    </row>
    <row r="671" spans="1:16" x14ac:dyDescent="0.2">
      <c r="A671" s="49" t="str">
        <v>0:00</v>
      </c>
      <c r="B671" s="108"/>
      <c r="C671" s="130"/>
      <c r="D671" s="130"/>
      <c r="E671" s="130"/>
      <c r="F671" s="130"/>
      <c r="G671" s="130"/>
      <c r="H671" s="130"/>
      <c r="I671" s="130"/>
      <c r="J671" s="130"/>
      <c r="K671" s="130"/>
      <c r="L671" s="130"/>
      <c r="M671" s="130"/>
      <c r="N671" s="130"/>
      <c r="O671" s="41"/>
      <c r="P671" s="41"/>
    </row>
    <row r="672" spans="1:16" x14ac:dyDescent="0.2">
      <c r="A672" s="49" t="str">
        <v>0:00</v>
      </c>
      <c r="B672" s="108"/>
      <c r="C672" s="130"/>
      <c r="D672" s="130"/>
      <c r="E672" s="130"/>
      <c r="F672" s="130"/>
      <c r="G672" s="130"/>
      <c r="H672" s="130"/>
      <c r="I672" s="130"/>
      <c r="J672" s="130"/>
      <c r="K672" s="130"/>
      <c r="L672" s="130"/>
      <c r="M672" s="130"/>
      <c r="N672" s="130"/>
      <c r="O672" s="41"/>
      <c r="P672" s="41"/>
    </row>
    <row r="673" spans="1:16" x14ac:dyDescent="0.2">
      <c r="A673" s="49" t="str">
        <v>0:00</v>
      </c>
      <c r="B673" s="108"/>
      <c r="C673" s="130"/>
      <c r="D673" s="130"/>
      <c r="E673" s="130"/>
      <c r="F673" s="130"/>
      <c r="G673" s="130"/>
      <c r="H673" s="130"/>
      <c r="I673" s="130"/>
      <c r="J673" s="130"/>
      <c r="K673" s="130"/>
      <c r="L673" s="130"/>
      <c r="M673" s="130"/>
      <c r="N673" s="130"/>
      <c r="O673" s="41"/>
      <c r="P673" s="41"/>
    </row>
    <row r="674" spans="1:16" x14ac:dyDescent="0.2">
      <c r="A674" s="49" t="str">
        <v>0:00</v>
      </c>
      <c r="B674" s="108"/>
      <c r="C674" s="130"/>
      <c r="D674" s="130"/>
      <c r="E674" s="130"/>
      <c r="F674" s="130"/>
      <c r="G674" s="130"/>
      <c r="H674" s="130"/>
      <c r="I674" s="130"/>
      <c r="J674" s="130"/>
      <c r="K674" s="130"/>
      <c r="L674" s="130"/>
      <c r="M674" s="130"/>
      <c r="N674" s="130"/>
      <c r="O674" s="41"/>
      <c r="P674" s="41"/>
    </row>
    <row r="675" spans="1:16" x14ac:dyDescent="0.2">
      <c r="A675" s="49" t="str">
        <v>0:00</v>
      </c>
      <c r="B675" s="108"/>
      <c r="C675" s="130"/>
      <c r="D675" s="130"/>
      <c r="E675" s="130"/>
      <c r="F675" s="130"/>
      <c r="G675" s="130"/>
      <c r="H675" s="130"/>
      <c r="I675" s="130"/>
      <c r="J675" s="130"/>
      <c r="K675" s="130"/>
      <c r="L675" s="130"/>
      <c r="M675" s="130"/>
      <c r="N675" s="130"/>
      <c r="O675" s="41"/>
      <c r="P675" s="41"/>
    </row>
    <row r="676" spans="1:16" x14ac:dyDescent="0.2">
      <c r="A676" s="49" t="str">
        <v>0:00</v>
      </c>
      <c r="B676" s="108"/>
      <c r="C676" s="130"/>
      <c r="D676" s="130"/>
      <c r="E676" s="130"/>
      <c r="F676" s="130"/>
      <c r="G676" s="130"/>
      <c r="H676" s="130"/>
      <c r="I676" s="130"/>
      <c r="J676" s="130"/>
      <c r="K676" s="130"/>
      <c r="L676" s="130"/>
      <c r="M676" s="130"/>
      <c r="N676" s="130"/>
      <c r="O676" s="41"/>
      <c r="P676" s="41"/>
    </row>
    <row r="677" spans="1:16" x14ac:dyDescent="0.2">
      <c r="A677" s="49" t="str">
        <v>0:00</v>
      </c>
      <c r="B677" s="108"/>
      <c r="C677" s="130"/>
      <c r="D677" s="130"/>
      <c r="E677" s="130"/>
      <c r="F677" s="130"/>
      <c r="G677" s="130"/>
      <c r="H677" s="130"/>
      <c r="I677" s="130"/>
      <c r="J677" s="130"/>
      <c r="K677" s="130"/>
      <c r="L677" s="130"/>
      <c r="M677" s="130"/>
      <c r="N677" s="130"/>
      <c r="O677" s="41"/>
      <c r="P677" s="41"/>
    </row>
    <row r="678" spans="1:16" x14ac:dyDescent="0.2">
      <c r="A678" s="49" t="str">
        <v>0:00</v>
      </c>
      <c r="B678" s="108"/>
      <c r="C678" s="130"/>
      <c r="D678" s="130"/>
      <c r="E678" s="130"/>
      <c r="F678" s="130"/>
      <c r="G678" s="130"/>
      <c r="H678" s="130"/>
      <c r="I678" s="130"/>
      <c r="J678" s="130"/>
      <c r="K678" s="130"/>
      <c r="L678" s="130"/>
      <c r="M678" s="130"/>
      <c r="N678" s="130"/>
      <c r="O678" s="41"/>
      <c r="P678" s="41"/>
    </row>
    <row r="679" spans="1:16" x14ac:dyDescent="0.2">
      <c r="A679" s="49" t="str">
        <v>0:00</v>
      </c>
      <c r="B679" s="108"/>
      <c r="C679" s="130"/>
      <c r="D679" s="130"/>
      <c r="E679" s="130"/>
      <c r="F679" s="130"/>
      <c r="G679" s="130"/>
      <c r="H679" s="130"/>
      <c r="I679" s="130"/>
      <c r="J679" s="130"/>
      <c r="K679" s="130"/>
      <c r="L679" s="130"/>
      <c r="M679" s="130"/>
      <c r="N679" s="130"/>
      <c r="O679" s="41"/>
      <c r="P679" s="41"/>
    </row>
    <row r="680" spans="1:16" x14ac:dyDescent="0.2">
      <c r="A680" s="49" t="str">
        <v>0:00</v>
      </c>
      <c r="B680" s="108"/>
      <c r="C680" s="130"/>
      <c r="D680" s="130"/>
      <c r="E680" s="130"/>
      <c r="F680" s="130"/>
      <c r="G680" s="130"/>
      <c r="H680" s="130"/>
      <c r="I680" s="130"/>
      <c r="J680" s="130"/>
      <c r="K680" s="130"/>
      <c r="L680" s="130"/>
      <c r="M680" s="130"/>
      <c r="N680" s="130"/>
      <c r="O680" s="41"/>
      <c r="P680" s="41"/>
    </row>
    <row r="681" spans="1:16" x14ac:dyDescent="0.2">
      <c r="A681" s="49" t="str">
        <v>0:00</v>
      </c>
      <c r="B681" s="108"/>
      <c r="C681" s="130"/>
      <c r="D681" s="130"/>
      <c r="E681" s="130"/>
      <c r="F681" s="130"/>
      <c r="G681" s="130"/>
      <c r="H681" s="130"/>
      <c r="I681" s="130"/>
      <c r="J681" s="130"/>
      <c r="K681" s="130"/>
      <c r="L681" s="130"/>
      <c r="M681" s="130"/>
      <c r="N681" s="130"/>
      <c r="O681" s="41"/>
      <c r="P681" s="41"/>
    </row>
    <row r="682" spans="1:16" x14ac:dyDescent="0.2">
      <c r="A682" s="49" t="str">
        <v>0:00</v>
      </c>
      <c r="B682" s="108"/>
      <c r="C682" s="130"/>
      <c r="D682" s="130"/>
      <c r="E682" s="130"/>
      <c r="F682" s="130"/>
      <c r="G682" s="130"/>
      <c r="H682" s="130"/>
      <c r="I682" s="130"/>
      <c r="J682" s="130"/>
      <c r="K682" s="130"/>
      <c r="L682" s="130"/>
      <c r="M682" s="130"/>
      <c r="N682" s="130"/>
      <c r="O682" s="41"/>
      <c r="P682" s="41"/>
    </row>
    <row r="683" spans="1:16" x14ac:dyDescent="0.2">
      <c r="A683" s="49" t="str">
        <v>0:00</v>
      </c>
      <c r="B683" s="108"/>
      <c r="C683" s="130"/>
      <c r="D683" s="130"/>
      <c r="E683" s="130"/>
      <c r="F683" s="130"/>
      <c r="G683" s="130"/>
      <c r="H683" s="130"/>
      <c r="I683" s="130"/>
      <c r="J683" s="130"/>
      <c r="K683" s="130"/>
      <c r="L683" s="130"/>
      <c r="M683" s="130"/>
      <c r="N683" s="130"/>
      <c r="O683" s="41"/>
      <c r="P683" s="41"/>
    </row>
    <row r="684" spans="1:16" x14ac:dyDescent="0.2">
      <c r="A684" s="49" t="str">
        <v>0:00</v>
      </c>
      <c r="B684" s="108"/>
      <c r="C684" s="130"/>
      <c r="D684" s="130"/>
      <c r="E684" s="130"/>
      <c r="F684" s="130"/>
      <c r="G684" s="130"/>
      <c r="H684" s="130"/>
      <c r="I684" s="130"/>
      <c r="J684" s="130"/>
      <c r="K684" s="130"/>
      <c r="L684" s="130"/>
      <c r="M684" s="130"/>
      <c r="N684" s="130"/>
      <c r="O684" s="41"/>
      <c r="P684" s="41"/>
    </row>
    <row r="685" spans="1:16" x14ac:dyDescent="0.2">
      <c r="A685" s="49" t="str">
        <v>0:00</v>
      </c>
      <c r="B685" s="108"/>
      <c r="C685" s="130"/>
      <c r="D685" s="130"/>
      <c r="E685" s="130"/>
      <c r="F685" s="130"/>
      <c r="G685" s="130"/>
      <c r="H685" s="130"/>
      <c r="I685" s="130"/>
      <c r="J685" s="130"/>
      <c r="K685" s="130"/>
      <c r="L685" s="130"/>
      <c r="M685" s="130"/>
      <c r="N685" s="130"/>
      <c r="O685" s="41"/>
      <c r="P685" s="41"/>
    </row>
    <row r="686" spans="1:16" x14ac:dyDescent="0.2">
      <c r="A686" s="49" t="str">
        <v>0:00</v>
      </c>
      <c r="B686" s="108"/>
      <c r="C686" s="130"/>
      <c r="D686" s="130"/>
      <c r="E686" s="130"/>
      <c r="F686" s="130"/>
      <c r="G686" s="130"/>
      <c r="H686" s="130"/>
      <c r="I686" s="130"/>
      <c r="J686" s="130"/>
      <c r="K686" s="130"/>
      <c r="L686" s="130"/>
      <c r="M686" s="130"/>
      <c r="N686" s="130"/>
      <c r="O686" s="41"/>
      <c r="P686" s="41"/>
    </row>
    <row r="687" spans="1:16" x14ac:dyDescent="0.2">
      <c r="A687" s="49" t="str">
        <v>0:00</v>
      </c>
      <c r="B687" s="108"/>
      <c r="C687" s="130"/>
      <c r="D687" s="130"/>
      <c r="E687" s="130"/>
      <c r="F687" s="130"/>
      <c r="G687" s="130"/>
      <c r="H687" s="130"/>
      <c r="I687" s="130"/>
      <c r="J687" s="130"/>
      <c r="K687" s="130"/>
      <c r="L687" s="130"/>
      <c r="M687" s="130"/>
      <c r="N687" s="130"/>
      <c r="O687" s="41"/>
      <c r="P687" s="41"/>
    </row>
    <row r="688" spans="1:16" x14ac:dyDescent="0.2">
      <c r="A688" s="49" t="str">
        <v>0:00</v>
      </c>
      <c r="B688" s="108"/>
      <c r="C688" s="130"/>
      <c r="D688" s="130"/>
      <c r="E688" s="130"/>
      <c r="F688" s="130"/>
      <c r="G688" s="130"/>
      <c r="H688" s="130"/>
      <c r="I688" s="130"/>
      <c r="J688" s="130"/>
      <c r="K688" s="130"/>
      <c r="L688" s="130"/>
      <c r="M688" s="130"/>
      <c r="N688" s="130"/>
      <c r="O688" s="41"/>
      <c r="P688" s="41"/>
    </row>
    <row r="689" spans="1:16" x14ac:dyDescent="0.2">
      <c r="A689" s="49" t="str">
        <v>0:00</v>
      </c>
      <c r="B689" s="108"/>
      <c r="C689" s="130"/>
      <c r="D689" s="130"/>
      <c r="E689" s="130"/>
      <c r="F689" s="130"/>
      <c r="G689" s="130"/>
      <c r="H689" s="130"/>
      <c r="I689" s="130"/>
      <c r="J689" s="130"/>
      <c r="K689" s="130"/>
      <c r="L689" s="130"/>
      <c r="M689" s="130"/>
      <c r="N689" s="130"/>
      <c r="O689" s="41"/>
      <c r="P689" s="41"/>
    </row>
    <row r="690" spans="1:16" x14ac:dyDescent="0.2">
      <c r="A690" s="49" t="str">
        <v>0:00</v>
      </c>
      <c r="B690" s="108"/>
      <c r="C690" s="130"/>
      <c r="D690" s="130"/>
      <c r="E690" s="130"/>
      <c r="F690" s="130"/>
      <c r="G690" s="130"/>
      <c r="H690" s="130"/>
      <c r="I690" s="130"/>
      <c r="J690" s="130"/>
      <c r="K690" s="130"/>
      <c r="L690" s="130"/>
      <c r="M690" s="130"/>
      <c r="N690" s="130"/>
      <c r="O690" s="41"/>
      <c r="P690" s="41"/>
    </row>
    <row r="691" spans="1:16" x14ac:dyDescent="0.2">
      <c r="A691" s="49" t="str">
        <v>0:00</v>
      </c>
      <c r="B691" s="108"/>
      <c r="C691" s="130"/>
      <c r="D691" s="130"/>
      <c r="E691" s="130"/>
      <c r="F691" s="130"/>
      <c r="G691" s="130"/>
      <c r="H691" s="130"/>
      <c r="I691" s="130"/>
      <c r="J691" s="130"/>
      <c r="K691" s="130"/>
      <c r="L691" s="130"/>
      <c r="M691" s="130"/>
      <c r="N691" s="130"/>
      <c r="O691" s="41"/>
      <c r="P691" s="41"/>
    </row>
    <row r="692" spans="1:16" x14ac:dyDescent="0.2">
      <c r="A692" s="49" t="str">
        <v>0:00</v>
      </c>
      <c r="B692" s="108"/>
      <c r="C692" s="130"/>
      <c r="D692" s="130"/>
      <c r="E692" s="130"/>
      <c r="F692" s="130"/>
      <c r="G692" s="130"/>
      <c r="H692" s="130"/>
      <c r="I692" s="130"/>
      <c r="J692" s="130"/>
      <c r="K692" s="130"/>
      <c r="L692" s="130"/>
      <c r="M692" s="130"/>
      <c r="N692" s="130"/>
      <c r="O692" s="41"/>
      <c r="P692" s="41"/>
    </row>
    <row r="693" spans="1:16" x14ac:dyDescent="0.2">
      <c r="A693" s="49" t="str">
        <v>0:00</v>
      </c>
      <c r="B693" s="108"/>
      <c r="C693" s="130"/>
      <c r="D693" s="130"/>
      <c r="E693" s="130"/>
      <c r="F693" s="130"/>
      <c r="G693" s="130"/>
      <c r="H693" s="130"/>
      <c r="I693" s="130"/>
      <c r="J693" s="130"/>
      <c r="K693" s="130"/>
      <c r="L693" s="130"/>
      <c r="M693" s="130"/>
      <c r="N693" s="130"/>
      <c r="O693" s="41"/>
      <c r="P693" s="41"/>
    </row>
    <row r="694" spans="1:16" x14ac:dyDescent="0.2">
      <c r="A694" s="49" t="str">
        <v>0:00</v>
      </c>
      <c r="B694" s="108"/>
      <c r="C694" s="130"/>
      <c r="D694" s="130"/>
      <c r="E694" s="130"/>
      <c r="F694" s="130"/>
      <c r="G694" s="130"/>
      <c r="H694" s="130"/>
      <c r="I694" s="130"/>
      <c r="J694" s="130"/>
      <c r="K694" s="130"/>
      <c r="L694" s="130"/>
      <c r="M694" s="130"/>
      <c r="N694" s="130"/>
      <c r="O694" s="41"/>
      <c r="P694" s="41"/>
    </row>
    <row r="695" spans="1:16" x14ac:dyDescent="0.2">
      <c r="A695" s="49" t="str">
        <v>0:00</v>
      </c>
      <c r="B695" s="108"/>
      <c r="C695" s="130"/>
      <c r="D695" s="130"/>
      <c r="E695" s="130"/>
      <c r="F695" s="130"/>
      <c r="G695" s="130"/>
      <c r="H695" s="130"/>
      <c r="I695" s="130"/>
      <c r="J695" s="130"/>
      <c r="K695" s="130"/>
      <c r="L695" s="130"/>
      <c r="M695" s="130"/>
      <c r="N695" s="130"/>
      <c r="O695" s="41"/>
      <c r="P695" s="41"/>
    </row>
    <row r="696" spans="1:16" x14ac:dyDescent="0.2">
      <c r="A696" s="49" t="str">
        <v>0:00</v>
      </c>
      <c r="B696" s="108"/>
      <c r="C696" s="130"/>
      <c r="D696" s="130"/>
      <c r="E696" s="130"/>
      <c r="F696" s="130"/>
      <c r="G696" s="130"/>
      <c r="H696" s="130"/>
      <c r="I696" s="130"/>
      <c r="J696" s="130"/>
      <c r="K696" s="130"/>
      <c r="L696" s="130"/>
      <c r="M696" s="130"/>
      <c r="N696" s="130"/>
      <c r="O696" s="41"/>
      <c r="P696" s="41"/>
    </row>
    <row r="697" spans="1:16" x14ac:dyDescent="0.2">
      <c r="A697" s="49" t="str">
        <v>0:00</v>
      </c>
      <c r="B697" s="108"/>
      <c r="C697" s="130"/>
      <c r="D697" s="130"/>
      <c r="E697" s="130"/>
      <c r="F697" s="130"/>
      <c r="G697" s="130"/>
      <c r="H697" s="130"/>
      <c r="I697" s="130"/>
      <c r="J697" s="130"/>
      <c r="K697" s="130"/>
      <c r="L697" s="130"/>
      <c r="M697" s="130"/>
      <c r="N697" s="130"/>
      <c r="O697" s="41"/>
      <c r="P697" s="41"/>
    </row>
    <row r="698" spans="1:16" x14ac:dyDescent="0.2">
      <c r="A698" s="49" t="str">
        <v>0:00</v>
      </c>
      <c r="B698" s="108"/>
      <c r="C698" s="130"/>
      <c r="D698" s="130"/>
      <c r="E698" s="130"/>
      <c r="F698" s="130"/>
      <c r="G698" s="130"/>
      <c r="H698" s="130"/>
      <c r="I698" s="130"/>
      <c r="J698" s="130"/>
      <c r="K698" s="130"/>
      <c r="L698" s="130"/>
      <c r="M698" s="130"/>
      <c r="N698" s="130"/>
      <c r="O698" s="41"/>
      <c r="P698" s="41"/>
    </row>
    <row r="699" spans="1:16" x14ac:dyDescent="0.2">
      <c r="A699" s="49" t="str">
        <v>0:00</v>
      </c>
      <c r="B699" s="108"/>
      <c r="C699" s="130"/>
      <c r="D699" s="130"/>
      <c r="E699" s="130"/>
      <c r="F699" s="130"/>
      <c r="G699" s="130"/>
      <c r="H699" s="130"/>
      <c r="I699" s="130"/>
      <c r="J699" s="130"/>
      <c r="K699" s="130"/>
      <c r="L699" s="130"/>
      <c r="M699" s="130"/>
      <c r="N699" s="130"/>
      <c r="O699" s="41"/>
      <c r="P699" s="41"/>
    </row>
    <row r="700" spans="1:16" x14ac:dyDescent="0.2">
      <c r="A700" s="49" t="str">
        <v>0:00</v>
      </c>
      <c r="B700" s="108"/>
      <c r="C700" s="130"/>
      <c r="D700" s="130"/>
      <c r="E700" s="130"/>
      <c r="F700" s="130"/>
      <c r="G700" s="130"/>
      <c r="H700" s="130"/>
      <c r="I700" s="130"/>
      <c r="J700" s="130"/>
      <c r="K700" s="130"/>
      <c r="L700" s="130"/>
      <c r="M700" s="130"/>
      <c r="N700" s="130"/>
      <c r="O700" s="41"/>
      <c r="P700" s="41"/>
    </row>
    <row r="701" spans="1:16" x14ac:dyDescent="0.2">
      <c r="A701" s="49" t="str">
        <v>0:00</v>
      </c>
      <c r="B701" s="108"/>
      <c r="C701" s="130"/>
      <c r="D701" s="130"/>
      <c r="E701" s="130"/>
      <c r="F701" s="130"/>
      <c r="G701" s="130"/>
      <c r="H701" s="130"/>
      <c r="I701" s="130"/>
      <c r="J701" s="130"/>
      <c r="K701" s="130"/>
      <c r="L701" s="130"/>
      <c r="M701" s="130"/>
      <c r="N701" s="130"/>
      <c r="O701" s="41"/>
      <c r="P701" s="41"/>
    </row>
    <row r="702" spans="1:16" x14ac:dyDescent="0.2">
      <c r="A702" s="49" t="str">
        <v>0:00</v>
      </c>
      <c r="B702" s="108"/>
      <c r="C702" s="130"/>
      <c r="D702" s="130"/>
      <c r="E702" s="130"/>
      <c r="F702" s="130"/>
      <c r="G702" s="130"/>
      <c r="H702" s="130"/>
      <c r="I702" s="130"/>
      <c r="J702" s="130"/>
      <c r="K702" s="130"/>
      <c r="L702" s="130"/>
      <c r="M702" s="130"/>
      <c r="N702" s="130"/>
      <c r="O702" s="41"/>
      <c r="P702" s="41"/>
    </row>
    <row r="703" spans="1:16" x14ac:dyDescent="0.2">
      <c r="A703" s="49" t="str">
        <v>0:00</v>
      </c>
      <c r="B703" s="108"/>
      <c r="C703" s="130"/>
      <c r="D703" s="130"/>
      <c r="E703" s="130"/>
      <c r="F703" s="130"/>
      <c r="G703" s="130"/>
      <c r="H703" s="130"/>
      <c r="I703" s="130"/>
      <c r="J703" s="130"/>
      <c r="K703" s="130"/>
      <c r="L703" s="130"/>
      <c r="M703" s="130"/>
      <c r="N703" s="130"/>
      <c r="O703" s="41"/>
      <c r="P703" s="41"/>
    </row>
    <row r="704" spans="1:16" x14ac:dyDescent="0.2">
      <c r="A704" s="49" t="str">
        <v>0:00</v>
      </c>
      <c r="B704" s="108"/>
      <c r="C704" s="130"/>
      <c r="D704" s="130"/>
      <c r="E704" s="130"/>
      <c r="F704" s="130"/>
      <c r="G704" s="130"/>
      <c r="H704" s="130"/>
      <c r="I704" s="130"/>
      <c r="J704" s="130"/>
      <c r="K704" s="130"/>
      <c r="L704" s="130"/>
      <c r="M704" s="130"/>
      <c r="N704" s="130"/>
      <c r="O704" s="41"/>
      <c r="P704" s="41"/>
    </row>
    <row r="705" spans="1:16" x14ac:dyDescent="0.2">
      <c r="A705" s="49" t="str">
        <v>0:00</v>
      </c>
      <c r="B705" s="108"/>
      <c r="C705" s="130"/>
      <c r="D705" s="130"/>
      <c r="E705" s="130"/>
      <c r="F705" s="130"/>
      <c r="G705" s="130"/>
      <c r="H705" s="130"/>
      <c r="I705" s="130"/>
      <c r="J705" s="130"/>
      <c r="K705" s="130"/>
      <c r="L705" s="130"/>
      <c r="M705" s="130"/>
      <c r="N705" s="130"/>
      <c r="O705" s="41"/>
      <c r="P705" s="41"/>
    </row>
    <row r="706" spans="1:16" x14ac:dyDescent="0.2">
      <c r="A706" s="49" t="str">
        <v>0:00</v>
      </c>
      <c r="B706" s="108"/>
      <c r="C706" s="130"/>
      <c r="D706" s="130"/>
      <c r="E706" s="130"/>
      <c r="F706" s="130"/>
      <c r="G706" s="130"/>
      <c r="H706" s="130"/>
      <c r="I706" s="130"/>
      <c r="J706" s="130"/>
      <c r="K706" s="130"/>
      <c r="L706" s="130"/>
      <c r="M706" s="130"/>
      <c r="N706" s="130"/>
      <c r="O706" s="41"/>
      <c r="P706" s="41"/>
    </row>
    <row r="707" spans="1:16" x14ac:dyDescent="0.2">
      <c r="A707" s="49" t="str">
        <v>0:00</v>
      </c>
      <c r="B707" s="108"/>
      <c r="C707" s="130"/>
      <c r="D707" s="130"/>
      <c r="E707" s="130"/>
      <c r="F707" s="130"/>
      <c r="G707" s="130"/>
      <c r="H707" s="130"/>
      <c r="I707" s="130"/>
      <c r="J707" s="130"/>
      <c r="K707" s="130"/>
      <c r="L707" s="130"/>
      <c r="M707" s="130"/>
      <c r="N707" s="130"/>
      <c r="O707" s="41"/>
      <c r="P707" s="41"/>
    </row>
    <row r="708" spans="1:16" x14ac:dyDescent="0.2">
      <c r="A708" s="49" t="str">
        <v>0:00</v>
      </c>
      <c r="B708" s="108"/>
      <c r="C708" s="130"/>
      <c r="D708" s="130"/>
      <c r="E708" s="130"/>
      <c r="F708" s="130"/>
      <c r="G708" s="130"/>
      <c r="H708" s="130"/>
      <c r="I708" s="130"/>
      <c r="J708" s="130"/>
      <c r="K708" s="130"/>
      <c r="L708" s="130"/>
      <c r="M708" s="130"/>
      <c r="N708" s="130"/>
      <c r="O708" s="41"/>
      <c r="P708" s="41"/>
    </row>
    <row r="709" spans="1:16" x14ac:dyDescent="0.2">
      <c r="A709" s="49" t="str">
        <v>0:00</v>
      </c>
      <c r="B709" s="108"/>
      <c r="C709" s="130"/>
      <c r="D709" s="130"/>
      <c r="E709" s="130"/>
      <c r="F709" s="130"/>
      <c r="G709" s="130"/>
      <c r="H709" s="130"/>
      <c r="I709" s="130"/>
      <c r="J709" s="130"/>
      <c r="K709" s="130"/>
      <c r="L709" s="130"/>
      <c r="M709" s="130"/>
      <c r="N709" s="130"/>
      <c r="O709" s="41"/>
      <c r="P709" s="41"/>
    </row>
    <row r="710" spans="1:16" x14ac:dyDescent="0.2">
      <c r="A710" s="49" t="str">
        <v>0:00</v>
      </c>
      <c r="B710" s="108"/>
      <c r="C710" s="130"/>
      <c r="D710" s="130"/>
      <c r="E710" s="130"/>
      <c r="F710" s="130"/>
      <c r="G710" s="130"/>
      <c r="H710" s="130"/>
      <c r="I710" s="130"/>
      <c r="J710" s="130"/>
      <c r="K710" s="130"/>
      <c r="L710" s="130"/>
      <c r="M710" s="130"/>
      <c r="N710" s="130"/>
      <c r="O710" s="41"/>
      <c r="P710" s="41"/>
    </row>
    <row r="711" spans="1:16" x14ac:dyDescent="0.2">
      <c r="A711" s="49" t="str">
        <v>0:00</v>
      </c>
      <c r="B711" s="108"/>
      <c r="C711" s="130"/>
      <c r="D711" s="130"/>
      <c r="E711" s="130"/>
      <c r="F711" s="130"/>
      <c r="G711" s="130"/>
      <c r="H711" s="130"/>
      <c r="I711" s="130"/>
      <c r="J711" s="130"/>
      <c r="K711" s="130"/>
      <c r="L711" s="130"/>
      <c r="M711" s="130"/>
      <c r="N711" s="130"/>
      <c r="O711" s="41"/>
      <c r="P711" s="41"/>
    </row>
    <row r="712" spans="1:16" x14ac:dyDescent="0.2">
      <c r="A712" s="49" t="str">
        <v>0:00</v>
      </c>
      <c r="B712" s="108"/>
      <c r="C712" s="130"/>
      <c r="D712" s="130"/>
      <c r="E712" s="130"/>
      <c r="F712" s="130"/>
      <c r="G712" s="130"/>
      <c r="H712" s="130"/>
      <c r="I712" s="130"/>
      <c r="J712" s="130"/>
      <c r="K712" s="130"/>
      <c r="L712" s="130"/>
      <c r="M712" s="130"/>
      <c r="N712" s="130"/>
      <c r="O712" s="41"/>
      <c r="P712" s="41"/>
    </row>
    <row r="713" spans="1:16" x14ac:dyDescent="0.2">
      <c r="A713" s="49" t="str">
        <v>0:00</v>
      </c>
      <c r="B713" s="108"/>
      <c r="C713" s="130"/>
      <c r="D713" s="130"/>
      <c r="E713" s="130"/>
      <c r="F713" s="130"/>
      <c r="G713" s="130"/>
      <c r="H713" s="130"/>
      <c r="I713" s="130"/>
      <c r="J713" s="130"/>
      <c r="K713" s="130"/>
      <c r="L713" s="130"/>
      <c r="M713" s="130"/>
      <c r="N713" s="130"/>
      <c r="O713" s="41"/>
      <c r="P713" s="41"/>
    </row>
    <row r="714" spans="1:16" x14ac:dyDescent="0.2">
      <c r="A714" s="49" t="str">
        <v>0:00</v>
      </c>
      <c r="B714" s="108"/>
      <c r="C714" s="130"/>
      <c r="D714" s="130"/>
      <c r="E714" s="130"/>
      <c r="F714" s="130"/>
      <c r="G714" s="130"/>
      <c r="H714" s="130"/>
      <c r="I714" s="130"/>
      <c r="J714" s="130"/>
      <c r="K714" s="130"/>
      <c r="L714" s="130"/>
      <c r="M714" s="130"/>
      <c r="N714" s="130"/>
      <c r="O714" s="41"/>
      <c r="P714" s="41"/>
    </row>
    <row r="715" spans="1:16" x14ac:dyDescent="0.2">
      <c r="A715" s="49" t="str">
        <v>0:00</v>
      </c>
      <c r="B715" s="108"/>
      <c r="C715" s="130"/>
      <c r="D715" s="130"/>
      <c r="E715" s="130"/>
      <c r="F715" s="130"/>
      <c r="G715" s="130"/>
      <c r="H715" s="130"/>
      <c r="I715" s="130"/>
      <c r="J715" s="130"/>
      <c r="K715" s="130"/>
      <c r="L715" s="130"/>
      <c r="M715" s="130"/>
      <c r="N715" s="130"/>
      <c r="O715" s="41"/>
      <c r="P715" s="41"/>
    </row>
    <row r="716" spans="1:16" x14ac:dyDescent="0.2">
      <c r="A716" s="49" t="str">
        <v>0:00</v>
      </c>
      <c r="B716" s="108"/>
      <c r="C716" s="130"/>
      <c r="D716" s="130"/>
      <c r="E716" s="130"/>
      <c r="F716" s="130"/>
      <c r="G716" s="130"/>
      <c r="H716" s="130"/>
      <c r="I716" s="130"/>
      <c r="J716" s="130"/>
      <c r="K716" s="130"/>
      <c r="L716" s="130"/>
      <c r="M716" s="130"/>
      <c r="N716" s="130"/>
      <c r="O716" s="41"/>
      <c r="P716" s="41"/>
    </row>
    <row r="717" spans="1:16" x14ac:dyDescent="0.2">
      <c r="A717" s="49" t="str">
        <v>0:00</v>
      </c>
      <c r="B717" s="108"/>
      <c r="C717" s="130"/>
      <c r="D717" s="130"/>
      <c r="E717" s="130"/>
      <c r="F717" s="130"/>
      <c r="G717" s="130"/>
      <c r="H717" s="130"/>
      <c r="I717" s="130"/>
      <c r="J717" s="130"/>
      <c r="K717" s="130"/>
      <c r="L717" s="130"/>
      <c r="M717" s="130"/>
      <c r="N717" s="130"/>
      <c r="O717" s="41"/>
      <c r="P717" s="41"/>
    </row>
    <row r="718" spans="1:16" x14ac:dyDescent="0.2">
      <c r="A718" s="49" t="str">
        <v>0:00</v>
      </c>
      <c r="B718" s="108"/>
      <c r="C718" s="130"/>
      <c r="D718" s="130"/>
      <c r="E718" s="130"/>
      <c r="F718" s="130"/>
      <c r="G718" s="130"/>
      <c r="H718" s="130"/>
      <c r="I718" s="130"/>
      <c r="J718" s="130"/>
      <c r="K718" s="130"/>
      <c r="L718" s="130"/>
      <c r="M718" s="130"/>
      <c r="N718" s="130"/>
      <c r="O718" s="41"/>
      <c r="P718" s="41"/>
    </row>
    <row r="719" spans="1:16" x14ac:dyDescent="0.2">
      <c r="A719" s="49" t="str">
        <v>0:00</v>
      </c>
      <c r="B719" s="108"/>
      <c r="C719" s="130"/>
      <c r="D719" s="130"/>
      <c r="E719" s="130"/>
      <c r="F719" s="130"/>
      <c r="G719" s="130"/>
      <c r="H719" s="130"/>
      <c r="I719" s="130"/>
      <c r="J719" s="130"/>
      <c r="K719" s="130"/>
      <c r="L719" s="130"/>
      <c r="M719" s="130"/>
      <c r="N719" s="130"/>
      <c r="O719" s="41"/>
      <c r="P719" s="41"/>
    </row>
    <row r="720" spans="1:16" x14ac:dyDescent="0.2">
      <c r="A720" s="49" t="str">
        <v>0:00</v>
      </c>
      <c r="B720" s="108"/>
      <c r="C720" s="130"/>
      <c r="D720" s="130"/>
      <c r="E720" s="130"/>
      <c r="F720" s="130"/>
      <c r="G720" s="130"/>
      <c r="H720" s="130"/>
      <c r="I720" s="130"/>
      <c r="J720" s="130"/>
      <c r="K720" s="130"/>
      <c r="L720" s="130"/>
      <c r="M720" s="130"/>
      <c r="N720" s="130"/>
      <c r="O720" s="41"/>
      <c r="P720" s="41"/>
    </row>
    <row r="721" spans="1:16" x14ac:dyDescent="0.2">
      <c r="A721" s="49" t="str">
        <v>0:00</v>
      </c>
      <c r="B721" s="108"/>
      <c r="C721" s="130"/>
      <c r="D721" s="130"/>
      <c r="E721" s="130"/>
      <c r="F721" s="130"/>
      <c r="G721" s="130"/>
      <c r="H721" s="130"/>
      <c r="I721" s="130"/>
      <c r="J721" s="130"/>
      <c r="K721" s="130"/>
      <c r="L721" s="130"/>
      <c r="M721" s="130"/>
      <c r="N721" s="130"/>
      <c r="O721" s="41"/>
      <c r="P721" s="41"/>
    </row>
    <row r="722" spans="1:16" x14ac:dyDescent="0.2">
      <c r="A722" s="49" t="str">
        <v>0:00</v>
      </c>
      <c r="B722" s="108"/>
      <c r="C722" s="130"/>
      <c r="D722" s="130"/>
      <c r="E722" s="130"/>
      <c r="F722" s="130"/>
      <c r="G722" s="130"/>
      <c r="H722" s="130"/>
      <c r="I722" s="130"/>
      <c r="J722" s="130"/>
      <c r="K722" s="130"/>
      <c r="L722" s="130"/>
      <c r="M722" s="130"/>
      <c r="N722" s="130"/>
      <c r="O722" s="41"/>
      <c r="P722" s="41"/>
    </row>
    <row r="723" spans="1:16" x14ac:dyDescent="0.2">
      <c r="A723" s="49" t="str">
        <v>0:00</v>
      </c>
      <c r="B723" s="108"/>
      <c r="C723" s="130"/>
      <c r="D723" s="130"/>
      <c r="E723" s="130"/>
      <c r="F723" s="130"/>
      <c r="G723" s="130"/>
      <c r="H723" s="130"/>
      <c r="I723" s="130"/>
      <c r="J723" s="130"/>
      <c r="K723" s="130"/>
      <c r="L723" s="130"/>
      <c r="M723" s="130"/>
      <c r="N723" s="130"/>
      <c r="O723" s="41"/>
      <c r="P723" s="41"/>
    </row>
    <row r="724" spans="1:16" x14ac:dyDescent="0.2">
      <c r="A724" s="49" t="str">
        <v>0:00</v>
      </c>
      <c r="B724" s="108"/>
      <c r="C724" s="130"/>
      <c r="D724" s="130"/>
      <c r="E724" s="130"/>
      <c r="F724" s="130"/>
      <c r="G724" s="130"/>
      <c r="H724" s="130"/>
      <c r="I724" s="130"/>
      <c r="J724" s="130"/>
      <c r="K724" s="130"/>
      <c r="L724" s="130"/>
      <c r="M724" s="130"/>
      <c r="N724" s="130"/>
      <c r="O724" s="41"/>
      <c r="P724" s="41"/>
    </row>
    <row r="725" spans="1:16" x14ac:dyDescent="0.2">
      <c r="A725" s="49" t="str">
        <v>0:00</v>
      </c>
      <c r="B725" s="108"/>
      <c r="C725" s="130"/>
      <c r="D725" s="130"/>
      <c r="E725" s="130"/>
      <c r="F725" s="130"/>
      <c r="G725" s="130"/>
      <c r="H725" s="130"/>
      <c r="I725" s="130"/>
      <c r="J725" s="130"/>
      <c r="K725" s="130"/>
      <c r="L725" s="130"/>
      <c r="M725" s="130"/>
      <c r="N725" s="130"/>
      <c r="O725" s="41"/>
      <c r="P725" s="41"/>
    </row>
    <row r="726" spans="1:16" x14ac:dyDescent="0.2">
      <c r="A726" s="49" t="str">
        <v>0:00</v>
      </c>
      <c r="B726" s="108"/>
      <c r="C726" s="130"/>
      <c r="D726" s="130"/>
      <c r="E726" s="130"/>
      <c r="F726" s="130"/>
      <c r="G726" s="130"/>
      <c r="H726" s="130"/>
      <c r="I726" s="130"/>
      <c r="J726" s="130"/>
      <c r="K726" s="130"/>
      <c r="L726" s="130"/>
      <c r="M726" s="130"/>
      <c r="N726" s="130"/>
      <c r="O726" s="41"/>
      <c r="P726" s="41"/>
    </row>
    <row r="727" spans="1:16" x14ac:dyDescent="0.2">
      <c r="A727" s="49" t="str">
        <v>0:00</v>
      </c>
      <c r="B727" s="108"/>
      <c r="C727" s="130"/>
      <c r="D727" s="130"/>
      <c r="E727" s="130"/>
      <c r="F727" s="130"/>
      <c r="G727" s="130"/>
      <c r="H727" s="130"/>
      <c r="I727" s="130"/>
      <c r="J727" s="130"/>
      <c r="K727" s="130"/>
      <c r="L727" s="130"/>
      <c r="M727" s="130"/>
      <c r="N727" s="130"/>
      <c r="O727" s="41"/>
      <c r="P727" s="41"/>
    </row>
    <row r="728" spans="1:16" x14ac:dyDescent="0.2">
      <c r="A728" s="49" t="str">
        <v>0:00</v>
      </c>
      <c r="B728" s="108"/>
      <c r="C728" s="130"/>
      <c r="D728" s="130"/>
      <c r="E728" s="130"/>
      <c r="F728" s="130"/>
      <c r="G728" s="130"/>
      <c r="H728" s="130"/>
      <c r="I728" s="130"/>
      <c r="J728" s="130"/>
      <c r="K728" s="130"/>
      <c r="L728" s="130"/>
      <c r="M728" s="130"/>
      <c r="N728" s="130"/>
      <c r="O728" s="41"/>
      <c r="P728" s="41"/>
    </row>
    <row r="729" spans="1:16" x14ac:dyDescent="0.2">
      <c r="A729" s="49" t="str">
        <v>0:00</v>
      </c>
      <c r="B729" s="108"/>
      <c r="C729" s="130"/>
      <c r="D729" s="130"/>
      <c r="E729" s="130"/>
      <c r="F729" s="130"/>
      <c r="G729" s="130"/>
      <c r="H729" s="130"/>
      <c r="I729" s="130"/>
      <c r="J729" s="130"/>
      <c r="K729" s="130"/>
      <c r="L729" s="130"/>
      <c r="M729" s="130"/>
      <c r="N729" s="130"/>
      <c r="O729" s="41"/>
      <c r="P729" s="41"/>
    </row>
    <row r="730" spans="1:16" x14ac:dyDescent="0.2">
      <c r="A730" s="49" t="str">
        <v>0:00</v>
      </c>
      <c r="B730" s="108"/>
      <c r="C730" s="130"/>
      <c r="D730" s="130"/>
      <c r="E730" s="130"/>
      <c r="F730" s="130"/>
      <c r="G730" s="130"/>
      <c r="H730" s="130"/>
      <c r="I730" s="130"/>
      <c r="J730" s="130"/>
      <c r="K730" s="130"/>
      <c r="L730" s="130"/>
      <c r="M730" s="130"/>
      <c r="N730" s="130"/>
      <c r="O730" s="41"/>
      <c r="P730" s="41"/>
    </row>
    <row r="731" spans="1:16" x14ac:dyDescent="0.2">
      <c r="A731" s="49" t="str">
        <v>0:00</v>
      </c>
      <c r="B731" s="108"/>
      <c r="C731" s="130"/>
      <c r="D731" s="130"/>
      <c r="E731" s="130"/>
      <c r="F731" s="130"/>
      <c r="G731" s="130"/>
      <c r="H731" s="130"/>
      <c r="I731" s="130"/>
      <c r="J731" s="130"/>
      <c r="K731" s="130"/>
      <c r="L731" s="130"/>
      <c r="M731" s="130"/>
      <c r="N731" s="130"/>
      <c r="O731" s="41"/>
      <c r="P731" s="41"/>
    </row>
    <row r="732" spans="1:16" x14ac:dyDescent="0.2">
      <c r="A732" s="49" t="str">
        <v>0:00</v>
      </c>
      <c r="B732" s="108"/>
      <c r="C732" s="130"/>
      <c r="D732" s="130"/>
      <c r="E732" s="130"/>
      <c r="F732" s="130"/>
      <c r="G732" s="130"/>
      <c r="H732" s="130"/>
      <c r="I732" s="130"/>
      <c r="J732" s="130"/>
      <c r="K732" s="130"/>
      <c r="L732" s="130"/>
      <c r="M732" s="130"/>
      <c r="N732" s="130"/>
      <c r="O732" s="41"/>
      <c r="P732" s="41"/>
    </row>
    <row r="733" spans="1:16" x14ac:dyDescent="0.2">
      <c r="A733" s="49" t="str">
        <v>0:00</v>
      </c>
      <c r="B733" s="108"/>
      <c r="C733" s="130"/>
      <c r="D733" s="130"/>
      <c r="E733" s="130"/>
      <c r="F733" s="130"/>
      <c r="G733" s="130"/>
      <c r="H733" s="130"/>
      <c r="I733" s="130"/>
      <c r="J733" s="130"/>
      <c r="K733" s="130"/>
      <c r="L733" s="130"/>
      <c r="M733" s="130"/>
      <c r="N733" s="130"/>
      <c r="O733" s="41"/>
      <c r="P733" s="41"/>
    </row>
    <row r="734" spans="1:16" x14ac:dyDescent="0.2">
      <c r="A734" s="49" t="str">
        <v>0:00</v>
      </c>
      <c r="B734" s="108"/>
      <c r="C734" s="130"/>
      <c r="D734" s="130"/>
      <c r="E734" s="130"/>
      <c r="F734" s="130"/>
      <c r="G734" s="130"/>
      <c r="H734" s="130"/>
      <c r="I734" s="130"/>
      <c r="J734" s="130"/>
      <c r="K734" s="130"/>
      <c r="L734" s="130"/>
      <c r="M734" s="130"/>
      <c r="N734" s="130"/>
      <c r="O734" s="41"/>
      <c r="P734" s="41"/>
    </row>
    <row r="735" spans="1:16" x14ac:dyDescent="0.2">
      <c r="A735" s="49" t="str">
        <v>0:00</v>
      </c>
      <c r="B735" s="108"/>
      <c r="C735" s="130"/>
      <c r="D735" s="130"/>
      <c r="E735" s="130"/>
      <c r="F735" s="130"/>
      <c r="G735" s="130"/>
      <c r="H735" s="130"/>
      <c r="I735" s="130"/>
      <c r="J735" s="130"/>
      <c r="K735" s="130"/>
      <c r="L735" s="130"/>
      <c r="M735" s="130"/>
      <c r="N735" s="130"/>
      <c r="O735" s="41"/>
      <c r="P735" s="41"/>
    </row>
    <row r="736" spans="1:16" x14ac:dyDescent="0.2">
      <c r="A736" s="49" t="str">
        <v>0:00</v>
      </c>
      <c r="B736" s="108"/>
      <c r="C736" s="130"/>
      <c r="D736" s="130"/>
      <c r="E736" s="130"/>
      <c r="F736" s="130"/>
      <c r="G736" s="130"/>
      <c r="H736" s="130"/>
      <c r="I736" s="130"/>
      <c r="J736" s="130"/>
      <c r="K736" s="130"/>
      <c r="L736" s="130"/>
      <c r="M736" s="130"/>
      <c r="N736" s="130"/>
      <c r="O736" s="41"/>
      <c r="P736" s="41"/>
    </row>
    <row r="737" spans="1:16" x14ac:dyDescent="0.2">
      <c r="A737" s="49" t="str">
        <v>0:00</v>
      </c>
      <c r="B737" s="108"/>
      <c r="C737" s="130"/>
      <c r="D737" s="130"/>
      <c r="E737" s="130"/>
      <c r="F737" s="130"/>
      <c r="G737" s="130"/>
      <c r="H737" s="130"/>
      <c r="I737" s="130"/>
      <c r="J737" s="130"/>
      <c r="K737" s="130"/>
      <c r="L737" s="130"/>
      <c r="M737" s="130"/>
      <c r="N737" s="130"/>
      <c r="O737" s="41"/>
      <c r="P737" s="41"/>
    </row>
    <row r="738" spans="1:16" x14ac:dyDescent="0.2">
      <c r="A738" s="49" t="str">
        <v>0:00</v>
      </c>
      <c r="B738" s="108"/>
      <c r="C738" s="130"/>
      <c r="D738" s="130"/>
      <c r="E738" s="130"/>
      <c r="F738" s="130"/>
      <c r="G738" s="130"/>
      <c r="H738" s="130"/>
      <c r="I738" s="130"/>
      <c r="J738" s="130"/>
      <c r="K738" s="130"/>
      <c r="L738" s="130"/>
      <c r="M738" s="130"/>
      <c r="N738" s="130"/>
      <c r="O738" s="41"/>
      <c r="P738" s="41"/>
    </row>
    <row r="739" spans="1:16" x14ac:dyDescent="0.2">
      <c r="A739" s="49" t="str">
        <v>0:00</v>
      </c>
      <c r="B739" s="108"/>
      <c r="C739" s="130"/>
      <c r="D739" s="130"/>
      <c r="E739" s="130"/>
      <c r="F739" s="130"/>
      <c r="G739" s="130"/>
      <c r="H739" s="130"/>
      <c r="I739" s="130"/>
      <c r="J739" s="130"/>
      <c r="K739" s="130"/>
      <c r="L739" s="130"/>
      <c r="M739" s="130"/>
      <c r="N739" s="130"/>
      <c r="O739" s="41"/>
      <c r="P739" s="41"/>
    </row>
    <row r="740" spans="1:16" x14ac:dyDescent="0.2">
      <c r="A740" s="49" t="str">
        <v>0:00</v>
      </c>
      <c r="B740" s="108"/>
      <c r="C740" s="130"/>
      <c r="D740" s="130"/>
      <c r="E740" s="130"/>
      <c r="F740" s="130"/>
      <c r="G740" s="130"/>
      <c r="H740" s="130"/>
      <c r="I740" s="130"/>
      <c r="J740" s="130"/>
      <c r="K740" s="130"/>
      <c r="L740" s="130"/>
      <c r="M740" s="130"/>
      <c r="N740" s="130"/>
      <c r="O740" s="41"/>
      <c r="P740" s="41"/>
    </row>
    <row r="741" spans="1:16" x14ac:dyDescent="0.2">
      <c r="A741" s="49" t="str">
        <v>0:00</v>
      </c>
      <c r="B741" s="108"/>
      <c r="C741" s="130"/>
      <c r="D741" s="130"/>
      <c r="E741" s="130"/>
      <c r="F741" s="130"/>
      <c r="G741" s="130"/>
      <c r="H741" s="130"/>
      <c r="I741" s="130"/>
      <c r="J741" s="130"/>
      <c r="K741" s="130"/>
      <c r="L741" s="130"/>
      <c r="M741" s="130"/>
      <c r="N741" s="130"/>
      <c r="O741" s="41"/>
      <c r="P741" s="41"/>
    </row>
    <row r="742" spans="1:16" x14ac:dyDescent="0.2">
      <c r="A742" s="49" t="str">
        <v>0:00</v>
      </c>
      <c r="B742" s="108"/>
      <c r="C742" s="130"/>
      <c r="D742" s="130"/>
      <c r="E742" s="130"/>
      <c r="F742" s="130"/>
      <c r="G742" s="130"/>
      <c r="H742" s="130"/>
      <c r="I742" s="130"/>
      <c r="J742" s="130"/>
      <c r="K742" s="130"/>
      <c r="L742" s="130"/>
      <c r="M742" s="130"/>
      <c r="N742" s="130"/>
      <c r="O742" s="41"/>
      <c r="P742" s="41"/>
    </row>
    <row r="743" spans="1:16" x14ac:dyDescent="0.2">
      <c r="A743" s="49" t="str">
        <v>0:00</v>
      </c>
      <c r="B743" s="108"/>
      <c r="C743" s="130"/>
      <c r="D743" s="130"/>
      <c r="E743" s="130"/>
      <c r="F743" s="130"/>
      <c r="G743" s="130"/>
      <c r="H743" s="130"/>
      <c r="I743" s="130"/>
      <c r="J743" s="130"/>
      <c r="K743" s="130"/>
      <c r="L743" s="130"/>
      <c r="M743" s="130"/>
      <c r="N743" s="130"/>
      <c r="O743" s="41"/>
      <c r="P743" s="41"/>
    </row>
    <row r="744" spans="1:16" x14ac:dyDescent="0.2">
      <c r="A744" s="49" t="str">
        <v>0:00</v>
      </c>
      <c r="B744" s="108"/>
      <c r="C744" s="130"/>
      <c r="D744" s="130"/>
      <c r="E744" s="130"/>
      <c r="F744" s="130"/>
      <c r="G744" s="130"/>
      <c r="H744" s="130"/>
      <c r="I744" s="130"/>
      <c r="J744" s="130"/>
      <c r="K744" s="130"/>
      <c r="L744" s="130"/>
      <c r="M744" s="130"/>
      <c r="N744" s="130"/>
      <c r="O744" s="41"/>
      <c r="P744" s="41"/>
    </row>
    <row r="745" spans="1:16" x14ac:dyDescent="0.2">
      <c r="A745" s="49" t="str">
        <v>0:00</v>
      </c>
      <c r="B745" s="108"/>
      <c r="C745" s="130"/>
      <c r="D745" s="130"/>
      <c r="E745" s="130"/>
      <c r="F745" s="130"/>
      <c r="G745" s="130"/>
      <c r="H745" s="130"/>
      <c r="I745" s="130"/>
      <c r="J745" s="130"/>
      <c r="K745" s="130"/>
      <c r="L745" s="130"/>
      <c r="M745" s="130"/>
      <c r="N745" s="130"/>
      <c r="O745" s="41"/>
      <c r="P745" s="41"/>
    </row>
    <row r="746" spans="1:16" x14ac:dyDescent="0.2">
      <c r="A746" s="49" t="str">
        <v>0:00</v>
      </c>
      <c r="B746" s="108"/>
      <c r="C746" s="130"/>
      <c r="D746" s="130"/>
      <c r="E746" s="130"/>
      <c r="F746" s="130"/>
      <c r="G746" s="130"/>
      <c r="H746" s="130"/>
      <c r="I746" s="130"/>
      <c r="J746" s="130"/>
      <c r="K746" s="130"/>
      <c r="L746" s="130"/>
      <c r="M746" s="130"/>
      <c r="N746" s="130"/>
      <c r="O746" s="41"/>
      <c r="P746" s="41"/>
    </row>
    <row r="747" spans="1:16" x14ac:dyDescent="0.2">
      <c r="A747" s="49" t="str">
        <v>0:00</v>
      </c>
      <c r="B747" s="108"/>
      <c r="C747" s="130"/>
      <c r="D747" s="130"/>
      <c r="E747" s="130"/>
      <c r="F747" s="130"/>
      <c r="G747" s="130"/>
      <c r="H747" s="130"/>
      <c r="I747" s="130"/>
      <c r="J747" s="130"/>
      <c r="K747" s="130"/>
      <c r="L747" s="130"/>
      <c r="M747" s="130"/>
      <c r="N747" s="130"/>
      <c r="O747" s="41"/>
      <c r="P747" s="41"/>
    </row>
    <row r="748" spans="1:16" x14ac:dyDescent="0.2">
      <c r="A748" s="49" t="str">
        <v>0:00</v>
      </c>
      <c r="B748" s="108"/>
      <c r="C748" s="130"/>
      <c r="D748" s="130"/>
      <c r="E748" s="130"/>
      <c r="F748" s="130"/>
      <c r="G748" s="130"/>
      <c r="H748" s="130"/>
      <c r="I748" s="130"/>
      <c r="J748" s="130"/>
      <c r="K748" s="130"/>
      <c r="L748" s="130"/>
      <c r="M748" s="130"/>
      <c r="N748" s="130"/>
      <c r="O748" s="41"/>
      <c r="P748" s="41"/>
    </row>
    <row r="749" spans="1:16" x14ac:dyDescent="0.2">
      <c r="A749" s="49" t="str">
        <v>0:00</v>
      </c>
      <c r="B749" s="108"/>
      <c r="C749" s="130"/>
      <c r="D749" s="130"/>
      <c r="E749" s="130"/>
      <c r="F749" s="130"/>
      <c r="G749" s="130"/>
      <c r="H749" s="130"/>
      <c r="I749" s="130"/>
      <c r="J749" s="130"/>
      <c r="K749" s="130"/>
      <c r="L749" s="130"/>
      <c r="M749" s="130"/>
      <c r="N749" s="130"/>
      <c r="O749" s="41"/>
      <c r="P749" s="41"/>
    </row>
    <row r="750" spans="1:16" x14ac:dyDescent="0.2">
      <c r="A750" s="49" t="str">
        <v>0:00</v>
      </c>
      <c r="B750" s="108"/>
      <c r="C750" s="130"/>
      <c r="D750" s="130"/>
      <c r="E750" s="130"/>
      <c r="F750" s="130"/>
      <c r="G750" s="130"/>
      <c r="H750" s="130"/>
      <c r="I750" s="130"/>
      <c r="J750" s="130"/>
      <c r="K750" s="130"/>
      <c r="L750" s="130"/>
      <c r="M750" s="130"/>
      <c r="N750" s="130"/>
      <c r="O750" s="41"/>
      <c r="P750" s="41"/>
    </row>
    <row r="751" spans="1:16" x14ac:dyDescent="0.2">
      <c r="A751" s="49" t="str">
        <v>0:00</v>
      </c>
      <c r="B751" s="108"/>
      <c r="C751" s="130"/>
      <c r="D751" s="130"/>
      <c r="E751" s="130"/>
      <c r="F751" s="130"/>
      <c r="G751" s="130"/>
      <c r="H751" s="130"/>
      <c r="I751" s="130"/>
      <c r="J751" s="130"/>
      <c r="K751" s="130"/>
      <c r="L751" s="130"/>
      <c r="M751" s="130"/>
      <c r="N751" s="130"/>
      <c r="O751" s="41"/>
      <c r="P751" s="41"/>
    </row>
    <row r="752" spans="1:16" x14ac:dyDescent="0.2">
      <c r="A752" s="49" t="str">
        <v>0:00</v>
      </c>
      <c r="B752" s="108"/>
      <c r="C752" s="130"/>
      <c r="D752" s="130"/>
      <c r="E752" s="130"/>
      <c r="F752" s="130"/>
      <c r="G752" s="130"/>
      <c r="H752" s="130"/>
      <c r="I752" s="130"/>
      <c r="J752" s="130"/>
      <c r="K752" s="130"/>
      <c r="L752" s="130"/>
      <c r="M752" s="130"/>
      <c r="N752" s="130"/>
      <c r="O752" s="41"/>
      <c r="P752" s="41"/>
    </row>
    <row r="753" spans="1:16" x14ac:dyDescent="0.2">
      <c r="A753" s="49" t="str">
        <v>0:00</v>
      </c>
      <c r="B753" s="108"/>
      <c r="C753" s="130"/>
      <c r="D753" s="130"/>
      <c r="E753" s="130"/>
      <c r="F753" s="130"/>
      <c r="G753" s="130"/>
      <c r="H753" s="130"/>
      <c r="I753" s="130"/>
      <c r="J753" s="130"/>
      <c r="K753" s="130"/>
      <c r="L753" s="130"/>
      <c r="M753" s="130"/>
      <c r="N753" s="130"/>
      <c r="O753" s="41"/>
      <c r="P753" s="41"/>
    </row>
    <row r="754" spans="1:16" x14ac:dyDescent="0.2">
      <c r="A754" s="49" t="str">
        <v>0:00</v>
      </c>
      <c r="B754" s="108"/>
      <c r="C754" s="130"/>
      <c r="D754" s="130"/>
      <c r="E754" s="130"/>
      <c r="F754" s="130"/>
      <c r="G754" s="130"/>
      <c r="H754" s="130"/>
      <c r="I754" s="130"/>
      <c r="J754" s="130"/>
      <c r="K754" s="130"/>
      <c r="L754" s="130"/>
      <c r="M754" s="130"/>
      <c r="N754" s="130"/>
      <c r="O754" s="41"/>
      <c r="P754" s="41"/>
    </row>
    <row r="755" spans="1:16" x14ac:dyDescent="0.2">
      <c r="A755" s="49" t="str">
        <v>0:00</v>
      </c>
      <c r="B755" s="108"/>
      <c r="C755" s="130"/>
      <c r="D755" s="130"/>
      <c r="E755" s="130"/>
      <c r="F755" s="130"/>
      <c r="G755" s="130"/>
      <c r="H755" s="130"/>
      <c r="I755" s="130"/>
      <c r="J755" s="130"/>
      <c r="K755" s="130"/>
      <c r="L755" s="130"/>
      <c r="M755" s="130"/>
      <c r="N755" s="130"/>
      <c r="O755" s="41"/>
      <c r="P755" s="41"/>
    </row>
    <row r="756" spans="1:16" x14ac:dyDescent="0.2">
      <c r="A756" s="49" t="str">
        <v>0:00</v>
      </c>
      <c r="B756" s="108"/>
      <c r="C756" s="130"/>
      <c r="D756" s="130"/>
      <c r="E756" s="130"/>
      <c r="F756" s="130"/>
      <c r="G756" s="130"/>
      <c r="H756" s="130"/>
      <c r="I756" s="130"/>
      <c r="J756" s="130"/>
      <c r="K756" s="130"/>
      <c r="L756" s="130"/>
      <c r="M756" s="130"/>
      <c r="N756" s="130"/>
      <c r="O756" s="41"/>
      <c r="P756" s="41"/>
    </row>
    <row r="757" spans="1:16" x14ac:dyDescent="0.2">
      <c r="A757" s="49" t="str">
        <v>0:00</v>
      </c>
      <c r="B757" s="108"/>
      <c r="C757" s="130"/>
      <c r="D757" s="130"/>
      <c r="E757" s="130"/>
      <c r="F757" s="130"/>
      <c r="G757" s="130"/>
      <c r="H757" s="130"/>
      <c r="I757" s="130"/>
      <c r="J757" s="130"/>
      <c r="K757" s="130"/>
      <c r="L757" s="130"/>
      <c r="M757" s="130"/>
      <c r="N757" s="130"/>
      <c r="O757" s="41"/>
      <c r="P757" s="41"/>
    </row>
    <row r="758" spans="1:16" x14ac:dyDescent="0.2">
      <c r="A758" s="49" t="str">
        <v>0:00</v>
      </c>
      <c r="B758" s="108"/>
      <c r="C758" s="130"/>
      <c r="D758" s="130"/>
      <c r="E758" s="130"/>
      <c r="F758" s="130"/>
      <c r="G758" s="130"/>
      <c r="H758" s="130"/>
      <c r="I758" s="130"/>
      <c r="J758" s="130"/>
      <c r="K758" s="130"/>
      <c r="L758" s="130"/>
      <c r="M758" s="130"/>
      <c r="N758" s="130"/>
      <c r="O758" s="41"/>
      <c r="P758" s="41"/>
    </row>
    <row r="759" spans="1:16" x14ac:dyDescent="0.2">
      <c r="A759" s="49" t="str">
        <v>0:00</v>
      </c>
      <c r="B759" s="108"/>
      <c r="C759" s="130"/>
      <c r="D759" s="130"/>
      <c r="E759" s="130"/>
      <c r="F759" s="130"/>
      <c r="G759" s="130"/>
      <c r="H759" s="130"/>
      <c r="I759" s="130"/>
      <c r="J759" s="130"/>
      <c r="K759" s="130"/>
      <c r="L759" s="130"/>
      <c r="M759" s="130"/>
      <c r="N759" s="130"/>
      <c r="O759" s="41"/>
      <c r="P759" s="41"/>
    </row>
    <row r="760" spans="1:16" x14ac:dyDescent="0.2">
      <c r="A760" s="49" t="str">
        <v>0:00</v>
      </c>
      <c r="B760" s="108"/>
      <c r="C760" s="130"/>
      <c r="D760" s="130"/>
      <c r="E760" s="130"/>
      <c r="F760" s="130"/>
      <c r="G760" s="130"/>
      <c r="H760" s="130"/>
      <c r="I760" s="130"/>
      <c r="J760" s="130"/>
      <c r="K760" s="130"/>
      <c r="L760" s="130"/>
      <c r="M760" s="130"/>
      <c r="N760" s="130"/>
      <c r="O760" s="41"/>
      <c r="P760" s="41"/>
    </row>
    <row r="761" spans="1:16" x14ac:dyDescent="0.2">
      <c r="A761" s="49" t="str">
        <v>0:00</v>
      </c>
      <c r="B761" s="108"/>
      <c r="C761" s="130"/>
      <c r="D761" s="130"/>
      <c r="E761" s="130"/>
      <c r="F761" s="130"/>
      <c r="G761" s="130"/>
      <c r="H761" s="130"/>
      <c r="I761" s="130"/>
      <c r="J761" s="130"/>
      <c r="K761" s="130"/>
      <c r="L761" s="130"/>
      <c r="M761" s="130"/>
      <c r="N761" s="130"/>
      <c r="O761" s="41"/>
      <c r="P761" s="41"/>
    </row>
    <row r="762" spans="1:16" x14ac:dyDescent="0.2">
      <c r="A762" s="49" t="str">
        <v>0:00</v>
      </c>
      <c r="B762" s="108"/>
      <c r="C762" s="130"/>
      <c r="D762" s="130"/>
      <c r="E762" s="130"/>
      <c r="F762" s="130"/>
      <c r="G762" s="130"/>
      <c r="H762" s="130"/>
      <c r="I762" s="130"/>
      <c r="J762" s="130"/>
      <c r="K762" s="130"/>
      <c r="L762" s="130"/>
      <c r="M762" s="130"/>
      <c r="N762" s="130"/>
      <c r="O762" s="41"/>
      <c r="P762" s="41"/>
    </row>
    <row r="763" spans="1:16" x14ac:dyDescent="0.2">
      <c r="A763" s="49" t="str">
        <v>0:00</v>
      </c>
      <c r="B763" s="108"/>
      <c r="C763" s="130"/>
      <c r="D763" s="130"/>
      <c r="E763" s="130"/>
      <c r="F763" s="130"/>
      <c r="G763" s="130"/>
      <c r="H763" s="130"/>
      <c r="I763" s="130"/>
      <c r="J763" s="130"/>
      <c r="K763" s="130"/>
      <c r="L763" s="130"/>
      <c r="M763" s="130"/>
      <c r="N763" s="130"/>
      <c r="O763" s="41"/>
      <c r="P763" s="41"/>
    </row>
    <row r="764" spans="1:16" x14ac:dyDescent="0.2">
      <c r="A764" s="49" t="str">
        <v>0:00</v>
      </c>
      <c r="B764" s="108"/>
      <c r="C764" s="130"/>
      <c r="D764" s="130"/>
      <c r="E764" s="130"/>
      <c r="F764" s="130"/>
      <c r="G764" s="130"/>
      <c r="H764" s="130"/>
      <c r="I764" s="130"/>
      <c r="J764" s="130"/>
      <c r="K764" s="130"/>
      <c r="L764" s="130"/>
      <c r="M764" s="130"/>
      <c r="N764" s="130"/>
      <c r="O764" s="41"/>
      <c r="P764" s="41"/>
    </row>
    <row r="765" spans="1:16" x14ac:dyDescent="0.2">
      <c r="A765" s="49" t="str">
        <v>0:00</v>
      </c>
      <c r="B765" s="108"/>
      <c r="C765" s="130"/>
      <c r="D765" s="130"/>
      <c r="E765" s="130"/>
      <c r="F765" s="130"/>
      <c r="G765" s="130"/>
      <c r="H765" s="130"/>
      <c r="I765" s="130"/>
      <c r="J765" s="130"/>
      <c r="K765" s="130"/>
      <c r="L765" s="130"/>
      <c r="M765" s="130"/>
      <c r="N765" s="130"/>
      <c r="O765" s="41"/>
      <c r="P765" s="41"/>
    </row>
    <row r="766" spans="1:16" x14ac:dyDescent="0.2">
      <c r="A766" s="49" t="str">
        <v>0:00</v>
      </c>
      <c r="B766" s="108"/>
      <c r="C766" s="130"/>
      <c r="D766" s="130"/>
      <c r="E766" s="130"/>
      <c r="F766" s="130"/>
      <c r="G766" s="130"/>
      <c r="H766" s="130"/>
      <c r="I766" s="130"/>
      <c r="J766" s="130"/>
      <c r="K766" s="130"/>
      <c r="L766" s="130"/>
      <c r="M766" s="130"/>
      <c r="N766" s="130"/>
      <c r="O766" s="41"/>
      <c r="P766" s="41"/>
    </row>
    <row r="767" spans="1:16" x14ac:dyDescent="0.2">
      <c r="A767" s="49" t="str">
        <v>0:00</v>
      </c>
      <c r="B767" s="108"/>
      <c r="C767" s="130"/>
      <c r="D767" s="130"/>
      <c r="E767" s="130"/>
      <c r="F767" s="130"/>
      <c r="G767" s="130"/>
      <c r="H767" s="130"/>
      <c r="I767" s="130"/>
      <c r="J767" s="130"/>
      <c r="K767" s="130"/>
      <c r="L767" s="130"/>
      <c r="M767" s="130"/>
      <c r="N767" s="130"/>
      <c r="O767" s="41"/>
      <c r="P767" s="41"/>
    </row>
    <row r="768" spans="1:16" x14ac:dyDescent="0.2">
      <c r="A768" s="49" t="str">
        <v>0:00</v>
      </c>
      <c r="B768" s="108"/>
      <c r="C768" s="130"/>
      <c r="D768" s="130"/>
      <c r="E768" s="130"/>
      <c r="F768" s="130"/>
      <c r="G768" s="130"/>
      <c r="H768" s="130"/>
      <c r="I768" s="130"/>
      <c r="J768" s="130"/>
      <c r="K768" s="130"/>
      <c r="L768" s="130"/>
      <c r="M768" s="130"/>
      <c r="N768" s="130"/>
      <c r="O768" s="41"/>
      <c r="P768" s="41"/>
    </row>
    <row r="769" spans="1:16" x14ac:dyDescent="0.2">
      <c r="A769" s="49" t="str">
        <v>0:00</v>
      </c>
      <c r="B769" s="108"/>
      <c r="C769" s="130"/>
      <c r="D769" s="130"/>
      <c r="E769" s="130"/>
      <c r="F769" s="130"/>
      <c r="G769" s="130"/>
      <c r="H769" s="130"/>
      <c r="I769" s="130"/>
      <c r="J769" s="130"/>
      <c r="K769" s="130"/>
      <c r="L769" s="130"/>
      <c r="M769" s="130"/>
      <c r="N769" s="130"/>
      <c r="O769" s="41"/>
      <c r="P769" s="41"/>
    </row>
    <row r="770" spans="1:16" x14ac:dyDescent="0.2">
      <c r="A770" s="49" t="str">
        <v>0:00</v>
      </c>
      <c r="B770" s="108"/>
      <c r="C770" s="130"/>
      <c r="D770" s="130"/>
      <c r="E770" s="130"/>
      <c r="F770" s="130"/>
      <c r="G770" s="130"/>
      <c r="H770" s="130"/>
      <c r="I770" s="130"/>
      <c r="J770" s="130"/>
      <c r="K770" s="130"/>
      <c r="L770" s="130"/>
      <c r="M770" s="130"/>
      <c r="N770" s="130"/>
      <c r="O770" s="41"/>
      <c r="P770" s="41"/>
    </row>
    <row r="771" spans="1:16" x14ac:dyDescent="0.2">
      <c r="A771" s="49" t="str">
        <v>0:00</v>
      </c>
      <c r="B771" s="108"/>
      <c r="C771" s="130"/>
      <c r="D771" s="130"/>
      <c r="E771" s="130"/>
      <c r="F771" s="130"/>
      <c r="G771" s="130"/>
      <c r="H771" s="130"/>
      <c r="I771" s="130"/>
      <c r="J771" s="130"/>
      <c r="K771" s="130"/>
      <c r="L771" s="130"/>
      <c r="M771" s="130"/>
      <c r="N771" s="130"/>
      <c r="O771" s="41"/>
      <c r="P771" s="41"/>
    </row>
    <row r="772" spans="1:16" x14ac:dyDescent="0.2">
      <c r="A772" s="49" t="str">
        <v>0:00</v>
      </c>
      <c r="B772" s="108"/>
      <c r="C772" s="130"/>
      <c r="D772" s="130"/>
      <c r="E772" s="130"/>
      <c r="F772" s="130"/>
      <c r="G772" s="130"/>
      <c r="H772" s="130"/>
      <c r="I772" s="130"/>
      <c r="J772" s="130"/>
      <c r="K772" s="130"/>
      <c r="L772" s="130"/>
      <c r="M772" s="130"/>
      <c r="N772" s="130"/>
      <c r="O772" s="41"/>
      <c r="P772" s="41"/>
    </row>
    <row r="773" spans="1:16" x14ac:dyDescent="0.2">
      <c r="A773" s="49" t="str">
        <v>0:00</v>
      </c>
      <c r="B773" s="108"/>
      <c r="C773" s="130"/>
      <c r="D773" s="130"/>
      <c r="E773" s="130"/>
      <c r="F773" s="130"/>
      <c r="G773" s="130"/>
      <c r="H773" s="130"/>
      <c r="I773" s="130"/>
      <c r="J773" s="130"/>
      <c r="K773" s="130"/>
      <c r="L773" s="130"/>
      <c r="M773" s="130"/>
      <c r="N773" s="130"/>
      <c r="O773" s="41"/>
      <c r="P773" s="41"/>
    </row>
    <row r="774" spans="1:16" x14ac:dyDescent="0.2">
      <c r="A774" s="49" t="str">
        <v>0:00</v>
      </c>
      <c r="B774" s="108"/>
      <c r="C774" s="130"/>
      <c r="D774" s="130"/>
      <c r="E774" s="130"/>
      <c r="F774" s="130"/>
      <c r="G774" s="130"/>
      <c r="H774" s="130"/>
      <c r="I774" s="130"/>
      <c r="J774" s="130"/>
      <c r="K774" s="130"/>
      <c r="L774" s="130"/>
      <c r="M774" s="130"/>
      <c r="N774" s="130"/>
      <c r="O774" s="41"/>
      <c r="P774" s="41"/>
    </row>
    <row r="775" spans="1:16" x14ac:dyDescent="0.2">
      <c r="A775" s="49" t="str">
        <v>0:00</v>
      </c>
      <c r="B775" s="108"/>
      <c r="C775" s="130"/>
      <c r="D775" s="130"/>
      <c r="E775" s="130"/>
      <c r="F775" s="130"/>
      <c r="G775" s="130"/>
      <c r="H775" s="130"/>
      <c r="I775" s="130"/>
      <c r="J775" s="130"/>
      <c r="K775" s="130"/>
      <c r="L775" s="130"/>
      <c r="M775" s="130"/>
      <c r="N775" s="130"/>
      <c r="O775" s="41"/>
      <c r="P775" s="41"/>
    </row>
    <row r="776" spans="1:16" x14ac:dyDescent="0.2">
      <c r="A776" s="49" t="str">
        <v>0:00</v>
      </c>
      <c r="B776" s="108"/>
      <c r="C776" s="130"/>
      <c r="D776" s="130"/>
      <c r="E776" s="130"/>
      <c r="F776" s="130"/>
      <c r="G776" s="130"/>
      <c r="H776" s="130"/>
      <c r="I776" s="130"/>
      <c r="J776" s="130"/>
      <c r="K776" s="130"/>
      <c r="L776" s="130"/>
      <c r="M776" s="130"/>
      <c r="N776" s="130"/>
      <c r="O776" s="41"/>
      <c r="P776" s="41"/>
    </row>
    <row r="777" spans="1:16" x14ac:dyDescent="0.2">
      <c r="A777" s="49" t="str">
        <v>0:00</v>
      </c>
      <c r="B777" s="108"/>
      <c r="C777" s="130"/>
      <c r="D777" s="130"/>
      <c r="E777" s="130"/>
      <c r="F777" s="130"/>
      <c r="G777" s="130"/>
      <c r="H777" s="130"/>
      <c r="I777" s="130"/>
      <c r="J777" s="130"/>
      <c r="K777" s="130"/>
      <c r="L777" s="130"/>
      <c r="M777" s="130"/>
      <c r="N777" s="130"/>
      <c r="O777" s="41"/>
      <c r="P777" s="41"/>
    </row>
    <row r="778" spans="1:16" x14ac:dyDescent="0.2">
      <c r="A778" s="49" t="str">
        <v>0:00</v>
      </c>
      <c r="B778" s="108"/>
      <c r="C778" s="130"/>
      <c r="D778" s="130"/>
      <c r="E778" s="130"/>
      <c r="F778" s="130"/>
      <c r="G778" s="130"/>
      <c r="H778" s="130"/>
      <c r="I778" s="130"/>
      <c r="J778" s="130"/>
      <c r="K778" s="130"/>
      <c r="L778" s="130"/>
      <c r="M778" s="130"/>
      <c r="N778" s="130"/>
      <c r="O778" s="41"/>
      <c r="P778" s="41"/>
    </row>
    <row r="779" spans="1:16" x14ac:dyDescent="0.2">
      <c r="A779" s="49" t="str">
        <v>0:00</v>
      </c>
      <c r="B779" s="108"/>
      <c r="C779" s="130"/>
      <c r="D779" s="130"/>
      <c r="E779" s="130"/>
      <c r="F779" s="130"/>
      <c r="G779" s="130"/>
      <c r="H779" s="130"/>
      <c r="I779" s="130"/>
      <c r="J779" s="130"/>
      <c r="K779" s="130"/>
      <c r="L779" s="130"/>
      <c r="M779" s="130"/>
      <c r="N779" s="130"/>
      <c r="O779" s="41"/>
      <c r="P779" s="41"/>
    </row>
    <row r="780" spans="1:16" x14ac:dyDescent="0.2">
      <c r="A780" s="49" t="str">
        <v>0:00</v>
      </c>
      <c r="B780" s="108"/>
      <c r="C780" s="130"/>
      <c r="D780" s="130"/>
      <c r="E780" s="130"/>
      <c r="F780" s="130"/>
      <c r="G780" s="130"/>
      <c r="H780" s="130"/>
      <c r="I780" s="130"/>
      <c r="J780" s="130"/>
      <c r="K780" s="130"/>
      <c r="L780" s="130"/>
      <c r="M780" s="130"/>
      <c r="N780" s="130"/>
      <c r="O780" s="41"/>
      <c r="P780" s="41"/>
    </row>
    <row r="781" spans="1:16" x14ac:dyDescent="0.2">
      <c r="A781" s="49" t="str">
        <v>0:00</v>
      </c>
      <c r="B781" s="108"/>
      <c r="C781" s="130"/>
      <c r="D781" s="130"/>
      <c r="E781" s="130"/>
      <c r="F781" s="130"/>
      <c r="G781" s="130"/>
      <c r="H781" s="130"/>
      <c r="I781" s="130"/>
      <c r="J781" s="130"/>
      <c r="K781" s="130"/>
      <c r="L781" s="130"/>
      <c r="M781" s="130"/>
      <c r="N781" s="130"/>
      <c r="O781" s="41"/>
      <c r="P781" s="41"/>
    </row>
    <row r="782" spans="1:16" x14ac:dyDescent="0.2">
      <c r="A782" s="49" t="str">
        <v>0:00</v>
      </c>
      <c r="B782" s="108"/>
      <c r="C782" s="130"/>
      <c r="D782" s="130"/>
      <c r="E782" s="130"/>
      <c r="F782" s="130"/>
      <c r="G782" s="130"/>
      <c r="H782" s="130"/>
      <c r="I782" s="130"/>
      <c r="J782" s="130"/>
      <c r="K782" s="130"/>
      <c r="L782" s="130"/>
      <c r="M782" s="130"/>
      <c r="N782" s="130"/>
      <c r="O782" s="41"/>
      <c r="P782" s="41"/>
    </row>
    <row r="783" spans="1:16" x14ac:dyDescent="0.2">
      <c r="A783" s="49" t="str">
        <v>0:00</v>
      </c>
      <c r="B783" s="108"/>
      <c r="C783" s="130"/>
      <c r="D783" s="130"/>
      <c r="E783" s="130"/>
      <c r="F783" s="130"/>
      <c r="G783" s="130"/>
      <c r="H783" s="130"/>
      <c r="I783" s="130"/>
      <c r="J783" s="130"/>
      <c r="K783" s="130"/>
      <c r="L783" s="130"/>
      <c r="M783" s="130"/>
      <c r="N783" s="130"/>
      <c r="O783" s="41"/>
      <c r="P783" s="41"/>
    </row>
    <row r="784" spans="1:16" x14ac:dyDescent="0.2">
      <c r="A784" s="49" t="str">
        <v>0:00</v>
      </c>
      <c r="B784" s="108"/>
      <c r="C784" s="130"/>
      <c r="D784" s="130"/>
      <c r="E784" s="130"/>
      <c r="F784" s="130"/>
      <c r="G784" s="130"/>
      <c r="H784" s="130"/>
      <c r="I784" s="130"/>
      <c r="J784" s="130"/>
      <c r="K784" s="130"/>
      <c r="L784" s="130"/>
      <c r="M784" s="130"/>
      <c r="N784" s="130"/>
      <c r="O784" s="41"/>
      <c r="P784" s="41"/>
    </row>
    <row r="785" spans="1:16" x14ac:dyDescent="0.2">
      <c r="A785" s="49" t="str">
        <v>0:00</v>
      </c>
      <c r="B785" s="108"/>
      <c r="C785" s="130"/>
      <c r="D785" s="130"/>
      <c r="E785" s="130"/>
      <c r="F785" s="130"/>
      <c r="G785" s="130"/>
      <c r="H785" s="130"/>
      <c r="I785" s="130"/>
      <c r="J785" s="130"/>
      <c r="K785" s="130"/>
      <c r="L785" s="130"/>
      <c r="M785" s="130"/>
      <c r="N785" s="130"/>
      <c r="O785" s="41"/>
      <c r="P785" s="41"/>
    </row>
    <row r="786" spans="1:16" x14ac:dyDescent="0.2">
      <c r="A786" s="49" t="str">
        <v>0:00</v>
      </c>
      <c r="B786" s="108"/>
      <c r="C786" s="130"/>
      <c r="D786" s="130"/>
      <c r="E786" s="130"/>
      <c r="F786" s="130"/>
      <c r="G786" s="130"/>
      <c r="H786" s="130"/>
      <c r="I786" s="130"/>
      <c r="J786" s="130"/>
      <c r="K786" s="130"/>
      <c r="L786" s="130"/>
      <c r="M786" s="130"/>
      <c r="N786" s="130"/>
      <c r="O786" s="41"/>
      <c r="P786" s="41"/>
    </row>
    <row r="787" spans="1:16" x14ac:dyDescent="0.2">
      <c r="A787" s="49" t="str">
        <v>0:00</v>
      </c>
      <c r="B787" s="108"/>
      <c r="C787" s="130"/>
      <c r="D787" s="130"/>
      <c r="E787" s="130"/>
      <c r="F787" s="130"/>
      <c r="G787" s="130"/>
      <c r="H787" s="130"/>
      <c r="I787" s="130"/>
      <c r="J787" s="130"/>
      <c r="K787" s="130"/>
      <c r="L787" s="130"/>
      <c r="M787" s="130"/>
      <c r="N787" s="130"/>
      <c r="O787" s="41"/>
      <c r="P787" s="41"/>
    </row>
    <row r="788" spans="1:16" x14ac:dyDescent="0.2">
      <c r="A788" s="49" t="str">
        <v>0:00</v>
      </c>
      <c r="B788" s="108"/>
      <c r="C788" s="130"/>
      <c r="D788" s="130"/>
      <c r="E788" s="130"/>
      <c r="F788" s="130"/>
      <c r="G788" s="130"/>
      <c r="H788" s="130"/>
      <c r="I788" s="130"/>
      <c r="J788" s="130"/>
      <c r="K788" s="130"/>
      <c r="L788" s="130"/>
      <c r="M788" s="130"/>
      <c r="N788" s="130"/>
      <c r="O788" s="41"/>
      <c r="P788" s="41"/>
    </row>
    <row r="789" spans="1:16" x14ac:dyDescent="0.2">
      <c r="A789" s="49" t="str">
        <v>0:00</v>
      </c>
      <c r="B789" s="108"/>
      <c r="C789" s="130"/>
      <c r="D789" s="130"/>
      <c r="E789" s="130"/>
      <c r="F789" s="130"/>
      <c r="G789" s="130"/>
      <c r="H789" s="130"/>
      <c r="I789" s="130"/>
      <c r="J789" s="130"/>
      <c r="K789" s="130"/>
      <c r="L789" s="130"/>
      <c r="M789" s="130"/>
      <c r="N789" s="130"/>
      <c r="O789" s="41"/>
      <c r="P789" s="41"/>
    </row>
    <row r="790" spans="1:16" x14ac:dyDescent="0.2">
      <c r="A790" s="49" t="str">
        <v>0:00</v>
      </c>
      <c r="B790" s="108"/>
      <c r="C790" s="130"/>
      <c r="D790" s="130"/>
      <c r="E790" s="130"/>
      <c r="F790" s="130"/>
      <c r="G790" s="130"/>
      <c r="H790" s="130"/>
      <c r="I790" s="130"/>
      <c r="J790" s="130"/>
      <c r="K790" s="130"/>
      <c r="L790" s="130"/>
      <c r="M790" s="130"/>
      <c r="N790" s="130"/>
      <c r="O790" s="41"/>
      <c r="P790" s="41"/>
    </row>
    <row r="791" spans="1:16" x14ac:dyDescent="0.2">
      <c r="A791" s="49" t="str">
        <v>0:00</v>
      </c>
      <c r="B791" s="108"/>
      <c r="C791" s="130"/>
      <c r="D791" s="130"/>
      <c r="E791" s="130"/>
      <c r="F791" s="130"/>
      <c r="G791" s="130"/>
      <c r="H791" s="130"/>
      <c r="I791" s="130"/>
      <c r="J791" s="130"/>
      <c r="K791" s="130"/>
      <c r="L791" s="130"/>
      <c r="M791" s="130"/>
      <c r="N791" s="130"/>
      <c r="O791" s="41"/>
      <c r="P791" s="41"/>
    </row>
    <row r="792" spans="1:16" x14ac:dyDescent="0.2">
      <c r="A792" s="49" t="str">
        <v>0:00</v>
      </c>
      <c r="B792" s="108"/>
      <c r="C792" s="130"/>
      <c r="D792" s="130"/>
      <c r="E792" s="130"/>
      <c r="F792" s="130"/>
      <c r="G792" s="130"/>
      <c r="H792" s="130"/>
      <c r="I792" s="130"/>
      <c r="J792" s="130"/>
      <c r="K792" s="130"/>
      <c r="L792" s="130"/>
      <c r="M792" s="130"/>
      <c r="N792" s="130"/>
      <c r="O792" s="41"/>
      <c r="P792" s="41"/>
    </row>
    <row r="793" spans="1:16" x14ac:dyDescent="0.2">
      <c r="A793" s="49" t="str">
        <v>0:00</v>
      </c>
      <c r="B793" s="108"/>
      <c r="C793" s="130"/>
      <c r="D793" s="130"/>
      <c r="E793" s="130"/>
      <c r="F793" s="130"/>
      <c r="G793" s="130"/>
      <c r="H793" s="130"/>
      <c r="I793" s="130"/>
      <c r="J793" s="130"/>
      <c r="K793" s="130"/>
      <c r="L793" s="130"/>
      <c r="M793" s="130"/>
      <c r="N793" s="130"/>
      <c r="O793" s="41"/>
      <c r="P793" s="41"/>
    </row>
    <row r="794" spans="1:16" x14ac:dyDescent="0.2">
      <c r="A794" s="49" t="str">
        <v>0:00</v>
      </c>
      <c r="B794" s="108"/>
      <c r="C794" s="130"/>
      <c r="D794" s="130"/>
      <c r="E794" s="130"/>
      <c r="F794" s="130"/>
      <c r="G794" s="130"/>
      <c r="H794" s="130"/>
      <c r="I794" s="130"/>
      <c r="J794" s="130"/>
      <c r="K794" s="130"/>
      <c r="L794" s="130"/>
      <c r="M794" s="130"/>
      <c r="N794" s="130"/>
      <c r="O794" s="41"/>
      <c r="P794" s="41"/>
    </row>
    <row r="795" spans="1:16" x14ac:dyDescent="0.2">
      <c r="A795" s="49" t="str">
        <v>0:00</v>
      </c>
      <c r="B795" s="108"/>
      <c r="C795" s="130"/>
      <c r="D795" s="130"/>
      <c r="E795" s="130"/>
      <c r="F795" s="130"/>
      <c r="G795" s="130"/>
      <c r="H795" s="130"/>
      <c r="I795" s="130"/>
      <c r="J795" s="130"/>
      <c r="K795" s="130"/>
      <c r="L795" s="130"/>
      <c r="M795" s="130"/>
      <c r="N795" s="130"/>
      <c r="O795" s="41"/>
      <c r="P795" s="41"/>
    </row>
    <row r="796" spans="1:16" x14ac:dyDescent="0.2">
      <c r="A796" s="49" t="str">
        <v>0:00</v>
      </c>
      <c r="B796" s="108"/>
      <c r="C796" s="130"/>
      <c r="D796" s="130"/>
      <c r="E796" s="130"/>
      <c r="F796" s="130"/>
      <c r="G796" s="130"/>
      <c r="H796" s="130"/>
      <c r="I796" s="130"/>
      <c r="J796" s="130"/>
      <c r="K796" s="130"/>
      <c r="L796" s="130"/>
      <c r="M796" s="130"/>
      <c r="N796" s="130"/>
      <c r="O796" s="41"/>
      <c r="P796" s="41"/>
    </row>
    <row r="797" spans="1:16" x14ac:dyDescent="0.2">
      <c r="A797" s="49" t="str">
        <v>0:00</v>
      </c>
      <c r="B797" s="108"/>
      <c r="C797" s="130"/>
      <c r="D797" s="130"/>
      <c r="E797" s="130"/>
      <c r="F797" s="130"/>
      <c r="G797" s="130"/>
      <c r="H797" s="130"/>
      <c r="I797" s="130"/>
      <c r="J797" s="130"/>
      <c r="K797" s="130"/>
      <c r="L797" s="130"/>
      <c r="M797" s="130"/>
      <c r="N797" s="130"/>
      <c r="O797" s="41"/>
      <c r="P797" s="41"/>
    </row>
    <row r="798" spans="1:16" x14ac:dyDescent="0.2">
      <c r="A798" s="49" t="str">
        <v>0:00</v>
      </c>
      <c r="B798" s="108"/>
      <c r="C798" s="130"/>
      <c r="D798" s="130"/>
      <c r="E798" s="130"/>
      <c r="F798" s="130"/>
      <c r="G798" s="130"/>
      <c r="H798" s="130"/>
      <c r="I798" s="130"/>
      <c r="J798" s="130"/>
      <c r="K798" s="130"/>
      <c r="L798" s="130"/>
      <c r="M798" s="130"/>
      <c r="N798" s="130"/>
      <c r="O798" s="41"/>
      <c r="P798" s="41"/>
    </row>
    <row r="799" spans="1:16" x14ac:dyDescent="0.2">
      <c r="A799" s="49" t="str">
        <v>0:00</v>
      </c>
      <c r="B799" s="108"/>
      <c r="C799" s="130"/>
      <c r="D799" s="130"/>
      <c r="E799" s="130"/>
      <c r="F799" s="130"/>
      <c r="G799" s="130"/>
      <c r="H799" s="130"/>
      <c r="I799" s="130"/>
      <c r="J799" s="130"/>
      <c r="K799" s="130"/>
      <c r="L799" s="130"/>
      <c r="M799" s="130"/>
      <c r="N799" s="130"/>
      <c r="O799" s="41"/>
      <c r="P799" s="41"/>
    </row>
    <row r="800" spans="1:16" x14ac:dyDescent="0.2">
      <c r="A800" s="49" t="str">
        <v>0:00</v>
      </c>
      <c r="B800" s="108"/>
      <c r="C800" s="130"/>
      <c r="D800" s="130"/>
      <c r="E800" s="130"/>
      <c r="F800" s="130"/>
      <c r="G800" s="130"/>
      <c r="H800" s="130"/>
      <c r="I800" s="130"/>
      <c r="J800" s="130"/>
      <c r="K800" s="130"/>
      <c r="L800" s="130"/>
      <c r="M800" s="130"/>
      <c r="N800" s="130"/>
      <c r="O800" s="41"/>
      <c r="P800" s="41"/>
    </row>
    <row r="801" spans="1:16" x14ac:dyDescent="0.2">
      <c r="A801" s="49" t="str">
        <v>0:00</v>
      </c>
      <c r="B801" s="108"/>
      <c r="C801" s="130"/>
      <c r="D801" s="130"/>
      <c r="E801" s="130"/>
      <c r="F801" s="130"/>
      <c r="G801" s="130"/>
      <c r="H801" s="130"/>
      <c r="I801" s="130"/>
      <c r="J801" s="130"/>
      <c r="K801" s="130"/>
      <c r="L801" s="130"/>
      <c r="M801" s="130"/>
      <c r="N801" s="130"/>
      <c r="O801" s="41"/>
      <c r="P801" s="41"/>
    </row>
    <row r="802" spans="1:16" x14ac:dyDescent="0.2">
      <c r="A802" s="49" t="str">
        <v>0:00</v>
      </c>
      <c r="B802" s="108"/>
      <c r="C802" s="130"/>
      <c r="D802" s="130"/>
      <c r="E802" s="130"/>
      <c r="F802" s="130"/>
      <c r="G802" s="130"/>
      <c r="H802" s="130"/>
      <c r="I802" s="130"/>
      <c r="J802" s="130"/>
      <c r="K802" s="130"/>
      <c r="L802" s="130"/>
      <c r="M802" s="130"/>
      <c r="N802" s="130"/>
      <c r="O802" s="41"/>
      <c r="P802" s="41"/>
    </row>
    <row r="803" spans="1:16" x14ac:dyDescent="0.2">
      <c r="A803" s="49" t="str">
        <v>0:00</v>
      </c>
      <c r="B803" s="108"/>
      <c r="C803" s="130"/>
      <c r="D803" s="130"/>
      <c r="E803" s="130"/>
      <c r="F803" s="130"/>
      <c r="G803" s="130"/>
      <c r="H803" s="130"/>
      <c r="I803" s="130"/>
      <c r="J803" s="130"/>
      <c r="K803" s="130"/>
      <c r="L803" s="130"/>
      <c r="M803" s="130"/>
      <c r="N803" s="130"/>
      <c r="O803" s="41"/>
      <c r="P803" s="41"/>
    </row>
    <row r="804" spans="1:16" x14ac:dyDescent="0.2">
      <c r="A804" s="49" t="str">
        <v>0:00</v>
      </c>
      <c r="B804" s="108"/>
      <c r="C804" s="130"/>
      <c r="D804" s="130"/>
      <c r="E804" s="130"/>
      <c r="F804" s="130"/>
      <c r="G804" s="130"/>
      <c r="H804" s="130"/>
      <c r="I804" s="130"/>
      <c r="J804" s="130"/>
      <c r="K804" s="130"/>
      <c r="L804" s="130"/>
      <c r="M804" s="130"/>
      <c r="N804" s="130"/>
      <c r="O804" s="41"/>
      <c r="P804" s="41"/>
    </row>
    <row r="805" spans="1:16" x14ac:dyDescent="0.2">
      <c r="A805" s="49" t="str">
        <v>0:00</v>
      </c>
      <c r="B805" s="108"/>
      <c r="C805" s="130"/>
      <c r="D805" s="130"/>
      <c r="E805" s="130"/>
      <c r="F805" s="130"/>
      <c r="G805" s="130"/>
      <c r="H805" s="130"/>
      <c r="I805" s="130"/>
      <c r="J805" s="130"/>
      <c r="K805" s="130"/>
      <c r="L805" s="130"/>
      <c r="M805" s="130"/>
      <c r="N805" s="130"/>
      <c r="O805" s="41"/>
      <c r="P805" s="41"/>
    </row>
    <row r="806" spans="1:16" x14ac:dyDescent="0.2">
      <c r="A806" s="49" t="str">
        <v>0:00</v>
      </c>
      <c r="B806" s="108"/>
      <c r="C806" s="130"/>
      <c r="D806" s="130"/>
      <c r="E806" s="130"/>
      <c r="F806" s="130"/>
      <c r="G806" s="130"/>
      <c r="H806" s="130"/>
      <c r="I806" s="130"/>
      <c r="J806" s="130"/>
      <c r="K806" s="130"/>
      <c r="L806" s="130"/>
      <c r="M806" s="130"/>
      <c r="N806" s="130"/>
      <c r="O806" s="41"/>
      <c r="P806" s="41"/>
    </row>
    <row r="807" spans="1:16" x14ac:dyDescent="0.2">
      <c r="A807" s="49" t="str">
        <v>0:00</v>
      </c>
      <c r="B807" s="108"/>
      <c r="C807" s="130"/>
      <c r="D807" s="130"/>
      <c r="E807" s="130"/>
      <c r="F807" s="130"/>
      <c r="G807" s="130"/>
      <c r="H807" s="130"/>
      <c r="I807" s="130"/>
      <c r="J807" s="130"/>
      <c r="K807" s="130"/>
      <c r="L807" s="130"/>
      <c r="M807" s="130"/>
      <c r="N807" s="130"/>
      <c r="O807" s="41"/>
      <c r="P807" s="41"/>
    </row>
    <row r="808" spans="1:16" x14ac:dyDescent="0.2">
      <c r="A808" s="49" t="str">
        <v>0:00</v>
      </c>
      <c r="B808" s="108"/>
      <c r="C808" s="130"/>
      <c r="D808" s="130"/>
      <c r="E808" s="130"/>
      <c r="F808" s="130"/>
      <c r="G808" s="130"/>
      <c r="H808" s="130"/>
      <c r="I808" s="130"/>
      <c r="J808" s="130"/>
      <c r="K808" s="130"/>
      <c r="L808" s="130"/>
      <c r="M808" s="130"/>
      <c r="N808" s="130"/>
      <c r="O808" s="41"/>
      <c r="P808" s="41"/>
    </row>
    <row r="809" spans="1:16" x14ac:dyDescent="0.2">
      <c r="A809" s="49" t="str">
        <v>0:00</v>
      </c>
      <c r="B809" s="108"/>
      <c r="C809" s="130"/>
      <c r="D809" s="130"/>
      <c r="E809" s="130"/>
      <c r="F809" s="130"/>
      <c r="G809" s="130"/>
      <c r="H809" s="130"/>
      <c r="I809" s="130"/>
      <c r="J809" s="130"/>
      <c r="K809" s="130"/>
      <c r="L809" s="130"/>
      <c r="M809" s="130"/>
      <c r="N809" s="130"/>
      <c r="O809" s="41"/>
      <c r="P809" s="41"/>
    </row>
    <row r="810" spans="1:16" x14ac:dyDescent="0.2">
      <c r="A810" s="49" t="str">
        <v>0:00</v>
      </c>
      <c r="B810" s="108"/>
      <c r="C810" s="130"/>
      <c r="D810" s="130"/>
      <c r="E810" s="130"/>
      <c r="F810" s="130"/>
      <c r="G810" s="130"/>
      <c r="H810" s="130"/>
      <c r="I810" s="130"/>
      <c r="J810" s="130"/>
      <c r="K810" s="130"/>
      <c r="L810" s="130"/>
      <c r="M810" s="130"/>
      <c r="N810" s="130"/>
      <c r="O810" s="41"/>
      <c r="P810" s="41"/>
    </row>
    <row r="811" spans="1:16" x14ac:dyDescent="0.2">
      <c r="A811" s="49" t="str">
        <v>0:00</v>
      </c>
      <c r="B811" s="108"/>
      <c r="C811" s="130"/>
      <c r="D811" s="130"/>
      <c r="E811" s="130"/>
      <c r="F811" s="130"/>
      <c r="G811" s="130"/>
      <c r="H811" s="130"/>
      <c r="I811" s="130"/>
      <c r="J811" s="130"/>
      <c r="K811" s="130"/>
      <c r="L811" s="130"/>
      <c r="M811" s="130"/>
      <c r="N811" s="130"/>
      <c r="O811" s="41"/>
      <c r="P811" s="41"/>
    </row>
    <row r="812" spans="1:16" x14ac:dyDescent="0.2">
      <c r="A812" s="49" t="str">
        <v>0:00</v>
      </c>
      <c r="B812" s="108"/>
      <c r="C812" s="130"/>
      <c r="D812" s="130"/>
      <c r="E812" s="130"/>
      <c r="F812" s="130"/>
      <c r="G812" s="130"/>
      <c r="H812" s="130"/>
      <c r="I812" s="130"/>
      <c r="J812" s="130"/>
      <c r="K812" s="130"/>
      <c r="L812" s="130"/>
      <c r="M812" s="130"/>
      <c r="N812" s="130"/>
      <c r="O812" s="41"/>
      <c r="P812" s="41"/>
    </row>
    <row r="813" spans="1:16" x14ac:dyDescent="0.2">
      <c r="A813" s="49" t="str">
        <v>0:00</v>
      </c>
      <c r="B813" s="108"/>
      <c r="C813" s="130"/>
      <c r="D813" s="130"/>
      <c r="E813" s="130"/>
      <c r="F813" s="130"/>
      <c r="G813" s="130"/>
      <c r="H813" s="130"/>
      <c r="I813" s="130"/>
      <c r="J813" s="130"/>
      <c r="K813" s="130"/>
      <c r="L813" s="130"/>
      <c r="M813" s="130"/>
      <c r="N813" s="130"/>
      <c r="O813" s="41"/>
      <c r="P813" s="41"/>
    </row>
    <row r="814" spans="1:16" x14ac:dyDescent="0.2">
      <c r="A814" s="49" t="str">
        <v>0:00</v>
      </c>
      <c r="B814" s="108"/>
      <c r="C814" s="130"/>
      <c r="D814" s="130"/>
      <c r="E814" s="130"/>
      <c r="F814" s="130"/>
      <c r="G814" s="130"/>
      <c r="H814" s="130"/>
      <c r="I814" s="130"/>
      <c r="J814" s="130"/>
      <c r="K814" s="130"/>
      <c r="L814" s="130"/>
      <c r="M814" s="130"/>
      <c r="N814" s="130"/>
      <c r="O814" s="41"/>
      <c r="P814" s="41"/>
    </row>
    <row r="815" spans="1:16" x14ac:dyDescent="0.2">
      <c r="A815" s="49" t="str">
        <v>0:00</v>
      </c>
      <c r="B815" s="108"/>
      <c r="C815" s="130"/>
      <c r="D815" s="130"/>
      <c r="E815" s="130"/>
      <c r="F815" s="130"/>
      <c r="G815" s="130"/>
      <c r="H815" s="130"/>
      <c r="I815" s="130"/>
      <c r="J815" s="130"/>
      <c r="K815" s="130"/>
      <c r="L815" s="130"/>
      <c r="M815" s="130"/>
      <c r="N815" s="130"/>
      <c r="O815" s="41"/>
      <c r="P815" s="41"/>
    </row>
    <row r="816" spans="1:16" x14ac:dyDescent="0.2">
      <c r="A816" s="49" t="str">
        <v>0:00</v>
      </c>
      <c r="B816" s="108"/>
      <c r="C816" s="130"/>
      <c r="D816" s="130"/>
      <c r="E816" s="130"/>
      <c r="F816" s="130"/>
      <c r="G816" s="130"/>
      <c r="H816" s="130"/>
      <c r="I816" s="130"/>
      <c r="J816" s="130"/>
      <c r="K816" s="130"/>
      <c r="L816" s="130"/>
      <c r="M816" s="130"/>
      <c r="N816" s="130"/>
      <c r="O816" s="41"/>
      <c r="P816" s="41"/>
    </row>
    <row r="817" spans="1:16" x14ac:dyDescent="0.2">
      <c r="A817" s="49" t="str">
        <v>0:00</v>
      </c>
      <c r="B817" s="108"/>
      <c r="C817" s="130"/>
      <c r="D817" s="130"/>
      <c r="E817" s="130"/>
      <c r="F817" s="130"/>
      <c r="G817" s="130"/>
      <c r="H817" s="130"/>
      <c r="I817" s="130"/>
      <c r="J817" s="130"/>
      <c r="K817" s="130"/>
      <c r="L817" s="130"/>
      <c r="M817" s="130"/>
      <c r="N817" s="130"/>
      <c r="O817" s="41"/>
      <c r="P817" s="41"/>
    </row>
    <row r="818" spans="1:16" x14ac:dyDescent="0.2">
      <c r="A818" s="49" t="str">
        <v>0:00</v>
      </c>
      <c r="B818" s="108"/>
      <c r="C818" s="130"/>
      <c r="D818" s="130"/>
      <c r="E818" s="130"/>
      <c r="F818" s="130"/>
      <c r="G818" s="130"/>
      <c r="H818" s="130"/>
      <c r="I818" s="130"/>
      <c r="J818" s="130"/>
      <c r="K818" s="130"/>
      <c r="L818" s="130"/>
      <c r="M818" s="130"/>
      <c r="N818" s="130"/>
      <c r="O818" s="41"/>
      <c r="P818" s="41"/>
    </row>
    <row r="819" spans="1:16" x14ac:dyDescent="0.2">
      <c r="A819" s="49" t="str">
        <v>0:00</v>
      </c>
      <c r="B819" s="108"/>
      <c r="C819" s="130"/>
      <c r="D819" s="130"/>
      <c r="E819" s="130"/>
      <c r="F819" s="130"/>
      <c r="G819" s="130"/>
      <c r="H819" s="130"/>
      <c r="I819" s="130"/>
      <c r="J819" s="130"/>
      <c r="K819" s="130"/>
      <c r="L819" s="130"/>
      <c r="M819" s="130"/>
      <c r="N819" s="130"/>
      <c r="O819" s="41"/>
      <c r="P819" s="41"/>
    </row>
    <row r="820" spans="1:16" x14ac:dyDescent="0.2">
      <c r="A820" s="49" t="str">
        <v>0:00</v>
      </c>
      <c r="B820" s="108"/>
      <c r="C820" s="130"/>
      <c r="D820" s="130"/>
      <c r="E820" s="130"/>
      <c r="F820" s="130"/>
      <c r="G820" s="130"/>
      <c r="H820" s="130"/>
      <c r="I820" s="130"/>
      <c r="J820" s="130"/>
      <c r="K820" s="130"/>
      <c r="L820" s="130"/>
      <c r="M820" s="130"/>
      <c r="N820" s="130"/>
      <c r="O820" s="41"/>
      <c r="P820" s="41"/>
    </row>
    <row r="821" spans="1:16" x14ac:dyDescent="0.2">
      <c r="A821" s="49" t="str">
        <v>0:00</v>
      </c>
      <c r="B821" s="108"/>
      <c r="C821" s="130"/>
      <c r="D821" s="130"/>
      <c r="E821" s="130"/>
      <c r="F821" s="130"/>
      <c r="G821" s="130"/>
      <c r="H821" s="130"/>
      <c r="I821" s="130"/>
      <c r="J821" s="130"/>
      <c r="K821" s="130"/>
      <c r="L821" s="130"/>
      <c r="M821" s="130"/>
      <c r="N821" s="130"/>
      <c r="O821" s="41"/>
      <c r="P821" s="41"/>
    </row>
    <row r="822" spans="1:16" x14ac:dyDescent="0.2">
      <c r="A822" s="49" t="str">
        <v>0:00</v>
      </c>
      <c r="B822" s="108"/>
      <c r="C822" s="130"/>
      <c r="D822" s="130"/>
      <c r="E822" s="130"/>
      <c r="F822" s="130"/>
      <c r="G822" s="130"/>
      <c r="H822" s="130"/>
      <c r="I822" s="130"/>
      <c r="J822" s="130"/>
      <c r="K822" s="130"/>
      <c r="L822" s="130"/>
      <c r="M822" s="130"/>
      <c r="N822" s="130"/>
      <c r="O822" s="41"/>
      <c r="P822" s="41"/>
    </row>
    <row r="823" spans="1:16" x14ac:dyDescent="0.2">
      <c r="A823" s="49" t="str">
        <v>0:00</v>
      </c>
      <c r="B823" s="108"/>
      <c r="C823" s="130"/>
      <c r="D823" s="130"/>
      <c r="E823" s="130"/>
      <c r="F823" s="130"/>
      <c r="G823" s="130"/>
      <c r="H823" s="130"/>
      <c r="I823" s="130"/>
      <c r="J823" s="130"/>
      <c r="K823" s="130"/>
      <c r="L823" s="130"/>
      <c r="M823" s="130"/>
      <c r="N823" s="130"/>
      <c r="O823" s="41"/>
      <c r="P823" s="41"/>
    </row>
    <row r="824" spans="1:16" x14ac:dyDescent="0.2">
      <c r="A824" s="49" t="str">
        <v>0:00</v>
      </c>
      <c r="B824" s="108"/>
      <c r="C824" s="130"/>
      <c r="D824" s="130"/>
      <c r="E824" s="130"/>
      <c r="F824" s="130"/>
      <c r="G824" s="130"/>
      <c r="H824" s="130"/>
      <c r="I824" s="130"/>
      <c r="J824" s="130"/>
      <c r="K824" s="130"/>
      <c r="L824" s="130"/>
      <c r="M824" s="130"/>
      <c r="N824" s="130"/>
      <c r="O824" s="41"/>
      <c r="P824" s="41"/>
    </row>
    <row r="825" spans="1:16" x14ac:dyDescent="0.2">
      <c r="A825" s="49" t="str">
        <v>0:00</v>
      </c>
      <c r="B825" s="108"/>
      <c r="C825" s="130"/>
      <c r="D825" s="130"/>
      <c r="E825" s="130"/>
      <c r="F825" s="130"/>
      <c r="G825" s="130"/>
      <c r="H825" s="130"/>
      <c r="I825" s="130"/>
      <c r="J825" s="130"/>
      <c r="K825" s="130"/>
      <c r="L825" s="130"/>
      <c r="M825" s="130"/>
      <c r="N825" s="130"/>
      <c r="O825" s="41"/>
      <c r="P825" s="41"/>
    </row>
    <row r="826" spans="1:16" x14ac:dyDescent="0.2">
      <c r="A826" s="49" t="str">
        <v>0:00</v>
      </c>
      <c r="B826" s="108"/>
      <c r="C826" s="130"/>
      <c r="D826" s="130"/>
      <c r="E826" s="130"/>
      <c r="F826" s="130"/>
      <c r="G826" s="130"/>
      <c r="H826" s="130"/>
      <c r="I826" s="130"/>
      <c r="J826" s="130"/>
      <c r="K826" s="130"/>
      <c r="L826" s="130"/>
      <c r="M826" s="130"/>
      <c r="N826" s="130"/>
      <c r="O826" s="41"/>
      <c r="P826" s="41"/>
    </row>
    <row r="827" spans="1:16" x14ac:dyDescent="0.2">
      <c r="A827" s="49" t="str">
        <v>0:00</v>
      </c>
      <c r="B827" s="108"/>
      <c r="C827" s="130"/>
      <c r="D827" s="130"/>
      <c r="E827" s="130"/>
      <c r="F827" s="130"/>
      <c r="G827" s="130"/>
      <c r="H827" s="130"/>
      <c r="I827" s="130"/>
      <c r="J827" s="130"/>
      <c r="K827" s="130"/>
      <c r="L827" s="130"/>
      <c r="M827" s="130"/>
      <c r="N827" s="130"/>
      <c r="O827" s="41"/>
      <c r="P827" s="41"/>
    </row>
    <row r="828" spans="1:16" x14ac:dyDescent="0.2">
      <c r="A828" s="49" t="str">
        <v>0:00</v>
      </c>
      <c r="B828" s="108"/>
      <c r="C828" s="130"/>
      <c r="D828" s="130"/>
      <c r="E828" s="130"/>
      <c r="F828" s="130"/>
      <c r="G828" s="130"/>
      <c r="H828" s="130"/>
      <c r="I828" s="130"/>
      <c r="J828" s="130"/>
      <c r="K828" s="130"/>
      <c r="L828" s="130"/>
      <c r="M828" s="130"/>
      <c r="N828" s="130"/>
      <c r="O828" s="41"/>
      <c r="P828" s="41"/>
    </row>
    <row r="829" spans="1:16" x14ac:dyDescent="0.2">
      <c r="A829" s="49" t="str">
        <v>0:00</v>
      </c>
      <c r="B829" s="108"/>
      <c r="C829" s="130"/>
      <c r="D829" s="130"/>
      <c r="E829" s="130"/>
      <c r="F829" s="130"/>
      <c r="G829" s="130"/>
      <c r="H829" s="130"/>
      <c r="I829" s="130"/>
      <c r="J829" s="130"/>
      <c r="K829" s="130"/>
      <c r="L829" s="130"/>
      <c r="M829" s="130"/>
      <c r="N829" s="130"/>
      <c r="O829" s="41"/>
      <c r="P829" s="41"/>
    </row>
    <row r="830" spans="1:16" x14ac:dyDescent="0.2">
      <c r="A830" s="49" t="str">
        <v>0:00</v>
      </c>
      <c r="B830" s="108"/>
      <c r="C830" s="130"/>
      <c r="D830" s="130"/>
      <c r="E830" s="130"/>
      <c r="F830" s="130"/>
      <c r="G830" s="130"/>
      <c r="H830" s="130"/>
      <c r="I830" s="130"/>
      <c r="J830" s="130"/>
      <c r="K830" s="130"/>
      <c r="L830" s="130"/>
      <c r="M830" s="130"/>
      <c r="N830" s="130"/>
      <c r="O830" s="41"/>
      <c r="P830" s="41"/>
    </row>
    <row r="831" spans="1:16" x14ac:dyDescent="0.2">
      <c r="A831" s="49" t="str">
        <v>0:00</v>
      </c>
      <c r="B831" s="108"/>
      <c r="C831" s="130"/>
      <c r="D831" s="130"/>
      <c r="E831" s="130"/>
      <c r="F831" s="130"/>
      <c r="G831" s="130"/>
      <c r="H831" s="130"/>
      <c r="I831" s="130"/>
      <c r="J831" s="130"/>
      <c r="K831" s="130"/>
      <c r="L831" s="130"/>
      <c r="M831" s="130"/>
      <c r="N831" s="130"/>
      <c r="O831" s="41"/>
      <c r="P831" s="41"/>
    </row>
    <row r="832" spans="1:16" x14ac:dyDescent="0.2">
      <c r="A832" s="49" t="str">
        <v>0:00</v>
      </c>
      <c r="B832" s="108"/>
      <c r="C832" s="130"/>
      <c r="D832" s="130"/>
      <c r="E832" s="130"/>
      <c r="F832" s="130"/>
      <c r="G832" s="130"/>
      <c r="H832" s="130"/>
      <c r="I832" s="130"/>
      <c r="J832" s="130"/>
      <c r="K832" s="130"/>
      <c r="L832" s="130"/>
      <c r="M832" s="130"/>
      <c r="N832" s="130"/>
      <c r="O832" s="41"/>
      <c r="P832" s="41"/>
    </row>
    <row r="833" spans="1:16" x14ac:dyDescent="0.2">
      <c r="A833" s="49" t="str">
        <v>0:00</v>
      </c>
      <c r="B833" s="108"/>
      <c r="C833" s="130"/>
      <c r="D833" s="130"/>
      <c r="E833" s="130"/>
      <c r="F833" s="130"/>
      <c r="G833" s="130"/>
      <c r="H833" s="130"/>
      <c r="I833" s="130"/>
      <c r="J833" s="130"/>
      <c r="K833" s="130"/>
      <c r="L833" s="130"/>
      <c r="M833" s="130"/>
      <c r="N833" s="130"/>
      <c r="O833" s="41"/>
      <c r="P833" s="41"/>
    </row>
    <row r="834" spans="1:16" x14ac:dyDescent="0.2">
      <c r="A834" s="49" t="str">
        <v>0:00</v>
      </c>
      <c r="B834" s="108"/>
      <c r="C834" s="130"/>
      <c r="D834" s="130"/>
      <c r="E834" s="130"/>
      <c r="F834" s="130"/>
      <c r="G834" s="130"/>
      <c r="H834" s="130"/>
      <c r="I834" s="130"/>
      <c r="J834" s="130"/>
      <c r="K834" s="130"/>
      <c r="L834" s="130"/>
      <c r="M834" s="130"/>
      <c r="N834" s="130"/>
      <c r="O834" s="41"/>
      <c r="P834" s="41"/>
    </row>
    <row r="835" spans="1:16" x14ac:dyDescent="0.2">
      <c r="A835" s="49" t="str">
        <v>0:00</v>
      </c>
      <c r="B835" s="108"/>
      <c r="C835" s="130"/>
      <c r="D835" s="130"/>
      <c r="E835" s="130"/>
      <c r="F835" s="130"/>
      <c r="G835" s="130"/>
      <c r="H835" s="130"/>
      <c r="I835" s="130"/>
      <c r="J835" s="130"/>
      <c r="K835" s="130"/>
      <c r="L835" s="130"/>
      <c r="M835" s="130"/>
      <c r="N835" s="130"/>
      <c r="O835" s="41"/>
      <c r="P835" s="41"/>
    </row>
    <row r="836" spans="1:16" x14ac:dyDescent="0.2">
      <c r="A836" s="49" t="str">
        <v>0:00</v>
      </c>
      <c r="B836" s="108"/>
      <c r="C836" s="130"/>
      <c r="D836" s="130"/>
      <c r="E836" s="130"/>
      <c r="F836" s="130"/>
      <c r="G836" s="130"/>
      <c r="H836" s="130"/>
      <c r="I836" s="130"/>
      <c r="J836" s="130"/>
      <c r="K836" s="130"/>
      <c r="L836" s="130"/>
      <c r="M836" s="130"/>
      <c r="N836" s="130"/>
      <c r="O836" s="41"/>
      <c r="P836" s="41"/>
    </row>
    <row r="837" spans="1:16" x14ac:dyDescent="0.2">
      <c r="A837" s="49" t="str">
        <v>0:00</v>
      </c>
      <c r="B837" s="108"/>
      <c r="C837" s="130"/>
      <c r="D837" s="130"/>
      <c r="E837" s="130"/>
      <c r="F837" s="130"/>
      <c r="G837" s="130"/>
      <c r="H837" s="130"/>
      <c r="I837" s="130"/>
      <c r="J837" s="130"/>
      <c r="K837" s="130"/>
      <c r="L837" s="130"/>
      <c r="M837" s="130"/>
      <c r="N837" s="130"/>
      <c r="O837" s="41"/>
      <c r="P837" s="41"/>
    </row>
    <row r="838" spans="1:16" x14ac:dyDescent="0.2">
      <c r="A838" s="49" t="str">
        <v>0:00</v>
      </c>
      <c r="B838" s="108"/>
      <c r="C838" s="130"/>
      <c r="D838" s="130"/>
      <c r="E838" s="130"/>
      <c r="F838" s="130"/>
      <c r="G838" s="130"/>
      <c r="H838" s="130"/>
      <c r="I838" s="130"/>
      <c r="J838" s="130"/>
      <c r="K838" s="130"/>
      <c r="L838" s="130"/>
      <c r="M838" s="130"/>
      <c r="N838" s="130"/>
      <c r="O838" s="41"/>
      <c r="P838" s="41"/>
    </row>
    <row r="839" spans="1:16" x14ac:dyDescent="0.2">
      <c r="A839" s="49" t="str">
        <v>0:00</v>
      </c>
      <c r="B839" s="108"/>
      <c r="C839" s="130"/>
      <c r="D839" s="130"/>
      <c r="E839" s="130"/>
      <c r="F839" s="130"/>
      <c r="G839" s="130"/>
      <c r="H839" s="130"/>
      <c r="I839" s="130"/>
      <c r="J839" s="130"/>
      <c r="K839" s="130"/>
      <c r="L839" s="130"/>
      <c r="M839" s="130"/>
      <c r="N839" s="130"/>
      <c r="O839" s="41"/>
      <c r="P839" s="41"/>
    </row>
    <row r="840" spans="1:16" x14ac:dyDescent="0.2">
      <c r="A840" s="49" t="str">
        <v>0:00</v>
      </c>
      <c r="B840" s="108"/>
      <c r="C840" s="130"/>
      <c r="D840" s="130"/>
      <c r="E840" s="130"/>
      <c r="F840" s="130"/>
      <c r="G840" s="130"/>
      <c r="H840" s="130"/>
      <c r="I840" s="130"/>
      <c r="J840" s="130"/>
      <c r="K840" s="130"/>
      <c r="L840" s="130"/>
      <c r="M840" s="130"/>
      <c r="N840" s="130"/>
      <c r="O840" s="41"/>
      <c r="P840" s="41"/>
    </row>
    <row r="841" spans="1:16" x14ac:dyDescent="0.2">
      <c r="A841" s="49" t="str">
        <v>0:00</v>
      </c>
      <c r="B841" s="108"/>
      <c r="C841" s="130"/>
      <c r="D841" s="130"/>
      <c r="E841" s="130"/>
      <c r="F841" s="130"/>
      <c r="G841" s="130"/>
      <c r="H841" s="130"/>
      <c r="I841" s="130"/>
      <c r="J841" s="130"/>
      <c r="K841" s="130"/>
      <c r="L841" s="130"/>
      <c r="M841" s="130"/>
      <c r="N841" s="130"/>
      <c r="O841" s="41"/>
      <c r="P841" s="41"/>
    </row>
    <row r="842" spans="1:16" x14ac:dyDescent="0.2">
      <c r="A842" s="49" t="str">
        <v>0:00</v>
      </c>
      <c r="B842" s="108"/>
      <c r="C842" s="130"/>
      <c r="D842" s="130"/>
      <c r="E842" s="130"/>
      <c r="F842" s="130"/>
      <c r="G842" s="130"/>
      <c r="H842" s="130"/>
      <c r="I842" s="130"/>
      <c r="J842" s="130"/>
      <c r="K842" s="130"/>
      <c r="L842" s="130"/>
      <c r="M842" s="130"/>
      <c r="N842" s="130"/>
      <c r="O842" s="41"/>
      <c r="P842" s="41"/>
    </row>
    <row r="843" spans="1:16" x14ac:dyDescent="0.2">
      <c r="A843" s="49" t="str">
        <v>0:00</v>
      </c>
      <c r="B843" s="108"/>
      <c r="C843" s="130"/>
      <c r="D843" s="130"/>
      <c r="E843" s="130"/>
      <c r="F843" s="130"/>
      <c r="G843" s="130"/>
      <c r="H843" s="130"/>
      <c r="I843" s="130"/>
      <c r="J843" s="130"/>
      <c r="K843" s="130"/>
      <c r="L843" s="130"/>
      <c r="M843" s="130"/>
      <c r="N843" s="130"/>
      <c r="O843" s="41"/>
      <c r="P843" s="41"/>
    </row>
    <row r="844" spans="1:16" x14ac:dyDescent="0.2">
      <c r="A844" s="49" t="str">
        <v>0:00</v>
      </c>
      <c r="B844" s="108"/>
      <c r="C844" s="130"/>
      <c r="D844" s="130"/>
      <c r="E844" s="130"/>
      <c r="F844" s="130"/>
      <c r="G844" s="130"/>
      <c r="H844" s="130"/>
      <c r="I844" s="130"/>
      <c r="J844" s="130"/>
      <c r="K844" s="130"/>
      <c r="L844" s="130"/>
      <c r="M844" s="130"/>
      <c r="N844" s="130"/>
      <c r="O844" s="41"/>
      <c r="P844" s="41"/>
    </row>
    <row r="845" spans="1:16" x14ac:dyDescent="0.2">
      <c r="A845" s="49" t="str">
        <v>0:00</v>
      </c>
      <c r="B845" s="108"/>
      <c r="C845" s="130"/>
      <c r="D845" s="130"/>
      <c r="E845" s="130"/>
      <c r="F845" s="130"/>
      <c r="G845" s="130"/>
      <c r="H845" s="130"/>
      <c r="I845" s="130"/>
      <c r="J845" s="130"/>
      <c r="K845" s="130"/>
      <c r="L845" s="130"/>
      <c r="M845" s="130"/>
      <c r="N845" s="130"/>
      <c r="O845" s="41"/>
      <c r="P845" s="41"/>
    </row>
    <row r="846" spans="1:16" x14ac:dyDescent="0.2">
      <c r="A846" s="49" t="str">
        <v>0:00</v>
      </c>
      <c r="B846" s="108"/>
      <c r="C846" s="130"/>
      <c r="D846" s="130"/>
      <c r="E846" s="130"/>
      <c r="F846" s="130"/>
      <c r="G846" s="130"/>
      <c r="H846" s="130"/>
      <c r="I846" s="130"/>
      <c r="J846" s="130"/>
      <c r="K846" s="130"/>
      <c r="L846" s="130"/>
      <c r="M846" s="130"/>
      <c r="N846" s="130"/>
      <c r="O846" s="41"/>
      <c r="P846" s="41"/>
    </row>
    <row r="847" spans="1:16" x14ac:dyDescent="0.2">
      <c r="A847" s="49" t="str">
        <v>0:00</v>
      </c>
      <c r="B847" s="108"/>
      <c r="C847" s="130"/>
      <c r="D847" s="130"/>
      <c r="E847" s="130"/>
      <c r="F847" s="130"/>
      <c r="G847" s="130"/>
      <c r="H847" s="130"/>
      <c r="I847" s="130"/>
      <c r="J847" s="130"/>
      <c r="K847" s="130"/>
      <c r="L847" s="130"/>
      <c r="M847" s="130"/>
      <c r="N847" s="130"/>
      <c r="O847" s="41"/>
      <c r="P847" s="41"/>
    </row>
    <row r="848" spans="1:16" x14ac:dyDescent="0.2">
      <c r="A848" s="49" t="str">
        <v>0:00</v>
      </c>
      <c r="B848" s="108"/>
      <c r="C848" s="130"/>
      <c r="D848" s="130"/>
      <c r="E848" s="130"/>
      <c r="F848" s="130"/>
      <c r="G848" s="130"/>
      <c r="H848" s="130"/>
      <c r="I848" s="130"/>
      <c r="J848" s="130"/>
      <c r="K848" s="130"/>
      <c r="L848" s="130"/>
      <c r="M848" s="130"/>
      <c r="N848" s="130"/>
      <c r="O848" s="41"/>
      <c r="P848" s="41"/>
    </row>
    <row r="849" spans="1:16" x14ac:dyDescent="0.2">
      <c r="A849" s="49" t="str">
        <v>0:00</v>
      </c>
      <c r="B849" s="108"/>
      <c r="C849" s="130"/>
      <c r="D849" s="130"/>
      <c r="E849" s="130"/>
      <c r="F849" s="130"/>
      <c r="G849" s="130"/>
      <c r="H849" s="130"/>
      <c r="I849" s="130"/>
      <c r="J849" s="130"/>
      <c r="K849" s="130"/>
      <c r="L849" s="130"/>
      <c r="M849" s="130"/>
      <c r="N849" s="130"/>
      <c r="O849" s="41"/>
      <c r="P849" s="41"/>
    </row>
    <row r="850" spans="1:16" x14ac:dyDescent="0.2">
      <c r="A850" s="49" t="str">
        <v>0:00</v>
      </c>
      <c r="B850" s="108"/>
      <c r="C850" s="130"/>
      <c r="D850" s="130"/>
      <c r="E850" s="130"/>
      <c r="F850" s="130"/>
      <c r="G850" s="130"/>
      <c r="H850" s="130"/>
      <c r="I850" s="130"/>
      <c r="J850" s="130"/>
      <c r="K850" s="130"/>
      <c r="L850" s="130"/>
      <c r="M850" s="130"/>
      <c r="N850" s="130"/>
      <c r="O850" s="41"/>
      <c r="P850" s="41"/>
    </row>
    <row r="851" spans="1:16" x14ac:dyDescent="0.2">
      <c r="A851" s="49" t="str">
        <v>0:00</v>
      </c>
      <c r="B851" s="108"/>
      <c r="C851" s="130"/>
      <c r="D851" s="130"/>
      <c r="E851" s="130"/>
      <c r="F851" s="130"/>
      <c r="G851" s="130"/>
      <c r="H851" s="130"/>
      <c r="I851" s="130"/>
      <c r="J851" s="130"/>
      <c r="K851" s="130"/>
      <c r="L851" s="130"/>
      <c r="M851" s="130"/>
      <c r="N851" s="130"/>
      <c r="O851" s="41"/>
      <c r="P851" s="41"/>
    </row>
    <row r="852" spans="1:16" x14ac:dyDescent="0.2">
      <c r="A852" s="49" t="str">
        <v>0:00</v>
      </c>
      <c r="B852" s="108"/>
      <c r="C852" s="130"/>
      <c r="D852" s="130"/>
      <c r="E852" s="130"/>
      <c r="F852" s="130"/>
      <c r="G852" s="130"/>
      <c r="H852" s="130"/>
      <c r="I852" s="130"/>
      <c r="J852" s="130"/>
      <c r="K852" s="130"/>
      <c r="L852" s="130"/>
      <c r="M852" s="130"/>
      <c r="N852" s="130"/>
      <c r="O852" s="41"/>
      <c r="P852" s="41"/>
    </row>
    <row r="853" spans="1:16" x14ac:dyDescent="0.2">
      <c r="A853" s="49" t="str">
        <v>0:00</v>
      </c>
      <c r="B853" s="108"/>
      <c r="C853" s="130"/>
      <c r="D853" s="130"/>
      <c r="E853" s="130"/>
      <c r="F853" s="130"/>
      <c r="G853" s="130"/>
      <c r="H853" s="130"/>
      <c r="I853" s="130"/>
      <c r="J853" s="130"/>
      <c r="K853" s="130"/>
      <c r="L853" s="130"/>
      <c r="M853" s="130"/>
      <c r="N853" s="130"/>
      <c r="O853" s="41"/>
      <c r="P853" s="41"/>
    </row>
    <row r="854" spans="1:16" x14ac:dyDescent="0.2">
      <c r="A854" s="49" t="str">
        <v>0:00</v>
      </c>
      <c r="B854" s="108"/>
      <c r="C854" s="130"/>
      <c r="D854" s="130"/>
      <c r="E854" s="130"/>
      <c r="F854" s="130"/>
      <c r="G854" s="130"/>
      <c r="H854" s="130"/>
      <c r="I854" s="130"/>
      <c r="J854" s="130"/>
      <c r="K854" s="130"/>
      <c r="L854" s="130"/>
      <c r="M854" s="130"/>
      <c r="N854" s="130"/>
      <c r="O854" s="41"/>
      <c r="P854" s="41"/>
    </row>
    <row r="855" spans="1:16" x14ac:dyDescent="0.2">
      <c r="A855" s="49" t="str">
        <v>0:00</v>
      </c>
      <c r="B855" s="108"/>
      <c r="C855" s="130"/>
      <c r="D855" s="130"/>
      <c r="E855" s="130"/>
      <c r="F855" s="130"/>
      <c r="G855" s="130"/>
      <c r="H855" s="130"/>
      <c r="I855" s="130"/>
      <c r="J855" s="130"/>
      <c r="K855" s="130"/>
      <c r="L855" s="130"/>
      <c r="M855" s="130"/>
      <c r="N855" s="130"/>
      <c r="O855" s="41"/>
      <c r="P855" s="41"/>
    </row>
    <row r="856" spans="1:16" x14ac:dyDescent="0.2">
      <c r="A856" s="49" t="str">
        <v>0:00</v>
      </c>
      <c r="B856" s="108"/>
      <c r="C856" s="130"/>
      <c r="D856" s="130"/>
      <c r="E856" s="130"/>
      <c r="F856" s="130"/>
      <c r="G856" s="130"/>
      <c r="H856" s="130"/>
      <c r="I856" s="130"/>
      <c r="J856" s="130"/>
      <c r="K856" s="130"/>
      <c r="L856" s="130"/>
      <c r="M856" s="130"/>
      <c r="N856" s="130"/>
      <c r="O856" s="41"/>
      <c r="P856" s="41"/>
    </row>
    <row r="857" spans="1:16" x14ac:dyDescent="0.2">
      <c r="A857" s="49" t="str">
        <v>0:00</v>
      </c>
      <c r="B857" s="108"/>
      <c r="C857" s="130"/>
      <c r="D857" s="130"/>
      <c r="E857" s="130"/>
      <c r="F857" s="130"/>
      <c r="G857" s="130"/>
      <c r="H857" s="130"/>
      <c r="I857" s="130"/>
      <c r="J857" s="130"/>
      <c r="K857" s="130"/>
      <c r="L857" s="130"/>
      <c r="M857" s="130"/>
      <c r="N857" s="130"/>
      <c r="O857" s="41"/>
      <c r="P857" s="41"/>
    </row>
    <row r="858" spans="1:16" x14ac:dyDescent="0.2">
      <c r="A858" s="49" t="str">
        <v>0:00</v>
      </c>
      <c r="B858" s="108"/>
      <c r="C858" s="130"/>
      <c r="D858" s="130"/>
      <c r="E858" s="130"/>
      <c r="F858" s="130"/>
      <c r="G858" s="130"/>
      <c r="H858" s="130"/>
      <c r="I858" s="130"/>
      <c r="J858" s="130"/>
      <c r="K858" s="130"/>
      <c r="L858" s="130"/>
      <c r="M858" s="130"/>
      <c r="N858" s="130"/>
      <c r="O858" s="41"/>
      <c r="P858" s="41"/>
    </row>
    <row r="859" spans="1:16" x14ac:dyDescent="0.2">
      <c r="A859" s="49" t="str">
        <v>0:00</v>
      </c>
      <c r="B859" s="108"/>
      <c r="C859" s="130"/>
      <c r="D859" s="130"/>
      <c r="E859" s="130"/>
      <c r="F859" s="130"/>
      <c r="G859" s="130"/>
      <c r="H859" s="130"/>
      <c r="I859" s="130"/>
      <c r="J859" s="130"/>
      <c r="K859" s="130"/>
      <c r="L859" s="130"/>
      <c r="M859" s="130"/>
      <c r="N859" s="130"/>
      <c r="O859" s="41"/>
      <c r="P859" s="41"/>
    </row>
    <row r="860" spans="1:16" x14ac:dyDescent="0.2">
      <c r="A860" s="49" t="str">
        <v>0:00</v>
      </c>
      <c r="B860" s="108"/>
      <c r="C860" s="130"/>
      <c r="D860" s="130"/>
      <c r="E860" s="130"/>
      <c r="F860" s="130"/>
      <c r="G860" s="130"/>
      <c r="H860" s="130"/>
      <c r="I860" s="130"/>
      <c r="J860" s="130"/>
      <c r="K860" s="130"/>
      <c r="L860" s="130"/>
      <c r="M860" s="130"/>
      <c r="N860" s="130"/>
      <c r="O860" s="41"/>
      <c r="P860" s="41"/>
    </row>
    <row r="861" spans="1:16" x14ac:dyDescent="0.2">
      <c r="A861" s="49" t="str">
        <v>0:00</v>
      </c>
      <c r="B861" s="108"/>
      <c r="C861" s="130"/>
      <c r="D861" s="130"/>
      <c r="E861" s="130"/>
      <c r="F861" s="130"/>
      <c r="G861" s="130"/>
      <c r="H861" s="130"/>
      <c r="I861" s="130"/>
      <c r="J861" s="130"/>
      <c r="K861" s="130"/>
      <c r="L861" s="130"/>
      <c r="M861" s="130"/>
      <c r="N861" s="130"/>
      <c r="O861" s="41"/>
      <c r="P861" s="41"/>
    </row>
    <row r="862" spans="1:16" x14ac:dyDescent="0.2">
      <c r="A862" s="49" t="str">
        <v>0:00</v>
      </c>
      <c r="B862" s="108"/>
      <c r="C862" s="130"/>
      <c r="D862" s="130"/>
      <c r="E862" s="130"/>
      <c r="F862" s="130"/>
      <c r="G862" s="130"/>
      <c r="H862" s="130"/>
      <c r="I862" s="130"/>
      <c r="J862" s="130"/>
      <c r="K862" s="130"/>
      <c r="L862" s="130"/>
      <c r="M862" s="130"/>
      <c r="N862" s="130"/>
      <c r="O862" s="41"/>
      <c r="P862" s="41"/>
    </row>
    <row r="863" spans="1:16" x14ac:dyDescent="0.2">
      <c r="A863" s="49" t="str">
        <v>0:00</v>
      </c>
      <c r="B863" s="108"/>
      <c r="C863" s="130"/>
      <c r="D863" s="130"/>
      <c r="E863" s="130"/>
      <c r="F863" s="130"/>
      <c r="G863" s="130"/>
      <c r="H863" s="130"/>
      <c r="I863" s="130"/>
      <c r="J863" s="130"/>
      <c r="K863" s="130"/>
      <c r="L863" s="130"/>
      <c r="M863" s="130"/>
      <c r="N863" s="130"/>
      <c r="O863" s="41"/>
      <c r="P863" s="41"/>
    </row>
    <row r="864" spans="1:16" x14ac:dyDescent="0.2">
      <c r="A864" s="49" t="str">
        <v>0:00</v>
      </c>
      <c r="B864" s="108"/>
      <c r="C864" s="130"/>
      <c r="D864" s="130"/>
      <c r="E864" s="130"/>
      <c r="F864" s="130"/>
      <c r="G864" s="130"/>
      <c r="H864" s="130"/>
      <c r="I864" s="130"/>
      <c r="J864" s="130"/>
      <c r="K864" s="130"/>
      <c r="L864" s="130"/>
      <c r="M864" s="130"/>
      <c r="N864" s="130"/>
      <c r="O864" s="41"/>
      <c r="P864" s="41"/>
    </row>
    <row r="865" spans="1:16" x14ac:dyDescent="0.2">
      <c r="A865" s="49" t="str">
        <v>0:00</v>
      </c>
      <c r="B865" s="108"/>
      <c r="C865" s="130"/>
      <c r="D865" s="130"/>
      <c r="E865" s="130"/>
      <c r="F865" s="130"/>
      <c r="G865" s="130"/>
      <c r="H865" s="130"/>
      <c r="I865" s="130"/>
      <c r="J865" s="130"/>
      <c r="K865" s="130"/>
      <c r="L865" s="130"/>
      <c r="M865" s="130"/>
      <c r="N865" s="130"/>
      <c r="O865" s="41"/>
      <c r="P865" s="41"/>
    </row>
    <row r="866" spans="1:16" x14ac:dyDescent="0.2">
      <c r="A866" s="49" t="str">
        <v>0:00</v>
      </c>
      <c r="B866" s="108"/>
      <c r="C866" s="130"/>
      <c r="D866" s="130"/>
      <c r="E866" s="130"/>
      <c r="F866" s="130"/>
      <c r="G866" s="130"/>
      <c r="H866" s="130"/>
      <c r="I866" s="130"/>
      <c r="J866" s="130"/>
      <c r="K866" s="130"/>
      <c r="L866" s="130"/>
      <c r="M866" s="130"/>
      <c r="N866" s="130"/>
      <c r="O866" s="41"/>
      <c r="P866" s="41"/>
    </row>
    <row r="867" spans="1:16" x14ac:dyDescent="0.2">
      <c r="A867" s="49" t="str">
        <v>0:00</v>
      </c>
      <c r="B867" s="108"/>
      <c r="C867" s="130"/>
      <c r="D867" s="130"/>
      <c r="E867" s="130"/>
      <c r="F867" s="130"/>
      <c r="G867" s="130"/>
      <c r="H867" s="130"/>
      <c r="I867" s="130"/>
      <c r="J867" s="130"/>
      <c r="K867" s="130"/>
      <c r="L867" s="130"/>
      <c r="M867" s="130"/>
      <c r="N867" s="130"/>
      <c r="O867" s="41"/>
      <c r="P867" s="41"/>
    </row>
    <row r="868" spans="1:16" x14ac:dyDescent="0.2">
      <c r="A868" s="49" t="str">
        <v>0:00</v>
      </c>
      <c r="B868" s="108"/>
      <c r="C868" s="130"/>
      <c r="D868" s="130"/>
      <c r="E868" s="130"/>
      <c r="F868" s="130"/>
      <c r="G868" s="130"/>
      <c r="H868" s="130"/>
      <c r="I868" s="130"/>
      <c r="J868" s="130"/>
      <c r="K868" s="130"/>
      <c r="L868" s="130"/>
      <c r="M868" s="130"/>
      <c r="N868" s="130"/>
      <c r="O868" s="41"/>
      <c r="P868" s="41"/>
    </row>
    <row r="869" spans="1:16" x14ac:dyDescent="0.2">
      <c r="A869" s="49" t="str">
        <v>0:00</v>
      </c>
      <c r="B869" s="108"/>
      <c r="C869" s="130"/>
      <c r="D869" s="130"/>
      <c r="E869" s="130"/>
      <c r="F869" s="130"/>
      <c r="G869" s="130"/>
      <c r="H869" s="130"/>
      <c r="I869" s="130"/>
      <c r="J869" s="130"/>
      <c r="K869" s="130"/>
      <c r="L869" s="130"/>
      <c r="M869" s="130"/>
      <c r="N869" s="130"/>
      <c r="O869" s="41"/>
      <c r="P869" s="41"/>
    </row>
    <row r="870" spans="1:16" x14ac:dyDescent="0.2">
      <c r="A870" s="49" t="str">
        <v>0:00</v>
      </c>
      <c r="B870" s="108"/>
      <c r="C870" s="130"/>
      <c r="D870" s="130"/>
      <c r="E870" s="130"/>
      <c r="F870" s="130"/>
      <c r="G870" s="130"/>
      <c r="H870" s="130"/>
      <c r="I870" s="130"/>
      <c r="J870" s="130"/>
      <c r="K870" s="130"/>
      <c r="L870" s="130"/>
      <c r="M870" s="130"/>
      <c r="N870" s="130"/>
      <c r="O870" s="41"/>
      <c r="P870" s="41"/>
    </row>
    <row r="871" spans="1:16" x14ac:dyDescent="0.2">
      <c r="A871" s="49" t="str">
        <v>0:00</v>
      </c>
      <c r="B871" s="108"/>
      <c r="C871" s="130"/>
      <c r="D871" s="130"/>
      <c r="E871" s="130"/>
      <c r="F871" s="130"/>
      <c r="G871" s="130"/>
      <c r="H871" s="130"/>
      <c r="I871" s="130"/>
      <c r="J871" s="130"/>
      <c r="K871" s="130"/>
      <c r="L871" s="130"/>
      <c r="M871" s="130"/>
      <c r="N871" s="130"/>
      <c r="O871" s="41"/>
      <c r="P871" s="41"/>
    </row>
    <row r="872" spans="1:16" x14ac:dyDescent="0.2">
      <c r="A872" s="49" t="str">
        <v>0:00</v>
      </c>
      <c r="B872" s="108"/>
      <c r="C872" s="130"/>
      <c r="D872" s="130"/>
      <c r="E872" s="130"/>
      <c r="F872" s="130"/>
      <c r="G872" s="130"/>
      <c r="H872" s="130"/>
      <c r="I872" s="130"/>
      <c r="J872" s="130"/>
      <c r="K872" s="130"/>
      <c r="L872" s="130"/>
      <c r="M872" s="130"/>
      <c r="N872" s="130"/>
      <c r="O872" s="41"/>
      <c r="P872" s="41"/>
    </row>
    <row r="873" spans="1:16" x14ac:dyDescent="0.2">
      <c r="A873" s="49" t="str">
        <v>0:00</v>
      </c>
      <c r="B873" s="108"/>
      <c r="C873" s="130"/>
      <c r="D873" s="130"/>
      <c r="E873" s="130"/>
      <c r="F873" s="130"/>
      <c r="G873" s="130"/>
      <c r="H873" s="130"/>
      <c r="I873" s="130"/>
      <c r="J873" s="130"/>
      <c r="K873" s="130"/>
      <c r="L873" s="130"/>
      <c r="M873" s="130"/>
      <c r="N873" s="130"/>
      <c r="O873" s="41"/>
      <c r="P873" s="41"/>
    </row>
    <row r="874" spans="1:16" x14ac:dyDescent="0.2">
      <c r="A874" s="49" t="str">
        <v>0:00</v>
      </c>
      <c r="B874" s="108"/>
      <c r="C874" s="130"/>
      <c r="D874" s="130"/>
      <c r="E874" s="130"/>
      <c r="F874" s="130"/>
      <c r="G874" s="130"/>
      <c r="H874" s="130"/>
      <c r="I874" s="130"/>
      <c r="J874" s="130"/>
      <c r="K874" s="130"/>
      <c r="L874" s="130"/>
      <c r="M874" s="130"/>
      <c r="N874" s="130"/>
      <c r="O874" s="41"/>
      <c r="P874" s="41"/>
    </row>
    <row r="875" spans="1:16" x14ac:dyDescent="0.2">
      <c r="A875" s="49" t="str">
        <v>0:00</v>
      </c>
      <c r="B875" s="108"/>
      <c r="C875" s="130"/>
      <c r="D875" s="130"/>
      <c r="E875" s="130"/>
      <c r="F875" s="130"/>
      <c r="G875" s="130"/>
      <c r="H875" s="130"/>
      <c r="I875" s="130"/>
      <c r="J875" s="130"/>
      <c r="K875" s="130"/>
      <c r="L875" s="130"/>
      <c r="M875" s="130"/>
      <c r="N875" s="130"/>
      <c r="O875" s="41"/>
      <c r="P875" s="41"/>
    </row>
    <row r="876" spans="1:16" x14ac:dyDescent="0.2">
      <c r="A876" s="49" t="str">
        <v>0:00</v>
      </c>
      <c r="B876" s="108"/>
      <c r="C876" s="130"/>
      <c r="D876" s="130"/>
      <c r="E876" s="130"/>
      <c r="F876" s="130"/>
      <c r="G876" s="130"/>
      <c r="H876" s="130"/>
      <c r="I876" s="130"/>
      <c r="J876" s="130"/>
      <c r="K876" s="130"/>
      <c r="L876" s="130"/>
      <c r="M876" s="130"/>
      <c r="N876" s="130"/>
      <c r="O876" s="41"/>
      <c r="P876" s="41"/>
    </row>
    <row r="877" spans="1:16" x14ac:dyDescent="0.2">
      <c r="A877" s="49" t="str">
        <v>0:00</v>
      </c>
      <c r="B877" s="108"/>
      <c r="C877" s="130"/>
      <c r="D877" s="130"/>
      <c r="E877" s="130"/>
      <c r="F877" s="130"/>
      <c r="G877" s="130"/>
      <c r="H877" s="130"/>
      <c r="I877" s="130"/>
      <c r="J877" s="130"/>
      <c r="K877" s="130"/>
      <c r="L877" s="130"/>
      <c r="M877" s="130"/>
      <c r="N877" s="130"/>
      <c r="O877" s="41"/>
      <c r="P877" s="41"/>
    </row>
    <row r="878" spans="1:16" x14ac:dyDescent="0.2">
      <c r="A878" s="49" t="str">
        <v>0:00</v>
      </c>
      <c r="B878" s="108"/>
      <c r="C878" s="130"/>
      <c r="D878" s="130"/>
      <c r="E878" s="130"/>
      <c r="F878" s="130"/>
      <c r="G878" s="130"/>
      <c r="H878" s="130"/>
      <c r="I878" s="130"/>
      <c r="J878" s="130"/>
      <c r="K878" s="130"/>
      <c r="L878" s="130"/>
      <c r="M878" s="130"/>
      <c r="N878" s="130"/>
      <c r="O878" s="41"/>
      <c r="P878" s="41"/>
    </row>
    <row r="879" spans="1:16" x14ac:dyDescent="0.2">
      <c r="A879" s="49" t="str">
        <v>0:00</v>
      </c>
      <c r="B879" s="108"/>
      <c r="C879" s="130"/>
      <c r="D879" s="130"/>
      <c r="E879" s="130"/>
      <c r="F879" s="130"/>
      <c r="G879" s="130"/>
      <c r="H879" s="130"/>
      <c r="I879" s="130"/>
      <c r="J879" s="130"/>
      <c r="K879" s="130"/>
      <c r="L879" s="130"/>
      <c r="M879" s="130"/>
      <c r="N879" s="130"/>
      <c r="O879" s="41"/>
      <c r="P879" s="41"/>
    </row>
    <row r="880" spans="1:16" x14ac:dyDescent="0.2">
      <c r="A880" s="49" t="str">
        <v>0:00</v>
      </c>
      <c r="B880" s="108"/>
      <c r="C880" s="130"/>
      <c r="D880" s="130"/>
      <c r="E880" s="130"/>
      <c r="F880" s="130"/>
      <c r="G880" s="130"/>
      <c r="H880" s="130"/>
      <c r="I880" s="130"/>
      <c r="J880" s="130"/>
      <c r="K880" s="130"/>
      <c r="L880" s="130"/>
      <c r="M880" s="130"/>
      <c r="N880" s="130"/>
      <c r="O880" s="41"/>
      <c r="P880" s="41"/>
    </row>
    <row r="881" spans="1:16" x14ac:dyDescent="0.2">
      <c r="A881" s="49" t="str">
        <v>0:00</v>
      </c>
      <c r="B881" s="108"/>
      <c r="C881" s="130"/>
      <c r="D881" s="130"/>
      <c r="E881" s="130"/>
      <c r="F881" s="130"/>
      <c r="G881" s="130"/>
      <c r="H881" s="130"/>
      <c r="I881" s="130"/>
      <c r="J881" s="130"/>
      <c r="K881" s="130"/>
      <c r="L881" s="130"/>
      <c r="M881" s="130"/>
      <c r="N881" s="130"/>
      <c r="O881" s="41"/>
      <c r="P881" s="41"/>
    </row>
    <row r="882" spans="1:16" x14ac:dyDescent="0.2">
      <c r="A882" s="49" t="str">
        <v>0:00</v>
      </c>
      <c r="B882" s="108"/>
      <c r="C882" s="130"/>
      <c r="D882" s="130"/>
      <c r="E882" s="130"/>
      <c r="F882" s="130"/>
      <c r="G882" s="130"/>
      <c r="H882" s="130"/>
      <c r="I882" s="130"/>
      <c r="J882" s="130"/>
      <c r="K882" s="130"/>
      <c r="L882" s="130"/>
      <c r="M882" s="130"/>
      <c r="N882" s="130"/>
      <c r="O882" s="41"/>
      <c r="P882" s="41"/>
    </row>
    <row r="883" spans="1:16" x14ac:dyDescent="0.2">
      <c r="A883" s="49" t="str">
        <v>0:00</v>
      </c>
      <c r="B883" s="108"/>
      <c r="C883" s="130"/>
      <c r="D883" s="130"/>
      <c r="E883" s="130"/>
      <c r="F883" s="130"/>
      <c r="G883" s="130"/>
      <c r="H883" s="130"/>
      <c r="I883" s="130"/>
      <c r="J883" s="130"/>
      <c r="K883" s="130"/>
      <c r="L883" s="130"/>
      <c r="M883" s="130"/>
      <c r="N883" s="130"/>
      <c r="O883" s="41"/>
      <c r="P883" s="41"/>
    </row>
    <row r="884" spans="1:16" x14ac:dyDescent="0.2">
      <c r="A884" s="49" t="str">
        <v>0:00</v>
      </c>
      <c r="B884" s="108"/>
      <c r="C884" s="130"/>
      <c r="D884" s="130"/>
      <c r="E884" s="130"/>
      <c r="F884" s="130"/>
      <c r="G884" s="130"/>
      <c r="H884" s="130"/>
      <c r="I884" s="130"/>
      <c r="J884" s="130"/>
      <c r="K884" s="130"/>
      <c r="L884" s="130"/>
      <c r="M884" s="130"/>
      <c r="N884" s="130"/>
      <c r="O884" s="41"/>
      <c r="P884" s="41"/>
    </row>
    <row r="885" spans="1:16" x14ac:dyDescent="0.2">
      <c r="A885" s="49" t="str">
        <v>0:00</v>
      </c>
      <c r="B885" s="108"/>
      <c r="C885" s="130"/>
      <c r="D885" s="130"/>
      <c r="E885" s="130"/>
      <c r="F885" s="130"/>
      <c r="G885" s="130"/>
      <c r="H885" s="130"/>
      <c r="I885" s="130"/>
      <c r="J885" s="130"/>
      <c r="K885" s="130"/>
      <c r="L885" s="130"/>
      <c r="M885" s="130"/>
      <c r="N885" s="130"/>
      <c r="O885" s="41"/>
      <c r="P885" s="41"/>
    </row>
    <row r="886" spans="1:16" x14ac:dyDescent="0.2">
      <c r="A886" s="49" t="str">
        <v>0:00</v>
      </c>
      <c r="B886" s="108"/>
      <c r="C886" s="130"/>
      <c r="D886" s="130"/>
      <c r="E886" s="130"/>
      <c r="F886" s="130"/>
      <c r="G886" s="130"/>
      <c r="H886" s="130"/>
      <c r="I886" s="130"/>
      <c r="J886" s="130"/>
      <c r="K886" s="130"/>
      <c r="L886" s="130"/>
      <c r="M886" s="130"/>
      <c r="N886" s="130"/>
      <c r="O886" s="41"/>
      <c r="P886" s="41"/>
    </row>
    <row r="887" spans="1:16" x14ac:dyDescent="0.2">
      <c r="A887" s="49" t="str">
        <v>0:00</v>
      </c>
      <c r="B887" s="108"/>
      <c r="C887" s="130"/>
      <c r="D887" s="130"/>
      <c r="E887" s="130"/>
      <c r="F887" s="130"/>
      <c r="G887" s="130"/>
      <c r="H887" s="130"/>
      <c r="I887" s="130"/>
      <c r="J887" s="130"/>
      <c r="K887" s="130"/>
      <c r="L887" s="130"/>
      <c r="M887" s="130"/>
      <c r="N887" s="130"/>
      <c r="O887" s="41"/>
      <c r="P887" s="41"/>
    </row>
    <row r="888" spans="1:16" x14ac:dyDescent="0.2">
      <c r="A888" s="49" t="str">
        <v>0:00</v>
      </c>
      <c r="B888" s="108"/>
      <c r="C888" s="130"/>
      <c r="D888" s="130"/>
      <c r="E888" s="130"/>
      <c r="F888" s="130"/>
      <c r="G888" s="130"/>
      <c r="H888" s="130"/>
      <c r="I888" s="130"/>
      <c r="J888" s="130"/>
      <c r="K888" s="130"/>
      <c r="L888" s="130"/>
      <c r="M888" s="130"/>
      <c r="N888" s="130"/>
      <c r="O888" s="41"/>
      <c r="P888" s="41"/>
    </row>
    <row r="889" spans="1:16" x14ac:dyDescent="0.2">
      <c r="A889" s="49" t="str">
        <v>0:00</v>
      </c>
      <c r="B889" s="108"/>
      <c r="C889" s="130"/>
      <c r="D889" s="130"/>
      <c r="E889" s="130"/>
      <c r="F889" s="130"/>
      <c r="G889" s="130"/>
      <c r="H889" s="130"/>
      <c r="I889" s="130"/>
      <c r="J889" s="130"/>
      <c r="K889" s="130"/>
      <c r="L889" s="130"/>
      <c r="M889" s="130"/>
      <c r="N889" s="130"/>
      <c r="O889" s="41"/>
      <c r="P889" s="41"/>
    </row>
    <row r="890" spans="1:16" x14ac:dyDescent="0.2">
      <c r="A890" s="49" t="str">
        <v>0:00</v>
      </c>
      <c r="B890" s="108"/>
      <c r="C890" s="130"/>
      <c r="D890" s="130"/>
      <c r="E890" s="130"/>
      <c r="F890" s="130"/>
      <c r="G890" s="130"/>
      <c r="H890" s="130"/>
      <c r="I890" s="130"/>
      <c r="J890" s="130"/>
      <c r="K890" s="130"/>
      <c r="L890" s="130"/>
      <c r="M890" s="130"/>
      <c r="N890" s="130"/>
      <c r="O890" s="41"/>
      <c r="P890" s="41"/>
    </row>
    <row r="891" spans="1:16" x14ac:dyDescent="0.2">
      <c r="A891" s="49" t="str">
        <v>0:00</v>
      </c>
      <c r="B891" s="108"/>
      <c r="C891" s="130"/>
      <c r="D891" s="130"/>
      <c r="E891" s="130"/>
      <c r="F891" s="130"/>
      <c r="G891" s="130"/>
      <c r="H891" s="130"/>
      <c r="I891" s="130"/>
      <c r="J891" s="130"/>
      <c r="K891" s="130"/>
      <c r="L891" s="130"/>
      <c r="M891" s="130"/>
      <c r="N891" s="130"/>
      <c r="O891" s="41"/>
      <c r="P891" s="41"/>
    </row>
    <row r="892" spans="1:16" x14ac:dyDescent="0.2">
      <c r="A892" s="49" t="str">
        <v>0:00</v>
      </c>
      <c r="B892" s="108"/>
      <c r="C892" s="130"/>
      <c r="D892" s="130"/>
      <c r="E892" s="130"/>
      <c r="F892" s="130"/>
      <c r="G892" s="130"/>
      <c r="H892" s="130"/>
      <c r="I892" s="130"/>
      <c r="J892" s="130"/>
      <c r="K892" s="130"/>
      <c r="L892" s="130"/>
      <c r="M892" s="130"/>
      <c r="N892" s="130"/>
      <c r="O892" s="41"/>
      <c r="P892" s="41"/>
    </row>
    <row r="893" spans="1:16" x14ac:dyDescent="0.2">
      <c r="A893" s="49" t="str">
        <v>0:00</v>
      </c>
      <c r="B893" s="108"/>
      <c r="C893" s="130"/>
      <c r="D893" s="130"/>
      <c r="E893" s="130"/>
      <c r="F893" s="130"/>
      <c r="G893" s="130"/>
      <c r="H893" s="130"/>
      <c r="I893" s="130"/>
      <c r="J893" s="130"/>
      <c r="K893" s="130"/>
      <c r="L893" s="130"/>
      <c r="M893" s="130"/>
      <c r="N893" s="130"/>
      <c r="O893" s="41"/>
      <c r="P893" s="41"/>
    </row>
    <row r="894" spans="1:16" x14ac:dyDescent="0.2">
      <c r="A894" s="49" t="str">
        <v>0:00</v>
      </c>
      <c r="B894" s="108"/>
      <c r="C894" s="130"/>
      <c r="D894" s="130"/>
      <c r="E894" s="130"/>
      <c r="F894" s="130"/>
      <c r="G894" s="130"/>
      <c r="H894" s="130"/>
      <c r="I894" s="130"/>
      <c r="J894" s="130"/>
      <c r="K894" s="130"/>
      <c r="L894" s="130"/>
      <c r="M894" s="130"/>
      <c r="N894" s="130"/>
      <c r="O894" s="41"/>
      <c r="P894" s="41"/>
    </row>
    <row r="895" spans="1:16" x14ac:dyDescent="0.2">
      <c r="A895" s="49" t="str">
        <v>0:00</v>
      </c>
      <c r="B895" s="108"/>
      <c r="C895" s="130"/>
      <c r="D895" s="130"/>
      <c r="E895" s="130"/>
      <c r="F895" s="130"/>
      <c r="G895" s="130"/>
      <c r="H895" s="130"/>
      <c r="I895" s="130"/>
      <c r="J895" s="130"/>
      <c r="K895" s="130"/>
      <c r="L895" s="130"/>
      <c r="M895" s="130"/>
      <c r="N895" s="130"/>
      <c r="O895" s="41"/>
      <c r="P895" s="41"/>
    </row>
    <row r="896" spans="1:16" x14ac:dyDescent="0.2">
      <c r="A896" s="49" t="str">
        <v>0:00</v>
      </c>
      <c r="B896" s="108"/>
      <c r="C896" s="130"/>
      <c r="D896" s="130"/>
      <c r="E896" s="130"/>
      <c r="F896" s="130"/>
      <c r="G896" s="130"/>
      <c r="H896" s="130"/>
      <c r="I896" s="130"/>
      <c r="J896" s="130"/>
      <c r="K896" s="130"/>
      <c r="L896" s="130"/>
      <c r="M896" s="130"/>
      <c r="N896" s="130"/>
      <c r="O896" s="41"/>
      <c r="P896" s="41"/>
    </row>
    <row r="897" spans="1:16" x14ac:dyDescent="0.2">
      <c r="A897" s="49" t="str">
        <v>0:00</v>
      </c>
      <c r="B897" s="108"/>
      <c r="C897" s="130"/>
      <c r="D897" s="130"/>
      <c r="E897" s="130"/>
      <c r="F897" s="130"/>
      <c r="G897" s="130"/>
      <c r="H897" s="130"/>
      <c r="I897" s="130"/>
      <c r="J897" s="130"/>
      <c r="K897" s="130"/>
      <c r="L897" s="130"/>
      <c r="M897" s="130"/>
      <c r="N897" s="130"/>
      <c r="O897" s="41"/>
      <c r="P897" s="41"/>
    </row>
    <row r="898" spans="1:16" x14ac:dyDescent="0.2">
      <c r="A898" s="49" t="str">
        <v>0:00</v>
      </c>
      <c r="B898" s="108"/>
      <c r="C898" s="130"/>
      <c r="D898" s="130"/>
      <c r="E898" s="130"/>
      <c r="F898" s="130"/>
      <c r="G898" s="130"/>
      <c r="H898" s="130"/>
      <c r="I898" s="130"/>
      <c r="J898" s="130"/>
      <c r="K898" s="130"/>
      <c r="L898" s="130"/>
      <c r="M898" s="130"/>
      <c r="N898" s="130"/>
      <c r="O898" s="41"/>
      <c r="P898" s="41"/>
    </row>
    <row r="899" spans="1:16" x14ac:dyDescent="0.2">
      <c r="A899" s="49" t="str">
        <v>0:00</v>
      </c>
      <c r="B899" s="108"/>
      <c r="C899" s="130"/>
      <c r="D899" s="130"/>
      <c r="E899" s="130"/>
      <c r="F899" s="130"/>
      <c r="G899" s="130"/>
      <c r="H899" s="130"/>
      <c r="I899" s="130"/>
      <c r="J899" s="130"/>
      <c r="K899" s="130"/>
      <c r="L899" s="130"/>
      <c r="M899" s="130"/>
      <c r="N899" s="130"/>
      <c r="O899" s="41"/>
      <c r="P899" s="41"/>
    </row>
    <row r="900" spans="1:16" x14ac:dyDescent="0.2">
      <c r="A900" s="49" t="str">
        <v>0:00</v>
      </c>
      <c r="B900" s="108"/>
      <c r="C900" s="130"/>
      <c r="D900" s="130"/>
      <c r="E900" s="130"/>
      <c r="F900" s="130"/>
      <c r="G900" s="130"/>
      <c r="H900" s="130"/>
      <c r="I900" s="130"/>
      <c r="J900" s="130"/>
      <c r="K900" s="130"/>
      <c r="L900" s="130"/>
      <c r="M900" s="130"/>
      <c r="N900" s="130"/>
      <c r="O900" s="41"/>
      <c r="P900" s="41"/>
    </row>
    <row r="901" spans="1:16" x14ac:dyDescent="0.2">
      <c r="A901" s="49" t="str">
        <v>0:00</v>
      </c>
      <c r="B901" s="108"/>
      <c r="C901" s="130"/>
      <c r="D901" s="130"/>
      <c r="E901" s="130"/>
      <c r="F901" s="130"/>
      <c r="G901" s="130"/>
      <c r="H901" s="130"/>
      <c r="I901" s="130"/>
      <c r="J901" s="130"/>
      <c r="K901" s="130"/>
      <c r="L901" s="130"/>
      <c r="M901" s="130"/>
      <c r="N901" s="130"/>
      <c r="O901" s="41"/>
      <c r="P901" s="41"/>
    </row>
    <row r="902" spans="1:16" x14ac:dyDescent="0.2">
      <c r="A902" s="49" t="str">
        <v>0:00</v>
      </c>
      <c r="B902" s="108"/>
      <c r="C902" s="130"/>
      <c r="D902" s="130"/>
      <c r="E902" s="130"/>
      <c r="F902" s="130"/>
      <c r="G902" s="130"/>
      <c r="H902" s="130"/>
      <c r="I902" s="130"/>
      <c r="J902" s="130"/>
      <c r="K902" s="130"/>
      <c r="L902" s="130"/>
      <c r="M902" s="130"/>
      <c r="N902" s="130"/>
      <c r="O902" s="41"/>
      <c r="P902" s="41"/>
    </row>
    <row r="903" spans="1:16" x14ac:dyDescent="0.2">
      <c r="A903" s="49" t="str">
        <v>0:00</v>
      </c>
      <c r="B903" s="108"/>
      <c r="C903" s="130"/>
      <c r="D903" s="130"/>
      <c r="E903" s="130"/>
      <c r="F903" s="130"/>
      <c r="G903" s="130"/>
      <c r="H903" s="130"/>
      <c r="I903" s="130"/>
      <c r="J903" s="130"/>
      <c r="K903" s="130"/>
      <c r="L903" s="130"/>
      <c r="M903" s="130"/>
      <c r="N903" s="130"/>
      <c r="O903" s="41"/>
      <c r="P903" s="41"/>
    </row>
  </sheetData>
  <sheetProtection algorithmName="SHA-512" hashValue="CGnDEqOlnKiafBAk3nbj/M05lxk+JGNyYOg+3NN97AaADyYdf7prCGlDtuWGXVPAgSBKwILs6hHPtp661OxHhA==" saltValue="uOTlRO9FI6uMJemFya+QrQ==" spinCount="100000" sheet="1" objects="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54" priority="2" stopIfTrue="1" operator="between">
      <formula>$E$1</formula>
      <formula>$E$2</formula>
    </cfRule>
    <cfRule type="cellIs" dxfId="53" priority="3" stopIfTrue="1" operator="greaterThan">
      <formula>$C$2</formula>
    </cfRule>
    <cfRule type="cellIs" dxfId="52" priority="4" stopIfTrue="1" operator="lessThan">
      <formula>$C$1</formula>
    </cfRule>
    <cfRule type="cellIs" dxfId="51" priority="6" stopIfTrue="1" operator="greaterThanOrEqual">
      <formula>$C$1</formula>
    </cfRule>
  </conditionalFormatting>
  <conditionalFormatting sqref="B14:P903">
    <cfRule type="expression" dxfId="5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9"/>
    <col min="17" max="17" width="9.140625" style="291"/>
    <col min="18" max="18" width="37.85546875" style="289" bestFit="1" customWidth="1"/>
    <col min="19" max="19" width="9.85546875" style="289" bestFit="1" customWidth="1"/>
    <col min="20" max="20" width="21.85546875" style="289" bestFit="1" customWidth="1"/>
    <col min="21" max="21" width="14.42578125" style="289" customWidth="1"/>
    <col min="22" max="22" width="16" style="289" customWidth="1"/>
    <col min="23" max="23" width="9.140625" style="289"/>
    <col min="24" max="25" width="9.140625" style="14"/>
    <col min="26" max="16384" width="9.140625" style="6"/>
  </cols>
  <sheetData>
    <row r="1" spans="1:29" x14ac:dyDescent="0.25">
      <c r="G1" s="8" t="s">
        <v>0</v>
      </c>
      <c r="H1" s="6"/>
      <c r="I1" s="7"/>
      <c r="K1" s="6"/>
      <c r="M1" s="6" t="s">
        <v>7</v>
      </c>
      <c r="O1" s="203"/>
      <c r="R1" s="289" t="e">
        <f>IF(T1=0, 0, IF(T1 &gt; Main!G93 + (1-D19)*0.4, 1, ""))</f>
        <v>#VALUE!</v>
      </c>
      <c r="T1" s="289" t="e" cm="1">
        <f t="array" ref="T1">MAX(ABS(E10:E18))</f>
        <v>#VALUE!</v>
      </c>
      <c r="U1" s="289" t="e" cm="1">
        <f t="array" ref="U1">MAX(ABS(H10:H18))</f>
        <v>#VALUE!</v>
      </c>
      <c r="X1" s="203"/>
      <c r="Y1" s="203"/>
      <c r="Z1" s="205"/>
      <c r="AA1" s="205"/>
      <c r="AB1" s="205"/>
      <c r="AC1" s="205"/>
    </row>
    <row r="2" spans="1:29" ht="18.75" customHeight="1" x14ac:dyDescent="0.25">
      <c r="H2" s="9" t="s">
        <v>8</v>
      </c>
      <c r="I2" s="7"/>
      <c r="K2" s="6"/>
      <c r="M2" s="6" t="s">
        <v>21</v>
      </c>
      <c r="O2" s="203"/>
      <c r="R2" s="289" t="e">
        <f>IF(U1=0, 0, IF(U1 &gt; Main!G93 + (1-D31)*0.4, 1, ""))</f>
        <v>#VALUE!</v>
      </c>
      <c r="T2" s="289" t="e" cm="1">
        <f t="array" ref="T2">MAX(ABS(K10:K18))</f>
        <v>#VALUE!</v>
      </c>
      <c r="U2" s="289" t="e" cm="1">
        <f t="array" ref="U2">MAX(ABS(N10:N18))</f>
        <v>#VALUE!</v>
      </c>
      <c r="X2" s="203"/>
      <c r="Y2" s="203"/>
      <c r="Z2" s="205"/>
      <c r="AA2" s="205"/>
      <c r="AB2" s="205"/>
      <c r="AC2" s="205"/>
    </row>
    <row r="3" spans="1:29" ht="23.25" customHeight="1" x14ac:dyDescent="0.25">
      <c r="D3" s="33" t="s">
        <v>26</v>
      </c>
      <c r="E3" s="39">
        <f>Main!D3</f>
        <v>0</v>
      </c>
      <c r="G3" s="10"/>
      <c r="H3" s="6"/>
      <c r="J3" s="33" t="s">
        <v>41</v>
      </c>
      <c r="K3" s="11" t="e">
        <f>Main!D5</f>
        <v>#N/A</v>
      </c>
      <c r="L3" s="7"/>
      <c r="O3" s="203"/>
      <c r="R3" s="289" t="e">
        <f>IF(T2=0, 0, IF(T2 &gt; Main!G93 + (1-G19)*0.4, 1, ""))</f>
        <v>#VALUE!</v>
      </c>
      <c r="T3" s="289" t="e" cm="1">
        <f t="array" ref="T3">MAX(ABS(E22:E30))</f>
        <v>#VALUE!</v>
      </c>
      <c r="U3" s="289" t="e" cm="1">
        <f t="array" ref="U3">MAX(ABS(H22:H30))</f>
        <v>#VALUE!</v>
      </c>
      <c r="X3" s="203"/>
      <c r="Y3" s="203"/>
      <c r="Z3" s="205"/>
      <c r="AA3" s="205"/>
      <c r="AB3" s="205"/>
      <c r="AC3" s="205"/>
    </row>
    <row r="4" spans="1:29" x14ac:dyDescent="0.25">
      <c r="D4" s="34" t="s">
        <v>40</v>
      </c>
      <c r="E4" s="8" t="e">
        <f>Main!D6</f>
        <v>#N/A</v>
      </c>
      <c r="H4" s="6"/>
      <c r="J4" s="34" t="s">
        <v>42</v>
      </c>
      <c r="K4" s="12">
        <f>Main!D16</f>
        <v>0</v>
      </c>
      <c r="L4" s="7"/>
      <c r="O4" s="203"/>
      <c r="R4" s="289" t="e">
        <f>IF(U2=0, 0, IF(U2 &gt; Main!G93 + (1-G31)*0.4, 1, ""))</f>
        <v>#VALUE!</v>
      </c>
      <c r="T4" s="289" t="e" cm="1">
        <f t="array" ref="T4">MAX(ABS(K22:K30))</f>
        <v>#VALUE!</v>
      </c>
      <c r="U4" s="289" t="e" cm="1">
        <f t="array" ref="U4">MAX(ABS(N22:N30))</f>
        <v>#REF!</v>
      </c>
      <c r="X4" s="203"/>
      <c r="Y4" s="203"/>
      <c r="Z4" s="205"/>
      <c r="AA4" s="205"/>
      <c r="AB4" s="205"/>
      <c r="AC4" s="205"/>
    </row>
    <row r="5" spans="1:29" x14ac:dyDescent="0.25">
      <c r="D5" s="34" t="s">
        <v>27</v>
      </c>
      <c r="E5" s="6" t="str">
        <f>Main!D7</f>
        <v>Jeff Hall</v>
      </c>
      <c r="H5" s="6"/>
      <c r="J5" s="35" t="s">
        <v>9</v>
      </c>
      <c r="K5" s="45">
        <f>Main!D18</f>
        <v>0</v>
      </c>
      <c r="O5" s="203"/>
      <c r="R5" s="289" t="e">
        <f>IF(T3=0, 0, IF(T3 &gt; Main!G93 + (1-J19)*0.4, 1, ""))</f>
        <v>#VALUE!</v>
      </c>
      <c r="T5" s="291"/>
      <c r="X5" s="203"/>
      <c r="Y5" s="203"/>
      <c r="Z5" s="205"/>
      <c r="AA5" s="205"/>
      <c r="AB5" s="205"/>
      <c r="AC5" s="205"/>
    </row>
    <row r="6" spans="1:29" ht="15.75" customHeight="1" x14ac:dyDescent="0.25">
      <c r="D6" s="34" t="s">
        <v>10</v>
      </c>
      <c r="E6" s="263" t="e">
        <f>IF(ISBLANK(Main!G95),"",Main!G95)</f>
        <v>#N/A</v>
      </c>
      <c r="G6" s="13" t="e">
        <f>IF(OR(R1:R8),"CHECK READINGS!!!","")</f>
        <v>#VALUE!</v>
      </c>
      <c r="J6" s="14"/>
      <c r="L6" s="7"/>
      <c r="O6" s="203"/>
      <c r="R6" s="289" t="e">
        <f>IF(U3=0, 0, IF(U3 &gt; Main!G93 + (1-J31)*0.4, 1, ""))</f>
        <v>#VALUE!</v>
      </c>
      <c r="T6" s="291"/>
      <c r="X6" s="203"/>
      <c r="Y6" s="203"/>
      <c r="Z6" s="205"/>
      <c r="AA6" s="205"/>
      <c r="AB6" s="205"/>
      <c r="AC6" s="205"/>
    </row>
    <row r="7" spans="1:29" x14ac:dyDescent="0.25">
      <c r="E7" s="6"/>
      <c r="F7" s="32" t="s">
        <v>11</v>
      </c>
      <c r="O7" s="203"/>
      <c r="R7" s="289" t="e">
        <f>IF(T4=0, 0, IF(T4 &gt; Main!G93 + (1-M19)*0.4, 1, ""))</f>
        <v>#VALUE!</v>
      </c>
      <c r="T7" s="291"/>
      <c r="X7" s="203"/>
      <c r="Y7" s="203"/>
      <c r="Z7" s="205"/>
      <c r="AA7" s="205"/>
      <c r="AB7" s="205"/>
      <c r="AC7" s="205"/>
    </row>
    <row r="8" spans="1:29" x14ac:dyDescent="0.25">
      <c r="A8" s="15" t="s">
        <v>51</v>
      </c>
      <c r="C8" s="16" t="s">
        <v>12</v>
      </c>
      <c r="D8" s="16" t="s">
        <v>13</v>
      </c>
      <c r="F8" s="16" t="s">
        <v>12</v>
      </c>
      <c r="G8" s="16" t="s">
        <v>13</v>
      </c>
      <c r="H8" s="16"/>
      <c r="I8" s="16" t="s">
        <v>12</v>
      </c>
      <c r="J8" s="16" t="s">
        <v>13</v>
      </c>
      <c r="K8" s="16"/>
      <c r="L8" s="16" t="s">
        <v>12</v>
      </c>
      <c r="M8" s="16" t="s">
        <v>13</v>
      </c>
      <c r="O8" s="203"/>
      <c r="R8" s="289" t="e">
        <f>IF(U4=0, 0, IF(U4 &gt; Main!G93 + (1-M31)*0.4, 1, ""))</f>
        <v>#REF!</v>
      </c>
      <c r="T8" s="291"/>
      <c r="X8" s="203"/>
      <c r="Y8" s="203"/>
      <c r="Z8" s="205"/>
      <c r="AA8" s="205"/>
      <c r="AB8" s="205"/>
      <c r="AC8" s="205"/>
    </row>
    <row r="9" spans="1:29" ht="15.75" thickBot="1" x14ac:dyDescent="0.3">
      <c r="A9" s="17" t="s">
        <v>14</v>
      </c>
      <c r="B9" s="17"/>
      <c r="C9" s="40" t="str">
        <f>IF(ISBLANK(Main!B37),"",Main!B37)</f>
        <v/>
      </c>
      <c r="D9" s="18" t="str">
        <f>IF(ISBLANK(Main!B37),"",Main!C37)</f>
        <v/>
      </c>
      <c r="E9" s="18" t="s">
        <v>15</v>
      </c>
      <c r="F9" s="40" t="str">
        <f>IF(ISBLANK(Main!B38),"",Main!B38)</f>
        <v/>
      </c>
      <c r="G9" s="18" t="str">
        <f>IF(ISBLANK(Main!B38),"",Main!C38)</f>
        <v/>
      </c>
      <c r="H9" s="18" t="s">
        <v>15</v>
      </c>
      <c r="I9" s="40" t="str">
        <f>IF(ISBLANK(Main!B39),"",Main!B39)</f>
        <v/>
      </c>
      <c r="J9" s="18" t="str">
        <f>IF(ISBLANK(Main!C39),"",Main!C39)</f>
        <v/>
      </c>
      <c r="K9" s="18" t="s">
        <v>15</v>
      </c>
      <c r="L9" s="40" t="str">
        <f>IF(ISBLANK(Main!B40),"",Main!B40)</f>
        <v/>
      </c>
      <c r="M9" s="18" t="str">
        <f>IF(ISBLANK(Main!B40),"",Main!C40)</f>
        <v/>
      </c>
      <c r="N9" s="18" t="s">
        <v>15</v>
      </c>
      <c r="O9" s="203"/>
      <c r="T9" s="291"/>
      <c r="X9" s="203"/>
      <c r="Y9" s="203"/>
      <c r="Z9" s="205"/>
      <c r="AA9" s="205"/>
      <c r="AB9" s="205"/>
      <c r="AC9" s="205"/>
    </row>
    <row r="10" spans="1:29" x14ac:dyDescent="0.25">
      <c r="A10" s="48" t="str">
        <f>IFERROR(HLOOKUP(A$8,#REF!,Comparison_Report!$S12,FALSE),"")</f>
        <v/>
      </c>
      <c r="B10" s="19"/>
      <c r="C10" s="20" t="str">
        <f>IF(OR(C$9="",$A10=""),"",HLOOKUP(C$9,#REF!,Comparison_Report!$S12,FALSE))</f>
        <v/>
      </c>
      <c r="D10" s="42" t="str" cm="1">
        <f t="array" ref="D10">IF(ISBLANK(Main!B37),"",TRANSPOSE(Main!D37:G37))</f>
        <v/>
      </c>
      <c r="E10" s="28" t="str">
        <f t="shared" ref="E10:E17" si="0">IF(OR(C10="",D10=""),"",D10-C10)</f>
        <v/>
      </c>
      <c r="F10" s="20" t="str">
        <f>IF(OR(F$9="",$A10=""),"",HLOOKUP(F$9,#REF!,Comparison_Report!$S12,FALSE))</f>
        <v/>
      </c>
      <c r="G10" s="42" t="str" cm="1">
        <f t="array" ref="G10">IF(ISBLANK(Main!B38),"",TRANSPOSE(Main!D38:G38))</f>
        <v/>
      </c>
      <c r="H10" s="28" t="str">
        <f>IF(OR(F10="",G10=""),"",G10-F10)</f>
        <v/>
      </c>
      <c r="I10" s="20" t="str">
        <f>IF(OR(I$9="",$A10=""),"",HLOOKUP(I$9,#REF!,Comparison_Report!$S12,FALSE))</f>
        <v/>
      </c>
      <c r="J10" s="42" t="str" cm="1">
        <f t="array" ref="J10">IF(ISBLANK(Main!B39),"",TRANSPOSE(Main!D39:G39))</f>
        <v/>
      </c>
      <c r="K10" s="28" t="str">
        <f>IF(OR(I10="",J10=""),"",J10-I10)</f>
        <v/>
      </c>
      <c r="L10" s="20" t="str">
        <f>IF(OR(L$9="",$A10=""),"",HLOOKUP(L$9,#REF!,Comparison_Report!$S12,FALSE))</f>
        <v/>
      </c>
      <c r="M10" s="42" t="str" cm="1">
        <f t="array" ref="M10">IF(ISBLANK(Main!B40),"",TRANSPOSE(Main!D40:G40))</f>
        <v/>
      </c>
      <c r="N10" s="28" t="str">
        <f>IF(OR(L10="",M10=""),"",M10-L10)</f>
        <v/>
      </c>
      <c r="O10" s="203" t="e">
        <f>IF(R1,D9 &amp; " IS OOT!!!","")</f>
        <v>#VALUE!</v>
      </c>
      <c r="R10" s="290"/>
      <c r="T10" s="291"/>
      <c r="X10" s="203"/>
      <c r="Y10" s="203"/>
      <c r="Z10" s="205"/>
      <c r="AA10" s="205"/>
      <c r="AB10" s="205"/>
      <c r="AC10" s="205"/>
    </row>
    <row r="11" spans="1:29" x14ac:dyDescent="0.25">
      <c r="A11" s="48" t="str">
        <f>IFERROR(HLOOKUP(A$8,#REF!,Comparison_Report!$S13,FALSE),"")</f>
        <v/>
      </c>
      <c r="B11" s="19"/>
      <c r="C11" s="20" t="str">
        <f>IF(OR(C$9="",$A11=""),"",HLOOKUP(C$9,#REF!,Comparison_Report!$S13,FALSE))</f>
        <v/>
      </c>
      <c r="D11" s="42"/>
      <c r="E11" s="28" t="str">
        <f t="shared" si="0"/>
        <v/>
      </c>
      <c r="F11" s="20" t="str">
        <f>IF(OR(F$9="",$A11=""),"",HLOOKUP(F$9,#REF!,Comparison_Report!$S13,FALSE))</f>
        <v/>
      </c>
      <c r="G11" s="42"/>
      <c r="H11" s="28" t="str">
        <f t="shared" ref="H11:H18" si="1">IF(OR(F11="",G11=""),"",G11-F11)</f>
        <v/>
      </c>
      <c r="I11" s="20" t="str">
        <f>IF(OR(I$9="",$A11=""),"",HLOOKUP(I$9,#REF!,Comparison_Report!$S13,FALSE))</f>
        <v/>
      </c>
      <c r="J11" s="42"/>
      <c r="K11" s="28" t="str">
        <f t="shared" ref="K11:K18" si="2">IF(OR(I11="",J11=""),"",J11-I11)</f>
        <v/>
      </c>
      <c r="L11" s="20" t="str">
        <f>IF(OR(L$9="",$A11=""),"",HLOOKUP(L$9,#REF!,Comparison_Report!$S13,FALSE))</f>
        <v/>
      </c>
      <c r="M11" s="42"/>
      <c r="N11" s="28" t="str">
        <f t="shared" ref="N11:N18" si="3">IF(OR(L11="",M11=""),"",M11-L11)</f>
        <v/>
      </c>
      <c r="O11" s="203" t="e">
        <f>IF(R2, G9 &amp; " IS OOT!!!","")</f>
        <v>#VALUE!</v>
      </c>
      <c r="R11" s="291"/>
      <c r="S11" s="290"/>
      <c r="T11" s="292" t="s">
        <v>406</v>
      </c>
      <c r="U11" s="295" t="s">
        <v>407</v>
      </c>
      <c r="V11" s="295" t="s">
        <v>408</v>
      </c>
      <c r="X11" s="203"/>
      <c r="Y11" s="203"/>
      <c r="Z11" s="205"/>
      <c r="AA11" s="205"/>
      <c r="AB11" s="205"/>
      <c r="AC11" s="205"/>
    </row>
    <row r="12" spans="1:29" x14ac:dyDescent="0.25">
      <c r="A12" s="48" t="str">
        <f>IFERROR(HLOOKUP(A$8,#REF!,Comparison_Report!$S14,FALSE),"")</f>
        <v/>
      </c>
      <c r="B12" s="19"/>
      <c r="C12" s="20" t="str">
        <f>IF(OR(C$9="",$A12=""),"",HLOOKUP(C$9,#REF!,Comparison_Report!$S14,FALSE))</f>
        <v/>
      </c>
      <c r="D12" s="42"/>
      <c r="E12" s="28" t="str">
        <f t="shared" si="0"/>
        <v/>
      </c>
      <c r="F12" s="20" t="str">
        <f>IF(OR(F$9="",$A12=""),"",HLOOKUP(F$9,#REF!,Comparison_Report!$S14,FALSE))</f>
        <v/>
      </c>
      <c r="G12" s="42"/>
      <c r="H12" s="28" t="str">
        <f t="shared" si="1"/>
        <v/>
      </c>
      <c r="I12" s="20" t="str">
        <f>IF(OR(I$9="",$A12=""),"",HLOOKUP(I$9,#REF!,Comparison_Report!$S14,FALSE))</f>
        <v/>
      </c>
      <c r="J12" s="42"/>
      <c r="K12" s="28" t="str">
        <f t="shared" si="2"/>
        <v/>
      </c>
      <c r="L12" s="20" t="str">
        <f>IF(OR(L$9="",$A12=""),"",HLOOKUP(L$9,#REF!,Comparison_Report!$S14,FALSE))</f>
        <v/>
      </c>
      <c r="M12" s="42"/>
      <c r="N12" s="28" t="str">
        <f t="shared" si="3"/>
        <v/>
      </c>
      <c r="O12" s="203" t="e">
        <f>IF(R3, J9 &amp; " IS OOT!!!","")</f>
        <v>#VALUE!</v>
      </c>
      <c r="S12" s="289" t="str" cm="1">
        <f t="array" ref="S12">_xlfn.XLOOKUP(TRIM(LEFT(K5,2)),Table7[#Headers],Table7[],"")</f>
        <v/>
      </c>
      <c r="U12" s="295">
        <v>2</v>
      </c>
      <c r="V12" s="295">
        <v>2</v>
      </c>
      <c r="X12" s="203"/>
      <c r="Y12" s="203"/>
      <c r="Z12" s="205"/>
      <c r="AA12" s="205"/>
      <c r="AB12" s="205"/>
      <c r="AC12" s="205"/>
    </row>
    <row r="13" spans="1:29" x14ac:dyDescent="0.25">
      <c r="A13" s="48" t="str">
        <f>IFERROR(HLOOKUP(A$8,#REF!,Comparison_Report!$S15,FALSE),"")</f>
        <v/>
      </c>
      <c r="B13" s="19"/>
      <c r="C13" s="20" t="str">
        <f>IF(OR(C$9="",$A13=""),"",HLOOKUP(C$9,#REF!,Comparison_Report!$S15,FALSE))</f>
        <v/>
      </c>
      <c r="D13" s="42"/>
      <c r="E13" s="28" t="str">
        <f t="shared" si="0"/>
        <v/>
      </c>
      <c r="F13" s="20" t="str">
        <f>IF(OR(F$9="",$A13=""),"",HLOOKUP(F$9,#REF!,Comparison_Report!$S15,FALSE))</f>
        <v/>
      </c>
      <c r="G13" s="42"/>
      <c r="H13" s="28" t="str">
        <f t="shared" si="1"/>
        <v/>
      </c>
      <c r="I13" s="20" t="str">
        <f>IF(OR(I$9="",$A13=""),"",HLOOKUP(I$9,#REF!,Comparison_Report!$S15,FALSE))</f>
        <v/>
      </c>
      <c r="J13" s="42"/>
      <c r="K13" s="28" t="str">
        <f t="shared" si="2"/>
        <v/>
      </c>
      <c r="L13" s="20" t="str">
        <f>IF(OR(L$9="",$A13=""),"",HLOOKUP(L$9,#REF!,Comparison_Report!$S15,FALSE))</f>
        <v/>
      </c>
      <c r="M13" s="42"/>
      <c r="N13" s="28" t="str">
        <f t="shared" si="3"/>
        <v/>
      </c>
      <c r="O13" s="203" t="e">
        <f>IF(R4, M9 &amp;" IS OOT!!!","")</f>
        <v>#VALUE!</v>
      </c>
      <c r="U13" s="295">
        <v>4</v>
      </c>
      <c r="V13" s="295">
        <v>7</v>
      </c>
      <c r="X13" s="203"/>
      <c r="Y13" s="203"/>
      <c r="Z13" s="205"/>
      <c r="AA13" s="205"/>
      <c r="AB13" s="205"/>
      <c r="AC13" s="205"/>
    </row>
    <row r="14" spans="1:29" x14ac:dyDescent="0.25">
      <c r="A14" s="48" t="str">
        <f>IFERROR(HLOOKUP(A$8,#REF!,Comparison_Report!$S16,FALSE),"")</f>
        <v/>
      </c>
      <c r="B14" s="19"/>
      <c r="C14" s="20" t="str">
        <f>IF(OR(C$9="",$A14=""),"",HLOOKUP(C$9,#REF!,Comparison_Report!$S16,FALSE))</f>
        <v/>
      </c>
      <c r="D14" s="42" t="str" cm="1">
        <f t="array" ref="D14">IF(OR(ISBLANK(Main!B37),A14=""),"",TRANSPOSE(Main!H37:L37))</f>
        <v/>
      </c>
      <c r="E14" s="28" t="str">
        <f t="shared" si="0"/>
        <v/>
      </c>
      <c r="F14" s="20" t="str">
        <f>IF(OR(F$9="",$A14=""),"",HLOOKUP(F$9,#REF!,Comparison_Report!$S16,FALSE))</f>
        <v/>
      </c>
      <c r="G14" s="42" t="str" cm="1">
        <f t="array" ref="G14">IF(OR(ISBLANK(Main!B38),A14=""),"",TRANSPOSE(Main!H38:L38))</f>
        <v/>
      </c>
      <c r="H14" s="28" t="str">
        <f t="shared" si="1"/>
        <v/>
      </c>
      <c r="I14" s="20" t="str">
        <f>IF(OR(I$9="",$A14=""),"",HLOOKUP(I$9,#REF!,Comparison_Report!$S16,FALSE))</f>
        <v/>
      </c>
      <c r="J14" s="42" t="str" cm="1">
        <f t="array" ref="J14">IF(OR(ISBLANK(Main!B39),A14=""),"",TRANSPOSE(Main!H39:L39))</f>
        <v/>
      </c>
      <c r="K14" s="28" t="str">
        <f t="shared" si="2"/>
        <v/>
      </c>
      <c r="L14" s="20" t="str">
        <f>IF(OR(L$9="",$A14=""),"",HLOOKUP(L$9,#REF!,Comparison_Report!$S16,FALSE))</f>
        <v/>
      </c>
      <c r="M14" s="42" t="str" cm="1">
        <f t="array" ref="M14">IF(OR(ISBLANK(Main!B40),A14=""),"",TRANSPOSE(Main!H40:L40))</f>
        <v/>
      </c>
      <c r="N14" s="28" t="str">
        <f t="shared" si="3"/>
        <v/>
      </c>
      <c r="O14" s="204"/>
      <c r="U14" s="295">
        <v>6</v>
      </c>
      <c r="V14" s="295">
        <v>12</v>
      </c>
      <c r="X14" s="203"/>
      <c r="Y14" s="203"/>
      <c r="Z14" s="205"/>
      <c r="AA14" s="205"/>
      <c r="AB14" s="205"/>
      <c r="AC14" s="205"/>
    </row>
    <row r="15" spans="1:29" x14ac:dyDescent="0.25">
      <c r="A15" s="48" t="str">
        <f>IFERROR(HLOOKUP(A$8,#REF!,Comparison_Report!$S17,FALSE),"")</f>
        <v/>
      </c>
      <c r="B15" s="19"/>
      <c r="C15" s="20" t="str">
        <f>IF(OR(C$9="",$A15=""),"",HLOOKUP(C$9,#REF!,Comparison_Report!$S17,FALSE))</f>
        <v/>
      </c>
      <c r="D15" s="42"/>
      <c r="E15" s="28" t="str">
        <f t="shared" si="0"/>
        <v/>
      </c>
      <c r="F15" s="20" t="str">
        <f>IF(OR(F$9="",$A15=""),"",HLOOKUP(F$9,#REF!,Comparison_Report!$S17,FALSE))</f>
        <v/>
      </c>
      <c r="G15" s="42"/>
      <c r="H15" s="28" t="str">
        <f t="shared" si="1"/>
        <v/>
      </c>
      <c r="I15" s="20" t="str">
        <f>IF(OR(I$9="",$A15=""),"",HLOOKUP(I$9,#REF!,Comparison_Report!$S17,FALSE))</f>
        <v/>
      </c>
      <c r="J15" s="42"/>
      <c r="K15" s="28" t="str">
        <f t="shared" si="2"/>
        <v/>
      </c>
      <c r="L15" s="20" t="str">
        <f>IF(OR(L$9="",$A15=""),"",HLOOKUP(L$9,#REF!,Comparison_Report!$S17,FALSE))</f>
        <v/>
      </c>
      <c r="M15" s="42"/>
      <c r="N15" s="28" t="str">
        <f t="shared" si="3"/>
        <v/>
      </c>
      <c r="O15" s="204"/>
      <c r="U15" s="295">
        <v>8</v>
      </c>
      <c r="V15" s="295">
        <v>17</v>
      </c>
      <c r="X15" s="203"/>
      <c r="Y15" s="203"/>
      <c r="Z15" s="205"/>
      <c r="AA15" s="205"/>
      <c r="AB15" s="205"/>
      <c r="AC15" s="205"/>
    </row>
    <row r="16" spans="1:29" x14ac:dyDescent="0.25">
      <c r="A16" s="48" t="str">
        <f>IFERROR(HLOOKUP(A$8,#REF!,Comparison_Report!$S18,FALSE),"")</f>
        <v/>
      </c>
      <c r="B16" s="19"/>
      <c r="C16" s="20" t="str">
        <f>IF(OR(C$9="",$A16=""),"",HLOOKUP(C$9,#REF!,Comparison_Report!$S18,FALSE))</f>
        <v/>
      </c>
      <c r="D16" s="42"/>
      <c r="E16" s="28" t="str">
        <f t="shared" si="0"/>
        <v/>
      </c>
      <c r="F16" s="20" t="str">
        <f>IF(OR(F$9="",$A16=""),"",HLOOKUP(F$9,#REF!,Comparison_Report!$S18,FALSE))</f>
        <v/>
      </c>
      <c r="G16" s="42"/>
      <c r="H16" s="28" t="str">
        <f t="shared" si="1"/>
        <v/>
      </c>
      <c r="I16" s="20" t="str">
        <f>IF(OR(I$9="",$A16=""),"",HLOOKUP(I$9,#REF!,Comparison_Report!$S18,FALSE))</f>
        <v/>
      </c>
      <c r="J16" s="42"/>
      <c r="K16" s="28" t="str">
        <f t="shared" si="2"/>
        <v/>
      </c>
      <c r="L16" s="20" t="str">
        <f>IF(OR(L$9="",$A16=""),"",HLOOKUP(L$9,#REF!,Comparison_Report!$S18,FALSE))</f>
        <v/>
      </c>
      <c r="M16" s="42"/>
      <c r="N16" s="28" t="str">
        <f t="shared" si="3"/>
        <v/>
      </c>
      <c r="O16" s="204"/>
      <c r="U16" s="295">
        <v>10</v>
      </c>
      <c r="V16" s="295">
        <v>22</v>
      </c>
      <c r="X16" s="203"/>
      <c r="Y16" s="203"/>
      <c r="Z16" s="205"/>
      <c r="AA16" s="205"/>
      <c r="AB16" s="205"/>
      <c r="AC16" s="205"/>
    </row>
    <row r="17" spans="1:22" x14ac:dyDescent="0.25">
      <c r="A17" s="48" t="str">
        <f>IFERROR(HLOOKUP(A$8,#REF!,Comparison_Report!$S19,FALSE),"")</f>
        <v/>
      </c>
      <c r="B17" s="19"/>
      <c r="C17" s="20" t="str">
        <f>IF(OR(C$9="",$A17=""),"",HLOOKUP(C$9,#REF!,Comparison_Report!$S19,FALSE))</f>
        <v/>
      </c>
      <c r="D17" s="42"/>
      <c r="E17" s="28" t="str">
        <f t="shared" si="0"/>
        <v/>
      </c>
      <c r="F17" s="20" t="str">
        <f>IF(OR(F$9="",$A17=""),"",HLOOKUP(F$9,#REF!,Comparison_Report!$S19,FALSE))</f>
        <v/>
      </c>
      <c r="G17" s="42"/>
      <c r="H17" s="28" t="str">
        <f t="shared" si="1"/>
        <v/>
      </c>
      <c r="I17" s="20" t="str">
        <f>IF(OR(I$9="",$A17=""),"",HLOOKUP(I$9,#REF!,Comparison_Report!$S19,FALSE))</f>
        <v/>
      </c>
      <c r="J17" s="42"/>
      <c r="K17" s="28" t="str">
        <f t="shared" si="2"/>
        <v/>
      </c>
      <c r="L17" s="20" t="str">
        <f>IF(OR(L$9="",$A17=""),"",HLOOKUP(L$9,#REF!,Comparison_Report!$S19,FALSE))</f>
        <v/>
      </c>
      <c r="M17" s="42"/>
      <c r="N17" s="28" t="str">
        <f t="shared" si="3"/>
        <v/>
      </c>
      <c r="O17" s="27"/>
      <c r="U17" s="295">
        <v>12</v>
      </c>
      <c r="V17" s="295" t="s">
        <v>22</v>
      </c>
    </row>
    <row r="18" spans="1:22" x14ac:dyDescent="0.25">
      <c r="A18" s="48" t="str">
        <f>IFERROR(HLOOKUP(A$8,#REF!,Comparison_Report!$S20,FALSE),"")</f>
        <v/>
      </c>
      <c r="B18" s="19"/>
      <c r="C18" s="20" t="str">
        <f>IF(OR(C$9="",$A18=""),"",HLOOKUP(C$9,#REF!,Comparison_Report!$S20,FALSE))</f>
        <v/>
      </c>
      <c r="D18" s="42"/>
      <c r="E18" s="28" t="str">
        <f>IF(OR(C18="",D18=""),"",D18-C18)</f>
        <v/>
      </c>
      <c r="F18" s="20" t="str">
        <f>IF(OR(F$9="",$A18=""),"",HLOOKUP(F$9,#REF!,Comparison_Report!$S20,FALSE))</f>
        <v/>
      </c>
      <c r="G18" s="42"/>
      <c r="H18" s="28" t="str">
        <f t="shared" si="1"/>
        <v/>
      </c>
      <c r="I18" s="20" t="str">
        <f>IF(OR(I$9="",$A18=""),"",HLOOKUP(I$9,#REF!,Comparison_Report!$S20,FALSE))</f>
        <v/>
      </c>
      <c r="J18" s="42"/>
      <c r="K18" s="28" t="str">
        <f t="shared" si="2"/>
        <v/>
      </c>
      <c r="L18" s="20" t="str">
        <f>IF(OR(L$9="",$A18=""),"",HLOOKUP(L$9,#REF!,Comparison_Report!$S20,FALSE))</f>
        <v/>
      </c>
      <c r="M18" s="42"/>
      <c r="N18" s="28" t="str">
        <f t="shared" si="3"/>
        <v/>
      </c>
      <c r="O18" s="27"/>
      <c r="U18" s="295">
        <v>14</v>
      </c>
      <c r="V18" s="295" t="s">
        <v>22</v>
      </c>
    </row>
    <row r="19" spans="1:22" x14ac:dyDescent="0.25">
      <c r="A19" s="15">
        <v>0</v>
      </c>
      <c r="B19" s="15"/>
      <c r="C19" s="15"/>
      <c r="D19" s="30">
        <v>1</v>
      </c>
      <c r="E19" s="15" t="str">
        <f>IF(ISNUMBER(SEARCH(".",E10))=TRUE,".","")</f>
        <v/>
      </c>
      <c r="F19" s="15"/>
      <c r="G19" s="30">
        <v>1</v>
      </c>
      <c r="H19" s="13" t="str" cm="1">
        <f t="array" ref="H19">IF(OR(S16:S23=1),"CHECK READINGS!!!","")</f>
        <v/>
      </c>
      <c r="I19" s="15"/>
      <c r="J19" s="30">
        <v>1</v>
      </c>
      <c r="K19" s="15" t="str">
        <f>IF(ISNUMBER(SEARCH(".",K10))=TRUE,".","")</f>
        <v/>
      </c>
      <c r="L19" s="15"/>
      <c r="M19" s="30">
        <v>1</v>
      </c>
      <c r="N19" s="15" t="str">
        <f>IF(ISNUMBER(SEARCH(".",N10))=TRUE,".","")</f>
        <v/>
      </c>
      <c r="O19" s="27"/>
      <c r="U19" s="295">
        <v>16</v>
      </c>
      <c r="V19" s="295" t="s">
        <v>22</v>
      </c>
    </row>
    <row r="20" spans="1:22" x14ac:dyDescent="0.25">
      <c r="C20" s="16" t="s">
        <v>12</v>
      </c>
      <c r="D20" s="16" t="s">
        <v>13</v>
      </c>
      <c r="F20" s="16" t="s">
        <v>12</v>
      </c>
      <c r="G20" s="16" t="s">
        <v>13</v>
      </c>
      <c r="H20" s="16"/>
      <c r="I20" s="16" t="s">
        <v>12</v>
      </c>
      <c r="J20" s="16" t="s">
        <v>13</v>
      </c>
      <c r="K20" s="16"/>
      <c r="L20" s="16" t="s">
        <v>12</v>
      </c>
      <c r="M20" s="16" t="s">
        <v>13</v>
      </c>
      <c r="O20" s="27"/>
      <c r="U20" s="295">
        <v>17</v>
      </c>
      <c r="V20" s="295" t="s">
        <v>22</v>
      </c>
    </row>
    <row r="21" spans="1:22" ht="15.75" thickBot="1" x14ac:dyDescent="0.3">
      <c r="A21" s="17" t="s">
        <v>14</v>
      </c>
      <c r="B21" s="17"/>
      <c r="C21" s="40" t="str">
        <f>IF(ISBLANK(Main!B41),"",Main!B41)</f>
        <v/>
      </c>
      <c r="D21" s="18" t="str">
        <f>IF(ISBLANK(Main!B41),"",Main!C41)</f>
        <v/>
      </c>
      <c r="E21" s="18" t="s">
        <v>15</v>
      </c>
      <c r="F21" s="40" t="str">
        <f>IF(ISBLANK(Main!B42),"",Main!B42)</f>
        <v/>
      </c>
      <c r="G21" s="18" t="str">
        <f>IF(ISBLANK(Main!B42),"",Main!C42)</f>
        <v/>
      </c>
      <c r="H21" s="18" t="s">
        <v>15</v>
      </c>
      <c r="I21" s="40" t="str">
        <f>IF(ISBLANK(Main!B43),"",Main!B43)</f>
        <v/>
      </c>
      <c r="J21" s="18" t="str">
        <f>IF(ISBLANK(Main!B43),"",Main!C43)</f>
        <v/>
      </c>
      <c r="K21" s="18" t="s">
        <v>15</v>
      </c>
      <c r="L21" s="40" t="str">
        <f>IF(ISBLANK(Main!B44),"",Main!B44)</f>
        <v/>
      </c>
      <c r="M21" s="18" t="str">
        <f>IF(ISBLANK(Main!C44),"",Main!C44)</f>
        <v/>
      </c>
      <c r="N21" s="18" t="s">
        <v>15</v>
      </c>
      <c r="U21" s="295">
        <v>21</v>
      </c>
      <c r="V21" s="295" t="s">
        <v>22</v>
      </c>
    </row>
    <row r="22" spans="1:22" x14ac:dyDescent="0.25">
      <c r="A22" s="48" t="str">
        <f>IF(C$21="","",IFERROR(HLOOKUP(A$8,#REF!,Comparison_Report!$S12,FALSE),""))</f>
        <v/>
      </c>
      <c r="B22" s="19"/>
      <c r="C22" s="20" t="str">
        <f>IF(OR(C$21="",$A22=""),"",HLOOKUP(C$21,#REF!,Comparison_Report!$S12,FALSE))</f>
        <v/>
      </c>
      <c r="D22" s="42" t="str" cm="1">
        <f t="array" ref="D22">IF(ISBLANK(Main!B41),"",TRANSPOSE(Main!D41:G41))</f>
        <v/>
      </c>
      <c r="E22" s="28" t="str">
        <f t="shared" ref="E22:E28" si="4">IF(OR(C22="",D22=""),"",D22-C22)</f>
        <v/>
      </c>
      <c r="F22" s="20" t="str">
        <f>IF(AND(F$21&lt;&gt;"",$A22&lt;&gt;""),HLOOKUP(F$21,#REF!,Comparison_Report!$S12,FALSE),"")</f>
        <v/>
      </c>
      <c r="G22" s="42" t="str" cm="1">
        <f t="array" ref="G22">IF(ISBLANK(Main!B42),"",TRANSPOSE(Main!D42:G42))</f>
        <v/>
      </c>
      <c r="H22" s="28" t="str">
        <f>IF(OR(F22="",G22=""),"",G22-F22)</f>
        <v/>
      </c>
      <c r="I22" s="20" t="str">
        <f>IF(OR(I$21="",$A22=""),"",HLOOKUP(I$21,#REF!,Comparison_Report!$S12,FALSE))</f>
        <v/>
      </c>
      <c r="J22" s="42" t="str" cm="1">
        <f t="array" ref="J22">IF(ISBLANK(Main!B43),"",TRANSPOSE(Main!D43:G43))</f>
        <v/>
      </c>
      <c r="K22" s="28" t="str">
        <f>IF(OR(I22="",J22=""),"",J22-I22)</f>
        <v/>
      </c>
      <c r="L22" s="20" t="e">
        <f>IF(OR(L$21&lt;&gt;"",$A22&lt;&gt;""),"",HLOOKUP(L$21,#REF!,Comparison_Report!$S12,FALSE))</f>
        <v>#REF!</v>
      </c>
      <c r="M22" s="42" t="str" cm="1">
        <f t="array" ref="M22">IF(ISBLANK(Main!B44),"",TRANSPOSE(Main!D44:G44))</f>
        <v/>
      </c>
      <c r="N22" s="28" t="e">
        <f>IF(OR(L22="",M22=""),"",M22-L22)</f>
        <v>#REF!</v>
      </c>
      <c r="O22" s="26" t="e">
        <f>IF(R5, D21 &amp;" IS OOT!!!","")</f>
        <v>#VALUE!</v>
      </c>
      <c r="U22" s="295" t="s">
        <v>22</v>
      </c>
      <c r="V22" s="295" t="s">
        <v>22</v>
      </c>
    </row>
    <row r="23" spans="1:22" x14ac:dyDescent="0.25">
      <c r="A23" s="48" t="str">
        <f>IF(C$21="","",IFERROR(HLOOKUP(A$8,#REF!,Comparison_Report!$S13,FALSE),""))</f>
        <v/>
      </c>
      <c r="B23" s="19"/>
      <c r="C23" s="20" t="str">
        <f>IF(OR(C$21="",$A23=""),"",HLOOKUP(C$21,#REF!,Comparison_Report!$S13,FALSE))</f>
        <v/>
      </c>
      <c r="D23" s="42"/>
      <c r="E23" s="28" t="str">
        <f t="shared" si="4"/>
        <v/>
      </c>
      <c r="F23" s="20" t="str">
        <f>IF(AND(F$21&lt;&gt;"",$A23&lt;&gt;""),HLOOKUP(F$21,#REF!,Comparison_Report!$S13,FALSE),"")</f>
        <v/>
      </c>
      <c r="G23" s="42"/>
      <c r="H23" s="28" t="str">
        <f t="shared" ref="H23:H30" si="5">IF(OR(F23="",G23=""),"",G23-F23)</f>
        <v/>
      </c>
      <c r="I23" s="20" t="str">
        <f>IF(OR(I$21="",$A23=""),"",HLOOKUP(I$21,#REF!,Comparison_Report!$S13,FALSE))</f>
        <v/>
      </c>
      <c r="J23" s="42"/>
      <c r="K23" s="28" t="str">
        <f t="shared" ref="K23:K30" si="6">IF(OR(I23="",J23=""),"",J23-I23)</f>
        <v/>
      </c>
      <c r="L23" s="20" t="e">
        <f>IF(OR(L$21&lt;&gt;"",$A23&lt;&gt;""),"",HLOOKUP(L$21,#REF!,Comparison_Report!$S13,FALSE))</f>
        <v>#REF!</v>
      </c>
      <c r="M23" s="42"/>
      <c r="N23" s="28" t="e">
        <f t="shared" ref="N23:N30" si="7">IF(OR(L23="",M23=""),"",M23-L23)</f>
        <v>#REF!</v>
      </c>
      <c r="O23" s="26" t="e">
        <f>IF(R6, G21 &amp;" IS OOT!!!","")</f>
        <v>#VALUE!</v>
      </c>
      <c r="U23" s="295" t="s">
        <v>22</v>
      </c>
      <c r="V23" s="295" t="s">
        <v>22</v>
      </c>
    </row>
    <row r="24" spans="1:22" x14ac:dyDescent="0.25">
      <c r="A24" s="48" t="str">
        <f>IF(C$21="","",IFERROR(HLOOKUP(A$8,#REF!,Comparison_Report!$S14,FALSE),""))</f>
        <v/>
      </c>
      <c r="B24" s="19"/>
      <c r="C24" s="20" t="str">
        <f>IF(OR(C$21="",$A24=""),"",HLOOKUP(C$21,#REF!,Comparison_Report!$S14,FALSE))</f>
        <v/>
      </c>
      <c r="D24" s="42"/>
      <c r="E24" s="28" t="str">
        <f t="shared" si="4"/>
        <v/>
      </c>
      <c r="F24" s="20" t="str">
        <f>IF(AND(F$21&lt;&gt;"",$A24&lt;&gt;""),HLOOKUP(F$21,#REF!,Comparison_Report!$S14,FALSE),"")</f>
        <v/>
      </c>
      <c r="G24" s="42"/>
      <c r="H24" s="28" t="str">
        <f t="shared" si="5"/>
        <v/>
      </c>
      <c r="I24" s="20" t="str">
        <f>IF(OR(I$21="",$A24=""),"",HLOOKUP(I$21,#REF!,Comparison_Report!$S14,FALSE))</f>
        <v/>
      </c>
      <c r="J24" s="42"/>
      <c r="K24" s="28" t="str">
        <f t="shared" si="6"/>
        <v/>
      </c>
      <c r="L24" s="20" t="e">
        <f>IF(OR(L$21&lt;&gt;"",$A24&lt;&gt;""),"",HLOOKUP(L$21,#REF!,Comparison_Report!$S14,FALSE))</f>
        <v>#REF!</v>
      </c>
      <c r="M24" s="42"/>
      <c r="N24" s="28" t="e">
        <f t="shared" si="7"/>
        <v>#REF!</v>
      </c>
      <c r="O24" s="26" t="e">
        <f>IF(R7, J21 &amp; " IS OOT!!!","")</f>
        <v>#VALUE!</v>
      </c>
      <c r="S24" s="293"/>
      <c r="U24" s="295" t="s">
        <v>22</v>
      </c>
      <c r="V24" s="295" t="s">
        <v>22</v>
      </c>
    </row>
    <row r="25" spans="1:22" x14ac:dyDescent="0.25">
      <c r="A25" s="48" t="str">
        <f>IF(C$21="","",IFERROR(HLOOKUP(A$8,#REF!,Comparison_Report!$S15,FALSE),""))</f>
        <v/>
      </c>
      <c r="B25" s="19"/>
      <c r="C25" s="20" t="str">
        <f>IF(OR(C$21="",$A25=""),"",HLOOKUP(C$21,#REF!,Comparison_Report!$S15,FALSE))</f>
        <v/>
      </c>
      <c r="D25" s="42"/>
      <c r="E25" s="28" t="str">
        <f t="shared" si="4"/>
        <v/>
      </c>
      <c r="F25" s="20" t="str">
        <f>IF(AND(F$21&lt;&gt;"",$A25&lt;&gt;""),HLOOKUP(F$21,#REF!,Comparison_Report!$S15,FALSE),"")</f>
        <v/>
      </c>
      <c r="G25" s="42"/>
      <c r="H25" s="28" t="str">
        <f t="shared" si="5"/>
        <v/>
      </c>
      <c r="I25" s="20" t="str">
        <f>IF(OR(I$21="",$A25=""),"",HLOOKUP(I$21,#REF!,Comparison_Report!$S15,FALSE))</f>
        <v/>
      </c>
      <c r="J25" s="42"/>
      <c r="K25" s="28" t="str">
        <f t="shared" si="6"/>
        <v/>
      </c>
      <c r="L25" s="20" t="e">
        <f>IF(OR(L$21&lt;&gt;"",$A25&lt;&gt;""),"",HLOOKUP(L$21,#REF!,Comparison_Report!$S15,FALSE))</f>
        <v>#REF!</v>
      </c>
      <c r="M25" s="42"/>
      <c r="N25" s="28" t="e">
        <f t="shared" si="7"/>
        <v>#REF!</v>
      </c>
      <c r="O25" s="26" t="e">
        <f>IF(R8, M21 &amp; " IS OOT!!!","")</f>
        <v>#REF!</v>
      </c>
      <c r="U25" s="295" t="s">
        <v>22</v>
      </c>
      <c r="V25" s="295" t="s">
        <v>22</v>
      </c>
    </row>
    <row r="26" spans="1:22" x14ac:dyDescent="0.25">
      <c r="A26" s="48" t="str">
        <f>IF(C$21="","",IFERROR(HLOOKUP(A$8,#REF!,Comparison_Report!$S16,FALSE),""))</f>
        <v/>
      </c>
      <c r="B26" s="19"/>
      <c r="C26" s="20" t="str">
        <f>IF(OR(C$21="",$A26=""),"",HLOOKUP(C$21,#REF!,Comparison_Report!$S16,FALSE))</f>
        <v/>
      </c>
      <c r="D26" s="42" t="str" cm="1">
        <f t="array" ref="D26">IF(OR(ISBLANK(Main!B41),A26=""),"",TRANSPOSE(Main!H41:L41))</f>
        <v/>
      </c>
      <c r="E26" s="28" t="str">
        <f t="shared" si="4"/>
        <v/>
      </c>
      <c r="F26" s="20" t="str">
        <f>IF(AND(F$21&lt;&gt;"",$A26&lt;&gt;""),HLOOKUP(F$21,#REF!,Comparison_Report!$S16,FALSE),"")</f>
        <v/>
      </c>
      <c r="G26" s="42" t="str" cm="1">
        <f t="array" ref="G26">IF(OR(ISBLANK(Main!B42),A26=""),"",TRANSPOSE(Main!H42:L42))</f>
        <v/>
      </c>
      <c r="H26" s="28" t="str">
        <f t="shared" si="5"/>
        <v/>
      </c>
      <c r="I26" s="20" t="str">
        <f>IF(OR(I$21="",$A26=""),"",HLOOKUP(I$21,#REF!,Comparison_Report!$S16,FALSE))</f>
        <v/>
      </c>
      <c r="J26" s="42" t="str" cm="1">
        <f t="array" ref="J26">IF(OR(ISBLANK(Main!B43),A26=""),"",TRANSPOSE(Main!H43:L43))</f>
        <v/>
      </c>
      <c r="K26" s="28" t="str">
        <f t="shared" si="6"/>
        <v/>
      </c>
      <c r="L26" s="20" t="e">
        <f>IF(OR(L$21&lt;&gt;"",$A26&lt;&gt;""),"",HLOOKUP(L$21,#REF!,Comparison_Report!$S16,FALSE))</f>
        <v>#REF!</v>
      </c>
      <c r="M26" s="42" t="str" cm="1">
        <f t="array" ref="M26">IF(OR(ISBLANK(Main!B44),A26=""),"",TRANSPOSE(Main!H44:L44))</f>
        <v/>
      </c>
      <c r="N26" s="28" t="e">
        <f t="shared" si="7"/>
        <v>#REF!</v>
      </c>
    </row>
    <row r="27" spans="1:22" x14ac:dyDescent="0.25">
      <c r="A27" s="48" t="str">
        <f>IF(C$21="","",IFERROR(HLOOKUP(A$8,#REF!,Comparison_Report!$S17,FALSE),""))</f>
        <v/>
      </c>
      <c r="B27" s="19"/>
      <c r="C27" s="20" t="str">
        <f>IF(OR(C$21="",$A27=""),"",HLOOKUP(C$21,#REF!,Comparison_Report!$S17,FALSE))</f>
        <v/>
      </c>
      <c r="D27" s="42"/>
      <c r="E27" s="28" t="str">
        <f t="shared" si="4"/>
        <v/>
      </c>
      <c r="F27" s="20" t="str">
        <f>IF(AND(F$21&lt;&gt;"",$A27&lt;&gt;""),HLOOKUP(F$21,#REF!,Comparison_Report!$S17,FALSE),"")</f>
        <v/>
      </c>
      <c r="G27" s="42"/>
      <c r="H27" s="28" t="str">
        <f t="shared" si="5"/>
        <v/>
      </c>
      <c r="I27" s="20" t="str">
        <f>IF(OR(I$21="",$A27=""),"",HLOOKUP(I$21,#REF!,Comparison_Report!$S17,FALSE))</f>
        <v/>
      </c>
      <c r="J27" s="42"/>
      <c r="K27" s="28" t="str">
        <f t="shared" si="6"/>
        <v/>
      </c>
      <c r="L27" s="20" t="e">
        <f>IF(OR(L$21&lt;&gt;"",$A27&lt;&gt;""),"",HLOOKUP(L$21,#REF!,Comparison_Report!$S17,FALSE))</f>
        <v>#REF!</v>
      </c>
      <c r="M27" s="42"/>
      <c r="N27" s="28" t="e">
        <f t="shared" si="7"/>
        <v>#REF!</v>
      </c>
    </row>
    <row r="28" spans="1:22" x14ac:dyDescent="0.25">
      <c r="A28" s="48" t="str">
        <f>IF(C$21="","",IFERROR(HLOOKUP(A$8,#REF!,Comparison_Report!$S18,FALSE),""))</f>
        <v/>
      </c>
      <c r="B28" s="19"/>
      <c r="C28" s="20" t="str">
        <f>IF(OR(C$21="",$A28=""),"",HLOOKUP(C$21,#REF!,Comparison_Report!$S18,FALSE))</f>
        <v/>
      </c>
      <c r="D28" s="42"/>
      <c r="E28" s="28" t="str">
        <f t="shared" si="4"/>
        <v/>
      </c>
      <c r="F28" s="20" t="str">
        <f>IF(AND(F$21&lt;&gt;"",$A28&lt;&gt;""),HLOOKUP(F$21,#REF!,Comparison_Report!$S18,FALSE),"")</f>
        <v/>
      </c>
      <c r="G28" s="42"/>
      <c r="H28" s="28" t="str">
        <f t="shared" si="5"/>
        <v/>
      </c>
      <c r="I28" s="20" t="str">
        <f>IF(OR(I$21="",$A28=""),"",HLOOKUP(I$21,#REF!,Comparison_Report!$S18,FALSE))</f>
        <v/>
      </c>
      <c r="J28" s="42"/>
      <c r="K28" s="28" t="str">
        <f t="shared" si="6"/>
        <v/>
      </c>
      <c r="L28" s="20" t="e">
        <f>IF(OR(L$21&lt;&gt;"",$A28&lt;&gt;""),"",HLOOKUP(L$21,#REF!,Comparison_Report!$S18,FALSE))</f>
        <v>#REF!</v>
      </c>
      <c r="M28" s="42"/>
      <c r="N28" s="28" t="e">
        <f t="shared" si="7"/>
        <v>#REF!</v>
      </c>
    </row>
    <row r="29" spans="1:22" x14ac:dyDescent="0.25">
      <c r="A29" s="48" t="str">
        <f>IF(C$21="","",IFERROR(HLOOKUP(A$8,#REF!,Comparison_Report!$S19,FALSE),""))</f>
        <v/>
      </c>
      <c r="B29" s="19"/>
      <c r="C29" s="20" t="str">
        <f>IF(OR(C$21="",$A29=""),"",HLOOKUP(C$21,#REF!,Comparison_Report!$S19,FALSE))</f>
        <v/>
      </c>
      <c r="D29" s="42"/>
      <c r="E29" s="28" t="str">
        <f>IF(OR(C29="",D29=""),"",D29-C29)</f>
        <v/>
      </c>
      <c r="F29" s="20" t="str">
        <f>IF(AND(F$21&lt;&gt;"",$A29&lt;&gt;""),HLOOKUP(F$21,#REF!,Comparison_Report!$S19,FALSE),"")</f>
        <v/>
      </c>
      <c r="G29" s="42"/>
      <c r="H29" s="28" t="str">
        <f t="shared" si="5"/>
        <v/>
      </c>
      <c r="I29" s="20" t="str">
        <f>IF(OR(I$21="",$A29=""),"",HLOOKUP(I$21,#REF!,Comparison_Report!$S19,FALSE))</f>
        <v/>
      </c>
      <c r="J29" s="42"/>
      <c r="K29" s="28" t="str">
        <f t="shared" si="6"/>
        <v/>
      </c>
      <c r="L29" s="20" t="e">
        <f>IF(OR(L$21&lt;&gt;"",$A29&lt;&gt;""),"",HLOOKUP(L$21,#REF!,Comparison_Report!$S19,FALSE))</f>
        <v>#REF!</v>
      </c>
      <c r="M29" s="42"/>
      <c r="N29" s="28" t="e">
        <f t="shared" si="7"/>
        <v>#REF!</v>
      </c>
    </row>
    <row r="30" spans="1:22" x14ac:dyDescent="0.25">
      <c r="A30" s="48" t="str">
        <f>IF(C$21="","",IFERROR(HLOOKUP(A$8,#REF!,Comparison_Report!$S20,FALSE),""))</f>
        <v/>
      </c>
      <c r="B30" s="19"/>
      <c r="C30" s="20" t="str">
        <f>IF(OR(C$21="",$A30=""),"",HLOOKUP(C$21,#REF!,Comparison_Report!$S20,FALSE))</f>
        <v/>
      </c>
      <c r="D30" s="42"/>
      <c r="E30" s="28" t="str">
        <f>IF(OR(C30="",D30=""),"",D30-C30)</f>
        <v/>
      </c>
      <c r="F30" s="20" t="str">
        <f>IF(AND(F$21&lt;&gt;"",$A30&lt;&gt;""),HLOOKUP(F$21,#REF!,Comparison_Report!$S20,FALSE),"")</f>
        <v/>
      </c>
      <c r="G30" s="42"/>
      <c r="H30" s="28" t="str">
        <f t="shared" si="5"/>
        <v/>
      </c>
      <c r="I30" s="20" t="str">
        <f>IF(OR(I$21="",$A30=""),"",HLOOKUP(I$21,#REF!,Comparison_Report!$S20,FALSE))</f>
        <v/>
      </c>
      <c r="J30" s="42"/>
      <c r="K30" s="28" t="str">
        <f t="shared" si="6"/>
        <v/>
      </c>
      <c r="L30" s="20" t="e">
        <f>IF(OR(L$21&lt;&gt;"",$A30&lt;&gt;""),"",HLOOKUP(L$21,#REF!,Comparison_Report!$S20,FALSE))</f>
        <v>#REF!</v>
      </c>
      <c r="M30" s="42"/>
      <c r="N30" s="28" t="e">
        <f t="shared" si="7"/>
        <v>#REF!</v>
      </c>
    </row>
    <row r="31" spans="1:22" ht="15.75" thickBot="1" x14ac:dyDescent="0.3">
      <c r="A31" s="21">
        <v>0</v>
      </c>
      <c r="B31" s="21"/>
      <c r="C31" s="21"/>
      <c r="D31" s="29">
        <v>1</v>
      </c>
      <c r="E31" s="22"/>
      <c r="F31" s="21"/>
      <c r="G31" s="29">
        <v>1</v>
      </c>
      <c r="H31" s="22"/>
      <c r="I31" s="21"/>
      <c r="J31" s="29">
        <v>1</v>
      </c>
      <c r="K31" s="22"/>
      <c r="L31" s="21"/>
      <c r="M31" s="29">
        <v>1</v>
      </c>
      <c r="N31" s="22"/>
    </row>
    <row r="32" spans="1:22" x14ac:dyDescent="0.25">
      <c r="C32" s="23" t="s">
        <v>16</v>
      </c>
      <c r="D32" s="627" t="s">
        <v>17</v>
      </c>
      <c r="E32" s="627"/>
      <c r="F32" s="627"/>
      <c r="G32" s="627"/>
      <c r="H32" s="627"/>
      <c r="I32" s="627"/>
      <c r="J32" s="627"/>
      <c r="K32" s="627"/>
      <c r="L32" s="627"/>
      <c r="M32" s="627"/>
    </row>
    <row r="33" spans="1:14" ht="15" customHeight="1" x14ac:dyDescent="0.25">
      <c r="D33" s="628"/>
      <c r="E33" s="628"/>
      <c r="F33" s="628"/>
      <c r="G33" s="628"/>
      <c r="H33" s="628"/>
      <c r="I33" s="628"/>
      <c r="J33" s="628"/>
      <c r="K33" s="628"/>
      <c r="L33" s="628"/>
      <c r="M33" s="628"/>
      <c r="N33" s="24"/>
    </row>
    <row r="34" spans="1:14" x14ac:dyDescent="0.25">
      <c r="A34" s="19"/>
      <c r="B34" s="19"/>
      <c r="D34" s="628"/>
      <c r="E34" s="628"/>
      <c r="F34" s="628"/>
      <c r="G34" s="628"/>
      <c r="H34" s="628"/>
      <c r="I34" s="628"/>
      <c r="J34" s="628"/>
      <c r="K34" s="628"/>
      <c r="L34" s="628"/>
      <c r="M34" s="628"/>
    </row>
    <row r="35" spans="1:14" x14ac:dyDescent="0.25">
      <c r="A35" s="19"/>
      <c r="B35" s="19"/>
      <c r="C35" s="23" t="s">
        <v>18</v>
      </c>
      <c r="D35" s="31" t="s">
        <v>19</v>
      </c>
      <c r="E35" s="107"/>
      <c r="F35" s="31"/>
      <c r="G35" s="31"/>
      <c r="H35" s="107"/>
      <c r="I35" s="31"/>
      <c r="J35" s="31"/>
      <c r="K35" s="107"/>
      <c r="L35" s="31"/>
      <c r="M35" s="31"/>
    </row>
    <row r="36" spans="1:14" x14ac:dyDescent="0.25">
      <c r="A36" s="19"/>
      <c r="B36" s="19"/>
    </row>
    <row r="37" spans="1:14" x14ac:dyDescent="0.25">
      <c r="A37" s="19"/>
      <c r="B37" s="19"/>
      <c r="C37" s="629" t="s">
        <v>20</v>
      </c>
      <c r="D37" s="629"/>
      <c r="E37" s="629"/>
      <c r="F37" s="629"/>
      <c r="G37" s="629"/>
      <c r="H37" s="629"/>
      <c r="I37" s="629"/>
      <c r="J37" s="629"/>
      <c r="K37" s="629"/>
      <c r="L37" s="629"/>
      <c r="M37" s="629"/>
    </row>
    <row r="38" spans="1:14" x14ac:dyDescent="0.25">
      <c r="A38" s="19"/>
      <c r="B38" s="19"/>
      <c r="C38" s="629"/>
      <c r="D38" s="629"/>
      <c r="E38" s="629"/>
      <c r="F38" s="629"/>
      <c r="G38" s="629"/>
      <c r="H38" s="629"/>
      <c r="I38" s="629"/>
      <c r="J38" s="629"/>
      <c r="K38" s="629"/>
      <c r="L38" s="629"/>
      <c r="M38" s="629"/>
    </row>
    <row r="39" spans="1:14" x14ac:dyDescent="0.25">
      <c r="A39" s="19"/>
      <c r="B39" s="19"/>
      <c r="C39" s="629"/>
      <c r="D39" s="629"/>
      <c r="E39" s="629"/>
      <c r="F39" s="629"/>
      <c r="G39" s="629"/>
      <c r="H39" s="629"/>
      <c r="I39" s="629"/>
      <c r="J39" s="629"/>
      <c r="K39" s="629"/>
      <c r="L39" s="629"/>
      <c r="M39" s="629"/>
    </row>
    <row r="40" spans="1:14" x14ac:dyDescent="0.25">
      <c r="A40" s="19"/>
      <c r="B40" s="19"/>
      <c r="C40" s="629"/>
      <c r="D40" s="629"/>
      <c r="E40" s="629"/>
      <c r="F40" s="629"/>
      <c r="G40" s="629"/>
      <c r="H40" s="629"/>
      <c r="I40" s="629"/>
      <c r="J40" s="629"/>
      <c r="K40" s="629"/>
      <c r="L40" s="629"/>
      <c r="M40" s="62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k9yEGzQINB1ENj3ct9gmQ64oAJ7ASchweqIzZ12hNYoNHNUZzg1PRFveyq5za6rU6S36fwrHZnIELozkF/8GEg==" saltValue="Rxdjbv9wQxiPWsIafiC4lg==" spinCount="100000" sheet="1" objects="1" scenarios="1" selectLockedCells="1" autoFilter="0"/>
  <mergeCells count="2">
    <mergeCell ref="D32:M34"/>
    <mergeCell ref="C37:M40"/>
  </mergeCells>
  <phoneticPr fontId="22" type="noConversion"/>
  <conditionalFormatting sqref="C45">
    <cfRule type="expression" dxfId="49" priority="33">
      <formula>ISNUMBER(SEARCH(".",C45))</formula>
    </cfRule>
    <cfRule type="expression" dxfId="48" priority="34">
      <formula>ISERROR(SEARCH(".",C45))</formula>
    </cfRule>
  </conditionalFormatting>
  <conditionalFormatting sqref="D10:D18">
    <cfRule type="expression" dxfId="47" priority="31">
      <formula>ISERROR(SEARCH(1,$D$19))</formula>
    </cfRule>
    <cfRule type="expression" dxfId="46" priority="32">
      <formula>ISNUMBER(SEARCH(1,$D$19))</formula>
    </cfRule>
  </conditionalFormatting>
  <conditionalFormatting sqref="G11:G18">
    <cfRule type="expression" dxfId="45" priority="29">
      <formula>ISERROR(SEARCH(1,$G$19))</formula>
    </cfRule>
    <cfRule type="expression" dxfId="44" priority="30">
      <formula>ISNUMBER(SEARCH(1,$G$19))</formula>
    </cfRule>
  </conditionalFormatting>
  <conditionalFormatting sqref="G10">
    <cfRule type="expression" dxfId="43" priority="27">
      <formula>ISERROR(SEARCH(1,$G$19))</formula>
    </cfRule>
    <cfRule type="expression" dxfId="42" priority="28">
      <formula>ISNUMBER(SEARCH(1,$G$19))</formula>
    </cfRule>
  </conditionalFormatting>
  <conditionalFormatting sqref="J11:J18">
    <cfRule type="expression" dxfId="41" priority="25">
      <formula>ISERROR(SEARCH(1,$J$19))</formula>
    </cfRule>
    <cfRule type="expression" dxfId="40" priority="26">
      <formula>ISNUMBER(SEARCH(1,$J$19))</formula>
    </cfRule>
  </conditionalFormatting>
  <conditionalFormatting sqref="J10">
    <cfRule type="expression" dxfId="39" priority="23">
      <formula>ISERROR(SEARCH(1,$J$19))</formula>
    </cfRule>
    <cfRule type="expression" dxfId="38" priority="24">
      <formula>ISNUMBER(SEARCH(1,$J$19))</formula>
    </cfRule>
  </conditionalFormatting>
  <conditionalFormatting sqref="M11:M18">
    <cfRule type="expression" dxfId="37" priority="21">
      <formula>ISERROR(SEARCH(1,$M$19))</formula>
    </cfRule>
    <cfRule type="expression" dxfId="36" priority="22">
      <formula>ISNUMBER(SEARCH(1,$M$19))</formula>
    </cfRule>
  </conditionalFormatting>
  <conditionalFormatting sqref="M10">
    <cfRule type="expression" dxfId="35" priority="19">
      <formula>ISERROR(SEARCH(1,$M$19))</formula>
    </cfRule>
    <cfRule type="expression" dxfId="34" priority="20">
      <formula>ISNUMBER(SEARCH(1,$M$19))</formula>
    </cfRule>
  </conditionalFormatting>
  <conditionalFormatting sqref="G23:G30">
    <cfRule type="expression" dxfId="33" priority="13">
      <formula>ISERROR(SEARCH(1,$G$31))</formula>
    </cfRule>
    <cfRule type="expression" dxfId="32" priority="14">
      <formula>ISNUMBER(SEARCH(1,$G$31))</formula>
    </cfRule>
  </conditionalFormatting>
  <conditionalFormatting sqref="G22">
    <cfRule type="expression" dxfId="31" priority="11">
      <formula>ISERROR(SEARCH(1,$G$31))</formula>
    </cfRule>
    <cfRule type="expression" dxfId="30" priority="12">
      <formula>ISNUMBER(SEARCH(1,$G$31))</formula>
    </cfRule>
  </conditionalFormatting>
  <conditionalFormatting sqref="J23:J30">
    <cfRule type="expression" dxfId="29" priority="9">
      <formula>ISERROR(SEARCH(1,$J$31))</formula>
    </cfRule>
    <cfRule type="expression" dxfId="28" priority="10">
      <formula>ISNUMBER(SEARCH(1,$J$31))</formula>
    </cfRule>
  </conditionalFormatting>
  <conditionalFormatting sqref="J22">
    <cfRule type="expression" dxfId="27" priority="7">
      <formula>ISERROR(SEARCH(1,$J$31))</formula>
    </cfRule>
    <cfRule type="expression" dxfId="26" priority="8">
      <formula>ISNUMBER(SEARCH(1,$J$31))</formula>
    </cfRule>
  </conditionalFormatting>
  <conditionalFormatting sqref="M23:M30">
    <cfRule type="expression" dxfId="25" priority="5">
      <formula>ISERROR(SEARCH(1,$M$31))</formula>
    </cfRule>
    <cfRule type="expression" dxfId="24" priority="6">
      <formula>ISNUMBER(SEARCH(1,$M$31))</formula>
    </cfRule>
  </conditionalFormatting>
  <conditionalFormatting sqref="M22">
    <cfRule type="expression" dxfId="23" priority="3">
      <formula>ISERROR(SEARCH(1,$M$31))</formula>
    </cfRule>
    <cfRule type="expression" dxfId="22" priority="4">
      <formula>ISNUMBER(SEARCH(1,$M$31))</formula>
    </cfRule>
  </conditionalFormatting>
  <conditionalFormatting sqref="D22:D30">
    <cfRule type="expression" dxfId="21" priority="1">
      <formula>ISERROR(SEARCH(1,$D$19))</formula>
    </cfRule>
    <cfRule type="expression" dxfId="2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6" t="s">
        <v>890</v>
      </c>
      <c r="O1" t="s">
        <v>23</v>
      </c>
    </row>
    <row r="2" spans="1:16" x14ac:dyDescent="0.2">
      <c r="O2" t="s">
        <v>24</v>
      </c>
    </row>
    <row r="3" spans="1:16" x14ac:dyDescent="0.2">
      <c r="A3" s="41" t="s">
        <v>0</v>
      </c>
      <c r="B3" s="41"/>
      <c r="C3" s="41"/>
      <c r="D3" s="41"/>
      <c r="E3" s="41"/>
      <c r="F3" s="41"/>
      <c r="G3" s="41"/>
      <c r="H3" s="41"/>
      <c r="I3" s="41"/>
      <c r="J3" s="41"/>
      <c r="K3" s="41"/>
      <c r="L3" s="41"/>
      <c r="M3" s="41"/>
      <c r="N3" s="41"/>
      <c r="O3" s="41"/>
      <c r="P3" s="41"/>
    </row>
    <row r="4" spans="1:16" x14ac:dyDescent="0.2">
      <c r="A4" s="1" t="s">
        <v>25</v>
      </c>
      <c r="B4" s="1"/>
      <c r="C4" s="41"/>
      <c r="D4" s="41"/>
      <c r="E4" s="41"/>
      <c r="F4" s="41"/>
      <c r="G4" s="41"/>
      <c r="H4" s="41"/>
      <c r="I4" s="41"/>
      <c r="J4" s="41"/>
      <c r="K4" s="41"/>
      <c r="L4" s="41"/>
      <c r="M4" s="41"/>
      <c r="N4" s="41"/>
      <c r="O4" s="41"/>
      <c r="P4" s="41"/>
    </row>
    <row r="5" spans="1:16" x14ac:dyDescent="0.2">
      <c r="A5" s="60" t="s">
        <v>26</v>
      </c>
      <c r="B5" s="61" t="str">
        <f>IF(Main!D3=0,"",Main!D3)</f>
        <v/>
      </c>
      <c r="C5" s="41"/>
      <c r="D5" s="41"/>
      <c r="E5" s="41"/>
      <c r="F5" s="41"/>
      <c r="G5" s="41"/>
      <c r="H5" s="41"/>
      <c r="I5" s="59" t="s">
        <v>4</v>
      </c>
      <c r="J5" s="41" t="str">
        <f>IFERROR(Main!D5,"")</f>
        <v/>
      </c>
      <c r="K5" s="41"/>
      <c r="L5" s="41"/>
      <c r="M5" s="41"/>
      <c r="N5" s="41"/>
      <c r="O5" s="41"/>
      <c r="P5" s="41"/>
    </row>
    <row r="6" spans="1:16" x14ac:dyDescent="0.2">
      <c r="A6" s="59" t="s">
        <v>3</v>
      </c>
      <c r="B6" s="62" t="e">
        <f>IF(Main!D6=0,"",Main!D6)</f>
        <v>#N/A</v>
      </c>
      <c r="C6" s="41"/>
      <c r="D6" s="41"/>
      <c r="E6" s="41"/>
      <c r="F6" s="41"/>
      <c r="G6" s="41"/>
      <c r="H6" s="41"/>
      <c r="I6" s="59" t="s">
        <v>5</v>
      </c>
      <c r="J6" s="58" t="str">
        <f>IF(NominalTemp="","",NominalTemp)</f>
        <v/>
      </c>
      <c r="K6" s="41"/>
      <c r="L6" s="41"/>
      <c r="M6" s="41"/>
      <c r="N6" s="41"/>
      <c r="O6" s="41"/>
      <c r="P6" s="41"/>
    </row>
    <row r="7" spans="1:16" x14ac:dyDescent="0.2">
      <c r="A7" s="59" t="s">
        <v>27</v>
      </c>
      <c r="B7" s="62" t="str">
        <f>IF(Main!D7=0,"",Main!D7)</f>
        <v>Jeff Hall</v>
      </c>
      <c r="C7" s="41"/>
      <c r="D7" s="41"/>
      <c r="E7" s="41"/>
      <c r="F7" s="41"/>
      <c r="G7" s="41"/>
      <c r="H7" s="41"/>
      <c r="I7" s="41"/>
      <c r="J7" s="41"/>
      <c r="K7" s="41"/>
      <c r="L7" s="41"/>
      <c r="M7" s="41"/>
      <c r="N7" s="41"/>
      <c r="O7" s="41"/>
      <c r="P7" s="41"/>
    </row>
    <row r="8" spans="1:16" x14ac:dyDescent="0.2">
      <c r="A8" s="59"/>
      <c r="B8" s="41"/>
      <c r="C8" s="41"/>
      <c r="D8" s="41"/>
      <c r="E8" s="41"/>
      <c r="F8" s="41"/>
      <c r="G8" s="41"/>
      <c r="H8" s="41"/>
      <c r="I8" s="41"/>
      <c r="J8" s="41"/>
      <c r="K8" s="41"/>
      <c r="L8" s="41"/>
      <c r="M8" s="41"/>
      <c r="N8" s="41"/>
      <c r="O8" s="41"/>
      <c r="P8" s="41"/>
    </row>
    <row r="9" spans="1:16" x14ac:dyDescent="0.2">
      <c r="A9" s="38" t="s">
        <v>28</v>
      </c>
      <c r="B9" s="38"/>
      <c r="C9" s="41"/>
      <c r="D9" s="41"/>
      <c r="E9" s="41"/>
      <c r="F9" s="41"/>
      <c r="G9" s="41"/>
      <c r="H9" s="41"/>
      <c r="I9" s="41"/>
      <c r="J9" s="41"/>
      <c r="K9" s="41"/>
      <c r="L9" s="41"/>
      <c r="M9" s="41"/>
      <c r="N9" s="41"/>
      <c r="O9" s="41"/>
      <c r="P9" s="41"/>
    </row>
    <row r="10" spans="1:16" x14ac:dyDescent="0.2">
      <c r="A10" s="41"/>
      <c r="B10" s="41"/>
      <c r="C10" s="63">
        <v>1</v>
      </c>
      <c r="D10" s="63">
        <v>2</v>
      </c>
      <c r="E10" s="63">
        <v>3</v>
      </c>
      <c r="F10" s="63">
        <v>4</v>
      </c>
      <c r="G10" s="63">
        <v>5</v>
      </c>
      <c r="H10" s="63">
        <v>6</v>
      </c>
      <c r="I10" s="63">
        <v>7</v>
      </c>
      <c r="J10" s="63">
        <v>8</v>
      </c>
      <c r="K10" s="63">
        <v>9</v>
      </c>
      <c r="L10" s="63">
        <v>10</v>
      </c>
      <c r="M10" s="63">
        <v>11</v>
      </c>
      <c r="N10" s="63">
        <v>12</v>
      </c>
      <c r="O10" s="63">
        <v>13</v>
      </c>
      <c r="P10" s="63">
        <v>14</v>
      </c>
    </row>
    <row r="11" spans="1:16" x14ac:dyDescent="0.2">
      <c r="A11" s="41"/>
      <c r="B11" s="64" t="s">
        <v>29</v>
      </c>
      <c r="C11" s="120" t="str">
        <f>IFERROR(VLOOKUP(C10,CorrectionFactors[],4,0),"")</f>
        <v/>
      </c>
      <c r="D11" s="120" t="str">
        <f>IFERROR(VLOOKUP(D10,CorrectionFactors[],4,0),"")</f>
        <v/>
      </c>
      <c r="E11" s="120" t="str">
        <f>IFERROR(VLOOKUP(E10,CorrectionFactors[],4,0),"")</f>
        <v/>
      </c>
      <c r="F11" s="120" t="str">
        <f>IFERROR(VLOOKUP(F10,CorrectionFactors[],4,0),"")</f>
        <v/>
      </c>
      <c r="G11" s="120" t="str">
        <f>IFERROR(VLOOKUP(G10,CorrectionFactors[],4,0),"")</f>
        <v/>
      </c>
      <c r="H11" s="120" t="str">
        <f>IFERROR(VLOOKUP(H10,CorrectionFactors[],4,0),"")</f>
        <v/>
      </c>
      <c r="I11" s="120" t="str">
        <f>IFERROR(VLOOKUP(I10,CorrectionFactors[],4,0),"")</f>
        <v/>
      </c>
      <c r="J11" s="120" t="str">
        <f>IFERROR(VLOOKUP(J10,CorrectionFactors[],4,0),"")</f>
        <v/>
      </c>
      <c r="K11" s="120" t="str">
        <f>IFERROR(VLOOKUP(K10,CorrectionFactors[],4,0),"")</f>
        <v/>
      </c>
      <c r="L11" s="120" t="str">
        <f>IFERROR(VLOOKUP(L10,CorrectionFactors[],4,0),"")</f>
        <v/>
      </c>
      <c r="M11" s="120" t="str">
        <f>IFERROR(VLOOKUP(M10,CorrectionFactors[],4,0),"")</f>
        <v/>
      </c>
      <c r="N11" s="120" t="str">
        <f>IFERROR(VLOOKUP(N10,CorrectionFactors[],4,0),"")</f>
        <v/>
      </c>
      <c r="O11" s="120" t="str">
        <f>IFERROR(VLOOKUP(O10,CorrectionFactors[],4,0),"")</f>
        <v/>
      </c>
      <c r="P11" s="120" t="str">
        <f>IFERROR(VLOOKUP(P10,CorrectionFactors[],4,0),"")</f>
        <v/>
      </c>
    </row>
    <row r="12" spans="1:16" x14ac:dyDescent="0.2">
      <c r="A12" s="41"/>
      <c r="B12" s="64" t="s">
        <v>30</v>
      </c>
      <c r="C12" s="120" t="str">
        <f>IFERROR(VLOOKUP(C10,CorrectionFactors[],5,0),"")</f>
        <v/>
      </c>
      <c r="D12" s="120" t="str">
        <f>IFERROR(VLOOKUP(D10,CorrectionFactors[],5,0),"")</f>
        <v/>
      </c>
      <c r="E12" s="120" t="str">
        <f>IFERROR(VLOOKUP(E10,CorrectionFactors[],5,0),"")</f>
        <v/>
      </c>
      <c r="F12" s="120" t="str">
        <f>IFERROR(VLOOKUP(F10,CorrectionFactors[],5,0),"")</f>
        <v/>
      </c>
      <c r="G12" s="120" t="str">
        <f>IFERROR(VLOOKUP(G10,CorrectionFactors[],5,0),"")</f>
        <v/>
      </c>
      <c r="H12" s="120" t="str">
        <f>IFERROR(VLOOKUP(H10,CorrectionFactors[],5,0),"")</f>
        <v/>
      </c>
      <c r="I12" s="120" t="str">
        <f>IFERROR(VLOOKUP(I10,CorrectionFactors[],5,0),"")</f>
        <v/>
      </c>
      <c r="J12" s="120" t="str">
        <f>IFERROR(VLOOKUP(J10,CorrectionFactors[],5,0),"")</f>
        <v/>
      </c>
      <c r="K12" s="120" t="str">
        <f>IFERROR(VLOOKUP(K10,CorrectionFactors[],5,0),"")</f>
        <v/>
      </c>
      <c r="L12" s="120" t="str">
        <f>IFERROR(VLOOKUP(L10,CorrectionFactors[],5,0),"")</f>
        <v/>
      </c>
      <c r="M12" s="120" t="str">
        <f>IFERROR(VLOOKUP(M10,CorrectionFactors[],5,0),"")</f>
        <v/>
      </c>
      <c r="N12" s="120" t="str">
        <f>IFERROR(VLOOKUP(N10,CorrectionFactors[],5,0),"")</f>
        <v/>
      </c>
      <c r="O12" s="120" t="str">
        <f>IFERROR(VLOOKUP(O10,CorrectionFactors[],5,0),"")</f>
        <v/>
      </c>
      <c r="P12" s="120" t="str">
        <f>IFERROR(VLOOKUP(P10,CorrectionFactors[],5,0),"")</f>
        <v/>
      </c>
    </row>
    <row r="13" spans="1:16" x14ac:dyDescent="0.2">
      <c r="A13" s="41"/>
      <c r="B13" s="64" t="s">
        <v>31</v>
      </c>
      <c r="C13" s="120" t="str">
        <f>IF(OR(C11="",C12=""),"",C11+C12)</f>
        <v/>
      </c>
      <c r="D13" s="120" t="str">
        <f t="shared" ref="D13:P13" si="0">IF(OR(D11="",D12=""),"",D11+D12)</f>
        <v/>
      </c>
      <c r="E13" s="120" t="str">
        <f t="shared" si="0"/>
        <v/>
      </c>
      <c r="F13" s="120" t="str">
        <f t="shared" si="0"/>
        <v/>
      </c>
      <c r="G13" s="120" t="str">
        <f t="shared" si="0"/>
        <v/>
      </c>
      <c r="H13" s="120" t="str">
        <f t="shared" si="0"/>
        <v/>
      </c>
      <c r="I13" s="120" t="str">
        <f t="shared" si="0"/>
        <v/>
      </c>
      <c r="J13" s="120" t="str">
        <f t="shared" si="0"/>
        <v/>
      </c>
      <c r="K13" s="120" t="str">
        <f t="shared" si="0"/>
        <v/>
      </c>
      <c r="L13" s="120" t="str">
        <f t="shared" si="0"/>
        <v/>
      </c>
      <c r="M13" s="120" t="str">
        <f t="shared" si="0"/>
        <v/>
      </c>
      <c r="N13" s="120" t="str">
        <f t="shared" si="0"/>
        <v/>
      </c>
      <c r="O13" s="120" t="str">
        <f t="shared" si="0"/>
        <v/>
      </c>
      <c r="P13" s="120" t="str">
        <f t="shared" si="0"/>
        <v/>
      </c>
    </row>
    <row r="14" spans="1:16" x14ac:dyDescent="0.2">
      <c r="A14" s="41"/>
      <c r="B14" s="41"/>
      <c r="C14" s="41"/>
      <c r="D14" s="41"/>
      <c r="E14" s="41"/>
      <c r="F14" s="41"/>
      <c r="G14" s="41"/>
      <c r="H14" s="41"/>
      <c r="I14" s="41"/>
      <c r="J14" s="41"/>
      <c r="K14" s="41"/>
      <c r="L14" s="41"/>
      <c r="M14" s="41"/>
      <c r="N14" s="41"/>
      <c r="O14" s="41"/>
      <c r="P14" s="41"/>
    </row>
    <row r="15" spans="1:16" x14ac:dyDescent="0.2">
      <c r="A15" s="41"/>
      <c r="B15" s="41"/>
      <c r="C15" s="41"/>
      <c r="D15" s="41"/>
      <c r="E15" s="41"/>
      <c r="F15" s="41"/>
      <c r="G15" s="41"/>
      <c r="H15" s="41"/>
      <c r="I15" s="41"/>
      <c r="J15" s="41"/>
      <c r="K15" s="41"/>
      <c r="L15" s="41"/>
      <c r="M15" s="41"/>
      <c r="N15" s="41"/>
      <c r="O15" s="41"/>
      <c r="P15" s="41"/>
    </row>
    <row r="16" spans="1:16" x14ac:dyDescent="0.2">
      <c r="A16" s="41"/>
      <c r="B16" s="41"/>
      <c r="C16" s="63">
        <v>15</v>
      </c>
      <c r="D16" s="63">
        <v>16</v>
      </c>
      <c r="E16" s="63">
        <v>17</v>
      </c>
      <c r="F16" s="63">
        <v>18</v>
      </c>
      <c r="G16" s="63">
        <v>19</v>
      </c>
      <c r="H16" s="63">
        <v>20</v>
      </c>
      <c r="I16" s="63">
        <v>21</v>
      </c>
      <c r="J16" s="63">
        <v>22</v>
      </c>
      <c r="K16" s="63">
        <v>23</v>
      </c>
      <c r="L16" s="63">
        <v>24</v>
      </c>
      <c r="M16" s="63">
        <v>25</v>
      </c>
      <c r="N16" s="63">
        <v>26</v>
      </c>
      <c r="O16" s="63">
        <v>27</v>
      </c>
      <c r="P16" s="63">
        <v>28</v>
      </c>
    </row>
    <row r="17" spans="1:20" x14ac:dyDescent="0.2">
      <c r="A17" s="41"/>
      <c r="B17" s="64" t="s">
        <v>29</v>
      </c>
      <c r="C17" s="120" t="str">
        <f>IFERROR(VLOOKUP(C16,CorrectionFactors[],4,0),"")</f>
        <v/>
      </c>
      <c r="D17" s="120" t="str">
        <f>IFERROR(VLOOKUP(D16,CorrectionFactors[],4,0),"")</f>
        <v/>
      </c>
      <c r="E17" s="120" t="str">
        <f>IFERROR(VLOOKUP(E16,CorrectionFactors[],4,0),"")</f>
        <v/>
      </c>
      <c r="F17" s="120" t="str">
        <f>IFERROR(VLOOKUP(F16,CorrectionFactors[],4,0),"")</f>
        <v/>
      </c>
      <c r="G17" s="120" t="str">
        <f>IFERROR(VLOOKUP(G16,CorrectionFactors[],4,0),"")</f>
        <v/>
      </c>
      <c r="H17" s="120" t="str">
        <f>IFERROR(VLOOKUP(H16,CorrectionFactors[],4,0),"")</f>
        <v/>
      </c>
      <c r="I17" s="120" t="str">
        <f>IFERROR(VLOOKUP(I16,CorrectionFactors[],4,0),"")</f>
        <v/>
      </c>
      <c r="J17" s="120" t="str">
        <f>IFERROR(VLOOKUP(J16,CorrectionFactors[],4,0),"")</f>
        <v/>
      </c>
      <c r="K17" s="120" t="str">
        <f>IFERROR(VLOOKUP(K16,CorrectionFactors[],4,0),"")</f>
        <v/>
      </c>
      <c r="L17" s="120" t="str">
        <f>IFERROR(VLOOKUP(L16,CorrectionFactors[],4,0),"")</f>
        <v/>
      </c>
      <c r="M17" s="120" t="str">
        <f>IFERROR(VLOOKUP(M16,CorrectionFactors[],4,0),"")</f>
        <v/>
      </c>
      <c r="N17" s="120" t="str">
        <f>IFERROR(VLOOKUP(N16,CorrectionFactors[],4,0),"")</f>
        <v/>
      </c>
      <c r="O17" s="120" t="str">
        <f>IFERROR(VLOOKUP(O16,CorrectionFactors[],4,0),"")</f>
        <v/>
      </c>
      <c r="P17" s="120" t="str">
        <f>IFERROR(VLOOKUP(P16,CorrectionFactors[],4,0),"")</f>
        <v/>
      </c>
    </row>
    <row r="18" spans="1:20" x14ac:dyDescent="0.2">
      <c r="A18" s="41"/>
      <c r="B18" s="64" t="s">
        <v>30</v>
      </c>
      <c r="C18" s="120" t="str">
        <f>IFERROR(VLOOKUP(C16,CorrectionFactors[],5,0),"")</f>
        <v/>
      </c>
      <c r="D18" s="120" t="str">
        <f>IFERROR(VLOOKUP(D16,CorrectionFactors[],5,0),"")</f>
        <v/>
      </c>
      <c r="E18" s="120" t="str">
        <f>IFERROR(VLOOKUP(E16,CorrectionFactors[],5,0),"")</f>
        <v/>
      </c>
      <c r="F18" s="120" t="str">
        <f>IFERROR(VLOOKUP(F16,CorrectionFactors[],5,0),"")</f>
        <v/>
      </c>
      <c r="G18" s="120" t="str">
        <f>IFERROR(VLOOKUP(G16,CorrectionFactors[],5,0),"")</f>
        <v/>
      </c>
      <c r="H18" s="120" t="str">
        <f>IFERROR(VLOOKUP(H16,CorrectionFactors[],5,0),"")</f>
        <v/>
      </c>
      <c r="I18" s="120" t="str">
        <f>IFERROR(VLOOKUP(I16,CorrectionFactors[],5,0),"")</f>
        <v/>
      </c>
      <c r="J18" s="120" t="str">
        <f>IFERROR(VLOOKUP(J16,CorrectionFactors[],5,0),"")</f>
        <v/>
      </c>
      <c r="K18" s="120" t="str">
        <f>IFERROR(VLOOKUP(K16,CorrectionFactors[],5,0),"")</f>
        <v/>
      </c>
      <c r="L18" s="120" t="str">
        <f>IFERROR(VLOOKUP(L16,CorrectionFactors[],5,0),"")</f>
        <v/>
      </c>
      <c r="M18" s="120" t="str">
        <f>IFERROR(VLOOKUP(M16,CorrectionFactors[],5,0),"")</f>
        <v/>
      </c>
      <c r="N18" s="120" t="str">
        <f>IFERROR(VLOOKUP(N16,CorrectionFactors[],5,0),"")</f>
        <v/>
      </c>
      <c r="O18" s="120" t="str">
        <f>IFERROR(VLOOKUP(O16,CorrectionFactors[],5,0),"")</f>
        <v/>
      </c>
      <c r="P18" s="120" t="str">
        <f>IFERROR(VLOOKUP(P16,CorrectionFactors[],5,0),"")</f>
        <v/>
      </c>
    </row>
    <row r="19" spans="1:20" x14ac:dyDescent="0.2">
      <c r="A19" s="41"/>
      <c r="B19" s="64" t="s">
        <v>31</v>
      </c>
      <c r="C19" s="117" t="str">
        <f>IF(OR(C17="",C18=""),"",C17+C18)</f>
        <v/>
      </c>
      <c r="D19" s="117" t="str">
        <f t="shared" ref="D19:P19" si="1">IF(OR(D17="",D18=""),"",D17+D18)</f>
        <v/>
      </c>
      <c r="E19" s="117" t="str">
        <f t="shared" si="1"/>
        <v/>
      </c>
      <c r="F19" s="117" t="str">
        <f t="shared" si="1"/>
        <v/>
      </c>
      <c r="G19" s="117" t="str">
        <f t="shared" si="1"/>
        <v/>
      </c>
      <c r="H19" s="117" t="str">
        <f t="shared" si="1"/>
        <v/>
      </c>
      <c r="I19" s="117" t="str">
        <f t="shared" si="1"/>
        <v/>
      </c>
      <c r="J19" s="117" t="str">
        <f t="shared" si="1"/>
        <v/>
      </c>
      <c r="K19" s="117" t="str">
        <f t="shared" si="1"/>
        <v/>
      </c>
      <c r="L19" s="117" t="str">
        <f t="shared" si="1"/>
        <v/>
      </c>
      <c r="M19" s="117" t="str">
        <f t="shared" si="1"/>
        <v/>
      </c>
      <c r="N19" s="117" t="str">
        <f t="shared" si="1"/>
        <v/>
      </c>
      <c r="O19" s="117" t="str">
        <f t="shared" si="1"/>
        <v/>
      </c>
      <c r="P19" s="117" t="str">
        <f t="shared" si="1"/>
        <v/>
      </c>
    </row>
    <row r="20" spans="1:20" x14ac:dyDescent="0.2">
      <c r="A20" s="41"/>
      <c r="B20" s="41"/>
      <c r="C20" s="41"/>
      <c r="D20" s="41"/>
      <c r="E20" s="41"/>
      <c r="F20" s="41"/>
      <c r="G20" s="41"/>
      <c r="H20" s="41"/>
      <c r="I20" s="41"/>
      <c r="J20" s="41"/>
      <c r="K20" s="41"/>
      <c r="L20" s="41"/>
      <c r="M20" s="41"/>
      <c r="N20" s="41"/>
      <c r="O20" s="41"/>
      <c r="P20" s="41"/>
    </row>
    <row r="21" spans="1:20" x14ac:dyDescent="0.2">
      <c r="A21" s="41"/>
      <c r="B21" s="41"/>
      <c r="C21" s="41"/>
      <c r="D21" s="41"/>
      <c r="E21" s="41"/>
      <c r="F21" s="41"/>
      <c r="G21" s="41"/>
      <c r="H21" s="41"/>
      <c r="I21" s="41"/>
      <c r="J21" s="41"/>
      <c r="K21" s="41"/>
      <c r="L21" s="41"/>
      <c r="M21" s="41"/>
      <c r="N21" s="41"/>
      <c r="O21" s="41"/>
      <c r="P21" s="41"/>
    </row>
    <row r="22" spans="1:20" x14ac:dyDescent="0.2">
      <c r="A22" s="41" t="s">
        <v>32</v>
      </c>
      <c r="B22" s="41"/>
      <c r="C22" s="63">
        <v>29</v>
      </c>
      <c r="D22" s="63">
        <v>30</v>
      </c>
      <c r="E22" s="63">
        <v>31</v>
      </c>
      <c r="F22" s="63">
        <v>32</v>
      </c>
      <c r="G22" s="63">
        <v>33</v>
      </c>
      <c r="H22" s="63">
        <v>34</v>
      </c>
      <c r="I22" s="63">
        <v>35</v>
      </c>
      <c r="J22" s="63">
        <v>36</v>
      </c>
      <c r="K22" s="63">
        <v>37</v>
      </c>
      <c r="L22" s="63">
        <v>38</v>
      </c>
      <c r="M22" s="63">
        <v>39</v>
      </c>
      <c r="N22" s="63">
        <v>40</v>
      </c>
      <c r="O22" s="1"/>
      <c r="P22" s="1"/>
    </row>
    <row r="23" spans="1:20" x14ac:dyDescent="0.2">
      <c r="A23" s="41"/>
      <c r="B23" s="64" t="s">
        <v>29</v>
      </c>
      <c r="C23" s="120" t="str">
        <f>IFERROR(VLOOKUP(C22,CorrectionFactors[],4,0),"")</f>
        <v/>
      </c>
      <c r="D23" s="120" t="str">
        <f>IFERROR(VLOOKUP(D22,CorrectionFactors[],4,0),"")</f>
        <v/>
      </c>
      <c r="E23" s="120" t="str">
        <f>IFERROR(VLOOKUP(E22,CorrectionFactors[],4,0),"")</f>
        <v/>
      </c>
      <c r="F23" s="120" t="str">
        <f>IFERROR(VLOOKUP(F22,CorrectionFactors[],4,0),"")</f>
        <v/>
      </c>
      <c r="G23" s="120" t="str">
        <f>IFERROR(VLOOKUP(G22,CorrectionFactors[],4,0),"")</f>
        <v/>
      </c>
      <c r="H23" s="120" t="str">
        <f>IFERROR(VLOOKUP(H22,CorrectionFactors[],4,0),"")</f>
        <v/>
      </c>
      <c r="I23" s="120" t="str">
        <f>IFERROR(VLOOKUP(I22,CorrectionFactors[],4,0),"")</f>
        <v/>
      </c>
      <c r="J23" s="120" t="str">
        <f>IFERROR(VLOOKUP(J22,CorrectionFactors[],4,0),"")</f>
        <v/>
      </c>
      <c r="K23" s="120" t="str">
        <f>IFERROR(VLOOKUP(K22,CorrectionFactors[],4,0),"")</f>
        <v/>
      </c>
      <c r="L23" s="120" t="str">
        <f>IFERROR(VLOOKUP(L22,CorrectionFactors[],4,0),"")</f>
        <v/>
      </c>
      <c r="M23" s="120" t="str">
        <f>IFERROR(VLOOKUP(M22,CorrectionFactors[],4,0),"")</f>
        <v/>
      </c>
      <c r="N23" s="120" t="str">
        <f>IFERROR(VLOOKUP(N22,CorrectionFactors[],4,0),"")</f>
        <v/>
      </c>
      <c r="O23" s="41"/>
      <c r="P23" s="41"/>
    </row>
    <row r="24" spans="1:20" x14ac:dyDescent="0.2">
      <c r="A24" s="41"/>
      <c r="B24" s="64" t="s">
        <v>30</v>
      </c>
      <c r="C24" s="120" t="str">
        <f>IFERROR(VLOOKUP(C22,CorrectionFactors[],5,0),"")</f>
        <v/>
      </c>
      <c r="D24" s="120" t="str">
        <f>IFERROR(VLOOKUP(D22,CorrectionFactors[],5,0),"")</f>
        <v/>
      </c>
      <c r="E24" s="120" t="str">
        <f>IFERROR(VLOOKUP(E22,CorrectionFactors[],5,0),"")</f>
        <v/>
      </c>
      <c r="F24" s="120" t="str">
        <f>IFERROR(VLOOKUP(F22,CorrectionFactors[],5,0),"")</f>
        <v/>
      </c>
      <c r="G24" s="120" t="str">
        <f>IFERROR(VLOOKUP(G22,CorrectionFactors[],5,0),"")</f>
        <v/>
      </c>
      <c r="H24" s="120" t="str">
        <f>IFERROR(VLOOKUP(H22,CorrectionFactors[],5,0),"")</f>
        <v/>
      </c>
      <c r="I24" s="120" t="str">
        <f>IFERROR(VLOOKUP(I22,CorrectionFactors[],5,0),"")</f>
        <v/>
      </c>
      <c r="J24" s="120" t="str">
        <f>IFERROR(VLOOKUP(J22,CorrectionFactors[],5,0),"")</f>
        <v/>
      </c>
      <c r="K24" s="120" t="str">
        <f>IFERROR(VLOOKUP(K22,CorrectionFactors[],5,0),"")</f>
        <v/>
      </c>
      <c r="L24" s="120" t="str">
        <f>IFERROR(VLOOKUP(L22,CorrectionFactors[],5,0),"")</f>
        <v/>
      </c>
      <c r="M24" s="120" t="str">
        <f>IFERROR(VLOOKUP(M22,CorrectionFactors[],5,0),"")</f>
        <v/>
      </c>
      <c r="N24" s="120" t="str">
        <f>IFERROR(VLOOKUP(N22,CorrectionFactors[],5,0),"")</f>
        <v/>
      </c>
    </row>
    <row r="25" spans="1:20" x14ac:dyDescent="0.2">
      <c r="A25" s="41"/>
      <c r="B25" s="64" t="s">
        <v>31</v>
      </c>
      <c r="C25" s="117" t="str">
        <f>IF(OR(C23="",C24=""),"",C23+C24)</f>
        <v/>
      </c>
      <c r="D25" s="117" t="str">
        <f t="shared" ref="D25:N25" si="2">IF(OR(D23="",D24=""),"",D23+D24)</f>
        <v/>
      </c>
      <c r="E25" s="117" t="str">
        <f t="shared" si="2"/>
        <v/>
      </c>
      <c r="F25" s="117" t="str">
        <f t="shared" si="2"/>
        <v/>
      </c>
      <c r="G25" s="117" t="str">
        <f t="shared" si="2"/>
        <v/>
      </c>
      <c r="H25" s="117" t="str">
        <f t="shared" si="2"/>
        <v/>
      </c>
      <c r="I25" s="117" t="str">
        <f t="shared" si="2"/>
        <v/>
      </c>
      <c r="J25" s="117" t="str">
        <f t="shared" si="2"/>
        <v/>
      </c>
      <c r="K25" s="117" t="str">
        <f t="shared" si="2"/>
        <v/>
      </c>
      <c r="L25" s="117" t="str">
        <f t="shared" si="2"/>
        <v/>
      </c>
      <c r="M25" s="117" t="str">
        <f t="shared" si="2"/>
        <v/>
      </c>
      <c r="N25" s="117" t="str">
        <f t="shared" si="2"/>
        <v/>
      </c>
      <c r="O25" s="41"/>
      <c r="P25" s="41"/>
    </row>
    <row r="27" spans="1:20" x14ac:dyDescent="0.2">
      <c r="A27" s="1"/>
      <c r="B27" s="1"/>
      <c r="C27" s="2"/>
      <c r="D27" s="2"/>
      <c r="E27" s="2"/>
      <c r="F27" s="2"/>
      <c r="G27" s="2"/>
      <c r="H27" s="2"/>
      <c r="I27" s="2"/>
      <c r="J27" s="2"/>
      <c r="K27" s="2"/>
      <c r="L27" s="2"/>
      <c r="M27" s="2"/>
      <c r="N27" s="2"/>
      <c r="O27" s="2"/>
      <c r="P27" s="2"/>
    </row>
    <row r="28" spans="1:20" ht="12.75" customHeight="1" x14ac:dyDescent="0.25">
      <c r="A28" s="38" t="s">
        <v>33</v>
      </c>
      <c r="B28" s="1"/>
      <c r="C28" s="2"/>
      <c r="D28" s="2"/>
      <c r="E28" s="2"/>
      <c r="F28" s="2"/>
      <c r="G28" s="2"/>
      <c r="H28" s="647" t="s">
        <v>349</v>
      </c>
      <c r="I28" s="647"/>
      <c r="J28" s="647"/>
      <c r="K28" s="647"/>
      <c r="L28" s="647"/>
      <c r="M28" s="647"/>
      <c r="N28" s="647"/>
      <c r="O28" s="647"/>
      <c r="P28" s="647"/>
      <c r="Q28" s="647"/>
      <c r="R28" s="647"/>
    </row>
    <row r="29" spans="1:20" x14ac:dyDescent="0.2">
      <c r="A29" s="636" t="s">
        <v>34</v>
      </c>
      <c r="B29" s="637"/>
      <c r="C29" s="52" t="str">
        <f>IF(Main!D48="","",Main!D48)</f>
        <v/>
      </c>
      <c r="D29" s="52" t="str">
        <f>IF(Main!E48="","",Main!E48)</f>
        <v/>
      </c>
      <c r="E29" s="52" t="str">
        <f>IF(Main!F48="","",Main!F48)</f>
        <v/>
      </c>
      <c r="F29" s="52" t="str">
        <f>IF(Main!G48="","",Main!G48)</f>
        <v/>
      </c>
      <c r="G29" s="277"/>
      <c r="H29" s="274" t="s">
        <v>350</v>
      </c>
      <c r="I29" s="120" t="str">
        <f>IF(Main!N47="","",Main!N47)</f>
        <v>Periodic</v>
      </c>
      <c r="J29" s="653" t="s">
        <v>351</v>
      </c>
      <c r="K29" s="654"/>
      <c r="L29" s="120" t="str">
        <f>IF(Main!R47="","",Main!R47)</f>
        <v>Air</v>
      </c>
    </row>
    <row r="30" spans="1:20" x14ac:dyDescent="0.2">
      <c r="A30" s="636" t="s">
        <v>35</v>
      </c>
      <c r="B30" s="637"/>
      <c r="C30" s="53" t="str">
        <f>IF(Main!D49="","",Main!D49)</f>
        <v/>
      </c>
      <c r="D30" s="53" t="str">
        <f>IF(Main!E49="","",Main!E49)</f>
        <v/>
      </c>
      <c r="E30" s="53" t="str">
        <f>IF(Main!F49="","",Main!F49)</f>
        <v/>
      </c>
      <c r="F30" s="53" t="str">
        <f>IF(Main!G49="","",Main!G49)</f>
        <v/>
      </c>
      <c r="G30" s="279"/>
      <c r="H30" s="648" t="s">
        <v>337</v>
      </c>
      <c r="I30" s="648"/>
      <c r="J30" s="655" t="s">
        <v>392</v>
      </c>
      <c r="K30" s="656"/>
      <c r="L30" s="657"/>
      <c r="M30" s="271"/>
      <c r="O30" s="649" t="s">
        <v>395</v>
      </c>
      <c r="P30" s="650"/>
      <c r="Q30" s="651"/>
      <c r="T30" s="41"/>
    </row>
    <row r="31" spans="1:20" x14ac:dyDescent="0.2">
      <c r="A31" s="636" t="s">
        <v>36</v>
      </c>
      <c r="B31" s="637"/>
      <c r="C31" s="53" t="str">
        <f>IF(Main!D50="","",Main!D50)</f>
        <v/>
      </c>
      <c r="D31" s="53" t="str">
        <f>IF(Main!E50="","",Main!E50)</f>
        <v/>
      </c>
      <c r="E31" s="53" t="str">
        <f>IF(Main!F50="","",Main!F50)</f>
        <v/>
      </c>
      <c r="F31" s="53" t="str">
        <f>IF(Main!G50="","",Main!G50)</f>
        <v/>
      </c>
      <c r="G31" s="279"/>
      <c r="H31" s="259" t="s">
        <v>352</v>
      </c>
      <c r="I31" s="261" t="str">
        <f>IF(Main!N49="","",Main!N49)</f>
        <v/>
      </c>
      <c r="J31" s="638" t="s">
        <v>400</v>
      </c>
      <c r="K31" s="639"/>
      <c r="L31" s="640"/>
      <c r="M31" s="272" t="str">
        <f>IF(Main!S49="","",Main!S49)</f>
        <v/>
      </c>
      <c r="O31" s="556" t="s">
        <v>402</v>
      </c>
      <c r="P31" s="557"/>
      <c r="Q31" s="652"/>
      <c r="R31" s="63" t="str">
        <f>IF(Main!X49="","",Main!X49)</f>
        <v/>
      </c>
      <c r="T31" s="41"/>
    </row>
    <row r="32" spans="1:20" ht="12.75" customHeight="1" x14ac:dyDescent="0.2">
      <c r="A32" s="636" t="s">
        <v>37</v>
      </c>
      <c r="B32" s="637"/>
      <c r="C32" s="52" t="str">
        <f>IF(Main!D51="","",Main!D51)</f>
        <v/>
      </c>
      <c r="D32" s="52" t="str">
        <f>IF(Main!E51="","",Main!E51)</f>
        <v/>
      </c>
      <c r="E32" s="52" t="str">
        <f>IF(Main!F51="","",Main!F51)</f>
        <v/>
      </c>
      <c r="F32" s="52" t="str">
        <f>IF(Main!G51="","",Main!G51)</f>
        <v/>
      </c>
      <c r="G32" s="277"/>
      <c r="H32" s="259" t="s">
        <v>368</v>
      </c>
      <c r="I32" s="261" t="str">
        <f>IF(Main!N50="","",Main!N50)</f>
        <v/>
      </c>
      <c r="J32" s="641" t="s">
        <v>340</v>
      </c>
      <c r="K32" s="642"/>
      <c r="L32" s="643"/>
      <c r="M32" s="267"/>
      <c r="O32" s="641" t="s">
        <v>340</v>
      </c>
      <c r="P32" s="642"/>
      <c r="Q32" s="643"/>
      <c r="T32" s="41"/>
    </row>
    <row r="33" spans="1:20" ht="12.75" customHeight="1" x14ac:dyDescent="0.2">
      <c r="A33" s="636" t="s">
        <v>353</v>
      </c>
      <c r="B33" s="637"/>
      <c r="C33" s="52" t="str">
        <f>IF(Main!D52="","",Main!D52)</f>
        <v/>
      </c>
      <c r="D33" s="52" t="str">
        <f>IF(Main!E52="","",Main!E52)</f>
        <v/>
      </c>
      <c r="E33" s="52" t="str">
        <f>IF(Main!F52="","",Main!F52)</f>
        <v/>
      </c>
      <c r="F33" s="52" t="str">
        <f>IF(Main!G52="","",Main!G52)</f>
        <v/>
      </c>
      <c r="G33" s="277"/>
      <c r="H33" s="259" t="s">
        <v>354</v>
      </c>
      <c r="I33" s="261" t="str">
        <f>IF(Main!N51="","",Main!N51)</f>
        <v/>
      </c>
      <c r="J33" s="644" t="s">
        <v>401</v>
      </c>
      <c r="K33" s="645"/>
      <c r="L33" s="646"/>
      <c r="M33" s="266" t="str">
        <f>IF(Main!S51="","",Main!S51)</f>
        <v/>
      </c>
      <c r="O33" s="644" t="s">
        <v>403</v>
      </c>
      <c r="P33" s="645"/>
      <c r="Q33" s="646"/>
      <c r="R33" s="63" t="str">
        <f>IF(Main!X51="","",Main!X51)</f>
        <v/>
      </c>
      <c r="T33" s="41"/>
    </row>
    <row r="34" spans="1:20" ht="12.75" customHeight="1" x14ac:dyDescent="0.2">
      <c r="A34" s="636" t="s">
        <v>38</v>
      </c>
      <c r="B34" s="637"/>
      <c r="C34" s="54" t="str">
        <f>IF(Main!D53="","",Main!D53)</f>
        <v/>
      </c>
      <c r="D34" s="54" t="str">
        <f>IF(Main!E53="","",Main!E53)</f>
        <v/>
      </c>
      <c r="E34" s="54" t="str">
        <f>IF(Main!F53="","",Main!F53)</f>
        <v/>
      </c>
      <c r="F34" s="54" t="str">
        <f>IF(Main!G53="","",Main!G53)</f>
        <v/>
      </c>
      <c r="G34" s="280"/>
      <c r="H34" s="259" t="s">
        <v>355</v>
      </c>
      <c r="I34" s="258" t="str">
        <f>IF(Main!N52="","",Main!N52)</f>
        <v/>
      </c>
      <c r="J34" s="641" t="s">
        <v>340</v>
      </c>
      <c r="K34" s="642"/>
      <c r="L34" s="643"/>
      <c r="O34" s="641" t="s">
        <v>340</v>
      </c>
      <c r="P34" s="642"/>
      <c r="Q34" s="643"/>
      <c r="T34" s="41"/>
    </row>
    <row r="35" spans="1:20" ht="12.75" customHeight="1" x14ac:dyDescent="0.2">
      <c r="A35" s="64"/>
      <c r="B35" s="66" t="s">
        <v>85</v>
      </c>
      <c r="C35" s="76" t="str">
        <f>IF(Main!D54="","",Main!D54)</f>
        <v/>
      </c>
      <c r="D35" s="76" t="str">
        <f>IF(Main!E54="","",Main!E54)</f>
        <v/>
      </c>
      <c r="E35" s="76" t="str">
        <f>IF(Main!F54="","",Main!F54)</f>
        <v/>
      </c>
      <c r="F35" s="76" t="str">
        <f>IF(Main!G54="","",Main!G54)</f>
        <v/>
      </c>
      <c r="G35" s="281"/>
      <c r="H35" s="259" t="s">
        <v>355</v>
      </c>
      <c r="I35" s="258" t="str">
        <f>IF(Main!N53="","",Main!N53)</f>
        <v/>
      </c>
      <c r="J35" s="630" t="s">
        <v>404</v>
      </c>
      <c r="K35" s="631"/>
      <c r="L35" s="632"/>
      <c r="M35" s="275" t="str">
        <f>IF(Main!S53="","",Main!S53)</f>
        <v/>
      </c>
      <c r="O35" s="630" t="s">
        <v>405</v>
      </c>
      <c r="P35" s="631"/>
      <c r="Q35" s="632"/>
      <c r="R35" s="276" t="str">
        <f>IF(Main!X53="","",Main!X53)</f>
        <v/>
      </c>
    </row>
    <row r="36" spans="1:20" ht="13.5" thickBot="1" x14ac:dyDescent="0.25">
      <c r="B36" s="66" t="s">
        <v>356</v>
      </c>
      <c r="C36" s="52" t="str">
        <f>IF(Main!D56="","",Main!D56)</f>
        <v/>
      </c>
      <c r="D36" s="52" t="str">
        <f>IF(Main!E56="","",Main!E56)</f>
        <v/>
      </c>
      <c r="E36" s="52" t="str">
        <f>IF(Main!F56="","",Main!F56)</f>
        <v/>
      </c>
      <c r="F36" s="52" t="str">
        <f>IF(Main!G56="","",Main!G56)</f>
        <v/>
      </c>
      <c r="G36" s="277"/>
      <c r="H36" s="278"/>
      <c r="J36" s="633"/>
      <c r="K36" s="634"/>
      <c r="L36" s="635"/>
      <c r="M36" s="270"/>
      <c r="O36" s="633"/>
      <c r="P36" s="634"/>
      <c r="Q36" s="635"/>
      <c r="T36" s="41"/>
    </row>
    <row r="37" spans="1:20" ht="13.5" thickBot="1" x14ac:dyDescent="0.25">
      <c r="B37" s="64" t="s">
        <v>357</v>
      </c>
      <c r="C37" s="52" t="str">
        <f>IF(Main!D57="","",Main!D57)</f>
        <v/>
      </c>
      <c r="D37" s="52" t="str">
        <f>IF(Main!E57="","",Main!E57)</f>
        <v/>
      </c>
      <c r="E37" s="52" t="str">
        <f>IF(Main!F57="","",Main!F57)</f>
        <v/>
      </c>
      <c r="F37" s="52" t="str">
        <f>IF(Main!G57="","",Main!G57)</f>
        <v/>
      </c>
      <c r="G37" s="277"/>
      <c r="H37" s="278"/>
      <c r="J37" s="285" t="s">
        <v>343</v>
      </c>
      <c r="K37" s="286" t="s">
        <v>14</v>
      </c>
      <c r="L37" s="287" t="s">
        <v>344</v>
      </c>
      <c r="M37" s="270"/>
      <c r="O37" s="285" t="s">
        <v>345</v>
      </c>
      <c r="P37" s="286" t="s">
        <v>14</v>
      </c>
      <c r="Q37" s="287" t="s">
        <v>346</v>
      </c>
    </row>
    <row r="38" spans="1:20" ht="13.5" thickBot="1" x14ac:dyDescent="0.25">
      <c r="B38" s="46" t="s">
        <v>39</v>
      </c>
      <c r="J38" s="282" t="str">
        <f>IF(Main!P56="","",Main!P56)</f>
        <v/>
      </c>
      <c r="K38" s="283" t="str">
        <f>IF(Main!Q56="","",Main!Q56)</f>
        <v/>
      </c>
      <c r="L38" s="284" t="str">
        <f>IF(Main!R56="","",Main!R56)</f>
        <v/>
      </c>
      <c r="O38" s="282" t="str">
        <f>IF(Main!U56="","",Main!U56)</f>
        <v/>
      </c>
      <c r="P38" s="283" t="str">
        <f>IF(Main!V56="","",Main!V56)</f>
        <v/>
      </c>
      <c r="Q38" s="284" t="str">
        <f>IF(Main!W56="","",Main!W56)</f>
        <v/>
      </c>
    </row>
    <row r="39" spans="1:20" x14ac:dyDescent="0.2">
      <c r="B39" s="46" t="s">
        <v>366</v>
      </c>
      <c r="M39" s="288"/>
    </row>
    <row r="40" spans="1:20" ht="15.75" x14ac:dyDescent="0.25">
      <c r="B40" s="269"/>
      <c r="C40" s="269"/>
      <c r="D40" s="269"/>
      <c r="E40" s="269"/>
      <c r="K40" s="64" t="s">
        <v>369</v>
      </c>
      <c r="L40">
        <f>IF(Main!N54="","",Main!N54)</f>
        <v>0</v>
      </c>
      <c r="O40" s="64" t="s">
        <v>371</v>
      </c>
      <c r="P40">
        <f>IF(Main!N56="","",Main!N56)</f>
        <v>0</v>
      </c>
    </row>
    <row r="41" spans="1:20" x14ac:dyDescent="0.2">
      <c r="K41" s="64" t="s">
        <v>370</v>
      </c>
      <c r="L41">
        <f>IF(Main!N55="","",Main!N55)</f>
        <v>0</v>
      </c>
      <c r="O41" s="64" t="s">
        <v>372</v>
      </c>
      <c r="P41">
        <f>IF(Main!N57="","",Main!N57)</f>
        <v>0</v>
      </c>
    </row>
    <row r="42" spans="1:20" ht="15.75" x14ac:dyDescent="0.25">
      <c r="C42" s="269"/>
      <c r="D42" s="269"/>
      <c r="E42" s="269"/>
      <c r="F42" s="269"/>
      <c r="G42" s="269"/>
      <c r="H42" s="269"/>
      <c r="I42" s="269"/>
      <c r="J42" s="269"/>
    </row>
    <row r="44" spans="1:20" x14ac:dyDescent="0.2">
      <c r="F44" s="2"/>
      <c r="G44" s="2"/>
    </row>
    <row r="45" spans="1:20" ht="12.75" customHeight="1" x14ac:dyDescent="0.2">
      <c r="F45" s="271"/>
    </row>
    <row r="46" spans="1:20" x14ac:dyDescent="0.2">
      <c r="F46" s="133"/>
    </row>
    <row r="47" spans="1:20" ht="12.75" customHeight="1" x14ac:dyDescent="0.2">
      <c r="F47" s="267"/>
    </row>
    <row r="48" spans="1:20" ht="12.75" customHeight="1" x14ac:dyDescent="0.2">
      <c r="F48" s="270"/>
    </row>
    <row r="50" spans="6:6" ht="15.75" customHeight="1" x14ac:dyDescent="0.2">
      <c r="F50" s="267"/>
    </row>
    <row r="51" spans="6:6" x14ac:dyDescent="0.2">
      <c r="F51" s="270"/>
    </row>
    <row r="52" spans="6:6" x14ac:dyDescent="0.2">
      <c r="F52" s="270"/>
    </row>
    <row r="54" spans="6:6" x14ac:dyDescent="0.2">
      <c r="F54" s="273"/>
    </row>
  </sheetData>
  <sheetProtection algorithmName="SHA-512" hashValue="8W90jv9u/NoQpesKAbXE184jgbsCVrxytOIjBvYodBj4wC8baH9Y4gxO9lsIUjQD+uyYup87Ur0q5+h74i9xgg==" saltValue="e24tfR4vLWgMa1A+erd/Sg=="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14"/>
  </cols>
  <sheetData>
    <row r="1" spans="1:14" ht="15.75" x14ac:dyDescent="0.25">
      <c r="A1" s="115"/>
      <c r="B1" s="95"/>
      <c r="C1" s="95"/>
      <c r="D1" s="112"/>
      <c r="E1" s="96"/>
      <c r="F1" s="105" t="s">
        <v>146</v>
      </c>
      <c r="G1" s="106"/>
      <c r="H1" s="106"/>
      <c r="I1" s="106"/>
      <c r="J1" s="96"/>
      <c r="K1" s="95"/>
      <c r="L1" s="95"/>
      <c r="M1" s="95"/>
      <c r="N1" s="95"/>
    </row>
    <row r="2" spans="1:14" ht="15.75" x14ac:dyDescent="0.25">
      <c r="A2" s="95"/>
      <c r="B2" s="95"/>
      <c r="C2" s="95"/>
      <c r="D2" s="112"/>
      <c r="E2" s="97" t="s">
        <v>147</v>
      </c>
      <c r="F2" s="106"/>
      <c r="G2" s="106"/>
      <c r="H2" s="106"/>
      <c r="I2" s="106"/>
      <c r="J2" s="96"/>
      <c r="K2" s="95"/>
      <c r="L2" s="95"/>
      <c r="M2" s="95"/>
      <c r="N2" s="95"/>
    </row>
    <row r="3" spans="1:14" x14ac:dyDescent="0.2">
      <c r="A3" s="95"/>
      <c r="B3" s="95"/>
      <c r="C3" s="95"/>
      <c r="D3" s="112"/>
      <c r="E3" s="95"/>
      <c r="F3" s="95"/>
      <c r="G3" s="95"/>
      <c r="H3" s="95"/>
      <c r="I3" s="95"/>
      <c r="J3" s="95"/>
      <c r="K3" s="95"/>
      <c r="L3" s="95"/>
      <c r="M3" s="95"/>
      <c r="N3" s="95"/>
    </row>
    <row r="4" spans="1:14" x14ac:dyDescent="0.2">
      <c r="A4" s="95"/>
      <c r="B4" s="98" t="s">
        <v>0</v>
      </c>
      <c r="C4" s="98"/>
      <c r="D4" s="113"/>
      <c r="E4" s="95"/>
      <c r="F4" s="98"/>
      <c r="G4" s="98"/>
      <c r="H4" s="98"/>
      <c r="I4" s="98"/>
      <c r="J4" s="98"/>
      <c r="K4" s="98"/>
      <c r="L4" s="98"/>
      <c r="M4" s="95"/>
      <c r="N4" s="95"/>
    </row>
    <row r="5" spans="1:14" x14ac:dyDescent="0.2">
      <c r="A5" s="95"/>
      <c r="B5" s="99" t="s">
        <v>25</v>
      </c>
      <c r="C5" s="99"/>
      <c r="D5" s="113"/>
      <c r="E5" s="95"/>
      <c r="F5" s="98"/>
      <c r="G5" s="98"/>
      <c r="H5" s="98"/>
      <c r="I5" s="98"/>
      <c r="J5" s="98"/>
      <c r="K5" s="98"/>
      <c r="L5" s="98"/>
      <c r="M5" s="95"/>
      <c r="N5" s="95"/>
    </row>
    <row r="6" spans="1:14" x14ac:dyDescent="0.2">
      <c r="A6" s="95"/>
      <c r="B6" s="100" t="s">
        <v>26</v>
      </c>
      <c r="C6" s="101">
        <f>Main!D3</f>
        <v>0</v>
      </c>
      <c r="D6" s="112"/>
      <c r="E6" s="98"/>
      <c r="F6" s="98"/>
      <c r="G6" s="98"/>
      <c r="H6" s="98"/>
      <c r="I6" s="102" t="s">
        <v>4</v>
      </c>
      <c r="J6" s="98" t="e">
        <f>Main!D5</f>
        <v>#N/A</v>
      </c>
      <c r="K6" s="95"/>
      <c r="L6" s="95"/>
    </row>
    <row r="7" spans="1:14" x14ac:dyDescent="0.2">
      <c r="A7" s="95"/>
      <c r="B7" s="102" t="s">
        <v>3</v>
      </c>
      <c r="C7" s="103" t="e">
        <f>Main!D6</f>
        <v>#N/A</v>
      </c>
      <c r="D7" s="112"/>
      <c r="E7" s="98"/>
      <c r="F7" s="98"/>
      <c r="G7" s="98"/>
      <c r="H7" s="98"/>
      <c r="I7" s="102" t="s">
        <v>5</v>
      </c>
      <c r="J7" s="104">
        <f>NominalTemp</f>
        <v>0</v>
      </c>
      <c r="K7" s="95"/>
      <c r="L7" s="95"/>
    </row>
    <row r="8" spans="1:14" x14ac:dyDescent="0.2">
      <c r="A8" s="95"/>
      <c r="B8" s="102" t="s">
        <v>27</v>
      </c>
      <c r="C8" s="103" t="str">
        <f>Main!D7</f>
        <v>Jeff Hall</v>
      </c>
      <c r="D8" s="112"/>
      <c r="E8" s="98"/>
      <c r="F8" s="98"/>
      <c r="G8" s="98"/>
      <c r="H8" s="98"/>
      <c r="I8" s="98"/>
      <c r="J8" s="98"/>
      <c r="K8" s="98"/>
      <c r="L8" s="98"/>
      <c r="M8" s="95"/>
      <c r="N8" s="95"/>
    </row>
    <row r="10" spans="1:14" x14ac:dyDescent="0.2">
      <c r="B10" t="s">
        <v>154</v>
      </c>
      <c r="D10" s="114"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41"/>
    </row>
  </sheetData>
  <sheetProtection algorithmName="SHA-512" hashValue="AIelq3C0/0z8vreybM3EaNTd09+nWbxv1FzlqKVTdrUP99O0oJxNW07V/iaGL9kMBoyBRntoYI0ZzMvxs5S8vw==" saltValue="2g3GMhEzbbz5oiSWuZOD9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8" t="s">
        <v>56</v>
      </c>
      <c r="B1" s="592"/>
      <c r="C1" s="592"/>
      <c r="D1" s="592"/>
      <c r="E1" s="37" t="s">
        <v>156</v>
      </c>
      <c r="G1" s="592" t="s">
        <v>68</v>
      </c>
      <c r="H1" s="592"/>
      <c r="K1" t="s">
        <v>92</v>
      </c>
      <c r="M1" t="s">
        <v>93</v>
      </c>
      <c r="O1" t="s">
        <v>123</v>
      </c>
      <c r="Q1" t="s">
        <v>132</v>
      </c>
      <c r="S1" t="s">
        <v>138</v>
      </c>
      <c r="U1" s="41" t="s">
        <v>170</v>
      </c>
      <c r="W1" s="41" t="s">
        <v>174</v>
      </c>
      <c r="Y1" s="41" t="s">
        <v>225</v>
      </c>
      <c r="AA1" s="41" t="s">
        <v>226</v>
      </c>
      <c r="AC1" s="41" t="s">
        <v>259</v>
      </c>
      <c r="AE1" s="69" t="s">
        <v>358</v>
      </c>
      <c r="AG1" s="38" t="s">
        <v>365</v>
      </c>
      <c r="AH1" s="38"/>
    </row>
    <row r="2" spans="1:34" x14ac:dyDescent="0.2">
      <c r="A2" s="37" t="str" cm="1">
        <f t="array" ref="A2:A9">_xlfn._xlws.FILTER(AssetPool[asset_tag], AssetPool[root_category_name]="DAQ Modules")</f>
        <v>J1</v>
      </c>
      <c r="B2" s="37" t="str" cm="1">
        <f t="array" ref="B2:B9">_xlfn._xlws.FILTER(AssetPool[manufacturer_part_number], AssetPool[root_category_name]="DAQ Modules")</f>
        <v>DaqBook/2005</v>
      </c>
      <c r="C2" s="37" t="str" cm="1">
        <f t="array" ref="C2:C9">_xlfn._xlws.FILTER(AssetPool[serial_number], AssetPool[root_category_name]="DAQ Modules")</f>
        <v>807408</v>
      </c>
      <c r="D2" s="37" t="str">
        <f>VLOOKUP(LEFT(A2,1),G$2:H$4,2,FALSE)</f>
        <v>"J" IRON-CONSTANTAN</v>
      </c>
      <c r="E2" s="37">
        <v>40</v>
      </c>
      <c r="G2" s="41" t="s">
        <v>570</v>
      </c>
      <c r="H2" t="s">
        <v>71</v>
      </c>
      <c r="K2" t="s">
        <v>83</v>
      </c>
      <c r="M2" t="s">
        <v>94</v>
      </c>
      <c r="Q2" t="s">
        <v>133</v>
      </c>
      <c r="S2" t="s">
        <v>80</v>
      </c>
      <c r="U2" s="41" t="s">
        <v>171</v>
      </c>
      <c r="W2">
        <f>IF(Main!D32 = 10, 5, IF(Main!D32 = 30, 15, IF(Main!D32 = 40, 20, 0)))</f>
        <v>0</v>
      </c>
      <c r="Y2" t="s">
        <v>200</v>
      </c>
      <c r="AC2" s="41" t="s">
        <v>261</v>
      </c>
      <c r="AE2" s="41" t="s">
        <v>359</v>
      </c>
      <c r="AG2" s="41" t="str" cm="1">
        <f t="array" ref="AG2:AG11">_xlfn._xlws.FILTER(Employees[Name],Employees[IsPyro])</f>
        <v>Danny Turkali</v>
      </c>
      <c r="AH2" s="41"/>
    </row>
    <row r="3" spans="1:34" x14ac:dyDescent="0.2">
      <c r="A3" s="37" t="str">
        <v>J2</v>
      </c>
      <c r="B3" s="37" t="str">
        <v>DaqBook/2005</v>
      </c>
      <c r="C3" s="37" t="str">
        <v>806337</v>
      </c>
      <c r="D3" s="37" t="str">
        <f t="shared" ref="D3:D9" si="0">VLOOKUP(LEFT(A3,1),G$2:H$4,2,FALSE)</f>
        <v>"J" IRON-CONSTANTAN</v>
      </c>
      <c r="E3" s="37">
        <v>28</v>
      </c>
      <c r="G3" s="41" t="s">
        <v>571</v>
      </c>
      <c r="H3" t="s">
        <v>69</v>
      </c>
      <c r="K3" t="s">
        <v>84</v>
      </c>
      <c r="M3" t="s">
        <v>95</v>
      </c>
      <c r="O3" t="s">
        <v>124</v>
      </c>
      <c r="Q3" s="41" t="s">
        <v>167</v>
      </c>
      <c r="S3" t="s">
        <v>140</v>
      </c>
      <c r="U3" s="41" t="s">
        <v>326</v>
      </c>
      <c r="Y3" t="s">
        <v>201</v>
      </c>
      <c r="AC3" s="41" t="s">
        <v>260</v>
      </c>
      <c r="AE3" s="41" t="s">
        <v>391</v>
      </c>
      <c r="AG3" s="41" t="str">
        <v>James Haven</v>
      </c>
      <c r="AH3" s="41"/>
    </row>
    <row r="4" spans="1:34" x14ac:dyDescent="0.2">
      <c r="A4" s="37" t="str">
        <v>J3</v>
      </c>
      <c r="B4" s="37" t="str">
        <v>DaqBook/2005</v>
      </c>
      <c r="C4" s="37" t="str">
        <v>807705</v>
      </c>
      <c r="D4" s="37" t="str">
        <f t="shared" si="0"/>
        <v>"J" IRON-CONSTANTAN</v>
      </c>
      <c r="E4" s="37">
        <v>28</v>
      </c>
      <c r="G4" s="41" t="s">
        <v>569</v>
      </c>
      <c r="H4" t="s">
        <v>70</v>
      </c>
      <c r="K4" t="s">
        <v>95</v>
      </c>
      <c r="M4" t="s">
        <v>105</v>
      </c>
      <c r="O4" t="s">
        <v>130</v>
      </c>
      <c r="Q4" t="s">
        <v>134</v>
      </c>
      <c r="S4" t="s">
        <v>139</v>
      </c>
      <c r="U4" s="41" t="s">
        <v>172</v>
      </c>
      <c r="Y4" t="s">
        <v>202</v>
      </c>
      <c r="AE4" s="41" t="s">
        <v>334</v>
      </c>
      <c r="AG4" s="41" t="str">
        <v>Jesse Regehr</v>
      </c>
      <c r="AH4" s="41"/>
    </row>
    <row r="5" spans="1:34" x14ac:dyDescent="0.2">
      <c r="A5" s="37" t="str">
        <v>K4</v>
      </c>
      <c r="B5" s="37" t="str">
        <v>DaqBook/2005</v>
      </c>
      <c r="C5" s="37" t="str">
        <v>807409</v>
      </c>
      <c r="D5" s="37" t="str">
        <f t="shared" si="0"/>
        <v>"K" CHROMEL-ALUMEL</v>
      </c>
      <c r="E5" s="37">
        <v>40</v>
      </c>
      <c r="K5" s="75">
        <v>283372</v>
      </c>
      <c r="M5" t="s">
        <v>108</v>
      </c>
      <c r="O5" t="s">
        <v>149</v>
      </c>
      <c r="Q5" t="s">
        <v>135</v>
      </c>
      <c r="U5" s="41" t="s">
        <v>110</v>
      </c>
      <c r="Y5" t="s">
        <v>203</v>
      </c>
      <c r="AG5" s="41" t="str">
        <v>Joey Craig</v>
      </c>
      <c r="AH5" s="41"/>
    </row>
    <row r="6" spans="1:34" x14ac:dyDescent="0.2">
      <c r="A6" s="37" t="str">
        <v>K5</v>
      </c>
      <c r="B6" s="37" t="str">
        <v>DaqBook/2005</v>
      </c>
      <c r="C6" s="37" t="str">
        <v>808005</v>
      </c>
      <c r="D6" s="37" t="str">
        <f t="shared" si="0"/>
        <v>"K" CHROMEL-ALUMEL</v>
      </c>
      <c r="E6" s="37">
        <v>28</v>
      </c>
      <c r="K6" t="s">
        <v>114</v>
      </c>
      <c r="O6" t="s">
        <v>106</v>
      </c>
      <c r="Q6" s="41" t="s">
        <v>388</v>
      </c>
      <c r="U6" s="41" t="s">
        <v>111</v>
      </c>
      <c r="Y6" t="s">
        <v>204</v>
      </c>
      <c r="AG6" s="41" t="str">
        <v>Joey Knutson</v>
      </c>
      <c r="AH6" s="41"/>
    </row>
    <row r="7" spans="1:34" x14ac:dyDescent="0.2">
      <c r="A7" s="37" t="str">
        <v>K6</v>
      </c>
      <c r="B7" s="37" t="str">
        <v>DaqBook/2005</v>
      </c>
      <c r="C7" s="37" t="str">
        <v>808173</v>
      </c>
      <c r="D7" s="37" t="str">
        <f t="shared" si="0"/>
        <v>"K" CHROMEL-ALUMEL</v>
      </c>
      <c r="E7" s="37">
        <v>40</v>
      </c>
      <c r="O7" t="s">
        <v>127</v>
      </c>
      <c r="Q7" s="41" t="s">
        <v>389</v>
      </c>
      <c r="U7" s="41" t="s">
        <v>173</v>
      </c>
      <c r="Y7" t="s">
        <v>205</v>
      </c>
      <c r="AG7" s="41" t="str">
        <v>Kevin Ferrante</v>
      </c>
      <c r="AH7" s="41"/>
    </row>
    <row r="8" spans="1:34" x14ac:dyDescent="0.2">
      <c r="A8" s="37" t="str">
        <v>K7</v>
      </c>
      <c r="B8" s="77" t="str">
        <v>DaqBook/2005</v>
      </c>
      <c r="C8" s="77" t="str">
        <v>22500C0</v>
      </c>
      <c r="D8" s="37" t="str">
        <f t="shared" si="0"/>
        <v>"K" CHROMEL-ALUMEL</v>
      </c>
      <c r="E8" s="37">
        <v>28</v>
      </c>
      <c r="O8" t="s">
        <v>126</v>
      </c>
      <c r="Q8" s="41" t="s">
        <v>390</v>
      </c>
      <c r="U8" t="str">
        <f>IF(AND(Main!D17&lt;&gt;"",Main!D17&gt;14),"Data_Sheet_15_28","")</f>
        <v/>
      </c>
      <c r="Y8" t="s">
        <v>206</v>
      </c>
      <c r="AE8" s="69" t="s">
        <v>360</v>
      </c>
      <c r="AG8" s="41" t="str">
        <v>Matt Coleman</v>
      </c>
      <c r="AH8" s="41"/>
    </row>
    <row r="9" spans="1:34" x14ac:dyDescent="0.2">
      <c r="A9" s="116" t="str">
        <v>N2</v>
      </c>
      <c r="B9" s="65" t="str">
        <v>DaqBook/2005</v>
      </c>
      <c r="C9" s="37" t="str">
        <v>808004</v>
      </c>
      <c r="D9" s="37" t="str">
        <f t="shared" si="0"/>
        <v>"N" NICROSIL-NISIL</v>
      </c>
      <c r="E9" s="65">
        <v>28</v>
      </c>
      <c r="O9" t="s">
        <v>6</v>
      </c>
      <c r="U9" t="str">
        <f>IF(AND(Main!D17&lt;&gt;"",Main!D17&gt;28),"Data_Sheet_29_40","")</f>
        <v/>
      </c>
      <c r="Y9" t="s">
        <v>207</v>
      </c>
      <c r="AE9" s="41" t="s">
        <v>336</v>
      </c>
      <c r="AG9" s="41" t="str">
        <v>Mike Ragonese</v>
      </c>
      <c r="AH9" s="41"/>
    </row>
    <row r="10" spans="1:34" x14ac:dyDescent="0.2">
      <c r="O10" t="s">
        <v>125</v>
      </c>
      <c r="Y10" t="s">
        <v>209</v>
      </c>
      <c r="AE10" s="41" t="s">
        <v>361</v>
      </c>
      <c r="AG10" s="41" t="str">
        <v>Nick Nolte</v>
      </c>
      <c r="AH10" s="41"/>
    </row>
    <row r="11" spans="1:34" x14ac:dyDescent="0.2">
      <c r="O11" t="s">
        <v>129</v>
      </c>
      <c r="Y11" s="41" t="s">
        <v>235</v>
      </c>
      <c r="AE11" s="41" t="s">
        <v>135</v>
      </c>
      <c r="AG11" t="str">
        <v>Ryan Byars</v>
      </c>
    </row>
    <row r="12" spans="1:34" x14ac:dyDescent="0.2">
      <c r="O12" t="s">
        <v>128</v>
      </c>
      <c r="Y12" s="41" t="s">
        <v>374</v>
      </c>
      <c r="AE12" s="41" t="s">
        <v>362</v>
      </c>
    </row>
    <row r="13" spans="1:34" x14ac:dyDescent="0.2">
      <c r="O13" s="41" t="s">
        <v>385</v>
      </c>
      <c r="Y13" t="s">
        <v>210</v>
      </c>
      <c r="AE13" s="41" t="s">
        <v>363</v>
      </c>
    </row>
    <row r="14" spans="1:34" x14ac:dyDescent="0.2">
      <c r="Y14" t="s">
        <v>211</v>
      </c>
      <c r="AE14" s="41" t="s">
        <v>364</v>
      </c>
    </row>
    <row r="15" spans="1:34" x14ac:dyDescent="0.2">
      <c r="Y15" t="s">
        <v>212</v>
      </c>
      <c r="AE15" s="41" t="s">
        <v>384</v>
      </c>
    </row>
    <row r="16" spans="1:34" x14ac:dyDescent="0.2">
      <c r="F16" s="44"/>
      <c r="G16" s="44"/>
      <c r="H16" s="44"/>
      <c r="I16" s="44"/>
      <c r="J16" s="44"/>
      <c r="K16" s="44"/>
      <c r="L16" s="44"/>
      <c r="M16" s="44"/>
      <c r="O16" s="44"/>
      <c r="Y16" t="s">
        <v>213</v>
      </c>
    </row>
    <row r="17" spans="25:25" x14ac:dyDescent="0.2">
      <c r="Y17" s="41"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41" t="s">
        <v>245</v>
      </c>
    </row>
    <row r="24" spans="25:25" x14ac:dyDescent="0.2">
      <c r="Y24" s="41" t="s">
        <v>257</v>
      </c>
    </row>
    <row r="25" spans="25:25" x14ac:dyDescent="0.2">
      <c r="Y25" s="41" t="s">
        <v>331</v>
      </c>
    </row>
    <row r="26" spans="25:25" x14ac:dyDescent="0.2">
      <c r="Y26" t="s">
        <v>219</v>
      </c>
    </row>
    <row r="27" spans="25:25" x14ac:dyDescent="0.2">
      <c r="Y27" t="s">
        <v>220</v>
      </c>
    </row>
    <row r="28" spans="25:25" x14ac:dyDescent="0.2">
      <c r="Y28" s="41" t="s">
        <v>258</v>
      </c>
    </row>
    <row r="29" spans="25:25" x14ac:dyDescent="0.2">
      <c r="Y29" t="s">
        <v>190</v>
      </c>
    </row>
    <row r="30" spans="25:25" x14ac:dyDescent="0.2">
      <c r="Y30" s="41"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41" t="s">
        <v>262</v>
      </c>
    </row>
  </sheetData>
  <sheetProtection algorithmName="SHA-512" hashValue="yJ6gBwID/WlJuSmUiLqg9M4XBeDK1mhtj12cOJvul9RtSRVmpz0zDdyt2BATfz6RdM4v+SwiCOThMPgmFHFcfQ==" saltValue="PdEEBCuQ2Fum2kRbRptqe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71</vt:i4>
      </vt:variant>
    </vt:vector>
  </HeadingPairs>
  <TitlesOfParts>
    <vt:vector size="98"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Main</vt:lpstr>
      <vt:lpstr>DaqBook_RAW_Data</vt:lpstr>
      <vt:lpstr>Packet_Content</vt:lpstr>
      <vt:lpstr>CERT</vt:lpstr>
      <vt:lpstr>Header_Info</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2025-07-02T20:23:56Z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