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1BF6C10-74AD-4CF8-86EB-5B096D893974}" xr6:coauthVersionLast="47" xr6:coauthVersionMax="47" xr10:uidLastSave="{00000000-0000-0000-0000-000000000000}"/>
  <bookViews>
    <workbookView xWindow="2868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AssetPool!$A$1:$Q$64</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13" hidden="1">AggregatedUUTRangeTol!$A$1:$C$2</definedName>
    <definedName name="ExternalData_2" localSheetId="8" hidden="1">AllDaqbookOffsets!$A$1:$E$7556</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Table'!$A$1:$O$1658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K4" i="95" s="1"/>
  <c r="J5" i="95"/>
  <c r="K5" i="95" s="1"/>
  <c r="J6" i="95"/>
  <c r="J7" i="95"/>
  <c r="J8" i="95"/>
  <c r="K8" i="95" s="1"/>
  <c r="J9" i="95"/>
  <c r="K9" i="95" s="1"/>
  <c r="J10" i="95"/>
  <c r="J11" i="95"/>
  <c r="K11" i="95" s="1"/>
  <c r="J12" i="95"/>
  <c r="K12" i="95" s="1"/>
  <c r="J13" i="95"/>
  <c r="J14" i="95"/>
  <c r="J15" i="95"/>
  <c r="K15" i="95" s="1"/>
  <c r="J16" i="95"/>
  <c r="J17" i="95"/>
  <c r="K17" i="95" s="1"/>
  <c r="J18" i="95"/>
  <c r="K18" i="95" s="1"/>
  <c r="J19" i="95"/>
  <c r="K19" i="95" s="1"/>
  <c r="J20" i="95"/>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J34" i="95"/>
  <c r="J35" i="95"/>
  <c r="J36" i="95"/>
  <c r="J37" i="95"/>
  <c r="K37" i="95" s="1"/>
  <c r="J38" i="95"/>
  <c r="J39" i="95"/>
  <c r="J40" i="95"/>
  <c r="K40" i="95" s="1"/>
  <c r="J41" i="95"/>
  <c r="J42" i="95"/>
  <c r="K42" i="95" s="1"/>
  <c r="J43" i="95"/>
  <c r="K43" i="95" s="1"/>
  <c r="J44" i="95"/>
  <c r="K44" i="95" s="1"/>
  <c r="J45" i="95"/>
  <c r="K45" i="95" s="1"/>
  <c r="J46" i="95"/>
  <c r="J47" i="95"/>
  <c r="K47" i="95" s="1"/>
  <c r="J48" i="95"/>
  <c r="J49" i="95"/>
  <c r="K49" i="95" s="1"/>
  <c r="J50" i="95"/>
  <c r="K50" i="95" s="1"/>
  <c r="J51" i="95"/>
  <c r="K51" i="95" s="1"/>
  <c r="J52" i="95"/>
  <c r="J53" i="95"/>
  <c r="J54" i="95"/>
  <c r="J55" i="95"/>
  <c r="J56" i="95"/>
  <c r="K56" i="95" s="1"/>
  <c r="J57" i="95"/>
  <c r="K57" i="95" s="1"/>
  <c r="J58" i="95"/>
  <c r="K58" i="95" s="1"/>
  <c r="J59" i="95"/>
  <c r="K59" i="95" s="1"/>
  <c r="J60" i="95"/>
  <c r="K60" i="95" s="1"/>
  <c r="J61" i="95"/>
  <c r="K61" i="95" s="1"/>
  <c r="J62" i="95"/>
  <c r="K62" i="95" s="1"/>
  <c r="J63" i="95"/>
  <c r="K63" i="95" s="1"/>
  <c r="J64" i="95"/>
  <c r="K64" i="95" s="1"/>
  <c r="J65" i="95"/>
  <c r="J66" i="95"/>
  <c r="J67" i="95"/>
  <c r="J68" i="95"/>
  <c r="J69" i="95"/>
  <c r="J70" i="95"/>
  <c r="J71" i="95"/>
  <c r="J72" i="95"/>
  <c r="K72" i="95" s="1"/>
  <c r="J73" i="95"/>
  <c r="J74" i="95"/>
  <c r="J75" i="95"/>
  <c r="K75" i="95" s="1"/>
  <c r="J76" i="95"/>
  <c r="K76" i="95" s="1"/>
  <c r="J77" i="95"/>
  <c r="J78" i="95"/>
  <c r="J79" i="95"/>
  <c r="K79" i="95" s="1"/>
  <c r="J80" i="95"/>
  <c r="J81" i="95"/>
  <c r="J82" i="95"/>
  <c r="J83" i="95"/>
  <c r="K83" i="95" s="1"/>
  <c r="J84" i="95"/>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J98" i="95"/>
  <c r="J99" i="95"/>
  <c r="J100" i="95"/>
  <c r="K100" i="95" s="1"/>
  <c r="J101" i="95"/>
  <c r="J102" i="95"/>
  <c r="K102" i="95" s="1"/>
  <c r="J103" i="95"/>
  <c r="J104" i="95"/>
  <c r="K104" i="95" s="1"/>
  <c r="J105" i="95"/>
  <c r="K105" i="95" s="1"/>
  <c r="J106" i="95"/>
  <c r="K106" i="95" s="1"/>
  <c r="J107" i="95"/>
  <c r="K107" i="95" s="1"/>
  <c r="J108" i="95"/>
  <c r="K108" i="95" s="1"/>
  <c r="J109" i="95"/>
  <c r="J110" i="95"/>
  <c r="J111" i="95"/>
  <c r="K111" i="95" s="1"/>
  <c r="J112" i="95"/>
  <c r="J113" i="95"/>
  <c r="J114" i="95"/>
  <c r="J115" i="95"/>
  <c r="K115" i="95" s="1"/>
  <c r="J116" i="95"/>
  <c r="J117" i="95"/>
  <c r="J118" i="95"/>
  <c r="J119" i="95"/>
  <c r="J120" i="95"/>
  <c r="J121" i="95"/>
  <c r="J122" i="95"/>
  <c r="J123" i="95"/>
  <c r="K123" i="95" s="1"/>
  <c r="J124" i="95"/>
  <c r="K124" i="95" s="1"/>
  <c r="J125" i="95"/>
  <c r="K125" i="95" s="1"/>
  <c r="J126" i="95"/>
  <c r="K126" i="95" s="1"/>
  <c r="J127" i="95"/>
  <c r="K127" i="95" s="1"/>
  <c r="J128" i="95"/>
  <c r="K128" i="95" s="1"/>
  <c r="J129" i="95"/>
  <c r="J130" i="95"/>
  <c r="J131" i="95"/>
  <c r="J132" i="95"/>
  <c r="J133" i="95"/>
  <c r="J134" i="95"/>
  <c r="J135" i="95"/>
  <c r="J136" i="95"/>
  <c r="K136" i="95" s="1"/>
  <c r="J137" i="95"/>
  <c r="K137" i="95" s="1"/>
  <c r="J138" i="95"/>
  <c r="J139" i="95"/>
  <c r="K139" i="95" s="1"/>
  <c r="J140" i="95"/>
  <c r="K140" i="95" s="1"/>
  <c r="J141" i="95"/>
  <c r="J142" i="95"/>
  <c r="J143" i="95"/>
  <c r="K143" i="95" s="1"/>
  <c r="J144" i="95"/>
  <c r="J145" i="95"/>
  <c r="K145" i="95" s="1"/>
  <c r="J146" i="95"/>
  <c r="K146" i="95" s="1"/>
  <c r="J147" i="95"/>
  <c r="K147" i="95" s="1"/>
  <c r="J148" i="95"/>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K165" i="95" s="1"/>
  <c r="J166" i="95"/>
  <c r="K166" i="95" s="1"/>
  <c r="J167" i="95"/>
  <c r="K167" i="95" s="1"/>
  <c r="J168" i="95"/>
  <c r="K168" i="95" s="1"/>
  <c r="J169" i="95"/>
  <c r="K169" i="95" s="1"/>
  <c r="J170" i="95"/>
  <c r="K170" i="95" s="1"/>
  <c r="J171" i="95"/>
  <c r="K171" i="95" s="1"/>
  <c r="J172" i="95"/>
  <c r="K172" i="95" s="1"/>
  <c r="J173" i="95"/>
  <c r="J174" i="95"/>
  <c r="J175" i="95"/>
  <c r="K175" i="95" s="1"/>
  <c r="J176" i="95"/>
  <c r="J177" i="95"/>
  <c r="J178" i="95"/>
  <c r="J179" i="95"/>
  <c r="K179" i="95" s="1"/>
  <c r="J180" i="95"/>
  <c r="J181" i="95"/>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J194" i="95"/>
  <c r="J195" i="95"/>
  <c r="J196" i="95"/>
  <c r="J197" i="95"/>
  <c r="J198" i="95"/>
  <c r="J199" i="95"/>
  <c r="J200" i="95"/>
  <c r="K200" i="95" s="1"/>
  <c r="J201" i="95"/>
  <c r="J202" i="95"/>
  <c r="J203" i="95"/>
  <c r="K203" i="95" s="1"/>
  <c r="J204" i="95"/>
  <c r="K204" i="95" s="1"/>
  <c r="J205" i="95"/>
  <c r="J206" i="95"/>
  <c r="J207" i="95"/>
  <c r="K207" i="95" s="1"/>
  <c r="J208" i="95"/>
  <c r="K208" i="95" s="1"/>
  <c r="J209" i="95"/>
  <c r="K209" i="95" s="1"/>
  <c r="J210" i="95"/>
  <c r="K210" i="95" s="1"/>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J226" i="95"/>
  <c r="J227" i="95"/>
  <c r="J228" i="95"/>
  <c r="J229" i="95"/>
  <c r="J230" i="95"/>
  <c r="K230" i="95" s="1"/>
  <c r="J231" i="95"/>
  <c r="K231" i="95" s="1"/>
  <c r="J232" i="95"/>
  <c r="K232" i="95" s="1"/>
  <c r="J233" i="95"/>
  <c r="K233" i="95" s="1"/>
  <c r="J234" i="95"/>
  <c r="K234" i="95" s="1"/>
  <c r="J235" i="95"/>
  <c r="K235" i="95" s="1"/>
  <c r="J236" i="95"/>
  <c r="K236" i="95" s="1"/>
  <c r="J237" i="95"/>
  <c r="J238" i="95"/>
  <c r="J239" i="95"/>
  <c r="K239" i="95" s="1"/>
  <c r="J240" i="95"/>
  <c r="J241" i="95"/>
  <c r="J242" i="95"/>
  <c r="J243" i="95"/>
  <c r="K243" i="95" s="1"/>
  <c r="J244" i="95"/>
  <c r="J245" i="95"/>
  <c r="J246" i="95"/>
  <c r="J247" i="95"/>
  <c r="J248" i="95"/>
  <c r="J249" i="95"/>
  <c r="K249" i="95" s="1"/>
  <c r="J250" i="95"/>
  <c r="K250" i="95" s="1"/>
  <c r="J251" i="95"/>
  <c r="K251" i="95" s="1"/>
  <c r="J252" i="95"/>
  <c r="K252" i="95" s="1"/>
  <c r="J253" i="95"/>
  <c r="K253" i="95" s="1"/>
  <c r="J254" i="95"/>
  <c r="K254" i="95" s="1"/>
  <c r="J255" i="95"/>
  <c r="K255" i="95" s="1"/>
  <c r="J256" i="95"/>
  <c r="K256" i="95" s="1"/>
  <c r="J257" i="95"/>
  <c r="J258" i="95"/>
  <c r="J259" i="95"/>
  <c r="J260" i="95"/>
  <c r="J261" i="95"/>
  <c r="J262" i="95"/>
  <c r="J263" i="95"/>
  <c r="K263" i="95" s="1"/>
  <c r="J264" i="95"/>
  <c r="K264" i="95" s="1"/>
  <c r="J265" i="95"/>
  <c r="K265" i="95" s="1"/>
  <c r="J266" i="95"/>
  <c r="K266" i="95" s="1"/>
  <c r="J267" i="95"/>
  <c r="K267" i="95" s="1"/>
  <c r="J268" i="95"/>
  <c r="K268" i="95" s="1"/>
  <c r="J269" i="95"/>
  <c r="J270" i="95"/>
  <c r="J271" i="95"/>
  <c r="K271" i="95" s="1"/>
  <c r="J272" i="95"/>
  <c r="J273" i="95"/>
  <c r="K273" i="95" s="1"/>
  <c r="J274" i="95"/>
  <c r="K274" i="95" s="1"/>
  <c r="J275" i="95"/>
  <c r="K275" i="95" s="1"/>
  <c r="J276" i="95"/>
  <c r="J277" i="95"/>
  <c r="J278" i="95"/>
  <c r="J279" i="95"/>
  <c r="J280" i="95"/>
  <c r="J281" i="95"/>
  <c r="J282" i="95"/>
  <c r="J283" i="95"/>
  <c r="J284" i="95"/>
  <c r="J285" i="95"/>
  <c r="J286" i="95"/>
  <c r="J287" i="95"/>
  <c r="K287" i="95" s="1"/>
  <c r="J288" i="95"/>
  <c r="K288" i="95" s="1"/>
  <c r="J289" i="95"/>
  <c r="J290" i="95"/>
  <c r="J291" i="95"/>
  <c r="K291" i="95" s="1"/>
  <c r="J292" i="95"/>
  <c r="K292" i="95" s="1"/>
  <c r="J293" i="95"/>
  <c r="J294" i="95"/>
  <c r="K294" i="95" s="1"/>
  <c r="J295" i="95"/>
  <c r="K295" i="95" s="1"/>
  <c r="J296" i="95"/>
  <c r="K296" i="95" s="1"/>
  <c r="J297" i="95"/>
  <c r="K297" i="95" s="1"/>
  <c r="J298" i="95"/>
  <c r="K298" i="95" s="1"/>
  <c r="J299" i="95"/>
  <c r="J300" i="95"/>
  <c r="K300" i="95" s="1"/>
  <c r="J301" i="95"/>
  <c r="J302" i="95"/>
  <c r="J303" i="95"/>
  <c r="K303" i="95" s="1"/>
  <c r="J304" i="95"/>
  <c r="J305" i="95"/>
  <c r="K305" i="95" s="1"/>
  <c r="J306" i="95"/>
  <c r="K306" i="95" s="1"/>
  <c r="J307" i="95"/>
  <c r="K307" i="95" s="1"/>
  <c r="J308" i="95"/>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J321" i="95"/>
  <c r="J322" i="95"/>
  <c r="J323" i="95"/>
  <c r="J324" i="95"/>
  <c r="J325" i="95"/>
  <c r="J326" i="95"/>
  <c r="J327" i="95"/>
  <c r="J328" i="95"/>
  <c r="K328" i="95" s="1"/>
  <c r="J329" i="95"/>
  <c r="J330" i="95"/>
  <c r="K330" i="95" s="1"/>
  <c r="J331" i="95"/>
  <c r="K331" i="95" s="1"/>
  <c r="J332" i="95"/>
  <c r="K332" i="95" s="1"/>
  <c r="J333" i="95"/>
  <c r="J334" i="95"/>
  <c r="J335" i="95"/>
  <c r="K335" i="95" s="1"/>
  <c r="J336" i="95"/>
  <c r="J337" i="95"/>
  <c r="K337" i="95" s="1"/>
  <c r="J338" i="95"/>
  <c r="K338" i="95" s="1"/>
  <c r="J339" i="95"/>
  <c r="K339" i="95" s="1"/>
  <c r="J340" i="95"/>
  <c r="J341" i="95"/>
  <c r="J342" i="95"/>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J358" i="95"/>
  <c r="J359" i="95"/>
  <c r="K359" i="95" s="1"/>
  <c r="J360" i="95"/>
  <c r="K360" i="95" s="1"/>
  <c r="J361" i="95"/>
  <c r="J362" i="95"/>
  <c r="J363" i="95"/>
  <c r="J364" i="95"/>
  <c r="K364" i="95" s="1"/>
  <c r="J365" i="95"/>
  <c r="J366" i="95"/>
  <c r="J367" i="95"/>
  <c r="K367" i="95" s="1"/>
  <c r="J368" i="95"/>
  <c r="J369" i="95"/>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K389" i="95" s="1"/>
  <c r="J390" i="95"/>
  <c r="J391" i="95"/>
  <c r="J392" i="95"/>
  <c r="K392" i="95" s="1"/>
  <c r="J393" i="95"/>
  <c r="K393" i="95" s="1"/>
  <c r="J394" i="95"/>
  <c r="K394" i="95" s="1"/>
  <c r="J395" i="95"/>
  <c r="J396" i="95"/>
  <c r="K396" i="95" s="1"/>
  <c r="J397" i="95"/>
  <c r="J398" i="95"/>
  <c r="J399" i="95"/>
  <c r="K399" i="95" s="1"/>
  <c r="J400" i="95"/>
  <c r="J401" i="95"/>
  <c r="J402" i="95"/>
  <c r="J403" i="95"/>
  <c r="K403" i="95" s="1"/>
  <c r="J404" i="95"/>
  <c r="J405" i="95"/>
  <c r="J406" i="95"/>
  <c r="J407" i="95"/>
  <c r="J408" i="95"/>
  <c r="J409" i="95"/>
  <c r="J410" i="95"/>
  <c r="K410" i="95" s="1"/>
  <c r="J411" i="95"/>
  <c r="K411" i="95" s="1"/>
  <c r="J412" i="95"/>
  <c r="K412" i="95" s="1"/>
  <c r="J413" i="95"/>
  <c r="K413" i="95" s="1"/>
  <c r="J414" i="95"/>
  <c r="K414" i="95" s="1"/>
  <c r="J415" i="95"/>
  <c r="K415" i="95" s="1"/>
  <c r="J416" i="95"/>
  <c r="K416" i="95" s="1"/>
  <c r="J417" i="95"/>
  <c r="J418" i="95"/>
  <c r="K2" i="95"/>
  <c r="K3" i="95"/>
  <c r="K6" i="95"/>
  <c r="K7" i="95"/>
  <c r="K10" i="95"/>
  <c r="K13" i="95"/>
  <c r="K14" i="95"/>
  <c r="K16" i="95"/>
  <c r="K20" i="95"/>
  <c r="K33" i="95"/>
  <c r="K34" i="95"/>
  <c r="K35" i="95"/>
  <c r="K36" i="95"/>
  <c r="K38" i="95"/>
  <c r="K39" i="95"/>
  <c r="K41" i="95"/>
  <c r="K46" i="95"/>
  <c r="K48" i="95"/>
  <c r="K52" i="95"/>
  <c r="K53" i="95"/>
  <c r="K54" i="95"/>
  <c r="K55" i="95"/>
  <c r="K65" i="95"/>
  <c r="K66" i="95"/>
  <c r="K67" i="95"/>
  <c r="K68" i="95"/>
  <c r="K69" i="95"/>
  <c r="K70" i="95"/>
  <c r="K71" i="95"/>
  <c r="K73" i="95"/>
  <c r="K74" i="95"/>
  <c r="K77" i="95"/>
  <c r="K78" i="95"/>
  <c r="K80" i="95"/>
  <c r="K81" i="95"/>
  <c r="K82" i="95"/>
  <c r="K84" i="95"/>
  <c r="K97" i="95"/>
  <c r="K98" i="95"/>
  <c r="K99" i="95"/>
  <c r="K101" i="95"/>
  <c r="K103" i="95"/>
  <c r="K109" i="95"/>
  <c r="K110" i="95"/>
  <c r="K112" i="95"/>
  <c r="K113" i="95"/>
  <c r="K114" i="95"/>
  <c r="K116" i="95"/>
  <c r="K117" i="95"/>
  <c r="K118" i="95"/>
  <c r="K119" i="95"/>
  <c r="K120" i="95"/>
  <c r="K121" i="95"/>
  <c r="K122" i="95"/>
  <c r="K129" i="95"/>
  <c r="K130" i="95"/>
  <c r="K131" i="95"/>
  <c r="K132" i="95"/>
  <c r="K133" i="95"/>
  <c r="K134" i="95"/>
  <c r="K135" i="95"/>
  <c r="K138" i="95"/>
  <c r="K141" i="95"/>
  <c r="K142" i="95"/>
  <c r="K144" i="95"/>
  <c r="K148" i="95"/>
  <c r="K161" i="95"/>
  <c r="K162" i="95"/>
  <c r="K163" i="95"/>
  <c r="K164" i="95"/>
  <c r="K173" i="95"/>
  <c r="K174" i="95"/>
  <c r="K176" i="95"/>
  <c r="K177" i="95"/>
  <c r="K178" i="95"/>
  <c r="K180" i="95"/>
  <c r="K181" i="95"/>
  <c r="K193" i="95"/>
  <c r="K194" i="95"/>
  <c r="K195" i="95"/>
  <c r="K196" i="95"/>
  <c r="K197" i="95"/>
  <c r="K198" i="95"/>
  <c r="K199" i="95"/>
  <c r="K201" i="95"/>
  <c r="K202" i="95"/>
  <c r="K205" i="95"/>
  <c r="K206" i="95"/>
  <c r="K225" i="95"/>
  <c r="K226" i="95"/>
  <c r="K227" i="95"/>
  <c r="K228" i="95"/>
  <c r="K229" i="95"/>
  <c r="K237" i="95"/>
  <c r="K238" i="95"/>
  <c r="K240" i="95"/>
  <c r="K241" i="95"/>
  <c r="K242" i="95"/>
  <c r="K244" i="95"/>
  <c r="K245" i="95"/>
  <c r="K246" i="95"/>
  <c r="K247" i="95"/>
  <c r="K248" i="95"/>
  <c r="K257" i="95"/>
  <c r="K258" i="95"/>
  <c r="K259" i="95"/>
  <c r="K260" i="95"/>
  <c r="K261" i="95"/>
  <c r="K262" i="95"/>
  <c r="K269" i="95"/>
  <c r="K270" i="95"/>
  <c r="K272" i="95"/>
  <c r="K276" i="95"/>
  <c r="K277" i="95"/>
  <c r="K278" i="95"/>
  <c r="K279" i="95"/>
  <c r="K280" i="95"/>
  <c r="K281" i="95"/>
  <c r="K282" i="95"/>
  <c r="K283" i="95"/>
  <c r="K284" i="95"/>
  <c r="K285" i="95"/>
  <c r="K286" i="95"/>
  <c r="K289" i="95"/>
  <c r="K290" i="95"/>
  <c r="K293" i="95"/>
  <c r="K299" i="95"/>
  <c r="K301" i="95"/>
  <c r="K302" i="95"/>
  <c r="K304" i="95"/>
  <c r="K308" i="95"/>
  <c r="K322" i="95"/>
  <c r="K323" i="95"/>
  <c r="K324" i="95"/>
  <c r="K325" i="95"/>
  <c r="K326" i="95"/>
  <c r="K327" i="95"/>
  <c r="K329" i="95"/>
  <c r="K333" i="95"/>
  <c r="K334" i="95"/>
  <c r="K336" i="95"/>
  <c r="K340" i="95"/>
  <c r="K341" i="95"/>
  <c r="K342" i="95"/>
  <c r="K353" i="95"/>
  <c r="K354" i="95"/>
  <c r="K355" i="95"/>
  <c r="K356" i="95"/>
  <c r="K357" i="95"/>
  <c r="K358" i="95"/>
  <c r="K361" i="95"/>
  <c r="K362" i="95"/>
  <c r="K363" i="95"/>
  <c r="K365" i="95"/>
  <c r="K366" i="95"/>
  <c r="K368" i="95"/>
  <c r="K369" i="95"/>
  <c r="K385" i="95"/>
  <c r="K386" i="95"/>
  <c r="K387" i="95"/>
  <c r="K388" i="95"/>
  <c r="K390" i="95"/>
  <c r="K391" i="95"/>
  <c r="K395" i="95"/>
  <c r="K397" i="95"/>
  <c r="K398" i="95"/>
  <c r="K400" i="95"/>
  <c r="K401" i="95"/>
  <c r="K402" i="95"/>
  <c r="K404" i="95"/>
  <c r="K405" i="95"/>
  <c r="K406" i="95"/>
  <c r="K407" i="95"/>
  <c r="K408" i="95"/>
  <c r="K409" i="95"/>
  <c r="K417" i="95"/>
  <c r="K418" i="95"/>
  <c r="L2" i="95"/>
  <c r="L3" i="95"/>
  <c r="L4" i="95"/>
  <c r="M4" i="95" s="1"/>
  <c r="L5" i="95"/>
  <c r="L6" i="95"/>
  <c r="M6" i="95" s="1"/>
  <c r="L7" i="95"/>
  <c r="L8" i="95"/>
  <c r="L9" i="95"/>
  <c r="L10" i="95"/>
  <c r="M10" i="95" s="1"/>
  <c r="L11" i="95"/>
  <c r="M11" i="95" s="1"/>
  <c r="L12" i="95"/>
  <c r="M12" i="95" s="1"/>
  <c r="L13" i="95"/>
  <c r="M13" i="95" s="1"/>
  <c r="L14" i="95"/>
  <c r="L15" i="95"/>
  <c r="M15" i="95" s="1"/>
  <c r="L16" i="95"/>
  <c r="M16" i="95" s="1"/>
  <c r="L17" i="95"/>
  <c r="M17" i="95" s="1"/>
  <c r="L18" i="95"/>
  <c r="M18" i="95" s="1"/>
  <c r="L19" i="95"/>
  <c r="M19" i="95" s="1"/>
  <c r="L20" i="95"/>
  <c r="M20" i="95" s="1"/>
  <c r="L21" i="95"/>
  <c r="M21" i="95" s="1"/>
  <c r="L22" i="95"/>
  <c r="M22" i="95" s="1"/>
  <c r="L23" i="95"/>
  <c r="M23" i="95" s="1"/>
  <c r="L24" i="95"/>
  <c r="M24" i="95" s="1"/>
  <c r="L25" i="95"/>
  <c r="M25" i="95" s="1"/>
  <c r="L26" i="95"/>
  <c r="L27" i="95"/>
  <c r="L28" i="95"/>
  <c r="L29" i="95"/>
  <c r="M29" i="95" s="1"/>
  <c r="L30" i="95"/>
  <c r="M30" i="95" s="1"/>
  <c r="L31" i="95"/>
  <c r="L32" i="95"/>
  <c r="M32" i="95" s="1"/>
  <c r="L33" i="95"/>
  <c r="M33" i="95" s="1"/>
  <c r="L34" i="95"/>
  <c r="M34" i="95" s="1"/>
  <c r="L35" i="95"/>
  <c r="M35" i="95" s="1"/>
  <c r="L36" i="95"/>
  <c r="M36" i="95" s="1"/>
  <c r="L37" i="95"/>
  <c r="L38" i="95"/>
  <c r="M38" i="95" s="1"/>
  <c r="L39" i="95"/>
  <c r="L40" i="95"/>
  <c r="L41" i="95"/>
  <c r="L42" i="95"/>
  <c r="M42" i="95" s="1"/>
  <c r="L43" i="95"/>
  <c r="L44" i="95"/>
  <c r="M44" i="95" s="1"/>
  <c r="L45" i="95"/>
  <c r="M45" i="95" s="1"/>
  <c r="L46" i="95"/>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L60" i="95"/>
  <c r="L61" i="95"/>
  <c r="M61" i="95" s="1"/>
  <c r="L62" i="95"/>
  <c r="M62" i="95" s="1"/>
  <c r="L63" i="95"/>
  <c r="L64" i="95"/>
  <c r="L65" i="95"/>
  <c r="L66" i="95"/>
  <c r="L67" i="95"/>
  <c r="L68" i="95"/>
  <c r="L69" i="95"/>
  <c r="L70" i="95"/>
  <c r="M70" i="95" s="1"/>
  <c r="L71" i="95"/>
  <c r="M71" i="95" s="1"/>
  <c r="L72" i="95"/>
  <c r="M72" i="95" s="1"/>
  <c r="L73" i="95"/>
  <c r="M73" i="95" s="1"/>
  <c r="L74" i="95"/>
  <c r="M74" i="95" s="1"/>
  <c r="L75" i="95"/>
  <c r="M75" i="95" s="1"/>
  <c r="L76" i="95"/>
  <c r="M76" i="95" s="1"/>
  <c r="L77" i="95"/>
  <c r="M77" i="95" s="1"/>
  <c r="L78" i="95"/>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L92" i="95"/>
  <c r="L93" i="95"/>
  <c r="M93" i="95" s="1"/>
  <c r="L94" i="95"/>
  <c r="M94" i="95" s="1"/>
  <c r="L95" i="95"/>
  <c r="L96" i="95"/>
  <c r="L97" i="95"/>
  <c r="L98" i="95"/>
  <c r="L99" i="95"/>
  <c r="L100" i="95"/>
  <c r="L101" i="95"/>
  <c r="L102" i="95"/>
  <c r="M102" i="95" s="1"/>
  <c r="L103" i="95"/>
  <c r="L104" i="95"/>
  <c r="L105" i="95"/>
  <c r="L106" i="95"/>
  <c r="M106" i="95" s="1"/>
  <c r="L107" i="95"/>
  <c r="L108" i="95"/>
  <c r="L109" i="95"/>
  <c r="M109" i="95" s="1"/>
  <c r="L110" i="95"/>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L124" i="95"/>
  <c r="L125" i="95"/>
  <c r="M125" i="95" s="1"/>
  <c r="L126" i="95"/>
  <c r="M126" i="95" s="1"/>
  <c r="L127" i="95"/>
  <c r="M127" i="95" s="1"/>
  <c r="L128" i="95"/>
  <c r="L129" i="95"/>
  <c r="M129" i="95" s="1"/>
  <c r="L130" i="95"/>
  <c r="M130" i="95" s="1"/>
  <c r="L131" i="95"/>
  <c r="M131" i="95" s="1"/>
  <c r="L132" i="95"/>
  <c r="M132" i="95" s="1"/>
  <c r="L133" i="95"/>
  <c r="L134" i="95"/>
  <c r="M134" i="95" s="1"/>
  <c r="L135" i="95"/>
  <c r="L136" i="95"/>
  <c r="L137" i="95"/>
  <c r="L138" i="95"/>
  <c r="M138" i="95" s="1"/>
  <c r="L139" i="95"/>
  <c r="L140" i="95"/>
  <c r="L141" i="95"/>
  <c r="M141" i="95" s="1"/>
  <c r="L142" i="95"/>
  <c r="L143" i="95"/>
  <c r="L144" i="95"/>
  <c r="L145" i="95"/>
  <c r="M145" i="95" s="1"/>
  <c r="L146" i="95"/>
  <c r="L147" i="95"/>
  <c r="L148" i="95"/>
  <c r="L149" i="95"/>
  <c r="L150" i="95"/>
  <c r="M150" i="95" s="1"/>
  <c r="L151" i="95"/>
  <c r="M151" i="95" s="1"/>
  <c r="L152" i="95"/>
  <c r="M152" i="95" s="1"/>
  <c r="L153" i="95"/>
  <c r="M153" i="95" s="1"/>
  <c r="L154" i="95"/>
  <c r="M154" i="95" s="1"/>
  <c r="L155" i="95"/>
  <c r="L156" i="95"/>
  <c r="L157" i="95"/>
  <c r="M157" i="95" s="1"/>
  <c r="L158" i="95"/>
  <c r="M158" i="95" s="1"/>
  <c r="L159" i="95"/>
  <c r="L160" i="95"/>
  <c r="L161" i="95"/>
  <c r="L162" i="95"/>
  <c r="M162" i="95" s="1"/>
  <c r="L163" i="95"/>
  <c r="L164" i="95"/>
  <c r="M164" i="95" s="1"/>
  <c r="L165" i="95"/>
  <c r="M165" i="95" s="1"/>
  <c r="L166" i="95"/>
  <c r="M166" i="95" s="1"/>
  <c r="L167" i="95"/>
  <c r="L168" i="95"/>
  <c r="L169" i="95"/>
  <c r="L170" i="95"/>
  <c r="M170" i="95" s="1"/>
  <c r="L171" i="95"/>
  <c r="L172" i="95"/>
  <c r="M172" i="95" s="1"/>
  <c r="L173" i="95"/>
  <c r="M173" i="95" s="1"/>
  <c r="L174" i="95"/>
  <c r="L175" i="95"/>
  <c r="L176" i="95"/>
  <c r="L177" i="95"/>
  <c r="M177" i="95" s="1"/>
  <c r="L178" i="95"/>
  <c r="M178" i="95" s="1"/>
  <c r="L179" i="95"/>
  <c r="M179" i="95" s="1"/>
  <c r="L180" i="95"/>
  <c r="M180" i="95" s="1"/>
  <c r="L181" i="95"/>
  <c r="M181" i="95" s="1"/>
  <c r="L182" i="95"/>
  <c r="M182" i="95" s="1"/>
  <c r="L183" i="95"/>
  <c r="M183" i="95" s="1"/>
  <c r="L184" i="95"/>
  <c r="M184" i="95" s="1"/>
  <c r="L185" i="95"/>
  <c r="M185" i="95" s="1"/>
  <c r="L186" i="95"/>
  <c r="L187" i="95"/>
  <c r="L188" i="95"/>
  <c r="L189" i="95"/>
  <c r="M189" i="95" s="1"/>
  <c r="L190" i="95"/>
  <c r="M190" i="95" s="1"/>
  <c r="L191" i="95"/>
  <c r="M191" i="95" s="1"/>
  <c r="L192" i="95"/>
  <c r="M192" i="95" s="1"/>
  <c r="L193" i="95"/>
  <c r="M193" i="95" s="1"/>
  <c r="L194" i="95"/>
  <c r="M194" i="95" s="1"/>
  <c r="L195" i="95"/>
  <c r="M195" i="95" s="1"/>
  <c r="L196" i="95"/>
  <c r="M196" i="95" s="1"/>
  <c r="L197" i="95"/>
  <c r="L198" i="95"/>
  <c r="M198" i="95" s="1"/>
  <c r="L199" i="95"/>
  <c r="L200" i="95"/>
  <c r="L201" i="95"/>
  <c r="L202" i="95"/>
  <c r="M202" i="95" s="1"/>
  <c r="L203" i="95"/>
  <c r="L204" i="95"/>
  <c r="M204" i="95" s="1"/>
  <c r="L205" i="95"/>
  <c r="M205" i="95" s="1"/>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L220" i="95"/>
  <c r="L221" i="95"/>
  <c r="M221" i="95" s="1"/>
  <c r="L222" i="95"/>
  <c r="M222" i="95" s="1"/>
  <c r="L223" i="95"/>
  <c r="L224" i="95"/>
  <c r="L225" i="95"/>
  <c r="L226" i="95"/>
  <c r="L227" i="95"/>
  <c r="L228" i="95"/>
  <c r="M228" i="95" s="1"/>
  <c r="L229" i="95"/>
  <c r="M229" i="95" s="1"/>
  <c r="L230" i="95"/>
  <c r="M230" i="95" s="1"/>
  <c r="L231" i="95"/>
  <c r="L232" i="95"/>
  <c r="L233" i="95"/>
  <c r="M233" i="95" s="1"/>
  <c r="L234" i="95"/>
  <c r="M234" i="95" s="1"/>
  <c r="L235" i="95"/>
  <c r="M235" i="95" s="1"/>
  <c r="L236" i="95"/>
  <c r="M236" i="95" s="1"/>
  <c r="L237" i="95"/>
  <c r="M237" i="95" s="1"/>
  <c r="L238" i="95"/>
  <c r="L239" i="95"/>
  <c r="L240" i="95"/>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L252" i="95"/>
  <c r="L253" i="95"/>
  <c r="M253" i="95" s="1"/>
  <c r="L254" i="95"/>
  <c r="M254" i="95" s="1"/>
  <c r="L255" i="95"/>
  <c r="L256" i="95"/>
  <c r="L257" i="95"/>
  <c r="L258" i="95"/>
  <c r="L259" i="95"/>
  <c r="L260" i="95"/>
  <c r="L261" i="95"/>
  <c r="L262" i="95"/>
  <c r="M262" i="95" s="1"/>
  <c r="L263" i="95"/>
  <c r="L264" i="95"/>
  <c r="L265" i="95"/>
  <c r="L266" i="95"/>
  <c r="M266" i="95" s="1"/>
  <c r="L267" i="95"/>
  <c r="L268" i="95"/>
  <c r="M268" i="95" s="1"/>
  <c r="L269" i="95"/>
  <c r="M269" i="95" s="1"/>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L284" i="95"/>
  <c r="L285" i="95"/>
  <c r="M285" i="95" s="1"/>
  <c r="L286" i="95"/>
  <c r="M286" i="95" s="1"/>
  <c r="L287" i="95"/>
  <c r="M287" i="95" s="1"/>
  <c r="L288" i="95"/>
  <c r="L289" i="95"/>
  <c r="L290" i="95"/>
  <c r="M290" i="95" s="1"/>
  <c r="L291" i="95"/>
  <c r="M291" i="95" s="1"/>
  <c r="L292" i="95"/>
  <c r="M292" i="95" s="1"/>
  <c r="L293" i="95"/>
  <c r="L294" i="95"/>
  <c r="M294" i="95" s="1"/>
  <c r="L295" i="95"/>
  <c r="L296" i="95"/>
  <c r="L297" i="95"/>
  <c r="L298" i="95"/>
  <c r="M298" i="95" s="1"/>
  <c r="L299" i="95"/>
  <c r="L300" i="95"/>
  <c r="L301" i="95"/>
  <c r="M301" i="95" s="1"/>
  <c r="L302" i="95"/>
  <c r="L303" i="95"/>
  <c r="L304" i="95"/>
  <c r="L305" i="95"/>
  <c r="M305" i="95" s="1"/>
  <c r="L306" i="95"/>
  <c r="L307" i="95"/>
  <c r="L308" i="95"/>
  <c r="M308" i="95" s="1"/>
  <c r="L309" i="95"/>
  <c r="M309" i="95" s="1"/>
  <c r="L310" i="95"/>
  <c r="M310" i="95" s="1"/>
  <c r="L311" i="95"/>
  <c r="M311" i="95" s="1"/>
  <c r="L312" i="95"/>
  <c r="M312" i="95" s="1"/>
  <c r="L313" i="95"/>
  <c r="M313" i="95" s="1"/>
  <c r="L314" i="95"/>
  <c r="M314" i="95" s="1"/>
  <c r="L315" i="95"/>
  <c r="L316" i="95"/>
  <c r="L317" i="95"/>
  <c r="M317" i="95" s="1"/>
  <c r="L318" i="95"/>
  <c r="M318" i="95" s="1"/>
  <c r="L319" i="95"/>
  <c r="L320" i="95"/>
  <c r="L321" i="95"/>
  <c r="L322" i="95"/>
  <c r="M322" i="95" s="1"/>
  <c r="L323" i="95"/>
  <c r="M323" i="95" s="1"/>
  <c r="L324" i="95"/>
  <c r="M324" i="95" s="1"/>
  <c r="L325" i="95"/>
  <c r="M325" i="95" s="1"/>
  <c r="L326" i="95"/>
  <c r="M326" i="95" s="1"/>
  <c r="L327" i="95"/>
  <c r="L328" i="95"/>
  <c r="L329" i="95"/>
  <c r="M329" i="95" s="1"/>
  <c r="L330" i="95"/>
  <c r="M330" i="95" s="1"/>
  <c r="L331" i="95"/>
  <c r="M331" i="95" s="1"/>
  <c r="L332" i="95"/>
  <c r="M332" i="95" s="1"/>
  <c r="L333" i="95"/>
  <c r="M333" i="95" s="1"/>
  <c r="L334" i="95"/>
  <c r="L335" i="95"/>
  <c r="L336" i="95"/>
  <c r="L337" i="95"/>
  <c r="M337" i="95" s="1"/>
  <c r="L338" i="95"/>
  <c r="L339" i="95"/>
  <c r="L340" i="95"/>
  <c r="L341" i="95"/>
  <c r="L342" i="95"/>
  <c r="L343" i="95"/>
  <c r="L344" i="95"/>
  <c r="L345" i="95"/>
  <c r="M345" i="95" s="1"/>
  <c r="L346" i="95"/>
  <c r="M346" i="95" s="1"/>
  <c r="L347" i="95"/>
  <c r="L348" i="95"/>
  <c r="L349" i="95"/>
  <c r="M349" i="95" s="1"/>
  <c r="L350" i="95"/>
  <c r="M350" i="95" s="1"/>
  <c r="L351" i="95"/>
  <c r="M351" i="95" s="1"/>
  <c r="L352" i="95"/>
  <c r="M352" i="95" s="1"/>
  <c r="L353" i="95"/>
  <c r="M353" i="95" s="1"/>
  <c r="L354" i="95"/>
  <c r="M354" i="95" s="1"/>
  <c r="L355" i="95"/>
  <c r="M355" i="95" s="1"/>
  <c r="L356" i="95"/>
  <c r="M356" i="95" s="1"/>
  <c r="L357" i="95"/>
  <c r="L358" i="95"/>
  <c r="M358" i="95" s="1"/>
  <c r="L359" i="95"/>
  <c r="L360" i="95"/>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L379" i="95"/>
  <c r="L380" i="95"/>
  <c r="L381" i="95"/>
  <c r="M381" i="95" s="1"/>
  <c r="L382" i="95"/>
  <c r="M382" i="95" s="1"/>
  <c r="L383" i="95"/>
  <c r="L384" i="95"/>
  <c r="L385" i="95"/>
  <c r="L386" i="95"/>
  <c r="M386" i="95" s="1"/>
  <c r="L387" i="95"/>
  <c r="M387" i="95" s="1"/>
  <c r="L388" i="95"/>
  <c r="M388" i="95" s="1"/>
  <c r="L389" i="95"/>
  <c r="M389" i="95" s="1"/>
  <c r="L390" i="95"/>
  <c r="M390" i="95" s="1"/>
  <c r="L391" i="95"/>
  <c r="L392" i="95"/>
  <c r="L393" i="95"/>
  <c r="L394" i="95"/>
  <c r="M394" i="95" s="1"/>
  <c r="L395" i="95"/>
  <c r="L396" i="95"/>
  <c r="L397" i="95"/>
  <c r="M397" i="95" s="1"/>
  <c r="L398" i="95"/>
  <c r="L399" i="95"/>
  <c r="M399" i="95" s="1"/>
  <c r="L400" i="95"/>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L412" i="95"/>
  <c r="L413" i="95"/>
  <c r="M413" i="95" s="1"/>
  <c r="L414" i="95"/>
  <c r="M414" i="95" s="1"/>
  <c r="L415" i="95"/>
  <c r="L416" i="95"/>
  <c r="L417" i="95"/>
  <c r="L418" i="95"/>
  <c r="M2" i="95"/>
  <c r="M3" i="95"/>
  <c r="M5" i="95"/>
  <c r="M7" i="95"/>
  <c r="M8" i="95"/>
  <c r="M9" i="95"/>
  <c r="M14" i="95"/>
  <c r="M26" i="95"/>
  <c r="M27" i="95"/>
  <c r="M28" i="95"/>
  <c r="M31" i="95"/>
  <c r="M37" i="95"/>
  <c r="M39" i="95"/>
  <c r="M40" i="95"/>
  <c r="M41" i="95"/>
  <c r="M43" i="95"/>
  <c r="M46" i="95"/>
  <c r="M59" i="95"/>
  <c r="M60" i="95"/>
  <c r="M63" i="95"/>
  <c r="M64" i="95"/>
  <c r="M65" i="95"/>
  <c r="M66" i="95"/>
  <c r="M67" i="95"/>
  <c r="M68" i="95"/>
  <c r="M69" i="95"/>
  <c r="M78" i="95"/>
  <c r="M91" i="95"/>
  <c r="M92" i="95"/>
  <c r="M95" i="95"/>
  <c r="M96" i="95"/>
  <c r="M97" i="95"/>
  <c r="M98" i="95"/>
  <c r="M99" i="95"/>
  <c r="M100" i="95"/>
  <c r="M101" i="95"/>
  <c r="M103" i="95"/>
  <c r="M104" i="95"/>
  <c r="M105" i="95"/>
  <c r="M107" i="95"/>
  <c r="M108" i="95"/>
  <c r="M110" i="95"/>
  <c r="M123" i="95"/>
  <c r="M124" i="95"/>
  <c r="M128" i="95"/>
  <c r="M133" i="95"/>
  <c r="M135" i="95"/>
  <c r="M136" i="95"/>
  <c r="M137" i="95"/>
  <c r="M139" i="95"/>
  <c r="M140" i="95"/>
  <c r="M142" i="95"/>
  <c r="M143" i="95"/>
  <c r="M144" i="95"/>
  <c r="M146" i="95"/>
  <c r="M147" i="95"/>
  <c r="M148" i="95"/>
  <c r="M149" i="95"/>
  <c r="M155" i="95"/>
  <c r="M156" i="95"/>
  <c r="M159" i="95"/>
  <c r="M160" i="95"/>
  <c r="M161" i="95"/>
  <c r="M163" i="95"/>
  <c r="M167" i="95"/>
  <c r="M168" i="95"/>
  <c r="M169" i="95"/>
  <c r="M171" i="95"/>
  <c r="M174" i="95"/>
  <c r="M175" i="95"/>
  <c r="M176" i="95"/>
  <c r="M186" i="95"/>
  <c r="M187" i="95"/>
  <c r="M188" i="95"/>
  <c r="M197" i="95"/>
  <c r="M199" i="95"/>
  <c r="M200" i="95"/>
  <c r="M201" i="95"/>
  <c r="M203" i="95"/>
  <c r="M219" i="95"/>
  <c r="M220" i="95"/>
  <c r="M223" i="95"/>
  <c r="M224" i="95"/>
  <c r="M225" i="95"/>
  <c r="M226" i="95"/>
  <c r="M227" i="95"/>
  <c r="M231" i="95"/>
  <c r="M232" i="95"/>
  <c r="M238" i="95"/>
  <c r="M239" i="95"/>
  <c r="M240" i="95"/>
  <c r="M251" i="95"/>
  <c r="M252" i="95"/>
  <c r="M255" i="95"/>
  <c r="M256" i="95"/>
  <c r="M257" i="95"/>
  <c r="M258" i="95"/>
  <c r="M259" i="95"/>
  <c r="M260" i="95"/>
  <c r="M261" i="95"/>
  <c r="M263" i="95"/>
  <c r="M264" i="95"/>
  <c r="M265" i="95"/>
  <c r="M267" i="95"/>
  <c r="M283" i="95"/>
  <c r="M284" i="95"/>
  <c r="M288" i="95"/>
  <c r="M289" i="95"/>
  <c r="M293" i="95"/>
  <c r="M295" i="95"/>
  <c r="M296" i="95"/>
  <c r="M297" i="95"/>
  <c r="M299" i="95"/>
  <c r="M300" i="95"/>
  <c r="M302" i="95"/>
  <c r="M303" i="95"/>
  <c r="M304" i="95"/>
  <c r="M306" i="95"/>
  <c r="M307" i="95"/>
  <c r="M315" i="95"/>
  <c r="M316" i="95"/>
  <c r="M319" i="95"/>
  <c r="M320" i="95"/>
  <c r="M321" i="95"/>
  <c r="M327" i="95"/>
  <c r="M328" i="95"/>
  <c r="M334" i="95"/>
  <c r="M335" i="95"/>
  <c r="M336" i="95"/>
  <c r="M338" i="95"/>
  <c r="M339" i="95"/>
  <c r="M340" i="95"/>
  <c r="M341" i="95"/>
  <c r="M342" i="95"/>
  <c r="M343" i="95"/>
  <c r="M344" i="95"/>
  <c r="M347" i="95"/>
  <c r="M348" i="95"/>
  <c r="M357" i="95"/>
  <c r="M359" i="95"/>
  <c r="M360" i="95"/>
  <c r="M378" i="95"/>
  <c r="M379" i="95"/>
  <c r="M380" i="95"/>
  <c r="M383" i="95"/>
  <c r="M384" i="95"/>
  <c r="M385" i="95"/>
  <c r="M391" i="95"/>
  <c r="M392" i="95"/>
  <c r="M393" i="95"/>
  <c r="M395" i="95"/>
  <c r="M396" i="95"/>
  <c r="M398" i="95"/>
  <c r="M400" i="95"/>
  <c r="M411" i="95"/>
  <c r="M412" i="95"/>
  <c r="M415" i="95"/>
  <c r="M416" i="95"/>
  <c r="M417" i="95"/>
  <c r="M418" i="95"/>
  <c r="G97" i="8"/>
  <c r="B20" i="8"/>
  <c r="A37" i="8"/>
  <c r="AL1" i="77" a="1"/>
  <c r="AL1" i="77" s="1"/>
  <c r="K320" i="95" l="1"/>
  <c r="K211" i="95"/>
  <c r="K212" i="95"/>
  <c r="V21" i="8"/>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D19" i="4"/>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X2" i="95"/>
  <c r="C2" i="14"/>
  <c r="E1" i="14"/>
  <c r="E1" i="13"/>
  <c r="E2" i="15"/>
  <c r="E1" i="15"/>
  <c r="C1" i="15"/>
  <c r="E2" i="13"/>
  <c r="C2" i="15"/>
  <c r="E2" i="14"/>
  <c r="C1" i="13"/>
  <c r="C2" i="13"/>
  <c r="C1" i="14"/>
  <c r="G93" i="8"/>
  <c r="AL2" i="77" a="1"/>
  <c r="E2" i="96" a="1"/>
  <c r="B10" i="26"/>
  <c r="B11" i="26"/>
  <c r="Q2" i="29"/>
  <c r="D5" i="8" s="1"/>
  <c r="E19" i="4"/>
  <c r="K19" i="4"/>
  <c r="N19" i="4"/>
  <c r="AL2" i="77" l="1"/>
  <c r="L9" i="26"/>
  <c r="G94" i="8"/>
  <c r="E6" i="4"/>
  <c r="K61" i="8"/>
  <c r="F60" i="8"/>
  <c r="L60" i="8"/>
  <c r="D30" i="26"/>
  <c r="B54" i="26"/>
  <c r="E2" i="96"/>
  <c r="D19" i="8"/>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s="1"/>
  <c r="C25" i="5" l="1"/>
  <c r="L4" i="8"/>
  <c r="L5" i="8"/>
  <c r="S29" i="8" a="1"/>
  <c r="S29" i="8" l="1"/>
  <c r="L6" i="8"/>
  <c r="R26" i="8" a="1"/>
  <c r="R36" i="8" a="1"/>
  <c r="S31" i="8" a="1"/>
  <c r="R34" i="8" a="1"/>
  <c r="S17" i="8" a="1"/>
  <c r="S27" i="8" a="1"/>
  <c r="S36" i="8" a="1"/>
  <c r="R20" i="8" a="1"/>
  <c r="R27" i="8" a="1"/>
  <c r="R39" i="8" a="1"/>
  <c r="R43" i="8" a="1"/>
  <c r="R8" i="8" a="1"/>
  <c r="S42" i="8" a="1"/>
  <c r="R41" i="8" a="1"/>
  <c r="S5" i="8" a="1"/>
  <c r="R25" i="8" a="1"/>
  <c r="S20" i="8" a="1"/>
  <c r="S22" i="8" a="1"/>
  <c r="R24" i="8" a="1"/>
  <c r="S44" i="8" a="1"/>
  <c r="S25" i="8" a="1"/>
  <c r="S28" i="8" a="1"/>
  <c r="S39" i="8" a="1"/>
  <c r="R31" i="8" a="1"/>
  <c r="R40" i="8" a="1"/>
  <c r="S34" i="8" a="1"/>
  <c r="R11" i="8" a="1"/>
  <c r="S24" i="8" a="1"/>
  <c r="S30" i="8" a="1"/>
  <c r="S32" i="8" a="1"/>
  <c r="R38" i="8" a="1"/>
  <c r="S23" i="8" a="1"/>
  <c r="S12" i="8" a="1"/>
  <c r="R33" i="8" a="1"/>
  <c r="R44" i="8" a="1"/>
  <c r="R10" i="8" a="1"/>
  <c r="S33" i="8" a="1"/>
  <c r="S16" i="8" a="1"/>
  <c r="S41" i="8" a="1"/>
  <c r="S35" i="8" a="1"/>
  <c r="S13" i="8" a="1"/>
  <c r="R29" i="8" a="1"/>
  <c r="S9" i="8" a="1"/>
  <c r="R21" i="8" a="1"/>
  <c r="S15" i="8" a="1"/>
  <c r="R13" i="8" a="1"/>
  <c r="S6" i="8" a="1"/>
  <c r="R9" i="8" a="1"/>
  <c r="S38" i="8" a="1"/>
  <c r="R14" i="8" a="1"/>
  <c r="S40" i="8" a="1"/>
  <c r="S43" i="8" a="1"/>
  <c r="S11" i="8" a="1"/>
  <c r="R15" i="8" a="1"/>
  <c r="R5" i="8" a="1"/>
  <c r="R42" i="8" a="1"/>
  <c r="S18" i="8" a="1"/>
  <c r="R16" i="8" a="1"/>
  <c r="S7" i="8" a="1"/>
  <c r="S26" i="8" a="1"/>
  <c r="S10" i="8" a="1"/>
  <c r="R6" i="8" a="1"/>
  <c r="R32" i="8" a="1"/>
  <c r="R23" i="8" a="1"/>
  <c r="S19" i="8" a="1"/>
  <c r="R17" i="8" a="1"/>
  <c r="S37" i="8" a="1"/>
  <c r="R35" i="8" a="1"/>
  <c r="R19" i="8" a="1"/>
  <c r="S8" i="8" a="1"/>
  <c r="S21" i="8" a="1"/>
  <c r="R30" i="8" a="1"/>
  <c r="R7" i="8" a="1"/>
  <c r="R12" i="8" a="1"/>
  <c r="R37" i="8" a="1"/>
  <c r="R28" i="8" a="1"/>
  <c r="R18" i="8" a="1"/>
  <c r="R22" i="8" a="1"/>
  <c r="S14"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D29" i="8" l="1"/>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N13" i="13" l="1"/>
  <c r="M13" i="13"/>
  <c r="J7" i="13"/>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<sst xmlns="http://schemas.openxmlformats.org/spreadsheetml/2006/main" count="1933" uniqueCount="968">
  <si>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</si>
  <si>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</si>
  <si>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</si>
  <si>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</si>
  <si>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</si>
  <si>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</si>
  <si>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</si>
  <si>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</si>
  <si>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</si>
  <si>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</si>
  <si>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</si>
  <si>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</si>
  <si>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</si>
  <si>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</si>
  <si>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</si>
  <si>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</si>
  <si>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</si>
  <si>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</si>
  <si>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</si>
  <si>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</si>
  <si>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</si>
  <si>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</si>
  <si>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</si>
  <si>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</si>
  <si>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</si>
  <si>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</si>
  <si>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</si>
  <si>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</si>
  <si>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</si>
  <si>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</si>
  <si>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</si>
  <si>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</si>
  <si>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</si>
  <si>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</si>
  <si>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</si>
  <si>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</si>
  <si>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</si>
  <si>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</si>
  <si>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</si>
  <si>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</si>
  <si>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</si>
  <si>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</si>
  <si>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</si>
  <si>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</si>
  <si>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</si>
  <si>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</si>
  <si>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</si>
  <si>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</si>
  <si>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</si>
  <si>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</si>
  <si>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</si>
  <si>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</si>
  <si>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</si>
  <si>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</si>
  <si>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</si>
  <si>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</si>
  <si>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</si>
  <si>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</si>
  <si>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</si>
  <si>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</si>
  <si>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</si>
  <si>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</si>
  <si>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</si>
  <si>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</si>
  <si>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</si>
  <si>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</si>
  <si>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</si>
  <si>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</si>
  <si>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</si>
  <si>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</si>
  <si>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</si>
  <si>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</si>
  <si>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</si>
  <si>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</si>
  <si>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</si>
  <si>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</si>
  <si>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</si>
  <si>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</si>
  <si>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</si>
  <si>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</si>
  <si>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</si>
  <si>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</si>
  <si>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</si>
  <si>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</si>
  <si>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</si>
  <si>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</si>
  <si>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</si>
  <si>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</si>
  <si>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</si>
  <si>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</si>
  <si>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</si>
  <si>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</si>
  <si>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</si>
  <si>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</si>
  <si>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</si>
  <si>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</si>
  <si>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</si>
  <si>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</si>
  <si>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</si>
  <si>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</si>
  <si>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</si>
  <si>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</si>
  <si>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</si>
  <si>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</si>
  <si>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</si>
  <si>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</si>
  <si>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</si>
  <si>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</si>
  <si>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</si>
  <si>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</si>
  <si>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</si>
  <si>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</si>
  <si>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</si>
  <si>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</si>
  <si>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</si>
  <si>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</si>
  <si>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</si>
  <si>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</si>
  <si>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</si>
  <si>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</si>
  <si>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</si>
  <si>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</si>
  <si>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</si>
  <si>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</si>
  <si>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</si>
  <si>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</si>
  <si>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</si>
  <si>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</si>
  <si>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</si>
  <si>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</si>
  <si>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</si>
  <si>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</si>
  <si>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</si>
  <si>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</si>
  <si>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</si>
  <si>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</si>
  <si>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</si>
  <si>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</si>
  <si>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</si>
  <si>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</si>
  <si>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</si>
  <si>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</si>
  <si>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</si>
  <si>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</si>
  <si>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</si>
  <si>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</si>
  <si>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</si>
  <si>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</si>
  <si>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</si>
  <si>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</si>
  <si>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</si>
  <si>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</si>
  <si>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</si>
  <si>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</si>
  <si>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</si>
  <si>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</si>
  <si>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</si>
  <si>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</si>
  <si>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</si>
  <si>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</si>
  <si>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</si>
  <si>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</si>
  <si>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</si>
  <si>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</si>
  <si>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</si>
  <si>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</si>
  <si>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</si>
  <si>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</si>
  <si>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</si>
  <si>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</si>
  <si>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</si>
  <si>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</si>
  <si>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</si>
  <si>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</si>
  <si>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</si>
  <si>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</si>
  <si>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</si>
  <si>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</si>
  <si>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</si>
  <si>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</si>
  <si>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</si>
  <si>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</si>
  <si>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</si>
  <si>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</si>
  <si>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</si>
  <si>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</si>
  <si>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</si>
  <si>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</si>
  <si>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</si>
  <si>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</si>
  <si>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</si>
  <si>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</si>
  <si>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</si>
  <si>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</si>
  <si>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</si>
  <si>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</si>
  <si>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</si>
  <si>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</si>
  <si>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</si>
  <si>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</si>
  <si>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</si>
  <si>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</si>
  <si>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</si>
  <si>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</si>
  <si>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</si>
  <si>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</si>
  <si>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</si>
  <si>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</si>
  <si>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</si>
  <si>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</si>
  <si>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</si>
  <si>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</si>
  <si>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</si>
  <si>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</si>
  <si>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</si>
  <si>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</si>
  <si>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</si>
  <si>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</si>
  <si>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</si>
  <si>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</si>
  <si>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</si>
  <si>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</si>
  <si>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</si>
  <si>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</si>
  <si>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</si>
  <si>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</si>
  <si>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</si>
  <si>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</si>
  <si>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</si>
  <si>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</si>
  <si>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</si>
  <si>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</si>
  <si>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</si>
  <si>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</si>
  <si>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</si>
  <si>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</si>
  <si>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</si>
  <si>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</si>
  <si>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</si>
  <si>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</si>
  <si>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</si>
  <si>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</si>
  <si>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</si>
  <si>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</si>
  <si>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</si>
  <si>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</si>
  <si>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</si>
  <si>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</si>
  <si>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</si>
  <si>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</si>
  <si>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</si>
  <si>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</si>
  <si>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</si>
  <si>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</si>
  <si>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</si>
  <si>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</si>
  <si>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</si>
  <si>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</si>
  <si>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</si>
  <si>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</si>
  <si>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</si>
  <si>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</si>
  <si>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</si>
  <si>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</si>
  <si>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</si>
  <si>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</si>
  <si>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</si>
  <si>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</si>
  <si>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</si>
  <si>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</si>
  <si>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</si>
  <si>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</si>
  <si>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</si>
  <si>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</si>
  <si>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</si>
  <si>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</si>
  <si>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</si>
  <si>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</si>
  <si>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</si>
  <si>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</si>
  <si>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</si>
  <si>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</si>
  <si>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</si>
  <si>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</si>
  <si>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</si>
  <si>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</si>
  <si>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</si>
  <si>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</si>
  <si>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</si>
  <si>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</si>
  <si>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</si>
  <si>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</si>
  <si>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</si>
  <si>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</si>
  <si>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</si>
  <si>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</si>
  <si>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</si>
  <si>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</si>
  <si>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</si>
  <si>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</si>
  <si>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</si>
  <si>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</si>
  <si>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</si>
  <si>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</si>
  <si>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</si>
  <si>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</si>
  <si>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</si>
  <si>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</si>
  <si>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</si>
  <si>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</si>
  <si>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</si>
  <si>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</si>
  <si>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</si>
  <si>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</si>
  <si>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</si>
  <si>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</si>
  <si>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</si>
  <si>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</si>
  <si>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</si>
  <si>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</si>
  <si>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</si>
  <si>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</si>
  <si>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</si>
  <si>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</si>
  <si>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</si>
  <si>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</si>
  <si>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</si>
  <si>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</si>
  <si>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</si>
  <si>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</si>
  <si>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</si>
  <si>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</si>
  <si>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</si>
  <si>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</si>
  <si>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</si>
  <si>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</si>
  <si>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</si>
  <si>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</si>
  <si>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</si>
  <si>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</si>
  <si>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</si>
  <si>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</si>
  <si>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</si>
  <si>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</si>
  <si>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</si>
  <si>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</si>
  <si>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</si>
  <si>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</si>
  <si>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</si>
  <si>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</si>
  <si>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</si>
  <si>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</si>
  <si>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</si>
  <si>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</si>
  <si>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</si>
  <si>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</si>
  <si>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</si>
  <si>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</si>
  <si>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</si>
  <si>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</si>
  <si>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</si>
  <si>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</si>
  <si>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</si>
  <si>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</si>
  <si>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</si>
  <si>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</si>
  <si>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</si>
  <si>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</si>
  <si>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</si>
  <si>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</si>
  <si>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</si>
  <si>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</si>
  <si>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</si>
  <si>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</si>
  <si>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</si>
  <si>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</si>
  <si>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</si>
  <si>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</si>
  <si>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</si>
  <si>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</si>
  <si>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</si>
  <si>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</si>
  <si>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</si>
  <si>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</si>
  <si>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</si>
  <si>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</si>
  <si>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</si>
  <si>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</si>
  <si>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</si>
  <si>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</si>
  <si>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</si>
  <si>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</si>
  <si>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</si>
  <si>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</si>
  <si>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</si>
  <si>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</si>
  <si>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</si>
  <si>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</si>
  <si>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</si>
  <si>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</si>
  <si>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</si>
  <si>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</si>
  <si>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</si>
  <si>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</si>
  <si>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</si>
  <si>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</si>
  <si>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</si>
  <si>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</si>
  <si>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</si>
  <si>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</si>
  <si>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</si>
  <si>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</si>
  <si>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</si>
  <si>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</si>
  <si>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</si>
  <si>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</si>
  <si>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</si>
  <si>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</si>
  <si>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</si>
  <si>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</si>
  <si>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</si>
  <si>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</si>
  <si>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</si>
  <si>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</si>
  <si>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</si>
  <si>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</si>
  <si>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</si>
  <si>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</si>
  <si>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</si>
  <si>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</si>
  <si>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</si>
  <si>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</si>
  <si>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</si>
  <si>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</si>
  <si>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</si>
  <si>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</si>
  <si>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</si>
  <si>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</si>
  <si>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</si>
  <si>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</si>
  <si>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</si>
  <si>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</si>
  <si>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</si>
  <si>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</si>
  <si>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</si>
  <si>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</si>
  <si>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</si>
  <si>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</si>
  <si>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</si>
  <si>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</si>
  <si>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</si>
  <si>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</si>
  <si>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</si>
  <si>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</si>
  <si>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</si>
  <si>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</si>
  <si>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</si>
  <si>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</si>
  <si>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</si>
  <si>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</si>
  <si>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</si>
  <si>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</si>
  <si>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</si>
  <si>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</si>
  <si>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</si>
  <si>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</si>
  <si>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</si>
  <si>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</si>
  <si>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</si>
  <si>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</si>
  <si>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</si>
  <si>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</si>
  <si>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</si>
  <si>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</si>
  <si>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</si>
  <si>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</si>
  <si>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</si>
  <si>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</si>
  <si>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</si>
  <si>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</si>
  <si>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</si>
  <si>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</si>
  <si>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</si>
  <si>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</si>
  <si>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</si>
  <si>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</si>
  <si>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</si>
  <si>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</si>
  <si>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</si>
  <si>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</si>
  <si>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</si>
  <si>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</si>
  <si>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</si>
  <si>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</si>
  <si>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</si>
  <si>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</si>
  <si>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</si>
  <si>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</si>
  <si>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</si>
  <si>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</si>
  <si>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</si>
  <si>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</si>
  <si>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</si>
  <si>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</si>
  <si>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</si>
  <si>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</si>
  <si>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</si>
  <si>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</si>
  <si>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</si>
  <si>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</si>
  <si>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</si>
  <si>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</si>
  <si>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</si>
  <si>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</si>
  <si>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</si>
  <si>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</si>
  <si>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</si>
  <si>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</si>
  <si>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</si>
  <si>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</si>
  <si>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</si>
  <si>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</si>
  <si>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</si>
  <si>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</si>
  <si>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</si>
  <si>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</si>
  <si>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</si>
  <si>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</si>
  <si>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</si>
  <si>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</si>
  <si>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</si>
  <si>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</si>
  <si>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</si>
  <si>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</si>
  <si>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</si>
  <si>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</si>
  <si>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</si>
  <si>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</si>
  <si>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</si>
  <si>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</si>
  <si>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</si>
  <si>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</si>
  <si>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</si>
  <si>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</si>
  <si>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</si>
  <si>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</si>
  <si>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</si>
  <si>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</si>
  <si>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</si>
  <si>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</si>
  <si>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</si>
  <si>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</si>
  <si>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</si>
  <si>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</si>
  <si>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</si>
  <si>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</si>
  <si>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</si>
  <si>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</si>
  <si>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</si>
  <si>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</si>
  <si>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</si>
  <si>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</si>
  <si>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</si>
  <si>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</si>
  <si>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</si>
  <si>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</si>
  <si>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</si>
  <si>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</si>
  <si>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</si>
  <si>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</si>
  <si>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</si>
  <si>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</si>
  <si>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</si>
  <si>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</si>
  <si>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</si>
  <si>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</si>
  <si>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</si>
  <si>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</si>
  <si>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</si>
  <si>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</si>
  <si>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</si>
  <si>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</si>
  <si>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</si>
  <si>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</si>
  <si>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</si>
  <si>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</si>
  <si>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</si>
  <si>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</si>
  <si>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</si>
  <si>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</si>
  <si>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</si>
  <si>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</si>
  <si>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</si>
  <si>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</si>
  <si>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</si>
  <si>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</si>
  <si>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</si>
  <si>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</si>
  <si>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</si>
  <si>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</si>
  <si>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</si>
  <si>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</si>
  <si>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</si>
  <si>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</si>
  <si>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</si>
  <si>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</si>
  <si>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</si>
  <si>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</si>
  <si>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</si>
  <si>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</si>
  <si>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</si>
  <si>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</si>
  <si>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</si>
  <si>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</si>
  <si>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</si>
  <si>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</si>
  <si>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</si>
  <si>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</si>
  <si>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</si>
  <si>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</si>
  <si>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</si>
  <si>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</si>
  <si>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</si>
  <si>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</si>
  <si>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</si>
  <si>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</si>
  <si>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</si>
  <si>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</si>
  <si>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</si>
  <si>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</si>
  <si>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</si>
  <si>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</si>
  <si>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</si>
  <si>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</si>
  <si>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</si>
  <si>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</si>
  <si>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</si>
  <si>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</si>
  <si>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</si>
  <si>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</si>
  <si>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</si>
  <si>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</si>
  <si>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</si>
  <si>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</si>
  <si>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</si>
  <si>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</si>
  <si>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</si>
  <si>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</si>
  <si>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</si>
  <si>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</si>
  <si>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</si>
  <si>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</si>
  <si>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</si>
  <si>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</si>
  <si>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</si>
  <si>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</si>
  <si>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</si>
  <si>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</si>
  <si>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</si>
  <si>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</si>
  <si>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</si>
  <si>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</si>
  <si>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</si>
  <si>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</si>
  <si>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</si>
  <si>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</si>
  <si>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</si>
  <si>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</si>
  <si>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</si>
  <si>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</si>
  <si>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</si>
  <si>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</si>
  <si>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</si>
  <si>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</si>
  <si>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</si>
  <si>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</si>
  <si>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</si>
  <si>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</si>
  <si>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</si>
  <si>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</si>
  <si>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</si>
  <si>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</si>
  <si>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</si>
  <si>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</si>
  <si>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</si>
  <si>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</si>
  <si>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</si>
  <si>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</si>
  <si>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</si>
  <si>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</si>
  <si>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</si>
  <si>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</si>
  <si>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</si>
  <si>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</si>
  <si>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</si>
  <si>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</si>
  <si>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</si>
  <si>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</si>
  <si>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</si>
  <si>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</si>
  <si>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</si>
  <si>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</si>
  <si>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</si>
  <si>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</si>
  <si>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</si>
  <si>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</si>
  <si>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</si>
  <si>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</si>
  <si>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</si>
  <si>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</si>
  <si>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</si>
  <si>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</si>
  <si>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</si>
  <si>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</si>
  <si>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</si>
  <si>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</si>
  <si>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</si>
  <si>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</si>
  <si>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</si>
  <si>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</si>
  <si>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</si>
  <si>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</si>
  <si>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</si>
  <si>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</si>
  <si>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</si>
  <si>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</si>
  <si>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</si>
  <si>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</si>
  <si>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</si>
  <si>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</si>
  <si>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</si>
  <si>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</si>
  <si>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</si>
  <si>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</si>
  <si>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</si>
  <si>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</si>
  <si>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</si>
  <si>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</si>
  <si>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</si>
  <si>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</si>
  <si>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</si>
  <si>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</si>
  <si>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</si>
  <si>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</si>
  <si>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</si>
  <si>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</si>
  <si>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</si>
  <si>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</si>
  <si>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</si>
  <si>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</si>
  <si>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</si>
  <si>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</si>
  <si>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</si>
  <si>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</si>
  <si>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</si>
  <si>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</si>
  <si>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</si>
  <si>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</si>
  <si>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</si>
  <si>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</si>
  <si>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</si>
  <si>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</si>
  <si>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</si>
  <si>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</si>
  <si>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</si>
  <si>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</si>
  <si>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</si>
  <si>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</si>
  <si>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</si>
  <si>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</si>
  <si>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</si>
  <si>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</si>
  <si>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</si>
  <si>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</si>
  <si>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</si>
  <si>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</si>
  <si>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</si>
  <si>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</si>
  <si>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</si>
  <si>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</si>
  <si>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</si>
  <si>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</si>
  <si>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</si>
  <si>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</si>
  <si>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</si>
  <si>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</si>
  <si>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</si>
  <si>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</si>
  <si>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</si>
  <si>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</si>
  <si>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</si>
  <si>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</si>
  <si>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</si>
  <si>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</si>
  <si>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</si>
  <si>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</si>
  <si>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</si>
  <si>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</si>
  <si>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</si>
  <si>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</si>
  <si>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</si>
  <si>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</si>
  <si>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</si>
  <si>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</si>
  <si>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</si>
  <si>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</si>
  <si>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</si>
  <si>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</si>
  <si>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</si>
  <si>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</si>
  <si>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</si>
  <si>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</si>
  <si>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</si>
  <si>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</si>
  <si>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</si>
  <si>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</si>
  <si>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</si>
  <si>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</si>
  <si>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</si>
  <si>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</si>
  <si>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</si>
  <si>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</si>
  <si>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</si>
  <si>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</si>
  <si>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</si>
  <si>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</si>
  <si>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</si>
  <si>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</si>
  <si>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</si>
  <si>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</si>
  <si>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</si>
  <si>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</si>
  <si>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</si>
  <si>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</si>
  <si>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</si>
  <si>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</si>
  <si>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</si>
  <si>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</si>
  <si>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</si>
  <si>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</si>
  <si>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</si>
  <si>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</si>
  <si>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</si>
  <si>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</si>
  <si>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</si>
  <si>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</si>
  <si>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</si>
  <si>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</si>
  <si>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</si>
  <si>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</si>
  <si>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</si>
  <si>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</si>
  <si>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</si>
  <si>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</si>
  <si>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</si>
  <si>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</si>
  <si>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</si>
  <si>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</si>
  <si>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</si>
  <si>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</si>
  <si>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</si>
  <si>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</si>
  <si>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</si>
  <si>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</si>
  <si>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</si>
  <si>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</si>
  <si>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</si>
  <si>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</si>
  <si>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</si>
  <si>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</si>
  <si>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</si>
  <si>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</si>
  <si>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</si>
  <si>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</si>
  <si>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</si>
  <si>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</si>
  <si>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</si>
  <si>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</si>
  <si>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</si>
  <si>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</si>
  <si>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</si>
  <si>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</si>
  <si>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</si>
  <si>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</si>
  <si>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</si>
  <si>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</si>
  <si>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</si>
  <si>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</si>
  <si>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</si>
  <si>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</si>
  <si>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</si>
  <si>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</si>
  <si>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</si>
  <si>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</si>
  <si>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</si>
  <si>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</si>
  <si>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</si>
  <si>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</si>
  <si>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</si>
  <si>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</si>
  <si>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</si>
  <si>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</si>
  <si>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</si>
  <si>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</si>
  <si>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</si>
  <si>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</si>
  <si>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</si>
  <si>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</si>
  <si>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</si>
  <si>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</si>
  <si>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</si>
  <si>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</si>
  <si>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</si>
  <si>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</si>
  <si>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</si>
  <si>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</si>
  <si>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</si>
  <si>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</si>
  <si>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</si>
  <si>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</si>
  <si>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</si>
  <si>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</si>
  <si>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</si>
  <si>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</si>
  <si>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</si>
  <si>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</si>
  <si>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</si>
  <si>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</si>
  <si>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</si>
  <si>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</si>
  <si>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</si>
  <si>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</si>
  <si>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</si>
  <si>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</si>
  <si>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</si>
  <si>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</si>
  <si>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</si>
  <si>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</si>
  <si>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</si>
  <si>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</si>
  <si>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</si>
  <si>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</si>
  <si>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</si>
  <si>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</si>
  <si>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</si>
  <si>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</si>
  <si>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</si>
  <si>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</si>
  <si>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</si>
  <si>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</si>
  <si>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</si>
  <si>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</si>
  <si>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07.17.25</t>
  </si>
  <si>
    <t>RangeMin</t>
  </si>
  <si>
    <t>RangeMax</t>
  </si>
  <si>
    <t>TolMin</t>
  </si>
  <si>
    <t>TolMax</t>
  </si>
  <si>
    <t>TolResolution</t>
  </si>
  <si>
    <t>Unit</t>
  </si>
  <si>
    <t>Flags</t>
  </si>
  <si>
    <t>TolMinText</t>
  </si>
  <si>
    <t>TolMaxText</t>
  </si>
  <si>
    <t>TolText</t>
  </si>
  <si>
    <t>RangeMaxText</t>
  </si>
  <si>
    <t>RangeText</t>
  </si>
  <si>
    <t>Ranges</t>
  </si>
  <si>
    <t>Tolerances</t>
  </si>
  <si>
    <t>On-Site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</si>
</sst>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4">
    <dxf>
      <numFmt numFmtId="184" formatCode="[$-F400]h:mm:ss\ AM/PM"/>
    </dxf>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fill>
        <patternFill patternType="darkUp">
          <fgColor theme="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6"/>
    <tableColumn id="8" xr3:uid="{7C740CB9-37DA-435E-A87E-AF050E31623C}" uniqueName="8" name="wire_roll_cert_number" queryTableFieldId="8" dataDxfId="183"/>
    <tableColumn id="7" xr3:uid="{297A4F29-F6E9-4BD3-A7A2-5F1039480BAE}" uniqueName="7" name="certificate_number" queryTableFieldId="7" dataDxfId="182"/>
    <tableColumn id="6" xr3:uid="{B359FFDA-2633-4F67-9E7E-BA0BB88ADA64}" uniqueName="6" name="next_service_date" queryTableFieldId="6" dataDxfId="5"/>
    <tableColumn id="5" xr3:uid="{412A70E1-7452-417E-A3A9-BD3499EBD33C}" uniqueName="5" name="service_date" queryTableFieldId="5" dataDxfId="4"/>
    <tableColumn id="4" xr3:uid="{44F03B5B-6C09-4D5C-B2E2-D809B4EDF2B0}" uniqueName="4" name="custom_order_number" queryTableFieldId="4" dataDxfId="181"/>
    <tableColumn id="3" xr3:uid="{D963BD5C-EE98-4CDD-ABAE-5315BBDA1135}" uniqueName="3" name="asset_tag" queryTableFieldId="3" dataDxfId="180"/>
    <tableColumn id="2" xr3:uid="{D07D770F-21F7-425E-8CCA-AA85FFD513A3}" uniqueName="2" name="serial_number" queryTableFieldId="2" dataDxfId="179"/>
    <tableColumn id="1" xr3:uid="{4CB1C976-73DA-4579-B7F8-9D891581EA5A}" uniqueName="1" name="asset_id" queryTableFieldId="1"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8"/>
    <tableColumn id="2" xr3:uid="{44100894-4C9D-4514-95AC-618BC19E5917}" uniqueName="2" name="Temp" queryTableFieldId="4" dataDxfId="177"/>
    <tableColumn id="3" xr3:uid="{ECB904AC-F679-49D7-806F-647089E4822A}" uniqueName="3" name="Offset" queryTableFieldId="5" dataDxfId="17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5"/>
    <tableColumn id="3" xr3:uid="{5A7694DA-28F6-45C3-AA3A-8F5C42BC36CB}" uniqueName="3" name="login_email" queryTableFieldId="12"/>
    <tableColumn id="4" xr3:uid="{E8A7333A-3221-4D58-96FF-11D069828831}" uniqueName="4" name="IsPyro" queryTableFieldId="13" dataDxfId="17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3">
  <autoFilter ref="A1:C9" xr:uid="{8AF992F3-27EF-4265-960D-70EC6F74FAFA}"/>
  <sortState xmlns:xlrd2="http://schemas.microsoft.com/office/spreadsheetml/2017/richdata2" ref="A2:C9">
    <sortCondition ref="B1:B9"/>
  </sortState>
  <tableColumns count="3">
    <tableColumn id="1" xr3:uid="{1F7D0D09-7152-4679-B25C-65CF0E0AB2D4}" name="Type" dataDxfId="172"/>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1">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0">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9"/>
    <tableColumn id="3" xr3:uid="{2724CA85-C781-4E38-A0DA-097BFEEFE8B1}" uniqueName="3" name="Temp" queryTableFieldId="3" dataDxfId="168"/>
    <tableColumn id="6" xr3:uid="{12D5EB84-2052-49F7-A25B-127266D7FB89}" uniqueName="6" name="traceability_no" queryTableFieldId="6" dataDxfId="167"/>
    <tableColumn id="5" xr3:uid="{D8FBA668-C3CE-41DC-B112-B2663A4558F7}" uniqueName="5" name="Offset" queryTableFieldId="5" dataDxfId="16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1"/>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48"/>
    <tableColumn id="2" xr3:uid="{437C4123-EB61-4869-9470-5A1B394BA060}" uniqueName="2" name="Ranges" queryTableFieldId="2" dataDxfId="147"/>
    <tableColumn id="3" xr3:uid="{F2805B69-D38A-4282-80C7-76512A175951}" uniqueName="3" name="Tolerances" queryTableFieldId="3" dataDxfId="146"/>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7"/>
    <tableColumn id="3" xr3:uid="{E88E0260-3227-45C4-8780-42D2D8D460DF}" name="SAT TOL" dataDxfId="13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4" dataDxfId="83">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79" dataDxfId="78">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0" dataDxfId="9" headerRowCellStyle="Normal 2" dataCellStyle="Normal 2">
  <autoFilter ref="U11:V25" xr:uid="{DCCFF26E-EC5C-4962-98DB-A7DA1F3C8CE2}"/>
  <tableColumns count="2">
    <tableColumn id="1" xr3:uid="{DFC40837-B092-4826-9847-4A23BE22020F}" name="4" dataDxfId="8" dataCellStyle="Normal 2"/>
    <tableColumn id="2" xr3:uid="{0711DB07-19DA-4D5E-A417-C242A0304453}" name="10" dataDxfId="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901</v>
      </c>
      <c r="E1" s="36" t="s">
        <v>902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399</v>
      </c>
      <c r="B1" t="s">
        <v>540</v>
      </c>
      <c r="C1" t="s">
        <v>541</v>
      </c>
      <c r="D1" t="s">
        <v>542</v>
      </c>
      <c r="E1" t="s">
        <v>543</v>
      </c>
      <c r="F1" t="s">
        <v>538</v>
      </c>
      <c r="G1" t="s">
        <v>528</v>
      </c>
      <c r="H1" t="s">
        <v>509</v>
      </c>
      <c r="I1" t="s">
        <v>529</v>
      </c>
      <c r="J1" t="s">
        <v>514</v>
      </c>
      <c r="K1" t="s">
        <v>515</v>
      </c>
      <c r="L1" t="s">
        <v>516</v>
      </c>
      <c r="M1" t="s">
        <v>530</v>
      </c>
      <c r="N1" t="s">
        <v>397</v>
      </c>
      <c r="O1" t="s">
        <v>398</v>
      </c>
      <c r="P1" t="s">
        <v>400</v>
      </c>
      <c r="Q1" t="s">
        <v>518</v>
      </c>
      <c r="R1" t="s">
        <v>519</v>
      </c>
      <c r="S1" t="s">
        <v>520</v>
      </c>
      <c r="T1" t="s">
        <v>517</v>
      </c>
      <c r="U1" t="s">
        <v>531</v>
      </c>
      <c r="V1" t="s">
        <v>532</v>
      </c>
      <c r="W1" t="s">
        <v>521</v>
      </c>
      <c r="X1" t="s">
        <v>522</v>
      </c>
      <c r="Y1" t="s">
        <v>523</v>
      </c>
      <c r="Z1" t="s">
        <v>510</v>
      </c>
      <c r="AA1" t="s">
        <v>511</v>
      </c>
      <c r="AB1" t="s">
        <v>512</v>
      </c>
      <c r="AC1" t="s">
        <v>513</v>
      </c>
      <c r="AD1" t="s">
        <v>401</v>
      </c>
      <c r="AE1" t="s">
        <v>402</v>
      </c>
      <c r="AF1" t="s">
        <v>526</v>
      </c>
      <c r="AG1" t="s">
        <v>527</v>
      </c>
      <c r="AH1" t="s">
        <v>524</v>
      </c>
      <c r="AI1" t="s">
        <v>525</v>
      </c>
      <c r="AJ1" t="s">
        <v>539</v>
      </c>
      <c r="AK1" t="s">
        <v>544</v>
      </c>
      <c r="AL1" t="s">
        <v>545</v>
      </c>
    </row>
    <row r="2" spans="1:38" x14ac:dyDescent="0.2">
      <c r="A2">
        <v>1235344</v>
      </c>
      <c r="B2">
        <v>6864835</v>
      </c>
      <c r="C2">
        <v>7653243</v>
      </c>
      <c r="E2" t="b">
        <v>0</v>
      </c>
      <c r="G2" t="s">
        <v>568</v>
      </c>
      <c r="I2" t="s">
        <v>569</v>
      </c>
      <c r="J2" t="s">
        <v>533</v>
      </c>
      <c r="K2" t="s">
        <v>533</v>
      </c>
      <c r="L2" t="s">
        <v>533</v>
      </c>
      <c r="M2" t="s">
        <v>570</v>
      </c>
      <c r="N2" t="s">
        <v>403</v>
      </c>
      <c r="O2" t="s">
        <v>325</v>
      </c>
      <c r="P2" t="s">
        <v>115</v>
      </c>
      <c r="V2" t="s">
        <v>571</v>
      </c>
      <c r="Y2" t="s">
        <v>572</v>
      </c>
      <c r="AD2" t="s">
        <v>324</v>
      </c>
      <c r="AE2" t="s">
        <v>404</v>
      </c>
      <c r="AJ2" t="s">
        <v>573</v>
      </c>
      <c r="AK2" t="s">
        <v>574</v>
      </c>
      <c r="AL2" t="s">
        <v>575</v>
      </c>
    </row>
    <row r="3" spans="1:38" x14ac:dyDescent="0.2">
      <c r="A3">
        <v>1235555</v>
      </c>
      <c r="B3">
        <v>8036587</v>
      </c>
      <c r="C3">
        <v>7589603</v>
      </c>
      <c r="E3" t="b">
        <v>0</v>
      </c>
      <c r="F3">
        <v>72040</v>
      </c>
      <c r="G3" t="s">
        <v>576</v>
      </c>
      <c r="H3">
        <v>1</v>
      </c>
      <c r="I3" t="s">
        <v>577</v>
      </c>
      <c r="J3" t="s">
        <v>534</v>
      </c>
      <c r="K3" t="s">
        <v>533</v>
      </c>
      <c r="L3" t="s">
        <v>535</v>
      </c>
      <c r="M3" t="s">
        <v>578</v>
      </c>
      <c r="N3" t="s">
        <v>447</v>
      </c>
      <c r="O3" t="s">
        <v>219</v>
      </c>
      <c r="P3" t="s">
        <v>425</v>
      </c>
      <c r="S3" t="s">
        <v>579</v>
      </c>
      <c r="U3" t="s">
        <v>580</v>
      </c>
      <c r="V3" t="s">
        <v>581</v>
      </c>
      <c r="W3" t="s">
        <v>442</v>
      </c>
      <c r="X3" t="s">
        <v>536</v>
      </c>
      <c r="Y3" t="s">
        <v>582</v>
      </c>
      <c r="Z3" t="s">
        <v>548</v>
      </c>
      <c r="AB3" t="s">
        <v>574</v>
      </c>
      <c r="AD3" t="s">
        <v>537</v>
      </c>
      <c r="AE3" t="s">
        <v>537</v>
      </c>
      <c r="AF3">
        <v>0</v>
      </c>
      <c r="AG3">
        <v>0</v>
      </c>
      <c r="AH3">
        <v>46</v>
      </c>
      <c r="AI3">
        <v>0</v>
      </c>
      <c r="AJ3" t="s">
        <v>550</v>
      </c>
      <c r="AK3" t="s">
        <v>574</v>
      </c>
      <c r="AL3" t="s">
        <v>583</v>
      </c>
    </row>
    <row r="4" spans="1:38" x14ac:dyDescent="0.2">
      <c r="A4">
        <v>1235388</v>
      </c>
      <c r="B4">
        <v>7537859</v>
      </c>
      <c r="C4">
        <v>187510</v>
      </c>
      <c r="E4" t="b">
        <v>0</v>
      </c>
      <c r="F4">
        <v>62285</v>
      </c>
      <c r="G4" t="s">
        <v>584</v>
      </c>
      <c r="H4">
        <v>1</v>
      </c>
      <c r="I4" t="s">
        <v>585</v>
      </c>
      <c r="J4" t="s">
        <v>534</v>
      </c>
      <c r="K4" t="s">
        <v>533</v>
      </c>
      <c r="L4" t="s">
        <v>535</v>
      </c>
      <c r="M4" t="s">
        <v>586</v>
      </c>
      <c r="N4" t="s">
        <v>407</v>
      </c>
      <c r="O4" t="s">
        <v>227</v>
      </c>
      <c r="P4" t="s">
        <v>408</v>
      </c>
      <c r="S4" t="s">
        <v>587</v>
      </c>
      <c r="U4" t="s">
        <v>588</v>
      </c>
      <c r="V4" t="s">
        <v>589</v>
      </c>
      <c r="W4" t="s">
        <v>590</v>
      </c>
      <c r="X4" t="s">
        <v>536</v>
      </c>
      <c r="Y4" t="s">
        <v>582</v>
      </c>
      <c r="Z4" t="s">
        <v>548</v>
      </c>
      <c r="AA4" t="s">
        <v>22</v>
      </c>
      <c r="AB4" t="s">
        <v>591</v>
      </c>
      <c r="AD4" t="s">
        <v>226</v>
      </c>
      <c r="AE4" t="s">
        <v>409</v>
      </c>
      <c r="AF4">
        <v>0</v>
      </c>
      <c r="AG4">
        <v>0</v>
      </c>
      <c r="AH4">
        <v>70</v>
      </c>
      <c r="AI4">
        <v>0</v>
      </c>
      <c r="AJ4" t="s">
        <v>550</v>
      </c>
      <c r="AK4" t="s">
        <v>591</v>
      </c>
      <c r="AL4" t="s">
        <v>551</v>
      </c>
    </row>
    <row r="5" spans="1:38" x14ac:dyDescent="0.2">
      <c r="A5">
        <v>1235682</v>
      </c>
      <c r="B5">
        <v>7943647</v>
      </c>
      <c r="C5">
        <v>187508</v>
      </c>
      <c r="E5" t="b">
        <v>0</v>
      </c>
      <c r="F5">
        <v>69999</v>
      </c>
      <c r="G5" t="s">
        <v>592</v>
      </c>
      <c r="H5">
        <v>1</v>
      </c>
      <c r="I5" t="s">
        <v>593</v>
      </c>
      <c r="J5" t="s">
        <v>534</v>
      </c>
      <c r="K5" t="s">
        <v>535</v>
      </c>
      <c r="L5" t="s">
        <v>535</v>
      </c>
      <c r="M5" t="s">
        <v>594</v>
      </c>
      <c r="N5" t="s">
        <v>476</v>
      </c>
      <c r="O5" t="s">
        <v>47</v>
      </c>
      <c r="S5" t="s">
        <v>546</v>
      </c>
      <c r="U5" t="s">
        <v>595</v>
      </c>
      <c r="V5" t="s">
        <v>596</v>
      </c>
      <c r="W5" t="s">
        <v>442</v>
      </c>
      <c r="X5" t="s">
        <v>536</v>
      </c>
      <c r="Y5" t="s">
        <v>547</v>
      </c>
      <c r="Z5" t="s">
        <v>548</v>
      </c>
      <c r="AA5" t="s">
        <v>22</v>
      </c>
      <c r="AB5" t="s">
        <v>549</v>
      </c>
      <c r="AD5" t="s">
        <v>477</v>
      </c>
      <c r="AE5" t="s">
        <v>422</v>
      </c>
      <c r="AF5">
        <v>0</v>
      </c>
      <c r="AG5">
        <v>0</v>
      </c>
      <c r="AH5">
        <v>392.75</v>
      </c>
      <c r="AI5">
        <v>0</v>
      </c>
      <c r="AJ5" t="s">
        <v>550</v>
      </c>
      <c r="AK5" t="s">
        <v>549</v>
      </c>
      <c r="AL5" t="s">
        <v>551</v>
      </c>
    </row>
    <row r="6" spans="1:38" x14ac:dyDescent="0.2">
      <c r="A6">
        <v>1235426</v>
      </c>
      <c r="B6">
        <v>8035840</v>
      </c>
      <c r="C6">
        <v>187508</v>
      </c>
      <c r="E6" t="b">
        <v>0</v>
      </c>
      <c r="F6">
        <v>72024</v>
      </c>
      <c r="G6" t="s">
        <v>555</v>
      </c>
      <c r="H6">
        <v>1</v>
      </c>
      <c r="I6" t="s">
        <v>556</v>
      </c>
      <c r="J6" t="s">
        <v>534</v>
      </c>
      <c r="K6" t="s">
        <v>535</v>
      </c>
      <c r="L6" t="s">
        <v>535</v>
      </c>
      <c r="M6" t="s">
        <v>597</v>
      </c>
      <c r="N6" t="s">
        <v>420</v>
      </c>
      <c r="O6" t="s">
        <v>54</v>
      </c>
      <c r="S6" t="s">
        <v>546</v>
      </c>
      <c r="U6" t="s">
        <v>598</v>
      </c>
      <c r="V6" t="s">
        <v>599</v>
      </c>
      <c r="W6" t="s">
        <v>442</v>
      </c>
      <c r="X6" t="s">
        <v>536</v>
      </c>
      <c r="Y6" t="s">
        <v>547</v>
      </c>
      <c r="Z6" t="s">
        <v>548</v>
      </c>
      <c r="AA6" t="s">
        <v>22</v>
      </c>
      <c r="AB6" t="s">
        <v>549</v>
      </c>
      <c r="AD6" t="s">
        <v>421</v>
      </c>
      <c r="AE6" t="s">
        <v>422</v>
      </c>
      <c r="AF6">
        <v>0</v>
      </c>
      <c r="AG6">
        <v>0</v>
      </c>
      <c r="AH6">
        <v>392.75</v>
      </c>
      <c r="AI6">
        <v>0</v>
      </c>
      <c r="AJ6" t="s">
        <v>550</v>
      </c>
      <c r="AK6" t="s">
        <v>549</v>
      </c>
      <c r="AL6" t="s">
        <v>551</v>
      </c>
    </row>
    <row r="7" spans="1:38" x14ac:dyDescent="0.2">
      <c r="A7">
        <v>1235686</v>
      </c>
      <c r="B7">
        <v>8143520</v>
      </c>
      <c r="C7">
        <v>187508</v>
      </c>
      <c r="E7" t="b">
        <v>0</v>
      </c>
      <c r="F7">
        <v>73531</v>
      </c>
      <c r="G7" t="s">
        <v>553</v>
      </c>
      <c r="H7">
        <v>1</v>
      </c>
      <c r="I7" t="s">
        <v>554</v>
      </c>
      <c r="J7" t="s">
        <v>534</v>
      </c>
      <c r="K7" t="s">
        <v>535</v>
      </c>
      <c r="L7" t="s">
        <v>535</v>
      </c>
      <c r="M7" t="s">
        <v>600</v>
      </c>
      <c r="N7" t="s">
        <v>478</v>
      </c>
      <c r="O7" t="s">
        <v>55</v>
      </c>
      <c r="S7" t="s">
        <v>546</v>
      </c>
      <c r="U7" t="s">
        <v>601</v>
      </c>
      <c r="V7" t="s">
        <v>602</v>
      </c>
      <c r="W7" t="s">
        <v>442</v>
      </c>
      <c r="X7" t="s">
        <v>536</v>
      </c>
      <c r="Y7" t="s">
        <v>547</v>
      </c>
      <c r="Z7" t="s">
        <v>548</v>
      </c>
      <c r="AA7" t="s">
        <v>22</v>
      </c>
      <c r="AB7" t="s">
        <v>549</v>
      </c>
      <c r="AD7" t="s">
        <v>479</v>
      </c>
      <c r="AE7" t="s">
        <v>480</v>
      </c>
      <c r="AF7">
        <v>0</v>
      </c>
      <c r="AG7">
        <v>0</v>
      </c>
      <c r="AH7">
        <v>392.75</v>
      </c>
      <c r="AI7">
        <v>0</v>
      </c>
      <c r="AJ7" t="s">
        <v>550</v>
      </c>
      <c r="AK7" t="s">
        <v>549</v>
      </c>
      <c r="AL7" t="s">
        <v>551</v>
      </c>
    </row>
    <row r="8" spans="1:38" x14ac:dyDescent="0.2">
      <c r="A8">
        <v>1235630</v>
      </c>
      <c r="B8">
        <v>7925909</v>
      </c>
      <c r="C8">
        <v>187508</v>
      </c>
      <c r="E8" t="b">
        <v>0</v>
      </c>
      <c r="F8">
        <v>69663</v>
      </c>
      <c r="G8" t="s">
        <v>603</v>
      </c>
      <c r="H8">
        <v>1</v>
      </c>
      <c r="I8" t="s">
        <v>604</v>
      </c>
      <c r="J8" t="s">
        <v>534</v>
      </c>
      <c r="K8" t="s">
        <v>535</v>
      </c>
      <c r="L8" t="s">
        <v>535</v>
      </c>
      <c r="M8" t="s">
        <v>605</v>
      </c>
      <c r="N8" t="s">
        <v>465</v>
      </c>
      <c r="O8" t="s">
        <v>109</v>
      </c>
      <c r="S8" t="s">
        <v>546</v>
      </c>
      <c r="U8" t="s">
        <v>606</v>
      </c>
      <c r="V8" t="s">
        <v>607</v>
      </c>
      <c r="W8" t="s">
        <v>442</v>
      </c>
      <c r="X8" t="s">
        <v>536</v>
      </c>
      <c r="Y8" t="s">
        <v>547</v>
      </c>
      <c r="Z8" t="s">
        <v>548</v>
      </c>
      <c r="AA8" t="s">
        <v>22</v>
      </c>
      <c r="AB8" t="s">
        <v>549</v>
      </c>
      <c r="AD8" t="s">
        <v>466</v>
      </c>
      <c r="AE8" t="s">
        <v>422</v>
      </c>
      <c r="AF8">
        <v>0</v>
      </c>
      <c r="AG8">
        <v>0</v>
      </c>
      <c r="AH8">
        <v>392.75</v>
      </c>
      <c r="AI8">
        <v>0</v>
      </c>
      <c r="AJ8" t="s">
        <v>550</v>
      </c>
      <c r="AK8" t="s">
        <v>549</v>
      </c>
      <c r="AL8" t="s">
        <v>551</v>
      </c>
    </row>
    <row r="9" spans="1:38" x14ac:dyDescent="0.2">
      <c r="A9">
        <v>1235561</v>
      </c>
      <c r="B9">
        <v>7925915</v>
      </c>
      <c r="C9">
        <v>187508</v>
      </c>
      <c r="E9" t="b">
        <v>0</v>
      </c>
      <c r="F9">
        <v>69665</v>
      </c>
      <c r="G9" t="s">
        <v>608</v>
      </c>
      <c r="H9">
        <v>1</v>
      </c>
      <c r="I9" t="s">
        <v>609</v>
      </c>
      <c r="J9" t="s">
        <v>534</v>
      </c>
      <c r="K9" t="s">
        <v>535</v>
      </c>
      <c r="L9" t="s">
        <v>535</v>
      </c>
      <c r="M9" t="s">
        <v>610</v>
      </c>
      <c r="N9" t="s">
        <v>448</v>
      </c>
      <c r="O9" t="s">
        <v>113</v>
      </c>
      <c r="S9" t="s">
        <v>546</v>
      </c>
      <c r="U9" t="s">
        <v>606</v>
      </c>
      <c r="V9" t="s">
        <v>611</v>
      </c>
      <c r="W9" t="s">
        <v>442</v>
      </c>
      <c r="X9" t="s">
        <v>536</v>
      </c>
      <c r="Y9" t="s">
        <v>547</v>
      </c>
      <c r="Z9" t="s">
        <v>548</v>
      </c>
      <c r="AA9" t="s">
        <v>22</v>
      </c>
      <c r="AB9" t="s">
        <v>549</v>
      </c>
      <c r="AD9" t="s">
        <v>449</v>
      </c>
      <c r="AE9" t="s">
        <v>450</v>
      </c>
      <c r="AF9">
        <v>0</v>
      </c>
      <c r="AG9">
        <v>0</v>
      </c>
      <c r="AH9">
        <v>392.75</v>
      </c>
      <c r="AI9">
        <v>0</v>
      </c>
      <c r="AJ9" t="s">
        <v>550</v>
      </c>
      <c r="AK9" t="s">
        <v>549</v>
      </c>
      <c r="AL9" t="s">
        <v>551</v>
      </c>
    </row>
    <row r="10" spans="1:38" x14ac:dyDescent="0.2">
      <c r="A10">
        <v>1235543</v>
      </c>
      <c r="B10">
        <v>8075187</v>
      </c>
      <c r="C10">
        <v>187508</v>
      </c>
      <c r="E10" t="b">
        <v>0</v>
      </c>
      <c r="F10">
        <v>72822</v>
      </c>
      <c r="G10" t="s">
        <v>612</v>
      </c>
      <c r="H10">
        <v>1</v>
      </c>
      <c r="I10" t="s">
        <v>613</v>
      </c>
      <c r="J10" t="s">
        <v>534</v>
      </c>
      <c r="K10" t="s">
        <v>535</v>
      </c>
      <c r="L10" t="s">
        <v>535</v>
      </c>
      <c r="M10" t="s">
        <v>614</v>
      </c>
      <c r="N10" t="s">
        <v>445</v>
      </c>
      <c r="O10" t="s">
        <v>112</v>
      </c>
      <c r="S10" t="s">
        <v>546</v>
      </c>
      <c r="U10" t="s">
        <v>615</v>
      </c>
      <c r="V10" t="s">
        <v>616</v>
      </c>
      <c r="W10" t="s">
        <v>442</v>
      </c>
      <c r="X10" t="s">
        <v>536</v>
      </c>
      <c r="Y10" t="s">
        <v>547</v>
      </c>
      <c r="Z10" t="s">
        <v>548</v>
      </c>
      <c r="AA10" t="s">
        <v>22</v>
      </c>
      <c r="AB10" t="s">
        <v>549</v>
      </c>
      <c r="AD10" t="s">
        <v>421</v>
      </c>
      <c r="AE10" t="s">
        <v>446</v>
      </c>
      <c r="AF10">
        <v>0</v>
      </c>
      <c r="AG10">
        <v>0</v>
      </c>
      <c r="AH10">
        <v>392.75</v>
      </c>
      <c r="AI10">
        <v>0</v>
      </c>
      <c r="AJ10" t="s">
        <v>550</v>
      </c>
      <c r="AK10" t="s">
        <v>549</v>
      </c>
      <c r="AL10" t="s">
        <v>551</v>
      </c>
    </row>
    <row r="11" spans="1:38" x14ac:dyDescent="0.2">
      <c r="A11">
        <v>1235622</v>
      </c>
      <c r="B11">
        <v>7925914</v>
      </c>
      <c r="C11">
        <v>187508</v>
      </c>
      <c r="E11" t="b">
        <v>0</v>
      </c>
      <c r="F11">
        <v>69664</v>
      </c>
      <c r="G11" t="s">
        <v>617</v>
      </c>
      <c r="H11">
        <v>1</v>
      </c>
      <c r="I11" t="s">
        <v>618</v>
      </c>
      <c r="J11" t="s">
        <v>534</v>
      </c>
      <c r="K11" t="s">
        <v>535</v>
      </c>
      <c r="L11" t="s">
        <v>535</v>
      </c>
      <c r="M11" t="s">
        <v>619</v>
      </c>
      <c r="N11" t="s">
        <v>460</v>
      </c>
      <c r="O11" t="s">
        <v>157</v>
      </c>
      <c r="S11" t="s">
        <v>546</v>
      </c>
      <c r="U11" t="s">
        <v>606</v>
      </c>
      <c r="V11" t="s">
        <v>620</v>
      </c>
      <c r="W11" t="s">
        <v>442</v>
      </c>
      <c r="X11" t="s">
        <v>536</v>
      </c>
      <c r="Y11" t="s">
        <v>547</v>
      </c>
      <c r="Z11" t="s">
        <v>548</v>
      </c>
      <c r="AA11" t="s">
        <v>22</v>
      </c>
      <c r="AB11" t="s">
        <v>549</v>
      </c>
      <c r="AD11" t="s">
        <v>461</v>
      </c>
      <c r="AE11" t="s">
        <v>462</v>
      </c>
      <c r="AF11">
        <v>0</v>
      </c>
      <c r="AG11">
        <v>0</v>
      </c>
      <c r="AH11">
        <v>392.75</v>
      </c>
      <c r="AI11">
        <v>0</v>
      </c>
      <c r="AJ11" t="s">
        <v>550</v>
      </c>
      <c r="AK11" t="s">
        <v>549</v>
      </c>
      <c r="AL11" t="s">
        <v>551</v>
      </c>
    </row>
    <row r="12" spans="1:38" x14ac:dyDescent="0.2">
      <c r="A12">
        <v>1235403</v>
      </c>
      <c r="B12">
        <v>7975239</v>
      </c>
      <c r="C12">
        <v>187508</v>
      </c>
      <c r="E12" t="b">
        <v>0</v>
      </c>
      <c r="F12">
        <v>70613</v>
      </c>
      <c r="G12" t="s">
        <v>621</v>
      </c>
      <c r="H12">
        <v>3</v>
      </c>
      <c r="I12" t="s">
        <v>622</v>
      </c>
      <c r="J12" t="s">
        <v>534</v>
      </c>
      <c r="K12" t="s">
        <v>535</v>
      </c>
      <c r="L12" t="s">
        <v>535</v>
      </c>
      <c r="M12" t="s">
        <v>623</v>
      </c>
      <c r="N12" t="s">
        <v>415</v>
      </c>
      <c r="O12" t="s">
        <v>176</v>
      </c>
      <c r="P12" t="s">
        <v>107</v>
      </c>
      <c r="S12" t="s">
        <v>624</v>
      </c>
      <c r="U12" t="s">
        <v>625</v>
      </c>
      <c r="V12" t="s">
        <v>626</v>
      </c>
      <c r="W12" t="s">
        <v>442</v>
      </c>
      <c r="X12" t="s">
        <v>536</v>
      </c>
      <c r="Y12" t="s">
        <v>547</v>
      </c>
      <c r="Z12" t="s">
        <v>548</v>
      </c>
      <c r="AA12" t="s">
        <v>22</v>
      </c>
      <c r="AB12" t="s">
        <v>549</v>
      </c>
      <c r="AD12" t="s">
        <v>175</v>
      </c>
      <c r="AE12" t="s">
        <v>416</v>
      </c>
      <c r="AF12">
        <v>0</v>
      </c>
      <c r="AG12">
        <v>0</v>
      </c>
      <c r="AH12">
        <v>418.5</v>
      </c>
      <c r="AI12">
        <v>0</v>
      </c>
      <c r="AJ12" t="s">
        <v>550</v>
      </c>
      <c r="AK12" t="s">
        <v>549</v>
      </c>
      <c r="AL12" t="s">
        <v>551</v>
      </c>
    </row>
    <row r="13" spans="1:38" x14ac:dyDescent="0.2">
      <c r="A13">
        <v>1235569</v>
      </c>
      <c r="B13">
        <v>7975237</v>
      </c>
      <c r="C13">
        <v>187508</v>
      </c>
      <c r="E13" t="b">
        <v>0</v>
      </c>
      <c r="F13">
        <v>70613</v>
      </c>
      <c r="G13" t="s">
        <v>621</v>
      </c>
      <c r="H13">
        <v>1</v>
      </c>
      <c r="I13" t="s">
        <v>627</v>
      </c>
      <c r="J13" t="s">
        <v>534</v>
      </c>
      <c r="K13" t="s">
        <v>535</v>
      </c>
      <c r="L13" t="s">
        <v>535</v>
      </c>
      <c r="M13" t="s">
        <v>628</v>
      </c>
      <c r="N13" t="s">
        <v>455</v>
      </c>
      <c r="O13" t="s">
        <v>178</v>
      </c>
      <c r="P13" t="s">
        <v>456</v>
      </c>
      <c r="S13" t="s">
        <v>624</v>
      </c>
      <c r="U13" t="s">
        <v>625</v>
      </c>
      <c r="V13" t="s">
        <v>629</v>
      </c>
      <c r="W13" t="s">
        <v>442</v>
      </c>
      <c r="X13" t="s">
        <v>536</v>
      </c>
      <c r="Y13" t="s">
        <v>547</v>
      </c>
      <c r="Z13" t="s">
        <v>548</v>
      </c>
      <c r="AA13" t="s">
        <v>22</v>
      </c>
      <c r="AB13" t="s">
        <v>549</v>
      </c>
      <c r="AD13" t="s">
        <v>177</v>
      </c>
      <c r="AE13" t="s">
        <v>416</v>
      </c>
      <c r="AF13">
        <v>0</v>
      </c>
      <c r="AG13">
        <v>0</v>
      </c>
      <c r="AH13">
        <v>418.5</v>
      </c>
      <c r="AI13">
        <v>0</v>
      </c>
      <c r="AJ13" t="s">
        <v>550</v>
      </c>
      <c r="AK13" t="s">
        <v>549</v>
      </c>
      <c r="AL13" t="s">
        <v>551</v>
      </c>
    </row>
    <row r="14" spans="1:38" x14ac:dyDescent="0.2">
      <c r="A14">
        <v>1235743</v>
      </c>
      <c r="B14">
        <v>7975241</v>
      </c>
      <c r="C14">
        <v>187508</v>
      </c>
      <c r="E14" t="b">
        <v>0</v>
      </c>
      <c r="F14">
        <v>70613</v>
      </c>
      <c r="G14" t="s">
        <v>621</v>
      </c>
      <c r="H14">
        <v>5</v>
      </c>
      <c r="I14" t="s">
        <v>630</v>
      </c>
      <c r="J14" t="s">
        <v>534</v>
      </c>
      <c r="K14" t="s">
        <v>535</v>
      </c>
      <c r="L14" t="s">
        <v>535</v>
      </c>
      <c r="M14" t="s">
        <v>631</v>
      </c>
      <c r="N14" t="s">
        <v>482</v>
      </c>
      <c r="O14" t="s">
        <v>484</v>
      </c>
      <c r="P14" t="s">
        <v>483</v>
      </c>
      <c r="S14" t="s">
        <v>624</v>
      </c>
      <c r="U14" t="s">
        <v>625</v>
      </c>
      <c r="V14" t="s">
        <v>632</v>
      </c>
      <c r="W14" t="s">
        <v>442</v>
      </c>
      <c r="X14" t="s">
        <v>536</v>
      </c>
      <c r="Y14" t="s">
        <v>547</v>
      </c>
      <c r="Z14" t="s">
        <v>548</v>
      </c>
      <c r="AA14" t="s">
        <v>22</v>
      </c>
      <c r="AB14" t="s">
        <v>549</v>
      </c>
      <c r="AD14" t="s">
        <v>485</v>
      </c>
      <c r="AE14" t="s">
        <v>416</v>
      </c>
      <c r="AF14">
        <v>0</v>
      </c>
      <c r="AG14">
        <v>0</v>
      </c>
      <c r="AH14">
        <v>418.5</v>
      </c>
      <c r="AI14">
        <v>0</v>
      </c>
      <c r="AJ14" t="s">
        <v>550</v>
      </c>
      <c r="AK14" t="s">
        <v>549</v>
      </c>
      <c r="AL14" t="s">
        <v>551</v>
      </c>
    </row>
    <row r="15" spans="1:38" x14ac:dyDescent="0.2">
      <c r="A15">
        <v>2550412</v>
      </c>
      <c r="B15">
        <v>7975245</v>
      </c>
      <c r="C15">
        <v>187508</v>
      </c>
      <c r="E15" t="b">
        <v>0</v>
      </c>
      <c r="F15">
        <v>70613</v>
      </c>
      <c r="G15" t="s">
        <v>621</v>
      </c>
      <c r="H15">
        <v>9</v>
      </c>
      <c r="I15" t="s">
        <v>633</v>
      </c>
      <c r="J15" t="s">
        <v>534</v>
      </c>
      <c r="K15" t="s">
        <v>535</v>
      </c>
      <c r="L15" t="s">
        <v>535</v>
      </c>
      <c r="M15" t="s">
        <v>634</v>
      </c>
      <c r="N15" t="s">
        <v>499</v>
      </c>
      <c r="O15" t="s">
        <v>500</v>
      </c>
      <c r="P15" t="s">
        <v>375</v>
      </c>
      <c r="S15" t="s">
        <v>624</v>
      </c>
      <c r="U15" t="s">
        <v>625</v>
      </c>
      <c r="V15" t="s">
        <v>635</v>
      </c>
      <c r="W15" t="s">
        <v>442</v>
      </c>
      <c r="X15" t="s">
        <v>536</v>
      </c>
      <c r="Y15" t="s">
        <v>547</v>
      </c>
      <c r="Z15" t="s">
        <v>548</v>
      </c>
      <c r="AA15" t="s">
        <v>22</v>
      </c>
      <c r="AB15" t="s">
        <v>549</v>
      </c>
      <c r="AD15" t="s">
        <v>501</v>
      </c>
      <c r="AE15" t="s">
        <v>502</v>
      </c>
      <c r="AF15">
        <v>0</v>
      </c>
      <c r="AG15">
        <v>0</v>
      </c>
      <c r="AH15">
        <v>418.5</v>
      </c>
      <c r="AI15">
        <v>0</v>
      </c>
      <c r="AJ15" t="s">
        <v>550</v>
      </c>
      <c r="AK15" t="s">
        <v>549</v>
      </c>
      <c r="AL15" t="s">
        <v>551</v>
      </c>
    </row>
    <row r="16" spans="1:38" x14ac:dyDescent="0.2">
      <c r="A16">
        <v>1446161</v>
      </c>
      <c r="B16">
        <v>7975243</v>
      </c>
      <c r="C16">
        <v>187508</v>
      </c>
      <c r="E16" t="b">
        <v>0</v>
      </c>
      <c r="F16">
        <v>70613</v>
      </c>
      <c r="G16" t="s">
        <v>621</v>
      </c>
      <c r="H16">
        <v>7</v>
      </c>
      <c r="I16" t="s">
        <v>636</v>
      </c>
      <c r="J16" t="s">
        <v>534</v>
      </c>
      <c r="K16" t="s">
        <v>535</v>
      </c>
      <c r="L16" t="s">
        <v>535</v>
      </c>
      <c r="M16" t="s">
        <v>637</v>
      </c>
      <c r="N16" t="s">
        <v>491</v>
      </c>
      <c r="O16" t="s">
        <v>493</v>
      </c>
      <c r="P16" t="s">
        <v>492</v>
      </c>
      <c r="S16" t="s">
        <v>624</v>
      </c>
      <c r="U16" t="s">
        <v>625</v>
      </c>
      <c r="V16" t="s">
        <v>638</v>
      </c>
      <c r="W16" t="s">
        <v>442</v>
      </c>
      <c r="X16" t="s">
        <v>536</v>
      </c>
      <c r="Y16" t="s">
        <v>547</v>
      </c>
      <c r="Z16" t="s">
        <v>548</v>
      </c>
      <c r="AA16" t="s">
        <v>22</v>
      </c>
      <c r="AB16" t="s">
        <v>549</v>
      </c>
      <c r="AD16" t="s">
        <v>494</v>
      </c>
      <c r="AE16" t="s">
        <v>416</v>
      </c>
      <c r="AF16">
        <v>0</v>
      </c>
      <c r="AG16">
        <v>0</v>
      </c>
      <c r="AH16">
        <v>418.5</v>
      </c>
      <c r="AI16">
        <v>0</v>
      </c>
      <c r="AJ16" t="s">
        <v>550</v>
      </c>
      <c r="AK16" t="s">
        <v>549</v>
      </c>
      <c r="AL16" t="s">
        <v>551</v>
      </c>
    </row>
    <row r="17" spans="1:38" x14ac:dyDescent="0.2">
      <c r="A17">
        <v>2701517</v>
      </c>
      <c r="B17">
        <v>7975246</v>
      </c>
      <c r="C17">
        <v>187508</v>
      </c>
      <c r="E17" t="b">
        <v>0</v>
      </c>
      <c r="F17">
        <v>70613</v>
      </c>
      <c r="G17" t="s">
        <v>621</v>
      </c>
      <c r="H17">
        <v>10</v>
      </c>
      <c r="I17" t="s">
        <v>639</v>
      </c>
      <c r="J17" t="s">
        <v>534</v>
      </c>
      <c r="K17" t="s">
        <v>535</v>
      </c>
      <c r="L17" t="s">
        <v>535</v>
      </c>
      <c r="M17" t="s">
        <v>640</v>
      </c>
      <c r="N17" t="s">
        <v>504</v>
      </c>
      <c r="O17" t="s">
        <v>506</v>
      </c>
      <c r="P17" t="s">
        <v>505</v>
      </c>
      <c r="S17" t="s">
        <v>624</v>
      </c>
      <c r="U17" t="s">
        <v>625</v>
      </c>
      <c r="V17" t="s">
        <v>641</v>
      </c>
      <c r="W17" t="s">
        <v>442</v>
      </c>
      <c r="X17" t="s">
        <v>536</v>
      </c>
      <c r="Y17" t="s">
        <v>547</v>
      </c>
      <c r="Z17" t="s">
        <v>548</v>
      </c>
      <c r="AA17" t="s">
        <v>22</v>
      </c>
      <c r="AB17" t="s">
        <v>549</v>
      </c>
      <c r="AD17" t="s">
        <v>179</v>
      </c>
      <c r="AE17" t="s">
        <v>416</v>
      </c>
      <c r="AF17">
        <v>0</v>
      </c>
      <c r="AG17">
        <v>0</v>
      </c>
      <c r="AH17">
        <v>418.5</v>
      </c>
      <c r="AI17">
        <v>0</v>
      </c>
      <c r="AJ17" t="s">
        <v>550</v>
      </c>
      <c r="AK17" t="s">
        <v>549</v>
      </c>
      <c r="AL17" t="s">
        <v>551</v>
      </c>
    </row>
    <row r="18" spans="1:38" x14ac:dyDescent="0.2">
      <c r="A18">
        <v>2336905</v>
      </c>
      <c r="B18">
        <v>7975244</v>
      </c>
      <c r="C18">
        <v>187508</v>
      </c>
      <c r="E18" t="b">
        <v>0</v>
      </c>
      <c r="F18">
        <v>70613</v>
      </c>
      <c r="G18" t="s">
        <v>621</v>
      </c>
      <c r="H18">
        <v>8</v>
      </c>
      <c r="I18" t="s">
        <v>642</v>
      </c>
      <c r="J18" t="s">
        <v>534</v>
      </c>
      <c r="K18" t="s">
        <v>535</v>
      </c>
      <c r="L18" t="s">
        <v>535</v>
      </c>
      <c r="M18" t="s">
        <v>643</v>
      </c>
      <c r="N18" t="s">
        <v>495</v>
      </c>
      <c r="O18" t="s">
        <v>497</v>
      </c>
      <c r="P18" t="s">
        <v>496</v>
      </c>
      <c r="S18" t="s">
        <v>624</v>
      </c>
      <c r="U18" t="s">
        <v>625</v>
      </c>
      <c r="V18" t="s">
        <v>644</v>
      </c>
      <c r="W18" t="s">
        <v>442</v>
      </c>
      <c r="X18" t="s">
        <v>536</v>
      </c>
      <c r="Y18" t="s">
        <v>547</v>
      </c>
      <c r="Z18" t="s">
        <v>548</v>
      </c>
      <c r="AA18" t="s">
        <v>22</v>
      </c>
      <c r="AB18" t="s">
        <v>549</v>
      </c>
      <c r="AD18" t="s">
        <v>498</v>
      </c>
      <c r="AE18" t="s">
        <v>416</v>
      </c>
      <c r="AF18">
        <v>0</v>
      </c>
      <c r="AG18">
        <v>0</v>
      </c>
      <c r="AH18">
        <v>418.5</v>
      </c>
      <c r="AI18">
        <v>0</v>
      </c>
      <c r="AJ18" t="s">
        <v>550</v>
      </c>
      <c r="AK18" t="s">
        <v>549</v>
      </c>
      <c r="AL18" t="s">
        <v>551</v>
      </c>
    </row>
    <row r="19" spans="1:38" x14ac:dyDescent="0.2">
      <c r="A19">
        <v>1235639</v>
      </c>
      <c r="B19">
        <v>7975242</v>
      </c>
      <c r="C19">
        <v>187508</v>
      </c>
      <c r="E19" t="b">
        <v>0</v>
      </c>
      <c r="F19">
        <v>70613</v>
      </c>
      <c r="G19" t="s">
        <v>621</v>
      </c>
      <c r="H19">
        <v>6</v>
      </c>
      <c r="I19" t="s">
        <v>645</v>
      </c>
      <c r="J19" t="s">
        <v>534</v>
      </c>
      <c r="K19" t="s">
        <v>535</v>
      </c>
      <c r="L19" t="s">
        <v>535</v>
      </c>
      <c r="M19" t="s">
        <v>646</v>
      </c>
      <c r="N19" t="s">
        <v>467</v>
      </c>
      <c r="O19" t="s">
        <v>174</v>
      </c>
      <c r="P19" t="s">
        <v>468</v>
      </c>
      <c r="S19" t="s">
        <v>624</v>
      </c>
      <c r="U19" t="s">
        <v>625</v>
      </c>
      <c r="V19" t="s">
        <v>647</v>
      </c>
      <c r="W19" t="s">
        <v>442</v>
      </c>
      <c r="X19" t="s">
        <v>536</v>
      </c>
      <c r="Y19" t="s">
        <v>547</v>
      </c>
      <c r="Z19" t="s">
        <v>548</v>
      </c>
      <c r="AA19" t="s">
        <v>22</v>
      </c>
      <c r="AB19" t="s">
        <v>549</v>
      </c>
      <c r="AD19" t="s">
        <v>173</v>
      </c>
      <c r="AE19" t="s">
        <v>416</v>
      </c>
      <c r="AF19">
        <v>0</v>
      </c>
      <c r="AG19">
        <v>0</v>
      </c>
      <c r="AH19">
        <v>418.5</v>
      </c>
      <c r="AI19">
        <v>0</v>
      </c>
      <c r="AJ19" t="s">
        <v>550</v>
      </c>
      <c r="AK19" t="s">
        <v>549</v>
      </c>
      <c r="AL19" t="s">
        <v>551</v>
      </c>
    </row>
    <row r="20" spans="1:38" x14ac:dyDescent="0.2">
      <c r="A20">
        <v>1235626</v>
      </c>
      <c r="B20">
        <v>7975238</v>
      </c>
      <c r="C20">
        <v>187508</v>
      </c>
      <c r="E20" t="b">
        <v>0</v>
      </c>
      <c r="F20">
        <v>70613</v>
      </c>
      <c r="G20" t="s">
        <v>621</v>
      </c>
      <c r="H20">
        <v>2</v>
      </c>
      <c r="I20" t="s">
        <v>648</v>
      </c>
      <c r="J20" t="s">
        <v>534</v>
      </c>
      <c r="K20" t="s">
        <v>535</v>
      </c>
      <c r="L20" t="s">
        <v>535</v>
      </c>
      <c r="M20" t="s">
        <v>649</v>
      </c>
      <c r="N20" t="s">
        <v>463</v>
      </c>
      <c r="O20" t="s">
        <v>182</v>
      </c>
      <c r="P20" t="s">
        <v>464</v>
      </c>
      <c r="S20" t="s">
        <v>624</v>
      </c>
      <c r="U20" t="s">
        <v>625</v>
      </c>
      <c r="V20" t="s">
        <v>650</v>
      </c>
      <c r="W20" t="s">
        <v>442</v>
      </c>
      <c r="X20" t="s">
        <v>536</v>
      </c>
      <c r="Y20" t="s">
        <v>547</v>
      </c>
      <c r="Z20" t="s">
        <v>548</v>
      </c>
      <c r="AA20" t="s">
        <v>22</v>
      </c>
      <c r="AB20" t="s">
        <v>549</v>
      </c>
      <c r="AD20" t="s">
        <v>181</v>
      </c>
      <c r="AE20" t="s">
        <v>416</v>
      </c>
      <c r="AF20">
        <v>0</v>
      </c>
      <c r="AG20">
        <v>0</v>
      </c>
      <c r="AH20">
        <v>418.5</v>
      </c>
      <c r="AI20">
        <v>0</v>
      </c>
      <c r="AJ20" t="s">
        <v>550</v>
      </c>
      <c r="AK20" t="s">
        <v>549</v>
      </c>
      <c r="AL20" t="s">
        <v>551</v>
      </c>
    </row>
    <row r="21" spans="1:38" x14ac:dyDescent="0.2">
      <c r="A21">
        <v>1235522</v>
      </c>
      <c r="B21">
        <v>7975240</v>
      </c>
      <c r="C21">
        <v>187508</v>
      </c>
      <c r="E21" t="b">
        <v>0</v>
      </c>
      <c r="F21">
        <v>70613</v>
      </c>
      <c r="G21" t="s">
        <v>621</v>
      </c>
      <c r="H21">
        <v>4</v>
      </c>
      <c r="I21" t="s">
        <v>651</v>
      </c>
      <c r="J21" t="s">
        <v>534</v>
      </c>
      <c r="K21" t="s">
        <v>535</v>
      </c>
      <c r="L21" t="s">
        <v>535</v>
      </c>
      <c r="M21" t="s">
        <v>652</v>
      </c>
      <c r="N21" t="s">
        <v>441</v>
      </c>
      <c r="O21" t="s">
        <v>180</v>
      </c>
      <c r="P21" t="s">
        <v>442</v>
      </c>
      <c r="S21" t="s">
        <v>624</v>
      </c>
      <c r="U21" t="s">
        <v>625</v>
      </c>
      <c r="V21" t="s">
        <v>653</v>
      </c>
      <c r="W21" t="s">
        <v>442</v>
      </c>
      <c r="X21" t="s">
        <v>536</v>
      </c>
      <c r="Y21" t="s">
        <v>547</v>
      </c>
      <c r="Z21" t="s">
        <v>548</v>
      </c>
      <c r="AA21" t="s">
        <v>22</v>
      </c>
      <c r="AB21" t="s">
        <v>549</v>
      </c>
      <c r="AD21" t="s">
        <v>179</v>
      </c>
      <c r="AE21" t="s">
        <v>416</v>
      </c>
      <c r="AF21">
        <v>0</v>
      </c>
      <c r="AG21">
        <v>0</v>
      </c>
      <c r="AH21">
        <v>418.5</v>
      </c>
      <c r="AI21">
        <v>0</v>
      </c>
      <c r="AJ21" t="s">
        <v>550</v>
      </c>
      <c r="AK21" t="s">
        <v>549</v>
      </c>
      <c r="AL21" t="s">
        <v>551</v>
      </c>
    </row>
    <row r="23" spans="1:38" x14ac:dyDescent="0.2">
      <c r="A23">
        <v>1235770</v>
      </c>
      <c r="B23">
        <v>8030104</v>
      </c>
      <c r="C23">
        <v>187514</v>
      </c>
      <c r="E23" t="b">
        <v>0</v>
      </c>
      <c r="F23">
        <v>71864</v>
      </c>
      <c r="G23" t="s">
        <v>654</v>
      </c>
      <c r="H23">
        <v>1</v>
      </c>
      <c r="I23" t="s">
        <v>655</v>
      </c>
      <c r="J23" t="s">
        <v>534</v>
      </c>
      <c r="K23" t="s">
        <v>535</v>
      </c>
      <c r="L23" t="s">
        <v>535</v>
      </c>
      <c r="M23" t="s">
        <v>656</v>
      </c>
      <c r="N23" t="s">
        <v>486</v>
      </c>
      <c r="O23" t="s">
        <v>487</v>
      </c>
      <c r="U23" t="s">
        <v>657</v>
      </c>
      <c r="V23" t="s">
        <v>658</v>
      </c>
      <c r="W23" t="s">
        <v>492</v>
      </c>
      <c r="X23" t="s">
        <v>536</v>
      </c>
      <c r="Y23" t="s">
        <v>413</v>
      </c>
      <c r="Z23" t="s">
        <v>548</v>
      </c>
      <c r="AB23" t="s">
        <v>659</v>
      </c>
      <c r="AD23" t="s">
        <v>232</v>
      </c>
      <c r="AE23" t="s">
        <v>488</v>
      </c>
      <c r="AF23">
        <v>0</v>
      </c>
      <c r="AG23">
        <v>0</v>
      </c>
      <c r="AH23">
        <v>0</v>
      </c>
      <c r="AI23">
        <v>0</v>
      </c>
      <c r="AJ23" t="s">
        <v>550</v>
      </c>
      <c r="AK23" t="s">
        <v>659</v>
      </c>
      <c r="AL23" t="s">
        <v>551</v>
      </c>
    </row>
    <row r="24" spans="1:38" x14ac:dyDescent="0.2">
      <c r="A24">
        <v>1235767</v>
      </c>
    </row>
    <row r="25" spans="1:38" x14ac:dyDescent="0.2">
      <c r="A25">
        <v>1235772</v>
      </c>
    </row>
    <row r="26" spans="1:38" x14ac:dyDescent="0.2">
      <c r="A26">
        <v>1235660</v>
      </c>
      <c r="B26">
        <v>7612900</v>
      </c>
      <c r="C26">
        <v>187509</v>
      </c>
      <c r="E26" t="b">
        <v>0</v>
      </c>
      <c r="F26">
        <v>64197</v>
      </c>
      <c r="G26" t="s">
        <v>660</v>
      </c>
      <c r="H26">
        <v>1</v>
      </c>
      <c r="I26" t="s">
        <v>661</v>
      </c>
      <c r="J26" t="s">
        <v>534</v>
      </c>
      <c r="K26" t="s">
        <v>535</v>
      </c>
      <c r="L26" t="s">
        <v>535</v>
      </c>
      <c r="M26" t="s">
        <v>662</v>
      </c>
      <c r="N26" t="s">
        <v>198</v>
      </c>
      <c r="O26" t="s">
        <v>473</v>
      </c>
      <c r="U26" t="s">
        <v>663</v>
      </c>
      <c r="V26" t="s">
        <v>664</v>
      </c>
      <c r="W26" t="s">
        <v>107</v>
      </c>
      <c r="X26" t="s">
        <v>536</v>
      </c>
      <c r="Y26" t="s">
        <v>116</v>
      </c>
      <c r="AB26" t="s">
        <v>659</v>
      </c>
      <c r="AD26" t="s">
        <v>234</v>
      </c>
      <c r="AE26" t="s">
        <v>432</v>
      </c>
      <c r="AF26">
        <v>0</v>
      </c>
      <c r="AG26">
        <v>0</v>
      </c>
      <c r="AI26">
        <v>0</v>
      </c>
      <c r="AJ26" t="s">
        <v>550</v>
      </c>
      <c r="AK26" t="s">
        <v>659</v>
      </c>
      <c r="AL26" t="s">
        <v>583</v>
      </c>
    </row>
    <row r="27" spans="1:38" x14ac:dyDescent="0.2">
      <c r="A27">
        <v>1235502</v>
      </c>
      <c r="B27">
        <v>6008756</v>
      </c>
      <c r="C27">
        <v>187514</v>
      </c>
      <c r="E27" t="b">
        <v>0</v>
      </c>
      <c r="F27">
        <v>41783</v>
      </c>
      <c r="G27" t="s">
        <v>665</v>
      </c>
      <c r="H27">
        <v>1</v>
      </c>
      <c r="I27" t="s">
        <v>666</v>
      </c>
      <c r="J27" t="s">
        <v>534</v>
      </c>
      <c r="K27" t="s">
        <v>535</v>
      </c>
      <c r="L27" t="s">
        <v>535</v>
      </c>
      <c r="M27" t="s">
        <v>667</v>
      </c>
      <c r="N27" t="s">
        <v>199</v>
      </c>
      <c r="O27" t="s">
        <v>431</v>
      </c>
      <c r="U27" t="s">
        <v>668</v>
      </c>
      <c r="V27" t="s">
        <v>669</v>
      </c>
      <c r="W27" t="s">
        <v>166</v>
      </c>
      <c r="X27" t="s">
        <v>536</v>
      </c>
      <c r="Y27" t="s">
        <v>116</v>
      </c>
      <c r="Z27" t="s">
        <v>548</v>
      </c>
      <c r="AB27" t="s">
        <v>659</v>
      </c>
      <c r="AD27" t="s">
        <v>235</v>
      </c>
      <c r="AE27" t="s">
        <v>432</v>
      </c>
      <c r="AF27">
        <v>0</v>
      </c>
      <c r="AG27">
        <v>0</v>
      </c>
      <c r="AH27">
        <v>27.5</v>
      </c>
      <c r="AI27">
        <v>0</v>
      </c>
      <c r="AJ27" t="s">
        <v>550</v>
      </c>
      <c r="AK27" t="s">
        <v>659</v>
      </c>
      <c r="AL27" t="s">
        <v>551</v>
      </c>
    </row>
    <row r="28" spans="1:38" x14ac:dyDescent="0.2">
      <c r="A28">
        <v>1235505</v>
      </c>
      <c r="B28">
        <v>7971837</v>
      </c>
      <c r="C28">
        <v>187514</v>
      </c>
      <c r="E28" t="b">
        <v>0</v>
      </c>
      <c r="F28">
        <v>70496</v>
      </c>
      <c r="G28" t="s">
        <v>670</v>
      </c>
      <c r="H28">
        <v>1</v>
      </c>
      <c r="I28" t="s">
        <v>671</v>
      </c>
      <c r="J28" t="s">
        <v>534</v>
      </c>
      <c r="K28" t="s">
        <v>535</v>
      </c>
      <c r="L28" t="s">
        <v>535</v>
      </c>
      <c r="M28" t="s">
        <v>672</v>
      </c>
      <c r="N28" t="s">
        <v>200</v>
      </c>
      <c r="O28" t="s">
        <v>435</v>
      </c>
      <c r="S28" t="s">
        <v>673</v>
      </c>
      <c r="U28" t="s">
        <v>674</v>
      </c>
      <c r="V28" t="s">
        <v>675</v>
      </c>
      <c r="W28" t="s">
        <v>505</v>
      </c>
      <c r="X28" t="s">
        <v>536</v>
      </c>
      <c r="Y28" t="s">
        <v>413</v>
      </c>
      <c r="Z28" t="s">
        <v>548</v>
      </c>
      <c r="AB28" t="s">
        <v>659</v>
      </c>
      <c r="AD28" t="s">
        <v>236</v>
      </c>
      <c r="AE28" t="s">
        <v>432</v>
      </c>
      <c r="AF28">
        <v>0</v>
      </c>
      <c r="AG28">
        <v>0</v>
      </c>
      <c r="AH28">
        <v>75</v>
      </c>
      <c r="AI28">
        <v>0</v>
      </c>
      <c r="AJ28" t="s">
        <v>550</v>
      </c>
      <c r="AK28" t="s">
        <v>659</v>
      </c>
      <c r="AL28" t="s">
        <v>551</v>
      </c>
    </row>
    <row r="29" spans="1:38" x14ac:dyDescent="0.2">
      <c r="A29">
        <v>1235646</v>
      </c>
      <c r="B29">
        <v>6249107</v>
      </c>
      <c r="C29">
        <v>187514</v>
      </c>
      <c r="E29" t="b">
        <v>0</v>
      </c>
      <c r="F29">
        <v>46530</v>
      </c>
      <c r="G29" t="s">
        <v>676</v>
      </c>
      <c r="H29">
        <v>1</v>
      </c>
      <c r="I29" t="s">
        <v>677</v>
      </c>
      <c r="J29" t="s">
        <v>534</v>
      </c>
      <c r="K29" t="s">
        <v>535</v>
      </c>
      <c r="L29" t="s">
        <v>535</v>
      </c>
      <c r="M29" t="s">
        <v>678</v>
      </c>
      <c r="N29" t="s">
        <v>201</v>
      </c>
      <c r="O29" t="s">
        <v>469</v>
      </c>
      <c r="U29" t="s">
        <v>679</v>
      </c>
      <c r="V29" t="s">
        <v>680</v>
      </c>
      <c r="W29" t="s">
        <v>166</v>
      </c>
      <c r="X29" t="s">
        <v>536</v>
      </c>
      <c r="Y29" t="s">
        <v>547</v>
      </c>
      <c r="AB29" t="s">
        <v>659</v>
      </c>
      <c r="AD29" t="s">
        <v>237</v>
      </c>
      <c r="AE29" t="s">
        <v>470</v>
      </c>
      <c r="AF29">
        <v>0</v>
      </c>
      <c r="AG29">
        <v>0</v>
      </c>
      <c r="AI29">
        <v>0</v>
      </c>
      <c r="AJ29" t="s">
        <v>550</v>
      </c>
      <c r="AK29" t="s">
        <v>659</v>
      </c>
      <c r="AL29" t="s">
        <v>551</v>
      </c>
    </row>
    <row r="30" spans="1:38" x14ac:dyDescent="0.2">
      <c r="A30">
        <v>1235659</v>
      </c>
      <c r="B30">
        <v>8065644</v>
      </c>
      <c r="C30">
        <v>187514</v>
      </c>
      <c r="E30" t="b">
        <v>0</v>
      </c>
      <c r="F30">
        <v>72594</v>
      </c>
      <c r="G30" t="s">
        <v>681</v>
      </c>
      <c r="H30">
        <v>1</v>
      </c>
      <c r="I30" t="s">
        <v>682</v>
      </c>
      <c r="J30" t="s">
        <v>534</v>
      </c>
      <c r="K30" t="s">
        <v>535</v>
      </c>
      <c r="L30" t="s">
        <v>535</v>
      </c>
      <c r="M30" t="s">
        <v>683</v>
      </c>
      <c r="N30" t="s">
        <v>202</v>
      </c>
      <c r="O30" t="s">
        <v>471</v>
      </c>
      <c r="U30" t="s">
        <v>684</v>
      </c>
      <c r="V30" t="s">
        <v>685</v>
      </c>
      <c r="W30" t="s">
        <v>456</v>
      </c>
      <c r="X30" t="s">
        <v>536</v>
      </c>
      <c r="Y30" t="s">
        <v>413</v>
      </c>
      <c r="Z30" t="s">
        <v>548</v>
      </c>
      <c r="AB30" t="s">
        <v>659</v>
      </c>
      <c r="AD30" t="s">
        <v>238</v>
      </c>
      <c r="AE30" t="s">
        <v>472</v>
      </c>
      <c r="AF30">
        <v>0</v>
      </c>
      <c r="AG30">
        <v>0</v>
      </c>
      <c r="AH30">
        <v>0</v>
      </c>
      <c r="AI30">
        <v>0</v>
      </c>
      <c r="AJ30" t="s">
        <v>550</v>
      </c>
      <c r="AK30" t="s">
        <v>659</v>
      </c>
      <c r="AL30" t="s">
        <v>551</v>
      </c>
    </row>
    <row r="31" spans="1:38" x14ac:dyDescent="0.2">
      <c r="A31">
        <v>1235504</v>
      </c>
      <c r="B31">
        <v>6820976</v>
      </c>
      <c r="C31">
        <v>187514</v>
      </c>
      <c r="E31" t="b">
        <v>0</v>
      </c>
      <c r="F31">
        <v>50724</v>
      </c>
      <c r="G31" t="s">
        <v>686</v>
      </c>
      <c r="H31">
        <v>1</v>
      </c>
      <c r="I31" t="s">
        <v>687</v>
      </c>
      <c r="J31" t="s">
        <v>534</v>
      </c>
      <c r="K31" t="s">
        <v>535</v>
      </c>
      <c r="L31" t="s">
        <v>535</v>
      </c>
      <c r="M31" t="s">
        <v>688</v>
      </c>
      <c r="N31" t="s">
        <v>203</v>
      </c>
      <c r="O31" t="s">
        <v>434</v>
      </c>
      <c r="U31" t="s">
        <v>689</v>
      </c>
      <c r="V31" t="s">
        <v>690</v>
      </c>
      <c r="W31" t="s">
        <v>483</v>
      </c>
      <c r="X31" t="s">
        <v>536</v>
      </c>
      <c r="Y31" t="s">
        <v>547</v>
      </c>
      <c r="Z31" t="s">
        <v>548</v>
      </c>
      <c r="AB31" t="s">
        <v>659</v>
      </c>
      <c r="AD31" t="s">
        <v>239</v>
      </c>
      <c r="AE31" t="s">
        <v>432</v>
      </c>
      <c r="AF31">
        <v>0</v>
      </c>
      <c r="AG31">
        <v>0</v>
      </c>
      <c r="AH31">
        <v>27.5</v>
      </c>
      <c r="AI31">
        <v>0</v>
      </c>
      <c r="AJ31" t="s">
        <v>550</v>
      </c>
      <c r="AK31" t="s">
        <v>659</v>
      </c>
      <c r="AL31" t="s">
        <v>551</v>
      </c>
    </row>
    <row r="32" spans="1:38" x14ac:dyDescent="0.2">
      <c r="A32">
        <v>1235506</v>
      </c>
      <c r="B32">
        <v>7162110</v>
      </c>
      <c r="C32">
        <v>187514</v>
      </c>
      <c r="E32" t="b">
        <v>0</v>
      </c>
      <c r="F32">
        <v>57050</v>
      </c>
      <c r="G32" t="s">
        <v>691</v>
      </c>
      <c r="H32">
        <v>1</v>
      </c>
      <c r="I32" t="s">
        <v>692</v>
      </c>
      <c r="J32" t="s">
        <v>534</v>
      </c>
      <c r="K32" t="s">
        <v>535</v>
      </c>
      <c r="L32" t="s">
        <v>535</v>
      </c>
      <c r="M32" t="s">
        <v>693</v>
      </c>
      <c r="N32" t="s">
        <v>204</v>
      </c>
      <c r="O32" t="s">
        <v>436</v>
      </c>
      <c r="U32" t="s">
        <v>694</v>
      </c>
      <c r="V32" t="s">
        <v>695</v>
      </c>
      <c r="W32" t="s">
        <v>107</v>
      </c>
      <c r="X32" t="s">
        <v>536</v>
      </c>
      <c r="Y32" t="s">
        <v>547</v>
      </c>
      <c r="AB32" t="s">
        <v>659</v>
      </c>
      <c r="AD32" t="s">
        <v>240</v>
      </c>
      <c r="AE32" t="s">
        <v>432</v>
      </c>
      <c r="AF32">
        <v>0</v>
      </c>
      <c r="AG32">
        <v>0</v>
      </c>
      <c r="AI32">
        <v>0</v>
      </c>
      <c r="AJ32" t="s">
        <v>550</v>
      </c>
      <c r="AK32" t="s">
        <v>659</v>
      </c>
      <c r="AL32" t="s">
        <v>551</v>
      </c>
    </row>
    <row r="33" spans="1:38" x14ac:dyDescent="0.2">
      <c r="A33">
        <v>1235510</v>
      </c>
      <c r="B33">
        <v>6129692</v>
      </c>
      <c r="C33">
        <v>187514</v>
      </c>
      <c r="E33" t="b">
        <v>0</v>
      </c>
      <c r="F33">
        <v>44349</v>
      </c>
      <c r="G33" t="s">
        <v>696</v>
      </c>
      <c r="H33">
        <v>1</v>
      </c>
      <c r="I33" t="s">
        <v>697</v>
      </c>
      <c r="J33" t="s">
        <v>534</v>
      </c>
      <c r="K33" t="s">
        <v>535</v>
      </c>
      <c r="L33" t="s">
        <v>535</v>
      </c>
      <c r="M33" t="s">
        <v>698</v>
      </c>
      <c r="N33" t="s">
        <v>205</v>
      </c>
      <c r="O33" t="s">
        <v>440</v>
      </c>
      <c r="U33" t="s">
        <v>699</v>
      </c>
      <c r="V33" t="s">
        <v>700</v>
      </c>
      <c r="W33" t="s">
        <v>701</v>
      </c>
      <c r="X33" t="s">
        <v>536</v>
      </c>
      <c r="Y33" t="s">
        <v>547</v>
      </c>
      <c r="AB33" t="s">
        <v>659</v>
      </c>
      <c r="AD33" t="s">
        <v>241</v>
      </c>
      <c r="AE33" t="s">
        <v>432</v>
      </c>
      <c r="AF33">
        <v>0</v>
      </c>
      <c r="AG33">
        <v>0</v>
      </c>
      <c r="AI33">
        <v>0</v>
      </c>
      <c r="AJ33" t="s">
        <v>550</v>
      </c>
      <c r="AK33" t="s">
        <v>659</v>
      </c>
      <c r="AL33" t="s">
        <v>551</v>
      </c>
    </row>
    <row r="34" spans="1:38" x14ac:dyDescent="0.2">
      <c r="A34">
        <v>1235590</v>
      </c>
      <c r="B34">
        <v>7948956</v>
      </c>
      <c r="C34">
        <v>187514</v>
      </c>
      <c r="E34" t="b">
        <v>0</v>
      </c>
      <c r="F34">
        <v>70164</v>
      </c>
      <c r="G34" t="s">
        <v>702</v>
      </c>
      <c r="H34">
        <v>1</v>
      </c>
      <c r="I34" t="s">
        <v>703</v>
      </c>
      <c r="J34" t="s">
        <v>704</v>
      </c>
      <c r="K34" t="s">
        <v>535</v>
      </c>
      <c r="L34" t="s">
        <v>535</v>
      </c>
      <c r="M34" t="s">
        <v>705</v>
      </c>
      <c r="N34" t="s">
        <v>207</v>
      </c>
      <c r="O34" t="s">
        <v>206</v>
      </c>
      <c r="U34" t="s">
        <v>706</v>
      </c>
      <c r="X34" t="s">
        <v>536</v>
      </c>
      <c r="Y34" t="s">
        <v>116</v>
      </c>
      <c r="Z34" t="s">
        <v>548</v>
      </c>
      <c r="AD34" t="s">
        <v>242</v>
      </c>
      <c r="AE34" t="s">
        <v>432</v>
      </c>
      <c r="AJ34" t="s">
        <v>550</v>
      </c>
      <c r="AK34" t="s">
        <v>659</v>
      </c>
      <c r="AL34" t="s">
        <v>551</v>
      </c>
    </row>
    <row r="35" spans="1:38" x14ac:dyDescent="0.2">
      <c r="A35">
        <v>1235489</v>
      </c>
      <c r="B35">
        <v>7008912</v>
      </c>
      <c r="C35">
        <v>187510</v>
      </c>
      <c r="E35" t="b">
        <v>0</v>
      </c>
      <c r="F35">
        <v>53750</v>
      </c>
      <c r="G35" t="s">
        <v>707</v>
      </c>
      <c r="H35">
        <v>1</v>
      </c>
      <c r="I35" t="s">
        <v>708</v>
      </c>
      <c r="J35" t="s">
        <v>534</v>
      </c>
      <c r="K35" t="s">
        <v>533</v>
      </c>
      <c r="L35" t="s">
        <v>535</v>
      </c>
      <c r="M35" t="s">
        <v>709</v>
      </c>
      <c r="N35" t="s">
        <v>424</v>
      </c>
      <c r="O35" t="s">
        <v>426</v>
      </c>
      <c r="S35" t="s">
        <v>587</v>
      </c>
      <c r="U35" t="s">
        <v>710</v>
      </c>
      <c r="V35" t="s">
        <v>711</v>
      </c>
      <c r="W35" t="s">
        <v>442</v>
      </c>
      <c r="X35" t="s">
        <v>536</v>
      </c>
      <c r="Y35" t="s">
        <v>116</v>
      </c>
      <c r="Z35" t="s">
        <v>548</v>
      </c>
      <c r="AA35" t="s">
        <v>22</v>
      </c>
      <c r="AB35" t="s">
        <v>591</v>
      </c>
      <c r="AD35" t="s">
        <v>427</v>
      </c>
      <c r="AE35" t="s">
        <v>427</v>
      </c>
      <c r="AF35">
        <v>0</v>
      </c>
      <c r="AG35">
        <v>0</v>
      </c>
      <c r="AH35">
        <v>76.25</v>
      </c>
      <c r="AI35">
        <v>0</v>
      </c>
      <c r="AJ35" t="s">
        <v>550</v>
      </c>
      <c r="AK35" t="s">
        <v>591</v>
      </c>
      <c r="AL35" t="s">
        <v>551</v>
      </c>
    </row>
    <row r="36" spans="1:38" x14ac:dyDescent="0.2">
      <c r="A36">
        <v>1235508</v>
      </c>
      <c r="B36">
        <v>4996970</v>
      </c>
      <c r="C36">
        <v>187508</v>
      </c>
      <c r="E36" t="b">
        <v>0</v>
      </c>
      <c r="F36">
        <v>28336</v>
      </c>
      <c r="G36" t="s">
        <v>712</v>
      </c>
      <c r="H36">
        <v>1</v>
      </c>
      <c r="I36" t="s">
        <v>713</v>
      </c>
      <c r="J36" t="s">
        <v>534</v>
      </c>
      <c r="K36" t="s">
        <v>535</v>
      </c>
      <c r="L36" t="s">
        <v>535</v>
      </c>
      <c r="M36" t="s">
        <v>714</v>
      </c>
      <c r="N36" t="s">
        <v>715</v>
      </c>
      <c r="O36" t="s">
        <v>438</v>
      </c>
      <c r="U36" t="s">
        <v>716</v>
      </c>
      <c r="X36" t="s">
        <v>536</v>
      </c>
      <c r="Y36" t="s">
        <v>116</v>
      </c>
      <c r="Z36" t="s">
        <v>548</v>
      </c>
      <c r="AD36" t="s">
        <v>717</v>
      </c>
      <c r="AE36" t="s">
        <v>411</v>
      </c>
      <c r="AJ36" t="s">
        <v>550</v>
      </c>
      <c r="AK36" t="s">
        <v>549</v>
      </c>
      <c r="AL36" t="s">
        <v>551</v>
      </c>
    </row>
    <row r="37" spans="1:38" x14ac:dyDescent="0.2">
      <c r="A37">
        <v>1235777</v>
      </c>
      <c r="B37">
        <v>5034456</v>
      </c>
      <c r="C37">
        <v>187514</v>
      </c>
      <c r="E37" t="b">
        <v>0</v>
      </c>
      <c r="F37">
        <v>29273</v>
      </c>
      <c r="G37" t="s">
        <v>718</v>
      </c>
      <c r="H37">
        <v>1</v>
      </c>
      <c r="I37" t="s">
        <v>719</v>
      </c>
      <c r="J37" t="s">
        <v>534</v>
      </c>
      <c r="K37" t="s">
        <v>535</v>
      </c>
      <c r="L37" t="s">
        <v>535</v>
      </c>
      <c r="M37" t="s">
        <v>720</v>
      </c>
      <c r="N37" t="s">
        <v>208</v>
      </c>
      <c r="O37" t="s">
        <v>489</v>
      </c>
      <c r="S37" t="s">
        <v>673</v>
      </c>
      <c r="V37" t="s">
        <v>721</v>
      </c>
      <c r="W37" t="s">
        <v>722</v>
      </c>
      <c r="X37" t="s">
        <v>536</v>
      </c>
      <c r="Y37" t="s">
        <v>116</v>
      </c>
      <c r="Z37" t="s">
        <v>548</v>
      </c>
      <c r="AB37" t="s">
        <v>659</v>
      </c>
      <c r="AD37" t="s">
        <v>244</v>
      </c>
      <c r="AE37" t="s">
        <v>490</v>
      </c>
      <c r="AF37">
        <v>0</v>
      </c>
      <c r="AG37">
        <v>0</v>
      </c>
      <c r="AH37">
        <v>27.5</v>
      </c>
      <c r="AI37">
        <v>0</v>
      </c>
      <c r="AJ37" t="s">
        <v>550</v>
      </c>
      <c r="AK37" t="s">
        <v>659</v>
      </c>
      <c r="AL37" t="s">
        <v>551</v>
      </c>
    </row>
    <row r="38" spans="1:38" x14ac:dyDescent="0.2">
      <c r="A38">
        <v>1235400</v>
      </c>
      <c r="B38">
        <v>6119636</v>
      </c>
      <c r="C38">
        <v>187514</v>
      </c>
      <c r="E38" t="b">
        <v>0</v>
      </c>
      <c r="F38">
        <v>44172</v>
      </c>
      <c r="G38" t="s">
        <v>723</v>
      </c>
      <c r="H38">
        <v>1</v>
      </c>
      <c r="I38" t="s">
        <v>724</v>
      </c>
      <c r="J38" t="s">
        <v>534</v>
      </c>
      <c r="K38" t="s">
        <v>535</v>
      </c>
      <c r="L38" t="s">
        <v>535</v>
      </c>
      <c r="M38" t="s">
        <v>725</v>
      </c>
      <c r="N38" t="s">
        <v>209</v>
      </c>
      <c r="O38" t="s">
        <v>410</v>
      </c>
      <c r="U38" t="s">
        <v>726</v>
      </c>
      <c r="V38" t="s">
        <v>727</v>
      </c>
      <c r="W38" t="s">
        <v>701</v>
      </c>
      <c r="X38" t="s">
        <v>536</v>
      </c>
      <c r="Y38" t="s">
        <v>547</v>
      </c>
      <c r="AB38" t="s">
        <v>659</v>
      </c>
      <c r="AD38" t="s">
        <v>245</v>
      </c>
      <c r="AE38" t="s">
        <v>411</v>
      </c>
      <c r="AF38">
        <v>0</v>
      </c>
      <c r="AG38">
        <v>0</v>
      </c>
      <c r="AI38">
        <v>0</v>
      </c>
      <c r="AJ38" t="s">
        <v>550</v>
      </c>
      <c r="AK38" t="s">
        <v>659</v>
      </c>
      <c r="AL38" t="s">
        <v>551</v>
      </c>
    </row>
    <row r="39" spans="1:38" x14ac:dyDescent="0.2">
      <c r="A39">
        <v>1235661</v>
      </c>
      <c r="B39">
        <v>8074219</v>
      </c>
      <c r="C39">
        <v>187514</v>
      </c>
      <c r="E39" t="b">
        <v>0</v>
      </c>
      <c r="F39">
        <v>72769</v>
      </c>
      <c r="G39" t="s">
        <v>728</v>
      </c>
      <c r="H39">
        <v>1</v>
      </c>
      <c r="I39" t="s">
        <v>729</v>
      </c>
      <c r="J39" t="s">
        <v>534</v>
      </c>
      <c r="K39" t="s">
        <v>535</v>
      </c>
      <c r="L39" t="s">
        <v>535</v>
      </c>
      <c r="M39" t="s">
        <v>730</v>
      </c>
      <c r="N39" t="s">
        <v>210</v>
      </c>
      <c r="O39" t="s">
        <v>474</v>
      </c>
      <c r="S39" t="s">
        <v>673</v>
      </c>
      <c r="U39" t="s">
        <v>731</v>
      </c>
      <c r="V39" t="s">
        <v>732</v>
      </c>
      <c r="W39" t="s">
        <v>505</v>
      </c>
      <c r="X39" t="s">
        <v>536</v>
      </c>
      <c r="Y39" t="s">
        <v>547</v>
      </c>
      <c r="Z39" t="s">
        <v>548</v>
      </c>
      <c r="AB39" t="s">
        <v>659</v>
      </c>
      <c r="AD39" t="s">
        <v>246</v>
      </c>
      <c r="AE39" t="s">
        <v>411</v>
      </c>
      <c r="AF39">
        <v>0</v>
      </c>
      <c r="AG39">
        <v>0</v>
      </c>
      <c r="AH39">
        <v>0</v>
      </c>
      <c r="AI39">
        <v>0</v>
      </c>
      <c r="AJ39" t="s">
        <v>550</v>
      </c>
      <c r="AK39" t="s">
        <v>659</v>
      </c>
      <c r="AL39" t="s">
        <v>551</v>
      </c>
    </row>
    <row r="40" spans="1:38" x14ac:dyDescent="0.2">
      <c r="A40">
        <v>1235507</v>
      </c>
      <c r="B40">
        <v>8085736</v>
      </c>
      <c r="C40">
        <v>187514</v>
      </c>
      <c r="E40" t="b">
        <v>0</v>
      </c>
      <c r="F40">
        <v>72935</v>
      </c>
      <c r="G40" t="s">
        <v>733</v>
      </c>
      <c r="H40">
        <v>1</v>
      </c>
      <c r="I40" t="s">
        <v>734</v>
      </c>
      <c r="J40" t="s">
        <v>533</v>
      </c>
      <c r="K40" t="s">
        <v>533</v>
      </c>
      <c r="L40" t="s">
        <v>533</v>
      </c>
      <c r="M40" t="s">
        <v>735</v>
      </c>
      <c r="N40" t="s">
        <v>211</v>
      </c>
      <c r="O40" t="s">
        <v>437</v>
      </c>
      <c r="U40" t="s">
        <v>736</v>
      </c>
      <c r="V40" t="s">
        <v>737</v>
      </c>
      <c r="W40" t="s">
        <v>468</v>
      </c>
      <c r="X40" t="s">
        <v>536</v>
      </c>
      <c r="Y40" t="s">
        <v>547</v>
      </c>
      <c r="AB40" t="s">
        <v>659</v>
      </c>
      <c r="AD40" t="s">
        <v>247</v>
      </c>
      <c r="AE40" t="s">
        <v>411</v>
      </c>
      <c r="AF40">
        <v>0</v>
      </c>
      <c r="AG40">
        <v>0</v>
      </c>
      <c r="AI40">
        <v>0</v>
      </c>
      <c r="AJ40" t="s">
        <v>550</v>
      </c>
      <c r="AK40" t="s">
        <v>659</v>
      </c>
      <c r="AL40" t="s">
        <v>551</v>
      </c>
    </row>
    <row r="42" spans="1:38" x14ac:dyDescent="0.2">
      <c r="A42">
        <v>1235500</v>
      </c>
      <c r="B42">
        <v>8128420</v>
      </c>
      <c r="C42">
        <v>187514</v>
      </c>
      <c r="E42" t="b">
        <v>0</v>
      </c>
      <c r="F42">
        <v>73271</v>
      </c>
      <c r="G42" t="s">
        <v>738</v>
      </c>
      <c r="H42">
        <v>1</v>
      </c>
      <c r="I42" t="s">
        <v>739</v>
      </c>
      <c r="J42" t="s">
        <v>534</v>
      </c>
      <c r="K42" t="s">
        <v>533</v>
      </c>
      <c r="L42" t="s">
        <v>535</v>
      </c>
      <c r="M42" t="s">
        <v>740</v>
      </c>
      <c r="N42" t="s">
        <v>212</v>
      </c>
      <c r="O42" t="s">
        <v>429</v>
      </c>
      <c r="U42" t="s">
        <v>741</v>
      </c>
      <c r="V42" t="s">
        <v>742</v>
      </c>
      <c r="W42" t="s">
        <v>107</v>
      </c>
      <c r="X42" t="s">
        <v>536</v>
      </c>
      <c r="Y42" t="s">
        <v>116</v>
      </c>
      <c r="Z42" t="s">
        <v>548</v>
      </c>
      <c r="AB42" t="s">
        <v>659</v>
      </c>
      <c r="AD42" t="s">
        <v>248</v>
      </c>
      <c r="AE42" t="s">
        <v>411</v>
      </c>
      <c r="AF42">
        <v>0</v>
      </c>
      <c r="AG42">
        <v>0</v>
      </c>
      <c r="AH42">
        <v>0</v>
      </c>
      <c r="AI42">
        <v>0</v>
      </c>
      <c r="AJ42" t="s">
        <v>550</v>
      </c>
      <c r="AK42" t="s">
        <v>659</v>
      </c>
      <c r="AL42" t="s">
        <v>551</v>
      </c>
    </row>
    <row r="43" spans="1:38" x14ac:dyDescent="0.2">
      <c r="A43">
        <v>1235509</v>
      </c>
      <c r="B43">
        <v>6206718</v>
      </c>
      <c r="C43">
        <v>187514</v>
      </c>
      <c r="E43" t="b">
        <v>0</v>
      </c>
      <c r="F43">
        <v>46040</v>
      </c>
      <c r="G43" t="s">
        <v>743</v>
      </c>
      <c r="H43">
        <v>2</v>
      </c>
      <c r="I43" t="s">
        <v>744</v>
      </c>
      <c r="J43" t="s">
        <v>534</v>
      </c>
      <c r="K43" t="s">
        <v>535</v>
      </c>
      <c r="L43" t="s">
        <v>535</v>
      </c>
      <c r="M43" t="s">
        <v>745</v>
      </c>
      <c r="N43" t="s">
        <v>213</v>
      </c>
      <c r="O43" t="s">
        <v>439</v>
      </c>
      <c r="U43" t="s">
        <v>746</v>
      </c>
      <c r="V43" t="s">
        <v>747</v>
      </c>
      <c r="W43" t="s">
        <v>722</v>
      </c>
      <c r="X43" t="s">
        <v>536</v>
      </c>
      <c r="Y43" t="s">
        <v>547</v>
      </c>
      <c r="AB43" t="s">
        <v>659</v>
      </c>
      <c r="AD43" t="s">
        <v>249</v>
      </c>
      <c r="AE43" t="s">
        <v>411</v>
      </c>
      <c r="AF43">
        <v>0</v>
      </c>
      <c r="AG43">
        <v>0</v>
      </c>
      <c r="AI43">
        <v>0</v>
      </c>
      <c r="AJ43" t="s">
        <v>550</v>
      </c>
      <c r="AK43" t="s">
        <v>659</v>
      </c>
      <c r="AL43" t="s">
        <v>551</v>
      </c>
    </row>
    <row r="44" spans="1:38" x14ac:dyDescent="0.2">
      <c r="A44">
        <v>1235498</v>
      </c>
      <c r="B44">
        <v>4234901</v>
      </c>
      <c r="C44">
        <v>187508</v>
      </c>
      <c r="E44" t="b">
        <v>0</v>
      </c>
      <c r="F44">
        <v>24455</v>
      </c>
      <c r="G44" t="s">
        <v>748</v>
      </c>
      <c r="H44">
        <v>1</v>
      </c>
      <c r="I44" t="s">
        <v>749</v>
      </c>
      <c r="J44" t="s">
        <v>534</v>
      </c>
      <c r="K44" t="s">
        <v>535</v>
      </c>
      <c r="L44" t="s">
        <v>535</v>
      </c>
      <c r="M44" t="s">
        <v>750</v>
      </c>
      <c r="N44" t="s">
        <v>214</v>
      </c>
      <c r="O44" t="s">
        <v>428</v>
      </c>
      <c r="S44" t="s">
        <v>751</v>
      </c>
      <c r="U44" t="s">
        <v>752</v>
      </c>
      <c r="V44" t="s">
        <v>753</v>
      </c>
      <c r="W44" t="s">
        <v>754</v>
      </c>
      <c r="X44" t="s">
        <v>536</v>
      </c>
      <c r="Y44" t="s">
        <v>116</v>
      </c>
      <c r="Z44" t="s">
        <v>548</v>
      </c>
      <c r="AB44" t="s">
        <v>549</v>
      </c>
      <c r="AD44" t="s">
        <v>250</v>
      </c>
      <c r="AE44" t="s">
        <v>411</v>
      </c>
      <c r="AF44">
        <v>0</v>
      </c>
      <c r="AG44">
        <v>0</v>
      </c>
      <c r="AH44">
        <v>68</v>
      </c>
      <c r="AI44">
        <v>0</v>
      </c>
      <c r="AJ44" t="s">
        <v>550</v>
      </c>
      <c r="AK44" t="s">
        <v>549</v>
      </c>
      <c r="AL44" t="s">
        <v>551</v>
      </c>
    </row>
    <row r="45" spans="1:38" x14ac:dyDescent="0.2">
      <c r="A45">
        <v>1235401</v>
      </c>
      <c r="B45">
        <v>6140648</v>
      </c>
      <c r="C45">
        <v>187514</v>
      </c>
      <c r="E45" t="b">
        <v>0</v>
      </c>
      <c r="F45">
        <v>44618</v>
      </c>
      <c r="G45" t="s">
        <v>755</v>
      </c>
      <c r="H45">
        <v>1</v>
      </c>
      <c r="I45" t="s">
        <v>756</v>
      </c>
      <c r="J45" t="s">
        <v>534</v>
      </c>
      <c r="K45" t="s">
        <v>535</v>
      </c>
      <c r="L45" t="s">
        <v>535</v>
      </c>
      <c r="M45" t="s">
        <v>757</v>
      </c>
      <c r="N45" t="s">
        <v>215</v>
      </c>
      <c r="O45" t="s">
        <v>412</v>
      </c>
      <c r="P45" t="s">
        <v>115</v>
      </c>
      <c r="U45" t="s">
        <v>758</v>
      </c>
      <c r="V45" t="s">
        <v>759</v>
      </c>
      <c r="W45" t="s">
        <v>166</v>
      </c>
      <c r="X45" t="s">
        <v>536</v>
      </c>
      <c r="Y45" t="s">
        <v>116</v>
      </c>
      <c r="AB45" t="s">
        <v>659</v>
      </c>
      <c r="AD45" t="s">
        <v>251</v>
      </c>
      <c r="AE45" t="s">
        <v>411</v>
      </c>
      <c r="AF45">
        <v>0</v>
      </c>
      <c r="AG45">
        <v>0</v>
      </c>
      <c r="AI45">
        <v>0</v>
      </c>
      <c r="AJ45" t="s">
        <v>550</v>
      </c>
      <c r="AK45" t="s">
        <v>659</v>
      </c>
      <c r="AL45" t="s">
        <v>551</v>
      </c>
    </row>
    <row r="46" spans="1:38" x14ac:dyDescent="0.2">
      <c r="A46">
        <v>1235402</v>
      </c>
      <c r="B46">
        <v>8128495</v>
      </c>
      <c r="C46">
        <v>187514</v>
      </c>
      <c r="E46" t="b">
        <v>0</v>
      </c>
      <c r="F46">
        <v>73279</v>
      </c>
      <c r="G46" t="s">
        <v>760</v>
      </c>
      <c r="H46">
        <v>1</v>
      </c>
      <c r="I46" t="s">
        <v>761</v>
      </c>
      <c r="J46" t="s">
        <v>534</v>
      </c>
      <c r="K46" t="s">
        <v>535</v>
      </c>
      <c r="L46" t="s">
        <v>535</v>
      </c>
      <c r="M46" t="s">
        <v>762</v>
      </c>
      <c r="N46" t="s">
        <v>216</v>
      </c>
      <c r="O46" t="s">
        <v>414</v>
      </c>
      <c r="P46" t="s">
        <v>115</v>
      </c>
      <c r="U46" t="s">
        <v>763</v>
      </c>
      <c r="V46" t="s">
        <v>764</v>
      </c>
      <c r="W46" t="s">
        <v>107</v>
      </c>
      <c r="X46" t="s">
        <v>536</v>
      </c>
      <c r="Y46" t="s">
        <v>116</v>
      </c>
      <c r="Z46" t="s">
        <v>548</v>
      </c>
      <c r="AB46" t="s">
        <v>659</v>
      </c>
      <c r="AD46" t="s">
        <v>252</v>
      </c>
      <c r="AE46" t="s">
        <v>411</v>
      </c>
      <c r="AF46">
        <v>0</v>
      </c>
      <c r="AG46">
        <v>0</v>
      </c>
      <c r="AH46">
        <v>0</v>
      </c>
      <c r="AI46">
        <v>0</v>
      </c>
      <c r="AJ46" t="s">
        <v>550</v>
      </c>
      <c r="AK46" t="s">
        <v>659</v>
      </c>
      <c r="AL46" t="s">
        <v>551</v>
      </c>
    </row>
    <row r="47" spans="1:38" x14ac:dyDescent="0.2">
      <c r="A47">
        <v>1235610</v>
      </c>
      <c r="B47">
        <v>3518992</v>
      </c>
      <c r="E47" t="b">
        <v>0</v>
      </c>
      <c r="F47">
        <v>7771</v>
      </c>
      <c r="G47" t="s">
        <v>765</v>
      </c>
      <c r="H47">
        <v>1</v>
      </c>
      <c r="I47" t="s">
        <v>766</v>
      </c>
      <c r="J47" t="s">
        <v>534</v>
      </c>
      <c r="K47" t="s">
        <v>533</v>
      </c>
      <c r="L47" t="s">
        <v>535</v>
      </c>
      <c r="M47" t="s">
        <v>767</v>
      </c>
      <c r="N47" t="s">
        <v>222</v>
      </c>
      <c r="O47" t="s">
        <v>221</v>
      </c>
      <c r="P47" t="s">
        <v>458</v>
      </c>
      <c r="S47" t="s">
        <v>579</v>
      </c>
      <c r="V47" t="s">
        <v>768</v>
      </c>
      <c r="W47" t="s">
        <v>442</v>
      </c>
      <c r="X47" t="s">
        <v>536</v>
      </c>
      <c r="Y47" t="s">
        <v>116</v>
      </c>
      <c r="Z47" t="s">
        <v>548</v>
      </c>
      <c r="AD47" t="s">
        <v>220</v>
      </c>
      <c r="AE47" t="s">
        <v>459</v>
      </c>
      <c r="AF47">
        <v>0</v>
      </c>
      <c r="AG47">
        <v>0</v>
      </c>
      <c r="AH47">
        <v>41</v>
      </c>
      <c r="AI47">
        <v>0</v>
      </c>
      <c r="AJ47" t="s">
        <v>769</v>
      </c>
    </row>
    <row r="49" spans="1:38" x14ac:dyDescent="0.2">
      <c r="A49">
        <v>1235673</v>
      </c>
      <c r="B49">
        <v>7098933</v>
      </c>
      <c r="C49">
        <v>187514</v>
      </c>
      <c r="E49" t="b">
        <v>0</v>
      </c>
      <c r="F49">
        <v>55608</v>
      </c>
      <c r="G49" t="s">
        <v>770</v>
      </c>
      <c r="H49">
        <v>1</v>
      </c>
      <c r="I49" t="s">
        <v>771</v>
      </c>
      <c r="J49" t="s">
        <v>534</v>
      </c>
      <c r="K49" t="s">
        <v>535</v>
      </c>
      <c r="L49" t="s">
        <v>535</v>
      </c>
      <c r="M49" t="s">
        <v>772</v>
      </c>
      <c r="N49" t="s">
        <v>327</v>
      </c>
      <c r="O49" t="s">
        <v>475</v>
      </c>
      <c r="U49" t="s">
        <v>773</v>
      </c>
      <c r="V49" t="s">
        <v>774</v>
      </c>
      <c r="W49" t="s">
        <v>107</v>
      </c>
      <c r="X49" t="s">
        <v>536</v>
      </c>
      <c r="Y49" t="s">
        <v>547</v>
      </c>
      <c r="Z49" t="s">
        <v>548</v>
      </c>
      <c r="AB49" t="s">
        <v>659</v>
      </c>
      <c r="AD49" t="s">
        <v>326</v>
      </c>
      <c r="AE49" t="s">
        <v>444</v>
      </c>
      <c r="AF49">
        <v>0</v>
      </c>
      <c r="AG49">
        <v>0</v>
      </c>
      <c r="AH49">
        <v>27.5</v>
      </c>
      <c r="AI49">
        <v>0</v>
      </c>
      <c r="AJ49" t="s">
        <v>550</v>
      </c>
      <c r="AK49" t="s">
        <v>659</v>
      </c>
      <c r="AL49" t="s">
        <v>551</v>
      </c>
    </row>
    <row r="50" spans="1:38" x14ac:dyDescent="0.2">
      <c r="A50">
        <v>1235526</v>
      </c>
      <c r="B50">
        <v>6917566</v>
      </c>
      <c r="C50">
        <v>187514</v>
      </c>
      <c r="E50" t="b">
        <v>0</v>
      </c>
      <c r="F50">
        <v>51875</v>
      </c>
      <c r="G50" t="s">
        <v>775</v>
      </c>
      <c r="H50">
        <v>1</v>
      </c>
      <c r="I50" t="s">
        <v>776</v>
      </c>
      <c r="J50" t="s">
        <v>534</v>
      </c>
      <c r="K50" t="s">
        <v>535</v>
      </c>
      <c r="L50" t="s">
        <v>535</v>
      </c>
      <c r="M50" t="s">
        <v>777</v>
      </c>
      <c r="N50" t="s">
        <v>217</v>
      </c>
      <c r="O50" t="s">
        <v>443</v>
      </c>
      <c r="U50" t="s">
        <v>778</v>
      </c>
      <c r="V50" t="s">
        <v>779</v>
      </c>
      <c r="W50" t="s">
        <v>456</v>
      </c>
      <c r="X50" t="s">
        <v>536</v>
      </c>
      <c r="Y50" t="s">
        <v>547</v>
      </c>
      <c r="AB50" t="s">
        <v>659</v>
      </c>
      <c r="AD50" t="s">
        <v>253</v>
      </c>
      <c r="AE50" t="s">
        <v>444</v>
      </c>
      <c r="AF50">
        <v>0</v>
      </c>
      <c r="AG50">
        <v>0</v>
      </c>
      <c r="AI50">
        <v>0</v>
      </c>
      <c r="AJ50" t="s">
        <v>550</v>
      </c>
      <c r="AK50" t="s">
        <v>659</v>
      </c>
      <c r="AL50" t="s">
        <v>551</v>
      </c>
    </row>
    <row r="51" spans="1:38" x14ac:dyDescent="0.2">
      <c r="A51">
        <v>2635568</v>
      </c>
      <c r="B51">
        <v>7621062</v>
      </c>
      <c r="C51">
        <v>187514</v>
      </c>
      <c r="E51" t="b">
        <v>0</v>
      </c>
      <c r="F51">
        <v>64450</v>
      </c>
      <c r="G51" t="s">
        <v>780</v>
      </c>
      <c r="H51">
        <v>1</v>
      </c>
      <c r="I51" t="s">
        <v>781</v>
      </c>
      <c r="J51" t="s">
        <v>533</v>
      </c>
      <c r="K51" t="s">
        <v>533</v>
      </c>
      <c r="L51" t="s">
        <v>533</v>
      </c>
      <c r="M51" t="s">
        <v>782</v>
      </c>
      <c r="N51" t="s">
        <v>218</v>
      </c>
      <c r="O51" t="s">
        <v>503</v>
      </c>
      <c r="U51" t="s">
        <v>783</v>
      </c>
      <c r="V51" t="s">
        <v>784</v>
      </c>
      <c r="W51" t="s">
        <v>496</v>
      </c>
      <c r="X51" t="s">
        <v>536</v>
      </c>
      <c r="Y51" t="s">
        <v>413</v>
      </c>
      <c r="Z51" t="s">
        <v>548</v>
      </c>
      <c r="AB51" t="s">
        <v>659</v>
      </c>
      <c r="AD51" t="s">
        <v>254</v>
      </c>
      <c r="AE51" t="s">
        <v>444</v>
      </c>
      <c r="AF51">
        <v>0</v>
      </c>
      <c r="AG51">
        <v>0</v>
      </c>
      <c r="AH51">
        <v>27.5</v>
      </c>
      <c r="AI51">
        <v>0</v>
      </c>
      <c r="AJ51" t="s">
        <v>550</v>
      </c>
      <c r="AK51" t="s">
        <v>659</v>
      </c>
      <c r="AL51" t="s">
        <v>551</v>
      </c>
    </row>
    <row r="52" spans="1:38" x14ac:dyDescent="0.2">
      <c r="A52">
        <v>1235345</v>
      </c>
      <c r="B52">
        <v>7865996</v>
      </c>
      <c r="C52">
        <v>7654931</v>
      </c>
      <c r="E52" t="b">
        <v>0</v>
      </c>
      <c r="F52">
        <v>68489</v>
      </c>
      <c r="G52" t="s">
        <v>785</v>
      </c>
      <c r="H52">
        <v>1</v>
      </c>
      <c r="I52" t="s">
        <v>786</v>
      </c>
      <c r="J52" t="s">
        <v>534</v>
      </c>
      <c r="K52" t="s">
        <v>535</v>
      </c>
      <c r="L52" t="s">
        <v>535</v>
      </c>
      <c r="M52" t="s">
        <v>787</v>
      </c>
      <c r="N52" t="s">
        <v>184</v>
      </c>
      <c r="O52" t="s">
        <v>184</v>
      </c>
      <c r="P52" t="s">
        <v>405</v>
      </c>
      <c r="S52" t="s">
        <v>788</v>
      </c>
      <c r="U52" t="s">
        <v>789</v>
      </c>
      <c r="V52" t="s">
        <v>790</v>
      </c>
      <c r="W52" t="s">
        <v>791</v>
      </c>
      <c r="X52" t="s">
        <v>536</v>
      </c>
      <c r="Y52" t="s">
        <v>116</v>
      </c>
      <c r="Z52" t="s">
        <v>792</v>
      </c>
      <c r="AB52" t="s">
        <v>574</v>
      </c>
      <c r="AD52" t="s">
        <v>183</v>
      </c>
      <c r="AE52" t="s">
        <v>406</v>
      </c>
      <c r="AF52">
        <v>0</v>
      </c>
      <c r="AG52">
        <v>0</v>
      </c>
      <c r="AH52">
        <v>117.75</v>
      </c>
      <c r="AI52">
        <v>0</v>
      </c>
      <c r="AJ52" t="s">
        <v>550</v>
      </c>
      <c r="AK52" t="s">
        <v>574</v>
      </c>
      <c r="AL52" t="s">
        <v>793</v>
      </c>
    </row>
    <row r="53" spans="1:38" x14ac:dyDescent="0.2">
      <c r="A53">
        <v>1235444</v>
      </c>
      <c r="B53">
        <v>7855800</v>
      </c>
      <c r="C53">
        <v>187508</v>
      </c>
      <c r="E53" t="b">
        <v>0</v>
      </c>
      <c r="F53">
        <v>68290</v>
      </c>
      <c r="G53" t="s">
        <v>794</v>
      </c>
      <c r="H53">
        <v>1</v>
      </c>
      <c r="I53" t="s">
        <v>795</v>
      </c>
      <c r="J53" t="s">
        <v>534</v>
      </c>
      <c r="K53" t="s">
        <v>533</v>
      </c>
      <c r="L53" t="s">
        <v>535</v>
      </c>
      <c r="M53" t="s">
        <v>796</v>
      </c>
      <c r="N53" t="s">
        <v>188</v>
      </c>
      <c r="O53" t="s">
        <v>187</v>
      </c>
      <c r="P53" t="s">
        <v>115</v>
      </c>
      <c r="S53" t="s">
        <v>587</v>
      </c>
      <c r="U53" t="s">
        <v>797</v>
      </c>
      <c r="V53" t="s">
        <v>798</v>
      </c>
      <c r="W53" t="s">
        <v>442</v>
      </c>
      <c r="X53" t="s">
        <v>536</v>
      </c>
      <c r="Y53" t="s">
        <v>547</v>
      </c>
      <c r="Z53" t="s">
        <v>548</v>
      </c>
      <c r="AB53" t="s">
        <v>549</v>
      </c>
      <c r="AD53" t="s">
        <v>423</v>
      </c>
      <c r="AE53" t="s">
        <v>799</v>
      </c>
      <c r="AF53">
        <v>0</v>
      </c>
      <c r="AG53">
        <v>0</v>
      </c>
      <c r="AH53">
        <v>102</v>
      </c>
      <c r="AI53">
        <v>0</v>
      </c>
      <c r="AJ53" t="s">
        <v>550</v>
      </c>
      <c r="AK53" t="s">
        <v>549</v>
      </c>
      <c r="AL53" t="s">
        <v>551</v>
      </c>
    </row>
    <row r="54" spans="1:38" x14ac:dyDescent="0.2">
      <c r="A54">
        <v>1235564</v>
      </c>
      <c r="B54">
        <v>7890061</v>
      </c>
      <c r="C54">
        <v>187508</v>
      </c>
      <c r="E54" t="b">
        <v>0</v>
      </c>
      <c r="F54">
        <v>69031</v>
      </c>
      <c r="G54" t="s">
        <v>800</v>
      </c>
      <c r="H54">
        <v>1</v>
      </c>
      <c r="I54" t="s">
        <v>801</v>
      </c>
      <c r="J54" t="s">
        <v>534</v>
      </c>
      <c r="K54" t="s">
        <v>533</v>
      </c>
      <c r="L54" t="s">
        <v>535</v>
      </c>
      <c r="M54" t="s">
        <v>802</v>
      </c>
      <c r="N54" t="s">
        <v>193</v>
      </c>
      <c r="O54" t="s">
        <v>192</v>
      </c>
      <c r="S54" t="s">
        <v>803</v>
      </c>
      <c r="U54" t="s">
        <v>804</v>
      </c>
      <c r="V54" t="s">
        <v>805</v>
      </c>
      <c r="W54" t="s">
        <v>442</v>
      </c>
      <c r="X54" t="s">
        <v>536</v>
      </c>
      <c r="Y54" t="s">
        <v>547</v>
      </c>
      <c r="Z54" t="s">
        <v>548</v>
      </c>
      <c r="AB54" t="s">
        <v>549</v>
      </c>
      <c r="AD54" t="s">
        <v>191</v>
      </c>
      <c r="AE54" t="s">
        <v>454</v>
      </c>
      <c r="AF54">
        <v>0</v>
      </c>
      <c r="AG54">
        <v>0</v>
      </c>
      <c r="AH54">
        <v>75</v>
      </c>
      <c r="AI54">
        <v>0</v>
      </c>
      <c r="AJ54" t="s">
        <v>550</v>
      </c>
      <c r="AK54" t="s">
        <v>549</v>
      </c>
      <c r="AL54" t="s">
        <v>551</v>
      </c>
    </row>
    <row r="55" spans="1:38" x14ac:dyDescent="0.2">
      <c r="A55">
        <v>1235501</v>
      </c>
      <c r="B55">
        <v>8010165</v>
      </c>
      <c r="C55">
        <v>187508</v>
      </c>
      <c r="E55" t="b">
        <v>0</v>
      </c>
      <c r="F55">
        <v>71410</v>
      </c>
      <c r="G55" t="s">
        <v>806</v>
      </c>
      <c r="H55">
        <v>1</v>
      </c>
      <c r="I55" t="s">
        <v>807</v>
      </c>
      <c r="J55" t="s">
        <v>534</v>
      </c>
      <c r="K55" t="s">
        <v>533</v>
      </c>
      <c r="L55" t="s">
        <v>535</v>
      </c>
      <c r="M55" t="s">
        <v>808</v>
      </c>
      <c r="N55" t="s">
        <v>196</v>
      </c>
      <c r="O55" t="s">
        <v>195</v>
      </c>
      <c r="P55" t="s">
        <v>413</v>
      </c>
      <c r="S55" t="s">
        <v>587</v>
      </c>
      <c r="U55" t="s">
        <v>625</v>
      </c>
      <c r="V55" t="s">
        <v>809</v>
      </c>
      <c r="W55" t="s">
        <v>442</v>
      </c>
      <c r="X55" t="s">
        <v>536</v>
      </c>
      <c r="Y55" t="s">
        <v>547</v>
      </c>
      <c r="Z55" t="s">
        <v>548</v>
      </c>
      <c r="AB55" t="s">
        <v>549</v>
      </c>
      <c r="AD55" t="s">
        <v>194</v>
      </c>
      <c r="AE55" t="s">
        <v>430</v>
      </c>
      <c r="AF55">
        <v>0</v>
      </c>
      <c r="AG55">
        <v>0</v>
      </c>
      <c r="AH55">
        <v>75</v>
      </c>
      <c r="AI55">
        <v>0</v>
      </c>
      <c r="AJ55" t="s">
        <v>550</v>
      </c>
      <c r="AK55" t="s">
        <v>549</v>
      </c>
      <c r="AL55" t="s">
        <v>551</v>
      </c>
    </row>
    <row r="56" spans="1:38" x14ac:dyDescent="0.2">
      <c r="A56">
        <v>1235704</v>
      </c>
      <c r="B56">
        <v>8031653</v>
      </c>
      <c r="C56">
        <v>187514</v>
      </c>
      <c r="E56" t="b">
        <v>0</v>
      </c>
      <c r="F56">
        <v>71907</v>
      </c>
      <c r="G56" t="s">
        <v>810</v>
      </c>
      <c r="H56">
        <v>1</v>
      </c>
      <c r="I56" t="s">
        <v>811</v>
      </c>
      <c r="J56" t="s">
        <v>534</v>
      </c>
      <c r="K56" t="s">
        <v>535</v>
      </c>
      <c r="L56" t="s">
        <v>535</v>
      </c>
      <c r="M56" t="s">
        <v>812</v>
      </c>
      <c r="N56" t="s">
        <v>262</v>
      </c>
      <c r="O56" t="s">
        <v>481</v>
      </c>
      <c r="S56" t="s">
        <v>673</v>
      </c>
      <c r="U56" t="s">
        <v>813</v>
      </c>
      <c r="V56" t="s">
        <v>814</v>
      </c>
      <c r="W56" t="s">
        <v>375</v>
      </c>
      <c r="X56" t="s">
        <v>536</v>
      </c>
      <c r="Y56" t="s">
        <v>413</v>
      </c>
      <c r="Z56" t="s">
        <v>548</v>
      </c>
      <c r="AB56" t="s">
        <v>659</v>
      </c>
      <c r="AD56" t="s">
        <v>261</v>
      </c>
      <c r="AE56" t="s">
        <v>261</v>
      </c>
      <c r="AF56">
        <v>0</v>
      </c>
      <c r="AG56">
        <v>0</v>
      </c>
      <c r="AH56">
        <v>27.5</v>
      </c>
      <c r="AI56">
        <v>0</v>
      </c>
      <c r="AJ56" t="s">
        <v>550</v>
      </c>
      <c r="AK56" t="s">
        <v>659</v>
      </c>
      <c r="AL56" t="s">
        <v>551</v>
      </c>
    </row>
    <row r="57" spans="1:38" x14ac:dyDescent="0.2">
      <c r="A57">
        <v>1235563</v>
      </c>
      <c r="B57">
        <v>7009411</v>
      </c>
      <c r="C57">
        <v>7589603</v>
      </c>
      <c r="E57" t="b">
        <v>0</v>
      </c>
      <c r="F57">
        <v>53782</v>
      </c>
      <c r="G57" t="s">
        <v>815</v>
      </c>
      <c r="H57">
        <v>1</v>
      </c>
      <c r="I57" t="s">
        <v>816</v>
      </c>
      <c r="J57" t="s">
        <v>534</v>
      </c>
      <c r="K57" t="s">
        <v>533</v>
      </c>
      <c r="L57" t="s">
        <v>535</v>
      </c>
      <c r="M57" t="s">
        <v>817</v>
      </c>
      <c r="N57" t="s">
        <v>228</v>
      </c>
      <c r="O57" t="s">
        <v>228</v>
      </c>
      <c r="P57" t="s">
        <v>451</v>
      </c>
      <c r="S57" t="s">
        <v>579</v>
      </c>
      <c r="U57" t="s">
        <v>818</v>
      </c>
      <c r="V57" t="s">
        <v>819</v>
      </c>
      <c r="W57" t="s">
        <v>442</v>
      </c>
      <c r="X57" t="s">
        <v>536</v>
      </c>
      <c r="Y57" t="s">
        <v>116</v>
      </c>
      <c r="Z57" t="s">
        <v>548</v>
      </c>
      <c r="AB57" t="s">
        <v>574</v>
      </c>
      <c r="AD57" t="s">
        <v>452</v>
      </c>
      <c r="AE57" t="s">
        <v>453</v>
      </c>
      <c r="AF57">
        <v>0</v>
      </c>
      <c r="AG57">
        <v>0</v>
      </c>
      <c r="AH57">
        <v>46</v>
      </c>
      <c r="AI57">
        <v>0</v>
      </c>
      <c r="AJ57" t="s">
        <v>550</v>
      </c>
      <c r="AK57" t="s">
        <v>574</v>
      </c>
      <c r="AL57" t="s">
        <v>583</v>
      </c>
    </row>
    <row r="58" spans="1:38" x14ac:dyDescent="0.2">
      <c r="A58">
        <v>1235428</v>
      </c>
      <c r="B58">
        <v>3934094</v>
      </c>
      <c r="C58">
        <v>7589603</v>
      </c>
      <c r="E58" t="b">
        <v>0</v>
      </c>
      <c r="F58">
        <v>17702</v>
      </c>
      <c r="G58" t="s">
        <v>820</v>
      </c>
      <c r="H58">
        <v>1</v>
      </c>
      <c r="I58" t="s">
        <v>821</v>
      </c>
      <c r="J58" t="s">
        <v>534</v>
      </c>
      <c r="K58" t="s">
        <v>535</v>
      </c>
      <c r="L58" t="s">
        <v>535</v>
      </c>
      <c r="M58" t="s">
        <v>822</v>
      </c>
      <c r="N58" t="s">
        <v>229</v>
      </c>
      <c r="O58" t="s">
        <v>229</v>
      </c>
      <c r="P58" t="s">
        <v>754</v>
      </c>
      <c r="S58" t="s">
        <v>579</v>
      </c>
      <c r="V58" t="s">
        <v>823</v>
      </c>
      <c r="W58" t="s">
        <v>442</v>
      </c>
      <c r="X58" t="s">
        <v>536</v>
      </c>
      <c r="Y58" t="s">
        <v>116</v>
      </c>
      <c r="Z58" t="s">
        <v>548</v>
      </c>
      <c r="AB58" t="s">
        <v>574</v>
      </c>
      <c r="AD58" t="s">
        <v>824</v>
      </c>
      <c r="AE58" t="s">
        <v>825</v>
      </c>
      <c r="AF58">
        <v>0</v>
      </c>
      <c r="AG58">
        <v>0</v>
      </c>
      <c r="AH58">
        <v>41</v>
      </c>
      <c r="AI58">
        <v>0</v>
      </c>
      <c r="AJ58" t="s">
        <v>550</v>
      </c>
      <c r="AK58" t="s">
        <v>574</v>
      </c>
      <c r="AL58" t="s">
        <v>583</v>
      </c>
    </row>
    <row r="59" spans="1:38" x14ac:dyDescent="0.2">
      <c r="A59">
        <v>2822437</v>
      </c>
    </row>
    <row r="60" spans="1:38" x14ac:dyDescent="0.2">
      <c r="A60">
        <v>1235598</v>
      </c>
      <c r="B60">
        <v>7490110</v>
      </c>
      <c r="C60">
        <v>7589602</v>
      </c>
      <c r="E60" t="b">
        <v>0</v>
      </c>
      <c r="F60">
        <v>61175</v>
      </c>
      <c r="G60" t="s">
        <v>826</v>
      </c>
      <c r="H60">
        <v>1</v>
      </c>
      <c r="I60" t="s">
        <v>827</v>
      </c>
      <c r="J60" t="s">
        <v>534</v>
      </c>
      <c r="K60" t="s">
        <v>533</v>
      </c>
      <c r="L60" t="s">
        <v>535</v>
      </c>
      <c r="M60" t="s">
        <v>828</v>
      </c>
      <c r="N60" t="s">
        <v>185</v>
      </c>
      <c r="O60" t="s">
        <v>185</v>
      </c>
      <c r="P60" t="s">
        <v>442</v>
      </c>
      <c r="S60" t="s">
        <v>587</v>
      </c>
      <c r="U60" t="s">
        <v>829</v>
      </c>
      <c r="V60" t="s">
        <v>830</v>
      </c>
      <c r="W60" t="s">
        <v>442</v>
      </c>
      <c r="X60" t="s">
        <v>536</v>
      </c>
      <c r="Y60" t="s">
        <v>116</v>
      </c>
      <c r="Z60" t="s">
        <v>548</v>
      </c>
      <c r="AA60" t="s">
        <v>22</v>
      </c>
      <c r="AB60" t="s">
        <v>591</v>
      </c>
      <c r="AD60" t="s">
        <v>457</v>
      </c>
      <c r="AE60" t="s">
        <v>457</v>
      </c>
      <c r="AF60">
        <v>0</v>
      </c>
      <c r="AG60">
        <v>0</v>
      </c>
      <c r="AH60">
        <v>76.25</v>
      </c>
      <c r="AI60">
        <v>0</v>
      </c>
      <c r="AJ60" t="s">
        <v>550</v>
      </c>
      <c r="AK60" t="s">
        <v>591</v>
      </c>
      <c r="AL60" t="s">
        <v>583</v>
      </c>
    </row>
    <row r="61" spans="1:38" x14ac:dyDescent="0.2">
      <c r="A61">
        <v>1235517</v>
      </c>
      <c r="B61">
        <v>6829128</v>
      </c>
      <c r="C61">
        <v>187510</v>
      </c>
      <c r="E61" t="b">
        <v>0</v>
      </c>
      <c r="F61">
        <v>50907</v>
      </c>
      <c r="G61" t="s">
        <v>831</v>
      </c>
      <c r="H61">
        <v>1</v>
      </c>
      <c r="I61" t="s">
        <v>832</v>
      </c>
      <c r="J61" t="s">
        <v>534</v>
      </c>
      <c r="K61" t="s">
        <v>533</v>
      </c>
      <c r="L61" t="s">
        <v>535</v>
      </c>
      <c r="M61" t="s">
        <v>833</v>
      </c>
      <c r="N61" t="s">
        <v>186</v>
      </c>
      <c r="O61" t="s">
        <v>186</v>
      </c>
      <c r="P61" t="s">
        <v>107</v>
      </c>
      <c r="S61" t="s">
        <v>587</v>
      </c>
      <c r="U61" t="s">
        <v>834</v>
      </c>
      <c r="V61" t="s">
        <v>835</v>
      </c>
      <c r="W61" t="s">
        <v>442</v>
      </c>
      <c r="X61" t="s">
        <v>536</v>
      </c>
      <c r="Y61" t="s">
        <v>116</v>
      </c>
      <c r="Z61" t="s">
        <v>548</v>
      </c>
      <c r="AA61" t="s">
        <v>22</v>
      </c>
      <c r="AB61" t="s">
        <v>591</v>
      </c>
      <c r="AD61" t="s">
        <v>836</v>
      </c>
      <c r="AE61" t="s">
        <v>836</v>
      </c>
      <c r="AF61">
        <v>0</v>
      </c>
      <c r="AG61">
        <v>0</v>
      </c>
      <c r="AH61">
        <v>74.75</v>
      </c>
      <c r="AI61">
        <v>0</v>
      </c>
      <c r="AJ61" t="s">
        <v>550</v>
      </c>
      <c r="AK61" t="s">
        <v>591</v>
      </c>
      <c r="AL61" t="s">
        <v>551</v>
      </c>
    </row>
    <row r="62" spans="1:38" x14ac:dyDescent="0.2">
      <c r="A62">
        <v>2822784</v>
      </c>
      <c r="B62">
        <v>8069275</v>
      </c>
      <c r="E62" t="b">
        <v>0</v>
      </c>
      <c r="F62">
        <v>72690</v>
      </c>
      <c r="G62" t="s">
        <v>837</v>
      </c>
      <c r="H62">
        <v>1</v>
      </c>
      <c r="I62" t="s">
        <v>838</v>
      </c>
      <c r="J62" t="s">
        <v>534</v>
      </c>
      <c r="K62" t="s">
        <v>535</v>
      </c>
      <c r="L62" t="s">
        <v>535</v>
      </c>
      <c r="M62" t="s">
        <v>839</v>
      </c>
      <c r="N62" t="s">
        <v>507</v>
      </c>
      <c r="O62" t="s">
        <v>507</v>
      </c>
      <c r="P62" t="s">
        <v>148</v>
      </c>
      <c r="S62" t="s">
        <v>840</v>
      </c>
      <c r="V62" t="s">
        <v>841</v>
      </c>
      <c r="W62" t="s">
        <v>442</v>
      </c>
      <c r="X62" t="s">
        <v>536</v>
      </c>
      <c r="Y62" t="s">
        <v>582</v>
      </c>
      <c r="Z62" t="s">
        <v>548</v>
      </c>
      <c r="AA62" t="s">
        <v>22</v>
      </c>
      <c r="AD62" t="s">
        <v>508</v>
      </c>
      <c r="AE62" t="s">
        <v>508</v>
      </c>
      <c r="AF62">
        <v>0</v>
      </c>
      <c r="AG62">
        <v>0</v>
      </c>
      <c r="AH62">
        <v>76.25</v>
      </c>
      <c r="AI62">
        <v>0</v>
      </c>
      <c r="AJ62" t="s">
        <v>550</v>
      </c>
    </row>
    <row r="63" spans="1:38" x14ac:dyDescent="0.2">
      <c r="A63">
        <v>1235416</v>
      </c>
      <c r="B63">
        <v>7618351</v>
      </c>
      <c r="C63">
        <v>187510</v>
      </c>
      <c r="E63" t="b">
        <v>0</v>
      </c>
      <c r="F63">
        <v>64375</v>
      </c>
      <c r="G63" t="s">
        <v>842</v>
      </c>
      <c r="H63">
        <v>1</v>
      </c>
      <c r="I63" t="s">
        <v>843</v>
      </c>
      <c r="J63" t="s">
        <v>534</v>
      </c>
      <c r="K63" t="s">
        <v>844</v>
      </c>
      <c r="L63" t="s">
        <v>535</v>
      </c>
      <c r="M63" t="s">
        <v>845</v>
      </c>
      <c r="N63" t="s">
        <v>417</v>
      </c>
      <c r="O63" t="s">
        <v>417</v>
      </c>
      <c r="P63" t="s">
        <v>418</v>
      </c>
      <c r="S63" t="s">
        <v>846</v>
      </c>
      <c r="U63" t="s">
        <v>847</v>
      </c>
      <c r="V63" t="s">
        <v>848</v>
      </c>
      <c r="W63" t="s">
        <v>442</v>
      </c>
      <c r="X63" t="s">
        <v>536</v>
      </c>
      <c r="Y63" t="s">
        <v>116</v>
      </c>
      <c r="Z63" t="s">
        <v>548</v>
      </c>
      <c r="AA63" t="s">
        <v>22</v>
      </c>
      <c r="AB63" t="s">
        <v>591</v>
      </c>
      <c r="AD63" t="s">
        <v>419</v>
      </c>
      <c r="AE63" t="s">
        <v>419</v>
      </c>
      <c r="AF63">
        <v>0</v>
      </c>
      <c r="AG63">
        <v>0</v>
      </c>
      <c r="AH63">
        <v>76.25</v>
      </c>
      <c r="AI63">
        <v>0</v>
      </c>
      <c r="AJ63" t="s">
        <v>550</v>
      </c>
      <c r="AK63" t="s">
        <v>591</v>
      </c>
      <c r="AL63" t="s">
        <v>551</v>
      </c>
    </row>
    <row r="64" spans="1:38" x14ac:dyDescent="0.2">
      <c r="A64">
        <v>1235503</v>
      </c>
      <c r="B64">
        <v>8035837</v>
      </c>
      <c r="C64">
        <v>187508</v>
      </c>
      <c r="E64" t="b">
        <v>0</v>
      </c>
      <c r="F64">
        <v>72022</v>
      </c>
      <c r="G64" t="s">
        <v>849</v>
      </c>
      <c r="H64">
        <v>1</v>
      </c>
      <c r="I64" t="s">
        <v>850</v>
      </c>
      <c r="J64" t="s">
        <v>534</v>
      </c>
      <c r="K64" t="s">
        <v>533</v>
      </c>
      <c r="L64" t="s">
        <v>535</v>
      </c>
      <c r="M64" t="s">
        <v>851</v>
      </c>
      <c r="N64" t="s">
        <v>265</v>
      </c>
      <c r="O64" t="s">
        <v>189</v>
      </c>
      <c r="P64" t="s">
        <v>413</v>
      </c>
      <c r="S64" t="s">
        <v>852</v>
      </c>
      <c r="U64" t="s">
        <v>853</v>
      </c>
      <c r="V64" t="s">
        <v>854</v>
      </c>
      <c r="W64" t="s">
        <v>442</v>
      </c>
      <c r="X64" t="s">
        <v>536</v>
      </c>
      <c r="Y64" t="s">
        <v>547</v>
      </c>
      <c r="Z64" t="s">
        <v>548</v>
      </c>
      <c r="AB64" t="s">
        <v>549</v>
      </c>
      <c r="AD64" t="s">
        <v>266</v>
      </c>
      <c r="AE64" t="s">
        <v>433</v>
      </c>
      <c r="AF64">
        <v>0</v>
      </c>
      <c r="AG64">
        <v>0</v>
      </c>
      <c r="AH64">
        <v>97</v>
      </c>
      <c r="AI64">
        <v>0</v>
      </c>
      <c r="AJ64" t="s">
        <v>550</v>
      </c>
      <c r="AK64" t="s">
        <v>549</v>
      </c>
      <c r="AL64" t="s">
        <v>551</v>
      </c>
    </row>
    <row r="65" spans="1:1" x14ac:dyDescent="0.2">
      <c r="A65">
        <v>1235768</v>
      </c>
    </row>
    <row r="66" spans="1:1" x14ac:dyDescent="0.2">
      <c r="A66">
        <v>1235769</v>
      </c>
    </row>
    <row r="67" spans="1:1" x14ac:dyDescent="0.2">
      <c r="A67">
        <v>1235540</v>
      </c>
    </row>
  </sheetData>
  <sheetProtection algorithmName="SHA-512" hashValue="IS56OzwAP+svYXTr4EawpP8wWDh0H8LudeBl2BxwQR5R5VYCcLBxNPOrNLXlLHkutgQkjqt4xucTRJUGhAAeGA==" saltValue="P5yScBe7GMidVz+RG7Bze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567</v>
      </c>
      <c r="B1" s="39" t="s">
        <v>565</v>
      </c>
      <c r="C1" s="39" t="s">
        <v>566</v>
      </c>
    </row>
    <row r="2" spans="1:3" x14ac:dyDescent="0.2">
      <c r="A2" s="39" t="s">
        <v>564</v>
      </c>
      <c r="B2">
        <v>-100</v>
      </c>
      <c r="C2">
        <v>450</v>
      </c>
    </row>
    <row r="3" spans="1:3" x14ac:dyDescent="0.2">
      <c r="A3" s="39" t="s">
        <v>558</v>
      </c>
      <c r="B3">
        <v>-50</v>
      </c>
      <c r="C3">
        <v>450</v>
      </c>
    </row>
    <row r="4" spans="1:3" x14ac:dyDescent="0.2">
      <c r="A4" s="39" t="s">
        <v>557</v>
      </c>
      <c r="B4">
        <v>70</v>
      </c>
      <c r="C4">
        <v>500</v>
      </c>
    </row>
    <row r="5" spans="1:3" x14ac:dyDescent="0.2">
      <c r="A5" s="39" t="s">
        <v>559</v>
      </c>
      <c r="B5">
        <v>70</v>
      </c>
      <c r="C5">
        <v>450</v>
      </c>
    </row>
    <row r="6" spans="1:3" x14ac:dyDescent="0.2">
      <c r="A6" s="39" t="s">
        <v>561</v>
      </c>
      <c r="B6">
        <v>70</v>
      </c>
      <c r="C6">
        <v>1000</v>
      </c>
    </row>
    <row r="7" spans="1:3" x14ac:dyDescent="0.2">
      <c r="A7" s="39" t="s">
        <v>562</v>
      </c>
      <c r="B7">
        <v>200</v>
      </c>
      <c r="C7">
        <v>1850</v>
      </c>
    </row>
    <row r="8" spans="1:3" x14ac:dyDescent="0.2">
      <c r="A8" s="39" t="s">
        <v>560</v>
      </c>
      <c r="B8">
        <v>700</v>
      </c>
      <c r="C8">
        <v>2200</v>
      </c>
    </row>
    <row r="9" spans="1:3" x14ac:dyDescent="0.2">
      <c r="A9" s="39" t="s">
        <v>563</v>
      </c>
      <c r="B9">
        <v>700</v>
      </c>
      <c r="C9">
        <v>2200</v>
      </c>
    </row>
  </sheetData>
  <sheetProtection algorithmName="SHA-512" hashValue="EuR7hgRf9LSUm9HHY6TOO8eRHG+Tukm4geemJBG/GU82HhysC98v+7tPvFWPqVUi0i33fYZBLZoLGOY5xJvtLA==" saltValue="QeYorjSNz84zf5t23RQkb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914</v>
      </c>
      <c r="G1" s="39" t="s">
        <v>917</v>
      </c>
      <c r="I1" s="502" t="s">
        <v>911</v>
      </c>
      <c r="J1" s="503"/>
      <c r="L1" s="36"/>
      <c r="M1" s="453" t="s">
        <v>906</v>
      </c>
      <c r="N1" s="454" t="s">
        <v>15</v>
      </c>
      <c r="O1" s="454" t="s">
        <v>910</v>
      </c>
      <c r="P1" s="454" t="s">
        <v>900</v>
      </c>
      <c r="Q1" s="454" t="s">
        <v>14</v>
      </c>
    </row>
    <row r="2" spans="1:17" ht="13.5" thickTop="1" x14ac:dyDescent="0.2">
      <c r="A2" s="440"/>
      <c r="I2" s="464" t="s">
        <v>907</v>
      </c>
      <c r="J2" s="465">
        <f>COUNTIF(Survey[TestPoint],"&lt;=5")-1</f>
        <v>-1</v>
      </c>
      <c r="L2" s="476" t="s">
        <v>1</v>
      </c>
      <c r="M2" s="460" t="e">
        <f>_xlfn.XLOOKUP(P2,Survey[CorrectedTemp],Survey[TestPoint])</f>
        <v>#N/A</v>
      </c>
      <c r="N2" s="455">
        <f>P2-NominalTemp</f>
        <v>0</v>
      </c>
      <c r="O2" s="456" t="s">
        <v>268</v>
      </c>
      <c r="P2" s="455">
        <f>MAX(Survey[CorrectedTemp])</f>
        <v>0</v>
      </c>
      <c r="Q2" s="457" t="e">
        <f>_xlfn.XLOOKUP(P2,Survey[CorrectedTemp],Survey[Time])</f>
        <v>#N/A</v>
      </c>
    </row>
    <row r="3" spans="1:17" x14ac:dyDescent="0.2">
      <c r="I3" s="470" t="s">
        <v>915</v>
      </c>
      <c r="J3" s="471" t="e">
        <f>_xlfn.T.INV.2T(1-0.9545, DoF)</f>
        <v>#NUM!</v>
      </c>
      <c r="L3" s="476" t="s">
        <v>2</v>
      </c>
      <c r="M3" s="461" t="e">
        <f>_xlfn.XLOOKUP(P3,Survey[CorrectedTemp],Survey[TestPoint])</f>
        <v>#N/A</v>
      </c>
      <c r="N3" s="458">
        <f>P3-NominalTemp</f>
        <v>0</v>
      </c>
      <c r="O3" s="447" t="s">
        <v>269</v>
      </c>
      <c r="P3" s="458">
        <f>MIN(Survey[CorrectedTemp])</f>
        <v>0</v>
      </c>
      <c r="Q3" s="459" t="e">
        <f>_xlfn.XLOOKUP(P3,Survey[CorrectedTemp],Survey[Time])</f>
        <v>#N/A</v>
      </c>
    </row>
    <row r="4" spans="1:17" x14ac:dyDescent="0.2">
      <c r="I4" s="466" t="s">
        <v>919</v>
      </c>
      <c r="J4" s="467" cm="1">
        <f t="array" ref="J4">SUM(_xlfn._xlws.FILTER(Survey[Deviations],Survey[TestPoint]&lt;=5)^2)/DoF</f>
        <v>0</v>
      </c>
      <c r="L4" s="504" t="s">
        <v>912</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920</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918</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908</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909</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916</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941</v>
      </c>
      <c r="I2" t="str" cm="1">
        <f t="array" ref="I2">TRANSPOSE(_xlfn._xlws.FILTER(CorrectionFactors[], (CorrectionFactors[point]&gt;=Main!V22) * (CorrectionFactors[point]&lt;=Main!V23), ""))</f>
        <v/>
      </c>
    </row>
    <row r="3" spans="1:9" x14ac:dyDescent="0.2">
      <c r="H3" t="s">
        <v>306</v>
      </c>
    </row>
    <row r="4" spans="1:9" x14ac:dyDescent="0.2">
      <c r="H4" t="s">
        <v>942</v>
      </c>
    </row>
    <row r="5" spans="1:9" x14ac:dyDescent="0.2">
      <c r="H5" t="s">
        <v>943</v>
      </c>
    </row>
    <row r="6" spans="1:9" x14ac:dyDescent="0.2">
      <c r="H6" t="s">
        <v>944</v>
      </c>
    </row>
    <row r="7" spans="1:9" x14ac:dyDescent="0.2">
      <c r="H7" t="s">
        <v>945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858</v>
      </c>
      <c r="B1" s="411" t="s">
        <v>859</v>
      </c>
    </row>
    <row r="2" spans="1:3" x14ac:dyDescent="0.2">
      <c r="A2" s="39"/>
      <c r="B2" s="39"/>
    </row>
    <row r="3" spans="1:3" x14ac:dyDescent="0.2">
      <c r="A3" s="39" t="s">
        <v>565</v>
      </c>
      <c r="B3" s="39" t="s">
        <v>566</v>
      </c>
      <c r="C3" s="39" t="s">
        <v>860</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t5Y5ho87/FVQKH3x0Gicd3jj6hUAgag58D9lML95tLtutWZvg8SLSD0NSZNvfOC4ikEaS2yufMrDgbsEzdXWHg==" saltValue="/eon1AhoJM7eZYJwkn3uQ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399</v>
      </c>
      <c r="F1" t="s">
        <v>965</v>
      </c>
      <c r="G1" t="s">
        <v>966</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8" sqref="Q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960</v>
      </c>
      <c r="J1" t="s">
        <v>961</v>
      </c>
      <c r="K1" t="s">
        <v>962</v>
      </c>
      <c r="L1" t="s">
        <v>963</v>
      </c>
      <c r="M1" t="s">
        <v>964</v>
      </c>
      <c r="O1" s="39" t="s">
        <v>399</v>
      </c>
      <c r="P1" t="s">
        <v>953</v>
      </c>
      <c r="Q1" t="s">
        <v>954</v>
      </c>
      <c r="R1" t="s">
        <v>955</v>
      </c>
      <c r="S1" t="s">
        <v>956</v>
      </c>
      <c r="T1" t="s">
        <v>957</v>
      </c>
      <c r="U1" t="s">
        <v>958</v>
      </c>
      <c r="V1" t="s">
        <v>959</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952</v>
      </c>
      <c r="B1" s="333"/>
      <c r="C1" s="524" t="s">
        <v>50</v>
      </c>
      <c r="D1" s="525"/>
      <c r="E1" s="525"/>
      <c r="F1" s="525"/>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26" t="s">
        <v>102</v>
      </c>
      <c r="K3" s="527"/>
      <c r="L3" s="528"/>
      <c r="M3" s="316"/>
      <c r="N3" s="543" t="s">
        <v>91</v>
      </c>
      <c r="O3" s="543"/>
      <c r="P3" s="543"/>
      <c r="Q3" s="543"/>
      <c r="R3" s="543"/>
      <c r="S3" s="543"/>
      <c r="T3" s="494"/>
    </row>
    <row r="4" spans="1:22" s="291" customFormat="1" x14ac:dyDescent="0.2">
      <c r="A4" s="334"/>
      <c r="B4" s="144"/>
      <c r="C4" s="145" t="s">
        <v>230</v>
      </c>
      <c r="D4" s="298" t="str">
        <f>IF(Condition="","",Condition)</f>
        <v/>
      </c>
      <c r="E4" s="316"/>
      <c r="F4" s="316"/>
      <c r="G4" s="316"/>
      <c r="H4" s="316"/>
      <c r="I4" s="316"/>
      <c r="J4" s="531" t="s">
        <v>1</v>
      </c>
      <c r="K4" s="532"/>
      <c r="L4" s="146">
        <f>IFERROR(Survey!N2,0)</f>
        <v>0</v>
      </c>
      <c r="M4" s="316"/>
      <c r="N4" s="147" t="s">
        <v>90</v>
      </c>
      <c r="O4" s="148" t="s">
        <v>89</v>
      </c>
      <c r="P4" s="529" t="s">
        <v>100</v>
      </c>
      <c r="Q4" s="530"/>
      <c r="R4" s="147" t="s">
        <v>137</v>
      </c>
      <c r="S4" s="147" t="s">
        <v>141</v>
      </c>
      <c r="T4" s="494"/>
    </row>
    <row r="5" spans="1:22" s="291" customFormat="1" x14ac:dyDescent="0.2">
      <c r="A5" s="334"/>
      <c r="B5" s="144"/>
      <c r="C5" s="145" t="s">
        <v>41</v>
      </c>
      <c r="D5" s="547" t="e">
        <f>companyName</f>
        <v>#N/A</v>
      </c>
      <c r="E5" s="548"/>
      <c r="F5" s="548"/>
      <c r="G5" s="548"/>
      <c r="H5" s="549"/>
      <c r="I5" s="299"/>
      <c r="J5" s="531" t="s">
        <v>2</v>
      </c>
      <c r="K5" s="532"/>
      <c r="L5" s="146">
        <f>IFERROR(Survey!N3,0)</f>
        <v>0</v>
      </c>
      <c r="M5" s="316"/>
      <c r="N5" s="462">
        <v>1</v>
      </c>
      <c r="O5" s="149"/>
      <c r="P5" s="505" t="str">
        <f>VLOOKUP(N5,Alerts[],3,FALSE)</f>
        <v/>
      </c>
      <c r="Q5" s="506"/>
      <c r="R5" s="463" t="str" cm="1">
        <f t="array" ref="R5">IFZERO(VLOOKUP(N5,Alerts[],4,FALSE),"")</f>
        <v/>
      </c>
      <c r="S5" s="150" t="str" cm="1">
        <f t="array" ref="S5">IFZERO(VLOOKUP(N5,Alerts[],5,FALSE),"")</f>
        <v/>
      </c>
      <c r="T5" s="494"/>
    </row>
    <row r="6" spans="1:22" s="291" customFormat="1" x14ac:dyDescent="0.2">
      <c r="A6" s="334"/>
      <c r="B6" s="144"/>
      <c r="C6" s="145" t="s">
        <v>40</v>
      </c>
      <c r="D6" s="544" t="e">
        <f>VLOOKUP("assetName",WorkItemDetails[],2,FALSE)</f>
        <v>#N/A</v>
      </c>
      <c r="E6" s="545"/>
      <c r="F6" s="545"/>
      <c r="G6" s="545"/>
      <c r="H6" s="546"/>
      <c r="J6" s="531" t="s">
        <v>101</v>
      </c>
      <c r="K6" s="532"/>
      <c r="L6" s="146">
        <f>L4-L5</f>
        <v>0</v>
      </c>
      <c r="M6" s="316"/>
      <c r="N6" s="462">
        <v>2</v>
      </c>
      <c r="O6" s="149"/>
      <c r="P6" s="505" t="str">
        <f>VLOOKUP(N6,Alerts[],3,FALSE)</f>
        <v/>
      </c>
      <c r="Q6" s="506"/>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05" t="str">
        <f>VLOOKUP(N7,Alerts[],3,FALSE)</f>
        <v/>
      </c>
      <c r="Q7" s="506"/>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05" t="str">
        <f>VLOOKUP(N8,Alerts[],3,FALSE)</f>
        <v/>
      </c>
      <c r="Q8" s="506"/>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05" t="str">
        <f>VLOOKUP(N9,Alerts[],3,FALSE)</f>
        <v/>
      </c>
      <c r="Q9" s="506"/>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05" t="str">
        <f>VLOOKUP(N10,Alerts[],3,FALSE)</f>
        <v/>
      </c>
      <c r="Q10" s="506"/>
      <c r="R10" s="463" t="str" cm="1">
        <f t="array" ref="R10">IFZERO(VLOOKUP(N10,Alerts[],4,FALSE),"")</f>
        <v/>
      </c>
      <c r="S10" s="150" t="str" cm="1">
        <f t="array" ref="S10">IFZERO(VLOOKUP(N10,Alerts[],5,FALSE),"")</f>
        <v/>
      </c>
      <c r="T10" s="494"/>
    </row>
    <row r="11" spans="1:22" s="291" customFormat="1" x14ac:dyDescent="0.2">
      <c r="A11" s="334"/>
      <c r="B11" s="144"/>
      <c r="C11" s="153" t="s">
        <v>53</v>
      </c>
      <c r="D11" s="492" t="e">
        <f>VLOOKUP("serial_number",DaqbookServiceRecord[], 2, FALSE)</f>
        <v>#N/A</v>
      </c>
      <c r="E11" s="316"/>
      <c r="F11" s="316"/>
      <c r="G11" s="317" t="str">
        <f>IF(OR(ISBLANK(D3),ISBLANK(D13)),"",IF(D13&lt;D3,"!!!!! DAQBOOK IS OUT OF CERTIFICATION !!!!!",""))</f>
        <v/>
      </c>
      <c r="H11" s="316"/>
      <c r="I11" s="316"/>
      <c r="J11" s="316"/>
      <c r="K11" s="316"/>
      <c r="L11" s="316"/>
      <c r="M11" s="316"/>
      <c r="N11" s="462">
        <v>7</v>
      </c>
      <c r="O11" s="149"/>
      <c r="P11" s="505" t="str">
        <f>VLOOKUP(N11,Alerts[],3,FALSE)</f>
        <v/>
      </c>
      <c r="Q11" s="506"/>
      <c r="R11" s="463" t="str" cm="1">
        <f t="array" ref="R11">IFZERO(VLOOKUP(N11,Alerts[],4,FALSE),"")</f>
        <v/>
      </c>
      <c r="S11" s="150" t="str" cm="1">
        <f t="array" ref="S11">IFZERO(VLOOKUP(N11,Alerts[],5,FALSE),"")</f>
        <v/>
      </c>
      <c r="T11" s="494"/>
    </row>
    <row r="12" spans="1:22" s="291" customFormat="1" x14ac:dyDescent="0.2">
      <c r="A12" s="334"/>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7"/>
      <c r="K12" s="320"/>
      <c r="L12" s="337"/>
      <c r="M12" s="320"/>
      <c r="N12" s="462">
        <v>8</v>
      </c>
      <c r="O12" s="149"/>
      <c r="P12" s="505" t="str">
        <f>VLOOKUP(N12,Alerts[],3,FALSE)</f>
        <v/>
      </c>
      <c r="Q12" s="506"/>
      <c r="R12" s="463" t="str" cm="1">
        <f t="array" ref="R12">IFZERO(VLOOKUP(N12,Alerts[],4,FALSE),"")</f>
        <v/>
      </c>
      <c r="S12" s="150" t="str" cm="1">
        <f t="array" ref="S12">IFZERO(VLOOKUP(N12,Alerts[],5,FALSE),"")</f>
        <v/>
      </c>
      <c r="T12" s="494"/>
    </row>
    <row r="13" spans="1:22" s="291" customFormat="1" x14ac:dyDescent="0.2">
      <c r="A13" s="334"/>
      <c r="B13" s="154"/>
      <c r="C13" s="155" t="s">
        <v>86</v>
      </c>
      <c r="D13" s="292" t="e">
        <f>VLOOKUP("next_service_date",DaqbookServiceRecord[], 2, FALSE)</f>
        <v>#N/A</v>
      </c>
      <c r="E13" s="316"/>
      <c r="F13" s="341"/>
      <c r="G13" s="332" t="str">
        <f>IF(IF(COUNTIFS(DataForChannels15to28[],"&gt;"&amp;B2,DataForChannels15to28[],"&lt;"&amp;(B2+200))&gt;0,1,0)=1,"!!!!! OVEN OVERSHOT IN POINTS 15-28 !!!!!","")</f>
        <v/>
      </c>
      <c r="H13" s="316"/>
      <c r="I13" s="316"/>
      <c r="J13" s="252" t="s">
        <v>323</v>
      </c>
      <c r="K13" s="541" t="str">
        <f>IFERROR(VLOOKUP("PoNumber",WorkItemDetails[],2,FALSE),"")</f>
        <v/>
      </c>
      <c r="L13" s="542"/>
      <c r="M13" s="316"/>
      <c r="N13" s="462">
        <v>9</v>
      </c>
      <c r="O13" s="149"/>
      <c r="P13" s="505" t="str">
        <f>VLOOKUP(N13,Alerts[],3,FALSE)</f>
        <v/>
      </c>
      <c r="Q13" s="506"/>
      <c r="R13" s="463" t="str" cm="1">
        <f t="array" ref="R13">IFZERO(VLOOKUP(N13,Alerts[],4,FALSE),"")</f>
        <v/>
      </c>
      <c r="S13" s="150" t="str" cm="1">
        <f t="array" ref="S13">IFZERO(VLOOKUP(N13,Alerts[],5,FALSE),"")</f>
        <v/>
      </c>
      <c r="T13" s="494"/>
    </row>
    <row r="14" spans="1:22" s="291" customFormat="1" x14ac:dyDescent="0.2">
      <c r="A14" s="334"/>
      <c r="B14" s="144"/>
      <c r="C14" s="153" t="s">
        <v>88</v>
      </c>
      <c r="D14" s="492" t="e">
        <f>VLOOKUP("certificate_number",DaqbookServiceRecord[], 2, FALSE)</f>
        <v>#N/A</v>
      </c>
      <c r="E14" s="316"/>
      <c r="F14" s="316"/>
      <c r="G14" s="317" t="str">
        <f>IF(IF(COUNTIFS(DataForChannels29to40[],"&gt;"&amp;B2,DataForChannels29to40[],"&lt;"&amp;(B2+200))&gt;0,1,0)=1,"!!!!! OVEN OVERSHOT IN POINTS 29-40 !!!!!","")</f>
        <v/>
      </c>
      <c r="H14" s="316"/>
      <c r="I14" s="316"/>
      <c r="J14" s="156" t="s">
        <v>136</v>
      </c>
      <c r="K14" s="550"/>
      <c r="L14" s="551"/>
      <c r="M14" s="316"/>
      <c r="N14" s="462">
        <v>10</v>
      </c>
      <c r="O14" s="149"/>
      <c r="P14" s="505" t="str">
        <f>VLOOKUP(N14,Alerts[],3,FALSE)</f>
        <v/>
      </c>
      <c r="Q14" s="506"/>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35"/>
      <c r="L15" s="536"/>
      <c r="M15" s="316"/>
      <c r="N15" s="462">
        <v>11</v>
      </c>
      <c r="O15" s="149"/>
      <c r="P15" s="505" t="str">
        <f>VLOOKUP(N15,Alerts[],3,FALSE)</f>
        <v/>
      </c>
      <c r="Q15" s="506"/>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267</v>
      </c>
      <c r="H16" s="442"/>
      <c r="I16" s="316"/>
      <c r="J16" s="555" t="s">
        <v>163</v>
      </c>
      <c r="K16" s="556"/>
      <c r="L16" s="297"/>
      <c r="M16" s="316"/>
      <c r="N16" s="462">
        <v>12</v>
      </c>
      <c r="O16" s="149"/>
      <c r="P16" s="505" t="str">
        <f>VLOOKUP(N16,Alerts[],3,FALSE)</f>
        <v/>
      </c>
      <c r="Q16" s="506"/>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55" t="s">
        <v>164</v>
      </c>
      <c r="K17" s="556"/>
      <c r="L17" s="160" t="str">
        <f>IF(K15="SIM Load Hot",TEXT(D26,"hh:mm"),"")</f>
        <v/>
      </c>
      <c r="M17" s="316"/>
      <c r="N17" s="462">
        <v>13</v>
      </c>
      <c r="O17" s="149"/>
      <c r="P17" s="505" t="str">
        <f>VLOOKUP(N17,Alerts[],3,FALSE)</f>
        <v/>
      </c>
      <c r="Q17" s="506"/>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07" t="s">
        <v>19</v>
      </c>
      <c r="H18" s="508"/>
      <c r="I18" s="317"/>
      <c r="J18" s="342"/>
      <c r="K18" s="316"/>
      <c r="L18" s="317"/>
      <c r="M18" s="316"/>
      <c r="N18" s="462">
        <v>14</v>
      </c>
      <c r="O18" s="149"/>
      <c r="P18" s="505" t="str">
        <f>VLOOKUP(N18,Alerts[],3,FALSE)</f>
        <v/>
      </c>
      <c r="Q18" s="506"/>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33" t="str">
        <f>IF(K15="Salt",0, IF(OR(K15="Hot",K15="SIM Load Hot"),IF(OR(D26="",D28=""),"N/A",IF(ISBLANK(D26),"N/A",D28-D26)),"N/A"))</f>
        <v>N/A</v>
      </c>
      <c r="H19" s="534"/>
      <c r="I19" s="343" t="str">
        <f>IF(G19="N/A","N/A",IF(G19=0,"&lt;2",ROUND(IF(LEN(G19)&gt;3,G19*1440,RIGHT(TEXT(G19,"hh:mm"),2)),0))&amp;" MINUTES")</f>
        <v>N/A</v>
      </c>
      <c r="J19" s="496">
        <f>V21</f>
        <v>40</v>
      </c>
      <c r="K19" s="316"/>
      <c r="L19" s="317"/>
      <c r="M19" s="316"/>
      <c r="N19" s="462">
        <v>15</v>
      </c>
      <c r="O19" s="149"/>
      <c r="P19" s="505" t="str">
        <f>VLOOKUP(N19,Alerts[],3,FALSE)</f>
        <v/>
      </c>
      <c r="Q19" s="506"/>
      <c r="R19" s="463" t="str" cm="1">
        <f t="array" ref="R19">IFZERO(VLOOKUP(N19,Alerts[],4,FALSE),"")</f>
        <v/>
      </c>
      <c r="S19" s="150" t="str" cm="1">
        <f t="array" ref="S19">IFZERO(VLOOKUP(N19,Alerts[],5,FALSE),"")</f>
        <v/>
      </c>
      <c r="T19" s="494"/>
      <c r="U19" s="299" t="s">
        <v>951</v>
      </c>
      <c r="V19" s="299">
        <f>L20</f>
        <v>1</v>
      </c>
    </row>
    <row r="20" spans="1:22" s="291" customFormat="1" ht="13.7" customHeight="1" x14ac:dyDescent="0.2">
      <c r="A20" s="192"/>
      <c r="B20" s="537" t="str">
        <f>"SAT Tolerance (per " &amp; IF(E20, "AMS2750", "BAC5621") &amp; "):"</f>
        <v>SAT Tolerance (per AMS2750):</v>
      </c>
      <c r="C20" s="538"/>
      <c r="D20" s="412" t="e">
        <f>G94</f>
        <v>#N/A</v>
      </c>
      <c r="E20" s="477" t="b">
        <v>1</v>
      </c>
      <c r="F20" s="316"/>
      <c r="G20" s="316"/>
      <c r="H20" s="316"/>
      <c r="I20" s="317"/>
      <c r="J20" s="316"/>
      <c r="K20" s="316"/>
      <c r="L20" s="478">
        <v>1</v>
      </c>
      <c r="M20" s="316"/>
      <c r="N20" s="462">
        <v>16</v>
      </c>
      <c r="O20" s="149"/>
      <c r="P20" s="505" t="str">
        <f>VLOOKUP(N20,Alerts[],3,FALSE)</f>
        <v/>
      </c>
      <c r="Q20" s="506"/>
      <c r="R20" s="463" t="str" cm="1">
        <f t="array" ref="R20">IFZERO(VLOOKUP(N20,Alerts[],4,FALSE),"")</f>
        <v/>
      </c>
      <c r="S20" s="150" t="str" cm="1">
        <f t="array" ref="S20">IFZERO(VLOOKUP(N20,Alerts[],5,FALSE),"")</f>
        <v/>
      </c>
      <c r="T20" s="494"/>
      <c r="U20" s="299" t="s">
        <v>950</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05" t="str">
        <f>VLOOKUP(N21,Alerts[],3,FALSE)</f>
        <v/>
      </c>
      <c r="Q21" s="506"/>
      <c r="R21" s="463" t="str" cm="1">
        <f t="array" ref="R21">IFZERO(VLOOKUP(N21,Alerts[],4,FALSE),"")</f>
        <v/>
      </c>
      <c r="S21" s="150" t="str" cm="1">
        <f t="array" ref="S21">IFZERO(VLOOKUP(N21,Alerts[],5,FALSE),"")</f>
        <v/>
      </c>
      <c r="T21" s="494"/>
      <c r="U21" s="299" t="s">
        <v>949</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05" t="str">
        <f>VLOOKUP(N22,Alerts[],3,FALSE)</f>
        <v/>
      </c>
      <c r="Q22" s="506"/>
      <c r="R22" s="463" t="str" cm="1">
        <f t="array" ref="R22">IFZERO(VLOOKUP(N22,Alerts[],4,FALSE),"")</f>
        <v/>
      </c>
      <c r="S22" s="150" t="str" cm="1">
        <f t="array" ref="S22">IFZERO(VLOOKUP(N22,Alerts[],5,FALSE),"")</f>
        <v/>
      </c>
      <c r="T22" s="494"/>
      <c r="U22" s="299" t="s">
        <v>948</v>
      </c>
      <c r="V22" s="299">
        <f>V20+1</f>
        <v>1</v>
      </c>
    </row>
    <row r="23" spans="1:22" s="291" customFormat="1" x14ac:dyDescent="0.2">
      <c r="A23" s="334"/>
      <c r="B23" s="144"/>
      <c r="C23" s="444" t="s">
        <v>913</v>
      </c>
      <c r="D23" s="295"/>
      <c r="E23" s="316"/>
      <c r="F23" s="163" t="s">
        <v>97</v>
      </c>
      <c r="G23" s="563" t="s">
        <v>371</v>
      </c>
      <c r="H23" s="564"/>
      <c r="I23" s="564"/>
      <c r="J23" s="564"/>
      <c r="K23" s="565"/>
      <c r="L23" s="317"/>
      <c r="M23" s="316"/>
      <c r="N23" s="462">
        <v>19</v>
      </c>
      <c r="O23" s="149"/>
      <c r="P23" s="505" t="str">
        <f>VLOOKUP(N23,Alerts[],3,FALSE)</f>
        <v/>
      </c>
      <c r="Q23" s="506"/>
      <c r="R23" s="463" t="str" cm="1">
        <f t="array" ref="R23">IFZERO(VLOOKUP(N23,Alerts[],4,FALSE),"")</f>
        <v/>
      </c>
      <c r="S23" s="150" t="str" cm="1">
        <f t="array" ref="S23">IFZERO(VLOOKUP(N23,Alerts[],5,FALSE),"")</f>
        <v/>
      </c>
      <c r="T23" s="494"/>
      <c r="U23" s="299" t="s">
        <v>947</v>
      </c>
      <c r="V23" s="299">
        <f>V20+V21</f>
        <v>40</v>
      </c>
    </row>
    <row r="24" spans="1:22" s="291" customFormat="1" x14ac:dyDescent="0.2">
      <c r="A24" s="334"/>
      <c r="B24" s="539" t="s">
        <v>552</v>
      </c>
      <c r="C24" s="540"/>
      <c r="D24" s="295">
        <v>1</v>
      </c>
      <c r="E24" s="316"/>
      <c r="F24" s="163" t="s">
        <v>98</v>
      </c>
      <c r="G24" s="566"/>
      <c r="H24" s="567"/>
      <c r="I24" s="567"/>
      <c r="J24" s="567"/>
      <c r="K24" s="568"/>
      <c r="L24" s="317"/>
      <c r="M24" s="316"/>
      <c r="N24" s="462">
        <v>20</v>
      </c>
      <c r="O24" s="149"/>
      <c r="P24" s="505" t="str">
        <f>VLOOKUP(N24,Alerts[],3,FALSE)</f>
        <v/>
      </c>
      <c r="Q24" s="506"/>
      <c r="R24" s="463" t="str" cm="1">
        <f t="array" ref="R24">IFZERO(VLOOKUP(N24,Alerts[],4,FALSE),"")</f>
        <v/>
      </c>
      <c r="S24" s="150" t="str" cm="1">
        <f t="array" ref="S24">IFZERO(VLOOKUP(N24,Alerts[],5,FALSE),"")</f>
        <v/>
      </c>
      <c r="T24" s="494"/>
      <c r="U24" s="299" t="s">
        <v>946</v>
      </c>
      <c r="V24" s="299" t="str">
        <f>IF(V19=1,"","DaqBook points "&amp;V22&amp;"-"&amp;V23&amp;" used.")</f>
        <v/>
      </c>
    </row>
    <row r="25" spans="1:22" s="291" customFormat="1" x14ac:dyDescent="0.2">
      <c r="A25" s="334"/>
      <c r="B25" s="331"/>
      <c r="C25" s="332"/>
      <c r="D25" s="339"/>
      <c r="E25" s="316"/>
      <c r="F25" s="163" t="s">
        <v>99</v>
      </c>
      <c r="G25" s="566"/>
      <c r="H25" s="567"/>
      <c r="I25" s="567"/>
      <c r="J25" s="567"/>
      <c r="K25" s="568"/>
      <c r="L25" s="317"/>
      <c r="M25" s="316"/>
      <c r="N25" s="462">
        <v>21</v>
      </c>
      <c r="O25" s="149"/>
      <c r="P25" s="505" t="str">
        <f>VLOOKUP(N25,Alerts[],3,FALSE)</f>
        <v/>
      </c>
      <c r="Q25" s="506"/>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05" t="str">
        <f>VLOOKUP(N26,Alerts[],3,FALSE)</f>
        <v/>
      </c>
      <c r="Q26" s="506"/>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270</v>
      </c>
      <c r="G27" s="251" t="str">
        <f>G28</f>
        <v/>
      </c>
      <c r="H27" s="561" t="str">
        <f>IF(ISBLANK(D6),"",IF(CheckRec="x","CHECK INSTRUMENT CAL DATES!!!!             CHECK INSTRUMENT CAL DATES!!!!",""))</f>
        <v/>
      </c>
      <c r="I27" s="562"/>
      <c r="J27" s="562"/>
      <c r="K27" s="562"/>
      <c r="L27" s="317"/>
      <c r="M27" s="316"/>
      <c r="N27" s="462">
        <v>23</v>
      </c>
      <c r="O27" s="149"/>
      <c r="P27" s="505" t="str">
        <f>VLOOKUP(N27,Alerts[],3,FALSE)</f>
        <v/>
      </c>
      <c r="Q27" s="506"/>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271</v>
      </c>
      <c r="G28" s="251" t="str">
        <f>IF(CheckRec="y","Cal by Customer",IF(D$3,D$3,""))</f>
        <v/>
      </c>
      <c r="H28" s="561"/>
      <c r="I28" s="562"/>
      <c r="J28" s="562"/>
      <c r="K28" s="562"/>
      <c r="L28" s="317"/>
      <c r="M28" s="316"/>
      <c r="N28" s="462">
        <v>24</v>
      </c>
      <c r="O28" s="149"/>
      <c r="P28" s="505" t="str">
        <f>VLOOKUP(N28,Alerts[],3,FALSE)</f>
        <v/>
      </c>
      <c r="Q28" s="506"/>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272</v>
      </c>
      <c r="G29" s="317"/>
      <c r="H29" s="317"/>
      <c r="I29" s="317"/>
      <c r="J29" s="317"/>
      <c r="K29" s="317"/>
      <c r="L29" s="317"/>
      <c r="M29" s="316"/>
      <c r="N29" s="462">
        <v>25</v>
      </c>
      <c r="O29" s="149"/>
      <c r="P29" s="505" t="str">
        <f>VLOOKUP(N29,Alerts[],3,FALSE)</f>
        <v/>
      </c>
      <c r="Q29" s="506"/>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05" t="str">
        <f>VLOOKUP(N30,Alerts[],3,FALSE)</f>
        <v/>
      </c>
      <c r="Q30" s="506"/>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05" t="str">
        <f>VLOOKUP(N31,Alerts[],3,FALSE)</f>
        <v/>
      </c>
      <c r="Q31" s="506"/>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05" t="str">
        <f>VLOOKUP(N32,Alerts[],3,FALSE)</f>
        <v/>
      </c>
      <c r="Q32" s="506"/>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05" t="str">
        <f>VLOOKUP(N33,Alerts[],3,FALSE)</f>
        <v/>
      </c>
      <c r="Q33" s="506"/>
      <c r="R33" s="463" t="str" cm="1">
        <f t="array" ref="R33">IFZERO(VLOOKUP(N33,Alerts[],4,FALSE),"")</f>
        <v/>
      </c>
      <c r="S33" s="150" t="str" cm="1">
        <f t="array" ref="S33">IFZERO(VLOOKUP(N33,Alerts[],5,FALSE),"")</f>
        <v/>
      </c>
      <c r="T33" s="494"/>
    </row>
    <row r="34" spans="1:23" s="291" customFormat="1" ht="12.75" customHeight="1" x14ac:dyDescent="0.2">
      <c r="A34" s="334"/>
      <c r="B34" s="526" t="s">
        <v>49</v>
      </c>
      <c r="C34" s="527"/>
      <c r="D34" s="527"/>
      <c r="E34" s="527"/>
      <c r="F34" s="527"/>
      <c r="G34" s="527"/>
      <c r="H34" s="527"/>
      <c r="I34" s="527"/>
      <c r="J34" s="527"/>
      <c r="K34" s="527"/>
      <c r="L34" s="528"/>
      <c r="M34" s="316"/>
      <c r="N34" s="462">
        <v>30</v>
      </c>
      <c r="O34" s="149"/>
      <c r="P34" s="505" t="str">
        <f>VLOOKUP(N34,Alerts[],3,FALSE)</f>
        <v/>
      </c>
      <c r="Q34" s="506"/>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05" t="str">
        <f>VLOOKUP(N35,Alerts[],3,FALSE)</f>
        <v/>
      </c>
      <c r="Q35" s="506"/>
      <c r="R35" s="463" t="str" cm="1">
        <f t="array" ref="R35">IFZERO(VLOOKUP(N35,Alerts[],4,FALSE),"")</f>
        <v/>
      </c>
      <c r="S35" s="150" t="str" cm="1">
        <f t="array" ref="S35">IFZERO(VLOOKUP(N35,Alerts[],5,FALSE),"")</f>
        <v/>
      </c>
      <c r="T35" s="495"/>
    </row>
    <row r="36" spans="1:23" s="291" customFormat="1" ht="13.5" thickBot="1" x14ac:dyDescent="0.25">
      <c r="A36" s="500" t="s">
        <v>922</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05" t="str">
        <f>VLOOKUP(N36,Alerts[],3,FALSE)</f>
        <v/>
      </c>
      <c r="Q36" s="506"/>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05" t="str">
        <f>VLOOKUP(N37,Alerts[],3,FALSE)</f>
        <v/>
      </c>
      <c r="Q37" s="506"/>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05" t="str">
        <f>VLOOKUP(N38,Alerts[],3,FALSE)</f>
        <v/>
      </c>
      <c r="Q38" s="506"/>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05" t="str">
        <f>VLOOKUP(N39,Alerts[],3,FALSE)</f>
        <v/>
      </c>
      <c r="Q39" s="506"/>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05" t="str">
        <f>VLOOKUP(N40,Alerts[],3,FALSE)</f>
        <v/>
      </c>
      <c r="Q40" s="506"/>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05" t="str">
        <f>VLOOKUP(N41,Alerts[],3,FALSE)</f>
        <v/>
      </c>
      <c r="Q41" s="506"/>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05" t="str">
        <f>VLOOKUP(N42,Alerts[],3,FALSE)</f>
        <v/>
      </c>
      <c r="Q42" s="506"/>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05" t="str">
        <f>VLOOKUP(N43,Alerts[],3,FALSE)</f>
        <v/>
      </c>
      <c r="Q43" s="506"/>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05" t="str">
        <f>VLOOKUP(N44,Alerts[],3,FALSE)</f>
        <v/>
      </c>
      <c r="Q44" s="506"/>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52" t="s">
        <v>33</v>
      </c>
      <c r="E46" s="553"/>
      <c r="F46" s="553"/>
      <c r="G46" s="553"/>
      <c r="H46" s="553"/>
      <c r="I46" s="554"/>
      <c r="J46" s="360"/>
      <c r="K46" s="360"/>
      <c r="L46" s="360"/>
      <c r="M46" s="569" t="s">
        <v>328</v>
      </c>
      <c r="N46" s="570"/>
      <c r="O46" s="571"/>
      <c r="P46" s="572"/>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329</v>
      </c>
      <c r="N47" s="314" t="s">
        <v>330</v>
      </c>
      <c r="O47" s="361"/>
      <c r="P47" s="559" t="s">
        <v>331</v>
      </c>
      <c r="Q47" s="559"/>
      <c r="R47" s="432" t="s">
        <v>332</v>
      </c>
      <c r="S47" s="320"/>
      <c r="T47" s="320"/>
      <c r="U47" s="320"/>
    </row>
    <row r="48" spans="1:23" x14ac:dyDescent="0.2">
      <c r="A48" s="334"/>
      <c r="B48" s="358"/>
      <c r="C48" s="430" t="s">
        <v>34</v>
      </c>
      <c r="D48" s="303"/>
      <c r="E48" s="303"/>
      <c r="F48" s="303"/>
      <c r="G48" s="303"/>
      <c r="H48" s="303"/>
      <c r="I48" s="303"/>
      <c r="J48" s="360"/>
      <c r="K48" s="360"/>
      <c r="L48" s="360"/>
      <c r="M48" s="560" t="s">
        <v>333</v>
      </c>
      <c r="N48" s="560"/>
      <c r="O48" s="362"/>
      <c r="P48" s="518" t="s">
        <v>380</v>
      </c>
      <c r="Q48" s="519"/>
      <c r="R48" s="520"/>
      <c r="S48" s="363"/>
      <c r="T48" s="321"/>
      <c r="U48" s="518" t="s">
        <v>383</v>
      </c>
      <c r="V48" s="519"/>
      <c r="W48" s="520"/>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857</v>
      </c>
      <c r="L49" s="360"/>
      <c r="M49" s="252" t="s">
        <v>334</v>
      </c>
      <c r="N49" s="313" t="str">
        <f>IF(PB="","",PB)</f>
        <v/>
      </c>
      <c r="O49" s="330"/>
      <c r="P49" s="521" t="s">
        <v>385</v>
      </c>
      <c r="Q49" s="522"/>
      <c r="R49" s="523"/>
      <c r="S49" s="433"/>
      <c r="T49" s="322"/>
      <c r="U49" s="521" t="s">
        <v>384</v>
      </c>
      <c r="V49" s="522"/>
      <c r="W49" s="523"/>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335</v>
      </c>
      <c r="N50" s="313" t="str">
        <f>IF(Integral="","",Integral)</f>
        <v/>
      </c>
      <c r="O50" s="330"/>
      <c r="P50" s="509" t="s">
        <v>336</v>
      </c>
      <c r="Q50" s="510"/>
      <c r="R50" s="511"/>
      <c r="S50" s="366"/>
      <c r="T50" s="323"/>
      <c r="U50" s="509" t="s">
        <v>336</v>
      </c>
      <c r="V50" s="510"/>
      <c r="W50" s="511"/>
      <c r="X50" s="320"/>
    </row>
    <row r="51" spans="1:24" x14ac:dyDescent="0.2">
      <c r="A51" s="334"/>
      <c r="B51" s="367"/>
      <c r="C51" s="429" t="s">
        <v>57</v>
      </c>
      <c r="D51" s="303"/>
      <c r="E51" s="303"/>
      <c r="F51" s="303"/>
      <c r="G51" s="303"/>
      <c r="H51" s="303"/>
      <c r="I51" s="303"/>
      <c r="J51" s="360"/>
      <c r="K51" s="368"/>
      <c r="L51" s="360"/>
      <c r="M51" s="416" t="s">
        <v>337</v>
      </c>
      <c r="N51" s="313" t="str">
        <f>IF(Derivative="","",Derivative)</f>
        <v/>
      </c>
      <c r="O51" s="316"/>
      <c r="P51" s="521" t="s">
        <v>381</v>
      </c>
      <c r="Q51" s="522"/>
      <c r="R51" s="523"/>
      <c r="S51" s="433"/>
      <c r="T51" s="324"/>
      <c r="U51" s="521" t="s">
        <v>386</v>
      </c>
      <c r="V51" s="522"/>
      <c r="W51" s="523"/>
      <c r="X51" s="304"/>
    </row>
    <row r="52" spans="1:24" x14ac:dyDescent="0.2">
      <c r="A52" s="334"/>
      <c r="B52" s="358"/>
      <c r="C52" s="429" t="s">
        <v>343</v>
      </c>
      <c r="D52" s="303"/>
      <c r="E52" s="303"/>
      <c r="F52" s="303"/>
      <c r="G52" s="303"/>
      <c r="H52" s="303"/>
      <c r="I52" s="303"/>
      <c r="J52" s="360"/>
      <c r="K52" s="368"/>
      <c r="L52" s="360"/>
      <c r="M52" s="416" t="s">
        <v>338</v>
      </c>
      <c r="N52" s="313" t="str">
        <f>IF(Other1="","",Other1)</f>
        <v/>
      </c>
      <c r="O52" s="330"/>
      <c r="P52" s="509" t="s">
        <v>336</v>
      </c>
      <c r="Q52" s="510"/>
      <c r="R52" s="511"/>
      <c r="S52" s="366"/>
      <c r="T52" s="325"/>
      <c r="U52" s="509" t="s">
        <v>336</v>
      </c>
      <c r="V52" s="510"/>
      <c r="W52" s="511"/>
      <c r="X52" s="320"/>
    </row>
    <row r="53" spans="1:24" ht="12.75" customHeight="1" x14ac:dyDescent="0.2">
      <c r="A53" s="334"/>
      <c r="B53" s="358"/>
      <c r="C53" s="429" t="s">
        <v>58</v>
      </c>
      <c r="D53" s="308"/>
      <c r="E53" s="308"/>
      <c r="F53" s="308"/>
      <c r="G53" s="308"/>
      <c r="H53" s="308"/>
      <c r="I53" s="308"/>
      <c r="J53" s="360"/>
      <c r="K53" s="369"/>
      <c r="L53" s="369"/>
      <c r="M53" s="417" t="s">
        <v>338</v>
      </c>
      <c r="N53" s="313" t="str">
        <f>IF(Other2="","",Other2)</f>
        <v/>
      </c>
      <c r="O53" s="330"/>
      <c r="P53" s="512" t="s">
        <v>382</v>
      </c>
      <c r="Q53" s="513"/>
      <c r="R53" s="514"/>
      <c r="S53" s="434"/>
      <c r="T53" s="326"/>
      <c r="U53" s="512" t="s">
        <v>387</v>
      </c>
      <c r="V53" s="513"/>
      <c r="W53" s="514"/>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365</v>
      </c>
      <c r="N54" s="312">
        <v>0</v>
      </c>
      <c r="O54" s="318"/>
      <c r="P54" s="515"/>
      <c r="Q54" s="516"/>
      <c r="R54" s="517"/>
      <c r="S54" s="371"/>
      <c r="T54" s="327"/>
      <c r="U54" s="515"/>
      <c r="V54" s="516"/>
      <c r="W54" s="517"/>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366</v>
      </c>
      <c r="N55" s="312">
        <v>0</v>
      </c>
      <c r="O55" s="318"/>
      <c r="P55" s="255" t="s">
        <v>339</v>
      </c>
      <c r="Q55" s="255" t="s">
        <v>14</v>
      </c>
      <c r="R55" s="263" t="s">
        <v>340</v>
      </c>
      <c r="S55" s="373"/>
      <c r="T55" s="328"/>
      <c r="U55" s="315" t="s">
        <v>341</v>
      </c>
      <c r="V55" s="255" t="s">
        <v>14</v>
      </c>
      <c r="W55" s="255" t="s">
        <v>342</v>
      </c>
    </row>
    <row r="56" spans="1:24" x14ac:dyDescent="0.2">
      <c r="A56" s="334"/>
      <c r="B56" s="374"/>
      <c r="C56" s="431" t="s">
        <v>153</v>
      </c>
      <c r="D56" s="303"/>
      <c r="E56" s="303"/>
      <c r="F56" s="303"/>
      <c r="G56" s="303"/>
      <c r="H56" s="303"/>
      <c r="I56" s="303"/>
      <c r="J56" s="375"/>
      <c r="K56" s="424"/>
      <c r="L56" s="425"/>
      <c r="M56" s="423" t="s">
        <v>367</v>
      </c>
      <c r="N56" s="312">
        <v>0</v>
      </c>
      <c r="O56" s="318"/>
      <c r="P56" s="435"/>
      <c r="Q56" s="436"/>
      <c r="R56" s="437"/>
      <c r="S56" s="376"/>
      <c r="T56" s="329"/>
      <c r="U56" s="438"/>
      <c r="V56" s="436"/>
      <c r="W56" s="435"/>
    </row>
    <row r="57" spans="1:24" x14ac:dyDescent="0.2">
      <c r="A57" s="334"/>
      <c r="B57" s="355"/>
      <c r="C57" s="252" t="s">
        <v>344</v>
      </c>
      <c r="D57" s="304"/>
      <c r="E57" s="304"/>
      <c r="F57" s="304"/>
      <c r="G57" s="304"/>
      <c r="H57" s="304"/>
      <c r="I57" s="304"/>
      <c r="J57" s="316"/>
      <c r="K57" s="426"/>
      <c r="L57" s="427"/>
      <c r="M57" s="428" t="s">
        <v>368</v>
      </c>
      <c r="N57" s="312">
        <v>0</v>
      </c>
      <c r="O57" s="318"/>
      <c r="P57" s="316"/>
      <c r="Q57" s="316"/>
      <c r="R57" s="316"/>
      <c r="S57" s="316"/>
    </row>
    <row r="58" spans="1:24" x14ac:dyDescent="0.2">
      <c r="A58" s="334"/>
      <c r="B58" s="355"/>
      <c r="C58" s="552" t="s">
        <v>158</v>
      </c>
      <c r="D58" s="553"/>
      <c r="E58" s="553"/>
      <c r="F58" s="553"/>
      <c r="G58" s="553"/>
      <c r="H58" s="553"/>
      <c r="I58" s="553"/>
      <c r="J58" s="553"/>
      <c r="K58" s="557"/>
      <c r="L58" s="558"/>
      <c r="M58" s="320"/>
      <c r="N58" s="320"/>
      <c r="O58" s="320"/>
      <c r="P58" s="320"/>
      <c r="Q58" s="320"/>
      <c r="R58" s="320"/>
      <c r="S58" s="320"/>
      <c r="T58" s="320"/>
      <c r="U58" s="320"/>
    </row>
    <row r="59" spans="1:24" x14ac:dyDescent="0.2">
      <c r="A59" s="334"/>
      <c r="B59" s="355"/>
      <c r="C59" s="552" t="s">
        <v>161</v>
      </c>
      <c r="D59" s="553"/>
      <c r="E59" s="553"/>
      <c r="F59" s="553"/>
      <c r="G59" s="553"/>
      <c r="H59" s="553"/>
      <c r="I59" s="553"/>
      <c r="J59" s="553"/>
      <c r="K59" s="553"/>
      <c r="L59" s="554"/>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363</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905</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903</v>
      </c>
      <c r="G85" t="s">
        <v>151</v>
      </c>
      <c r="H85" t="s">
        <v>150</v>
      </c>
      <c r="I85" s="39" t="s">
        <v>904</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921</v>
      </c>
      <c r="G97" s="389">
        <f>IF(TolMin+TolMax=0,TolMax,"Not Implemented: AMS Class unknown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HGB0tKVITq8VA5Dp8kkrwkiQUBOSXWjHxHVRuESsb6N9RbekJW8ss0/7iAM7zwiY3UnmY/Z8Ubnb3tUd/RVRoQ==" saltValue="tj1LdZv8oQuneY6rz29ZWg=="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138"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939</v>
      </c>
      <c r="B1" s="1" t="s">
        <v>938</v>
      </c>
    </row>
    <row r="2" spans="1:2" x14ac:dyDescent="0.2">
      <c r="A2" t="s">
        <v>940</v>
      </c>
      <c r="B2" t="b">
        <v>1</v>
      </c>
    </row>
  </sheetData>
  <sheetProtection algorithmName="SHA-512" hashValue="wMrbSIrfvUmmz37TgcRBzurgKgHKwM+xU6mFOeuck7NMFJpAm+NtnPDB0s8QKKkDgrgtK3++EUZ6rz9OJWuKdw==" saltValue="+RzaaILx+81Z5u+XM8YPgg=="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888</v>
      </c>
      <c r="C2" s="48" t="s">
        <v>889</v>
      </c>
      <c r="D2" s="48" t="s">
        <v>890</v>
      </c>
      <c r="E2" s="48" t="s">
        <v>395</v>
      </c>
      <c r="F2" s="48" t="s">
        <v>891</v>
      </c>
      <c r="G2" s="48" t="s">
        <v>892</v>
      </c>
      <c r="H2" s="48" t="s">
        <v>893</v>
      </c>
      <c r="I2" s="48" t="s">
        <v>894</v>
      </c>
      <c r="J2" s="48" t="s">
        <v>895</v>
      </c>
      <c r="K2" s="48" t="s">
        <v>396</v>
      </c>
      <c r="L2" s="48" t="s">
        <v>896</v>
      </c>
      <c r="M2" s="48" t="s">
        <v>897</v>
      </c>
      <c r="N2" s="48" t="s">
        <v>898</v>
      </c>
      <c r="O2" s="48" t="s">
        <v>899</v>
      </c>
      <c r="P2" s="52"/>
      <c r="Q2" s="443" t="s">
        <v>14</v>
      </c>
      <c r="R2" s="48" t="s">
        <v>874</v>
      </c>
      <c r="S2" s="48" t="s">
        <v>875</v>
      </c>
      <c r="T2" s="48" t="s">
        <v>876</v>
      </c>
      <c r="U2" s="48" t="s">
        <v>877</v>
      </c>
      <c r="V2" s="48" t="s">
        <v>878</v>
      </c>
      <c r="W2" s="48" t="s">
        <v>879</v>
      </c>
      <c r="X2" s="48" t="s">
        <v>880</v>
      </c>
      <c r="Y2" s="48" t="s">
        <v>881</v>
      </c>
      <c r="Z2" s="48" t="s">
        <v>882</v>
      </c>
      <c r="AA2" s="48" t="s">
        <v>883</v>
      </c>
      <c r="AB2" s="48" t="s">
        <v>884</v>
      </c>
      <c r="AC2" s="48" t="s">
        <v>885</v>
      </c>
      <c r="AD2" s="48" t="s">
        <v>886</v>
      </c>
      <c r="AE2" s="48" t="s">
        <v>887</v>
      </c>
      <c r="AF2" s="52"/>
      <c r="AG2" s="443" t="s">
        <v>14</v>
      </c>
      <c r="AH2" s="87" t="s">
        <v>862</v>
      </c>
      <c r="AI2" s="87" t="s">
        <v>863</v>
      </c>
      <c r="AJ2" s="87" t="s">
        <v>864</v>
      </c>
      <c r="AK2" s="87" t="s">
        <v>865</v>
      </c>
      <c r="AL2" s="87" t="s">
        <v>866</v>
      </c>
      <c r="AM2" s="87" t="s">
        <v>867</v>
      </c>
      <c r="AN2" s="87" t="s">
        <v>868</v>
      </c>
      <c r="AO2" s="87" t="s">
        <v>869</v>
      </c>
      <c r="AP2" s="87" t="s">
        <v>870</v>
      </c>
      <c r="AQ2" s="87" t="s">
        <v>871</v>
      </c>
      <c r="AR2" s="87" t="s">
        <v>872</v>
      </c>
      <c r="AS2" s="87" t="s">
        <v>873</v>
      </c>
    </row>
    <row r="3" spans="1:45" x14ac:dyDescent="0.2">
      <c r="B3" s="489"/>
      <c r="C3" s="489"/>
      <c r="D3" s="489"/>
      <c r="E3" s="489"/>
      <c r="F3" s="489"/>
      <c r="G3" s="489"/>
      <c r="H3" s="489"/>
      <c r="I3" s="489"/>
      <c r="J3" s="489"/>
      <c r="K3" s="489"/>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WRQCRJ33N3mRXKNN2frNAinJCtOQBSNK6oa7ob1M+7IDkaUlcqVNMen9vGO7liw7WZSfjxb7bmkgauj0hCTXGQ==" saltValue="nN0ayxgVp+yCBstQ1eelp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373</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374</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9gpVjCLqdPw/I9h9vnGUVNUdxRxGaLqVTIK3g7/QlURzD92dy5BLJKdS8pDlJgl1FJpit6UUYI1VOxRW9BxEkQ==" saltValue="HCEQ14zzxsgh+27ITDq2d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L9" sqref="L9:O1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2" t="s">
        <v>116</v>
      </c>
      <c r="E1" s="592"/>
      <c r="F1" s="592"/>
      <c r="G1" s="592"/>
      <c r="H1" s="592"/>
      <c r="I1" s="592"/>
      <c r="J1" s="592"/>
      <c r="K1" s="592"/>
      <c r="L1" s="592"/>
      <c r="M1" s="592"/>
    </row>
    <row r="2" spans="1:18" ht="23.25" customHeight="1" x14ac:dyDescent="0.3">
      <c r="C2" s="242"/>
      <c r="D2" s="242" t="s">
        <v>321</v>
      </c>
      <c r="E2" s="242"/>
      <c r="F2" s="242"/>
      <c r="G2" s="242"/>
      <c r="H2" s="242"/>
      <c r="I2" s="242"/>
      <c r="J2" s="242"/>
      <c r="K2" s="242"/>
      <c r="L2" s="242"/>
      <c r="M2" s="242"/>
    </row>
    <row r="3" spans="1:18" ht="23.25" x14ac:dyDescent="0.35">
      <c r="C3" s="593"/>
      <c r="D3" s="593"/>
      <c r="E3" s="593"/>
      <c r="F3" s="593"/>
      <c r="G3" s="593"/>
      <c r="H3" s="593"/>
      <c r="I3" s="593"/>
      <c r="J3" s="593"/>
      <c r="K3" s="593"/>
      <c r="L3" s="593"/>
      <c r="M3" s="593"/>
    </row>
    <row r="4" spans="1:18" ht="23.25" x14ac:dyDescent="0.35">
      <c r="C4" s="226"/>
      <c r="D4" s="226"/>
      <c r="E4" s="226"/>
      <c r="F4" s="226"/>
      <c r="G4" s="226"/>
      <c r="H4" s="226"/>
      <c r="I4" s="226"/>
      <c r="J4" s="226"/>
      <c r="K4" s="226"/>
      <c r="L4" s="226"/>
      <c r="M4" s="226"/>
    </row>
    <row r="5" spans="1:18" ht="23.25" x14ac:dyDescent="0.35">
      <c r="C5" s="610" t="s">
        <v>6</v>
      </c>
      <c r="D5" s="610"/>
      <c r="E5" s="610"/>
      <c r="F5" s="610"/>
      <c r="G5" s="610"/>
      <c r="H5" s="610"/>
      <c r="I5" s="610"/>
      <c r="J5" s="610"/>
      <c r="K5" s="610"/>
      <c r="L5" s="610"/>
      <c r="M5" s="610"/>
    </row>
    <row r="6" spans="1:18" ht="23.25" x14ac:dyDescent="0.35">
      <c r="C6" s="227"/>
      <c r="D6" s="227"/>
      <c r="E6" s="576" t="str">
        <f>IFERROR(CONCATENATE("Report Number: ", WorkItemNumber),"")</f>
        <v/>
      </c>
      <c r="F6" s="576"/>
      <c r="G6" s="576"/>
      <c r="H6" s="576"/>
      <c r="I6" s="576"/>
      <c r="J6" s="576"/>
      <c r="K6" s="576"/>
      <c r="L6" s="227"/>
      <c r="M6" s="227"/>
    </row>
    <row r="7" spans="1:18" ht="18.75" customHeight="1" x14ac:dyDescent="0.3">
      <c r="G7" s="588"/>
      <c r="H7" s="588"/>
      <c r="I7" s="201"/>
      <c r="R7" t="str">
        <f>CONCATENATE("Page ",Main!L9," of ",Main!L10)</f>
        <v xml:space="preserve">Page  of </v>
      </c>
    </row>
    <row r="8" spans="1:18" ht="18" customHeight="1" x14ac:dyDescent="0.25">
      <c r="G8" s="605"/>
      <c r="H8" s="605"/>
      <c r="J8" s="81"/>
      <c r="K8" s="228" t="s">
        <v>318</v>
      </c>
      <c r="L8" s="589">
        <f>FormNumber</f>
        <v>0</v>
      </c>
      <c r="M8" s="589"/>
      <c r="N8" s="589"/>
      <c r="O8" s="589"/>
    </row>
    <row r="9" spans="1:18" ht="18" customHeight="1" x14ac:dyDescent="0.25">
      <c r="A9" s="228" t="s">
        <v>275</v>
      </c>
      <c r="B9" s="34" t="e">
        <f>Main!D5</f>
        <v>#N/A</v>
      </c>
      <c r="J9" s="81"/>
      <c r="K9" s="228" t="s">
        <v>319</v>
      </c>
      <c r="L9" s="590" t="str">
        <f>"JGI WP4100, "&amp;CalMethod</f>
        <v xml:space="preserve">JGI WP4100, </v>
      </c>
      <c r="M9" s="590"/>
      <c r="N9" s="590"/>
      <c r="O9" s="590"/>
    </row>
    <row r="10" spans="1:18" ht="18" customHeight="1" x14ac:dyDescent="0.25">
      <c r="A10" s="90"/>
      <c r="B10" s="223" t="str" cm="1">
        <f t="array" ref="B10">IFZERO('Customer Table'!R2,"")</f>
        <v/>
      </c>
      <c r="J10" s="81"/>
      <c r="K10" s="228"/>
      <c r="L10" s="590"/>
      <c r="M10" s="590"/>
      <c r="N10" s="590"/>
      <c r="O10" s="590"/>
    </row>
    <row r="11" spans="1:18" ht="18" customHeight="1" x14ac:dyDescent="0.25">
      <c r="A11" s="90"/>
      <c r="B11" s="223" t="str" cm="1">
        <f t="array" ref="B11">IFZERO('Customer Table'!S2,"")</f>
        <v/>
      </c>
      <c r="J11" s="81"/>
      <c r="K11" s="228" t="s">
        <v>320</v>
      </c>
      <c r="L11" s="589">
        <f>TolSource</f>
        <v>0</v>
      </c>
      <c r="M11" s="589"/>
      <c r="N11" s="589"/>
      <c r="O11" s="589"/>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276</v>
      </c>
      <c r="B14" s="230">
        <f>Item</f>
        <v>0</v>
      </c>
      <c r="C14" s="231"/>
      <c r="D14" s="231"/>
      <c r="E14" s="231"/>
      <c r="F14" s="205"/>
      <c r="G14" s="219" t="s">
        <v>281</v>
      </c>
      <c r="H14" s="230">
        <f>Ranges</f>
        <v>0</v>
      </c>
      <c r="I14" s="205"/>
      <c r="J14" s="205"/>
      <c r="K14" s="205"/>
      <c r="L14" s="205"/>
      <c r="M14" s="219" t="s">
        <v>286</v>
      </c>
      <c r="N14" s="230" t="str">
        <f>Main!D7</f>
        <v>Jeff Hall</v>
      </c>
      <c r="O14" s="206"/>
    </row>
    <row r="15" spans="1:18" ht="18" customHeight="1" x14ac:dyDescent="0.25">
      <c r="A15" s="234" t="s">
        <v>277</v>
      </c>
      <c r="B15" s="232">
        <f>ModelNumber</f>
        <v>0</v>
      </c>
      <c r="C15" s="223"/>
      <c r="D15" s="223"/>
      <c r="E15" s="223"/>
      <c r="G15" s="228" t="s">
        <v>282</v>
      </c>
      <c r="H15" s="232">
        <f>Tolerances</f>
        <v>0</v>
      </c>
      <c r="M15" s="228" t="s">
        <v>287</v>
      </c>
      <c r="N15" s="236">
        <f>Main!D3</f>
        <v>0</v>
      </c>
      <c r="O15" s="207"/>
    </row>
    <row r="16" spans="1:18" ht="18" customHeight="1" x14ac:dyDescent="0.25">
      <c r="A16" s="234" t="s">
        <v>278</v>
      </c>
      <c r="B16" s="607">
        <f>SerialNumber</f>
        <v>0</v>
      </c>
      <c r="C16" s="607"/>
      <c r="D16" s="607"/>
      <c r="E16" s="607"/>
      <c r="G16" s="228" t="s">
        <v>283</v>
      </c>
      <c r="H16" s="232">
        <f>HeatingMethod</f>
        <v>0</v>
      </c>
      <c r="M16" s="228" t="s">
        <v>288</v>
      </c>
      <c r="N16" s="236" t="e">
        <f>IF(CalInterval="N/A", "N/A", EDATE(N15, CHOOSE(MATCH(CalInterval, {"M","2 Mo","Q","4 Mo","6 Mo","A","2Yr","3Yr"}, 0), 1, 2, 3, 4, 6, 12, 24, 36)))</f>
        <v>#N/A</v>
      </c>
      <c r="O16" s="207"/>
    </row>
    <row r="17" spans="1:19" ht="18" customHeight="1" x14ac:dyDescent="0.25">
      <c r="A17" s="234" t="s">
        <v>279</v>
      </c>
      <c r="B17" s="257">
        <f>UnitNumber</f>
        <v>0</v>
      </c>
      <c r="C17" s="223"/>
      <c r="D17" s="223"/>
      <c r="E17" s="223"/>
      <c r="G17" s="228" t="s">
        <v>284</v>
      </c>
      <c r="H17" s="232">
        <f>WorkingZoneSize</f>
        <v>0</v>
      </c>
      <c r="M17" s="228" t="str">
        <f>IF(Main!K13="","","PO:")</f>
        <v/>
      </c>
      <c r="N17" s="232" t="str">
        <f>IF(Main!K13="","",Main!K13)</f>
        <v/>
      </c>
      <c r="O17" s="207"/>
    </row>
    <row r="18" spans="1:19" ht="18" customHeight="1" x14ac:dyDescent="0.25">
      <c r="A18" s="234" t="s">
        <v>280</v>
      </c>
      <c r="B18" s="596">
        <f>Class</f>
        <v>0</v>
      </c>
      <c r="C18" s="596"/>
      <c r="D18" s="596"/>
      <c r="E18" s="596"/>
      <c r="G18" s="228" t="s">
        <v>285</v>
      </c>
      <c r="H18" s="232">
        <f>CubicFeet</f>
        <v>0</v>
      </c>
      <c r="M18" s="228" t="s">
        <v>289</v>
      </c>
      <c r="N18" s="232" t="str">
        <f>Main!G18</f>
        <v>ACCEPTED</v>
      </c>
      <c r="O18" s="207"/>
    </row>
    <row r="19" spans="1:19" ht="18" customHeight="1" x14ac:dyDescent="0.25">
      <c r="A19" s="218"/>
      <c r="B19" s="597"/>
      <c r="C19" s="597"/>
      <c r="D19" s="597"/>
      <c r="E19" s="597"/>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290</v>
      </c>
      <c r="B21" s="608">
        <f>Controller</f>
        <v>0</v>
      </c>
      <c r="C21" s="608"/>
      <c r="D21" s="608"/>
      <c r="E21" s="608"/>
      <c r="F21" s="219" t="s">
        <v>292</v>
      </c>
      <c r="G21" s="608">
        <f>ContSN</f>
        <v>0</v>
      </c>
      <c r="H21" s="608"/>
      <c r="I21" s="608"/>
      <c r="J21" s="219" t="s">
        <v>293</v>
      </c>
      <c r="K21" s="231">
        <f>ContTol</f>
        <v>0</v>
      </c>
      <c r="L21" s="205"/>
      <c r="M21" s="219" t="s">
        <v>294</v>
      </c>
      <c r="N21" s="244" t="str">
        <f>Main!G27</f>
        <v/>
      </c>
      <c r="O21" s="206"/>
    </row>
    <row r="22" spans="1:19" ht="18" customHeight="1" x14ac:dyDescent="0.25">
      <c r="A22" s="237" t="s">
        <v>291</v>
      </c>
      <c r="B22" s="609">
        <f>_xlnm.Recorder</f>
        <v>0</v>
      </c>
      <c r="C22" s="609"/>
      <c r="D22" s="609"/>
      <c r="E22" s="609"/>
      <c r="F22" s="220" t="s">
        <v>292</v>
      </c>
      <c r="G22" s="609">
        <f>RecSN</f>
        <v>0</v>
      </c>
      <c r="H22" s="609"/>
      <c r="I22" s="609"/>
      <c r="J22" s="220" t="s">
        <v>293</v>
      </c>
      <c r="K22" s="243">
        <f>RecTol</f>
        <v>0</v>
      </c>
      <c r="L22" s="208"/>
      <c r="M22" s="220" t="s">
        <v>294</v>
      </c>
      <c r="N22" s="245" t="str">
        <f>Main!G28</f>
        <v/>
      </c>
      <c r="O22" s="209"/>
    </row>
    <row r="23" spans="1:19" ht="8.1" customHeight="1" x14ac:dyDescent="0.25">
      <c r="A23" s="81"/>
      <c r="B23" s="223"/>
      <c r="C23" s="223"/>
      <c r="D23" s="223"/>
      <c r="E23" s="212"/>
    </row>
    <row r="24" spans="1:19" ht="18" customHeight="1" x14ac:dyDescent="0.25">
      <c r="A24" s="233" t="s">
        <v>295</v>
      </c>
      <c r="B24" s="239">
        <f>NominalTemp</f>
        <v>0</v>
      </c>
      <c r="C24" s="231"/>
      <c r="D24" s="231"/>
      <c r="E24" s="213"/>
      <c r="F24" s="205"/>
      <c r="G24" s="219" t="s">
        <v>298</v>
      </c>
      <c r="H24" s="221">
        <f>Main!D26</f>
        <v>0</v>
      </c>
      <c r="I24" s="205"/>
      <c r="J24" s="205"/>
      <c r="K24" s="205"/>
      <c r="L24" s="217"/>
      <c r="M24" s="219" t="s">
        <v>301</v>
      </c>
      <c r="N24" s="231" t="str">
        <f>TEXT(Survey!N2,"0.0") &amp; Unit &amp; " / " &amp; TEXT(Survey!N3,"0.0") &amp; Unit</f>
        <v>0.0°F / 0.0°F</v>
      </c>
      <c r="O24" s="206"/>
    </row>
    <row r="25" spans="1:19" ht="18" customHeight="1" x14ac:dyDescent="0.25">
      <c r="A25" s="234" t="s">
        <v>296</v>
      </c>
      <c r="B25" s="240">
        <f>Main!D15</f>
        <v>0</v>
      </c>
      <c r="C25" s="223"/>
      <c r="D25" s="223"/>
      <c r="E25" s="212"/>
      <c r="G25" s="228" t="s">
        <v>299</v>
      </c>
      <c r="H25" s="222" t="str">
        <f>Main!E29</f>
        <v/>
      </c>
      <c r="L25" s="81"/>
      <c r="M25" s="228" t="s">
        <v>302</v>
      </c>
      <c r="N25" s="223" t="str">
        <f>IF(Main!H15=TRUE,Main!G17,"VERIFY LOAD!!!")</f>
        <v/>
      </c>
      <c r="O25" s="207"/>
      <c r="R25" s="140"/>
      <c r="S25" s="75"/>
    </row>
    <row r="26" spans="1:19" ht="18" customHeight="1" x14ac:dyDescent="0.25">
      <c r="A26" s="234" t="s">
        <v>297</v>
      </c>
      <c r="B26" s="223" t="s">
        <v>267</v>
      </c>
      <c r="C26" s="223"/>
      <c r="D26" s="223"/>
      <c r="E26" s="212"/>
      <c r="G26" s="228" t="s">
        <v>300</v>
      </c>
      <c r="H26" s="223" t="str">
        <f>Main!I19</f>
        <v>N/A</v>
      </c>
      <c r="L26" s="81"/>
      <c r="M26" s="228" t="e">
        <f>"Uncertainty @ k="&amp;ROUND(k,1)&amp;":"</f>
        <v>#NUM!</v>
      </c>
      <c r="N26" s="223" t="e">
        <f>TEXT(Survey!J9,"0.0") &amp; Unit</f>
        <v>#NUM!</v>
      </c>
      <c r="O26" s="207"/>
    </row>
    <row r="27" spans="1:19" ht="18" customHeight="1" x14ac:dyDescent="0.2">
      <c r="A27" s="238"/>
      <c r="B27" s="208"/>
      <c r="C27" s="606" t="s">
        <v>303</v>
      </c>
      <c r="D27" s="606"/>
      <c r="E27" s="606"/>
      <c r="F27" s="606"/>
      <c r="G27" s="606"/>
      <c r="H27" s="606"/>
      <c r="I27" s="606"/>
      <c r="J27" s="606"/>
      <c r="K27" s="606"/>
      <c r="L27" s="606"/>
      <c r="M27" s="606"/>
      <c r="N27" s="208"/>
      <c r="O27" s="209"/>
    </row>
    <row r="28" spans="1:19" ht="8.1" customHeight="1" x14ac:dyDescent="0.2"/>
    <row r="29" spans="1:19" ht="18" customHeight="1" x14ac:dyDescent="0.2">
      <c r="A29" s="602" t="s">
        <v>273</v>
      </c>
      <c r="B29" s="603"/>
      <c r="C29" s="604"/>
      <c r="D29" s="602" t="s">
        <v>304</v>
      </c>
      <c r="E29" s="603"/>
      <c r="F29" s="603"/>
      <c r="G29" s="604"/>
      <c r="H29" s="602" t="s">
        <v>274</v>
      </c>
      <c r="I29" s="603"/>
      <c r="J29" s="603"/>
      <c r="K29" s="604"/>
      <c r="L29" s="602" t="s">
        <v>257</v>
      </c>
      <c r="M29" s="603"/>
      <c r="N29" s="603"/>
      <c r="O29" s="604"/>
    </row>
    <row r="30" spans="1:19" ht="18" customHeight="1" x14ac:dyDescent="0.2">
      <c r="A30" s="224"/>
      <c r="B30" s="214" t="s">
        <v>967</v>
      </c>
      <c r="C30" s="225"/>
      <c r="D30" s="599" t="str">
        <f>CONCATENATE(Main!D22,Unit," / ",Main!D23,"% RH")</f>
        <v>°F / % RH</v>
      </c>
      <c r="E30" s="600"/>
      <c r="F30" s="600"/>
      <c r="G30" s="601"/>
      <c r="H30" s="599">
        <f>OvenLocation</f>
        <v>0</v>
      </c>
      <c r="I30" s="600"/>
      <c r="J30" s="600"/>
      <c r="K30" s="601"/>
      <c r="L30" s="599">
        <f>Condition</f>
        <v>0</v>
      </c>
      <c r="M30" s="600"/>
      <c r="N30" s="600"/>
      <c r="O30" s="601"/>
    </row>
    <row r="31" spans="1:19" ht="18" customHeight="1" x14ac:dyDescent="0.2"/>
    <row r="32" spans="1:19" ht="18" customHeight="1" x14ac:dyDescent="0.25">
      <c r="A32" s="247" t="s">
        <v>305</v>
      </c>
      <c r="B32" s="591" t="s">
        <v>306</v>
      </c>
      <c r="C32" s="591"/>
      <c r="D32" s="247" t="s">
        <v>269</v>
      </c>
      <c r="E32" s="247" t="s">
        <v>268</v>
      </c>
      <c r="F32" s="247" t="s">
        <v>307</v>
      </c>
      <c r="G32" s="81"/>
      <c r="H32" s="81"/>
      <c r="I32" s="247" t="s">
        <v>305</v>
      </c>
      <c r="J32" s="591" t="s">
        <v>306</v>
      </c>
      <c r="K32" s="591"/>
      <c r="L32" s="247" t="s">
        <v>269</v>
      </c>
      <c r="M32" s="247" t="s">
        <v>268</v>
      </c>
      <c r="N32" s="247" t="s">
        <v>307</v>
      </c>
    </row>
    <row r="33" spans="1:14" ht="18" customHeight="1" x14ac:dyDescent="0.2">
      <c r="A33" s="248" t="str">
        <f>IF(B33="","",1)</f>
        <v/>
      </c>
      <c r="B33" s="588" t="str">
        <f>IF(Main!O5="","",Main!O5)</f>
        <v/>
      </c>
      <c r="C33" s="588"/>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8" t="str">
        <f>IF(Main!O25="","",Main!O25)</f>
        <v/>
      </c>
      <c r="K33" s="588"/>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8" t="str">
        <f>IF(Main!O6="","",Main!O6)</f>
        <v/>
      </c>
      <c r="C34" s="588"/>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8" t="str">
        <f>IF(Main!O26="","",Main!O26)</f>
        <v/>
      </c>
      <c r="K34" s="588"/>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8" t="str">
        <f>IF(Main!O7="","",Main!O7)</f>
        <v/>
      </c>
      <c r="C35" s="588"/>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8" t="str">
        <f>IF(Main!O27="","",Main!O27)</f>
        <v/>
      </c>
      <c r="K35" s="588"/>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8" t="str">
        <f>IF(Main!O8="","",Main!O8)</f>
        <v/>
      </c>
      <c r="C36" s="588"/>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8" t="str">
        <f>IF(Main!O28="","",Main!O28)</f>
        <v/>
      </c>
      <c r="K36" s="588"/>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8" t="str">
        <f>IF(Main!O9="","",Main!O9)</f>
        <v/>
      </c>
      <c r="C37" s="588"/>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8" t="str">
        <f>IF(Main!O29="","",Main!O29)</f>
        <v/>
      </c>
      <c r="K37" s="588"/>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8" t="str">
        <f>IF(Main!O10="","",Main!O10)</f>
        <v/>
      </c>
      <c r="C38" s="588"/>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8" t="str">
        <f>IF(Main!O30="","",Main!O30)</f>
        <v/>
      </c>
      <c r="K38" s="588"/>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8" t="str">
        <f>IF(Main!O11="","",Main!O11)</f>
        <v/>
      </c>
      <c r="C39" s="588"/>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8" t="str">
        <f>IF(Main!O31="","",Main!O31)</f>
        <v/>
      </c>
      <c r="K39" s="588"/>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8" t="str">
        <f>IF(Main!O12="","",Main!O12)</f>
        <v/>
      </c>
      <c r="C40" s="588"/>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8" t="str">
        <f>IF(Main!O32="","",Main!O32)</f>
        <v/>
      </c>
      <c r="K40" s="588"/>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8" t="str">
        <f>IF(Main!O13="","",Main!O13)</f>
        <v/>
      </c>
      <c r="C41" s="588"/>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8" t="str">
        <f>IF(Main!O33="","",Main!O33)</f>
        <v/>
      </c>
      <c r="K41" s="588"/>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8" t="str">
        <f>IF(Main!O14="","",Main!O14)</f>
        <v/>
      </c>
      <c r="C42" s="588"/>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8" t="str">
        <f>IF(Main!O34="","",Main!O34)</f>
        <v/>
      </c>
      <c r="K42" s="588"/>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8" t="str">
        <f>IF(Main!O15="","",Main!O15)</f>
        <v/>
      </c>
      <c r="C43" s="588"/>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8" t="str">
        <f>IF(Main!O35="","",Main!O35)</f>
        <v/>
      </c>
      <c r="K43" s="588"/>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8" t="str">
        <f>IF(Main!O16="","",Main!O16)</f>
        <v/>
      </c>
      <c r="C44" s="588"/>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8" t="str">
        <f>IF(Main!O36="","",Main!O36)</f>
        <v/>
      </c>
      <c r="K44" s="588"/>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8" t="str">
        <f>IF(Main!O17="","",Main!O17)</f>
        <v/>
      </c>
      <c r="C45" s="588"/>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8" t="str">
        <f>IF(Main!O37="","",Main!O37)</f>
        <v/>
      </c>
      <c r="K45" s="588"/>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8" t="str">
        <f>IF(Main!O18="","",Main!O18)</f>
        <v/>
      </c>
      <c r="C46" s="588"/>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8" t="str">
        <f>IF(Main!O38="","",Main!O38)</f>
        <v/>
      </c>
      <c r="K46" s="588"/>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8" t="str">
        <f>IF(Main!O19="","",Main!O19)</f>
        <v/>
      </c>
      <c r="C47" s="588"/>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8" t="str">
        <f>IF(Main!O39="","",Main!O39)</f>
        <v/>
      </c>
      <c r="K47" s="588"/>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8" t="str">
        <f>IF(Main!O20="","",Main!O20)</f>
        <v/>
      </c>
      <c r="C48" s="588"/>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8" t="str">
        <f>IF(Main!O40="","",Main!O40)</f>
        <v/>
      </c>
      <c r="K48" s="588"/>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8" t="str">
        <f>IF(Main!O21="","",Main!O21)</f>
        <v/>
      </c>
      <c r="C49" s="588"/>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8" t="str">
        <f>IF(Main!O41="","",Main!O41)</f>
        <v/>
      </c>
      <c r="K49" s="588"/>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8" t="str">
        <f>IF(Main!O22="","",Main!O22)</f>
        <v/>
      </c>
      <c r="C50" s="588"/>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8" t="str">
        <f>IF(Main!O42="","",Main!O42)</f>
        <v/>
      </c>
      <c r="K50" s="588"/>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8" t="str">
        <f>IF(Main!O23="","",Main!O23)</f>
        <v/>
      </c>
      <c r="C51" s="588"/>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8" t="str">
        <f>IF(Main!O43="","",Main!O43)</f>
        <v/>
      </c>
      <c r="K51" s="588"/>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8" t="str">
        <f>IF(Main!O24="","",Main!O24)</f>
        <v/>
      </c>
      <c r="C52" s="588"/>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8" t="str">
        <f>IF(Main!O44="","",Main!O44)</f>
        <v/>
      </c>
      <c r="K52" s="588"/>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5" t="s">
        <v>308</v>
      </c>
      <c r="C53" s="595"/>
      <c r="D53" s="595"/>
      <c r="E53" s="595"/>
      <c r="F53" s="595"/>
      <c r="G53" s="595"/>
      <c r="H53" s="595"/>
      <c r="I53" s="595"/>
      <c r="J53" s="595"/>
      <c r="K53" s="595"/>
      <c r="L53" s="595"/>
      <c r="M53" s="595"/>
      <c r="N53" s="595"/>
    </row>
    <row r="54" spans="1:20" ht="18" customHeight="1" x14ac:dyDescent="0.25">
      <c r="A54" s="250" t="s">
        <v>309</v>
      </c>
      <c r="B54" s="590" t="str">
        <f>CONCATENATE(Main!G23,"  ",FurnaceSpecificComments,Main!V24)</f>
        <v xml:space="preserve">Found in tolerance.  No adjustment required.  </v>
      </c>
      <c r="C54" s="590"/>
      <c r="D54" s="590"/>
      <c r="E54" s="590"/>
      <c r="F54" s="590"/>
      <c r="G54" s="590"/>
      <c r="H54" s="590"/>
      <c r="I54" s="590"/>
      <c r="J54" s="590"/>
      <c r="K54" s="590"/>
      <c r="L54" s="590"/>
      <c r="M54" s="590"/>
      <c r="N54" s="590"/>
      <c r="O54" s="590"/>
    </row>
    <row r="55" spans="1:20" ht="18" customHeight="1" x14ac:dyDescent="0.25">
      <c r="A55" s="78"/>
      <c r="B55" s="590"/>
      <c r="C55" s="590"/>
      <c r="D55" s="590"/>
      <c r="E55" s="590"/>
      <c r="F55" s="590"/>
      <c r="G55" s="590"/>
      <c r="H55" s="590"/>
      <c r="I55" s="590"/>
      <c r="J55" s="590"/>
      <c r="K55" s="590"/>
      <c r="L55" s="590"/>
      <c r="M55" s="590"/>
      <c r="N55" s="590"/>
      <c r="O55" s="590"/>
    </row>
    <row r="56" spans="1:20" ht="18" customHeight="1" x14ac:dyDescent="0.25">
      <c r="A56" s="78"/>
      <c r="B56" s="590"/>
      <c r="C56" s="590"/>
      <c r="D56" s="590"/>
      <c r="E56" s="590"/>
      <c r="F56" s="590"/>
      <c r="G56" s="590"/>
      <c r="H56" s="590"/>
      <c r="I56" s="590"/>
      <c r="J56" s="590"/>
      <c r="K56" s="590"/>
      <c r="L56" s="590"/>
      <c r="M56" s="590"/>
      <c r="N56" s="590"/>
      <c r="O56" s="590"/>
    </row>
    <row r="57" spans="1:20" ht="18" customHeight="1" x14ac:dyDescent="0.25">
      <c r="A57" s="78"/>
      <c r="B57" s="590"/>
      <c r="C57" s="590"/>
      <c r="D57" s="590"/>
      <c r="E57" s="590"/>
      <c r="F57" s="590"/>
      <c r="G57" s="590"/>
      <c r="H57" s="590"/>
      <c r="I57" s="590"/>
      <c r="J57" s="590"/>
      <c r="K57" s="590"/>
      <c r="L57" s="590"/>
      <c r="M57" s="590"/>
      <c r="N57" s="590"/>
      <c r="O57" s="590"/>
    </row>
    <row r="58" spans="1:20" ht="18" customHeight="1" x14ac:dyDescent="0.25">
      <c r="A58" s="78"/>
      <c r="B58" s="590"/>
      <c r="C58" s="590"/>
      <c r="D58" s="590"/>
      <c r="E58" s="590"/>
      <c r="F58" s="590"/>
      <c r="G58" s="590"/>
      <c r="H58" s="590"/>
      <c r="I58" s="590"/>
      <c r="J58" s="590"/>
      <c r="K58" s="590"/>
      <c r="L58" s="590"/>
      <c r="M58" s="590"/>
      <c r="N58" s="590"/>
      <c r="O58" s="590"/>
    </row>
    <row r="59" spans="1:20" ht="18" customHeight="1" x14ac:dyDescent="0.25">
      <c r="A59" s="78"/>
      <c r="B59" s="590"/>
      <c r="C59" s="590"/>
      <c r="D59" s="590"/>
      <c r="E59" s="590"/>
      <c r="F59" s="590"/>
      <c r="G59" s="590"/>
      <c r="H59" s="590"/>
      <c r="I59" s="590"/>
      <c r="J59" s="590"/>
      <c r="K59" s="590"/>
      <c r="L59" s="590"/>
      <c r="M59" s="590"/>
      <c r="N59" s="590"/>
      <c r="O59" s="590"/>
    </row>
    <row r="60" spans="1:20" ht="18" customHeight="1" x14ac:dyDescent="0.2">
      <c r="A60" s="594" t="s">
        <v>317</v>
      </c>
      <c r="B60" s="594"/>
      <c r="C60" s="594"/>
      <c r="D60" s="594"/>
      <c r="E60" s="594"/>
      <c r="F60" s="594"/>
      <c r="G60" s="594"/>
      <c r="H60" s="594"/>
      <c r="I60" s="594"/>
      <c r="J60" s="594"/>
      <c r="K60" s="594"/>
      <c r="L60" s="594"/>
      <c r="M60" s="594"/>
      <c r="N60" s="594"/>
      <c r="O60" s="594"/>
    </row>
    <row r="61" spans="1:20" ht="18" customHeight="1" x14ac:dyDescent="0.2">
      <c r="A61" s="598" t="s">
        <v>310</v>
      </c>
      <c r="B61" s="598"/>
      <c r="C61" s="598"/>
      <c r="D61" s="598"/>
      <c r="E61" s="598"/>
      <c r="F61" s="587" t="s">
        <v>311</v>
      </c>
      <c r="G61" s="587"/>
      <c r="H61" s="587"/>
      <c r="I61" s="587" t="s">
        <v>312</v>
      </c>
      <c r="J61" s="587"/>
      <c r="K61" s="587" t="s">
        <v>313</v>
      </c>
      <c r="L61" s="587"/>
      <c r="M61" s="587" t="s">
        <v>314</v>
      </c>
      <c r="N61" s="587"/>
      <c r="O61" s="587"/>
      <c r="R61" s="39" t="s">
        <v>855</v>
      </c>
      <c r="T61" s="39" t="s">
        <v>856</v>
      </c>
    </row>
    <row r="62" spans="1:20" ht="18" customHeight="1" x14ac:dyDescent="0.2">
      <c r="A62" s="577" t="str">
        <f>IF(F62="","",CONCATENATE(T62," - ",R62))</f>
        <v/>
      </c>
      <c r="B62" s="578"/>
      <c r="C62" s="578"/>
      <c r="D62" s="578"/>
      <c r="E62" s="579"/>
      <c r="F62" s="577" t="str" cm="1">
        <f t="array" ref="F62">IFERROR(
  _xlfn.XLOOKUP(
    Main!D9,
    _xlfn._xlws.FILTER(AssetPool[asset_tag], AssetPool[root_category_name]="DAQ Modules"),
    _xlfn._xlws.FILTER(AssetPool[serial_number], AssetPool[root_category_name]="DAQ Modules")
  ),
  ""
)</f>
        <v/>
      </c>
      <c r="G62" s="578"/>
      <c r="H62" s="579"/>
      <c r="I62" s="583" t="str">
        <f>IF(F62="","",Main!D12)</f>
        <v/>
      </c>
      <c r="J62" s="584"/>
      <c r="K62" s="583" t="str">
        <f>IF(F62="","",Main!D13)</f>
        <v/>
      </c>
      <c r="L62" s="584"/>
      <c r="M62" s="612" t="str">
        <f>IF(F62="","",REPLACE(Main!D14,3,1,""))</f>
        <v/>
      </c>
      <c r="N62" s="613"/>
      <c r="O62" s="614"/>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80" t="str">
        <f t="shared" ref="A63:A68" si="0">IF(Q63="","",CONCATENATE(T63," - ",R63))</f>
        <v/>
      </c>
      <c r="B63" s="581"/>
      <c r="C63" s="581"/>
      <c r="D63" s="581"/>
      <c r="E63" s="582"/>
      <c r="F63" s="580" t="str">
        <f>IF(Main!D48="","",Main!D48)</f>
        <v/>
      </c>
      <c r="G63" s="581"/>
      <c r="H63" s="582"/>
      <c r="I63" s="585" t="str">
        <f>IF(Q63="","",Main!D49)</f>
        <v/>
      </c>
      <c r="J63" s="586"/>
      <c r="K63" s="585" t="str">
        <f>IF(Q63="","",Main!D50)</f>
        <v/>
      </c>
      <c r="L63" s="586"/>
      <c r="M63" s="580" t="str">
        <f>IF(Q63="","",Main!D54)</f>
        <v/>
      </c>
      <c r="N63" s="581"/>
      <c r="O63" s="582"/>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80" t="str">
        <f t="shared" si="0"/>
        <v/>
      </c>
      <c r="B64" s="581"/>
      <c r="C64" s="581"/>
      <c r="D64" s="581"/>
      <c r="E64" s="582"/>
      <c r="F64" s="580" t="str">
        <f>IF(Main!E48="","",Main!E48)</f>
        <v/>
      </c>
      <c r="G64" s="581"/>
      <c r="H64" s="582"/>
      <c r="I64" s="585" t="str">
        <f>IF(Q64="","",Main!E49)</f>
        <v/>
      </c>
      <c r="J64" s="586"/>
      <c r="K64" s="585" t="str">
        <f>IF(Q64="","",Main!E50)</f>
        <v/>
      </c>
      <c r="L64" s="586"/>
      <c r="M64" s="580" t="str">
        <f>IF(Q64="","",Main!E54)</f>
        <v/>
      </c>
      <c r="N64" s="581"/>
      <c r="O64" s="582"/>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80" t="str">
        <f t="shared" si="0"/>
        <v/>
      </c>
      <c r="B65" s="581"/>
      <c r="C65" s="581"/>
      <c r="D65" s="581"/>
      <c r="E65" s="582"/>
      <c r="F65" s="580" t="str">
        <f>IF(Main!F48="","",Main!F48)</f>
        <v/>
      </c>
      <c r="G65" s="581"/>
      <c r="H65" s="582"/>
      <c r="I65" s="585" t="str">
        <f>IF(Q65="","",Main!F49)</f>
        <v/>
      </c>
      <c r="J65" s="586"/>
      <c r="K65" s="585" t="str">
        <f>IF(Q65="","",Main!F50)</f>
        <v/>
      </c>
      <c r="L65" s="586"/>
      <c r="M65" s="580" t="str">
        <f>IF(Q65="","",Main!F54)</f>
        <v/>
      </c>
      <c r="N65" s="581"/>
      <c r="O65" s="582"/>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80" t="str">
        <f t="shared" si="0"/>
        <v/>
      </c>
      <c r="B66" s="581"/>
      <c r="C66" s="581"/>
      <c r="D66" s="581"/>
      <c r="E66" s="582"/>
      <c r="F66" s="580" t="str">
        <f>IF(Main!G48="","",Main!G48)</f>
        <v/>
      </c>
      <c r="G66" s="581"/>
      <c r="H66" s="582"/>
      <c r="I66" s="585" t="str">
        <f>IF(Q66="","",Main!G49)</f>
        <v/>
      </c>
      <c r="J66" s="586"/>
      <c r="K66" s="585" t="str">
        <f>IF(Q66="","",Main!G50)</f>
        <v/>
      </c>
      <c r="L66" s="586"/>
      <c r="M66" s="580" t="str">
        <f>IF(Q66="","",Main!G54)</f>
        <v/>
      </c>
      <c r="N66" s="581"/>
      <c r="O66" s="582"/>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80" t="str">
        <f t="shared" si="0"/>
        <v/>
      </c>
      <c r="B67" s="581"/>
      <c r="C67" s="581"/>
      <c r="D67" s="581"/>
      <c r="E67" s="582"/>
      <c r="F67" s="580" t="str">
        <f>IF(Main!H48="","",Main!H48)</f>
        <v/>
      </c>
      <c r="G67" s="581"/>
      <c r="H67" s="582"/>
      <c r="I67" s="585" t="str">
        <f>IF(Q67="","",Main!H49)</f>
        <v/>
      </c>
      <c r="J67" s="586"/>
      <c r="K67" s="585" t="str">
        <f>IF(Q67="","",Main!H50)</f>
        <v/>
      </c>
      <c r="L67" s="586"/>
      <c r="M67" s="580" t="str">
        <f>IF(Q67="","",Main!H54)</f>
        <v/>
      </c>
      <c r="N67" s="581"/>
      <c r="O67" s="582"/>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80" t="str">
        <f t="shared" si="0"/>
        <v/>
      </c>
      <c r="B68" s="581"/>
      <c r="C68" s="581"/>
      <c r="D68" s="581"/>
      <c r="E68" s="582"/>
      <c r="F68" s="580" t="str">
        <f>IF(Main!I48="","",Main!I48)</f>
        <v/>
      </c>
      <c r="G68" s="581"/>
      <c r="H68" s="582"/>
      <c r="I68" s="585" t="str">
        <f>IF(Q68="","",Main!I49)</f>
        <v/>
      </c>
      <c r="J68" s="586"/>
      <c r="K68" s="585" t="str">
        <f>IF(Q68="","",Main!I50)</f>
        <v/>
      </c>
      <c r="L68" s="586"/>
      <c r="M68" s="580" t="str">
        <f>IF(Q68="","",Main!I54)</f>
        <v/>
      </c>
      <c r="N68" s="581"/>
      <c r="O68" s="582"/>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99" t="str">
        <f>IF(T69="","",CONCATENATE(T69," - ",R69))</f>
        <v/>
      </c>
      <c r="B69" s="600"/>
      <c r="C69" s="600"/>
      <c r="D69" s="600"/>
      <c r="E69" s="601"/>
      <c r="F69" s="599" t="str">
        <f>IF(Main!J48="","",Main!J48)</f>
        <v/>
      </c>
      <c r="G69" s="600"/>
      <c r="H69" s="601"/>
      <c r="I69" s="615" t="str">
        <f>IF(Q69="","",Main!J49)</f>
        <v/>
      </c>
      <c r="J69" s="616"/>
      <c r="K69" s="615" t="str">
        <f>IF(Q69="","",Main!J50)</f>
        <v/>
      </c>
      <c r="L69" s="616"/>
      <c r="M69" s="599" t="str">
        <f>IF(Q69="","",Main!J54)</f>
        <v/>
      </c>
      <c r="N69" s="600"/>
      <c r="O69" s="601"/>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11" t="s">
        <v>369</v>
      </c>
      <c r="B71" s="611"/>
      <c r="C71" s="611"/>
      <c r="D71" s="611"/>
      <c r="E71" s="611"/>
      <c r="F71" s="611"/>
      <c r="G71" s="611"/>
      <c r="H71" s="611"/>
      <c r="I71" s="611"/>
      <c r="J71" s="611"/>
      <c r="K71" s="611"/>
      <c r="L71" s="611"/>
      <c r="M71" s="611"/>
      <c r="N71" s="611"/>
      <c r="O71" s="611"/>
    </row>
    <row r="72" spans="1:20" ht="18" customHeight="1" x14ac:dyDescent="0.2">
      <c r="A72" s="611"/>
      <c r="B72" s="611"/>
      <c r="C72" s="611"/>
      <c r="D72" s="611"/>
      <c r="E72" s="611"/>
      <c r="F72" s="611"/>
      <c r="G72" s="611"/>
      <c r="H72" s="611"/>
      <c r="I72" s="611"/>
      <c r="J72" s="611"/>
      <c r="K72" s="611"/>
      <c r="L72" s="611"/>
      <c r="M72" s="611"/>
      <c r="N72" s="611"/>
      <c r="O72" s="611"/>
    </row>
    <row r="73" spans="1:20" ht="18" customHeight="1" x14ac:dyDescent="0.2">
      <c r="A73" s="611"/>
      <c r="B73" s="611"/>
      <c r="C73" s="611"/>
      <c r="D73" s="611"/>
      <c r="E73" s="611"/>
      <c r="F73" s="611"/>
      <c r="G73" s="611"/>
      <c r="H73" s="611"/>
      <c r="I73" s="611"/>
      <c r="J73" s="611"/>
      <c r="K73" s="611"/>
      <c r="L73" s="611"/>
      <c r="M73" s="611"/>
      <c r="N73" s="611"/>
      <c r="O73" s="611"/>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315</v>
      </c>
      <c r="N80" s="246" t="s">
        <v>316</v>
      </c>
    </row>
    <row r="81" ht="15" customHeight="1" x14ac:dyDescent="0.2"/>
    <row r="82" ht="15" customHeight="1" x14ac:dyDescent="0.2"/>
  </sheetData>
  <sheetProtection algorithmName="SHA-512" hashValue="mXhp6E+lsLT+r4AJs8xSaLF89z3LqysXFVk3PzyF2kfhnmmAp2tu0Lv3j9PLwl8KujEW6jvHrhEGclcowyAkkQ==" saltValue="BvMniLAmVYurnbxls0hbg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923</v>
      </c>
      <c r="R1" t="s">
        <v>924</v>
      </c>
      <c r="S1" t="s">
        <v>925</v>
      </c>
      <c r="T1" t="s">
        <v>926</v>
      </c>
      <c r="U1" t="s">
        <v>927</v>
      </c>
      <c r="V1" t="s">
        <v>928</v>
      </c>
      <c r="W1" t="s">
        <v>929</v>
      </c>
      <c r="X1" t="s">
        <v>930</v>
      </c>
      <c r="Y1" t="s">
        <v>931</v>
      </c>
      <c r="Z1" t="s">
        <v>932</v>
      </c>
      <c r="AA1" t="s">
        <v>933</v>
      </c>
      <c r="AB1" t="s">
        <v>934</v>
      </c>
      <c r="AC1" t="s">
        <v>935</v>
      </c>
      <c r="AD1" t="s">
        <v>936</v>
      </c>
      <c r="AE1" t="s">
        <v>937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17" sqref="G17"/>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DAX1iLe1QfXa/zxrvENaYkbf7q22LOB/q9rODJyzlTs09fpUaNeWV2jq+v/VpVvwkVO+CZxXUGhODhapuitp9Q==" saltValue="38XjfaKIxz0iFGnGoiC+8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5" priority="1">
      <formula>AND(ROW() &gt;= $Q$1, ROW() &lt;= $Q$2)</formula>
    </cfRule>
    <cfRule type="cellIs" dxfId="74" priority="2" stopIfTrue="1" operator="between">
      <formula>$E$1</formula>
      <formula>$E$2</formula>
    </cfRule>
    <cfRule type="cellIs" dxfId="73" priority="3" stopIfTrue="1" operator="greaterThan">
      <formula>$C$2</formula>
    </cfRule>
    <cfRule type="cellIs" dxfId="72" priority="4" stopIfTrue="1" operator="lessThan">
      <formula>$C$1</formula>
    </cfRule>
    <cfRule type="cellIs" dxfId="7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E3" sqref="E3"/>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OKQ5yTv4X7R0C/btfP68tdXoxhbP5xczzFTSFSDvy0KYz7E7i8CV0LW8jn4ki6zW0UPWyHG+jD1JQzmw+7eZ5g==" saltValue="Z0FN1j+uRZe5wav/AWeG+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0" priority="2" stopIfTrue="1" operator="between">
      <formula>$E$1</formula>
      <formula>$E$2</formula>
    </cfRule>
    <cfRule type="cellIs" dxfId="69" priority="3" stopIfTrue="1" operator="greaterThan">
      <formula>$C$2</formula>
    </cfRule>
    <cfRule type="cellIs" dxfId="68" priority="4" stopIfTrue="1" operator="lessThan">
      <formula>$C$1</formula>
    </cfRule>
    <cfRule type="cellIs" dxfId="67" priority="5" stopIfTrue="1" operator="greaterThanOrEqual">
      <formula>$C$1</formula>
    </cfRule>
  </conditionalFormatting>
  <conditionalFormatting sqref="B14:P903">
    <cfRule type="expression" dxfId="6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 sqref="B1:E2"/>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XrvWNymsp59ded8Q4LM9i4I/8sL4u2rn/rNRs5udLq8aV5kAF0YCaNm8V31NEO4scfa5ZpY1otvPB2pBEf0NEg==" saltValue="zBxwzXWExyS4D9KMw1Zsu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5" priority="2" stopIfTrue="1" operator="between">
      <formula>$E$1</formula>
      <formula>$E$2</formula>
    </cfRule>
    <cfRule type="cellIs" dxfId="64" priority="3" stopIfTrue="1" operator="greaterThan">
      <formula>$C$2</formula>
    </cfRule>
    <cfRule type="cellIs" dxfId="63" priority="4" stopIfTrue="1" operator="lessThan">
      <formula>$C$1</formula>
    </cfRule>
    <cfRule type="cellIs" dxfId="62" priority="6" stopIfTrue="1" operator="greaterThanOrEqual">
      <formula>$C$1</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394</v>
      </c>
      <c r="U11" s="290" t="s">
        <v>395</v>
      </c>
      <c r="V11" s="290" t="s">
        <v>396</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Ig98M+l1OCBskM/u6cSEPkwki+vORdzor0/EpP4oXSvD9chv//wxoH0++bVIKz/lbVL9NMOLq5R0fcxGlzPbw==" saltValue="+ZlRDiwkyox3gJsJzu8atQ==" spinCount="100000" sheet="1" objects="1" scenarios="1" selectLockedCells="1" autoFilter="0"/>
  <mergeCells count="2">
    <mergeCell ref="D32:M34"/>
    <mergeCell ref="C37:M40"/>
  </mergeCells>
  <phoneticPr fontId="20" type="noConversion"/>
  <conditionalFormatting sqref="C45">
    <cfRule type="expression" dxfId="60" priority="65">
      <formula>ISNUMBER(SEARCH(".",C45))</formula>
    </cfRule>
    <cfRule type="expression" dxfId="59" priority="66">
      <formula>ISERROR(SEARCH(".",C45))</formula>
    </cfRule>
  </conditionalFormatting>
  <conditionalFormatting sqref="D14:D18">
    <cfRule type="expression" dxfId="58" priority="63">
      <formula>ISERROR(SEARCH(1,$D$19))</formula>
    </cfRule>
    <cfRule type="expression" dxfId="57" priority="64">
      <formula>ISNUMBER(SEARCH(1,$D$19))</formula>
    </cfRule>
  </conditionalFormatting>
  <conditionalFormatting sqref="G14:G18">
    <cfRule type="expression" dxfId="56" priority="61">
      <formula>ISERROR(SEARCH(1,$G$19))</formula>
    </cfRule>
    <cfRule type="expression" dxfId="55" priority="62">
      <formula>ISNUMBER(SEARCH(1,$G$19))</formula>
    </cfRule>
  </conditionalFormatting>
  <conditionalFormatting sqref="J14:J18">
    <cfRule type="expression" dxfId="54" priority="57">
      <formula>ISERROR(SEARCH(1,$J$19))</formula>
    </cfRule>
    <cfRule type="expression" dxfId="53" priority="58">
      <formula>ISNUMBER(SEARCH(1,$J$19))</formula>
    </cfRule>
  </conditionalFormatting>
  <conditionalFormatting sqref="M14:M18">
    <cfRule type="expression" dxfId="52" priority="53">
      <formula>ISERROR(SEARCH(1,$M$19))</formula>
    </cfRule>
    <cfRule type="expression" dxfId="51" priority="54">
      <formula>ISNUMBER(SEARCH(1,$M$19))</formula>
    </cfRule>
  </conditionalFormatting>
  <conditionalFormatting sqref="G26:G30">
    <cfRule type="expression" dxfId="50" priority="45">
      <formula>ISERROR(SEARCH(1,$G$31))</formula>
    </cfRule>
    <cfRule type="expression" dxfId="49" priority="46">
      <formula>ISNUMBER(SEARCH(1,$G$31))</formula>
    </cfRule>
  </conditionalFormatting>
  <conditionalFormatting sqref="J26:J30">
    <cfRule type="expression" dxfId="48" priority="41">
      <formula>ISERROR(SEARCH(1,$J$31))</formula>
    </cfRule>
    <cfRule type="expression" dxfId="47" priority="42">
      <formula>ISNUMBER(SEARCH(1,$J$31))</formula>
    </cfRule>
  </conditionalFormatting>
  <conditionalFormatting sqref="M26:M30">
    <cfRule type="expression" dxfId="46" priority="37">
      <formula>ISERROR(SEARCH(1,$M$31))</formula>
    </cfRule>
    <cfRule type="expression" dxfId="45" priority="38">
      <formula>ISNUMBER(SEARCH(1,$M$31))</formula>
    </cfRule>
  </conditionalFormatting>
  <conditionalFormatting sqref="D26:D30">
    <cfRule type="expression" dxfId="44" priority="33">
      <formula>ISERROR(SEARCH(1,$D$19))</formula>
    </cfRule>
    <cfRule type="expression" dxfId="43" priority="34">
      <formula>ISNUMBER(SEARCH(1,$D$19))</formula>
    </cfRule>
  </conditionalFormatting>
  <conditionalFormatting sqref="D11:D13">
    <cfRule type="expression" dxfId="42" priority="31">
      <formula>ISERROR(SEARCH(1,$G$19))</formula>
    </cfRule>
    <cfRule type="expression" dxfId="41" priority="32">
      <formula>ISNUMBER(SEARCH(1,$G$19))</formula>
    </cfRule>
  </conditionalFormatting>
  <conditionalFormatting sqref="D10">
    <cfRule type="expression" dxfId="40" priority="29">
      <formula>ISERROR(SEARCH(1,$G$19))</formula>
    </cfRule>
    <cfRule type="expression" dxfId="39" priority="30">
      <formula>ISNUMBER(SEARCH(1,$G$19))</formula>
    </cfRule>
  </conditionalFormatting>
  <conditionalFormatting sqref="G11:G13">
    <cfRule type="expression" dxfId="38" priority="27">
      <formula>ISERROR(SEARCH(1,$G$19))</formula>
    </cfRule>
    <cfRule type="expression" dxfId="37" priority="28">
      <formula>ISNUMBER(SEARCH(1,$G$19))</formula>
    </cfRule>
  </conditionalFormatting>
  <conditionalFormatting sqref="G10">
    <cfRule type="expression" dxfId="36" priority="25">
      <formula>ISERROR(SEARCH(1,$G$19))</formula>
    </cfRule>
    <cfRule type="expression" dxfId="35" priority="26">
      <formula>ISNUMBER(SEARCH(1,$G$19))</formula>
    </cfRule>
  </conditionalFormatting>
  <conditionalFormatting sqref="J11:J13">
    <cfRule type="expression" dxfId="34" priority="23">
      <formula>ISERROR(SEARCH(1,$G$19))</formula>
    </cfRule>
    <cfRule type="expression" dxfId="33" priority="24">
      <formula>ISNUMBER(SEARCH(1,$G$19))</formula>
    </cfRule>
  </conditionalFormatting>
  <conditionalFormatting sqref="J10">
    <cfRule type="expression" dxfId="32" priority="21">
      <formula>ISERROR(SEARCH(1,$G$19))</formula>
    </cfRule>
    <cfRule type="expression" dxfId="31" priority="22">
      <formula>ISNUMBER(SEARCH(1,$G$19))</formula>
    </cfRule>
  </conditionalFormatting>
  <conditionalFormatting sqref="M11:M13">
    <cfRule type="expression" dxfId="30" priority="19">
      <formula>ISERROR(SEARCH(1,$G$19))</formula>
    </cfRule>
    <cfRule type="expression" dxfId="29" priority="20">
      <formula>ISNUMBER(SEARCH(1,$G$19))</formula>
    </cfRule>
  </conditionalFormatting>
  <conditionalFormatting sqref="M10">
    <cfRule type="expression" dxfId="28" priority="17">
      <formula>ISERROR(SEARCH(1,$G$19))</formula>
    </cfRule>
    <cfRule type="expression" dxfId="27" priority="18">
      <formula>ISNUMBER(SEARCH(1,$G$19))</formula>
    </cfRule>
  </conditionalFormatting>
  <conditionalFormatting sqref="D23:D25">
    <cfRule type="expression" dxfId="26" priority="15">
      <formula>ISERROR(SEARCH(1,$G$19))</formula>
    </cfRule>
    <cfRule type="expression" dxfId="25" priority="16">
      <formula>ISNUMBER(SEARCH(1,$G$19))</formula>
    </cfRule>
  </conditionalFormatting>
  <conditionalFormatting sqref="D22">
    <cfRule type="expression" dxfId="24" priority="13">
      <formula>ISERROR(SEARCH(1,$G$19))</formula>
    </cfRule>
    <cfRule type="expression" dxfId="23" priority="14">
      <formula>ISNUMBER(SEARCH(1,$G$19))</formula>
    </cfRule>
  </conditionalFormatting>
  <conditionalFormatting sqref="G23:G25">
    <cfRule type="expression" dxfId="22" priority="11">
      <formula>ISERROR(SEARCH(1,$G$19))</formula>
    </cfRule>
    <cfRule type="expression" dxfId="21" priority="12">
      <formula>ISNUMBER(SEARCH(1,$G$19))</formula>
    </cfRule>
  </conditionalFormatting>
  <conditionalFormatting sqref="G22">
    <cfRule type="expression" dxfId="20" priority="9">
      <formula>ISERROR(SEARCH(1,$G$19))</formula>
    </cfRule>
    <cfRule type="expression" dxfId="19" priority="10">
      <formula>ISNUMBER(SEARCH(1,$G$19))</formula>
    </cfRule>
  </conditionalFormatting>
  <conditionalFormatting sqref="J23:J25">
    <cfRule type="expression" dxfId="18" priority="7">
      <formula>ISERROR(SEARCH(1,$G$19))</formula>
    </cfRule>
    <cfRule type="expression" dxfId="17" priority="8">
      <formula>ISNUMBER(SEARCH(1,$G$19))</formula>
    </cfRule>
  </conditionalFormatting>
  <conditionalFormatting sqref="J22">
    <cfRule type="expression" dxfId="16" priority="5">
      <formula>ISERROR(SEARCH(1,$G$19))</formula>
    </cfRule>
    <cfRule type="expression" dxfId="15" priority="6">
      <formula>ISNUMBER(SEARCH(1,$G$19))</formula>
    </cfRule>
  </conditionalFormatting>
  <conditionalFormatting sqref="M23:M25">
    <cfRule type="expression" dxfId="14" priority="3">
      <formula>ISERROR(SEARCH(1,$G$19))</formula>
    </cfRule>
    <cfRule type="expression" dxfId="13" priority="4">
      <formula>ISNUMBER(SEARCH(1,$G$19))</formula>
    </cfRule>
  </conditionalFormatting>
  <conditionalFormatting sqref="M22">
    <cfRule type="expression" dxfId="12" priority="1">
      <formula>ISERROR(SEARCH(1,$G$19))</formula>
    </cfRule>
    <cfRule type="expression" dxfId="1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861</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345</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2"/>
      <c r="H29" s="269" t="s">
        <v>346</v>
      </c>
      <c r="I29" s="115" t="str">
        <f>IF(Main!N47="","",Main!N47)</f>
        <v>Periodic</v>
      </c>
      <c r="J29" s="663" t="s">
        <v>347</v>
      </c>
      <c r="K29" s="664"/>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58" t="s">
        <v>333</v>
      </c>
      <c r="I30" s="658"/>
      <c r="J30" s="665" t="s">
        <v>380</v>
      </c>
      <c r="K30" s="666"/>
      <c r="L30" s="667"/>
      <c r="M30" s="266"/>
      <c r="O30" s="659" t="s">
        <v>383</v>
      </c>
      <c r="P30" s="660"/>
      <c r="Q30" s="661"/>
      <c r="T30" s="39"/>
    </row>
    <row r="31" spans="1:20" x14ac:dyDescent="0.2">
      <c r="A31" s="646" t="s">
        <v>36</v>
      </c>
      <c r="B31" s="647"/>
      <c r="C31" s="50" t="str">
        <f>IF(Main!D50="","",Main!D50)</f>
        <v/>
      </c>
      <c r="D31" s="50" t="str">
        <f>IF(Main!E50="","",Main!E50)</f>
        <v/>
      </c>
      <c r="E31" s="50" t="str">
        <f>IF(Main!F50="","",Main!F50)</f>
        <v/>
      </c>
      <c r="F31" s="50" t="str">
        <f>IF(Main!G50="","",Main!G50)</f>
        <v/>
      </c>
      <c r="G31" s="274"/>
      <c r="H31" s="254" t="s">
        <v>348</v>
      </c>
      <c r="I31" s="256" t="str">
        <f>IF(Main!N49="","",Main!N49)</f>
        <v/>
      </c>
      <c r="J31" s="648" t="s">
        <v>388</v>
      </c>
      <c r="K31" s="649"/>
      <c r="L31" s="650"/>
      <c r="M31" s="267" t="str">
        <f>IF(Main!S49="","",Main!S49)</f>
        <v/>
      </c>
      <c r="O31" s="569" t="s">
        <v>390</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364</v>
      </c>
      <c r="I32" s="256" t="str">
        <f>IF(Main!N50="","",Main!N50)</f>
        <v/>
      </c>
      <c r="J32" s="651" t="s">
        <v>336</v>
      </c>
      <c r="K32" s="652"/>
      <c r="L32" s="653"/>
      <c r="M32" s="262"/>
      <c r="O32" s="651" t="s">
        <v>336</v>
      </c>
      <c r="P32" s="652"/>
      <c r="Q32" s="653"/>
      <c r="T32" s="39"/>
    </row>
    <row r="33" spans="1:20" ht="12.75" customHeight="1" x14ac:dyDescent="0.2">
      <c r="A33" s="646" t="s">
        <v>349</v>
      </c>
      <c r="B33" s="647"/>
      <c r="C33" s="49" t="str">
        <f>IF(Main!D52="","",Main!D52)</f>
        <v/>
      </c>
      <c r="D33" s="49" t="str">
        <f>IF(Main!E52="","",Main!E52)</f>
        <v/>
      </c>
      <c r="E33" s="49" t="str">
        <f>IF(Main!F52="","",Main!F52)</f>
        <v/>
      </c>
      <c r="F33" s="49" t="str">
        <f>IF(Main!G52="","",Main!G52)</f>
        <v/>
      </c>
      <c r="G33" s="272"/>
      <c r="H33" s="254" t="s">
        <v>350</v>
      </c>
      <c r="I33" s="256" t="str">
        <f>IF(Main!N51="","",Main!N51)</f>
        <v/>
      </c>
      <c r="J33" s="654" t="s">
        <v>389</v>
      </c>
      <c r="K33" s="655"/>
      <c r="L33" s="656"/>
      <c r="M33" s="261" t="str">
        <f>IF(Main!S51="","",Main!S51)</f>
        <v/>
      </c>
      <c r="O33" s="654" t="s">
        <v>391</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351</v>
      </c>
      <c r="I34" s="253" t="str">
        <f>IF(Main!N52="","",Main!N52)</f>
        <v/>
      </c>
      <c r="J34" s="651" t="s">
        <v>336</v>
      </c>
      <c r="K34" s="652"/>
      <c r="L34" s="653"/>
      <c r="O34" s="651" t="s">
        <v>336</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351</v>
      </c>
      <c r="I35" s="253" t="str">
        <f>IF(Main!N53="","",Main!N53)</f>
        <v/>
      </c>
      <c r="J35" s="640" t="s">
        <v>392</v>
      </c>
      <c r="K35" s="641"/>
      <c r="L35" s="642"/>
      <c r="M35" s="270" t="str">
        <f>IF(Main!S53="","",Main!S53)</f>
        <v/>
      </c>
      <c r="O35" s="640" t="s">
        <v>393</v>
      </c>
      <c r="P35" s="641"/>
      <c r="Q35" s="642"/>
      <c r="R35" s="271" t="str">
        <f>IF(Main!X53="","",Main!X53)</f>
        <v/>
      </c>
    </row>
    <row r="36" spans="1:20" ht="13.5" thickBot="1" x14ac:dyDescent="0.25">
      <c r="B36" s="61" t="s">
        <v>352</v>
      </c>
      <c r="C36" s="49" t="str">
        <f>IF(Main!D56="","",Main!D56)</f>
        <v/>
      </c>
      <c r="D36" s="49" t="str">
        <f>IF(Main!E56="","",Main!E56)</f>
        <v/>
      </c>
      <c r="E36" s="49" t="str">
        <f>IF(Main!F56="","",Main!F56)</f>
        <v/>
      </c>
      <c r="F36" s="49" t="str">
        <f>IF(Main!G56="","",Main!G56)</f>
        <v/>
      </c>
      <c r="G36" s="272"/>
      <c r="H36" s="273"/>
      <c r="J36" s="643"/>
      <c r="K36" s="644"/>
      <c r="L36" s="645"/>
      <c r="M36" s="265"/>
      <c r="O36" s="643"/>
      <c r="P36" s="644"/>
      <c r="Q36" s="645"/>
      <c r="T36" s="39"/>
    </row>
    <row r="37" spans="1:20" ht="13.5" thickBot="1" x14ac:dyDescent="0.25">
      <c r="B37" s="59" t="s">
        <v>353</v>
      </c>
      <c r="C37" s="49" t="str">
        <f>IF(Main!D57="","",Main!D57)</f>
        <v/>
      </c>
      <c r="D37" s="49" t="str">
        <f>IF(Main!E57="","",Main!E57)</f>
        <v/>
      </c>
      <c r="E37" s="49" t="str">
        <f>IF(Main!F57="","",Main!F57)</f>
        <v/>
      </c>
      <c r="F37" s="49" t="str">
        <f>IF(Main!G57="","",Main!G57)</f>
        <v/>
      </c>
      <c r="G37" s="272"/>
      <c r="H37" s="273"/>
      <c r="J37" s="280" t="s">
        <v>339</v>
      </c>
      <c r="K37" s="281" t="s">
        <v>14</v>
      </c>
      <c r="L37" s="282" t="s">
        <v>340</v>
      </c>
      <c r="M37" s="265"/>
      <c r="O37" s="280" t="s">
        <v>341</v>
      </c>
      <c r="P37" s="281" t="s">
        <v>14</v>
      </c>
      <c r="Q37" s="282" t="s">
        <v>342</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362</v>
      </c>
      <c r="M39" s="283"/>
    </row>
    <row r="40" spans="1:20" ht="15.75" x14ac:dyDescent="0.25">
      <c r="B40" s="264"/>
      <c r="C40" s="264"/>
      <c r="D40" s="264"/>
      <c r="E40" s="264"/>
      <c r="K40" s="59" t="s">
        <v>365</v>
      </c>
      <c r="L40">
        <f>IF(Main!N54="","",Main!N54)</f>
        <v>0</v>
      </c>
      <c r="O40" s="59" t="s">
        <v>367</v>
      </c>
      <c r="P40">
        <f>IF(Main!N56="","",Main!N56)</f>
        <v>0</v>
      </c>
    </row>
    <row r="41" spans="1:20" x14ac:dyDescent="0.2">
      <c r="K41" s="59" t="s">
        <v>366</v>
      </c>
      <c r="L41">
        <f>IF(Main!N55="","",Main!N55)</f>
        <v>0</v>
      </c>
      <c r="O41" s="59" t="s">
        <v>368</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v24q80AsGo0CfTCODOiEU2KCB0EmpEIBkhCU3KdvBWCVJF8SHMsTu0H7ZbipSEHJ8OezkJTAb1vfV7xUaVdTCA==" saltValue="Y7DzzwrfsnP89VLoe/FH8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Ez8XK8AxCIgAJiOrScBkMBy8aJP5/0P3Fh+bKrQCpuzd2cLKIUQb/dhRoOZpeOndzHGk5yYT2yC3r45R8W3xKA==" saltValue="m93gaRjMj+MvdFabE0Zso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5"/>
      <c r="C1" s="605"/>
      <c r="D1" s="605"/>
      <c r="E1" s="35" t="s">
        <v>156</v>
      </c>
      <c r="G1" s="605" t="s">
        <v>68</v>
      </c>
      <c r="H1" s="605"/>
      <c r="K1" t="s">
        <v>92</v>
      </c>
      <c r="M1" t="s">
        <v>93</v>
      </c>
      <c r="O1" t="s">
        <v>123</v>
      </c>
      <c r="Q1" t="s">
        <v>132</v>
      </c>
      <c r="S1" t="s">
        <v>138</v>
      </c>
      <c r="U1" s="39" t="s">
        <v>168</v>
      </c>
      <c r="W1" s="39" t="s">
        <v>172</v>
      </c>
      <c r="Y1" s="39" t="s">
        <v>223</v>
      </c>
      <c r="AA1" s="39" t="s">
        <v>224</v>
      </c>
      <c r="AC1" s="39" t="s">
        <v>257</v>
      </c>
      <c r="AE1" s="64" t="s">
        <v>354</v>
      </c>
      <c r="AG1" s="36" t="s">
        <v>361</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558</v>
      </c>
      <c r="H2" t="s">
        <v>71</v>
      </c>
      <c r="K2" t="s">
        <v>83</v>
      </c>
      <c r="M2" t="s">
        <v>94</v>
      </c>
      <c r="Q2" t="s">
        <v>133</v>
      </c>
      <c r="S2" t="s">
        <v>80</v>
      </c>
      <c r="U2" s="39" t="s">
        <v>169</v>
      </c>
      <c r="W2">
        <f>IF(Main!D32 = 10, 5, IF(Main!D32 = 30, 15, IF(Main!D32 = 40, 20, 0)))</f>
        <v>0</v>
      </c>
      <c r="Y2" t="s">
        <v>198</v>
      </c>
      <c r="AC2" s="39" t="s">
        <v>259</v>
      </c>
      <c r="AE2" s="39" t="s">
        <v>355</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559</v>
      </c>
      <c r="H3" t="s">
        <v>69</v>
      </c>
      <c r="K3" t="s">
        <v>84</v>
      </c>
      <c r="M3" t="s">
        <v>95</v>
      </c>
      <c r="O3" t="s">
        <v>124</v>
      </c>
      <c r="Q3" s="39" t="s">
        <v>165</v>
      </c>
      <c r="S3" t="s">
        <v>140</v>
      </c>
      <c r="U3" s="39" t="s">
        <v>322</v>
      </c>
      <c r="Y3" t="s">
        <v>199</v>
      </c>
      <c r="AC3" s="39" t="s">
        <v>258</v>
      </c>
      <c r="AE3" s="39" t="s">
        <v>379</v>
      </c>
      <c r="AG3" s="39" t="str">
        <v>James Haven</v>
      </c>
      <c r="AH3" s="39"/>
    </row>
    <row r="4" spans="1:34" x14ac:dyDescent="0.2">
      <c r="A4" s="35" t="str">
        <v>J3</v>
      </c>
      <c r="B4" s="35" t="str">
        <v>DaqBook/2005</v>
      </c>
      <c r="C4" s="35" t="str">
        <v>807705</v>
      </c>
      <c r="D4" s="35" t="str">
        <f t="shared" si="0"/>
        <v>"J" IRON-CONSTANTAN</v>
      </c>
      <c r="E4" s="35">
        <v>28</v>
      </c>
      <c r="G4" s="39" t="s">
        <v>557</v>
      </c>
      <c r="H4" t="s">
        <v>70</v>
      </c>
      <c r="K4" t="s">
        <v>95</v>
      </c>
      <c r="M4" t="s">
        <v>105</v>
      </c>
      <c r="O4" t="s">
        <v>130</v>
      </c>
      <c r="Q4" t="s">
        <v>134</v>
      </c>
      <c r="S4" t="s">
        <v>139</v>
      </c>
      <c r="U4" s="39" t="s">
        <v>170</v>
      </c>
      <c r="Y4" t="s">
        <v>200</v>
      </c>
      <c r="AE4" s="39" t="s">
        <v>330</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376</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377</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378</v>
      </c>
      <c r="U8" t="str">
        <f>IF(AND(Main!D17&lt;&gt;"",Main!D17&gt;14),"Data_Sheet_15_28","")</f>
        <v/>
      </c>
      <c r="Y8" t="s">
        <v>204</v>
      </c>
      <c r="AE8" s="64" t="s">
        <v>356</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332</v>
      </c>
      <c r="AG9" s="39" t="str">
        <v>Mike Ragonese</v>
      </c>
      <c r="AH9" s="39"/>
    </row>
    <row r="10" spans="1:34" x14ac:dyDescent="0.2">
      <c r="O10" t="s">
        <v>125</v>
      </c>
      <c r="Y10" t="s">
        <v>207</v>
      </c>
      <c r="AE10" s="39" t="s">
        <v>357</v>
      </c>
      <c r="AG10" s="39" t="str">
        <v>Nick Nolte</v>
      </c>
      <c r="AH10" s="39"/>
    </row>
    <row r="11" spans="1:34" x14ac:dyDescent="0.2">
      <c r="O11" t="s">
        <v>129</v>
      </c>
      <c r="Y11" s="39" t="s">
        <v>233</v>
      </c>
      <c r="AE11" s="39" t="s">
        <v>135</v>
      </c>
      <c r="AG11" t="str">
        <v>Ryan Byars</v>
      </c>
    </row>
    <row r="12" spans="1:34" x14ac:dyDescent="0.2">
      <c r="O12" t="s">
        <v>128</v>
      </c>
      <c r="Y12" s="39" t="s">
        <v>370</v>
      </c>
      <c r="AE12" s="39" t="s">
        <v>358</v>
      </c>
    </row>
    <row r="13" spans="1:34" x14ac:dyDescent="0.2">
      <c r="O13" s="39" t="s">
        <v>373</v>
      </c>
      <c r="Y13" t="s">
        <v>208</v>
      </c>
      <c r="AE13" s="39" t="s">
        <v>359</v>
      </c>
    </row>
    <row r="14" spans="1:34" x14ac:dyDescent="0.2">
      <c r="Y14" t="s">
        <v>209</v>
      </c>
      <c r="AE14" s="39" t="s">
        <v>360</v>
      </c>
    </row>
    <row r="15" spans="1:34" x14ac:dyDescent="0.2">
      <c r="Y15" t="s">
        <v>210</v>
      </c>
      <c r="AE15" s="39" t="s">
        <v>372</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327</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265</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WYt1mk8tsEwezpNj1p5eZUYTHnwPI4qsP2qaKN6sy4JsRtJpzpxoN5Zx95n3yh3tnkQXS4iI5eyVien5w73BVg==" saltValue="sNtYJaD4rDP29cLkCFpRJ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2025-07-17T23:02:29Z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