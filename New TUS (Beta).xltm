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0.xml" ContentType="application/vnd.openxmlformats-officedocument.spreadsheetml.table+xml"/>
  <Override PartName="/xl/queryTables/queryTable10.xml" ContentType="application/vnd.openxmlformats-officedocument.spreadsheetml.queryTable+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4.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A3F3409-0BC9-4088-9722-402452CA00F9}"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AssetPool!$A$1:$R$61</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19" hidden="1">DaqbookServiceRecords!$A$1:$B$39</definedName>
    <definedName name="ExternalData_1" localSheetId="20" hidden="1">Employees!$A$1:$D$55</definedName>
    <definedName name="ExternalData_1" localSheetId="10" hidden="1">Header_Info!$A$1:$AK$407</definedName>
    <definedName name="ExternalData_1" localSheetId="6" hidden="1">Survey!$A$1:$D$2</definedName>
    <definedName name="ExternalData_1" localSheetId="8" hidden="1">UncBudgets!$A$1:$I$13</definedName>
    <definedName name="ExternalData_1" localSheetId="11" hidden="1">UUTRangeTol!$A$1:$H$419</definedName>
    <definedName name="ExternalData_1" localSheetId="3" hidden="1">WireCertData!$A$1:$AL$67</definedName>
    <definedName name="ExternalData_1" localSheetId="2" hidden="1">WireOffsets!$A$1:$C$188</definedName>
    <definedName name="ExternalData_1" localSheetId="0" hidden="1">WireSets!$A$1:$I$23</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Table'!$A$1:$O$1679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O30" i="78" a="1"/>
  <c r="O30" i="78" s="1"/>
  <c r="O31" i="78" a="1"/>
  <c r="O31" i="78" s="1"/>
  <c r="O32" i="78" a="1"/>
  <c r="O32" i="78" s="1"/>
  <c r="O33" i="78" a="1"/>
  <c r="O33" i="78" s="1"/>
  <c r="P2" i="78"/>
  <c r="R2" i="78" s="1"/>
  <c r="S2" i="78" s="1"/>
  <c r="P13" i="78"/>
  <c r="R13" i="78" s="1"/>
  <c r="S13" i="78" s="1"/>
  <c r="P14" i="78"/>
  <c r="R14" i="78" s="1"/>
  <c r="S14" i="78" s="1"/>
  <c r="P15" i="78"/>
  <c r="R15" i="78" s="1"/>
  <c r="S15" i="78" s="1"/>
  <c r="P16" i="78"/>
  <c r="R16" i="78" s="1"/>
  <c r="S16" i="78" s="1"/>
  <c r="P17" i="78"/>
  <c r="R17" i="78" s="1"/>
  <c r="S17" i="78" s="1"/>
  <c r="P18" i="78"/>
  <c r="R18" i="78" s="1"/>
  <c r="S18" i="78" s="1"/>
  <c r="P19" i="78"/>
  <c r="R19" i="78" s="1"/>
  <c r="S19" i="78" s="1"/>
  <c r="P20" i="78"/>
  <c r="R20" i="78" s="1"/>
  <c r="S20" i="78" s="1"/>
  <c r="T20" i="78" s="1"/>
  <c r="P27" i="78"/>
  <c r="R27" i="78" s="1"/>
  <c r="S27" i="78" s="1"/>
  <c r="T27" i="78" s="1"/>
  <c r="P30" i="78"/>
  <c r="R30" i="78" s="1"/>
  <c r="S30" i="78" s="1"/>
  <c r="T30" i="78" s="1"/>
  <c r="P31" i="78"/>
  <c r="R31" i="78" s="1"/>
  <c r="S31" i="78" s="1"/>
  <c r="T31" i="78" s="1"/>
  <c r="P34" i="78"/>
  <c r="R34" i="78" s="1"/>
  <c r="S34" i="78" s="1"/>
  <c r="T34" i="78" s="1"/>
  <c r="Q2" i="78"/>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Q14" i="78"/>
  <c r="Q15" i="78"/>
  <c r="Q16" i="78"/>
  <c r="Q17" i="78"/>
  <c r="Q18" i="78"/>
  <c r="Q19" i="78"/>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Q31" i="78"/>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P29" i="78" l="1"/>
  <c r="R29" i="78" s="1"/>
  <c r="S29" i="78" s="1"/>
  <c r="T29" i="78" s="1"/>
  <c r="O28" i="78" a="1"/>
  <c r="O28" i="78" s="1"/>
  <c r="O23" i="78" a="1"/>
  <c r="O23" i="78" s="1"/>
  <c r="O22" i="78" a="1"/>
  <c r="O22" i="78" s="1"/>
  <c r="O21" i="78" a="1"/>
  <c r="O21" i="78" s="1"/>
  <c r="C23" i="5" a="1"/>
  <c r="C23" i="5"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3" i="21" a="1"/>
  <c r="D13" i="21" s="1"/>
  <c r="D14" i="21" a="1"/>
  <c r="D14" i="21" s="1"/>
  <c r="D15" i="21" a="1"/>
  <c r="D15" i="21" s="1"/>
  <c r="D16" i="21" a="1"/>
  <c r="D16" i="21"/>
  <c r="D17" i="21" a="1"/>
  <c r="D17" i="21" s="1"/>
  <c r="D18" i="21" a="1"/>
  <c r="D18" i="21" s="1"/>
  <c r="D19" i="21" a="1"/>
  <c r="D19" i="21"/>
  <c r="D20" i="21" a="1"/>
  <c r="D20" i="21" s="1"/>
  <c r="D21" i="21" a="1"/>
  <c r="D21" i="21" s="1"/>
  <c r="D22" i="21" a="1"/>
  <c r="D22" i="21" s="1"/>
  <c r="D23" i="21" a="1"/>
  <c r="D23" i="21" s="1"/>
  <c r="H2" i="74" a="1"/>
  <c r="H2" i="74" s="1"/>
  <c r="H3" i="74" a="1"/>
  <c r="H3" i="74" s="1"/>
  <c r="G2" i="74" a="1"/>
  <c r="G2" i="74" s="1"/>
  <c r="F55" i="8"/>
  <c r="G55" i="8"/>
  <c r="H55" i="8"/>
  <c r="I5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J2" i="95"/>
  <c r="J3" i="95"/>
  <c r="J4" i="95"/>
  <c r="J5" i="95"/>
  <c r="J6" i="95"/>
  <c r="J7" i="95"/>
  <c r="K7" i="95" s="1"/>
  <c r="J8" i="95"/>
  <c r="J9" i="95"/>
  <c r="J10" i="95"/>
  <c r="K10" i="95" s="1"/>
  <c r="J11" i="95"/>
  <c r="J12" i="95"/>
  <c r="J13" i="95"/>
  <c r="J14" i="95"/>
  <c r="J15" i="95"/>
  <c r="K15" i="95" s="1"/>
  <c r="J16" i="95"/>
  <c r="K16" i="95" s="1"/>
  <c r="J17" i="95"/>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J33" i="95"/>
  <c r="J34" i="95"/>
  <c r="J35" i="95"/>
  <c r="J36" i="95"/>
  <c r="K36" i="95" s="1"/>
  <c r="J37" i="95"/>
  <c r="K37" i="95" s="1"/>
  <c r="J38" i="95"/>
  <c r="K38" i="95" s="1"/>
  <c r="J39" i="95"/>
  <c r="K39" i="95" s="1"/>
  <c r="J40" i="95"/>
  <c r="K40" i="95" s="1"/>
  <c r="J41" i="95"/>
  <c r="K41" i="95" s="1"/>
  <c r="J42" i="95"/>
  <c r="K42" i="95" s="1"/>
  <c r="J43" i="95"/>
  <c r="J44" i="95"/>
  <c r="J45" i="95"/>
  <c r="J46" i="95"/>
  <c r="J47" i="95"/>
  <c r="K47" i="95" s="1"/>
  <c r="J48" i="95"/>
  <c r="K48" i="95" s="1"/>
  <c r="J49" i="95"/>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J65" i="95"/>
  <c r="J66" i="95"/>
  <c r="J67" i="95"/>
  <c r="J68" i="95"/>
  <c r="J69" i="95"/>
  <c r="J70" i="95"/>
  <c r="K70" i="95" s="1"/>
  <c r="J71" i="95"/>
  <c r="K71" i="95" s="1"/>
  <c r="J72" i="95"/>
  <c r="K72" i="95" s="1"/>
  <c r="J73" i="95"/>
  <c r="K73" i="95" s="1"/>
  <c r="J74" i="95"/>
  <c r="K74" i="95" s="1"/>
  <c r="J75" i="95"/>
  <c r="K75" i="95" s="1"/>
  <c r="J76" i="95"/>
  <c r="J77" i="95"/>
  <c r="J78" i="95"/>
  <c r="J79" i="95"/>
  <c r="K79" i="95" s="1"/>
  <c r="J80" i="95"/>
  <c r="K80" i="95" s="1"/>
  <c r="J81" i="95"/>
  <c r="J82" i="95"/>
  <c r="J83" i="95"/>
  <c r="J84" i="95"/>
  <c r="J85" i="95"/>
  <c r="J86" i="95"/>
  <c r="J87" i="95"/>
  <c r="K87" i="95" s="1"/>
  <c r="J88" i="95"/>
  <c r="K88" i="95" s="1"/>
  <c r="J89" i="95"/>
  <c r="K89" i="95" s="1"/>
  <c r="J90" i="95"/>
  <c r="K90" i="95" s="1"/>
  <c r="J91" i="95"/>
  <c r="K91" i="95" s="1"/>
  <c r="J92" i="95"/>
  <c r="K92" i="95" s="1"/>
  <c r="J93" i="95"/>
  <c r="K93" i="95" s="1"/>
  <c r="J94" i="95"/>
  <c r="K94" i="95" s="1"/>
  <c r="J95" i="95"/>
  <c r="K95" i="95" s="1"/>
  <c r="J96" i="95"/>
  <c r="J97" i="95"/>
  <c r="K97" i="95" s="1"/>
  <c r="J98" i="95"/>
  <c r="J99" i="95"/>
  <c r="J100" i="95"/>
  <c r="K100" i="95" s="1"/>
  <c r="J101" i="95"/>
  <c r="K101" i="95" s="1"/>
  <c r="J102" i="95"/>
  <c r="K102" i="95" s="1"/>
  <c r="J103" i="95"/>
  <c r="K103" i="95" s="1"/>
  <c r="J104" i="95"/>
  <c r="J105" i="95"/>
  <c r="J106" i="95"/>
  <c r="J107" i="95"/>
  <c r="J108" i="95"/>
  <c r="J109" i="95"/>
  <c r="J110" i="95"/>
  <c r="J111" i="95"/>
  <c r="K111" i="95" s="1"/>
  <c r="J112" i="95"/>
  <c r="K112" i="95" s="1"/>
  <c r="J113" i="95"/>
  <c r="J114" i="95"/>
  <c r="J115" i="95"/>
  <c r="K115" i="95" s="1"/>
  <c r="J116" i="95"/>
  <c r="K116" i="95" s="1"/>
  <c r="J117" i="95"/>
  <c r="K117" i="95" s="1"/>
  <c r="J118" i="95"/>
  <c r="K118" i="95" s="1"/>
  <c r="J119" i="95"/>
  <c r="K119" i="95" s="1"/>
  <c r="J120" i="95"/>
  <c r="K120" i="95" s="1"/>
  <c r="J121" i="95"/>
  <c r="J122" i="95"/>
  <c r="J123" i="95"/>
  <c r="K123" i="95" s="1"/>
  <c r="J124" i="95"/>
  <c r="K124" i="95" s="1"/>
  <c r="J125" i="95"/>
  <c r="K125" i="95" s="1"/>
  <c r="J126" i="95"/>
  <c r="K126" i="95" s="1"/>
  <c r="J127" i="95"/>
  <c r="K127" i="95" s="1"/>
  <c r="J128" i="95"/>
  <c r="J129" i="95"/>
  <c r="K129" i="95" s="1"/>
  <c r="J130" i="95"/>
  <c r="K130" i="95" s="1"/>
  <c r="J131" i="95"/>
  <c r="K131" i="95" s="1"/>
  <c r="J132" i="95"/>
  <c r="K132" i="95" s="1"/>
  <c r="J133" i="95"/>
  <c r="K133" i="95" s="1"/>
  <c r="J134" i="95"/>
  <c r="K134" i="95" s="1"/>
  <c r="J135" i="95"/>
  <c r="K135" i="95" s="1"/>
  <c r="J136" i="95"/>
  <c r="K136" i="95" s="1"/>
  <c r="J137" i="95"/>
  <c r="K137" i="95" s="1"/>
  <c r="J138" i="95"/>
  <c r="K138" i="95" s="1"/>
  <c r="J139" i="95"/>
  <c r="J140" i="95"/>
  <c r="J141" i="95"/>
  <c r="J142" i="95"/>
  <c r="J143" i="95"/>
  <c r="K143" i="95" s="1"/>
  <c r="J144" i="95"/>
  <c r="K144" i="95" s="1"/>
  <c r="J145" i="95"/>
  <c r="J146" i="95"/>
  <c r="J147" i="95"/>
  <c r="J148" i="95"/>
  <c r="J149" i="95"/>
  <c r="J150" i="95"/>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J164" i="95"/>
  <c r="J165" i="95"/>
  <c r="J166" i="95"/>
  <c r="J167" i="95"/>
  <c r="K167" i="95" s="1"/>
  <c r="J168" i="95"/>
  <c r="K168" i="95" s="1"/>
  <c r="J169" i="95"/>
  <c r="K169" i="95" s="1"/>
  <c r="J170" i="95"/>
  <c r="K170" i="95" s="1"/>
  <c r="J171" i="95"/>
  <c r="J172" i="95"/>
  <c r="J173" i="95"/>
  <c r="J174" i="95"/>
  <c r="K174" i="95" s="1"/>
  <c r="J175" i="95"/>
  <c r="K175" i="95" s="1"/>
  <c r="J176" i="95"/>
  <c r="K176" i="95" s="1"/>
  <c r="J177" i="95"/>
  <c r="J178" i="95"/>
  <c r="J179" i="95"/>
  <c r="J180" i="95"/>
  <c r="J181" i="95"/>
  <c r="J182" i="95"/>
  <c r="J183" i="95"/>
  <c r="J184" i="95"/>
  <c r="K184" i="95" s="1"/>
  <c r="J185" i="95"/>
  <c r="K185" i="95" s="1"/>
  <c r="J186" i="95"/>
  <c r="K186" i="95" s="1"/>
  <c r="J187" i="95"/>
  <c r="K187" i="95" s="1"/>
  <c r="J188" i="95"/>
  <c r="K188" i="95" s="1"/>
  <c r="J189" i="95"/>
  <c r="K189" i="95" s="1"/>
  <c r="J190" i="95"/>
  <c r="K190" i="95" s="1"/>
  <c r="J191" i="95"/>
  <c r="K191" i="95" s="1"/>
  <c r="J192" i="95"/>
  <c r="J193" i="95"/>
  <c r="J194" i="95"/>
  <c r="K194" i="95" s="1"/>
  <c r="J195" i="95"/>
  <c r="K195" i="95" s="1"/>
  <c r="J196" i="95"/>
  <c r="K196" i="95" s="1"/>
  <c r="J197" i="95"/>
  <c r="K197" i="95" s="1"/>
  <c r="J198" i="95"/>
  <c r="K198" i="95" s="1"/>
  <c r="J199" i="95"/>
  <c r="K199" i="95" s="1"/>
  <c r="J200" i="95"/>
  <c r="K200" i="95" s="1"/>
  <c r="J201" i="95"/>
  <c r="K201" i="95" s="1"/>
  <c r="J202" i="95"/>
  <c r="K202" i="95" s="1"/>
  <c r="J203" i="95"/>
  <c r="J204" i="95"/>
  <c r="J205" i="95"/>
  <c r="J206" i="95"/>
  <c r="K206" i="95" s="1"/>
  <c r="J207" i="95"/>
  <c r="K207" i="95" s="1"/>
  <c r="J208" i="95"/>
  <c r="K208" i="95" s="1"/>
  <c r="J209" i="95"/>
  <c r="J210" i="95"/>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J225" i="95"/>
  <c r="J226" i="95"/>
  <c r="J227" i="95"/>
  <c r="J228" i="95"/>
  <c r="J229" i="95"/>
  <c r="J230" i="95"/>
  <c r="K230" i="95" s="1"/>
  <c r="J231" i="95"/>
  <c r="K231" i="95" s="1"/>
  <c r="J232" i="95"/>
  <c r="K232" i="95" s="1"/>
  <c r="J233" i="95"/>
  <c r="K233" i="95" s="1"/>
  <c r="J234" i="95"/>
  <c r="J235" i="95"/>
  <c r="K235" i="95" s="1"/>
  <c r="J236" i="95"/>
  <c r="J237" i="95"/>
  <c r="J238" i="95"/>
  <c r="J239" i="95"/>
  <c r="K239" i="95" s="1"/>
  <c r="J240" i="95"/>
  <c r="K240" i="95" s="1"/>
  <c r="J241" i="95"/>
  <c r="J242" i="95"/>
  <c r="J243" i="95"/>
  <c r="J244" i="95"/>
  <c r="J245" i="95"/>
  <c r="J246" i="95"/>
  <c r="J247" i="95"/>
  <c r="J248" i="95"/>
  <c r="K248" i="95" s="1"/>
  <c r="J249" i="95"/>
  <c r="K249" i="95" s="1"/>
  <c r="J250" i="95"/>
  <c r="K250" i="95" s="1"/>
  <c r="J251" i="95"/>
  <c r="K251" i="95" s="1"/>
  <c r="J252" i="95"/>
  <c r="K252" i="95" s="1"/>
  <c r="J253" i="95"/>
  <c r="K253" i="95" s="1"/>
  <c r="J254" i="95"/>
  <c r="K254" i="95" s="1"/>
  <c r="J255" i="95"/>
  <c r="K255" i="95" s="1"/>
  <c r="J256" i="95"/>
  <c r="J257" i="95"/>
  <c r="J258" i="95"/>
  <c r="K258" i="95" s="1"/>
  <c r="J259" i="95"/>
  <c r="K259" i="95" s="1"/>
  <c r="J260" i="95"/>
  <c r="K260" i="95" s="1"/>
  <c r="J261" i="95"/>
  <c r="K261" i="95" s="1"/>
  <c r="J262" i="95"/>
  <c r="K262" i="95" s="1"/>
  <c r="J263" i="95"/>
  <c r="K263" i="95" s="1"/>
  <c r="J264" i="95"/>
  <c r="K264" i="95" s="1"/>
  <c r="J265" i="95"/>
  <c r="K265" i="95" s="1"/>
  <c r="J266" i="95"/>
  <c r="K266" i="95" s="1"/>
  <c r="J267" i="95"/>
  <c r="J268" i="95"/>
  <c r="J269" i="95"/>
  <c r="J270" i="95"/>
  <c r="J271" i="95"/>
  <c r="K271" i="95" s="1"/>
  <c r="J272" i="95"/>
  <c r="K272" i="95" s="1"/>
  <c r="J273" i="95"/>
  <c r="J274" i="95"/>
  <c r="J275" i="95"/>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J289" i="95"/>
  <c r="J290" i="95"/>
  <c r="K290" i="95" s="1"/>
  <c r="J291" i="95"/>
  <c r="K291" i="95" s="1"/>
  <c r="J292" i="95"/>
  <c r="K292" i="95" s="1"/>
  <c r="J293" i="95"/>
  <c r="K293" i="95" s="1"/>
  <c r="J294" i="95"/>
  <c r="K294" i="95" s="1"/>
  <c r="J295" i="95"/>
  <c r="K295" i="95" s="1"/>
  <c r="J296" i="95"/>
  <c r="K296" i="95" s="1"/>
  <c r="J297" i="95"/>
  <c r="K297" i="95" s="1"/>
  <c r="J298" i="95"/>
  <c r="K298" i="95" s="1"/>
  <c r="J299" i="95"/>
  <c r="J300" i="95"/>
  <c r="J301" i="95"/>
  <c r="J302" i="95"/>
  <c r="J303" i="95"/>
  <c r="K303" i="95" s="1"/>
  <c r="J304" i="95"/>
  <c r="K304" i="95" s="1"/>
  <c r="J305" i="95"/>
  <c r="J306" i="95"/>
  <c r="J307" i="95"/>
  <c r="J308" i="95"/>
  <c r="J309" i="95"/>
  <c r="J310" i="95"/>
  <c r="J311" i="95"/>
  <c r="J312" i="95"/>
  <c r="J313" i="95"/>
  <c r="J314" i="95"/>
  <c r="K314" i="95" s="1"/>
  <c r="J315" i="95"/>
  <c r="K315" i="95" s="1"/>
  <c r="J316" i="95"/>
  <c r="K316" i="95" s="1"/>
  <c r="J317" i="95"/>
  <c r="K317" i="95" s="1"/>
  <c r="J318" i="95"/>
  <c r="K318" i="95" s="1"/>
  <c r="J319" i="95"/>
  <c r="J320" i="95"/>
  <c r="J321" i="95"/>
  <c r="J322" i="95"/>
  <c r="J323" i="95"/>
  <c r="J324" i="95"/>
  <c r="J325" i="95"/>
  <c r="J326" i="95"/>
  <c r="K326" i="95" s="1"/>
  <c r="J327" i="95"/>
  <c r="K327" i="95" s="1"/>
  <c r="J328" i="95"/>
  <c r="K328" i="95" s="1"/>
  <c r="J329" i="95"/>
  <c r="K329" i="95" s="1"/>
  <c r="J330" i="95"/>
  <c r="K330" i="95" s="1"/>
  <c r="J331" i="95"/>
  <c r="J332" i="95"/>
  <c r="J333" i="95"/>
  <c r="J334" i="95"/>
  <c r="J335" i="95"/>
  <c r="K335" i="95" s="1"/>
  <c r="J336" i="95"/>
  <c r="K336" i="95" s="1"/>
  <c r="J337" i="95"/>
  <c r="J338" i="95"/>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K357" i="95" s="1"/>
  <c r="J358" i="95"/>
  <c r="K358" i="95" s="1"/>
  <c r="J359" i="95"/>
  <c r="K359" i="95" s="1"/>
  <c r="J360" i="95"/>
  <c r="K360" i="95" s="1"/>
  <c r="J361" i="95"/>
  <c r="K361" i="95" s="1"/>
  <c r="J362" i="95"/>
  <c r="K362" i="95" s="1"/>
  <c r="J363" i="95"/>
  <c r="J364" i="95"/>
  <c r="J365" i="95"/>
  <c r="J366" i="95"/>
  <c r="J367" i="95"/>
  <c r="K367" i="95" s="1"/>
  <c r="J368" i="95"/>
  <c r="K368" i="95" s="1"/>
  <c r="J369" i="95"/>
  <c r="J370" i="95"/>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J385" i="95"/>
  <c r="J386" i="95"/>
  <c r="J387" i="95"/>
  <c r="J388" i="95"/>
  <c r="J389" i="95"/>
  <c r="J390" i="95"/>
  <c r="J391" i="95"/>
  <c r="K391" i="95" s="1"/>
  <c r="J392" i="95"/>
  <c r="K392" i="95" s="1"/>
  <c r="J393" i="95"/>
  <c r="K393" i="95" s="1"/>
  <c r="J394" i="95"/>
  <c r="K394" i="95" s="1"/>
  <c r="J395" i="95"/>
  <c r="J396" i="95"/>
  <c r="K396" i="95" s="1"/>
  <c r="J397" i="95"/>
  <c r="K397" i="95" s="1"/>
  <c r="J398" i="95"/>
  <c r="K398" i="95" s="1"/>
  <c r="J399" i="95"/>
  <c r="K399" i="95" s="1"/>
  <c r="J400" i="95"/>
  <c r="K400" i="95" s="1"/>
  <c r="J401" i="95"/>
  <c r="J402" i="95"/>
  <c r="J403" i="95"/>
  <c r="J404" i="95"/>
  <c r="J405" i="95"/>
  <c r="J406" i="95"/>
  <c r="J407" i="95"/>
  <c r="K407" i="95" s="1"/>
  <c r="J408" i="95"/>
  <c r="K408" i="95" s="1"/>
  <c r="J409" i="95"/>
  <c r="K409" i="95" s="1"/>
  <c r="J410" i="95"/>
  <c r="K410" i="95" s="1"/>
  <c r="J411" i="95"/>
  <c r="K411" i="95" s="1"/>
  <c r="J412" i="95"/>
  <c r="K412" i="95" s="1"/>
  <c r="J413" i="95"/>
  <c r="K413" i="95" s="1"/>
  <c r="J414" i="95"/>
  <c r="K414" i="95" s="1"/>
  <c r="J415" i="95"/>
  <c r="K415" i="95" s="1"/>
  <c r="J416" i="95"/>
  <c r="J417" i="95"/>
  <c r="J418" i="95"/>
  <c r="K418" i="95" s="1"/>
  <c r="J419" i="95"/>
  <c r="K419" i="95" s="1"/>
  <c r="K2" i="95"/>
  <c r="K3" i="95"/>
  <c r="K4" i="95"/>
  <c r="K5" i="95"/>
  <c r="K6" i="95"/>
  <c r="K8" i="95"/>
  <c r="K9" i="95"/>
  <c r="K11" i="95"/>
  <c r="K12" i="95"/>
  <c r="K13" i="95"/>
  <c r="K14" i="95"/>
  <c r="K17" i="95"/>
  <c r="K32" i="95"/>
  <c r="K33" i="95"/>
  <c r="K34" i="95"/>
  <c r="K35" i="95"/>
  <c r="K43" i="95"/>
  <c r="K44" i="95"/>
  <c r="K45" i="95"/>
  <c r="K46" i="95"/>
  <c r="K49" i="95"/>
  <c r="K64" i="95"/>
  <c r="K65" i="95"/>
  <c r="K66" i="95"/>
  <c r="K67" i="95"/>
  <c r="K68" i="95"/>
  <c r="K69" i="95"/>
  <c r="K76" i="95"/>
  <c r="K77" i="95"/>
  <c r="K78" i="95"/>
  <c r="K81" i="95"/>
  <c r="K82" i="95"/>
  <c r="K83" i="95"/>
  <c r="K84" i="95"/>
  <c r="K85" i="95"/>
  <c r="K86" i="95"/>
  <c r="K96" i="95"/>
  <c r="K98" i="95"/>
  <c r="K99" i="95"/>
  <c r="K104" i="95"/>
  <c r="K105" i="95"/>
  <c r="K106" i="95"/>
  <c r="K107" i="95"/>
  <c r="K108" i="95"/>
  <c r="K109" i="95"/>
  <c r="K110" i="95"/>
  <c r="K113" i="95"/>
  <c r="K114" i="95"/>
  <c r="K121" i="95"/>
  <c r="K122" i="95"/>
  <c r="K128" i="95"/>
  <c r="K139" i="95"/>
  <c r="K140" i="95"/>
  <c r="K141" i="95"/>
  <c r="K142" i="95"/>
  <c r="K145" i="95"/>
  <c r="K146" i="95"/>
  <c r="K147" i="95"/>
  <c r="K148" i="95"/>
  <c r="K149" i="95"/>
  <c r="K150" i="95"/>
  <c r="K160" i="95"/>
  <c r="K161" i="95"/>
  <c r="K162" i="95"/>
  <c r="K163" i="95"/>
  <c r="K164" i="95"/>
  <c r="K165" i="95"/>
  <c r="K166" i="95"/>
  <c r="K171" i="95"/>
  <c r="K172" i="95"/>
  <c r="K173" i="95"/>
  <c r="K177" i="95"/>
  <c r="K178" i="95"/>
  <c r="K179" i="95"/>
  <c r="K180" i="95"/>
  <c r="K181" i="95"/>
  <c r="K182" i="95"/>
  <c r="K183" i="95"/>
  <c r="K192" i="95"/>
  <c r="K193" i="95"/>
  <c r="K203" i="95"/>
  <c r="K204" i="95"/>
  <c r="K205" i="95"/>
  <c r="K224" i="95"/>
  <c r="K225" i="95"/>
  <c r="K226" i="95"/>
  <c r="K227" i="95"/>
  <c r="K228" i="95"/>
  <c r="K229" i="95"/>
  <c r="K234" i="95"/>
  <c r="K236" i="95"/>
  <c r="K237" i="95"/>
  <c r="K238" i="95"/>
  <c r="K241" i="95"/>
  <c r="K242" i="95"/>
  <c r="K243" i="95"/>
  <c r="K244" i="95"/>
  <c r="K245" i="95"/>
  <c r="K246" i="95"/>
  <c r="K247" i="95"/>
  <c r="K257" i="95"/>
  <c r="K267" i="95"/>
  <c r="K268" i="95"/>
  <c r="K269" i="95"/>
  <c r="K270" i="95"/>
  <c r="K273" i="95"/>
  <c r="K274" i="95"/>
  <c r="K275" i="95"/>
  <c r="K288" i="95"/>
  <c r="K289" i="95"/>
  <c r="K299" i="95"/>
  <c r="K300" i="95"/>
  <c r="K301" i="95"/>
  <c r="K302" i="95"/>
  <c r="K305" i="95"/>
  <c r="K306" i="95"/>
  <c r="K307" i="95"/>
  <c r="K308" i="95"/>
  <c r="K309" i="95"/>
  <c r="K310" i="95"/>
  <c r="K311" i="95"/>
  <c r="K312" i="95"/>
  <c r="K313" i="95"/>
  <c r="K322" i="95"/>
  <c r="K323" i="95"/>
  <c r="K324" i="95"/>
  <c r="K325" i="95"/>
  <c r="K331" i="95"/>
  <c r="K332" i="95"/>
  <c r="K333" i="95"/>
  <c r="K334" i="95"/>
  <c r="K337" i="95"/>
  <c r="K338" i="95"/>
  <c r="K352" i="95"/>
  <c r="K353" i="95"/>
  <c r="K354" i="95"/>
  <c r="K355" i="95"/>
  <c r="K356" i="95"/>
  <c r="K363" i="95"/>
  <c r="K364" i="95"/>
  <c r="K365" i="95"/>
  <c r="K366" i="95"/>
  <c r="K369" i="95"/>
  <c r="K370" i="95"/>
  <c r="K384" i="95"/>
  <c r="K385" i="95"/>
  <c r="K386" i="95"/>
  <c r="K387" i="95"/>
  <c r="K388" i="95"/>
  <c r="K389" i="95"/>
  <c r="K390" i="95"/>
  <c r="K395" i="95"/>
  <c r="K401" i="95"/>
  <c r="K402" i="95"/>
  <c r="K403" i="95"/>
  <c r="K404" i="95"/>
  <c r="K405" i="95"/>
  <c r="K406" i="95"/>
  <c r="K416" i="95"/>
  <c r="K417" i="95"/>
  <c r="L2" i="95"/>
  <c r="L3" i="95"/>
  <c r="M3" i="95" s="1"/>
  <c r="L4" i="95"/>
  <c r="L5" i="95"/>
  <c r="L6" i="95"/>
  <c r="L7" i="95"/>
  <c r="L8" i="95"/>
  <c r="L9" i="95"/>
  <c r="L10" i="95"/>
  <c r="L11" i="95"/>
  <c r="M11" i="95" s="1"/>
  <c r="L12" i="95"/>
  <c r="M12" i="95" s="1"/>
  <c r="L13" i="95"/>
  <c r="M13" i="95" s="1"/>
  <c r="L14" i="95"/>
  <c r="M14" i="95" s="1"/>
  <c r="L15" i="95"/>
  <c r="L16" i="95"/>
  <c r="M16" i="95" s="1"/>
  <c r="L17" i="95"/>
  <c r="M17" i="95" s="1"/>
  <c r="L18" i="95"/>
  <c r="M18" i="95" s="1"/>
  <c r="L19" i="95"/>
  <c r="M19" i="95" s="1"/>
  <c r="L20" i="95"/>
  <c r="M20" i="95" s="1"/>
  <c r="L21" i="95"/>
  <c r="M21" i="95" s="1"/>
  <c r="L22" i="95"/>
  <c r="L23" i="95"/>
  <c r="L24" i="95"/>
  <c r="L25" i="95"/>
  <c r="M25" i="95" s="1"/>
  <c r="L26" i="95"/>
  <c r="M26" i="95" s="1"/>
  <c r="L27" i="95"/>
  <c r="M27" i="95" s="1"/>
  <c r="L28" i="95"/>
  <c r="L29" i="95"/>
  <c r="L30" i="95"/>
  <c r="M30" i="95" s="1"/>
  <c r="L31" i="95"/>
  <c r="M31" i="95" s="1"/>
  <c r="L32" i="95"/>
  <c r="L33" i="95"/>
  <c r="L34" i="95"/>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L48" i="95"/>
  <c r="L49" i="95"/>
  <c r="L50" i="95"/>
  <c r="L51" i="95"/>
  <c r="L52" i="95"/>
  <c r="L53" i="95"/>
  <c r="L54" i="95"/>
  <c r="M54" i="95" s="1"/>
  <c r="L55" i="95"/>
  <c r="M55" i="95" s="1"/>
  <c r="L56" i="95"/>
  <c r="M56" i="95" s="1"/>
  <c r="L57" i="95"/>
  <c r="M57" i="95" s="1"/>
  <c r="L58" i="95"/>
  <c r="M58" i="95" s="1"/>
  <c r="L59" i="95"/>
  <c r="M59" i="95" s="1"/>
  <c r="L60" i="95"/>
  <c r="L61" i="95"/>
  <c r="L62" i="95"/>
  <c r="L63" i="95"/>
  <c r="L64" i="95"/>
  <c r="L65" i="95"/>
  <c r="L66" i="95"/>
  <c r="L67" i="95"/>
  <c r="M67" i="95" s="1"/>
  <c r="L68" i="95"/>
  <c r="L69" i="95"/>
  <c r="M69" i="95" s="1"/>
  <c r="L70" i="95"/>
  <c r="M70" i="95" s="1"/>
  <c r="L71" i="95"/>
  <c r="M71" i="95" s="1"/>
  <c r="L72" i="95"/>
  <c r="M72" i="95" s="1"/>
  <c r="L73" i="95"/>
  <c r="M73" i="95" s="1"/>
  <c r="L74" i="95"/>
  <c r="M74" i="95" s="1"/>
  <c r="L75" i="95"/>
  <c r="M75" i="95" s="1"/>
  <c r="L76" i="95"/>
  <c r="M76" i="95" s="1"/>
  <c r="L77" i="95"/>
  <c r="M77" i="95" s="1"/>
  <c r="L78" i="95"/>
  <c r="M78" i="95" s="1"/>
  <c r="L79" i="95"/>
  <c r="L80" i="95"/>
  <c r="L81" i="95"/>
  <c r="L82" i="95"/>
  <c r="L83" i="95"/>
  <c r="L84" i="95"/>
  <c r="L85" i="95"/>
  <c r="L86" i="95"/>
  <c r="L87" i="95"/>
  <c r="L88" i="95"/>
  <c r="L89" i="95"/>
  <c r="M89" i="95" s="1"/>
  <c r="L90" i="95"/>
  <c r="M90" i="95" s="1"/>
  <c r="L91" i="95"/>
  <c r="M91" i="95" s="1"/>
  <c r="L92" i="95"/>
  <c r="L93" i="95"/>
  <c r="L94" i="95"/>
  <c r="L95" i="95"/>
  <c r="M95" i="95" s="1"/>
  <c r="L96" i="95"/>
  <c r="L97" i="95"/>
  <c r="L98" i="95"/>
  <c r="L99" i="95"/>
  <c r="M99" i="95" s="1"/>
  <c r="L100" i="95"/>
  <c r="M100" i="95" s="1"/>
  <c r="L101" i="95"/>
  <c r="L102" i="95"/>
  <c r="L103" i="95"/>
  <c r="L104" i="95"/>
  <c r="L105" i="95"/>
  <c r="M105" i="95" s="1"/>
  <c r="L106" i="95"/>
  <c r="M106" i="95" s="1"/>
  <c r="L107" i="95"/>
  <c r="M107" i="95" s="1"/>
  <c r="L108" i="95"/>
  <c r="M108" i="95" s="1"/>
  <c r="L109" i="95"/>
  <c r="M109" i="95" s="1"/>
  <c r="L110" i="95"/>
  <c r="M110" i="95" s="1"/>
  <c r="L111" i="95"/>
  <c r="L112" i="95"/>
  <c r="L113" i="95"/>
  <c r="L114" i="95"/>
  <c r="L115" i="95"/>
  <c r="M115" i="95" s="1"/>
  <c r="L116" i="95"/>
  <c r="M116" i="95" s="1"/>
  <c r="L117" i="95"/>
  <c r="M117" i="95" s="1"/>
  <c r="L118" i="95"/>
  <c r="M118" i="95" s="1"/>
  <c r="L119" i="95"/>
  <c r="M119" i="95" s="1"/>
  <c r="L120" i="95"/>
  <c r="M120" i="95" s="1"/>
  <c r="L121" i="95"/>
  <c r="M121" i="95" s="1"/>
  <c r="L122" i="95"/>
  <c r="M122" i="95" s="1"/>
  <c r="L123" i="95"/>
  <c r="M123" i="95" s="1"/>
  <c r="L124" i="95"/>
  <c r="L125" i="95"/>
  <c r="L126" i="95"/>
  <c r="L127" i="95"/>
  <c r="L128" i="95"/>
  <c r="L129" i="95"/>
  <c r="L130" i="95"/>
  <c r="L131" i="95"/>
  <c r="L132" i="95"/>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L144" i="95"/>
  <c r="L145" i="95"/>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L157" i="95"/>
  <c r="L158" i="95"/>
  <c r="L159" i="95"/>
  <c r="L160" i="95"/>
  <c r="L161" i="95"/>
  <c r="L162" i="95"/>
  <c r="L163" i="95"/>
  <c r="L164" i="95"/>
  <c r="L165" i="95"/>
  <c r="L166" i="95"/>
  <c r="L167" i="95"/>
  <c r="L168" i="95"/>
  <c r="L169" i="95"/>
  <c r="M169" i="95" s="1"/>
  <c r="L170" i="95"/>
  <c r="M170" i="95" s="1"/>
  <c r="L171" i="95"/>
  <c r="M171" i="95" s="1"/>
  <c r="L172" i="95"/>
  <c r="M172" i="95" s="1"/>
  <c r="L173" i="95"/>
  <c r="M173" i="95" s="1"/>
  <c r="L174" i="95"/>
  <c r="M174" i="95" s="1"/>
  <c r="L175" i="95"/>
  <c r="L176" i="95"/>
  <c r="L177" i="95"/>
  <c r="L178" i="95"/>
  <c r="L179" i="95"/>
  <c r="L180" i="95"/>
  <c r="L181" i="95"/>
  <c r="L182" i="95"/>
  <c r="L183" i="95"/>
  <c r="M183" i="95" s="1"/>
  <c r="L184" i="95"/>
  <c r="M184" i="95" s="1"/>
  <c r="L185" i="95"/>
  <c r="M185" i="95" s="1"/>
  <c r="L186" i="95"/>
  <c r="M186" i="95" s="1"/>
  <c r="L187" i="95"/>
  <c r="M187" i="95" s="1"/>
  <c r="L188" i="95"/>
  <c r="L189" i="95"/>
  <c r="L190" i="95"/>
  <c r="L191" i="95"/>
  <c r="L192" i="95"/>
  <c r="L193" i="95"/>
  <c r="L194" i="95"/>
  <c r="L195" i="95"/>
  <c r="L196" i="95"/>
  <c r="L197" i="95"/>
  <c r="L198" i="95"/>
  <c r="L199" i="95"/>
  <c r="L200" i="95"/>
  <c r="L201" i="95"/>
  <c r="L202" i="95"/>
  <c r="M202" i="95" s="1"/>
  <c r="L203" i="95"/>
  <c r="M203" i="95" s="1"/>
  <c r="L204" i="95"/>
  <c r="M204" i="95" s="1"/>
  <c r="L205" i="95"/>
  <c r="M205" i="95" s="1"/>
  <c r="L206" i="95"/>
  <c r="M206" i="95" s="1"/>
  <c r="L207" i="95"/>
  <c r="L208" i="95"/>
  <c r="L209" i="95"/>
  <c r="M209" i="95" s="1"/>
  <c r="L210" i="95"/>
  <c r="M210" i="95" s="1"/>
  <c r="L211" i="95"/>
  <c r="M211" i="95" s="1"/>
  <c r="L212" i="95"/>
  <c r="M212" i="95" s="1"/>
  <c r="L213" i="95"/>
  <c r="M213" i="95" s="1"/>
  <c r="L214" i="95"/>
  <c r="M214" i="95" s="1"/>
  <c r="L215" i="95"/>
  <c r="L216" i="95"/>
  <c r="L217" i="95"/>
  <c r="M217" i="95" s="1"/>
  <c r="L218" i="95"/>
  <c r="M218" i="95" s="1"/>
  <c r="L219" i="95"/>
  <c r="M219" i="95" s="1"/>
  <c r="L220" i="95"/>
  <c r="L221" i="95"/>
  <c r="L222" i="95"/>
  <c r="L223" i="95"/>
  <c r="M223" i="95" s="1"/>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L240" i="95"/>
  <c r="L241" i="95"/>
  <c r="L242" i="95"/>
  <c r="L243" i="95"/>
  <c r="L244" i="95"/>
  <c r="L245" i="95"/>
  <c r="L246" i="95"/>
  <c r="M246" i="95" s="1"/>
  <c r="L247" i="95"/>
  <c r="M247" i="95" s="1"/>
  <c r="L248" i="95"/>
  <c r="M248" i="95" s="1"/>
  <c r="L249" i="95"/>
  <c r="M249" i="95" s="1"/>
  <c r="L250" i="95"/>
  <c r="M250" i="95" s="1"/>
  <c r="L251" i="95"/>
  <c r="M251" i="95" s="1"/>
  <c r="L252" i="95"/>
  <c r="L253" i="95"/>
  <c r="L254" i="95"/>
  <c r="L255" i="95"/>
  <c r="L256" i="95"/>
  <c r="L257" i="95"/>
  <c r="L258" i="95"/>
  <c r="L259" i="95"/>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L272" i="95"/>
  <c r="L273" i="95"/>
  <c r="L274" i="95"/>
  <c r="L275" i="95"/>
  <c r="L276" i="95"/>
  <c r="L277" i="95"/>
  <c r="L278" i="95"/>
  <c r="L279" i="95"/>
  <c r="L280" i="95"/>
  <c r="L281" i="95"/>
  <c r="M281" i="95" s="1"/>
  <c r="L282" i="95"/>
  <c r="M282" i="95" s="1"/>
  <c r="L283" i="95"/>
  <c r="M283" i="95" s="1"/>
  <c r="L284" i="95"/>
  <c r="L285" i="95"/>
  <c r="L286" i="95"/>
  <c r="M286" i="95" s="1"/>
  <c r="L287" i="95"/>
  <c r="M287" i="95" s="1"/>
  <c r="L288" i="95"/>
  <c r="L289" i="95"/>
  <c r="L290" i="95"/>
  <c r="L291" i="95"/>
  <c r="L292" i="95"/>
  <c r="L293" i="95"/>
  <c r="L294" i="95"/>
  <c r="L295" i="95"/>
  <c r="L296" i="95"/>
  <c r="L297" i="95"/>
  <c r="M297" i="95" s="1"/>
  <c r="L298" i="95"/>
  <c r="M298" i="95" s="1"/>
  <c r="L299" i="95"/>
  <c r="M299" i="95" s="1"/>
  <c r="L300" i="95"/>
  <c r="M300" i="95" s="1"/>
  <c r="L301" i="95"/>
  <c r="M301" i="95" s="1"/>
  <c r="L302" i="95"/>
  <c r="M302" i="95" s="1"/>
  <c r="L303" i="95"/>
  <c r="L304" i="95"/>
  <c r="L305" i="95"/>
  <c r="M305" i="95" s="1"/>
  <c r="L306" i="95"/>
  <c r="M306" i="95" s="1"/>
  <c r="L307" i="95"/>
  <c r="M307" i="95" s="1"/>
  <c r="L308" i="95"/>
  <c r="M308" i="95" s="1"/>
  <c r="L309" i="95"/>
  <c r="M309" i="95" s="1"/>
  <c r="L310" i="95"/>
  <c r="M310" i="95" s="1"/>
  <c r="L311" i="95"/>
  <c r="L312" i="95"/>
  <c r="L313" i="95"/>
  <c r="M313" i="95" s="1"/>
  <c r="L314" i="95"/>
  <c r="M314" i="95" s="1"/>
  <c r="L315" i="95"/>
  <c r="M315" i="95" s="1"/>
  <c r="L316" i="95"/>
  <c r="L317" i="95"/>
  <c r="L318" i="95"/>
  <c r="L319" i="95"/>
  <c r="L320" i="95"/>
  <c r="L321" i="95"/>
  <c r="L322" i="95"/>
  <c r="L323" i="95"/>
  <c r="M323" i="95" s="1"/>
  <c r="L324" i="95"/>
  <c r="M324" i="95" s="1"/>
  <c r="L325" i="95"/>
  <c r="M325" i="95" s="1"/>
  <c r="L326" i="95"/>
  <c r="M326" i="95" s="1"/>
  <c r="L327" i="95"/>
  <c r="M327" i="95" s="1"/>
  <c r="L328" i="95"/>
  <c r="M328" i="95" s="1"/>
  <c r="L329" i="95"/>
  <c r="L330" i="95"/>
  <c r="L331" i="95"/>
  <c r="M331" i="95" s="1"/>
  <c r="L332" i="95"/>
  <c r="M332" i="95" s="1"/>
  <c r="L333" i="95"/>
  <c r="L334" i="95"/>
  <c r="L335" i="95"/>
  <c r="L336" i="95"/>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L349" i="95"/>
  <c r="L350" i="95"/>
  <c r="L351" i="95"/>
  <c r="L352" i="95"/>
  <c r="L353" i="95"/>
  <c r="L354" i="95"/>
  <c r="L355" i="95"/>
  <c r="L356" i="95"/>
  <c r="L357" i="95"/>
  <c r="L358" i="95"/>
  <c r="L359" i="95"/>
  <c r="L360" i="95"/>
  <c r="M360" i="95" s="1"/>
  <c r="L361" i="95"/>
  <c r="M361" i="95" s="1"/>
  <c r="L362" i="95"/>
  <c r="M362" i="95" s="1"/>
  <c r="L363" i="95"/>
  <c r="M363" i="95" s="1"/>
  <c r="L364" i="95"/>
  <c r="M364" i="95" s="1"/>
  <c r="L365" i="95"/>
  <c r="M365" i="95" s="1"/>
  <c r="L366" i="95"/>
  <c r="M366" i="95" s="1"/>
  <c r="L367" i="95"/>
  <c r="L368" i="95"/>
  <c r="L369" i="95"/>
  <c r="L370" i="95"/>
  <c r="L371" i="95"/>
  <c r="L372" i="95"/>
  <c r="L373" i="95"/>
  <c r="L374" i="95"/>
  <c r="M374" i="95" s="1"/>
  <c r="L375" i="95"/>
  <c r="M375" i="95" s="1"/>
  <c r="L376" i="95"/>
  <c r="M376" i="95" s="1"/>
  <c r="L377" i="95"/>
  <c r="M377" i="95" s="1"/>
  <c r="L378" i="95"/>
  <c r="M378" i="95" s="1"/>
  <c r="L379" i="95"/>
  <c r="M379" i="95" s="1"/>
  <c r="L380" i="95"/>
  <c r="L381" i="95"/>
  <c r="L382" i="95"/>
  <c r="L383" i="95"/>
  <c r="M383" i="95" s="1"/>
  <c r="L384" i="95"/>
  <c r="L385" i="95"/>
  <c r="L386" i="95"/>
  <c r="L387" i="95"/>
  <c r="L388" i="95"/>
  <c r="L389" i="95"/>
  <c r="L390" i="95"/>
  <c r="L391" i="95"/>
  <c r="M391" i="95" s="1"/>
  <c r="L392" i="95"/>
  <c r="M392" i="95" s="1"/>
  <c r="L393" i="95"/>
  <c r="M393" i="95" s="1"/>
  <c r="L394" i="95"/>
  <c r="M394" i="95" s="1"/>
  <c r="L395" i="95"/>
  <c r="M395" i="95" s="1"/>
  <c r="L396" i="95"/>
  <c r="M396" i="95" s="1"/>
  <c r="L397" i="95"/>
  <c r="M397" i="95" s="1"/>
  <c r="L398" i="95"/>
  <c r="M398" i="95" s="1"/>
  <c r="L399" i="95"/>
  <c r="L400" i="95"/>
  <c r="M400" i="95" s="1"/>
  <c r="L401" i="95"/>
  <c r="M401" i="95" s="1"/>
  <c r="L402" i="95"/>
  <c r="M402" i="95" s="1"/>
  <c r="L403" i="95"/>
  <c r="M403" i="95" s="1"/>
  <c r="L404" i="95"/>
  <c r="M404" i="95" s="1"/>
  <c r="L405" i="95"/>
  <c r="L406" i="95"/>
  <c r="L407" i="95"/>
  <c r="L408" i="95"/>
  <c r="L409" i="95"/>
  <c r="M409" i="95" s="1"/>
  <c r="L410" i="95"/>
  <c r="M410" i="95" s="1"/>
  <c r="L411" i="95"/>
  <c r="M411" i="95" s="1"/>
  <c r="L412" i="95"/>
  <c r="L413" i="95"/>
  <c r="L414" i="95"/>
  <c r="M414" i="95" s="1"/>
  <c r="L415" i="95"/>
  <c r="M415" i="95" s="1"/>
  <c r="L416" i="95"/>
  <c r="L417" i="95"/>
  <c r="L418" i="95"/>
  <c r="L419" i="95"/>
  <c r="M419" i="95" s="1"/>
  <c r="M2" i="95"/>
  <c r="M4" i="95"/>
  <c r="M5" i="95"/>
  <c r="M6" i="95"/>
  <c r="M7" i="95"/>
  <c r="M8" i="95"/>
  <c r="M9" i="95"/>
  <c r="M10" i="95"/>
  <c r="M15" i="95"/>
  <c r="M22" i="95"/>
  <c r="M23" i="95"/>
  <c r="M24" i="95"/>
  <c r="M28" i="95"/>
  <c r="M29" i="95"/>
  <c r="M32" i="95"/>
  <c r="M33" i="95"/>
  <c r="M34" i="95"/>
  <c r="M47" i="95"/>
  <c r="M48" i="95"/>
  <c r="M49" i="95"/>
  <c r="M50" i="95"/>
  <c r="M51" i="95"/>
  <c r="M52" i="95"/>
  <c r="M53" i="95"/>
  <c r="M60" i="95"/>
  <c r="M61" i="95"/>
  <c r="M62" i="95"/>
  <c r="M63" i="95"/>
  <c r="M64" i="95"/>
  <c r="M65" i="95"/>
  <c r="M66" i="95"/>
  <c r="M68" i="95"/>
  <c r="M79" i="95"/>
  <c r="M80" i="95"/>
  <c r="M81" i="95"/>
  <c r="M82" i="95"/>
  <c r="M83" i="95"/>
  <c r="M84" i="95"/>
  <c r="M85" i="95"/>
  <c r="M86" i="95"/>
  <c r="M87" i="95"/>
  <c r="M88" i="95"/>
  <c r="M92" i="95"/>
  <c r="M93" i="95"/>
  <c r="M94" i="95"/>
  <c r="M96" i="95"/>
  <c r="M97" i="95"/>
  <c r="M98" i="95"/>
  <c r="M101" i="95"/>
  <c r="M102" i="95"/>
  <c r="M103" i="95"/>
  <c r="M104" i="95"/>
  <c r="M111" i="95"/>
  <c r="M112" i="95"/>
  <c r="M113" i="95"/>
  <c r="M114" i="95"/>
  <c r="M124" i="95"/>
  <c r="M125" i="95"/>
  <c r="M126" i="95"/>
  <c r="M127" i="95"/>
  <c r="M128" i="95"/>
  <c r="M129" i="95"/>
  <c r="M130" i="95"/>
  <c r="M131" i="95"/>
  <c r="M132" i="95"/>
  <c r="M143" i="95"/>
  <c r="M144" i="95"/>
  <c r="M145" i="95"/>
  <c r="M156" i="95"/>
  <c r="M157" i="95"/>
  <c r="M158" i="95"/>
  <c r="M159" i="95"/>
  <c r="M160" i="95"/>
  <c r="M161" i="95"/>
  <c r="M162" i="95"/>
  <c r="M163" i="95"/>
  <c r="M164" i="95"/>
  <c r="M165" i="95"/>
  <c r="M166" i="95"/>
  <c r="M167" i="95"/>
  <c r="M168" i="95"/>
  <c r="M175" i="95"/>
  <c r="M176" i="95"/>
  <c r="M177" i="95"/>
  <c r="M178" i="95"/>
  <c r="M179" i="95"/>
  <c r="M180" i="95"/>
  <c r="M181" i="95"/>
  <c r="M182" i="95"/>
  <c r="M188" i="95"/>
  <c r="M189" i="95"/>
  <c r="M190" i="95"/>
  <c r="M191" i="95"/>
  <c r="M192" i="95"/>
  <c r="M193" i="95"/>
  <c r="M194" i="95"/>
  <c r="M195" i="95"/>
  <c r="M196" i="95"/>
  <c r="M197" i="95"/>
  <c r="M198" i="95"/>
  <c r="M199" i="95"/>
  <c r="M200" i="95"/>
  <c r="M201" i="95"/>
  <c r="M207" i="95"/>
  <c r="M208" i="95"/>
  <c r="M215" i="95"/>
  <c r="M216" i="95"/>
  <c r="M220" i="95"/>
  <c r="M221" i="95"/>
  <c r="M222" i="95"/>
  <c r="M224" i="95"/>
  <c r="M239" i="95"/>
  <c r="M240" i="95"/>
  <c r="M241" i="95"/>
  <c r="M242" i="95"/>
  <c r="M243" i="95"/>
  <c r="M244" i="95"/>
  <c r="M245" i="95"/>
  <c r="M252" i="95"/>
  <c r="M253" i="95"/>
  <c r="M254" i="95"/>
  <c r="M255" i="95"/>
  <c r="M256" i="95"/>
  <c r="M257" i="95"/>
  <c r="M258" i="95"/>
  <c r="M259" i="95"/>
  <c r="M271" i="95"/>
  <c r="M272" i="95"/>
  <c r="M273" i="95"/>
  <c r="M274" i="95"/>
  <c r="M275" i="95"/>
  <c r="M276" i="95"/>
  <c r="M277" i="95"/>
  <c r="M278" i="95"/>
  <c r="M279" i="95"/>
  <c r="M280" i="95"/>
  <c r="M284" i="95"/>
  <c r="M285" i="95"/>
  <c r="M288" i="95"/>
  <c r="M289" i="95"/>
  <c r="M290" i="95"/>
  <c r="M291" i="95"/>
  <c r="M292" i="95"/>
  <c r="M293" i="95"/>
  <c r="M294" i="95"/>
  <c r="M295" i="95"/>
  <c r="M296" i="95"/>
  <c r="M303" i="95"/>
  <c r="M304" i="95"/>
  <c r="M311" i="95"/>
  <c r="M312" i="95"/>
  <c r="M316" i="95"/>
  <c r="M317" i="95"/>
  <c r="M318" i="95"/>
  <c r="M319" i="95"/>
  <c r="M320" i="95"/>
  <c r="M321" i="95"/>
  <c r="M322" i="95"/>
  <c r="M329" i="95"/>
  <c r="M330" i="95"/>
  <c r="M333" i="95"/>
  <c r="M334" i="95"/>
  <c r="M335" i="95"/>
  <c r="M336" i="95"/>
  <c r="M348" i="95"/>
  <c r="M349" i="95"/>
  <c r="M350" i="95"/>
  <c r="M351" i="95"/>
  <c r="M352" i="95"/>
  <c r="M353" i="95"/>
  <c r="M354" i="95"/>
  <c r="M355" i="95"/>
  <c r="M356" i="95"/>
  <c r="M357" i="95"/>
  <c r="M358" i="95"/>
  <c r="M359" i="95"/>
  <c r="M367" i="95"/>
  <c r="M368" i="95"/>
  <c r="M369" i="95"/>
  <c r="M370" i="95"/>
  <c r="M371" i="95"/>
  <c r="M372" i="95"/>
  <c r="M373" i="95"/>
  <c r="M380" i="95"/>
  <c r="M381" i="95"/>
  <c r="M382" i="95"/>
  <c r="M384" i="95"/>
  <c r="M385" i="95"/>
  <c r="M386" i="95"/>
  <c r="M387" i="95"/>
  <c r="M388" i="95"/>
  <c r="M389" i="95"/>
  <c r="M390" i="95"/>
  <c r="M399" i="95"/>
  <c r="M405" i="95"/>
  <c r="M406" i="95"/>
  <c r="M407" i="95"/>
  <c r="M408" i="95"/>
  <c r="M412" i="95"/>
  <c r="M413" i="95"/>
  <c r="M416" i="95"/>
  <c r="M417" i="95"/>
  <c r="M418" i="95"/>
  <c r="U56" i="8"/>
  <c r="P56" i="8"/>
  <c r="D12" i="21" a="1"/>
  <c r="D11" i="21" a="1"/>
  <c r="D12" i="21" l="1"/>
  <c r="C24" i="5" a="1"/>
  <c r="C24" i="5" s="1"/>
  <c r="I2" i="78"/>
  <c r="N2" i="78" s="1" a="1"/>
  <c r="N2" i="78" s="1"/>
  <c r="N31" i="78" a="1"/>
  <c r="N31" i="78" s="1"/>
  <c r="N34" i="78" a="1"/>
  <c r="N34" i="78" s="1"/>
  <c r="N5" i="78" a="1"/>
  <c r="N5" i="78" s="1"/>
  <c r="N24" i="78" a="1"/>
  <c r="N24" i="78" s="1"/>
  <c r="N26" i="78" a="1"/>
  <c r="N26" i="78" s="1"/>
  <c r="D11" i="21"/>
  <c r="K319" i="95"/>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T19" i="78" l="1"/>
  <c r="T18" i="78"/>
  <c r="T17" i="78"/>
  <c r="T16" i="78"/>
  <c r="T15" i="78"/>
  <c r="T14" i="78"/>
  <c r="T10" i="78"/>
  <c r="T8" i="78"/>
  <c r="T4" i="78"/>
  <c r="T3" i="78"/>
  <c r="T13" i="78"/>
  <c r="T9" i="78"/>
  <c r="T11" i="78"/>
  <c r="T12" i="78"/>
  <c r="T7" i="78"/>
  <c r="T6" i="78"/>
  <c r="T5" i="78"/>
  <c r="T2"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8" i="78" a="1"/>
  <c r="O4" i="78" a="1"/>
  <c r="O17" i="78" a="1"/>
  <c r="O16" i="78" a="1"/>
  <c r="O15" i="78" a="1"/>
  <c r="O6" i="78" a="1"/>
  <c r="O7" i="78" a="1"/>
  <c r="O14" i="78" a="1"/>
  <c r="O10" i="78" a="1"/>
  <c r="O12" i="78" a="1"/>
  <c r="O3" i="78" a="1"/>
  <c r="O11" i="78" a="1"/>
  <c r="O9" i="78" a="1"/>
  <c r="O19" i="78" a="1"/>
  <c r="O18" i="78" a="1"/>
  <c r="O13" i="78" a="1"/>
  <c r="C18" i="5" l="1" a="1"/>
  <c r="C18" i="5" s="1"/>
  <c r="C12" i="5" a="1"/>
  <c r="C12"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Q56" i="8" a="1"/>
  <c r="Q56" i="8" s="1"/>
  <c r="P13" i="90"/>
  <c r="P14" i="90"/>
  <c r="P30" i="90"/>
  <c r="P3" i="90"/>
  <c r="P31" i="90"/>
  <c r="P15" i="90"/>
  <c r="V56" i="8" a="1"/>
  <c r="V56" i="8" s="1"/>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C13" i="5" l="1"/>
  <c r="O19" i="5" l="1"/>
  <c r="E25" i="5"/>
  <c r="K25" i="5"/>
  <c r="E19" i="5"/>
  <c r="N19" i="5"/>
  <c r="F13" i="5"/>
  <c r="I19" i="5"/>
  <c r="F25" i="5"/>
  <c r="O13" i="5"/>
  <c r="H19" i="5"/>
  <c r="M25" i="5"/>
  <c r="D25" i="5"/>
  <c r="H25" i="5"/>
  <c r="K13" i="5"/>
  <c r="G25" i="5"/>
  <c r="N25" i="5"/>
  <c r="I25" i="5"/>
  <c r="J25" i="5"/>
  <c r="P13" i="5"/>
  <c r="F19" i="5"/>
  <c r="I13" i="5"/>
  <c r="E13" i="5"/>
  <c r="L13" i="5"/>
  <c r="J19" i="5"/>
  <c r="G19" i="5"/>
  <c r="J13" i="5"/>
  <c r="D13" i="5"/>
  <c r="N13" i="5"/>
  <c r="H13" i="5"/>
  <c r="D19" i="5"/>
  <c r="L19" i="5"/>
  <c r="P19" i="5"/>
  <c r="G13" i="5"/>
  <c r="M13"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X49" i="8"/>
  <c r="S49" i="8"/>
  <c r="X48" i="8"/>
  <c r="S48" i="8"/>
  <c r="G74" i="8"/>
  <c r="G75" i="8" s="1"/>
  <c r="D20" i="8" s="1"/>
  <c r="X2" i="95"/>
  <c r="S6" i="95"/>
  <c r="M6" i="15" s="1"/>
  <c r="AM2" i="77"/>
  <c r="L9" i="26"/>
  <c r="B54" i="26"/>
  <c r="D36" i="8"/>
  <c r="K2" i="90"/>
  <c r="K3" i="90" s="1"/>
  <c r="M26" i="26" s="1"/>
  <c r="F60" i="8" l="1"/>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I10" i="4" l="1" a="1"/>
  <c r="I10" i="4" s="1"/>
  <c r="L10" i="4" a="1"/>
  <c r="L10" i="4" s="1"/>
  <c r="A10" i="4"/>
  <c r="F10" i="4" s="1" a="1"/>
  <c r="F10" i="4" s="1"/>
  <c r="A22" i="4" a="1"/>
  <c r="G1" i="8"/>
  <c r="E6" i="26" s="1"/>
  <c r="C10" i="4" l="1" a="1"/>
  <c r="C10" i="4" s="1"/>
  <c r="K10" i="4"/>
  <c r="K19" i="4" s="1"/>
  <c r="A22" i="4"/>
  <c r="C22" i="4" s="1" a="1"/>
  <c r="C22" i="4" s="1"/>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L22" i="4" a="1"/>
  <c r="L22" i="4" s="1"/>
  <c r="N22" i="4" s="1"/>
  <c r="F22" i="4" a="1"/>
  <c r="F22" i="4" s="1"/>
  <c r="H22" i="4" s="1"/>
  <c r="K11" i="4"/>
  <c r="K15" i="4"/>
  <c r="K13" i="4"/>
  <c r="K14" i="4"/>
  <c r="E18" i="4"/>
  <c r="K16" i="4"/>
  <c r="K18" i="4"/>
  <c r="K12" i="4"/>
  <c r="K17" i="4"/>
  <c r="E22"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K62" i="26" l="1"/>
  <c r="I62" i="26"/>
  <c r="Q62" i="26"/>
  <c r="D47" i="8"/>
  <c r="F47" i="8"/>
  <c r="G47" i="8"/>
  <c r="I49" i="8"/>
  <c r="H49" i="8"/>
  <c r="G49" i="8"/>
  <c r="G50" i="8" s="1"/>
  <c r="F49" i="8"/>
  <c r="F50" i="8" s="1"/>
  <c r="E49" i="8"/>
  <c r="E50" i="8" s="1"/>
  <c r="D49" i="8"/>
  <c r="D50" i="8" s="1"/>
  <c r="B11" i="21" l="1" a="1"/>
  <c r="I50" i="8"/>
  <c r="I68" i="26"/>
  <c r="H50" i="8"/>
  <c r="I67" i="26"/>
  <c r="B24" i="26"/>
  <c r="J7" i="21"/>
  <c r="B11" i="21" l="1"/>
  <c r="I10" i="15"/>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2"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<sst xmlns="http://schemas.openxmlformats.org/spreadsheetml/2006/main" count="2520" uniqueCount="1255">
  <si>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</si>
  <si>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</si>
  <si>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</si>
  <si>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</si>
  <si>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</si>
  <si>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</si>
  <si>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</si>
  <si>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</si>
  <si>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</si>
  <si>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</si>
  <si>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</si>
  <si>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</si>
  <si>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</si>
  <si>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</si>
  <si>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</si>
  <si>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</si>
  <si>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</si>
  <si>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</si>
  <si>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</si>
  <si>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</si>
  <si>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</si>
  <si>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</si>
  <si>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</si>
  <si>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</si>
  <si>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</si>
  <si>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</si>
  <si>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</si>
  <si>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</si>
  <si>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</si>
  <si>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</si>
  <si>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</si>
  <si>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</si>
  <si>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</si>
  <si>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</si>
  <si>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</si>
  <si>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</si>
  <si>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</si>
  <si>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</si>
  <si>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</si>
  <si>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</si>
  <si>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</si>
  <si>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</si>
  <si>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</si>
  <si>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</si>
  <si>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</si>
  <si>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</si>
  <si>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</si>
  <si>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</si>
  <si>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</si>
  <si>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</si>
  <si>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</si>
  <si>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</si>
  <si>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</si>
  <si>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</si>
  <si>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</si>
  <si>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</si>
  <si>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</si>
  <si>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</si>
  <si>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</si>
  <si>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</si>
  <si>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</si>
  <si>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</si>
  <si>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</si>
  <si>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</si>
  <si>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</si>
  <si>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</si>
  <si>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</si>
  <si>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</si>
  <si>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</si>
  <si>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</si>
  <si>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</si>
  <si>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</si>
  <si>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</si>
  <si>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</si>
  <si>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</si>
  <si>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</si>
  <si>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</si>
  <si>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</si>
  <si>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</si>
  <si>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</si>
  <si>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</si>
  <si>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</si>
  <si>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</si>
  <si>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</si>
  <si>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</si>
  <si>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</si>
  <si>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</si>
  <si>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</si>
  <si>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</si>
  <si>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</si>
  <si>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</si>
  <si>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</si>
  <si>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</si>
  <si>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</si>
  <si>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</si>
  <si>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</si>
  <si>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</si>
  <si>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</si>
  <si>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</si>
  <si>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</si>
  <si>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</si>
  <si>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</si>
  <si>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</si>
  <si>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</si>
  <si>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</si>
  <si>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</si>
  <si>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</si>
  <si>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</si>
  <si>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</si>
  <si>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</si>
  <si>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</si>
  <si>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</si>
  <si>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</si>
  <si>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</si>
  <si>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</si>
  <si>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</si>
  <si>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</si>
  <si>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</si>
  <si>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</si>
  <si>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</si>
  <si>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</si>
  <si>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</si>
  <si>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</si>
  <si>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</si>
  <si>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</si>
  <si>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</si>
  <si>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</si>
  <si>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</si>
  <si>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</si>
  <si>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</si>
  <si>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</si>
  <si>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</si>
  <si>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</si>
  <si>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</si>
  <si>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</si>
  <si>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</si>
  <si>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</si>
  <si>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</si>
  <si>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</si>
  <si>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</si>
  <si>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</si>
  <si>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</si>
  <si>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</si>
  <si>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</si>
  <si>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</si>
  <si>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</si>
  <si>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</si>
  <si>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</si>
  <si>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</si>
  <si>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</si>
  <si>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</si>
  <si>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</si>
  <si>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</si>
  <si>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</si>
  <si>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</si>
  <si>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</si>
  <si>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</si>
  <si>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</si>
  <si>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</si>
  <si>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</si>
  <si>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</si>
  <si>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</si>
  <si>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</si>
  <si>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</si>
  <si>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</si>
  <si>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</si>
  <si>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</si>
  <si>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</si>
  <si>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</si>
  <si>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</si>
  <si>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</si>
  <si>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</si>
  <si>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</si>
  <si>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</si>
  <si>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</si>
  <si>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</si>
  <si>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</si>
  <si>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</si>
  <si>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</si>
  <si>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</si>
  <si>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</si>
  <si>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</si>
  <si>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</si>
  <si>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</si>
  <si>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</si>
  <si>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</si>
  <si>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</si>
  <si>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</si>
  <si>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</si>
  <si>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</si>
  <si>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</si>
  <si>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</si>
  <si>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</si>
  <si>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</si>
  <si>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</si>
  <si>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</si>
  <si>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</si>
  <si>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</si>
  <si>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</si>
  <si>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</si>
  <si>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</si>
  <si>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</si>
  <si>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</si>
  <si>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</si>
  <si>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</si>
  <si>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</si>
  <si>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</si>
  <si>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</si>
  <si>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</si>
  <si>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</si>
  <si>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</si>
  <si>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</si>
  <si>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</si>
  <si>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</si>
  <si>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</si>
  <si>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</si>
  <si>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</si>
  <si>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</si>
  <si>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</si>
  <si>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</si>
  <si>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</si>
  <si>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</si>
  <si>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</si>
  <si>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</si>
  <si>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</si>
  <si>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</si>
  <si>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</si>
  <si>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</si>
  <si>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</si>
  <si>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</si>
  <si>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</si>
  <si>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</si>
  <si>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</si>
  <si>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</si>
  <si>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</si>
  <si>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</si>
  <si>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</si>
  <si>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</si>
  <si>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</si>
  <si>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</si>
  <si>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</si>
  <si>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</si>
  <si>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</si>
  <si>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</si>
  <si>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</si>
  <si>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</si>
  <si>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</si>
  <si>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</si>
  <si>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</si>
  <si>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</si>
  <si>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</si>
  <si>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</si>
  <si>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</si>
  <si>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</si>
  <si>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</si>
  <si>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</si>
  <si>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</si>
  <si>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</si>
  <si>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</si>
  <si>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</si>
  <si>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</si>
  <si>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</si>
  <si>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</si>
  <si>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</si>
  <si>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</si>
  <si>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</si>
  <si>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</si>
  <si>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</si>
  <si>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</si>
  <si>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</si>
  <si>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</si>
  <si>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</si>
  <si>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</si>
  <si>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</si>
  <si>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</si>
  <si>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</si>
  <si>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</si>
  <si>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</si>
  <si>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</si>
  <si>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</si>
  <si>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</si>
  <si>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</si>
  <si>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</si>
  <si>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</si>
  <si>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</si>
  <si>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</si>
  <si>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</si>
  <si>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</si>
  <si>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</si>
  <si>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</si>
  <si>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</si>
  <si>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</si>
  <si>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</si>
  <si>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</si>
  <si>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</si>
  <si>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</si>
  <si>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</si>
  <si>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</si>
  <si>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</si>
  <si>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</si>
  <si>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</si>
  <si>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</si>
  <si>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</si>
  <si>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</si>
  <si>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</si>
  <si>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</si>
  <si>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</si>
  <si>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</si>
  <si>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</si>
  <si>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</si>
  <si>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</si>
  <si>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</si>
  <si>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</si>
  <si>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</si>
  <si>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</si>
  <si>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</si>
  <si>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</si>
  <si>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</si>
  <si>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</si>
  <si>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</si>
  <si>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</si>
  <si>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</si>
  <si>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</si>
  <si>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</si>
  <si>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</si>
  <si>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</si>
  <si>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</si>
  <si>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</si>
  <si>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</si>
  <si>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</si>
  <si>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</si>
  <si>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</si>
  <si>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</si>
  <si>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</si>
  <si>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</si>
  <si>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</si>
  <si>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</si>
  <si>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</si>
  <si>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</si>
  <si>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</si>
  <si>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</si>
  <si>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</si>
  <si>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</si>
  <si>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</si>
  <si>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</si>
  <si>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</si>
  <si>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</si>
  <si>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</si>
  <si>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</si>
  <si>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</si>
  <si>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</si>
  <si>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</si>
  <si>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</si>
  <si>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</si>
  <si>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</si>
  <si>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</si>
  <si>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</si>
  <si>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</si>
  <si>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</si>
  <si>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</si>
  <si>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</si>
  <si>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</si>
  <si>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</si>
  <si>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</si>
  <si>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</si>
  <si>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</si>
  <si>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</si>
  <si>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</si>
  <si>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</si>
  <si>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</si>
  <si>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</si>
  <si>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</si>
  <si>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</si>
  <si>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</si>
  <si>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</si>
  <si>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</si>
  <si>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</si>
  <si>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</si>
  <si>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</si>
  <si>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</si>
  <si>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</si>
  <si>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</si>
  <si>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</si>
  <si>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</si>
  <si>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</si>
  <si>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</si>
  <si>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</si>
  <si>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</si>
  <si>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</si>
  <si>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</si>
  <si>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</si>
  <si>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</si>
  <si>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</si>
  <si>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</si>
  <si>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</si>
  <si>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</si>
  <si>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</si>
  <si>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</si>
  <si>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</si>
  <si>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</si>
  <si>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</si>
  <si>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</si>
  <si>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</si>
  <si>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</si>
  <si>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</si>
  <si>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</si>
  <si>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</si>
  <si>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</si>
  <si>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</si>
  <si>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</si>
  <si>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</si>
  <si>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</si>
  <si>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</si>
  <si>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</si>
  <si>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</si>
  <si>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</si>
  <si>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</si>
  <si>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</si>
  <si>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</si>
  <si>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</si>
  <si>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</si>
  <si>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</si>
  <si>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</si>
  <si>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</si>
  <si>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</si>
  <si>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</si>
  <si>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</si>
  <si>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</si>
  <si>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</si>
  <si>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</si>
  <si>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</si>
  <si>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</si>
  <si>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</si>
  <si>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</si>
  <si>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</si>
  <si>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</si>
  <si>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</si>
  <si>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</si>
  <si>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</si>
  <si>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</si>
  <si>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</si>
  <si>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</si>
  <si>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</si>
  <si>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</si>
  <si>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</si>
  <si>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</si>
  <si>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</si>
  <si>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</si>
  <si>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</si>
  <si>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</si>
  <si>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</si>
  <si>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</si>
  <si>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</si>
  <si>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</si>
  <si>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</si>
  <si>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</si>
  <si>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</si>
  <si>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</si>
  <si>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</si>
  <si>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</si>
  <si>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</si>
  <si>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</si>
  <si>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</si>
  <si>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</si>
  <si>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</si>
  <si>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</si>
  <si>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</si>
  <si>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</si>
  <si>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</si>
  <si>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</si>
  <si>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</si>
  <si>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</si>
  <si>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</si>
  <si>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</si>
  <si>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</si>
  <si>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</si>
  <si>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</si>
  <si>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</si>
  <si>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</si>
  <si>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</si>
  <si>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</si>
  <si>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</si>
  <si>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</si>
  <si>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</si>
  <si>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</si>
  <si>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</si>
  <si>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</si>
  <si>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</si>
  <si>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</si>
  <si>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</si>
  <si>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</si>
  <si>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</si>
  <si>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</si>
  <si>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</si>
  <si>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</si>
  <si>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</si>
  <si>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</si>
  <si>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</si>
  <si>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</si>
  <si>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</si>
  <si>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</si>
  <si>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</si>
  <si>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</si>
  <si>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</si>
  <si>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</si>
  <si>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</si>
  <si>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</si>
  <si>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</si>
  <si>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</si>
  <si>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</si>
  <si>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</si>
  <si>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</si>
  <si>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</si>
  <si>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</si>
  <si>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</si>
  <si>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</si>
  <si>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</si>
  <si>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</si>
  <si>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</si>
  <si>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</si>
  <si>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</si>
  <si>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</si>
  <si>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</si>
  <si>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</si>
  <si>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</si>
  <si>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</si>
  <si>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</si>
  <si>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</si>
  <si>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</si>
  <si>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</si>
  <si>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</si>
  <si>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</si>
  <si>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</si>
  <si>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</si>
  <si>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</si>
  <si>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</si>
  <si>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</si>
  <si>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</si>
  <si>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</si>
  <si>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</si>
  <si>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</si>
  <si>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</si>
  <si>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</si>
  <si>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</si>
  <si>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</si>
  <si>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</si>
  <si>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</si>
  <si>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</si>
  <si>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</si>
  <si>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</si>
  <si>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</si>
  <si>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</si>
  <si>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</si>
  <si>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</si>
  <si>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</si>
  <si>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</si>
  <si>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</si>
  <si>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</si>
  <si>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</si>
  <si>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</si>
  <si>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</si>
  <si>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</si>
  <si>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</si>
  <si>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</si>
  <si>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</si>
  <si>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</si>
  <si>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</si>
  <si>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</si>
  <si>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</si>
  <si>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</si>
  <si>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</si>
  <si>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</si>
  <si>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</si>
  <si>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</si>
  <si>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</si>
  <si>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</si>
  <si>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</si>
  <si>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</si>
  <si>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</si>
  <si>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</si>
  <si>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</si>
  <si>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</si>
  <si>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</si>
  <si>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</si>
  <si>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</si>
  <si>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</si>
  <si>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</si>
  <si>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</si>
  <si>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</si>
  <si>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</si>
  <si>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</si>
  <si>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</si>
  <si>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</si>
  <si>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</si>
  <si>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</si>
  <si>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</si>
  <si>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</si>
  <si>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</si>
  <si>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</si>
  <si>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</si>
  <si>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</si>
  <si>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</si>
  <si>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</si>
  <si>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</si>
  <si>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</si>
  <si>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</si>
  <si>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</si>
  <si>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</si>
  <si>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</si>
  <si>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</si>
  <si>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</si>
  <si>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</si>
  <si>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</si>
  <si>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</si>
  <si>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</si>
  <si>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</si>
  <si>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</si>
  <si>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</si>
  <si>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</si>
  <si>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</si>
  <si>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</si>
  <si>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</si>
  <si>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</si>
  <si>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</si>
  <si>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</si>
  <si>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</si>
  <si>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</si>
  <si>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</si>
  <si>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</si>
  <si>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</si>
  <si>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</si>
  <si>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</si>
  <si>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</si>
  <si>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</si>
  <si>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</si>
  <si>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</si>
  <si>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</si>
  <si>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</si>
  <si>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</si>
  <si>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</si>
  <si>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</si>
  <si>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</si>
  <si>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</si>
  <si>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</si>
  <si>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</si>
  <si>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</si>
  <si>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</si>
  <si>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</si>
  <si>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</si>
  <si>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</si>
  <si>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</si>
  <si>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</si>
  <si>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</si>
  <si>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</si>
  <si>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</si>
  <si>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</si>
  <si>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</si>
  <si>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</si>
  <si>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</si>
  <si>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</si>
  <si>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</si>
  <si>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</si>
  <si>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</si>
  <si>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</si>
  <si>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</si>
  <si>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</si>
  <si>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</si>
  <si>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</si>
  <si>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</si>
  <si>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</si>
  <si>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</si>
  <si>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</si>
  <si>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</si>
  <si>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</si>
  <si>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</si>
  <si>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</si>
  <si>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</si>
  <si>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</si>
  <si>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</si>
  <si>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</si>
  <si>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</si>
  <si>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</si>
  <si>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</si>
  <si>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</si>
  <si>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</si>
  <si>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</si>
  <si>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</si>
  <si>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</si>
  <si>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</si>
  <si>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</si>
  <si>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</si>
  <si>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</si>
  <si>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</si>
  <si>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</si>
  <si>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</si>
  <si>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</si>
  <si>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</si>
  <si>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</si>
  <si>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</si>
  <si>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</si>
  <si>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</si>
  <si>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</si>
  <si>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</si>
  <si>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</si>
  <si>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</si>
  <si>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</si>
  <si>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</si>
  <si>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</si>
  <si>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</si>
  <si>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</si>
  <si>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</si>
  <si>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</si>
  <si>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</si>
  <si>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</si>
  <si>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</si>
  <si>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</si>
  <si>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</si>
  <si>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</si>
  <si>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</si>
  <si>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</si>
  <si>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</si>
  <si>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</si>
  <si>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</si>
  <si>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</si>
  <si>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</si>
  <si>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</si>
  <si>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</si>
  <si>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</si>
  <si>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</si>
  <si>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</si>
  <si>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</si>
  <si>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</si>
  <si>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</si>
  <si>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</si>
  <si>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</si>
  <si>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</si>
  <si>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</si>
  <si>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</si>
  <si>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</si>
  <si>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</si>
  <si>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</si>
  <si>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</si>
  <si>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</si>
  <si>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</si>
  <si>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</si>
  <si>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</si>
  <si>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</si>
  <si>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</si>
  <si>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</si>
  <si>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</si>
  <si>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</si>
  <si>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</si>
  <si>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</si>
  <si>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</si>
  <si>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</si>
  <si>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</si>
  <si>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</si>
  <si>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</si>
  <si>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</si>
  <si>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</si>
  <si>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</si>
  <si>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</si>
  <si>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</si>
  <si>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</si>
  <si>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</si>
  <si>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</si>
  <si>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</si>
  <si>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</si>
  <si>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</si>
  <si>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</si>
  <si>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</si>
  <si>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</si>
  <si>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</si>
  <si>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</si>
  <si>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</si>
  <si>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</si>
  <si>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</si>
  <si>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</si>
  <si>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</si>
  <si>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</si>
  <si>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</si>
  <si>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</si>
  <si>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</si>
  <si>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</si>
  <si>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</si>
  <si>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</si>
  <si>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</si>
  <si>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</si>
  <si>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</si>
  <si>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</si>
  <si>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</si>
  <si>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</si>
  <si>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</si>
  <si>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</si>
  <si>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</si>
  <si>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</si>
  <si>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</si>
  <si>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</si>
  <si>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</si>
  <si>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</si>
  <si>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</si>
  <si>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</si>
  <si>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</si>
  <si>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</si>
  <si>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</si>
  <si>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</si>
  <si>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</si>
  <si>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</si>
  <si>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</si>
  <si>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</si>
  <si>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</si>
  <si>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</si>
  <si>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</si>
  <si>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</si>
  <si>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</si>
  <si>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</si>
  <si>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</si>
  <si>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</si>
  <si>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</si>
  <si>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</si>
  <si>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</si>
  <si>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</si>
  <si>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</si>
  <si>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</si>
  <si>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</si>
  <si>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</si>
  <si>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</si>
  <si>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</si>
  <si>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</si>
  <si>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</si>
  <si>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</si>
  <si>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</si>
  <si>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</si>
  <si>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</si>
  <si>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</si>
  <si>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</si>
  <si>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</si>
  <si>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</si>
  <si>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</si>
  <si>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</si>
  <si>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</si>
  <si>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</si>
  <si>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</si>
  <si>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</si>
  <si>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</si>
  <si>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</si>
  <si>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</si>
  <si>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</si>
  <si>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</si>
  <si>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</si>
  <si>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</si>
  <si>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</si>
  <si>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</si>
  <si>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</si>
  <si>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</si>
  <si>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</si>
  <si>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</si>
  <si>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</si>
  <si>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</si>
  <si>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</si>
  <si>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</si>
  <si>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</si>
  <si>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</si>
  <si>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</si>
  <si>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</si>
  <si>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</si>
  <si>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</si>
  <si>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</si>
  <si>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</si>
  <si>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</si>
  <si>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</si>
  <si>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</si>
  <si>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</si>
  <si>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</si>
  <si>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</si>
  <si>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</si>
  <si>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</si>
  <si>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</si>
  <si>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</si>
  <si>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</si>
  <si>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</si>
  <si>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</si>
  <si>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</si>
  <si>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</si>
  <si>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</si>
  <si>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</si>
  <si>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</si>
  <si>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</si>
  <si>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</si>
  <si>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</si>
  <si>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</si>
  <si>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</si>
  <si>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</si>
  <si>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</si>
  <si>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</si>
  <si>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</si>
  <si>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</si>
  <si>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</si>
  <si>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</si>
  <si>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</si>
  <si>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</si>
  <si>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</si>
  <si>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</si>
  <si>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</si>
  <si>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</si>
  <si>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</si>
  <si>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</si>
  <si>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</si>
  <si>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</si>
  <si>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</si>
  <si>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</si>
  <si>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</si>
  <si>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</si>
  <si>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</si>
  <si>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</si>
  <si>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</si>
  <si>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</si>
  <si>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</si>
  <si>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</si>
  <si>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</si>
  <si>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</si>
  <si>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</si>
  <si>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</si>
  <si>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</si>
  <si>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</si>
  <si>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</si>
  <si>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</si>
  <si>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</si>
  <si>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</si>
  <si>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</si>
  <si>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</si>
  <si>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</si>
  <si>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</si>
  <si>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</si>
  <si>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</si>
  <si>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</si>
  <si>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</si>
  <si>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</si>
  <si>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</si>
  <si>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</si>
  <si>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</si>
  <si>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</si>
  <si>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</si>
  <si>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</si>
  <si>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</si>
  <si>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</si>
  <si>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</si>
  <si>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</si>
  <si>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</si>
  <si>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</si>
  <si>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</si>
  <si>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</si>
  <si>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</si>
  <si>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</si>
  <si>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</si>
  <si>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</si>
  <si>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</si>
  <si>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</si>
  <si>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</si>
  <si>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</si>
  <si>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</si>
  <si>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</si>
  <si>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</si>
  <si>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</si>
  <si>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Ver. 11.07.25</t>
  </si>
  <si>
    <t>065908J</t>
  </si>
  <si>
    <t>059078G</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</si>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</sst>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22" fillId="0" borderId="0" xfId="1" applyNumberFormat="1" applyFont="1" applyAlignment="1">
      <alignment horizontal="center"/>
    </xf>
    <xf numFmtId="0" fontId="130" fillId="0" borderId="1" xfId="1" applyFont="1" applyBorder="1"/>
    <xf numFmtId="0" fontId="130"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184" fontId="92" fillId="2" borderId="0" xfId="0" applyNumberFormat="1" applyFont="1" applyFill="1"/>
    <xf numFmtId="0" fontId="126"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6" fillId="15" borderId="14" xfId="0" applyFont="1" applyFill="1" applyBorder="1" applyAlignment="1">
      <alignment horizontal="center"/>
    </xf>
    <xf numFmtId="0" fontId="126"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xf numFmtId="0" fontId="131" fillId="14" borderId="34" xfId="0" applyFont="1" applyFill="1" applyBorder="1"/>
    <xf numFmtId="0" fontId="0" fillId="0" borderId="0" xfId="0" applyBorder="1"/>
    <xf numFmtId="0" fontId="25" fillId="0" borderId="0" xfId="0" applyFont="1" applyBorder="1" applyAlignment="1">
      <alignment horizontal="center"/>
    </xf>
    <xf numFmtId="164" fontId="0" fillId="0" borderId="0" xfId="0" applyNumberFormat="1"/>
    <xf numFmtId="185" fontId="0" fillId="0" borderId="0" xfId="0" applyNumberFormat="1"/>
    <xf numFmtId="0" fontId="0" fillId="0" borderId="0" xfId="0" applyNumberFormat="1"/>
    <xf numFmtId="0" fontId="6" fillId="0" borderId="0" xfId="0" applyFont="1" applyAlignment="1">
      <alignment wrapText="1"/>
    </xf>
    <xf numFmtId="0" fontId="6" fillId="0" borderId="0" xfId="0" applyNumberFormat="1" applyFont="1" applyAlignment="1">
      <alignment wrapText="1"/>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6">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64" formatCode="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border outline="0">
        <bottom style="thick">
          <color theme="0"/>
        </bottom>
      </border>
    </dxf>
    <dxf>
      <numFmt numFmtId="0" formatCode="General"/>
    </dxf>
    <dxf>
      <numFmt numFmtId="0" formatCode="General"/>
    </dxf>
    <dxf>
      <numFmt numFmtId="0" formatCode="General"/>
    </dxf>
    <dxf>
      <numFmt numFmtId="0" formatCode="General"/>
    </dxf>
    <dxf>
      <numFmt numFmtId="2" formatCode="0.00"/>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1"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2"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5"/>
    <tableColumn id="2" xr3:uid="{D07D770F-21F7-425E-8CCA-AA85FFD513A3}" uniqueName="2" name="serial_number" queryTableFieldId="2" dataDxfId="194"/>
    <tableColumn id="3" xr3:uid="{D963BD5C-EE98-4CDD-ABAE-5315BBDA1135}" uniqueName="3" name="asset_tag" queryTableFieldId="3" dataDxfId="193"/>
    <tableColumn id="4" xr3:uid="{44F03B5B-6C09-4D5C-B2E2-D809B4EDF2B0}" uniqueName="4" name="custom_order_number" queryTableFieldId="4" dataDxfId="192"/>
    <tableColumn id="5" xr3:uid="{412A70E1-7452-417E-A3A9-BD3499EBD33C}" uniqueName="5" name="service_date" queryTableFieldId="5" dataDxfId="79"/>
    <tableColumn id="7" xr3:uid="{297A4F29-F6E9-4BD3-A7A2-5F1039480BAE}" uniqueName="7" name="certificate_number" queryTableFieldId="7" dataDxfId="191"/>
    <tableColumn id="6" xr3:uid="{7231074C-78F5-4F41-8E96-7068B6555E6F}" uniqueName="6" name="traceability_number" queryTableFieldId="61"/>
    <tableColumn id="8" xr3:uid="{7C740CB9-37DA-435E-A87E-AF050E31623C}" uniqueName="8" name="wire_roll_cert_number" queryTableFieldId="8" dataDxfId="190"/>
    <tableColumn id="9" xr3:uid="{5B17E9FC-0D68-4EA9-9145-B5DC8FAF5A93}" uniqueName="9" name="type" queryTableFieldId="9" dataDxfId="7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8" tableType="queryTable" totalsRowShown="0">
  <autoFilter ref="A1:C188" xr:uid="{DD841DB9-A242-4050-A7E6-984852778526}"/>
  <tableColumns count="3">
    <tableColumn id="1" xr3:uid="{783036AE-6148-4673-A2B5-A0A0BAA87B07}" uniqueName="1" name="traceability_no" queryTableFieldId="9" dataDxfId="189"/>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8">
  <autoFilter ref="A1:C9" xr:uid="{8AF992F3-27EF-4265-960D-70EC6F74FAFA}"/>
  <sortState xmlns:xlrd2="http://schemas.microsoft.com/office/spreadsheetml/2017/richdata2" ref="A2:C9">
    <sortCondition ref="B1:B9"/>
  </sortState>
  <tableColumns count="3">
    <tableColumn id="1" xr3:uid="{1F7D0D09-7152-4679-B25C-65CF0E0AB2D4}" name="Type" dataDxfId="187"/>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76"/>
    <tableColumn id="2" xr3:uid="{80F1DE28-79AD-483F-A7F0-673E715EECBE}" uniqueName="2" name="reading" queryTableFieldId="2" dataDxfId="74"/>
    <tableColumn id="1" xr3:uid="{B4839395-B86E-4AA6-ADFB-57CDD2F7F61D}" uniqueName="1" name="point" queryTableFieldId="1"/>
    <tableColumn id="3" xr3:uid="{2724CA85-C781-4E38-A0DA-097BFEEFE8B1}" uniqueName="3" name="Temp" queryTableFieldId="3" dataDxfId="75"/>
    <tableColumn id="5" xr3:uid="{D8FBA668-C3CE-41DC-B112-B2663A4558F7}" uniqueName="5" name="Offset" queryTableFieldId="5" dataDxfId="177"/>
    <tableColumn id="4" xr3:uid="{3984E3BA-ECF9-4974-BA1B-4E1212BB2A83}" uniqueName="4" name="AssetTag" queryTableFieldId="8" dataDxfId="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71" headerRowBorderDxfId="72">
  <autoFilter ref="M1:T41" xr:uid="{26B6A9B0-C535-497C-80B0-B1E532DC9DFD}"/>
  <tableColumns count="8">
    <tableColumn id="2" xr3:uid="{AA763339-65AF-434D-A711-61DA35F163AD}" name="Point"/>
    <tableColumn id="3" xr3:uid="{3B356035-E587-4027-87A0-DE8E0B2FE7E1}" name="DaqbookInterp" dataDxfId="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64">
      <calculatedColumnFormula array="1">IF(DaqbookInterp[[#This Row],[Include]],QRound(N2),NA())</calculatedColumnFormula>
    </tableColumn>
    <tableColumn id="5" xr3:uid="{D54F6D03-3723-4E00-912E-150DF9F71E5B}" name="T/C Name" dataDxfId="68">
      <calculatedColumnFormula>IF(DaqbookInterp[[#This Row],[Include]],Main!O5, NA())</calculatedColumnFormula>
    </tableColumn>
    <tableColumn id="6" xr3:uid="{4A823077-65D9-48F8-825F-BAEBD9008EA4}" name="Include" dataDxfId="69">
      <calculatedColumnFormula>NOT(ISBLANK(Main!O5))</calculatedColumnFormula>
    </tableColumn>
    <tableColumn id="7" xr3:uid="{9B0EC045-52DF-4F3C-A037-09C5D494BF52}" name="WireSet" dataDxfId="66">
      <calculatedColumnFormula>LOOKUP(DaqbookInterp[[#This Row],[T/C Name]],WireSNs[])</calculatedColumnFormula>
    </tableColumn>
    <tableColumn id="8" xr3:uid="{FEFB3CF3-C3B5-4AEA-A75C-80F9610E9833}" name="Wire Lot #" dataDxfId="67">
      <calculatedColumnFormula>HLOOKUP(DaqbookInterp[[#This Row],[WireSet]],Main!$D$48:$I$55,8,0)</calculatedColumnFormula>
    </tableColumn>
    <tableColumn id="9" xr3:uid="{C4BC88F4-CA08-4EF4-9C53-A23F32164EA9}" name="TC CF" dataDxfId="65">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6"/>
    <tableColumn id="5" xr3:uid="{27363C9A-3D85-416E-8BCC-52B2C8D77A72}" uniqueName="5" name="Uncert Units" queryTableFieldId="5" dataDxfId="17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7"/>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74">
  <autoFilter ref="A3:C8" xr:uid="{5AC13131-9A1C-4C12-B4F9-A393708ED370}"/>
  <tableColumns count="3">
    <tableColumn id="1" xr3:uid="{97181276-3609-45C8-AD82-B2880A7AEDE4}" name="Min" dataDxfId="173"/>
    <tableColumn id="2" xr3:uid="{FCA9B2A8-03BC-4152-9483-74D5E30011E8}" name="Max" dataDxfId="172"/>
    <tableColumn id="3" xr3:uid="{53EFB432-094F-4AB8-B706-DACB84CFAD58}" name="CMC" dataDxfId="17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7" tableType="queryTable" totalsRowShown="0">
  <autoFilter ref="A1:AK407" xr:uid="{8A28E51F-224F-4F5E-9D3E-A91A5A4DEDFC}"/>
  <tableColumns count="37">
    <tableColumn id="39" xr3:uid="{7AAACA38-72D4-4F11-8664-EC16A2DA6293}" uniqueName="39" name="AssetId" queryTableFieldId="164" dataDxfId="170"/>
    <tableColumn id="40" xr3:uid="{1FD78DD8-6141-4BCC-8B64-71669B160E7A}" uniqueName="40" name="ClientCompanyId" queryTableFieldId="165" dataDxfId="169"/>
    <tableColumn id="41" xr3:uid="{5BCE0CCA-D40E-445A-B69F-BF9E8EC302E6}" uniqueName="41" name="Furnace" queryTableFieldId="166"/>
    <tableColumn id="42" xr3:uid="{FE44BF6E-7160-4F10-BB7C-5C6B8F55C8DB}" uniqueName="42" name="FormNumber" queryTableFieldId="167" dataDxfId="168"/>
    <tableColumn id="43" xr3:uid="{EC576AA5-7F07-4B99-BBD1-C006A3FF4861}" uniqueName="43" name="CalibrationMethod" queryTableFieldId="168" dataDxfId="167"/>
    <tableColumn id="44" xr3:uid="{11784700-CE79-4C3A-B181-67F89C94AC89}" uniqueName="44" name="ToleranceSource" queryTableFieldId="169" dataDxfId="166"/>
    <tableColumn id="45" xr3:uid="{F8D57A3B-9D48-4C00-8E7C-AC29615D88F6}" uniqueName="45" name="Item" queryTableFieldId="170" dataDxfId="16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4"/>
    <tableColumn id="51" xr3:uid="{5B79DBE7-7CAB-41DA-AF62-362ADDE2AED9}" uniqueName="51" name="WorkingZoneSize" queryTableFieldId="176" dataDxfId="16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2"/>
    <tableColumn id="63" xr3:uid="{478884C5-ACFA-42A0-A5A5-3FD7354DF395}" uniqueName="63" name="TestLocation" queryTableFieldId="188" dataDxfId="161"/>
    <tableColumn id="64" xr3:uid="{8742E83A-8953-4A6F-B342-02A544F42A3E}" uniqueName="64" name="OvenLocation" queryTableFieldId="189" dataDxfId="160"/>
    <tableColumn id="65" xr3:uid="{D2C69FD9-EF22-4D46-9BCA-A04DCD92EC4B}" uniqueName="65" name="Condition" queryTableFieldId="190" dataDxfId="15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8"/>
    <tableColumn id="73" xr3:uid="{5C1EA854-4A8F-420A-8A21-EED95DA3A02D}" uniqueName="73" name="LagLimit" queryTableFieldId="198" dataDxfId="157"/>
    <tableColumn id="74" xr3:uid="{E0D578AE-61B1-4F16-BC5A-DF5388800162}" uniqueName="74" name="RecoveryLimit" queryTableFieldId="199" dataDxfId="15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9" tableType="queryTable" totalsRowShown="0">
  <autoFilter ref="A1:M419"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5"/>
    <tableColumn id="8" xr3:uid="{6A970319-4DB4-4470-AD18-810376DE6248}" uniqueName="8" name="Flags" queryTableFieldId="8" dataDxfId="154"/>
    <tableColumn id="10" xr3:uid="{C036645E-37FD-4D8C-A495-9B7CD74F1924}" uniqueName="10" name="TolMinText" queryTableFieldId="10" dataDxfId="153">
      <calculatedColumnFormula>TEXT(UUTRangeTol[[#This Row],[TolMin]],SUBSTITUTE(UUTRangeTol[[#This Row],[TolResolution]],"1","0"))&amp;UUTRangeTol[[#This Row],[Unit]]</calculatedColumnFormula>
    </tableColumn>
    <tableColumn id="11" xr3:uid="{7185F013-BA2C-4D79-99A0-8DCC297E6118}" uniqueName="11" name="TolMaxText" queryTableFieldId="11" dataDxfId="152">
      <calculatedColumnFormula>TEXT(UUTRangeTol[[#This Row],[TolMax]],SUBSTITUTE(UUTRangeTol[[#This Row],[TolResolution]],"1","0"))&amp;UUTRangeTol[[#This Row],[Unit]]</calculatedColumnFormula>
    </tableColumn>
    <tableColumn id="12" xr3:uid="{EE0701A7-578C-482F-B1ED-DBCB9E95A0C6}" uniqueName="12" name="TolText" queryTableFieldId="12" dataDxfId="15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0">
      <calculatedColumnFormula>UUTRangeTol[[#This Row],[RangeMax]]&amp;UUTRangeTol[[#This Row],[Unit]]</calculatedColumnFormula>
    </tableColumn>
    <tableColumn id="14" xr3:uid="{EF348E52-D936-44CC-A058-66DD7A780488}" uniqueName="14" name="RangeText" queryTableFieldId="14" dataDxfId="14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48"/>
    <tableColumn id="2" xr3:uid="{18C84E6F-0395-44B7-82E8-3E3C3338D295}" name="TUS Tol" dataDxfId="147" totalsRowDxfId="146"/>
    <tableColumn id="5" xr3:uid="{DB50C328-B2A6-44C5-853C-318053CB9F8D}" name="SAT Multiplier" dataDxfId="145" totalsRowDxfId="144"/>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3" dataDxfId="142" tableBorderDxfId="141">
  <autoFilter ref="AG2:AS3" xr:uid="{B114758F-16E1-4C54-AA0B-E7F64DE85242}"/>
  <tableColumns count="13">
    <tableColumn id="1" xr3:uid="{0D0312AF-C987-4CC8-97F8-A45434AD138A}" name="Time" dataDxfId="140" dataCellStyle="Normal 3"/>
    <tableColumn id="2" xr3:uid="{E5CD88A1-1988-41C9-8D07-30908E60C0B6}" name="29" dataDxfId="139" dataCellStyle="Normal 3"/>
    <tableColumn id="3" xr3:uid="{52334E52-C590-4A01-82BC-CCC9DA2C2817}" name="30" dataDxfId="138" dataCellStyle="Normal 3"/>
    <tableColumn id="4" xr3:uid="{145DAD22-055B-47E2-958D-C0E0B68ECCC8}" name="31" dataDxfId="137" dataCellStyle="Normal 3"/>
    <tableColumn id="5" xr3:uid="{09C3BF4E-C2AE-4497-AAA2-CF5A8A70B030}" name="32" dataDxfId="136" dataCellStyle="Normal 3"/>
    <tableColumn id="6" xr3:uid="{E9F444F5-7F75-4B80-BC2D-E9E92BB7C32D}" name="33" dataDxfId="135" dataCellStyle="Normal 3"/>
    <tableColumn id="7" xr3:uid="{C42F56B6-C38E-41DC-811A-50AF69D04B80}" name="34" dataDxfId="134" dataCellStyle="Normal 3"/>
    <tableColumn id="8" xr3:uid="{1930235F-D2C0-482D-8CC0-6B3AC765E7EA}" name="35" dataDxfId="133" dataCellStyle="Normal 3"/>
    <tableColumn id="9" xr3:uid="{6FCF613B-A86F-4DC6-9CC5-0A1E44E3DFE0}" name="36" dataDxfId="132" dataCellStyle="Normal 3"/>
    <tableColumn id="10" xr3:uid="{19EA3429-FD7E-4BA0-96B7-70F520D9FE0F}" name="37" dataDxfId="131" dataCellStyle="Normal 3"/>
    <tableColumn id="11" xr3:uid="{A5D0DAE1-1017-4DE3-AEA6-1BAF97E0FBDC}" name="38" dataDxfId="130" dataCellStyle="Normal 3"/>
    <tableColumn id="12" xr3:uid="{ABC8E507-1120-436F-9E9F-E3A8852E2E1A}" name="39" dataDxfId="129"/>
    <tableColumn id="13" xr3:uid="{C69AC669-10C2-4E64-9F60-B4AA135FB3DF}" name="40" dataDxfId="128"/>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7" tableBorderDxfId="126">
  <autoFilter ref="Q2:AE3" xr:uid="{6D9D14EA-1966-4240-9028-DABDD72BB7BC}"/>
  <tableColumns count="15">
    <tableColumn id="1" xr3:uid="{F199066A-0899-4173-8784-FC618D5EFA3C}" name="Time" dataDxfId="125" dataCellStyle="Normal 3"/>
    <tableColumn id="2" xr3:uid="{DB040280-BEC7-49AA-A925-A050027B33E3}" name="15" dataDxfId="124" dataCellStyle="Normal 3"/>
    <tableColumn id="3" xr3:uid="{5D74EEBF-1FB4-4DF9-8EDD-C656F929ADA2}" name="16" dataDxfId="123" dataCellStyle="Normal 3"/>
    <tableColumn id="4" xr3:uid="{B1176DF8-22B4-4741-A534-22D0C72EF1F0}" name="17" dataDxfId="122" dataCellStyle="Normal 3"/>
    <tableColumn id="5" xr3:uid="{1E29EA65-5182-4B3E-817F-0D30B2884EC7}" name="18" dataDxfId="121" dataCellStyle="Normal 3"/>
    <tableColumn id="6" xr3:uid="{AF53AEFB-F310-4F08-91BC-82FB0F484ECA}" name="19" dataDxfId="120" dataCellStyle="Normal 3"/>
    <tableColumn id="7" xr3:uid="{EE472F61-D1B5-43CF-A661-FA1D47001C17}" name="20" dataDxfId="119" dataCellStyle="Normal 3"/>
    <tableColumn id="8" xr3:uid="{841D54C1-AB74-4CB1-8C7F-C38D11EFAD3F}" name="21" dataDxfId="118" dataCellStyle="Normal 3"/>
    <tableColumn id="9" xr3:uid="{F1FB485B-DEAA-4958-8C40-80934EA1437F}" name="22" dataDxfId="117" dataCellStyle="Normal 3"/>
    <tableColumn id="10" xr3:uid="{5C552A76-BD54-46C5-93AD-8F25289FA051}" name="23" dataDxfId="116" dataCellStyle="Normal 3"/>
    <tableColumn id="11" xr3:uid="{B20FA5F1-0522-49D0-9B5A-34570A8AE6EA}" name="24" dataDxfId="115" dataCellStyle="Normal 3"/>
    <tableColumn id="12" xr3:uid="{0BC87A98-B9AC-4CD6-9F9B-D04190073E2A}" name="25" dataDxfId="114"/>
    <tableColumn id="13" xr3:uid="{D62EA80B-BBE3-4A29-89AB-EE04C6E03547}" name="26" dataDxfId="113"/>
    <tableColumn id="14" xr3:uid="{6D7DE537-763F-40F1-AC16-33F228CBC8D1}" name="27" dataDxfId="112"/>
    <tableColumn id="15" xr3:uid="{F8FA9620-DB21-4BAE-8D97-FF38B70679C9}" name="28" dataDxfId="11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0" dataDxfId="109" tableBorderDxfId="108">
  <autoFilter ref="A2:O3" xr:uid="{73A9D9BA-FF58-4A3F-98F7-9A835492E25D}"/>
  <tableColumns count="15">
    <tableColumn id="1" xr3:uid="{73B888B4-4146-4E26-9B39-0FC537A113C8}" name="Time" dataDxfId="107" dataCellStyle="Normal 3"/>
    <tableColumn id="2" xr3:uid="{6F1EF879-7C87-4A56-A394-30C6E5BDB32A}" name="1" dataDxfId="106" dataCellStyle="Normal 3"/>
    <tableColumn id="3" xr3:uid="{B2FA8A6A-D50A-41E8-942A-379C757B6A2B}" name="2" dataDxfId="105" dataCellStyle="Normal 3"/>
    <tableColumn id="4" xr3:uid="{F92FE975-D84B-4B73-B49D-3B746FAA3D21}" name="3" dataDxfId="104" dataCellStyle="Normal 3"/>
    <tableColumn id="5" xr3:uid="{7820E0E9-F621-4361-A572-234B3CB7F864}" name="4" dataDxfId="103" dataCellStyle="Normal 3"/>
    <tableColumn id="6" xr3:uid="{A46C0BCA-2139-4CD3-B02F-C4D3F8E65309}" name="5" dataDxfId="102" dataCellStyle="Normal 3"/>
    <tableColumn id="7" xr3:uid="{334BDF50-1D79-41BC-BA09-7B69018332AE}" name="6" dataDxfId="101" dataCellStyle="Normal 3"/>
    <tableColumn id="8" xr3:uid="{6C11BC6A-3E21-4CDE-9CD4-C8EBCF50B6DB}" name="7" dataDxfId="100" dataCellStyle="Normal 3"/>
    <tableColumn id="9" xr3:uid="{1EEEA607-5177-4C19-A1BC-B12D19FF055B}" name="8" dataDxfId="99" dataCellStyle="Normal 3"/>
    <tableColumn id="10" xr3:uid="{ACF909CE-C221-4157-9298-18F2C140C147}" name="9" dataDxfId="98" dataCellStyle="Normal 3"/>
    <tableColumn id="11" xr3:uid="{182688D3-AD0D-4518-A7FE-0C281ABCDF76}" name="10" dataDxfId="97" dataCellStyle="Normal 3"/>
    <tableColumn id="12" xr3:uid="{54AFFA30-00C2-440A-92A2-139F62F751BE}" name="11" dataDxfId="96"/>
    <tableColumn id="13" xr3:uid="{DCF0B43C-F320-4031-91C6-8514285AF6CA}" name="12" dataDxfId="95"/>
    <tableColumn id="14" xr3:uid="{53A56FC8-0536-4D94-A335-FFCBCBEAF45E}" name="13" dataDxfId="94"/>
    <tableColumn id="15" xr3:uid="{F49FEB6E-05C2-4E90-A6CE-A0C9C694642A}" name="14" dataDxfId="93"/>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92" dataDxfId="91">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90"/>
    <tableColumn id="3" xr3:uid="{5F5E8FED-27C7-498A-86F2-8DE1BF0A773A}" uniqueName="3" name="Address2" queryTableFieldId="82" dataDxfId="8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8"/>
    <tableColumn id="15" xr3:uid="{806049C8-25E1-4EB2-AF25-C8D85CBE6DFA}" uniqueName="15" name="company_id" queryTableFieldId="9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1" tableType="queryTable" totalsRowShown="0" headerRowDxfId="87" dataDxfId="86">
  <autoFilter ref="A1:R61"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3" dataDxfId="82" headerRowCellStyle="Normal 2" dataCellStyle="Normal 2">
  <autoFilter ref="U11:V25" xr:uid="{DCCFF26E-EC5C-4962-98DB-A7DA1F3C8CE2}"/>
  <tableColumns count="2">
    <tableColumn id="1" xr3:uid="{DFC40837-B092-4826-9847-4A23BE22020F}" name="4" dataDxfId="81" dataCellStyle="Normal 2"/>
    <tableColumn id="2" xr3:uid="{0711DB07-19DA-4D5E-A417-C242A0304453}" name="10" dataDxfId="8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7.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9.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8.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67"/>
      <c r="F2"/>
      <c r="G2"/>
      <c r="H2"/>
      <c r="I2" s="73"/>
    </row>
    <row r="3" spans="1:9" x14ac:dyDescent="0.2">
      <c r="A3"/>
      <c r="B3"/>
      <c r="C3"/>
      <c r="D3"/>
      <c r="E3" s="467"/>
      <c r="F3"/>
      <c r="G3"/>
      <c r="H3"/>
      <c r="I3" s="73"/>
    </row>
    <row r="4" spans="1:9" x14ac:dyDescent="0.2">
      <c r="A4"/>
      <c r="B4"/>
      <c r="C4"/>
      <c r="D4"/>
      <c r="E4" s="467"/>
      <c r="F4"/>
      <c r="G4"/>
      <c r="H4"/>
      <c r="I4" s="73"/>
    </row>
    <row r="5" spans="1:9" x14ac:dyDescent="0.2">
      <c r="A5"/>
      <c r="B5"/>
      <c r="C5"/>
      <c r="D5"/>
      <c r="E5" s="467"/>
      <c r="F5"/>
      <c r="G5"/>
      <c r="H5"/>
      <c r="I5" s="73"/>
    </row>
    <row r="6" spans="1:9" x14ac:dyDescent="0.2">
      <c r="A6"/>
      <c r="B6"/>
      <c r="C6"/>
      <c r="D6"/>
      <c r="E6" s="467"/>
      <c r="F6"/>
      <c r="G6"/>
      <c r="H6"/>
      <c r="I6" s="73"/>
    </row>
    <row r="7" spans="1:9" x14ac:dyDescent="0.2">
      <c r="A7"/>
      <c r="B7"/>
      <c r="C7"/>
      <c r="D7"/>
      <c r="E7" s="467"/>
      <c r="F7"/>
      <c r="G7"/>
      <c r="H7"/>
      <c r="I7" s="73"/>
    </row>
    <row r="8" spans="1:9" x14ac:dyDescent="0.2">
      <c r="A8"/>
      <c r="B8"/>
      <c r="C8"/>
      <c r="D8"/>
      <c r="E8" s="467"/>
      <c r="F8"/>
      <c r="G8"/>
      <c r="H8"/>
      <c r="I8" s="73"/>
    </row>
    <row r="9" spans="1:9" x14ac:dyDescent="0.2">
      <c r="A9"/>
      <c r="B9"/>
      <c r="C9"/>
      <c r="D9"/>
      <c r="E9" s="467"/>
      <c r="F9"/>
      <c r="G9"/>
      <c r="H9"/>
      <c r="I9" s="73"/>
    </row>
    <row r="10" spans="1:9" x14ac:dyDescent="0.2">
      <c r="A10"/>
      <c r="B10"/>
      <c r="C10"/>
      <c r="D10"/>
      <c r="E10" s="467"/>
      <c r="F10"/>
      <c r="G10"/>
      <c r="H10"/>
      <c r="I10" s="73"/>
    </row>
    <row r="11" spans="1:9" x14ac:dyDescent="0.2">
      <c r="A11"/>
      <c r="B11"/>
      <c r="C11"/>
      <c r="D11"/>
      <c r="E11" s="467"/>
      <c r="F11"/>
      <c r="G11"/>
      <c r="H11"/>
      <c r="I11" s="73"/>
    </row>
    <row r="12" spans="1:9" x14ac:dyDescent="0.2">
      <c r="A12"/>
      <c r="B12"/>
      <c r="C12"/>
      <c r="D12"/>
      <c r="E12" s="467"/>
      <c r="F12"/>
      <c r="G12"/>
      <c r="H12"/>
      <c r="I12" s="73"/>
    </row>
    <row r="13" spans="1:9" x14ac:dyDescent="0.2">
      <c r="A13"/>
      <c r="B13"/>
      <c r="C13"/>
      <c r="D13"/>
      <c r="E13" s="467"/>
      <c r="F13"/>
      <c r="G13"/>
      <c r="H13"/>
      <c r="I13" s="73"/>
    </row>
    <row r="14" spans="1:9" x14ac:dyDescent="0.2">
      <c r="A14"/>
      <c r="B14"/>
      <c r="C14"/>
      <c r="D14"/>
      <c r="E14" s="467"/>
      <c r="F14"/>
      <c r="G14"/>
      <c r="H14"/>
      <c r="I14" s="73"/>
    </row>
    <row r="15" spans="1:9" x14ac:dyDescent="0.2">
      <c r="A15"/>
      <c r="B15"/>
      <c r="C15"/>
      <c r="D15"/>
      <c r="E15" s="467"/>
      <c r="F15"/>
      <c r="G15"/>
      <c r="H15"/>
      <c r="I15" s="73"/>
    </row>
    <row r="16" spans="1:9" x14ac:dyDescent="0.2">
      <c r="A16"/>
      <c r="B16"/>
      <c r="C16"/>
      <c r="D16"/>
      <c r="E16" s="467"/>
      <c r="F16"/>
      <c r="G16"/>
      <c r="H16"/>
      <c r="I16" s="73"/>
    </row>
    <row r="17" spans="1:9" x14ac:dyDescent="0.2">
      <c r="A17"/>
      <c r="B17"/>
      <c r="C17"/>
      <c r="D17"/>
      <c r="E17" s="467"/>
      <c r="F17"/>
      <c r="G17"/>
      <c r="H17"/>
      <c r="I17" s="73"/>
    </row>
    <row r="18" spans="1:9" x14ac:dyDescent="0.2">
      <c r="A18"/>
      <c r="B18"/>
      <c r="C18"/>
      <c r="D18"/>
      <c r="E18" s="467"/>
      <c r="F18"/>
      <c r="G18"/>
      <c r="H18"/>
      <c r="I18" s="73"/>
    </row>
    <row r="19" spans="1:9" x14ac:dyDescent="0.2">
      <c r="A19"/>
      <c r="B19"/>
      <c r="C19"/>
      <c r="D19"/>
      <c r="E19" s="467"/>
      <c r="F19"/>
      <c r="G19"/>
      <c r="H19"/>
      <c r="I19" s="73"/>
    </row>
    <row r="20" spans="1:9" x14ac:dyDescent="0.2">
      <c r="A20"/>
      <c r="B20"/>
      <c r="C20"/>
      <c r="D20"/>
      <c r="E20" s="467"/>
      <c r="F20"/>
      <c r="G20"/>
      <c r="H20"/>
      <c r="I20" s="73"/>
    </row>
    <row r="21" spans="1:9" x14ac:dyDescent="0.2">
      <c r="A21"/>
      <c r="B21"/>
      <c r="C21"/>
      <c r="D21"/>
      <c r="E21" s="467"/>
      <c r="F21"/>
      <c r="G21"/>
      <c r="H21"/>
      <c r="I21" s="73"/>
    </row>
    <row r="22" spans="1:9" x14ac:dyDescent="0.2">
      <c r="A22"/>
      <c r="B22"/>
      <c r="C22"/>
      <c r="D22"/>
      <c r="E22" s="467"/>
      <c r="F22"/>
      <c r="G22"/>
      <c r="H22"/>
      <c r="I22" s="73"/>
    </row>
    <row r="23" spans="1:9" x14ac:dyDescent="0.2">
      <c r="A23"/>
      <c r="B23"/>
      <c r="C23"/>
      <c r="D23"/>
      <c r="E23" s="467"/>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88"/>
  <sheetViews>
    <sheetView workbookViewId="0">
      <selection activeCell="H2" sqref="H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38">_xlfn._xlws.SORT(_xlfn.UNIQUE(AllWireOffsets[traceability_no]))</f>
        <v>047655B</v>
      </c>
      <c r="G2" t="str" cm="1">
        <f t="array" ref="G2:G7">TRANSPOSE(WireLotNos)</f>
        <v>059078G</v>
      </c>
      <c r="H2" t="e" c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#N/A</v>
      </c>
    </row>
    <row r="3" spans="1:8" x14ac:dyDescent="0.2">
      <c r="A3"/>
      <c r="B3"/>
      <c r="C3"/>
      <c r="E3" t="str">
        <v>049787R</v>
      </c>
      <c r="G3" t="str">
        <v>065908J</v>
      </c>
      <c r="H3" t="e" c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#N/A</v>
      </c>
    </row>
    <row r="4" spans="1:8" x14ac:dyDescent="0.2">
      <c r="A4"/>
      <c r="B4"/>
      <c r="C4"/>
      <c r="E4" t="str">
        <v>059078F</v>
      </c>
      <c r="G4" t="str">
        <v/>
      </c>
    </row>
    <row r="5" spans="1:8" x14ac:dyDescent="0.2">
      <c r="A5"/>
      <c r="B5"/>
      <c r="C5"/>
      <c r="E5" t="str">
        <v>059078G</v>
      </c>
      <c r="G5" t="str">
        <v/>
      </c>
    </row>
    <row r="6" spans="1:8" x14ac:dyDescent="0.2">
      <c r="A6"/>
      <c r="B6"/>
      <c r="C6"/>
      <c r="E6" t="str">
        <v>061486E</v>
      </c>
      <c r="G6" t="str">
        <v/>
      </c>
    </row>
    <row r="7" spans="1:8" x14ac:dyDescent="0.2">
      <c r="A7"/>
      <c r="B7"/>
      <c r="C7"/>
      <c r="E7" t="str">
        <v>065908H</v>
      </c>
      <c r="G7" t="str">
        <v/>
      </c>
    </row>
    <row r="8" spans="1:8" x14ac:dyDescent="0.2">
      <c r="A8"/>
      <c r="B8"/>
      <c r="C8"/>
      <c r="E8" t="str">
        <v>065908I</v>
      </c>
    </row>
    <row r="9" spans="1:8" x14ac:dyDescent="0.2">
      <c r="A9"/>
      <c r="B9"/>
      <c r="C9"/>
      <c r="E9" t="str">
        <v>065908J</v>
      </c>
    </row>
    <row r="10" spans="1:8" x14ac:dyDescent="0.2">
      <c r="A10"/>
      <c r="B10"/>
      <c r="C10"/>
      <c r="E10" t="str">
        <v>065908K</v>
      </c>
    </row>
    <row r="11" spans="1:8" x14ac:dyDescent="0.2">
      <c r="A11"/>
      <c r="B11"/>
      <c r="C11"/>
      <c r="E11" t="str">
        <v>065908L</v>
      </c>
    </row>
    <row r="12" spans="1:8" x14ac:dyDescent="0.2">
      <c r="A12"/>
      <c r="B12"/>
      <c r="C12"/>
      <c r="E12" t="str">
        <v>065908M</v>
      </c>
    </row>
    <row r="13" spans="1:8" x14ac:dyDescent="0.2">
      <c r="A13"/>
      <c r="B13"/>
      <c r="C13"/>
      <c r="E13" t="str">
        <v>065908N</v>
      </c>
    </row>
    <row r="14" spans="1:8" x14ac:dyDescent="0.2">
      <c r="A14"/>
      <c r="B14"/>
      <c r="C14"/>
      <c r="E14" t="str">
        <v>065908O</v>
      </c>
    </row>
    <row r="15" spans="1:8" x14ac:dyDescent="0.2">
      <c r="A15"/>
      <c r="B15"/>
      <c r="C15"/>
      <c r="E15" t="str">
        <v>065908P</v>
      </c>
    </row>
    <row r="16" spans="1:8" x14ac:dyDescent="0.2">
      <c r="A16"/>
      <c r="B16"/>
      <c r="C16"/>
      <c r="E16" t="str">
        <v>065908Q</v>
      </c>
      <c r="G16" s="37"/>
    </row>
    <row r="17" spans="1:7" x14ac:dyDescent="0.2">
      <c r="A17"/>
      <c r="B17"/>
      <c r="C17"/>
      <c r="E17" t="str">
        <v>065908R</v>
      </c>
      <c r="G17" s="37"/>
    </row>
    <row r="18" spans="1:7" x14ac:dyDescent="0.2">
      <c r="A18"/>
      <c r="B18"/>
      <c r="C18"/>
      <c r="E18" t="str">
        <v>065908S</v>
      </c>
    </row>
    <row r="19" spans="1:7" x14ac:dyDescent="0.2">
      <c r="A19"/>
      <c r="B19"/>
      <c r="C19"/>
      <c r="E19" t="str">
        <v>069220A</v>
      </c>
    </row>
    <row r="20" spans="1:7" x14ac:dyDescent="0.2">
      <c r="A20"/>
      <c r="B20"/>
      <c r="C20"/>
      <c r="E20" t="str">
        <v>069220B</v>
      </c>
      <c r="G20" s="37"/>
    </row>
    <row r="21" spans="1:7" x14ac:dyDescent="0.2">
      <c r="A21"/>
      <c r="B21"/>
      <c r="C21"/>
      <c r="E21" t="str">
        <v>069220C</v>
      </c>
    </row>
    <row r="22" spans="1:7" x14ac:dyDescent="0.2">
      <c r="A22"/>
      <c r="B22"/>
      <c r="C22"/>
      <c r="E22" t="str">
        <v>069220D</v>
      </c>
    </row>
    <row r="23" spans="1:7" x14ac:dyDescent="0.2">
      <c r="A23"/>
      <c r="B23"/>
      <c r="C23"/>
      <c r="E23" t="str">
        <v>069220E</v>
      </c>
    </row>
    <row r="24" spans="1:7" x14ac:dyDescent="0.2">
      <c r="A24"/>
      <c r="B24"/>
      <c r="C24"/>
      <c r="E24" t="str">
        <v>069220F</v>
      </c>
    </row>
    <row r="25" spans="1:7" x14ac:dyDescent="0.2">
      <c r="A25"/>
      <c r="B25"/>
      <c r="C25"/>
      <c r="E25" t="str">
        <v>069220G</v>
      </c>
    </row>
    <row r="26" spans="1:7" x14ac:dyDescent="0.2">
      <c r="A26"/>
      <c r="B26"/>
      <c r="C26"/>
      <c r="E26" t="str">
        <v>069220H</v>
      </c>
    </row>
    <row r="27" spans="1:7" x14ac:dyDescent="0.2">
      <c r="A27"/>
      <c r="B27"/>
      <c r="C27"/>
      <c r="E27" t="str">
        <v>072513B</v>
      </c>
    </row>
    <row r="28" spans="1:7" x14ac:dyDescent="0.2">
      <c r="A28"/>
      <c r="B28"/>
      <c r="C28"/>
      <c r="E28" t="str">
        <v>072513C</v>
      </c>
    </row>
    <row r="29" spans="1:7" x14ac:dyDescent="0.2">
      <c r="A29"/>
      <c r="B29"/>
      <c r="C29"/>
      <c r="E29" t="str">
        <v>072513D</v>
      </c>
    </row>
    <row r="30" spans="1:7" x14ac:dyDescent="0.2">
      <c r="A30"/>
      <c r="B30"/>
      <c r="C30"/>
      <c r="E30" t="str">
        <v>072513E</v>
      </c>
    </row>
    <row r="31" spans="1:7" x14ac:dyDescent="0.2">
      <c r="A31"/>
      <c r="B31"/>
      <c r="C31"/>
      <c r="E31" t="str">
        <v>072513F</v>
      </c>
    </row>
    <row r="32" spans="1:7" x14ac:dyDescent="0.2">
      <c r="A32"/>
      <c r="B32"/>
      <c r="C32"/>
      <c r="E32" t="str">
        <v>072513I</v>
      </c>
    </row>
    <row r="33" spans="1:5" x14ac:dyDescent="0.2">
      <c r="A33"/>
      <c r="B33"/>
      <c r="C33"/>
      <c r="E33" t="str">
        <v>072513K</v>
      </c>
    </row>
    <row r="34" spans="1:5" x14ac:dyDescent="0.2">
      <c r="A34"/>
      <c r="B34"/>
      <c r="C34"/>
      <c r="E34" t="str">
        <v>072513L</v>
      </c>
    </row>
    <row r="35" spans="1:5" x14ac:dyDescent="0.2">
      <c r="A35"/>
      <c r="B35"/>
      <c r="C35"/>
      <c r="E35" t="str">
        <v>072513M</v>
      </c>
    </row>
    <row r="36" spans="1:5" x14ac:dyDescent="0.2">
      <c r="A36"/>
      <c r="B36"/>
      <c r="C36"/>
      <c r="E36" t="str">
        <v>072513N</v>
      </c>
    </row>
    <row r="37" spans="1:5" x14ac:dyDescent="0.2">
      <c r="A37"/>
      <c r="B37"/>
      <c r="C37"/>
      <c r="E37" t="str">
        <v>074618A</v>
      </c>
    </row>
    <row r="38" spans="1:5" x14ac:dyDescent="0.2">
      <c r="A38"/>
      <c r="B38"/>
      <c r="C38"/>
      <c r="E38" t="str">
        <v>074618B</v>
      </c>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bOINQpEQ4PvyA7ladn7yctitqOWuug10CwUGTGjrLTVFdenUzSwce8FIhtyD/SVXuzoj46pM1rHQ+hn9PYKfvQ==" saltValue="9J8IgnvEJC8j1KroybF0i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ZcDygleLZzJiJE7DOBGFZe4NDwqTIGLbdvZcLG9h+WtWaTkhIxe2f76Ib4+H/55PLsnLPZ2AsrTH+pJjmqS3tw==" saltValue="Lk3GpjFtcffsQl7S8cvaz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W41"/>
  <sheetViews>
    <sheetView workbookViewId="0">
      <selection activeCell="K4" sqref="K4"/>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3" x14ac:dyDescent="0.2">
      <c r="A1" s="37"/>
      <c r="B1" s="37"/>
      <c r="C1" s="37"/>
      <c r="D1" s="37"/>
      <c r="E1" s="37" t="s">
        <v>909</v>
      </c>
      <c r="F1" s="37" t="s">
        <v>266</v>
      </c>
      <c r="G1" s="37" t="s">
        <v>267</v>
      </c>
      <c r="H1" s="37" t="s">
        <v>912</v>
      </c>
      <c r="J1" s="494" t="s">
        <v>907</v>
      </c>
      <c r="K1" s="495"/>
      <c r="M1" s="427" t="s">
        <v>902</v>
      </c>
      <c r="N1" s="428" t="s">
        <v>906</v>
      </c>
      <c r="O1" s="428" t="s">
        <v>897</v>
      </c>
      <c r="P1" s="428" t="s">
        <v>14</v>
      </c>
      <c r="Q1" s="486" t="s">
        <v>962</v>
      </c>
      <c r="R1" s="486" t="s">
        <v>266</v>
      </c>
      <c r="S1" s="486" t="s">
        <v>267</v>
      </c>
      <c r="T1" s="486" t="s">
        <v>963</v>
      </c>
      <c r="V1" s="37"/>
      <c r="W1" s="37"/>
    </row>
    <row r="2" spans="1:23" x14ac:dyDescent="0.2">
      <c r="A2" s="416"/>
      <c r="J2" s="430" t="s">
        <v>903</v>
      </c>
      <c r="K2" s="431">
        <f>COUNTIF(Survey[TestPoint],"&lt;=5")-1</f>
        <v>-1</v>
      </c>
      <c r="M2" s="137">
        <v>1</v>
      </c>
      <c r="N2" t="str" cm="1">
        <f t="array" ref="N2">_xlfn.TEXTJOIN("; ", TRUE, IF(Alerts[[#This Row],[Dropped]],"DROPPED",""),
    IF(Alerts[[#This Row],[High]:[Out Of Tolerance]] &lt;&gt; "",
        Alerts[[#Headers],[High]:[Out Of Tolerance]],
        "")
)</f>
        <v>DROPPED</v>
      </c>
      <c r="O2" t="e" cm="1">
        <f t="array" ref="O2">_xlfn.XLOOKUP(1,
  (Survey[TestPoint]=Alerts[[#This Row],[TestPoint]])*(Survey[Time]=--Alerts[[#This Row],[Time]]),
  Survey[RawTemp],
  "")</f>
        <v>#VALUE!</v>
      </c>
      <c r="P2" s="416" t="str">
        <f>IFERROR(IF(OR(Alerts[[#This Row],[High]],Alerts[[#This Row],[Low]]),VALUE(Alerts[[#This Row],[High]]&amp;Alerts[[#This Row],[Low]]),Alerts[[#This Row],[Out Of Tolerance]]),"")</f>
        <v/>
      </c>
      <c r="Q2" t="b">
        <f>IF(
  Main!O5 = "",
  FALSE,
  COUNTIF(Survey[TestPoint], Alerts[[#This Row],[TestPoint]]) = 0
)</f>
        <v>1</v>
      </c>
      <c r="R2" s="416" t="str" cm="1">
        <f t="array" ref="R2">_xlfn.XLOOKUP(1,
  (Survey[TestPoint]=Alerts[[#This Row],[TestPoint]])*Survey[High],
  Survey[Time],
  "")</f>
        <v/>
      </c>
      <c r="S2" s="416" t="str" cm="1">
        <f t="array" ref="S2">_xlfn.XLOOKUP(1,
  (Survey[TestPoint]=Alerts[[#This Row],[TestPoint]])*Survey[Low],
  Survey[Time],
  "")</f>
        <v/>
      </c>
      <c r="T2" s="416" t="str" cm="1">
        <f t="array" ref="T2">_xlfn.XLOOKUP(1,
  (Survey[TestPoint]=Alerts[[#This Row],[TestPoint]])*Survey[OutOfTolerance],
  Survey[Time],
  "")</f>
        <v/>
      </c>
    </row>
    <row r="3" spans="1:23" x14ac:dyDescent="0.2">
      <c r="J3" s="436" t="s">
        <v>910</v>
      </c>
      <c r="K3" s="437">
        <f>IFERROR(_xlfn.T.INV.2T(1-0.9545, DoF),2)</f>
        <v>2</v>
      </c>
      <c r="M3" s="137">
        <v>2</v>
      </c>
      <c r="N3" t="str" cm="1">
        <f t="array" ref="N3">_xlfn.TEXTJOIN("; ", TRUE, IF(Alerts[[#This Row],[Dropped]],"DROPPED",""),
    IF(Alerts[[#This Row],[High]:[Out Of Tolerance]] &lt;&gt; "",
        Alerts[[#Headers],[High]:[Out Of Tolerance]],
        "")
)</f>
        <v>DROPPED</v>
      </c>
      <c r="O3" t="e" cm="1">
        <f t="array" ref="O3">_xlfn.XLOOKUP(1,
  (Survey[TestPoint]=Alerts[[#This Row],[TestPoint]])*(Survey[Time]=--Alerts[[#This Row],[Time]]),
  Survey[RawTemp],
  "")</f>
        <v>#VALUE!</v>
      </c>
      <c r="P3" s="416" t="str">
        <f>IFERROR(IF(OR(Alerts[[#This Row],[High]],Alerts[[#This Row],[Low]]),VALUE(Alerts[[#This Row],[High]]&amp;Alerts[[#This Row],[Low]]),Alerts[[#This Row],[Out Of Tolerance]]),"")</f>
        <v/>
      </c>
      <c r="Q3" t="b">
        <f>IF(
  Main!O6 = "",
  FALSE,
  COUNTIF(Survey[TestPoint], Alerts[[#This Row],[TestPoint]]) = 0
)</f>
        <v>1</v>
      </c>
      <c r="R3" s="416" t="str" cm="1">
        <f t="array" ref="R3">_xlfn.XLOOKUP(1,
  (Survey[TestPoint]=Alerts[[#This Row],[TestPoint]])*Survey[High],
  Survey[Time],
  "")</f>
        <v/>
      </c>
      <c r="S3" s="416" t="str" cm="1">
        <f t="array" ref="S3">_xlfn.XLOOKUP(1,
  (Survey[TestPoint]=Alerts[[#This Row],[TestPoint]])*Survey[Low],
  Survey[Time],
  "")</f>
        <v/>
      </c>
      <c r="T3" s="416" t="str" cm="1">
        <f t="array" ref="T3">_xlfn.XLOOKUP(1,
  (Survey[TestPoint]=Alerts[[#This Row],[TestPoint]])*Survey[OutOfTolerance],
  Survey[Time],
  "")</f>
        <v/>
      </c>
    </row>
    <row r="4" spans="1:23" x14ac:dyDescent="0.2">
      <c r="J4" s="432" t="s">
        <v>914</v>
      </c>
      <c r="K4" s="433" cm="1">
        <f t="array" ref="K4">SUM(_xlfn._xlws.FILTER(Survey[Deviations],Survey[TestPoint]&lt;=5)^2)/DoF</f>
        <v>0</v>
      </c>
      <c r="M4" s="137">
        <v>3</v>
      </c>
      <c r="N4" t="str" cm="1">
        <f t="array" ref="N4">_xlfn.TEXTJOIN("; ", TRUE, IF(Alerts[[#This Row],[Dropped]],"DROPPED",""),
    IF(Alerts[[#This Row],[High]:[Out Of Tolerance]] &lt;&gt; "",
        Alerts[[#Headers],[High]:[Out Of Tolerance]],
        "")
)</f>
        <v>DROPPED</v>
      </c>
      <c r="O4" t="e" cm="1">
        <f t="array" ref="O4">_xlfn.XLOOKUP(1,
  (Survey[TestPoint]=Alerts[[#This Row],[TestPoint]])*(Survey[Time]=--Alerts[[#This Row],[Time]]),
  Survey[RawTemp],
  "")</f>
        <v>#VALUE!</v>
      </c>
      <c r="P4" s="416" t="str">
        <f>IFERROR(IF(OR(Alerts[[#This Row],[High]],Alerts[[#This Row],[Low]]),VALUE(Alerts[[#This Row],[High]]&amp;Alerts[[#This Row],[Low]]),Alerts[[#This Row],[Out Of Tolerance]]),"")</f>
        <v/>
      </c>
      <c r="Q4" t="b">
        <f>IF(
  Main!O7 = "",
  FALSE,
  COUNTIF(Survey[TestPoint], Alerts[[#This Row],[TestPoint]]) = 0
)</f>
        <v>1</v>
      </c>
      <c r="R4" s="416" t="str" cm="1">
        <f t="array" ref="R4">_xlfn.XLOOKUP(1,
  (Survey[TestPoint]=Alerts[[#This Row],[TestPoint]])*Survey[High],
  Survey[Time],
  "")</f>
        <v/>
      </c>
      <c r="S4" s="416" t="str" cm="1">
        <f t="array" ref="S4">_xlfn.XLOOKUP(1,
  (Survey[TestPoint]=Alerts[[#This Row],[TestPoint]])*Survey[Low],
  Survey[Time],
  "")</f>
        <v/>
      </c>
      <c r="T4" s="416" t="str" cm="1">
        <f t="array" ref="T4">_xlfn.XLOOKUP(1,
  (Survey[TestPoint]=Alerts[[#This Row],[TestPoint]])*Survey[OutOfTolerance],
  Survey[Time],
  "")</f>
        <v/>
      </c>
    </row>
    <row r="5" spans="1:23" x14ac:dyDescent="0.2">
      <c r="J5" s="436" t="s">
        <v>915</v>
      </c>
      <c r="K5" s="438" cm="1">
        <f t="array" ref="K5">VLOOKUP(NominalTemp,_xlfn._xlws.FILTER(MUG[],MUG[Meas Units]="°F"),8,TRUE)</f>
        <v>0.66776102980616914</v>
      </c>
      <c r="M5" s="137">
        <v>4</v>
      </c>
      <c r="N5" t="str" cm="1">
        <f t="array" ref="N5">_xlfn.TEXTJOIN("; ", TRUE, IF(Alerts[[#This Row],[Dropped]],"DROPPED",""),
    IF(Alerts[[#This Row],[High]:[Out Of Tolerance]] &lt;&gt; "",
        Alerts[[#Headers],[High]:[Out Of Tolerance]],
        "")
)</f>
        <v>DROPPED</v>
      </c>
      <c r="O5" t="e" cm="1">
        <f t="array" ref="O5">_xlfn.XLOOKUP(1,
  (Survey[TestPoint]=Alerts[[#This Row],[TestPoint]])*(Survey[Time]=--Alerts[[#This Row],[Time]]),
  Survey[RawTemp],
  "")</f>
        <v>#VALUE!</v>
      </c>
      <c r="P5" s="416" t="str">
        <f>IFERROR(IF(OR(Alerts[[#This Row],[High]],Alerts[[#This Row],[Low]]),VALUE(Alerts[[#This Row],[High]]&amp;Alerts[[#This Row],[Low]]),Alerts[[#This Row],[Out Of Tolerance]]),"")</f>
        <v/>
      </c>
      <c r="Q5" t="b">
        <f>IF(
  Main!O8 = "",
  FALSE,
  COUNTIF(Survey[TestPoint], Alerts[[#This Row],[TestPoint]]) = 0
)</f>
        <v>1</v>
      </c>
      <c r="R5" s="416" t="str" cm="1">
        <f t="array" ref="R5">_xlfn.XLOOKUP(1,
  (Survey[TestPoint]=Alerts[[#This Row],[TestPoint]])*Survey[High],
  Survey[Time],
  "")</f>
        <v/>
      </c>
      <c r="S5" s="416" t="str" cm="1">
        <f t="array" ref="S5">_xlfn.XLOOKUP(1,
  (Survey[TestPoint]=Alerts[[#This Row],[TestPoint]])*Survey[Low],
  Survey[Time],
  "")</f>
        <v/>
      </c>
      <c r="T5" s="416" t="str" cm="1">
        <f t="array" ref="T5">_xlfn.XLOOKUP(1,
  (Survey[TestPoint]=Alerts[[#This Row],[TestPoint]])*Survey[OutOfTolerance],
  Survey[Time],
  "")</f>
        <v/>
      </c>
    </row>
    <row r="6" spans="1:23" x14ac:dyDescent="0.2">
      <c r="J6" s="432" t="s">
        <v>913</v>
      </c>
      <c r="K6" s="433">
        <f>SQRT(Base₂^2+sp²)</f>
        <v>0.66776102980616914</v>
      </c>
      <c r="M6" s="137">
        <v>5</v>
      </c>
      <c r="N6" t="str" cm="1">
        <f t="array" ref="N6">_xlfn.TEXTJOIN("; ", TRUE, IF(Alerts[[#This Row],[Dropped]],"DROPPED",""),
    IF(Alerts[[#This Row],[High]:[Out Of Tolerance]] &lt;&gt; "",
        Alerts[[#Headers],[High]:[Out Of Tolerance]],
        "")
)</f>
        <v>DROPPED</v>
      </c>
      <c r="O6" t="e" cm="1">
        <f t="array" ref="O6">_xlfn.XLOOKUP(1,
  (Survey[TestPoint]=Alerts[[#This Row],[TestPoint]])*(Survey[Time]=--Alerts[[#This Row],[Time]]),
  Survey[RawTemp],
  "")</f>
        <v>#VALUE!</v>
      </c>
      <c r="P6" s="416" t="str">
        <f>IFERROR(IF(OR(Alerts[[#This Row],[High]],Alerts[[#This Row],[Low]]),VALUE(Alerts[[#This Row],[High]]&amp;Alerts[[#This Row],[Low]]),Alerts[[#This Row],[Out Of Tolerance]]),"")</f>
        <v/>
      </c>
      <c r="Q6" t="b">
        <f>IF(
  Main!O9 = "",
  FALSE,
  COUNTIF(Survey[TestPoint], Alerts[[#This Row],[TestPoint]]) = 0
)</f>
        <v>1</v>
      </c>
      <c r="R6" s="416" t="str" cm="1">
        <f t="array" ref="R6">_xlfn.XLOOKUP(1,
  (Survey[TestPoint]=Alerts[[#This Row],[TestPoint]])*Survey[High],
  Survey[Time],
  "")</f>
        <v/>
      </c>
      <c r="S6" s="416" t="str" cm="1">
        <f t="array" ref="S6">_xlfn.XLOOKUP(1,
  (Survey[TestPoint]=Alerts[[#This Row],[TestPoint]])*Survey[Low],
  Survey[Time],
  "")</f>
        <v/>
      </c>
      <c r="T6" s="416" t="str" cm="1">
        <f t="array" ref="T6">_xlfn.XLOOKUP(1,
  (Survey[TestPoint]=Alerts[[#This Row],[TestPoint]])*Survey[OutOfTolerance],
  Survey[Time],
  "")</f>
        <v/>
      </c>
    </row>
    <row r="7" spans="1:23" x14ac:dyDescent="0.2">
      <c r="J7" s="436" t="s">
        <v>904</v>
      </c>
      <c r="K7" s="439">
        <f>K6*k</f>
        <v>1.3355220596123383</v>
      </c>
      <c r="M7" s="137">
        <v>6</v>
      </c>
      <c r="N7" t="str" cm="1">
        <f t="array" ref="N7">_xlfn.TEXTJOIN("; ", TRUE, IF(Alerts[[#This Row],[Dropped]],"DROPPED",""),
    IF(Alerts[[#This Row],[High]:[Out Of Tolerance]] &lt;&gt; "",
        Alerts[[#Headers],[High]:[Out Of Tolerance]],
        "")
)</f>
        <v>DROPPED</v>
      </c>
      <c r="O7" t="e" cm="1">
        <f t="array" ref="O7">_xlfn.XLOOKUP(1,
  (Survey[TestPoint]=Alerts[[#This Row],[TestPoint]])*(Survey[Time]=--Alerts[[#This Row],[Time]]),
  Survey[RawTemp],
  "")</f>
        <v>#VALUE!</v>
      </c>
      <c r="P7" s="416" t="str">
        <f>IFERROR(IF(OR(Alerts[[#This Row],[High]],Alerts[[#This Row],[Low]]),VALUE(Alerts[[#This Row],[High]]&amp;Alerts[[#This Row],[Low]]),Alerts[[#This Row],[Out Of Tolerance]]),"")</f>
        <v/>
      </c>
      <c r="Q7" t="b">
        <f>IF(
  Main!O10 = "",
  FALSE,
  COUNTIF(Survey[TestPoint], Alerts[[#This Row],[TestPoint]]) = 0
)</f>
        <v>1</v>
      </c>
      <c r="R7" s="416" t="str" cm="1">
        <f t="array" ref="R7">_xlfn.XLOOKUP(1,
  (Survey[TestPoint]=Alerts[[#This Row],[TestPoint]])*Survey[High],
  Survey[Time],
  "")</f>
        <v/>
      </c>
      <c r="S7" s="416" t="str" cm="1">
        <f t="array" ref="S7">_xlfn.XLOOKUP(1,
  (Survey[TestPoint]=Alerts[[#This Row],[TestPoint]])*Survey[Low],
  Survey[Time],
  "")</f>
        <v/>
      </c>
      <c r="T7" s="416" t="str" cm="1">
        <f t="array" ref="T7">_xlfn.XLOOKUP(1,
  (Survey[TestPoint]=Alerts[[#This Row],[TestPoint]])*Survey[OutOfTolerance],
  Survey[Time],
  "")</f>
        <v/>
      </c>
    </row>
    <row r="8" spans="1:23" ht="13.5" thickBot="1" x14ac:dyDescent="0.25">
      <c r="J8" s="434" t="s">
        <v>905</v>
      </c>
      <c r="K8" s="435">
        <f>VLOOKUP(NominalTemp,CMCs[],3,TRUE)</f>
        <v>1.6</v>
      </c>
      <c r="M8" s="137">
        <v>7</v>
      </c>
      <c r="N8" t="str" cm="1">
        <f t="array" ref="N8">_xlfn.TEXTJOIN("; ", TRUE, IF(Alerts[[#This Row],[Dropped]],"DROPPED",""),
    IF(Alerts[[#This Row],[High]:[Out Of Tolerance]] &lt;&gt; "",
        Alerts[[#Headers],[High]:[Out Of Tolerance]],
        "")
)</f>
        <v>DROPPED</v>
      </c>
      <c r="O8" t="e" cm="1">
        <f t="array" ref="O8">_xlfn.XLOOKUP(1,
  (Survey[TestPoint]=Alerts[[#This Row],[TestPoint]])*(Survey[Time]=--Alerts[[#This Row],[Time]]),
  Survey[RawTemp],
  "")</f>
        <v>#VALUE!</v>
      </c>
      <c r="P8" s="416" t="str">
        <f>IFERROR(IF(OR(Alerts[[#This Row],[High]],Alerts[[#This Row],[Low]]),VALUE(Alerts[[#This Row],[High]]&amp;Alerts[[#This Row],[Low]]),Alerts[[#This Row],[Out Of Tolerance]]),"")</f>
        <v/>
      </c>
      <c r="Q8" t="b">
        <f>IF(
  Main!O11 = "",
  FALSE,
  COUNTIF(Survey[TestPoint], Alerts[[#This Row],[TestPoint]]) = 0
)</f>
        <v>1</v>
      </c>
      <c r="R8" s="416" t="str" cm="1">
        <f t="array" ref="R8">_xlfn.XLOOKUP(1,
  (Survey[TestPoint]=Alerts[[#This Row],[TestPoint]])*Survey[High],
  Survey[Time],
  "")</f>
        <v/>
      </c>
      <c r="S8" s="416" t="str" cm="1">
        <f t="array" ref="S8">_xlfn.XLOOKUP(1,
  (Survey[TestPoint]=Alerts[[#This Row],[TestPoint]])*Survey[Low],
  Survey[Time],
  "")</f>
        <v/>
      </c>
      <c r="T8" s="416" t="str" cm="1">
        <f t="array" ref="T8">_xlfn.XLOOKUP(1,
  (Survey[TestPoint]=Alerts[[#This Row],[TestPoint]])*Survey[OutOfTolerance],
  Survey[Time],
  "")</f>
        <v/>
      </c>
    </row>
    <row r="9" spans="1:23" ht="13.5" thickTop="1" x14ac:dyDescent="0.2">
      <c r="J9" s="440" t="s">
        <v>911</v>
      </c>
      <c r="K9" s="441">
        <f>MAX(K7,K8)</f>
        <v>1.6</v>
      </c>
      <c r="M9" s="137">
        <v>8</v>
      </c>
      <c r="N9" t="str" cm="1">
        <f t="array" ref="N9">_xlfn.TEXTJOIN("; ", TRUE, IF(Alerts[[#This Row],[Dropped]],"DROPPED",""),
    IF(Alerts[[#This Row],[High]:[Out Of Tolerance]] &lt;&gt; "",
        Alerts[[#Headers],[High]:[Out Of Tolerance]],
        "")
)</f>
        <v>DROPPED</v>
      </c>
      <c r="O9" t="e" cm="1">
        <f t="array" ref="O9">_xlfn.XLOOKUP(1,
  (Survey[TestPoint]=Alerts[[#This Row],[TestPoint]])*(Survey[Time]=--Alerts[[#This Row],[Time]]),
  Survey[RawTemp],
  "")</f>
        <v>#VALUE!</v>
      </c>
      <c r="P9" s="416" t="str">
        <f>IFERROR(IF(OR(Alerts[[#This Row],[High]],Alerts[[#This Row],[Low]]),VALUE(Alerts[[#This Row],[High]]&amp;Alerts[[#This Row],[Low]]),Alerts[[#This Row],[Out Of Tolerance]]),"")</f>
        <v/>
      </c>
      <c r="Q9" t="b">
        <f>IF(
  Main!O12 = "",
  FALSE,
  COUNTIF(Survey[TestPoint], Alerts[[#This Row],[TestPoint]]) = 0
)</f>
        <v>1</v>
      </c>
      <c r="R9" s="416" t="str" cm="1">
        <f t="array" ref="R9">_xlfn.XLOOKUP(1,
  (Survey[TestPoint]=Alerts[[#This Row],[TestPoint]])*Survey[High],
  Survey[Time],
  "")</f>
        <v/>
      </c>
      <c r="S9" s="416" t="str" cm="1">
        <f t="array" ref="S9">_xlfn.XLOOKUP(1,
  (Survey[TestPoint]=Alerts[[#This Row],[TestPoint]])*Survey[Low],
  Survey[Time],
  "")</f>
        <v/>
      </c>
      <c r="T9" s="416" t="str" cm="1">
        <f t="array" ref="T9">_xlfn.XLOOKUP(1,
  (Survey[TestPoint]=Alerts[[#This Row],[TestPoint]])*Survey[OutOfTolerance],
  Survey[Time],
  "")</f>
        <v/>
      </c>
    </row>
    <row r="10" spans="1:23" x14ac:dyDescent="0.2">
      <c r="M10" s="137">
        <v>9</v>
      </c>
      <c r="N10" t="str" cm="1">
        <f t="array" ref="N10">_xlfn.TEXTJOIN("; ", TRUE, IF(Alerts[[#This Row],[Dropped]],"DROPPED",""),
    IF(Alerts[[#This Row],[High]:[Out Of Tolerance]] &lt;&gt; "",
        Alerts[[#Headers],[High]:[Out Of Tolerance]],
        "")
)</f>
        <v>DROPPED</v>
      </c>
      <c r="O10" t="e" cm="1">
        <f t="array" ref="O10">_xlfn.XLOOKUP(1,
  (Survey[TestPoint]=Alerts[[#This Row],[TestPoint]])*(Survey[Time]=--Alerts[[#This Row],[Time]]),
  Survey[RawTemp],
  "")</f>
        <v>#VALUE!</v>
      </c>
      <c r="P10" s="416" t="str">
        <f>IFERROR(IF(OR(Alerts[[#This Row],[High]],Alerts[[#This Row],[Low]]),VALUE(Alerts[[#This Row],[High]]&amp;Alerts[[#This Row],[Low]]),Alerts[[#This Row],[Out Of Tolerance]]),"")</f>
        <v/>
      </c>
      <c r="Q10" t="b">
        <f>IF(
  Main!O13 = "",
  FALSE,
  COUNTIF(Survey[TestPoint], Alerts[[#This Row],[TestPoint]]) = 0
)</f>
        <v>1</v>
      </c>
      <c r="R10" s="416" t="str" cm="1">
        <f t="array" ref="R10">_xlfn.XLOOKUP(1,
  (Survey[TestPoint]=Alerts[[#This Row],[TestPoint]])*Survey[High],
  Survey[Time],
  "")</f>
        <v/>
      </c>
      <c r="S10" s="416" t="str" cm="1">
        <f t="array" ref="S10">_xlfn.XLOOKUP(1,
  (Survey[TestPoint]=Alerts[[#This Row],[TestPoint]])*Survey[Low],
  Survey[Time],
  "")</f>
        <v/>
      </c>
      <c r="T10" s="416" t="str" cm="1">
        <f t="array" ref="T10">_xlfn.XLOOKUP(1,
  (Survey[TestPoint]=Alerts[[#This Row],[TestPoint]])*Survey[OutOfTolerance],
  Survey[Time],
  "")</f>
        <v/>
      </c>
    </row>
    <row r="11" spans="1:23" x14ac:dyDescent="0.2">
      <c r="M11" s="137">
        <v>10</v>
      </c>
      <c r="N11" t="str" cm="1">
        <f t="array" ref="N11">_xlfn.TEXTJOIN("; ", TRUE, IF(Alerts[[#This Row],[Dropped]],"DROPPED",""),
    IF(Alerts[[#This Row],[High]:[Out Of Tolerance]] &lt;&gt; "",
        Alerts[[#Headers],[High]:[Out Of Tolerance]],
        "")
)</f>
        <v>DROPPED</v>
      </c>
      <c r="O11" t="e" cm="1">
        <f t="array" ref="O11">_xlfn.XLOOKUP(1,
  (Survey[TestPoint]=Alerts[[#This Row],[TestPoint]])*(Survey[Time]=--Alerts[[#This Row],[Time]]),
  Survey[RawTemp],
  "")</f>
        <v>#VALUE!</v>
      </c>
      <c r="P11" s="416" t="str">
        <f>IFERROR(IF(OR(Alerts[[#This Row],[High]],Alerts[[#This Row],[Low]]),VALUE(Alerts[[#This Row],[High]]&amp;Alerts[[#This Row],[Low]]),Alerts[[#This Row],[Out Of Tolerance]]),"")</f>
        <v/>
      </c>
      <c r="Q11" t="b">
        <f>IF(
  Main!O14 = "",
  FALSE,
  COUNTIF(Survey[TestPoint], Alerts[[#This Row],[TestPoint]]) = 0
)</f>
        <v>1</v>
      </c>
      <c r="R11" s="416" t="str" cm="1">
        <f t="array" ref="R11">_xlfn.XLOOKUP(1,
  (Survey[TestPoint]=Alerts[[#This Row],[TestPoint]])*Survey[High],
  Survey[Time],
  "")</f>
        <v/>
      </c>
      <c r="S11" s="416" t="str" cm="1">
        <f t="array" ref="S11">_xlfn.XLOOKUP(1,
  (Survey[TestPoint]=Alerts[[#This Row],[TestPoint]])*Survey[Low],
  Survey[Time],
  "")</f>
        <v/>
      </c>
      <c r="T11" s="416" t="str" cm="1">
        <f t="array" ref="T11">_xlfn.XLOOKUP(1,
  (Survey[TestPoint]=Alerts[[#This Row],[TestPoint]])*Survey[OutOfTolerance],
  Survey[Time],
  "")</f>
        <v/>
      </c>
    </row>
    <row r="12" spans="1:23" x14ac:dyDescent="0.2">
      <c r="M12" s="137">
        <v>11</v>
      </c>
      <c r="N12" t="str" cm="1">
        <f t="array" ref="N12">_xlfn.TEXTJOIN("; ", TRUE, IF(Alerts[[#This Row],[Dropped]],"DROPPED",""),
    IF(Alerts[[#This Row],[High]:[Out Of Tolerance]] &lt;&gt; "",
        Alerts[[#Headers],[High]:[Out Of Tolerance]],
        "")
)</f>
        <v>DROPPED</v>
      </c>
      <c r="O12" t="e" cm="1">
        <f t="array" ref="O12">_xlfn.XLOOKUP(1,
  (Survey[TestPoint]=Alerts[[#This Row],[TestPoint]])*(Survey[Time]=--Alerts[[#This Row],[Time]]),
  Survey[RawTemp],
  "")</f>
        <v>#VALUE!</v>
      </c>
      <c r="P12" s="416" t="str">
        <f>IFERROR(IF(OR(Alerts[[#This Row],[High]],Alerts[[#This Row],[Low]]),VALUE(Alerts[[#This Row],[High]]&amp;Alerts[[#This Row],[Low]]),Alerts[[#This Row],[Out Of Tolerance]]),"")</f>
        <v/>
      </c>
      <c r="Q12" t="b">
        <f>IF(
  Main!O15 = "",
  FALSE,
  COUNTIF(Survey[TestPoint], Alerts[[#This Row],[TestPoint]]) = 0
)</f>
        <v>1</v>
      </c>
      <c r="R12" s="416" t="str" cm="1">
        <f t="array" ref="R12">_xlfn.XLOOKUP(1,
  (Survey[TestPoint]=Alerts[[#This Row],[TestPoint]])*Survey[High],
  Survey[Time],
  "")</f>
        <v/>
      </c>
      <c r="S12" s="416" t="str" cm="1">
        <f t="array" ref="S12">_xlfn.XLOOKUP(1,
  (Survey[TestPoint]=Alerts[[#This Row],[TestPoint]])*Survey[Low],
  Survey[Time],
  "")</f>
        <v/>
      </c>
      <c r="T12" s="416" t="str" cm="1">
        <f t="array" ref="T12">_xlfn.XLOOKUP(1,
  (Survey[TestPoint]=Alerts[[#This Row],[TestPoint]])*Survey[OutOfTolerance],
  Survey[Time],
  "")</f>
        <v/>
      </c>
    </row>
    <row r="13" spans="1:23" x14ac:dyDescent="0.2">
      <c r="M13" s="137">
        <v>12</v>
      </c>
      <c r="N13" t="str" cm="1">
        <f t="array" ref="N13">_xlfn.TEXTJOIN("; ", TRUE, IF(Alerts[[#This Row],[Dropped]],"DROPPED",""),
    IF(Alerts[[#This Row],[High]:[Out Of Tolerance]] &lt;&gt; "",
        Alerts[[#Headers],[High]:[Out Of Tolerance]],
        "")
)</f>
        <v>DROPPED</v>
      </c>
      <c r="O13" t="e" cm="1">
        <f t="array" ref="O13">_xlfn.XLOOKUP(1,
  (Survey[TestPoint]=Alerts[[#This Row],[TestPoint]])*(Survey[Time]=--Alerts[[#This Row],[Time]]),
  Survey[RawTemp],
  "")</f>
        <v>#VALUE!</v>
      </c>
      <c r="P13" s="416" t="str">
        <f>IFERROR(IF(OR(Alerts[[#This Row],[High]],Alerts[[#This Row],[Low]]),VALUE(Alerts[[#This Row],[High]]&amp;Alerts[[#This Row],[Low]]),Alerts[[#This Row],[Out Of Tolerance]]),"")</f>
        <v/>
      </c>
      <c r="Q13" t="b">
        <f>IF(
  Main!O16 = "",
  FALSE,
  COUNTIF(Survey[TestPoint], Alerts[[#This Row],[TestPoint]]) = 0
)</f>
        <v>1</v>
      </c>
      <c r="R13" s="416" t="str" cm="1">
        <f t="array" ref="R13">_xlfn.XLOOKUP(1,
  (Survey[TestPoint]=Alerts[[#This Row],[TestPoint]])*Survey[High],
  Survey[Time],
  "")</f>
        <v/>
      </c>
      <c r="S13" s="416" t="str" cm="1">
        <f t="array" ref="S13">_xlfn.XLOOKUP(1,
  (Survey[TestPoint]=Alerts[[#This Row],[TestPoint]])*Survey[Low],
  Survey[Time],
  "")</f>
        <v/>
      </c>
      <c r="T13" s="416" t="str" cm="1">
        <f t="array" ref="T13">_xlfn.XLOOKUP(1,
  (Survey[TestPoint]=Alerts[[#This Row],[TestPoint]])*Survey[OutOfTolerance],
  Survey[Time],
  "")</f>
        <v/>
      </c>
    </row>
    <row r="14" spans="1:23" x14ac:dyDescent="0.2">
      <c r="M14" s="137">
        <v>13</v>
      </c>
      <c r="N14" t="str" cm="1">
        <f t="array" ref="N14">_xlfn.TEXTJOIN("; ", TRUE, IF(Alerts[[#This Row],[Dropped]],"DROPPED",""),
    IF(Alerts[[#This Row],[High]:[Out Of Tolerance]] &lt;&gt; "",
        Alerts[[#Headers],[High]:[Out Of Tolerance]],
        "")
)</f>
        <v>DROPPED</v>
      </c>
      <c r="O14" t="e" cm="1">
        <f t="array" ref="O14">_xlfn.XLOOKUP(1,
  (Survey[TestPoint]=Alerts[[#This Row],[TestPoint]])*(Survey[Time]=--Alerts[[#This Row],[Time]]),
  Survey[RawTemp],
  "")</f>
        <v>#VALUE!</v>
      </c>
      <c r="P14" s="416" t="str">
        <f>IFERROR(IF(OR(Alerts[[#This Row],[High]],Alerts[[#This Row],[Low]]),VALUE(Alerts[[#This Row],[High]]&amp;Alerts[[#This Row],[Low]]),Alerts[[#This Row],[Out Of Tolerance]]),"")</f>
        <v/>
      </c>
      <c r="Q14" t="b">
        <f>IF(
  Main!O17 = "",
  FALSE,
  COUNTIF(Survey[TestPoint], Alerts[[#This Row],[TestPoint]]) = 0
)</f>
        <v>1</v>
      </c>
      <c r="R14" s="416" t="str" cm="1">
        <f t="array" ref="R14">_xlfn.XLOOKUP(1,
  (Survey[TestPoint]=Alerts[[#This Row],[TestPoint]])*Survey[High],
  Survey[Time],
  "")</f>
        <v/>
      </c>
      <c r="S14" s="416" t="str" cm="1">
        <f t="array" ref="S14">_xlfn.XLOOKUP(1,
  (Survey[TestPoint]=Alerts[[#This Row],[TestPoint]])*Survey[Low],
  Survey[Time],
  "")</f>
        <v/>
      </c>
      <c r="T14" s="416" t="str" cm="1">
        <f t="array" ref="T14">_xlfn.XLOOKUP(1,
  (Survey[TestPoint]=Alerts[[#This Row],[TestPoint]])*Survey[OutOfTolerance],
  Survey[Time],
  "")</f>
        <v/>
      </c>
    </row>
    <row r="15" spans="1:23" x14ac:dyDescent="0.2">
      <c r="M15" s="137">
        <v>14</v>
      </c>
      <c r="N15" t="str" cm="1">
        <f t="array" ref="N15">_xlfn.TEXTJOIN("; ", TRUE, IF(Alerts[[#This Row],[Dropped]],"DROPPED",""),
    IF(Alerts[[#This Row],[High]:[Out Of Tolerance]] &lt;&gt; "",
        Alerts[[#Headers],[High]:[Out Of Tolerance]],
        "")
)</f>
        <v>DROPPED</v>
      </c>
      <c r="O15" t="e" cm="1">
        <f t="array" ref="O15">_xlfn.XLOOKUP(1,
  (Survey[TestPoint]=Alerts[[#This Row],[TestPoint]])*(Survey[Time]=--Alerts[[#This Row],[Time]]),
  Survey[RawTemp],
  "")</f>
        <v>#VALUE!</v>
      </c>
      <c r="P15" s="416" t="str">
        <f>IFERROR(IF(OR(Alerts[[#This Row],[High]],Alerts[[#This Row],[Low]]),VALUE(Alerts[[#This Row],[High]]&amp;Alerts[[#This Row],[Low]]),Alerts[[#This Row],[Out Of Tolerance]]),"")</f>
        <v/>
      </c>
      <c r="Q15" t="b">
        <f>IF(
  Main!O18 = "",
  FALSE,
  COUNTIF(Survey[TestPoint], Alerts[[#This Row],[TestPoint]]) = 0
)</f>
        <v>1</v>
      </c>
      <c r="R15" s="416" t="str" cm="1">
        <f t="array" ref="R15">_xlfn.XLOOKUP(1,
  (Survey[TestPoint]=Alerts[[#This Row],[TestPoint]])*Survey[High],
  Survey[Time],
  "")</f>
        <v/>
      </c>
      <c r="S15" s="416" t="str" cm="1">
        <f t="array" ref="S15">_xlfn.XLOOKUP(1,
  (Survey[TestPoint]=Alerts[[#This Row],[TestPoint]])*Survey[Low],
  Survey[Time],
  "")</f>
        <v/>
      </c>
      <c r="T15" s="416" t="str" cm="1">
        <f t="array" ref="T15">_xlfn.XLOOKUP(1,
  (Survey[TestPoint]=Alerts[[#This Row],[TestPoint]])*Survey[OutOfTolerance],
  Survey[Time],
  "")</f>
        <v/>
      </c>
    </row>
    <row r="16" spans="1:23" x14ac:dyDescent="0.2">
      <c r="M16" s="137">
        <v>15</v>
      </c>
      <c r="N16" t="str" cm="1">
        <f t="array" ref="N16">_xlfn.TEXTJOIN("; ", TRUE, IF(Alerts[[#This Row],[Dropped]],"DROPPED",""),
    IF(Alerts[[#This Row],[High]:[Out Of Tolerance]] &lt;&gt; "",
        Alerts[[#Headers],[High]:[Out Of Tolerance]],
        "")
)</f>
        <v>DROPPED</v>
      </c>
      <c r="O16" t="e" cm="1">
        <f t="array" ref="O16">_xlfn.XLOOKUP(1,
  (Survey[TestPoint]=Alerts[[#This Row],[TestPoint]])*(Survey[Time]=--Alerts[[#This Row],[Time]]),
  Survey[RawTemp],
  "")</f>
        <v>#VALUE!</v>
      </c>
      <c r="P16" s="416" t="str">
        <f>IFERROR(IF(OR(Alerts[[#This Row],[High]],Alerts[[#This Row],[Low]]),VALUE(Alerts[[#This Row],[High]]&amp;Alerts[[#This Row],[Low]]),Alerts[[#This Row],[Out Of Tolerance]]),"")</f>
        <v/>
      </c>
      <c r="Q16" t="b">
        <f>IF(
  Main!O19 = "",
  FALSE,
  COUNTIF(Survey[TestPoint], Alerts[[#This Row],[TestPoint]]) = 0
)</f>
        <v>1</v>
      </c>
      <c r="R16" s="416" t="str" cm="1">
        <f t="array" ref="R16">_xlfn.XLOOKUP(1,
  (Survey[TestPoint]=Alerts[[#This Row],[TestPoint]])*Survey[High],
  Survey[Time],
  "")</f>
        <v/>
      </c>
      <c r="S16" s="416" t="str" cm="1">
        <f t="array" ref="S16">_xlfn.XLOOKUP(1,
  (Survey[TestPoint]=Alerts[[#This Row],[TestPoint]])*Survey[Low],
  Survey[Time],
  "")</f>
        <v/>
      </c>
      <c r="T16" s="416"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DROPPED</v>
      </c>
      <c r="O17" t="e" cm="1">
        <f t="array" ref="O17">_xlfn.XLOOKUP(1,
  (Survey[TestPoint]=Alerts[[#This Row],[TestPoint]])*(Survey[Time]=--Alerts[[#This Row],[Time]]),
  Survey[RawTemp],
  "")</f>
        <v>#VALUE!</v>
      </c>
      <c r="P17" s="416" t="str">
        <f>IFERROR(IF(OR(Alerts[[#This Row],[High]],Alerts[[#This Row],[Low]]),VALUE(Alerts[[#This Row],[High]]&amp;Alerts[[#This Row],[Low]]),Alerts[[#This Row],[Out Of Tolerance]]),"")</f>
        <v/>
      </c>
      <c r="Q17" t="b">
        <f>IF(
  Main!O20 = "",
  FALSE,
  COUNTIF(Survey[TestPoint], Alerts[[#This Row],[TestPoint]]) = 0
)</f>
        <v>1</v>
      </c>
      <c r="R17" s="416" t="str" cm="1">
        <f t="array" ref="R17">_xlfn.XLOOKUP(1,
  (Survey[TestPoint]=Alerts[[#This Row],[TestPoint]])*Survey[High],
  Survey[Time],
  "")</f>
        <v/>
      </c>
      <c r="S17" s="416" t="str" cm="1">
        <f t="array" ref="S17">_xlfn.XLOOKUP(1,
  (Survey[TestPoint]=Alerts[[#This Row],[TestPoint]])*Survey[Low],
  Survey[Time],
  "")</f>
        <v/>
      </c>
      <c r="T17" s="416"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DROPPED</v>
      </c>
      <c r="O18" t="e" cm="1">
        <f t="array" ref="O18">_xlfn.XLOOKUP(1,
  (Survey[TestPoint]=Alerts[[#This Row],[TestPoint]])*(Survey[Time]=--Alerts[[#This Row],[Time]]),
  Survey[RawTemp],
  "")</f>
        <v>#VALUE!</v>
      </c>
      <c r="P18" s="416" t="str">
        <f>IFERROR(IF(OR(Alerts[[#This Row],[High]],Alerts[[#This Row],[Low]]),VALUE(Alerts[[#This Row],[High]]&amp;Alerts[[#This Row],[Low]]),Alerts[[#This Row],[Out Of Tolerance]]),"")</f>
        <v/>
      </c>
      <c r="Q18" t="b">
        <f>IF(
  Main!O21 = "",
  FALSE,
  COUNTIF(Survey[TestPoint], Alerts[[#This Row],[TestPoint]]) = 0
)</f>
        <v>1</v>
      </c>
      <c r="R18" s="416" t="str" cm="1">
        <f t="array" ref="R18">_xlfn.XLOOKUP(1,
  (Survey[TestPoint]=Alerts[[#This Row],[TestPoint]])*Survey[High],
  Survey[Time],
  "")</f>
        <v/>
      </c>
      <c r="S18" s="416" t="str" cm="1">
        <f t="array" ref="S18">_xlfn.XLOOKUP(1,
  (Survey[TestPoint]=Alerts[[#This Row],[TestPoint]])*Survey[Low],
  Survey[Time],
  "")</f>
        <v/>
      </c>
      <c r="T18" s="416"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DROPPED</v>
      </c>
      <c r="O19" t="e" cm="1">
        <f t="array" ref="O19">_xlfn.XLOOKUP(1,
  (Survey[TestPoint]=Alerts[[#This Row],[TestPoint]])*(Survey[Time]=--Alerts[[#This Row],[Time]]),
  Survey[RawTemp],
  "")</f>
        <v>#VALUE!</v>
      </c>
      <c r="P19" s="416" t="str">
        <f>IFERROR(IF(OR(Alerts[[#This Row],[High]],Alerts[[#This Row],[Low]]),VALUE(Alerts[[#This Row],[High]]&amp;Alerts[[#This Row],[Low]]),Alerts[[#This Row],[Out Of Tolerance]]),"")</f>
        <v/>
      </c>
      <c r="Q19" t="b">
        <f>IF(
  Main!O22 = "",
  FALSE,
  COUNTIF(Survey[TestPoint], Alerts[[#This Row],[TestPoint]]) = 0
)</f>
        <v>1</v>
      </c>
      <c r="R19" s="416" t="str" cm="1">
        <f t="array" ref="R19">_xlfn.XLOOKUP(1,
  (Survey[TestPoint]=Alerts[[#This Row],[TestPoint]])*Survey[High],
  Survey[Time],
  "")</f>
        <v/>
      </c>
      <c r="S19" s="416" t="str" cm="1">
        <f t="array" ref="S19">_xlfn.XLOOKUP(1,
  (Survey[TestPoint]=Alerts[[#This Row],[TestPoint]])*Survey[Low],
  Survey[Time],
  "")</f>
        <v/>
      </c>
      <c r="T19" s="416"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416" t="str">
        <f>IFERROR(IF(OR(Alerts[[#This Row],[High]],Alerts[[#This Row],[Low]]),VALUE(Alerts[[#This Row],[High]]&amp;Alerts[[#This Row],[Low]]),Alerts[[#This Row],[Out Of Tolerance]]),"")</f>
        <v/>
      </c>
      <c r="Q20" t="b">
        <f>IF(
  Main!O23 = "",
  FALSE,
  COUNTIF(Survey[TestPoint], Alerts[[#This Row],[TestPoint]]) = 0
)</f>
        <v>0</v>
      </c>
      <c r="R20" s="416" t="str" cm="1">
        <f t="array" ref="R20">_xlfn.XLOOKUP(1,
  (Survey[TestPoint]=Alerts[[#This Row],[TestPoint]])*Survey[High],
  Survey[Time],
  "")</f>
        <v/>
      </c>
      <c r="S20" s="416" t="str" cm="1">
        <f t="array" ref="S20">_xlfn.XLOOKUP(1,
  (Survey[TestPoint]=Alerts[[#This Row],[TestPoint]])*Survey[Low],
  Survey[Time],
  "")</f>
        <v/>
      </c>
      <c r="T20" s="416"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416" t="str">
        <f>IFERROR(IF(OR(Alerts[[#This Row],[High]],Alerts[[#This Row],[Low]]),VALUE(Alerts[[#This Row],[High]]&amp;Alerts[[#This Row],[Low]]),Alerts[[#This Row],[Out Of Tolerance]]),"")</f>
        <v/>
      </c>
      <c r="Q21" t="b">
        <f>IF(
  Main!O24 = "",
  FALSE,
  COUNTIF(Survey[TestPoint], Alerts[[#This Row],[TestPoint]]) = 0
)</f>
        <v>0</v>
      </c>
      <c r="R21" s="416" t="str" cm="1">
        <f t="array" ref="R21">_xlfn.XLOOKUP(1,
  (Survey[TestPoint]=Alerts[[#This Row],[TestPoint]])*Survey[High],
  Survey[Time],
  "")</f>
        <v/>
      </c>
      <c r="S21" s="416" t="str" cm="1">
        <f t="array" ref="S21">_xlfn.XLOOKUP(1,
  (Survey[TestPoint]=Alerts[[#This Row],[TestPoint]])*Survey[Low],
  Survey[Time],
  "")</f>
        <v/>
      </c>
      <c r="T21" s="416"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416" t="str">
        <f>IFERROR(IF(OR(Alerts[[#This Row],[High]],Alerts[[#This Row],[Low]]),VALUE(Alerts[[#This Row],[High]]&amp;Alerts[[#This Row],[Low]]),Alerts[[#This Row],[Out Of Tolerance]]),"")</f>
        <v/>
      </c>
      <c r="Q22" t="b">
        <f>IF(
  Main!O25 = "",
  FALSE,
  COUNTIF(Survey[TestPoint], Alerts[[#This Row],[TestPoint]]) = 0
)</f>
        <v>0</v>
      </c>
      <c r="R22" s="416" t="str" cm="1">
        <f t="array" ref="R22">_xlfn.XLOOKUP(1,
  (Survey[TestPoint]=Alerts[[#This Row],[TestPoint]])*Survey[High],
  Survey[Time],
  "")</f>
        <v/>
      </c>
      <c r="S22" s="416" t="str" cm="1">
        <f t="array" ref="S22">_xlfn.XLOOKUP(1,
  (Survey[TestPoint]=Alerts[[#This Row],[TestPoint]])*Survey[Low],
  Survey[Time],
  "")</f>
        <v/>
      </c>
      <c r="T22" s="416"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416" t="str">
        <f>IFERROR(IF(OR(Alerts[[#This Row],[High]],Alerts[[#This Row],[Low]]),VALUE(Alerts[[#This Row],[High]]&amp;Alerts[[#This Row],[Low]]),Alerts[[#This Row],[Out Of Tolerance]]),"")</f>
        <v/>
      </c>
      <c r="Q23" t="b">
        <f>IF(
  Main!O26 = "",
  FALSE,
  COUNTIF(Survey[TestPoint], Alerts[[#This Row],[TestPoint]]) = 0
)</f>
        <v>0</v>
      </c>
      <c r="R23" s="416" t="str" cm="1">
        <f t="array" ref="R23">_xlfn.XLOOKUP(1,
  (Survey[TestPoint]=Alerts[[#This Row],[TestPoint]])*Survey[High],
  Survey[Time],
  "")</f>
        <v/>
      </c>
      <c r="S23" s="416" t="str" cm="1">
        <f t="array" ref="S23">_xlfn.XLOOKUP(1,
  (Survey[TestPoint]=Alerts[[#This Row],[TestPoint]])*Survey[Low],
  Survey[Time],
  "")</f>
        <v/>
      </c>
      <c r="T23" s="416"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416" t="str">
        <f>IFERROR(IF(OR(Alerts[[#This Row],[High]],Alerts[[#This Row],[Low]]),VALUE(Alerts[[#This Row],[High]]&amp;Alerts[[#This Row],[Low]]),Alerts[[#This Row],[Out Of Tolerance]]),"")</f>
        <v/>
      </c>
      <c r="Q24" t="b">
        <f>IF(
  Main!O27 = "",
  FALSE,
  COUNTIF(Survey[TestPoint], Alerts[[#This Row],[TestPoint]]) = 0
)</f>
        <v>0</v>
      </c>
      <c r="R24" s="416" t="str" cm="1">
        <f t="array" ref="R24">_xlfn.XLOOKUP(1,
  (Survey[TestPoint]=Alerts[[#This Row],[TestPoint]])*Survey[High],
  Survey[Time],
  "")</f>
        <v/>
      </c>
      <c r="S24" s="416" t="str" cm="1">
        <f t="array" ref="S24">_xlfn.XLOOKUP(1,
  (Survey[TestPoint]=Alerts[[#This Row],[TestPoint]])*Survey[Low],
  Survey[Time],
  "")</f>
        <v/>
      </c>
      <c r="T24" s="416"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416" t="str">
        <f>IFERROR(IF(OR(Alerts[[#This Row],[High]],Alerts[[#This Row],[Low]]),VALUE(Alerts[[#This Row],[High]]&amp;Alerts[[#This Row],[Low]]),Alerts[[#This Row],[Out Of Tolerance]]),"")</f>
        <v/>
      </c>
      <c r="Q25" t="b">
        <f>IF(
  Main!O28 = "",
  FALSE,
  COUNTIF(Survey[TestPoint], Alerts[[#This Row],[TestPoint]]) = 0
)</f>
        <v>0</v>
      </c>
      <c r="R25" s="416" t="str" cm="1">
        <f t="array" ref="R25">_xlfn.XLOOKUP(1,
  (Survey[TestPoint]=Alerts[[#This Row],[TestPoint]])*Survey[High],
  Survey[Time],
  "")</f>
        <v/>
      </c>
      <c r="S25" s="416" t="str" cm="1">
        <f t="array" ref="S25">_xlfn.XLOOKUP(1,
  (Survey[TestPoint]=Alerts[[#This Row],[TestPoint]])*Survey[Low],
  Survey[Time],
  "")</f>
        <v/>
      </c>
      <c r="T25" s="416"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416" t="str">
        <f>IFERROR(IF(OR(Alerts[[#This Row],[High]],Alerts[[#This Row],[Low]]),VALUE(Alerts[[#This Row],[High]]&amp;Alerts[[#This Row],[Low]]),Alerts[[#This Row],[Out Of Tolerance]]),"")</f>
        <v/>
      </c>
      <c r="Q26" t="b">
        <f>IF(
  Main!O29 = "",
  FALSE,
  COUNTIF(Survey[TestPoint], Alerts[[#This Row],[TestPoint]]) = 0
)</f>
        <v>0</v>
      </c>
      <c r="R26" s="416" t="str" cm="1">
        <f t="array" ref="R26">_xlfn.XLOOKUP(1,
  (Survey[TestPoint]=Alerts[[#This Row],[TestPoint]])*Survey[High],
  Survey[Time],
  "")</f>
        <v/>
      </c>
      <c r="S26" s="416" t="str" cm="1">
        <f t="array" ref="S26">_xlfn.XLOOKUP(1,
  (Survey[TestPoint]=Alerts[[#This Row],[TestPoint]])*Survey[Low],
  Survey[Time],
  "")</f>
        <v/>
      </c>
      <c r="T26" s="416"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416" t="str">
        <f>IFERROR(IF(OR(Alerts[[#This Row],[High]],Alerts[[#This Row],[Low]]),VALUE(Alerts[[#This Row],[High]]&amp;Alerts[[#This Row],[Low]]),Alerts[[#This Row],[Out Of Tolerance]]),"")</f>
        <v/>
      </c>
      <c r="Q27" t="b">
        <f>IF(
  Main!O30 = "",
  FALSE,
  COUNTIF(Survey[TestPoint], Alerts[[#This Row],[TestPoint]]) = 0
)</f>
        <v>0</v>
      </c>
      <c r="R27" s="416" t="str" cm="1">
        <f t="array" ref="R27">_xlfn.XLOOKUP(1,
  (Survey[TestPoint]=Alerts[[#This Row],[TestPoint]])*Survey[High],
  Survey[Time],
  "")</f>
        <v/>
      </c>
      <c r="S27" s="416" t="str" cm="1">
        <f t="array" ref="S27">_xlfn.XLOOKUP(1,
  (Survey[TestPoint]=Alerts[[#This Row],[TestPoint]])*Survey[Low],
  Survey[Time],
  "")</f>
        <v/>
      </c>
      <c r="T27" s="416"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416" t="str">
        <f>IFERROR(IF(OR(Alerts[[#This Row],[High]],Alerts[[#This Row],[Low]]),VALUE(Alerts[[#This Row],[High]]&amp;Alerts[[#This Row],[Low]]),Alerts[[#This Row],[Out Of Tolerance]]),"")</f>
        <v/>
      </c>
      <c r="Q28" t="b">
        <f>IF(
  Main!O31 = "",
  FALSE,
  COUNTIF(Survey[TestPoint], Alerts[[#This Row],[TestPoint]]) = 0
)</f>
        <v>0</v>
      </c>
      <c r="R28" s="416" t="str" cm="1">
        <f t="array" ref="R28">_xlfn.XLOOKUP(1,
  (Survey[TestPoint]=Alerts[[#This Row],[TestPoint]])*Survey[High],
  Survey[Time],
  "")</f>
        <v/>
      </c>
      <c r="S28" s="416" t="str" cm="1">
        <f t="array" ref="S28">_xlfn.XLOOKUP(1,
  (Survey[TestPoint]=Alerts[[#This Row],[TestPoint]])*Survey[Low],
  Survey[Time],
  "")</f>
        <v/>
      </c>
      <c r="T28" s="416"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416" t="str">
        <f>IFERROR(IF(OR(Alerts[[#This Row],[High]],Alerts[[#This Row],[Low]]),VALUE(Alerts[[#This Row],[High]]&amp;Alerts[[#This Row],[Low]]),Alerts[[#This Row],[Out Of Tolerance]]),"")</f>
        <v/>
      </c>
      <c r="Q29" t="b">
        <f>IF(
  Main!O32 = "",
  FALSE,
  COUNTIF(Survey[TestPoint], Alerts[[#This Row],[TestPoint]]) = 0
)</f>
        <v>0</v>
      </c>
      <c r="R29" s="416" t="str" cm="1">
        <f t="array" ref="R29">_xlfn.XLOOKUP(1,
  (Survey[TestPoint]=Alerts[[#This Row],[TestPoint]])*Survey[High],
  Survey[Time],
  "")</f>
        <v/>
      </c>
      <c r="S29" s="416" t="str" cm="1">
        <f t="array" ref="S29">_xlfn.XLOOKUP(1,
  (Survey[TestPoint]=Alerts[[#This Row],[TestPoint]])*Survey[Low],
  Survey[Time],
  "")</f>
        <v/>
      </c>
      <c r="T29" s="416"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416" t="str">
        <f>IFERROR(IF(OR(Alerts[[#This Row],[High]],Alerts[[#This Row],[Low]]),VALUE(Alerts[[#This Row],[High]]&amp;Alerts[[#This Row],[Low]]),Alerts[[#This Row],[Out Of Tolerance]]),"")</f>
        <v/>
      </c>
      <c r="Q30" t="b">
        <f>IF(
  Main!O33 = "",
  FALSE,
  COUNTIF(Survey[TestPoint], Alerts[[#This Row],[TestPoint]]) = 0
)</f>
        <v>0</v>
      </c>
      <c r="R30" s="416" t="str" cm="1">
        <f t="array" ref="R30">_xlfn.XLOOKUP(1,
  (Survey[TestPoint]=Alerts[[#This Row],[TestPoint]])*Survey[High],
  Survey[Time],
  "")</f>
        <v/>
      </c>
      <c r="S30" s="416" t="str" cm="1">
        <f t="array" ref="S30">_xlfn.XLOOKUP(1,
  (Survey[TestPoint]=Alerts[[#This Row],[TestPoint]])*Survey[Low],
  Survey[Time],
  "")</f>
        <v/>
      </c>
      <c r="T30" s="416"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416" t="str">
        <f>IFERROR(IF(OR(Alerts[[#This Row],[High]],Alerts[[#This Row],[Low]]),VALUE(Alerts[[#This Row],[High]]&amp;Alerts[[#This Row],[Low]]),Alerts[[#This Row],[Out Of Tolerance]]),"")</f>
        <v/>
      </c>
      <c r="Q31" t="b">
        <f>IF(
  Main!O34 = "",
  FALSE,
  COUNTIF(Survey[TestPoint], Alerts[[#This Row],[TestPoint]]) = 0
)</f>
        <v>0</v>
      </c>
      <c r="R31" s="416" t="str" cm="1">
        <f t="array" ref="R31">_xlfn.XLOOKUP(1,
  (Survey[TestPoint]=Alerts[[#This Row],[TestPoint]])*Survey[High],
  Survey[Time],
  "")</f>
        <v/>
      </c>
      <c r="S31" s="416" t="str" cm="1">
        <f t="array" ref="S31">_xlfn.XLOOKUP(1,
  (Survey[TestPoint]=Alerts[[#This Row],[TestPoint]])*Survey[Low],
  Survey[Time],
  "")</f>
        <v/>
      </c>
      <c r="T31" s="416"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416" t="str">
        <f>IFERROR(IF(OR(Alerts[[#This Row],[High]],Alerts[[#This Row],[Low]]),VALUE(Alerts[[#This Row],[High]]&amp;Alerts[[#This Row],[Low]]),Alerts[[#This Row],[Out Of Tolerance]]),"")</f>
        <v/>
      </c>
      <c r="Q32" t="b">
        <f>IF(
  Main!O35 = "",
  FALSE,
  COUNTIF(Survey[TestPoint], Alerts[[#This Row],[TestPoint]]) = 0
)</f>
        <v>0</v>
      </c>
      <c r="R32" s="416" t="str" cm="1">
        <f t="array" ref="R32">_xlfn.XLOOKUP(1,
  (Survey[TestPoint]=Alerts[[#This Row],[TestPoint]])*Survey[High],
  Survey[Time],
  "")</f>
        <v/>
      </c>
      <c r="S32" s="416" t="str" cm="1">
        <f t="array" ref="S32">_xlfn.XLOOKUP(1,
  (Survey[TestPoint]=Alerts[[#This Row],[TestPoint]])*Survey[Low],
  Survey[Time],
  "")</f>
        <v/>
      </c>
      <c r="T32" s="416"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416" t="str">
        <f>IFERROR(IF(OR(Alerts[[#This Row],[High]],Alerts[[#This Row],[Low]]),VALUE(Alerts[[#This Row],[High]]&amp;Alerts[[#This Row],[Low]]),Alerts[[#This Row],[Out Of Tolerance]]),"")</f>
        <v/>
      </c>
      <c r="Q33" t="b">
        <f>IF(
  Main!O36 = "",
  FALSE,
  COUNTIF(Survey[TestPoint], Alerts[[#This Row],[TestPoint]]) = 0
)</f>
        <v>0</v>
      </c>
      <c r="R33" s="416" t="str" cm="1">
        <f t="array" ref="R33">_xlfn.XLOOKUP(1,
  (Survey[TestPoint]=Alerts[[#This Row],[TestPoint]])*Survey[High],
  Survey[Time],
  "")</f>
        <v/>
      </c>
      <c r="S33" s="416" t="str" cm="1">
        <f t="array" ref="S33">_xlfn.XLOOKUP(1,
  (Survey[TestPoint]=Alerts[[#This Row],[TestPoint]])*Survey[Low],
  Survey[Time],
  "")</f>
        <v/>
      </c>
      <c r="T33" s="416"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416" t="str">
        <f>IFERROR(IF(OR(Alerts[[#This Row],[High]],Alerts[[#This Row],[Low]]),VALUE(Alerts[[#This Row],[High]]&amp;Alerts[[#This Row],[Low]]),Alerts[[#This Row],[Out Of Tolerance]]),"")</f>
        <v/>
      </c>
      <c r="Q34" t="b">
        <f>IF(
  Main!O37 = "",
  FALSE,
  COUNTIF(Survey[TestPoint], Alerts[[#This Row],[TestPoint]]) = 0
)</f>
        <v>0</v>
      </c>
      <c r="R34" s="416" t="str" cm="1">
        <f t="array" ref="R34">_xlfn.XLOOKUP(1,
  (Survey[TestPoint]=Alerts[[#This Row],[TestPoint]])*Survey[High],
  Survey[Time],
  "")</f>
        <v/>
      </c>
      <c r="S34" s="416" t="str" cm="1">
        <f t="array" ref="S34">_xlfn.XLOOKUP(1,
  (Survey[TestPoint]=Alerts[[#This Row],[TestPoint]])*Survey[Low],
  Survey[Time],
  "")</f>
        <v/>
      </c>
      <c r="T34" s="416"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416" t="str">
        <f>IFERROR(IF(OR(Alerts[[#This Row],[High]],Alerts[[#This Row],[Low]]),VALUE(Alerts[[#This Row],[High]]&amp;Alerts[[#This Row],[Low]]),Alerts[[#This Row],[Out Of Tolerance]]),"")</f>
        <v/>
      </c>
      <c r="Q35" t="b">
        <f>IF(
  Main!O38 = "",
  FALSE,
  COUNTIF(Survey[TestPoint], Alerts[[#This Row],[TestPoint]]) = 0
)</f>
        <v>0</v>
      </c>
      <c r="R35" s="416" t="str" cm="1">
        <f t="array" ref="R35">_xlfn.XLOOKUP(1,
  (Survey[TestPoint]=Alerts[[#This Row],[TestPoint]])*Survey[High],
  Survey[Time],
  "")</f>
        <v/>
      </c>
      <c r="S35" s="416" t="str" cm="1">
        <f t="array" ref="S35">_xlfn.XLOOKUP(1,
  (Survey[TestPoint]=Alerts[[#This Row],[TestPoint]])*Survey[Low],
  Survey[Time],
  "")</f>
        <v/>
      </c>
      <c r="T35" s="416"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416" t="str">
        <f>IFERROR(IF(OR(Alerts[[#This Row],[High]],Alerts[[#This Row],[Low]]),VALUE(Alerts[[#This Row],[High]]&amp;Alerts[[#This Row],[Low]]),Alerts[[#This Row],[Out Of Tolerance]]),"")</f>
        <v/>
      </c>
      <c r="Q36" t="b">
        <f>IF(
  Main!O39 = "",
  FALSE,
  COUNTIF(Survey[TestPoint], Alerts[[#This Row],[TestPoint]]) = 0
)</f>
        <v>0</v>
      </c>
      <c r="R36" s="416" t="str" cm="1">
        <f t="array" ref="R36">_xlfn.XLOOKUP(1,
  (Survey[TestPoint]=Alerts[[#This Row],[TestPoint]])*Survey[High],
  Survey[Time],
  "")</f>
        <v/>
      </c>
      <c r="S36" s="416" t="str" cm="1">
        <f t="array" ref="S36">_xlfn.XLOOKUP(1,
  (Survey[TestPoint]=Alerts[[#This Row],[TestPoint]])*Survey[Low],
  Survey[Time],
  "")</f>
        <v/>
      </c>
      <c r="T36" s="416"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416" t="str">
        <f>IFERROR(IF(OR(Alerts[[#This Row],[High]],Alerts[[#This Row],[Low]]),VALUE(Alerts[[#This Row],[High]]&amp;Alerts[[#This Row],[Low]]),Alerts[[#This Row],[Out Of Tolerance]]),"")</f>
        <v/>
      </c>
      <c r="Q37" t="b">
        <f>IF(
  Main!O40 = "",
  FALSE,
  COUNTIF(Survey[TestPoint], Alerts[[#This Row],[TestPoint]]) = 0
)</f>
        <v>0</v>
      </c>
      <c r="R37" s="416" t="str" cm="1">
        <f t="array" ref="R37">_xlfn.XLOOKUP(1,
  (Survey[TestPoint]=Alerts[[#This Row],[TestPoint]])*Survey[High],
  Survey[Time],
  "")</f>
        <v/>
      </c>
      <c r="S37" s="416" t="str" cm="1">
        <f t="array" ref="S37">_xlfn.XLOOKUP(1,
  (Survey[TestPoint]=Alerts[[#This Row],[TestPoint]])*Survey[Low],
  Survey[Time],
  "")</f>
        <v/>
      </c>
      <c r="T37" s="416"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416" t="str">
        <f>IFERROR(IF(OR(Alerts[[#This Row],[High]],Alerts[[#This Row],[Low]]),VALUE(Alerts[[#This Row],[High]]&amp;Alerts[[#This Row],[Low]]),Alerts[[#This Row],[Out Of Tolerance]]),"")</f>
        <v/>
      </c>
      <c r="Q38" t="b">
        <f>IF(
  Main!O41 = "",
  FALSE,
  COUNTIF(Survey[TestPoint], Alerts[[#This Row],[TestPoint]]) = 0
)</f>
        <v>0</v>
      </c>
      <c r="R38" s="416" t="str" cm="1">
        <f t="array" ref="R38">_xlfn.XLOOKUP(1,
  (Survey[TestPoint]=Alerts[[#This Row],[TestPoint]])*Survey[High],
  Survey[Time],
  "")</f>
        <v/>
      </c>
      <c r="S38" s="416" t="str" cm="1">
        <f t="array" ref="S38">_xlfn.XLOOKUP(1,
  (Survey[TestPoint]=Alerts[[#This Row],[TestPoint]])*Survey[Low],
  Survey[Time],
  "")</f>
        <v/>
      </c>
      <c r="T38" s="416"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416" t="str">
        <f>IFERROR(IF(OR(Alerts[[#This Row],[High]],Alerts[[#This Row],[Low]]),VALUE(Alerts[[#This Row],[High]]&amp;Alerts[[#This Row],[Low]]),Alerts[[#This Row],[Out Of Tolerance]]),"")</f>
        <v/>
      </c>
      <c r="Q39" t="b">
        <f>IF(
  Main!O42 = "",
  FALSE,
  COUNTIF(Survey[TestPoint], Alerts[[#This Row],[TestPoint]]) = 0
)</f>
        <v>0</v>
      </c>
      <c r="R39" s="416" t="str" cm="1">
        <f t="array" ref="R39">_xlfn.XLOOKUP(1,
  (Survey[TestPoint]=Alerts[[#This Row],[TestPoint]])*Survey[High],
  Survey[Time],
  "")</f>
        <v/>
      </c>
      <c r="S39" s="416" t="str" cm="1">
        <f t="array" ref="S39">_xlfn.XLOOKUP(1,
  (Survey[TestPoint]=Alerts[[#This Row],[TestPoint]])*Survey[Low],
  Survey[Time],
  "")</f>
        <v/>
      </c>
      <c r="T39" s="416"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416" t="str">
        <f>IFERROR(IF(OR(Alerts[[#This Row],[High]],Alerts[[#This Row],[Low]]),VALUE(Alerts[[#This Row],[High]]&amp;Alerts[[#This Row],[Low]]),Alerts[[#This Row],[Out Of Tolerance]]),"")</f>
        <v/>
      </c>
      <c r="Q40" t="b">
        <f>IF(
  Main!O43 = "",
  FALSE,
  COUNTIF(Survey[TestPoint], Alerts[[#This Row],[TestPoint]]) = 0
)</f>
        <v>0</v>
      </c>
      <c r="R40" s="416" t="str" cm="1">
        <f t="array" ref="R40">_xlfn.XLOOKUP(1,
  (Survey[TestPoint]=Alerts[[#This Row],[TestPoint]])*Survey[High],
  Survey[Time],
  "")</f>
        <v/>
      </c>
      <c r="S40" s="416" t="str" cm="1">
        <f t="array" ref="S40">_xlfn.XLOOKUP(1,
  (Survey[TestPoint]=Alerts[[#This Row],[TestPoint]])*Survey[Low],
  Survey[Time],
  "")</f>
        <v/>
      </c>
      <c r="T40" s="416"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416" t="str">
        <f>IFERROR(IF(OR(Alerts[[#This Row],[High]],Alerts[[#This Row],[Low]]),VALUE(Alerts[[#This Row],[High]]&amp;Alerts[[#This Row],[Low]]),Alerts[[#This Row],[Out Of Tolerance]]),"")</f>
        <v/>
      </c>
      <c r="Q41" t="b">
        <f>IF(
  Main!O44 = "",
  FALSE,
  COUNTIF(Survey[TestPoint], Alerts[[#This Row],[TestPoint]]) = 0
)</f>
        <v>0</v>
      </c>
      <c r="R41" s="416" t="str" cm="1">
        <f t="array" ref="R41">_xlfn.XLOOKUP(1,
  (Survey[TestPoint]=Alerts[[#This Row],[TestPoint]])*Survey[High],
  Survey[Time],
  "")</f>
        <v/>
      </c>
      <c r="S41" s="416" t="str" cm="1">
        <f t="array" ref="S41">_xlfn.XLOOKUP(1,
  (Survey[TestPoint]=Alerts[[#This Row],[TestPoint]])*Survey[Low],
  Survey[Time],
  "")</f>
        <v/>
      </c>
      <c r="T41" s="416"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style="662" bestFit="1" customWidth="1"/>
    <col min="14" max="14" width="16.7109375" style="66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657" t="s">
        <v>968</v>
      </c>
      <c r="J1" s="657" t="s">
        <v>897</v>
      </c>
      <c r="K1" s="657" t="s">
        <v>967</v>
      </c>
      <c r="M1" s="657" t="s">
        <v>968</v>
      </c>
      <c r="N1" s="657" t="s">
        <v>1253</v>
      </c>
      <c r="O1" s="657" t="s">
        <v>1254</v>
      </c>
      <c r="P1" s="657" t="s">
        <v>89</v>
      </c>
      <c r="Q1" s="657" t="s">
        <v>988</v>
      </c>
      <c r="R1" s="657" t="s">
        <v>1250</v>
      </c>
      <c r="S1" s="657" t="s">
        <v>1251</v>
      </c>
      <c r="T1" s="657" t="s">
        <v>1252</v>
      </c>
      <c r="W1" t="s">
        <v>1067</v>
      </c>
      <c r="X1" t="s">
        <v>1066</v>
      </c>
    </row>
    <row r="2" spans="1:24" ht="13.5" thickTop="1" x14ac:dyDescent="0.2">
      <c r="A2"/>
      <c r="B2"/>
      <c r="C2"/>
      <c r="D2"/>
      <c r="E2"/>
      <c r="F2" s="662" t="str">
        <f>LEFT(AllDaqbookOffsets[[#This Row],[traceability_no]],2)</f>
        <v>J1</v>
      </c>
      <c r="I2" cm="1">
        <f t="array" ref="I2:K241">_xlfn._xlws.FILTER(AllDaqbookOffsets[[point]:[Offset]],AllDaqbookOffsets[AssetTag]=DaqbookAssetTag)</f>
        <v>1</v>
      </c>
      <c r="J2">
        <v>-100</v>
      </c>
      <c r="K2">
        <v>-0.20000000000000284</v>
      </c>
      <c r="M2">
        <v>1</v>
      </c>
      <c r="N2" s="664" t="e" c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2" s="660" t="e" cm="1">
        <f t="array" ref="O2">IF(DaqbookInterp[[#This Row],[Include]],QRound(N2),NA())</f>
        <v>#VALUE!</v>
      </c>
      <c r="P2" t="str">
        <f>IF(DaqbookInterp[[#This Row],[Include]],Main!O5, NA())</f>
        <v>J01</v>
      </c>
      <c r="Q2" t="b">
        <f>NOT(ISBLANK(Main!O5))</f>
        <v>1</v>
      </c>
      <c r="R2" t="str">
        <f>LOOKUP(DaqbookInterp[[#This Row],[T/C Name]],WireSNs[])</f>
        <v>J01-J24</v>
      </c>
      <c r="S2" s="662" t="e">
        <f>HLOOKUP(DaqbookInterp[[#This Row],[WireSet]],Main!$D$48:$I$55,8,0)</f>
        <v>#N/A</v>
      </c>
      <c r="T2" s="662" t="e">
        <f>_xlfn.XLOOKUP(DaqbookInterp[[#This Row],[Wire Lot '#]],Interp!$B$11:$B$16,Interp!$D$11:$D$16)</f>
        <v>#N/A</v>
      </c>
      <c r="W2" t="s">
        <v>969</v>
      </c>
      <c r="X2" t="s">
        <v>196</v>
      </c>
    </row>
    <row r="3" spans="1:24" x14ac:dyDescent="0.2">
      <c r="A3"/>
      <c r="B3"/>
      <c r="C3"/>
      <c r="D3"/>
      <c r="E3"/>
      <c r="F3" s="662" t="str">
        <f>LEFT(AllDaqbookOffsets[[#This Row],[traceability_no]],2)</f>
        <v>J1</v>
      </c>
      <c r="I3">
        <v>2</v>
      </c>
      <c r="J3">
        <v>-100</v>
      </c>
      <c r="K3">
        <v>9.9999999999994316E-2</v>
      </c>
      <c r="M3">
        <v>2</v>
      </c>
      <c r="N3" s="664" t="e" c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3" s="660" t="e" cm="1">
        <f t="array" ref="O3">IF(DaqbookInterp[[#This Row],[Include]],QRound(N3),NA())</f>
        <v>#VALUE!</v>
      </c>
      <c r="P3" t="str">
        <f>IF(DaqbookInterp[[#This Row],[Include]],Main!O6, NA())</f>
        <v>J02</v>
      </c>
      <c r="Q3" t="b">
        <f>NOT(ISBLANK(Main!O6))</f>
        <v>1</v>
      </c>
      <c r="R3" t="str">
        <f>LOOKUP(DaqbookInterp[[#This Row],[T/C Name]],WireSNs[])</f>
        <v>J01-J24</v>
      </c>
      <c r="S3" s="662" t="e">
        <f>HLOOKUP(DaqbookInterp[[#This Row],[WireSet]],Main!$D$48:$I$55,8,0)</f>
        <v>#N/A</v>
      </c>
      <c r="T3" s="662" t="e">
        <f>_xlfn.XLOOKUP(DaqbookInterp[[#This Row],[Wire Lot '#]],Interp!$B$11:$B$16,Interp!$D$11:$D$16)</f>
        <v>#N/A</v>
      </c>
      <c r="W3" t="s">
        <v>970</v>
      </c>
      <c r="X3" t="s">
        <v>196</v>
      </c>
    </row>
    <row r="4" spans="1:24" x14ac:dyDescent="0.2">
      <c r="A4"/>
      <c r="B4"/>
      <c r="C4"/>
      <c r="D4"/>
      <c r="E4"/>
      <c r="F4" s="662" t="str">
        <f>LEFT(AllDaqbookOffsets[[#This Row],[traceability_no]],2)</f>
        <v>J1</v>
      </c>
      <c r="I4">
        <v>3</v>
      </c>
      <c r="J4">
        <v>-100</v>
      </c>
      <c r="K4">
        <v>-9.9999999999994316E-2</v>
      </c>
      <c r="M4">
        <v>3</v>
      </c>
      <c r="N4" s="664" t="e" c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4" s="660" t="e" cm="1">
        <f t="array" ref="O4">IF(DaqbookInterp[[#This Row],[Include]],QRound(N4),NA())</f>
        <v>#VALUE!</v>
      </c>
      <c r="P4" t="str">
        <f>IF(DaqbookInterp[[#This Row],[Include]],Main!O7, NA())</f>
        <v>J03</v>
      </c>
      <c r="Q4" t="b">
        <f>NOT(ISBLANK(Main!O7))</f>
        <v>1</v>
      </c>
      <c r="R4" t="str">
        <f>LOOKUP(DaqbookInterp[[#This Row],[T/C Name]],WireSNs[])</f>
        <v>J01-J24</v>
      </c>
      <c r="S4" s="662" t="e">
        <f>HLOOKUP(DaqbookInterp[[#This Row],[WireSet]],Main!$D$48:$I$55,8,0)</f>
        <v>#N/A</v>
      </c>
      <c r="T4" s="662" t="e">
        <f>_xlfn.XLOOKUP(DaqbookInterp[[#This Row],[Wire Lot '#]],Interp!$B$11:$B$16,Interp!$D$11:$D$16)</f>
        <v>#N/A</v>
      </c>
      <c r="W4" t="s">
        <v>971</v>
      </c>
      <c r="X4" t="s">
        <v>196</v>
      </c>
    </row>
    <row r="5" spans="1:24" x14ac:dyDescent="0.2">
      <c r="A5"/>
      <c r="B5"/>
      <c r="C5"/>
      <c r="D5"/>
      <c r="E5"/>
      <c r="F5" s="662" t="str">
        <f>LEFT(AllDaqbookOffsets[[#This Row],[traceability_no]],2)</f>
        <v>J1</v>
      </c>
      <c r="I5">
        <v>4</v>
      </c>
      <c r="J5">
        <v>-100</v>
      </c>
      <c r="K5">
        <v>-0.20000000000000284</v>
      </c>
      <c r="M5">
        <v>4</v>
      </c>
      <c r="N5" s="664" t="e" c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5" s="660" t="e" cm="1">
        <f t="array" ref="O5">IF(DaqbookInterp[[#This Row],[Include]],QRound(N5),NA())</f>
        <v>#VALUE!</v>
      </c>
      <c r="P5" t="str">
        <f>IF(DaqbookInterp[[#This Row],[Include]],Main!O8, NA())</f>
        <v>J04</v>
      </c>
      <c r="Q5" t="b">
        <f>NOT(ISBLANK(Main!O8))</f>
        <v>1</v>
      </c>
      <c r="R5" t="str">
        <f>LOOKUP(DaqbookInterp[[#This Row],[T/C Name]],WireSNs[])</f>
        <v>J01-J24</v>
      </c>
      <c r="S5" s="662" t="e">
        <f>HLOOKUP(DaqbookInterp[[#This Row],[WireSet]],Main!$D$48:$I$55,8,0)</f>
        <v>#N/A</v>
      </c>
      <c r="T5" s="662" t="e">
        <f>_xlfn.XLOOKUP(DaqbookInterp[[#This Row],[Wire Lot '#]],Interp!$B$11:$B$16,Interp!$D$11:$D$16)</f>
        <v>#N/A</v>
      </c>
      <c r="W5" t="s">
        <v>972</v>
      </c>
      <c r="X5" t="s">
        <v>196</v>
      </c>
    </row>
    <row r="6" spans="1:24" x14ac:dyDescent="0.2">
      <c r="A6"/>
      <c r="B6"/>
      <c r="C6"/>
      <c r="D6"/>
      <c r="E6"/>
      <c r="F6" s="662" t="str">
        <f>LEFT(AllDaqbookOffsets[[#This Row],[traceability_no]],2)</f>
        <v>J1</v>
      </c>
      <c r="I6">
        <v>5</v>
      </c>
      <c r="J6">
        <v>-100</v>
      </c>
      <c r="K6">
        <v>0</v>
      </c>
      <c r="M6">
        <v>5</v>
      </c>
      <c r="N6" s="664" t="e" c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6" s="660" t="e" cm="1">
        <f t="array" ref="O6">IF(DaqbookInterp[[#This Row],[Include]],QRound(N6),NA())</f>
        <v>#VALUE!</v>
      </c>
      <c r="P6" t="str">
        <f>IF(DaqbookInterp[[#This Row],[Include]],Main!O9, NA())</f>
        <v>J05</v>
      </c>
      <c r="Q6" t="b">
        <f>NOT(ISBLANK(Main!O9))</f>
        <v>1</v>
      </c>
      <c r="R6" t="str">
        <f>LOOKUP(DaqbookInterp[[#This Row],[T/C Name]],WireSNs[])</f>
        <v>J01-J24</v>
      </c>
      <c r="S6" s="662" t="e">
        <f>HLOOKUP(DaqbookInterp[[#This Row],[WireSet]],Main!$D$48:$I$55,8,0)</f>
        <v>#N/A</v>
      </c>
      <c r="T6" s="662" t="e">
        <f>_xlfn.XLOOKUP(DaqbookInterp[[#This Row],[Wire Lot '#]],Interp!$B$11:$B$16,Interp!$D$11:$D$16)</f>
        <v>#N/A</v>
      </c>
      <c r="W6" t="s">
        <v>973</v>
      </c>
      <c r="X6" t="s">
        <v>196</v>
      </c>
    </row>
    <row r="7" spans="1:24" x14ac:dyDescent="0.2">
      <c r="A7"/>
      <c r="B7"/>
      <c r="C7"/>
      <c r="D7"/>
      <c r="E7"/>
      <c r="F7" s="662" t="str">
        <f>LEFT(AllDaqbookOffsets[[#This Row],[traceability_no]],2)</f>
        <v>J1</v>
      </c>
      <c r="I7">
        <v>6</v>
      </c>
      <c r="J7">
        <v>-100</v>
      </c>
      <c r="K7">
        <v>-9.9999999999994316E-2</v>
      </c>
      <c r="M7">
        <v>6</v>
      </c>
      <c r="N7" s="664" t="e" c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7" s="660" t="e" cm="1">
        <f t="array" ref="O7">IF(DaqbookInterp[[#This Row],[Include]],QRound(N7),NA())</f>
        <v>#VALUE!</v>
      </c>
      <c r="P7" t="str">
        <f>IF(DaqbookInterp[[#This Row],[Include]],Main!O10, NA())</f>
        <v>J06</v>
      </c>
      <c r="Q7" t="b">
        <f>NOT(ISBLANK(Main!O10))</f>
        <v>1</v>
      </c>
      <c r="R7" t="str">
        <f>LOOKUP(DaqbookInterp[[#This Row],[T/C Name]],WireSNs[])</f>
        <v>J01-J24</v>
      </c>
      <c r="S7" s="662" t="e">
        <f>HLOOKUP(DaqbookInterp[[#This Row],[WireSet]],Main!$D$48:$I$55,8,0)</f>
        <v>#N/A</v>
      </c>
      <c r="T7" s="662" t="e">
        <f>_xlfn.XLOOKUP(DaqbookInterp[[#This Row],[Wire Lot '#]],Interp!$B$11:$B$16,Interp!$D$11:$D$16)</f>
        <v>#N/A</v>
      </c>
      <c r="W7" t="s">
        <v>974</v>
      </c>
      <c r="X7" t="s">
        <v>196</v>
      </c>
    </row>
    <row r="8" spans="1:24" x14ac:dyDescent="0.2">
      <c r="A8"/>
      <c r="B8"/>
      <c r="C8"/>
      <c r="D8"/>
      <c r="E8"/>
      <c r="F8" s="662" t="str">
        <f>LEFT(AllDaqbookOffsets[[#This Row],[traceability_no]],2)</f>
        <v>J1</v>
      </c>
      <c r="I8">
        <v>7</v>
      </c>
      <c r="J8">
        <v>-100</v>
      </c>
      <c r="K8">
        <v>0</v>
      </c>
      <c r="M8">
        <v>7</v>
      </c>
      <c r="N8" s="664" t="e" c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8" s="660" t="e" cm="1">
        <f t="array" ref="O8">IF(DaqbookInterp[[#This Row],[Include]],QRound(N8),NA())</f>
        <v>#VALUE!</v>
      </c>
      <c r="P8" t="str">
        <f>IF(DaqbookInterp[[#This Row],[Include]],Main!O11, NA())</f>
        <v>J07</v>
      </c>
      <c r="Q8" s="663" t="b">
        <f>NOT(ISBLANK(Main!O11))</f>
        <v>1</v>
      </c>
      <c r="R8" t="str">
        <f>LOOKUP(DaqbookInterp[[#This Row],[T/C Name]],WireSNs[])</f>
        <v>J01-J24</v>
      </c>
      <c r="S8" s="662" t="e">
        <f>HLOOKUP(DaqbookInterp[[#This Row],[WireSet]],Main!$D$48:$I$55,8,0)</f>
        <v>#N/A</v>
      </c>
      <c r="T8" s="662" t="e">
        <f>_xlfn.XLOOKUP(DaqbookInterp[[#This Row],[Wire Lot '#]],Interp!$B$11:$B$16,Interp!$D$11:$D$16)</f>
        <v>#N/A</v>
      </c>
      <c r="W8" t="s">
        <v>975</v>
      </c>
      <c r="X8" t="s">
        <v>196</v>
      </c>
    </row>
    <row r="9" spans="1:24" x14ac:dyDescent="0.2">
      <c r="A9"/>
      <c r="B9"/>
      <c r="C9"/>
      <c r="D9"/>
      <c r="E9"/>
      <c r="F9" s="662" t="str">
        <f>LEFT(AllDaqbookOffsets[[#This Row],[traceability_no]],2)</f>
        <v>J1</v>
      </c>
      <c r="I9">
        <v>8</v>
      </c>
      <c r="J9">
        <v>-100</v>
      </c>
      <c r="K9">
        <v>0.20000000000000284</v>
      </c>
      <c r="M9">
        <v>8</v>
      </c>
      <c r="N9" s="664" t="e" c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9" s="660" t="e" cm="1">
        <f t="array" ref="O9">IF(DaqbookInterp[[#This Row],[Include]],QRound(N9),NA())</f>
        <v>#VALUE!</v>
      </c>
      <c r="P9" s="663" t="str">
        <f>IF(DaqbookInterp[[#This Row],[Include]],Main!O12, NA())</f>
        <v>J08</v>
      </c>
      <c r="Q9" t="b">
        <f>NOT(ISBLANK(Main!O12))</f>
        <v>1</v>
      </c>
      <c r="R9" t="str">
        <f>LOOKUP(DaqbookInterp[[#This Row],[T/C Name]],WireSNs[])</f>
        <v>J01-J24</v>
      </c>
      <c r="S9" s="662" t="e">
        <f>HLOOKUP(DaqbookInterp[[#This Row],[WireSet]],Main!$D$48:$I$55,8,0)</f>
        <v>#N/A</v>
      </c>
      <c r="T9" s="662" t="e">
        <f>_xlfn.XLOOKUP(DaqbookInterp[[#This Row],[Wire Lot '#]],Interp!$B$11:$B$16,Interp!$D$11:$D$16)</f>
        <v>#N/A</v>
      </c>
      <c r="W9" t="s">
        <v>976</v>
      </c>
      <c r="X9" t="s">
        <v>196</v>
      </c>
    </row>
    <row r="10" spans="1:24" x14ac:dyDescent="0.2">
      <c r="A10"/>
      <c r="B10"/>
      <c r="C10"/>
      <c r="D10"/>
      <c r="E10"/>
      <c r="F10" s="662" t="str">
        <f>LEFT(AllDaqbookOffsets[[#This Row],[traceability_no]],2)</f>
        <v>J1</v>
      </c>
      <c r="I10">
        <v>9</v>
      </c>
      <c r="J10">
        <v>-100</v>
      </c>
      <c r="K10">
        <v>-0.20000000000000284</v>
      </c>
      <c r="M10">
        <v>9</v>
      </c>
      <c r="N10" s="664" t="e" c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10" s="660" t="e" cm="1">
        <f t="array" ref="O10">IF(DaqbookInterp[[#This Row],[Include]],QRound(N10),NA())</f>
        <v>#VALUE!</v>
      </c>
      <c r="P10" t="str">
        <f>IF(DaqbookInterp[[#This Row],[Include]],Main!O13, NA())</f>
        <v>J09</v>
      </c>
      <c r="Q10" t="b">
        <f>NOT(ISBLANK(Main!O13))</f>
        <v>1</v>
      </c>
      <c r="R10" t="str">
        <f>LOOKUP(DaqbookInterp[[#This Row],[T/C Name]],WireSNs[])</f>
        <v>J01-J24</v>
      </c>
      <c r="S10" s="662" t="e">
        <f>HLOOKUP(DaqbookInterp[[#This Row],[WireSet]],Main!$D$48:$I$55,8,0)</f>
        <v>#N/A</v>
      </c>
      <c r="T10" s="662" t="e">
        <f>_xlfn.XLOOKUP(DaqbookInterp[[#This Row],[Wire Lot '#]],Interp!$B$11:$B$16,Interp!$D$11:$D$16)</f>
        <v>#N/A</v>
      </c>
      <c r="W10" t="s">
        <v>977</v>
      </c>
      <c r="X10" t="s">
        <v>196</v>
      </c>
    </row>
    <row r="11" spans="1:24" x14ac:dyDescent="0.2">
      <c r="A11"/>
      <c r="B11"/>
      <c r="C11"/>
      <c r="D11"/>
      <c r="E11"/>
      <c r="F11" s="662" t="str">
        <f>LEFT(AllDaqbookOffsets[[#This Row],[traceability_no]],2)</f>
        <v>J1</v>
      </c>
      <c r="I11">
        <v>10</v>
      </c>
      <c r="J11">
        <v>-100</v>
      </c>
      <c r="K11">
        <v>9.9999999999994316E-2</v>
      </c>
      <c r="M11">
        <v>10</v>
      </c>
      <c r="N11" s="664" t="e" c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11" s="660" t="e" cm="1">
        <f t="array" ref="O11">IF(DaqbookInterp[[#This Row],[Include]],QRound(N11),NA())</f>
        <v>#VALUE!</v>
      </c>
      <c r="P11" t="str">
        <f>IF(DaqbookInterp[[#This Row],[Include]],Main!O14, NA())</f>
        <v>J10</v>
      </c>
      <c r="Q11" s="663" t="b">
        <f>NOT(ISBLANK(Main!O14))</f>
        <v>1</v>
      </c>
      <c r="R11" t="str">
        <f>LOOKUP(DaqbookInterp[[#This Row],[T/C Name]],WireSNs[])</f>
        <v>J01-J24</v>
      </c>
      <c r="S11" s="662" t="e">
        <f>HLOOKUP(DaqbookInterp[[#This Row],[WireSet]],Main!$D$48:$I$55,8,0)</f>
        <v>#N/A</v>
      </c>
      <c r="T11" s="662" t="e">
        <f>_xlfn.XLOOKUP(DaqbookInterp[[#This Row],[Wire Lot '#]],Interp!$B$11:$B$16,Interp!$D$11:$D$16)</f>
        <v>#N/A</v>
      </c>
      <c r="W11" t="s">
        <v>978</v>
      </c>
      <c r="X11" t="s">
        <v>196</v>
      </c>
    </row>
    <row r="12" spans="1:24" x14ac:dyDescent="0.2">
      <c r="A12"/>
      <c r="B12"/>
      <c r="C12"/>
      <c r="D12"/>
      <c r="E12"/>
      <c r="F12" s="662" t="str">
        <f>LEFT(AllDaqbookOffsets[[#This Row],[traceability_no]],2)</f>
        <v>J1</v>
      </c>
      <c r="I12">
        <v>11</v>
      </c>
      <c r="J12">
        <v>-100</v>
      </c>
      <c r="K12">
        <v>-0.20000000000000284</v>
      </c>
      <c r="M12">
        <v>11</v>
      </c>
      <c r="N12" s="664" t="e" c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12" s="660" t="e" cm="1">
        <f t="array" ref="O12">IF(DaqbookInterp[[#This Row],[Include]],QRound(N12),NA())</f>
        <v>#VALUE!</v>
      </c>
      <c r="P12" t="str">
        <f>IF(DaqbookInterp[[#This Row],[Include]],Main!O15, NA())</f>
        <v>J11</v>
      </c>
      <c r="Q12" t="b">
        <f>NOT(ISBLANK(Main!O15))</f>
        <v>1</v>
      </c>
      <c r="R12" t="str">
        <f>LOOKUP(DaqbookInterp[[#This Row],[T/C Name]],WireSNs[])</f>
        <v>J01-J24</v>
      </c>
      <c r="S12" s="662" t="e">
        <f>HLOOKUP(DaqbookInterp[[#This Row],[WireSet]],Main!$D$48:$I$55,8,0)</f>
        <v>#N/A</v>
      </c>
      <c r="T12" s="662" t="e">
        <f>_xlfn.XLOOKUP(DaqbookInterp[[#This Row],[Wire Lot '#]],Interp!$B$11:$B$16,Interp!$D$11:$D$16)</f>
        <v>#N/A</v>
      </c>
      <c r="W12" t="s">
        <v>981</v>
      </c>
      <c r="X12" t="s">
        <v>197</v>
      </c>
    </row>
    <row r="13" spans="1:24" x14ac:dyDescent="0.2">
      <c r="A13"/>
      <c r="B13"/>
      <c r="C13"/>
      <c r="D13"/>
      <c r="E13"/>
      <c r="F13" s="662" t="str">
        <f>LEFT(AllDaqbookOffsets[[#This Row],[traceability_no]],2)</f>
        <v>J1</v>
      </c>
      <c r="I13">
        <v>12</v>
      </c>
      <c r="J13">
        <v>-100</v>
      </c>
      <c r="K13">
        <v>0.20000000000000284</v>
      </c>
      <c r="M13">
        <v>12</v>
      </c>
      <c r="N13" s="664" t="e" c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13" s="660" t="e" cm="1">
        <f t="array" ref="O13">IF(DaqbookInterp[[#This Row],[Include]],QRound(N13),NA())</f>
        <v>#VALUE!</v>
      </c>
      <c r="P13" t="str">
        <f>IF(DaqbookInterp[[#This Row],[Include]],Main!O16, NA())</f>
        <v>J12</v>
      </c>
      <c r="Q13" t="b">
        <f>NOT(ISBLANK(Main!O16))</f>
        <v>1</v>
      </c>
      <c r="R13" t="str">
        <f>LOOKUP(DaqbookInterp[[#This Row],[T/C Name]],WireSNs[])</f>
        <v>J01-J24</v>
      </c>
      <c r="S13" s="662" t="e">
        <f>HLOOKUP(DaqbookInterp[[#This Row],[WireSet]],Main!$D$48:$I$55,8,0)</f>
        <v>#N/A</v>
      </c>
      <c r="T13" s="662" t="e">
        <f>_xlfn.XLOOKUP(DaqbookInterp[[#This Row],[Wire Lot '#]],Interp!$B$11:$B$16,Interp!$D$11:$D$16)</f>
        <v>#N/A</v>
      </c>
      <c r="W13" t="s">
        <v>982</v>
      </c>
      <c r="X13" t="s">
        <v>197</v>
      </c>
    </row>
    <row r="14" spans="1:24" x14ac:dyDescent="0.2">
      <c r="A14"/>
      <c r="B14"/>
      <c r="C14"/>
      <c r="D14"/>
      <c r="E14"/>
      <c r="F14" s="662" t="str">
        <f>LEFT(AllDaqbookOffsets[[#This Row],[traceability_no]],2)</f>
        <v>J1</v>
      </c>
      <c r="I14">
        <v>13</v>
      </c>
      <c r="J14">
        <v>-100</v>
      </c>
      <c r="K14">
        <v>-0.20000000000000284</v>
      </c>
      <c r="M14">
        <v>13</v>
      </c>
      <c r="N14" s="664" t="e" c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14" s="660" t="e" cm="1">
        <f t="array" ref="O14">IF(DaqbookInterp[[#This Row],[Include]],QRound(N14),NA())</f>
        <v>#VALUE!</v>
      </c>
      <c r="P14" t="str">
        <f>IF(DaqbookInterp[[#This Row],[Include]],Main!O17, NA())</f>
        <v>J101</v>
      </c>
      <c r="Q14" t="b">
        <f>NOT(ISBLANK(Main!O17))</f>
        <v>1</v>
      </c>
      <c r="R14" t="str">
        <f>LOOKUP(DaqbookInterp[[#This Row],[T/C Name]],WireSNs[])</f>
        <v>J101-J110</v>
      </c>
      <c r="S14" s="662" t="e">
        <f>HLOOKUP(DaqbookInterp[[#This Row],[WireSet]],Main!$D$48:$I$55,8,0)</f>
        <v>#N/A</v>
      </c>
      <c r="T14" s="662" t="e">
        <f>_xlfn.XLOOKUP(DaqbookInterp[[#This Row],[Wire Lot '#]],Interp!$B$11:$B$16,Interp!$D$11:$D$16)</f>
        <v>#N/A</v>
      </c>
      <c r="W14" t="s">
        <v>983</v>
      </c>
      <c r="X14" t="s">
        <v>197</v>
      </c>
    </row>
    <row r="15" spans="1:24" x14ac:dyDescent="0.2">
      <c r="A15"/>
      <c r="B15"/>
      <c r="C15"/>
      <c r="D15"/>
      <c r="E15"/>
      <c r="F15" s="662" t="str">
        <f>LEFT(AllDaqbookOffsets[[#This Row],[traceability_no]],2)</f>
        <v>J1</v>
      </c>
      <c r="I15">
        <v>14</v>
      </c>
      <c r="J15">
        <v>-100</v>
      </c>
      <c r="K15">
        <v>-0.5</v>
      </c>
      <c r="M15">
        <v>14</v>
      </c>
      <c r="N15" s="664" t="e" c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15" s="660" t="e" cm="1">
        <f t="array" ref="O15">IF(DaqbookInterp[[#This Row],[Include]],QRound(N15),NA())</f>
        <v>#VALUE!</v>
      </c>
      <c r="P15" t="str">
        <f>IF(DaqbookInterp[[#This Row],[Include]],Main!O18, NA())</f>
        <v>J102</v>
      </c>
      <c r="Q15" t="b">
        <f>NOT(ISBLANK(Main!O18))</f>
        <v>1</v>
      </c>
      <c r="R15" t="str">
        <f>LOOKUP(DaqbookInterp[[#This Row],[T/C Name]],WireSNs[])</f>
        <v>J101-J110</v>
      </c>
      <c r="S15" s="662" t="e">
        <f>HLOOKUP(DaqbookInterp[[#This Row],[WireSet]],Main!$D$48:$I$55,8,0)</f>
        <v>#N/A</v>
      </c>
      <c r="T15" s="662" t="e">
        <f>_xlfn.XLOOKUP(DaqbookInterp[[#This Row],[Wire Lot '#]],Interp!$B$11:$B$16,Interp!$D$11:$D$16)</f>
        <v>#N/A</v>
      </c>
      <c r="W15" t="s">
        <v>984</v>
      </c>
      <c r="X15" t="s">
        <v>197</v>
      </c>
    </row>
    <row r="16" spans="1:24" x14ac:dyDescent="0.2">
      <c r="A16"/>
      <c r="B16"/>
      <c r="C16"/>
      <c r="D16"/>
      <c r="E16"/>
      <c r="F16" s="662" t="str">
        <f>LEFT(AllDaqbookOffsets[[#This Row],[traceability_no]],2)</f>
        <v>J1</v>
      </c>
      <c r="I16">
        <v>15</v>
      </c>
      <c r="J16">
        <v>-100</v>
      </c>
      <c r="K16">
        <v>9.9999999999994316E-2</v>
      </c>
      <c r="M16">
        <v>15</v>
      </c>
      <c r="N16" s="664" t="e" c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16" s="660" t="e" cm="1">
        <f t="array" ref="O16">IF(DaqbookInterp[[#This Row],[Include]],QRound(N16),NA())</f>
        <v>#VALUE!</v>
      </c>
      <c r="P16" t="str">
        <f>IF(DaqbookInterp[[#This Row],[Include]],Main!O19, NA())</f>
        <v>J103</v>
      </c>
      <c r="Q16" t="b">
        <f>NOT(ISBLANK(Main!O19))</f>
        <v>1</v>
      </c>
      <c r="R16" t="str">
        <f>LOOKUP(DaqbookInterp[[#This Row],[T/C Name]],WireSNs[])</f>
        <v>J101-J110</v>
      </c>
      <c r="S16" s="662" t="e">
        <f>HLOOKUP(DaqbookInterp[[#This Row],[WireSet]],Main!$D$48:$I$55,8,0)</f>
        <v>#N/A</v>
      </c>
      <c r="T16" s="662" t="e">
        <f>_xlfn.XLOOKUP(DaqbookInterp[[#This Row],[Wire Lot '#]],Interp!$B$11:$B$16,Interp!$D$11:$D$16)</f>
        <v>#N/A</v>
      </c>
      <c r="W16" t="s">
        <v>985</v>
      </c>
      <c r="X16" t="s">
        <v>197</v>
      </c>
    </row>
    <row r="17" spans="1:24" x14ac:dyDescent="0.2">
      <c r="A17"/>
      <c r="B17"/>
      <c r="C17"/>
      <c r="D17"/>
      <c r="E17"/>
      <c r="F17" s="662" t="str">
        <f>LEFT(AllDaqbookOffsets[[#This Row],[traceability_no]],2)</f>
        <v>J1</v>
      </c>
      <c r="I17">
        <v>16</v>
      </c>
      <c r="J17">
        <v>-100</v>
      </c>
      <c r="K17">
        <v>0.20000000000000284</v>
      </c>
      <c r="M17">
        <v>16</v>
      </c>
      <c r="N17" s="664" t="e" c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17" s="660" t="e" cm="1">
        <f t="array" ref="O17">IF(DaqbookInterp[[#This Row],[Include]],QRound(N17),NA())</f>
        <v>#VALUE!</v>
      </c>
      <c r="P17" t="str">
        <f>IF(DaqbookInterp[[#This Row],[Include]],Main!O20, NA())</f>
        <v>J104</v>
      </c>
      <c r="Q17" t="b">
        <f>NOT(ISBLANK(Main!O20))</f>
        <v>1</v>
      </c>
      <c r="R17" t="str">
        <f>LOOKUP(DaqbookInterp[[#This Row],[T/C Name]],WireSNs[])</f>
        <v>J101-J110</v>
      </c>
      <c r="S17" s="662" t="e">
        <f>HLOOKUP(DaqbookInterp[[#This Row],[WireSet]],Main!$D$48:$I$55,8,0)</f>
        <v>#N/A</v>
      </c>
      <c r="T17" s="662" t="e">
        <f>_xlfn.XLOOKUP(DaqbookInterp[[#This Row],[Wire Lot '#]],Interp!$B$11:$B$16,Interp!$D$11:$D$16)</f>
        <v>#N/A</v>
      </c>
      <c r="W17" t="s">
        <v>986</v>
      </c>
      <c r="X17" t="s">
        <v>197</v>
      </c>
    </row>
    <row r="18" spans="1:24" x14ac:dyDescent="0.2">
      <c r="A18"/>
      <c r="B18"/>
      <c r="C18"/>
      <c r="D18"/>
      <c r="E18"/>
      <c r="F18" s="662" t="str">
        <f>LEFT(AllDaqbookOffsets[[#This Row],[traceability_no]],2)</f>
        <v>J1</v>
      </c>
      <c r="I18">
        <v>17</v>
      </c>
      <c r="J18">
        <v>-100</v>
      </c>
      <c r="K18">
        <v>0.20000000000000284</v>
      </c>
      <c r="M18">
        <v>17</v>
      </c>
      <c r="N18" s="664" t="e" c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18" s="660" t="e" cm="1">
        <f t="array" ref="O18">IF(DaqbookInterp[[#This Row],[Include]],QRound(N18),NA())</f>
        <v>#VALUE!</v>
      </c>
      <c r="P18" t="str">
        <f>IF(DaqbookInterp[[#This Row],[Include]],Main!O21, NA())</f>
        <v>J105</v>
      </c>
      <c r="Q18" t="b">
        <f>NOT(ISBLANK(Main!O21))</f>
        <v>1</v>
      </c>
      <c r="R18" t="str">
        <f>LOOKUP(DaqbookInterp[[#This Row],[T/C Name]],WireSNs[])</f>
        <v>J101-J110</v>
      </c>
      <c r="S18" s="662" t="e">
        <f>HLOOKUP(DaqbookInterp[[#This Row],[WireSet]],Main!$D$48:$I$55,8,0)</f>
        <v>#N/A</v>
      </c>
      <c r="T18" s="662" t="e">
        <f>_xlfn.XLOOKUP(DaqbookInterp[[#This Row],[Wire Lot '#]],Interp!$B$11:$B$16,Interp!$D$11:$D$16)</f>
        <v>#N/A</v>
      </c>
      <c r="W18" t="s">
        <v>987</v>
      </c>
      <c r="X18" t="s">
        <v>197</v>
      </c>
    </row>
    <row r="19" spans="1:24" x14ac:dyDescent="0.2">
      <c r="A19"/>
      <c r="B19"/>
      <c r="C19"/>
      <c r="D19"/>
      <c r="E19"/>
      <c r="F19" s="662" t="str">
        <f>LEFT(AllDaqbookOffsets[[#This Row],[traceability_no]],2)</f>
        <v>J1</v>
      </c>
      <c r="I19">
        <v>18</v>
      </c>
      <c r="J19">
        <v>-100</v>
      </c>
      <c r="K19">
        <v>0.20000000000000284</v>
      </c>
      <c r="M19">
        <v>18</v>
      </c>
      <c r="N19" s="664" t="e" c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19" s="660" t="e" cm="1">
        <f t="array" ref="O19">IF(DaqbookInterp[[#This Row],[Include]],QRound(N19),NA())</f>
        <v>#VALUE!</v>
      </c>
      <c r="P19" t="str">
        <f>IF(DaqbookInterp[[#This Row],[Include]],Main!O22, NA())</f>
        <v>J106</v>
      </c>
      <c r="Q19" t="b">
        <f>NOT(ISBLANK(Main!O22))</f>
        <v>1</v>
      </c>
      <c r="R19" t="str">
        <f>LOOKUP(DaqbookInterp[[#This Row],[T/C Name]],WireSNs[])</f>
        <v>J101-J110</v>
      </c>
      <c r="S19" s="662" t="e">
        <f>HLOOKUP(DaqbookInterp[[#This Row],[WireSet]],Main!$D$48:$I$55,8,0)</f>
        <v>#N/A</v>
      </c>
      <c r="T19" s="662" t="e">
        <f>_xlfn.XLOOKUP(DaqbookInterp[[#This Row],[Wire Lot '#]],Interp!$B$11:$B$16,Interp!$D$11:$D$16)</f>
        <v>#N/A</v>
      </c>
      <c r="W19" t="s">
        <v>1001</v>
      </c>
      <c r="X19" t="s">
        <v>197</v>
      </c>
    </row>
    <row r="20" spans="1:24" x14ac:dyDescent="0.2">
      <c r="A20"/>
      <c r="B20"/>
      <c r="C20"/>
      <c r="D20"/>
      <c r="E20"/>
      <c r="F20" s="662" t="str">
        <f>LEFT(AllDaqbookOffsets[[#This Row],[traceability_no]],2)</f>
        <v>J1</v>
      </c>
      <c r="I20">
        <v>19</v>
      </c>
      <c r="J20">
        <v>-100</v>
      </c>
      <c r="K20">
        <v>-9.9999999999994316E-2</v>
      </c>
      <c r="M20">
        <v>19</v>
      </c>
      <c r="N20" s="664" t="e" c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20" s="660" t="e" cm="1">
        <f t="array" ref="O20">IF(DaqbookInterp[[#This Row],[Include]],QRound(N20),NA())</f>
        <v>#N/A</v>
      </c>
      <c r="P20" t="e">
        <f>IF(DaqbookInterp[[#This Row],[Include]],Main!O23, NA())</f>
        <v>#N/A</v>
      </c>
      <c r="Q20" t="b">
        <f>NOT(ISBLANK(Main!O23))</f>
        <v>0</v>
      </c>
      <c r="R20" t="e">
        <f>LOOKUP(DaqbookInterp[[#This Row],[T/C Name]],WireSNs[])</f>
        <v>#N/A</v>
      </c>
      <c r="S20" s="662" t="e">
        <f>HLOOKUP(DaqbookInterp[[#This Row],[WireSet]],Main!$D$48:$I$55,8,0)</f>
        <v>#N/A</v>
      </c>
      <c r="T20" s="662" t="e">
        <f>_xlfn.XLOOKUP(DaqbookInterp[[#This Row],[Wire Lot '#]],Interp!$B$11:$B$16,Interp!$D$11:$D$16)</f>
        <v>#N/A</v>
      </c>
      <c r="W20" t="s">
        <v>1002</v>
      </c>
      <c r="X20" t="s">
        <v>197</v>
      </c>
    </row>
    <row r="21" spans="1:24" x14ac:dyDescent="0.2">
      <c r="A21"/>
      <c r="B21"/>
      <c r="C21"/>
      <c r="D21"/>
      <c r="E21"/>
      <c r="F21" s="662" t="str">
        <f>LEFT(AllDaqbookOffsets[[#This Row],[traceability_no]],2)</f>
        <v>J1</v>
      </c>
      <c r="I21">
        <v>20</v>
      </c>
      <c r="J21">
        <v>-100</v>
      </c>
      <c r="K21">
        <v>0.20000000000000284</v>
      </c>
      <c r="M21">
        <v>20</v>
      </c>
      <c r="N21" s="664" t="e" c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21" s="660" t="e" cm="1">
        <f t="array" ref="O21">IF(DaqbookInterp[[#This Row],[Include]],QRound(N21),NA())</f>
        <v>#N/A</v>
      </c>
      <c r="P21" s="664" t="e">
        <f>IF(DaqbookInterp[[#This Row],[Include]],Main!O24, NA())</f>
        <v>#N/A</v>
      </c>
      <c r="Q21" t="b">
        <f>NOT(ISBLANK(Main!O24))</f>
        <v>0</v>
      </c>
      <c r="R21" t="e">
        <f>LOOKUP(DaqbookInterp[[#This Row],[T/C Name]],WireSNs[])</f>
        <v>#N/A</v>
      </c>
      <c r="S21" s="662" t="e">
        <f>HLOOKUP(DaqbookInterp[[#This Row],[WireSet]],Main!$D$48:$I$55,8,0)</f>
        <v>#N/A</v>
      </c>
      <c r="T21" s="662" t="e">
        <f>_xlfn.XLOOKUP(DaqbookInterp[[#This Row],[Wire Lot '#]],Interp!$B$11:$B$16,Interp!$D$11:$D$16)</f>
        <v>#N/A</v>
      </c>
      <c r="W21" t="s">
        <v>979</v>
      </c>
      <c r="X21" t="s">
        <v>196</v>
      </c>
    </row>
    <row r="22" spans="1:24" x14ac:dyDescent="0.2">
      <c r="A22"/>
      <c r="B22"/>
      <c r="C22"/>
      <c r="D22"/>
      <c r="E22"/>
      <c r="F22" s="662" t="str">
        <f>LEFT(AllDaqbookOffsets[[#This Row],[traceability_no]],2)</f>
        <v>J1</v>
      </c>
      <c r="I22">
        <v>21</v>
      </c>
      <c r="J22">
        <v>-100</v>
      </c>
      <c r="K22">
        <v>0.20000000000000284</v>
      </c>
      <c r="M22">
        <v>21</v>
      </c>
      <c r="N22" s="664" t="e" c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22" s="660" t="e" cm="1">
        <f t="array" ref="O22">IF(DaqbookInterp[[#This Row],[Include]],QRound(N22),NA())</f>
        <v>#N/A</v>
      </c>
      <c r="P22" t="e">
        <f>IF(DaqbookInterp[[#This Row],[Include]],Main!O25, NA())</f>
        <v>#N/A</v>
      </c>
      <c r="Q22" t="b">
        <f>NOT(ISBLANK(Main!O25))</f>
        <v>0</v>
      </c>
      <c r="R22" t="e">
        <f>LOOKUP(DaqbookInterp[[#This Row],[T/C Name]],WireSNs[])</f>
        <v>#N/A</v>
      </c>
      <c r="S22" s="662" t="e">
        <f>HLOOKUP(DaqbookInterp[[#This Row],[WireSet]],Main!$D$48:$I$55,8,0)</f>
        <v>#N/A</v>
      </c>
      <c r="T22" s="662" t="e">
        <f>_xlfn.XLOOKUP(DaqbookInterp[[#This Row],[Wire Lot '#]],Interp!$B$11:$B$16,Interp!$D$11:$D$16)</f>
        <v>#N/A</v>
      </c>
      <c r="W22" t="s">
        <v>1003</v>
      </c>
      <c r="X22" t="s">
        <v>197</v>
      </c>
    </row>
    <row r="23" spans="1:24" x14ac:dyDescent="0.2">
      <c r="A23"/>
      <c r="B23"/>
      <c r="C23"/>
      <c r="D23"/>
      <c r="E23"/>
      <c r="F23" s="662" t="str">
        <f>LEFT(AllDaqbookOffsets[[#This Row],[traceability_no]],2)</f>
        <v>J1</v>
      </c>
      <c r="I23">
        <v>22</v>
      </c>
      <c r="J23">
        <v>-100</v>
      </c>
      <c r="K23">
        <v>0.29999999999999716</v>
      </c>
      <c r="M23">
        <v>22</v>
      </c>
      <c r="N23" s="664" t="e" c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23" s="660" t="e" cm="1">
        <f t="array" ref="O23">IF(DaqbookInterp[[#This Row],[Include]],QRound(N23),NA())</f>
        <v>#N/A</v>
      </c>
      <c r="P23" t="e">
        <f>IF(DaqbookInterp[[#This Row],[Include]],Main!O26, NA())</f>
        <v>#N/A</v>
      </c>
      <c r="Q23" t="b">
        <f>NOT(ISBLANK(Main!O26))</f>
        <v>0</v>
      </c>
      <c r="R23" t="e">
        <f>LOOKUP(DaqbookInterp[[#This Row],[T/C Name]],WireSNs[])</f>
        <v>#N/A</v>
      </c>
      <c r="S23" s="662" t="e">
        <f>HLOOKUP(DaqbookInterp[[#This Row],[WireSet]],Main!$D$48:$I$55,8,0)</f>
        <v>#N/A</v>
      </c>
      <c r="T23" s="662" t="e">
        <f>_xlfn.XLOOKUP(DaqbookInterp[[#This Row],[Wire Lot '#]],Interp!$B$11:$B$16,Interp!$D$11:$D$16)</f>
        <v>#N/A</v>
      </c>
      <c r="W23" t="s">
        <v>1004</v>
      </c>
      <c r="X23" t="s">
        <v>198</v>
      </c>
    </row>
    <row r="24" spans="1:24" x14ac:dyDescent="0.2">
      <c r="A24"/>
      <c r="B24"/>
      <c r="C24"/>
      <c r="D24"/>
      <c r="E24"/>
      <c r="F24" s="662" t="str">
        <f>LEFT(AllDaqbookOffsets[[#This Row],[traceability_no]],2)</f>
        <v>J1</v>
      </c>
      <c r="I24">
        <v>23</v>
      </c>
      <c r="J24">
        <v>-100</v>
      </c>
      <c r="K24">
        <v>0.20000000000000284</v>
      </c>
      <c r="M24">
        <v>23</v>
      </c>
      <c r="N24" s="664" t="e" c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24" s="660" t="e" cm="1">
        <f t="array" ref="O24">IF(DaqbookInterp[[#This Row],[Include]],QRound(N24),NA())</f>
        <v>#N/A</v>
      </c>
      <c r="P24" t="e">
        <f>IF(DaqbookInterp[[#This Row],[Include]],Main!O27, NA())</f>
        <v>#N/A</v>
      </c>
      <c r="Q24" t="b">
        <f>NOT(ISBLANK(Main!O27))</f>
        <v>0</v>
      </c>
      <c r="R24" t="e">
        <f>LOOKUP(DaqbookInterp[[#This Row],[T/C Name]],WireSNs[])</f>
        <v>#N/A</v>
      </c>
      <c r="S24" s="662" t="e">
        <f>HLOOKUP(DaqbookInterp[[#This Row],[WireSet]],Main!$D$48:$I$55,8,0)</f>
        <v>#N/A</v>
      </c>
      <c r="T24" s="662" t="e">
        <f>_xlfn.XLOOKUP(DaqbookInterp[[#This Row],[Wire Lot '#]],Interp!$B$11:$B$16,Interp!$D$11:$D$16)</f>
        <v>#N/A</v>
      </c>
      <c r="W24" t="s">
        <v>1005</v>
      </c>
      <c r="X24" t="s">
        <v>198</v>
      </c>
    </row>
    <row r="25" spans="1:24" x14ac:dyDescent="0.2">
      <c r="A25"/>
      <c r="B25"/>
      <c r="C25"/>
      <c r="D25"/>
      <c r="E25"/>
      <c r="F25" s="662" t="str">
        <f>LEFT(AllDaqbookOffsets[[#This Row],[traceability_no]],2)</f>
        <v>J1</v>
      </c>
      <c r="I25">
        <v>24</v>
      </c>
      <c r="J25">
        <v>-100</v>
      </c>
      <c r="K25">
        <v>9.9999999999994316E-2</v>
      </c>
      <c r="M25">
        <v>24</v>
      </c>
      <c r="N25" s="664" t="e" c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25" s="660" t="e" cm="1">
        <f t="array" ref="O25">IF(DaqbookInterp[[#This Row],[Include]],QRound(N25),NA())</f>
        <v>#N/A</v>
      </c>
      <c r="P25" t="e">
        <f>IF(DaqbookInterp[[#This Row],[Include]],Main!O28, NA())</f>
        <v>#N/A</v>
      </c>
      <c r="Q25" t="b">
        <f>NOT(ISBLANK(Main!O28))</f>
        <v>0</v>
      </c>
      <c r="R25" t="e">
        <f>LOOKUP(DaqbookInterp[[#This Row],[T/C Name]],WireSNs[])</f>
        <v>#N/A</v>
      </c>
      <c r="S25" s="662" t="e">
        <f>HLOOKUP(DaqbookInterp[[#This Row],[WireSet]],Main!$D$48:$I$55,8,0)</f>
        <v>#N/A</v>
      </c>
      <c r="T25" s="662" t="e">
        <f>_xlfn.XLOOKUP(DaqbookInterp[[#This Row],[Wire Lot '#]],Interp!$B$11:$B$16,Interp!$D$11:$D$16)</f>
        <v>#N/A</v>
      </c>
      <c r="W25" t="s">
        <v>1006</v>
      </c>
      <c r="X25" t="s">
        <v>198</v>
      </c>
    </row>
    <row r="26" spans="1:24" x14ac:dyDescent="0.2">
      <c r="A26"/>
      <c r="B26"/>
      <c r="C26"/>
      <c r="D26"/>
      <c r="E26"/>
      <c r="F26" s="662" t="str">
        <f>LEFT(AllDaqbookOffsets[[#This Row],[traceability_no]],2)</f>
        <v>J1</v>
      </c>
      <c r="I26">
        <v>25</v>
      </c>
      <c r="J26">
        <v>-100</v>
      </c>
      <c r="K26">
        <v>-9.9999999999994316E-2</v>
      </c>
      <c r="M26">
        <v>25</v>
      </c>
      <c r="N26" s="664" t="e" c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26" s="660" t="e" cm="1">
        <f t="array" ref="O26">IF(DaqbookInterp[[#This Row],[Include]],QRound(N26),NA())</f>
        <v>#N/A</v>
      </c>
      <c r="P26" t="e">
        <f>IF(DaqbookInterp[[#This Row],[Include]],Main!O29, NA())</f>
        <v>#N/A</v>
      </c>
      <c r="Q26" t="b">
        <f>NOT(ISBLANK(Main!O29))</f>
        <v>0</v>
      </c>
      <c r="R26" t="e">
        <f>LOOKUP(DaqbookInterp[[#This Row],[T/C Name]],WireSNs[])</f>
        <v>#N/A</v>
      </c>
      <c r="S26" s="662" t="e">
        <f>HLOOKUP(DaqbookInterp[[#This Row],[WireSet]],Main!$D$48:$I$55,8,0)</f>
        <v>#N/A</v>
      </c>
      <c r="T26" s="662" t="e">
        <f>_xlfn.XLOOKUP(DaqbookInterp[[#This Row],[Wire Lot '#]],Interp!$B$11:$B$16,Interp!$D$11:$D$16)</f>
        <v>#N/A</v>
      </c>
      <c r="W26" t="s">
        <v>1007</v>
      </c>
      <c r="X26" t="s">
        <v>198</v>
      </c>
    </row>
    <row r="27" spans="1:24" x14ac:dyDescent="0.2">
      <c r="A27"/>
      <c r="B27"/>
      <c r="C27"/>
      <c r="D27"/>
      <c r="E27"/>
      <c r="F27" s="662" t="str">
        <f>LEFT(AllDaqbookOffsets[[#This Row],[traceability_no]],2)</f>
        <v>J1</v>
      </c>
      <c r="I27">
        <v>26</v>
      </c>
      <c r="J27">
        <v>-100</v>
      </c>
      <c r="K27">
        <v>0.20000000000000284</v>
      </c>
      <c r="M27">
        <v>26</v>
      </c>
      <c r="N27" s="664" t="e" c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27" s="660" t="e" cm="1">
        <f t="array" ref="O27">IF(DaqbookInterp[[#This Row],[Include]],QRound(N27),NA())</f>
        <v>#N/A</v>
      </c>
      <c r="P27" s="663" t="e">
        <f>IF(DaqbookInterp[[#This Row],[Include]],Main!O30, NA())</f>
        <v>#N/A</v>
      </c>
      <c r="Q27" t="b">
        <f>NOT(ISBLANK(Main!O30))</f>
        <v>0</v>
      </c>
      <c r="R27" t="e">
        <f>LOOKUP(DaqbookInterp[[#This Row],[T/C Name]],WireSNs[])</f>
        <v>#N/A</v>
      </c>
      <c r="S27" s="662" t="e">
        <f>HLOOKUP(DaqbookInterp[[#This Row],[WireSet]],Main!$D$48:$I$55,8,0)</f>
        <v>#N/A</v>
      </c>
      <c r="T27" s="662" t="e">
        <f>_xlfn.XLOOKUP(DaqbookInterp[[#This Row],[Wire Lot '#]],Interp!$B$11:$B$16,Interp!$D$11:$D$16)</f>
        <v>#N/A</v>
      </c>
      <c r="W27" t="s">
        <v>1008</v>
      </c>
      <c r="X27" t="s">
        <v>198</v>
      </c>
    </row>
    <row r="28" spans="1:24" x14ac:dyDescent="0.2">
      <c r="A28"/>
      <c r="B28"/>
      <c r="C28"/>
      <c r="D28"/>
      <c r="E28"/>
      <c r="F28" s="662" t="str">
        <f>LEFT(AllDaqbookOffsets[[#This Row],[traceability_no]],2)</f>
        <v>J1</v>
      </c>
      <c r="I28">
        <v>27</v>
      </c>
      <c r="J28">
        <v>-100</v>
      </c>
      <c r="K28">
        <v>0.40000000000000568</v>
      </c>
      <c r="M28">
        <v>27</v>
      </c>
      <c r="N28" s="664" t="e" c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28" s="660" t="e" cm="1">
        <f t="array" ref="O28">IF(DaqbookInterp[[#This Row],[Include]],QRound(N28),NA())</f>
        <v>#N/A</v>
      </c>
      <c r="P28" t="e">
        <f>IF(DaqbookInterp[[#This Row],[Include]],Main!O31, NA())</f>
        <v>#N/A</v>
      </c>
      <c r="Q28" t="b">
        <f>NOT(ISBLANK(Main!O31))</f>
        <v>0</v>
      </c>
      <c r="R28" t="e">
        <f>LOOKUP(DaqbookInterp[[#This Row],[T/C Name]],WireSNs[])</f>
        <v>#N/A</v>
      </c>
      <c r="S28" s="662" t="e">
        <f>HLOOKUP(DaqbookInterp[[#This Row],[WireSet]],Main!$D$48:$I$55,8,0)</f>
        <v>#N/A</v>
      </c>
      <c r="T28" s="662" t="e">
        <f>_xlfn.XLOOKUP(DaqbookInterp[[#This Row],[Wire Lot '#]],Interp!$B$11:$B$16,Interp!$D$11:$D$16)</f>
        <v>#N/A</v>
      </c>
      <c r="W28" t="s">
        <v>1009</v>
      </c>
      <c r="X28" t="s">
        <v>198</v>
      </c>
    </row>
    <row r="29" spans="1:24" x14ac:dyDescent="0.2">
      <c r="A29"/>
      <c r="B29"/>
      <c r="C29"/>
      <c r="D29"/>
      <c r="E29"/>
      <c r="F29" s="662" t="str">
        <f>LEFT(AllDaqbookOffsets[[#This Row],[traceability_no]],2)</f>
        <v>J1</v>
      </c>
      <c r="I29">
        <v>28</v>
      </c>
      <c r="J29">
        <v>-100</v>
      </c>
      <c r="K29">
        <v>9.9999999999994316E-2</v>
      </c>
      <c r="M29">
        <v>28</v>
      </c>
      <c r="N29" s="664" t="e" c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29" s="660" t="e" cm="1">
        <f t="array" ref="O29">IF(DaqbookInterp[[#This Row],[Include]],QRound(N29),NA())</f>
        <v>#N/A</v>
      </c>
      <c r="P29" t="e">
        <f>IF(DaqbookInterp[[#This Row],[Include]],Main!O32, NA())</f>
        <v>#N/A</v>
      </c>
      <c r="Q29" t="b">
        <f>NOT(ISBLANK(Main!O32))</f>
        <v>0</v>
      </c>
      <c r="R29" t="e">
        <f>LOOKUP(DaqbookInterp[[#This Row],[T/C Name]],WireSNs[])</f>
        <v>#N/A</v>
      </c>
      <c r="S29" s="662" t="e">
        <f>HLOOKUP(DaqbookInterp[[#This Row],[WireSet]],Main!$D$48:$I$55,8,0)</f>
        <v>#N/A</v>
      </c>
      <c r="T29" s="662" t="e">
        <f>_xlfn.XLOOKUP(DaqbookInterp[[#This Row],[Wire Lot '#]],Interp!$B$11:$B$16,Interp!$D$11:$D$16)</f>
        <v>#N/A</v>
      </c>
      <c r="W29" t="s">
        <v>1010</v>
      </c>
      <c r="X29" t="s">
        <v>198</v>
      </c>
    </row>
    <row r="30" spans="1:24" x14ac:dyDescent="0.2">
      <c r="A30"/>
      <c r="B30"/>
      <c r="C30"/>
      <c r="D30"/>
      <c r="E30"/>
      <c r="F30" s="662" t="str">
        <f>LEFT(AllDaqbookOffsets[[#This Row],[traceability_no]],2)</f>
        <v>J1</v>
      </c>
      <c r="I30">
        <v>29</v>
      </c>
      <c r="J30">
        <v>-100</v>
      </c>
      <c r="K30">
        <v>-0.29999999999999716</v>
      </c>
      <c r="M30">
        <v>29</v>
      </c>
      <c r="N30" s="664" t="e" c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30" s="660" t="e" cm="1">
        <f t="array" ref="O30">IF(DaqbookInterp[[#This Row],[Include]],QRound(N30),NA())</f>
        <v>#N/A</v>
      </c>
      <c r="P30" t="e">
        <f>IF(DaqbookInterp[[#This Row],[Include]],Main!O33, NA())</f>
        <v>#N/A</v>
      </c>
      <c r="Q30" t="b">
        <f>NOT(ISBLANK(Main!O33))</f>
        <v>0</v>
      </c>
      <c r="R30" t="e">
        <f>LOOKUP(DaqbookInterp[[#This Row],[T/C Name]],WireSNs[])</f>
        <v>#N/A</v>
      </c>
      <c r="S30" s="662" t="e">
        <f>HLOOKUP(DaqbookInterp[[#This Row],[WireSet]],Main!$D$48:$I$55,8,0)</f>
        <v>#N/A</v>
      </c>
      <c r="T30" s="662" t="e">
        <f>_xlfn.XLOOKUP(DaqbookInterp[[#This Row],[Wire Lot '#]],Interp!$B$11:$B$16,Interp!$D$11:$D$16)</f>
        <v>#N/A</v>
      </c>
      <c r="W30" t="s">
        <v>1011</v>
      </c>
      <c r="X30" t="s">
        <v>198</v>
      </c>
    </row>
    <row r="31" spans="1:24" x14ac:dyDescent="0.2">
      <c r="A31"/>
      <c r="B31"/>
      <c r="C31"/>
      <c r="D31"/>
      <c r="E31"/>
      <c r="F31" s="662" t="str">
        <f>LEFT(AllDaqbookOffsets[[#This Row],[traceability_no]],2)</f>
        <v>J1</v>
      </c>
      <c r="I31">
        <v>30</v>
      </c>
      <c r="J31">
        <v>-100</v>
      </c>
      <c r="K31">
        <v>0.29999999999999716</v>
      </c>
      <c r="M31">
        <v>30</v>
      </c>
      <c r="N31" s="664" t="e" c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31" s="660" t="e" cm="1">
        <f t="array" ref="O31">IF(DaqbookInterp[[#This Row],[Include]],QRound(N31),NA())</f>
        <v>#N/A</v>
      </c>
      <c r="P31" t="e">
        <f>IF(DaqbookInterp[[#This Row],[Include]],Main!O34, NA())</f>
        <v>#N/A</v>
      </c>
      <c r="Q31" t="b">
        <f>NOT(ISBLANK(Main!O34))</f>
        <v>0</v>
      </c>
      <c r="R31" t="e">
        <f>LOOKUP(DaqbookInterp[[#This Row],[T/C Name]],WireSNs[])</f>
        <v>#N/A</v>
      </c>
      <c r="S31" s="662" t="e">
        <f>HLOOKUP(DaqbookInterp[[#This Row],[WireSet]],Main!$D$48:$I$55,8,0)</f>
        <v>#N/A</v>
      </c>
      <c r="T31" s="662" t="e">
        <f>_xlfn.XLOOKUP(DaqbookInterp[[#This Row],[Wire Lot '#]],Interp!$B$11:$B$16,Interp!$D$11:$D$16)</f>
        <v>#N/A</v>
      </c>
      <c r="W31" t="s">
        <v>1012</v>
      </c>
      <c r="X31" t="s">
        <v>198</v>
      </c>
    </row>
    <row r="32" spans="1:24" x14ac:dyDescent="0.2">
      <c r="A32"/>
      <c r="B32"/>
      <c r="C32"/>
      <c r="D32"/>
      <c r="E32"/>
      <c r="F32" s="662" t="str">
        <f>LEFT(AllDaqbookOffsets[[#This Row],[traceability_no]],2)</f>
        <v>J1</v>
      </c>
      <c r="I32">
        <v>31</v>
      </c>
      <c r="J32">
        <v>-100</v>
      </c>
      <c r="K32">
        <v>0.20000000000000284</v>
      </c>
      <c r="M32">
        <v>31</v>
      </c>
      <c r="N32" s="664" t="e" c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32" s="660" t="e" cm="1">
        <f t="array" ref="O32">IF(DaqbookInterp[[#This Row],[Include]],QRound(N32),NA())</f>
        <v>#N/A</v>
      </c>
      <c r="P32" s="663" t="e">
        <f>IF(DaqbookInterp[[#This Row],[Include]],Main!O35, NA())</f>
        <v>#N/A</v>
      </c>
      <c r="Q32" t="b">
        <f>NOT(ISBLANK(Main!O35))</f>
        <v>0</v>
      </c>
      <c r="R32" t="e">
        <f>LOOKUP(DaqbookInterp[[#This Row],[T/C Name]],WireSNs[])</f>
        <v>#N/A</v>
      </c>
      <c r="S32" s="662" t="e">
        <f>HLOOKUP(DaqbookInterp[[#This Row],[WireSet]],Main!$D$48:$I$55,8,0)</f>
        <v>#N/A</v>
      </c>
      <c r="T32" s="662" t="e">
        <f>_xlfn.XLOOKUP(DaqbookInterp[[#This Row],[Wire Lot '#]],Interp!$B$11:$B$16,Interp!$D$11:$D$16)</f>
        <v>#N/A</v>
      </c>
      <c r="W32" t="s">
        <v>980</v>
      </c>
      <c r="X32" t="s">
        <v>196</v>
      </c>
    </row>
    <row r="33" spans="1:24" x14ac:dyDescent="0.2">
      <c r="A33"/>
      <c r="B33"/>
      <c r="C33"/>
      <c r="D33"/>
      <c r="E33"/>
      <c r="F33" s="662" t="str">
        <f>LEFT(AllDaqbookOffsets[[#This Row],[traceability_no]],2)</f>
        <v>J1</v>
      </c>
      <c r="I33">
        <v>32</v>
      </c>
      <c r="J33">
        <v>-100</v>
      </c>
      <c r="K33">
        <v>-9.9999999999994316E-2</v>
      </c>
      <c r="M33">
        <v>32</v>
      </c>
      <c r="N33" s="664" t="e" c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33" s="660" t="e" cm="1">
        <f t="array" ref="O33">IF(DaqbookInterp[[#This Row],[Include]],QRound(N33),NA())</f>
        <v>#N/A</v>
      </c>
      <c r="P33" t="e">
        <f>IF(DaqbookInterp[[#This Row],[Include]],Main!O36, NA())</f>
        <v>#N/A</v>
      </c>
      <c r="Q33" t="b">
        <f>NOT(ISBLANK(Main!O36))</f>
        <v>0</v>
      </c>
      <c r="R33" t="e">
        <f>LOOKUP(DaqbookInterp[[#This Row],[T/C Name]],WireSNs[])</f>
        <v>#N/A</v>
      </c>
      <c r="S33" s="662" t="e">
        <f>HLOOKUP(DaqbookInterp[[#This Row],[WireSet]],Main!$D$48:$I$55,8,0)</f>
        <v>#N/A</v>
      </c>
      <c r="T33" s="662" t="e">
        <f>_xlfn.XLOOKUP(DaqbookInterp[[#This Row],[Wire Lot '#]],Interp!$B$11:$B$16,Interp!$D$11:$D$16)</f>
        <v>#N/A</v>
      </c>
      <c r="W33" t="s">
        <v>1013</v>
      </c>
      <c r="X33" t="s">
        <v>198</v>
      </c>
    </row>
    <row r="34" spans="1:24" x14ac:dyDescent="0.2">
      <c r="A34"/>
      <c r="B34"/>
      <c r="C34"/>
      <c r="D34"/>
      <c r="E34"/>
      <c r="F34" s="662" t="str">
        <f>LEFT(AllDaqbookOffsets[[#This Row],[traceability_no]],2)</f>
        <v>J1</v>
      </c>
      <c r="I34">
        <v>33</v>
      </c>
      <c r="J34">
        <v>-100</v>
      </c>
      <c r="K34">
        <v>-9.9999999999994316E-2</v>
      </c>
      <c r="M34">
        <v>33</v>
      </c>
      <c r="N34" s="664" t="e" c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34" s="660" t="e" cm="1">
        <f t="array" ref="O34">IF(DaqbookInterp[[#This Row],[Include]],QRound(N34),NA())</f>
        <v>#N/A</v>
      </c>
      <c r="P34" t="e">
        <f>IF(DaqbookInterp[[#This Row],[Include]],Main!O37, NA())</f>
        <v>#N/A</v>
      </c>
      <c r="Q34" t="b">
        <f>NOT(ISBLANK(Main!O37))</f>
        <v>0</v>
      </c>
      <c r="R34" t="e">
        <f>LOOKUP(DaqbookInterp[[#This Row],[T/C Name]],WireSNs[])</f>
        <v>#N/A</v>
      </c>
      <c r="S34" s="662" t="e">
        <f>HLOOKUP(DaqbookInterp[[#This Row],[WireSet]],Main!$D$48:$I$55,8,0)</f>
        <v>#N/A</v>
      </c>
      <c r="T34" s="662" t="e">
        <f>_xlfn.XLOOKUP(DaqbookInterp[[#This Row],[Wire Lot '#]],Interp!$B$11:$B$16,Interp!$D$11:$D$16)</f>
        <v>#N/A</v>
      </c>
      <c r="W34" t="s">
        <v>989</v>
      </c>
      <c r="X34" t="s">
        <v>196</v>
      </c>
    </row>
    <row r="35" spans="1:24" x14ac:dyDescent="0.2">
      <c r="A35"/>
      <c r="B35"/>
      <c r="C35"/>
      <c r="D35"/>
      <c r="E35"/>
      <c r="F35" s="662" t="str">
        <f>LEFT(AllDaqbookOffsets[[#This Row],[traceability_no]],2)</f>
        <v>J1</v>
      </c>
      <c r="I35">
        <v>34</v>
      </c>
      <c r="J35">
        <v>-100</v>
      </c>
      <c r="K35">
        <v>-0.20000000000000284</v>
      </c>
      <c r="M35">
        <v>34</v>
      </c>
      <c r="N35" s="664" t="e" c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35" s="660" t="e" cm="1">
        <f t="array" ref="O35">IF(DaqbookInterp[[#This Row],[Include]],QRound(N35),NA())</f>
        <v>#N/A</v>
      </c>
      <c r="P35" t="e">
        <f>IF(DaqbookInterp[[#This Row],[Include]],Main!O38, NA())</f>
        <v>#N/A</v>
      </c>
      <c r="Q35" t="b">
        <f>NOT(ISBLANK(Main!O38))</f>
        <v>0</v>
      </c>
      <c r="R35" t="e">
        <f>LOOKUP(DaqbookInterp[[#This Row],[T/C Name]],WireSNs[])</f>
        <v>#N/A</v>
      </c>
      <c r="S35" s="662" t="e">
        <f>HLOOKUP(DaqbookInterp[[#This Row],[WireSet]],Main!$D$48:$I$55,8,0)</f>
        <v>#N/A</v>
      </c>
      <c r="T35" s="662" t="e">
        <f>_xlfn.XLOOKUP(DaqbookInterp[[#This Row],[Wire Lot '#]],Interp!$B$11:$B$16,Interp!$D$11:$D$16)</f>
        <v>#N/A</v>
      </c>
      <c r="W35" t="s">
        <v>990</v>
      </c>
      <c r="X35" t="s">
        <v>196</v>
      </c>
    </row>
    <row r="36" spans="1:24" x14ac:dyDescent="0.2">
      <c r="A36"/>
      <c r="B36"/>
      <c r="C36"/>
      <c r="D36"/>
      <c r="E36"/>
      <c r="F36" s="662" t="str">
        <f>LEFT(AllDaqbookOffsets[[#This Row],[traceability_no]],2)</f>
        <v>J1</v>
      </c>
      <c r="I36">
        <v>35</v>
      </c>
      <c r="J36">
        <v>-100</v>
      </c>
      <c r="K36">
        <v>0.20000000000000284</v>
      </c>
      <c r="M36">
        <v>35</v>
      </c>
      <c r="N36" s="664" t="e" c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36" s="660" t="e" cm="1">
        <f t="array" ref="O36">IF(DaqbookInterp[[#This Row],[Include]],QRound(N36),NA())</f>
        <v>#N/A</v>
      </c>
      <c r="P36" t="e">
        <f>IF(DaqbookInterp[[#This Row],[Include]],Main!O39, NA())</f>
        <v>#N/A</v>
      </c>
      <c r="Q36" t="b">
        <f>NOT(ISBLANK(Main!O39))</f>
        <v>0</v>
      </c>
      <c r="R36" t="e">
        <f>LOOKUP(DaqbookInterp[[#This Row],[T/C Name]],WireSNs[])</f>
        <v>#N/A</v>
      </c>
      <c r="S36" s="662" t="e">
        <f>HLOOKUP(DaqbookInterp[[#This Row],[WireSet]],Main!$D$48:$I$55,8,0)</f>
        <v>#N/A</v>
      </c>
      <c r="T36" s="662" t="e">
        <f>_xlfn.XLOOKUP(DaqbookInterp[[#This Row],[Wire Lot '#]],Interp!$B$11:$B$16,Interp!$D$11:$D$16)</f>
        <v>#N/A</v>
      </c>
      <c r="W36" t="s">
        <v>991</v>
      </c>
      <c r="X36" t="s">
        <v>196</v>
      </c>
    </row>
    <row r="37" spans="1:24" x14ac:dyDescent="0.2">
      <c r="A37"/>
      <c r="B37"/>
      <c r="C37"/>
      <c r="D37"/>
      <c r="E37"/>
      <c r="F37" s="662" t="str">
        <f>LEFT(AllDaqbookOffsets[[#This Row],[traceability_no]],2)</f>
        <v>J1</v>
      </c>
      <c r="I37">
        <v>36</v>
      </c>
      <c r="J37">
        <v>-100</v>
      </c>
      <c r="K37">
        <v>9.9999999999994316E-2</v>
      </c>
      <c r="M37">
        <v>36</v>
      </c>
      <c r="N37" s="664" t="e" c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37" s="660" t="e" cm="1">
        <f t="array" ref="O37">IF(DaqbookInterp[[#This Row],[Include]],QRound(N37),NA())</f>
        <v>#N/A</v>
      </c>
      <c r="P37" t="e">
        <f>IF(DaqbookInterp[[#This Row],[Include]],Main!O40, NA())</f>
        <v>#N/A</v>
      </c>
      <c r="Q37" t="b">
        <f>NOT(ISBLANK(Main!O40))</f>
        <v>0</v>
      </c>
      <c r="R37" t="e">
        <f>LOOKUP(DaqbookInterp[[#This Row],[T/C Name]],WireSNs[])</f>
        <v>#N/A</v>
      </c>
      <c r="S37" s="662" t="e">
        <f>HLOOKUP(DaqbookInterp[[#This Row],[WireSet]],Main!$D$48:$I$55,8,0)</f>
        <v>#N/A</v>
      </c>
      <c r="T37" s="662" t="e">
        <f>_xlfn.XLOOKUP(DaqbookInterp[[#This Row],[Wire Lot '#]],Interp!$B$11:$B$16,Interp!$D$11:$D$16)</f>
        <v>#N/A</v>
      </c>
      <c r="W37" t="s">
        <v>992</v>
      </c>
      <c r="X37" t="s">
        <v>196</v>
      </c>
    </row>
    <row r="38" spans="1:24" x14ac:dyDescent="0.2">
      <c r="A38"/>
      <c r="B38"/>
      <c r="C38"/>
      <c r="D38"/>
      <c r="E38"/>
      <c r="F38" s="662" t="str">
        <f>LEFT(AllDaqbookOffsets[[#This Row],[traceability_no]],2)</f>
        <v>J1</v>
      </c>
      <c r="I38">
        <v>37</v>
      </c>
      <c r="J38">
        <v>-100</v>
      </c>
      <c r="K38">
        <v>-9.9999999999994316E-2</v>
      </c>
      <c r="M38">
        <v>37</v>
      </c>
      <c r="N38" s="664" t="e" c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38" s="660" t="e" cm="1">
        <f t="array" ref="O38">IF(DaqbookInterp[[#This Row],[Include]],QRound(N38),NA())</f>
        <v>#N/A</v>
      </c>
      <c r="P38" t="e">
        <f>IF(DaqbookInterp[[#This Row],[Include]],Main!O41, NA())</f>
        <v>#N/A</v>
      </c>
      <c r="Q38" t="b">
        <f>NOT(ISBLANK(Main!O41))</f>
        <v>0</v>
      </c>
      <c r="R38" t="e">
        <f>LOOKUP(DaqbookInterp[[#This Row],[T/C Name]],WireSNs[])</f>
        <v>#N/A</v>
      </c>
      <c r="S38" s="662" t="e">
        <f>HLOOKUP(DaqbookInterp[[#This Row],[WireSet]],Main!$D$48:$I$55,8,0)</f>
        <v>#N/A</v>
      </c>
      <c r="T38" s="662" t="e">
        <f>_xlfn.XLOOKUP(DaqbookInterp[[#This Row],[Wire Lot '#]],Interp!$B$11:$B$16,Interp!$D$11:$D$16)</f>
        <v>#N/A</v>
      </c>
      <c r="W38" t="s">
        <v>993</v>
      </c>
      <c r="X38" t="s">
        <v>196</v>
      </c>
    </row>
    <row r="39" spans="1:24" x14ac:dyDescent="0.2">
      <c r="A39"/>
      <c r="B39"/>
      <c r="C39"/>
      <c r="D39"/>
      <c r="E39"/>
      <c r="F39" s="662" t="str">
        <f>LEFT(AllDaqbookOffsets[[#This Row],[traceability_no]],2)</f>
        <v>J1</v>
      </c>
      <c r="I39">
        <v>38</v>
      </c>
      <c r="J39">
        <v>-100</v>
      </c>
      <c r="K39">
        <v>0</v>
      </c>
      <c r="M39">
        <v>38</v>
      </c>
      <c r="N39" s="664" t="e" c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39" s="660" t="e" cm="1">
        <f t="array" ref="O39">IF(DaqbookInterp[[#This Row],[Include]],QRound(N39),NA())</f>
        <v>#N/A</v>
      </c>
      <c r="P39" t="e">
        <f>IF(DaqbookInterp[[#This Row],[Include]],Main!O42, NA())</f>
        <v>#N/A</v>
      </c>
      <c r="Q39" t="b">
        <f>NOT(ISBLANK(Main!O42))</f>
        <v>0</v>
      </c>
      <c r="R39" t="e">
        <f>LOOKUP(DaqbookInterp[[#This Row],[T/C Name]],WireSNs[])</f>
        <v>#N/A</v>
      </c>
      <c r="S39" s="662" t="e">
        <f>HLOOKUP(DaqbookInterp[[#This Row],[WireSet]],Main!$D$48:$I$55,8,0)</f>
        <v>#N/A</v>
      </c>
      <c r="T39" s="662" t="e">
        <f>_xlfn.XLOOKUP(DaqbookInterp[[#This Row],[Wire Lot '#]],Interp!$B$11:$B$16,Interp!$D$11:$D$16)</f>
        <v>#N/A</v>
      </c>
      <c r="W39" t="s">
        <v>994</v>
      </c>
      <c r="X39" t="s">
        <v>196</v>
      </c>
    </row>
    <row r="40" spans="1:24" x14ac:dyDescent="0.2">
      <c r="A40"/>
      <c r="B40"/>
      <c r="C40"/>
      <c r="D40"/>
      <c r="E40"/>
      <c r="F40" s="662" t="str">
        <f>LEFT(AllDaqbookOffsets[[#This Row],[traceability_no]],2)</f>
        <v>J1</v>
      </c>
      <c r="I40">
        <v>39</v>
      </c>
      <c r="J40">
        <v>-100</v>
      </c>
      <c r="K40">
        <v>0.20000000000000284</v>
      </c>
      <c r="M40">
        <v>39</v>
      </c>
      <c r="N40" s="664" t="e" c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40" s="660" t="e" cm="1">
        <f t="array" ref="O40">IF(DaqbookInterp[[#This Row],[Include]],QRound(N40),NA())</f>
        <v>#N/A</v>
      </c>
      <c r="P40" t="e">
        <f>IF(DaqbookInterp[[#This Row],[Include]],Main!O43, NA())</f>
        <v>#N/A</v>
      </c>
      <c r="Q40" t="b">
        <f>NOT(ISBLANK(Main!O43))</f>
        <v>0</v>
      </c>
      <c r="R40" t="e">
        <f>LOOKUP(DaqbookInterp[[#This Row],[T/C Name]],WireSNs[])</f>
        <v>#N/A</v>
      </c>
      <c r="S40" s="662" t="e">
        <f>HLOOKUP(DaqbookInterp[[#This Row],[WireSet]],Main!$D$48:$I$55,8,0)</f>
        <v>#N/A</v>
      </c>
      <c r="T40" s="662" t="e">
        <f>_xlfn.XLOOKUP(DaqbookInterp[[#This Row],[Wire Lot '#]],Interp!$B$11:$B$16,Interp!$D$11:$D$16)</f>
        <v>#N/A</v>
      </c>
      <c r="W40" t="s">
        <v>995</v>
      </c>
      <c r="X40" t="s">
        <v>196</v>
      </c>
    </row>
    <row r="41" spans="1:24" x14ac:dyDescent="0.2">
      <c r="A41"/>
      <c r="B41"/>
      <c r="C41"/>
      <c r="D41"/>
      <c r="E41"/>
      <c r="F41" s="662" t="str">
        <f>LEFT(AllDaqbookOffsets[[#This Row],[traceability_no]],2)</f>
        <v>J1</v>
      </c>
      <c r="I41">
        <v>40</v>
      </c>
      <c r="J41">
        <v>-100</v>
      </c>
      <c r="K41">
        <v>-0.29999999999999716</v>
      </c>
      <c r="M41">
        <v>40</v>
      </c>
      <c r="N41" s="664" t="e" c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#N/A</v>
      </c>
      <c r="O41" s="660" t="e" cm="1">
        <f t="array" ref="O41">IF(DaqbookInterp[[#This Row],[Include]],QRound(N41),NA())</f>
        <v>#N/A</v>
      </c>
      <c r="P41" t="e">
        <f>IF(DaqbookInterp[[#This Row],[Include]],Main!O44, NA())</f>
        <v>#N/A</v>
      </c>
      <c r="Q41" t="b">
        <f>NOT(ISBLANK(Main!O44))</f>
        <v>0</v>
      </c>
      <c r="R41" t="e">
        <f>LOOKUP(DaqbookInterp[[#This Row],[T/C Name]],WireSNs[])</f>
        <v>#N/A</v>
      </c>
      <c r="S41" s="662" t="e">
        <f>HLOOKUP(DaqbookInterp[[#This Row],[WireSet]],Main!$D$48:$I$55,8,0)</f>
        <v>#N/A</v>
      </c>
      <c r="T41" s="662" t="e">
        <f>_xlfn.XLOOKUP(DaqbookInterp[[#This Row],[Wire Lot '#]],Interp!$B$11:$B$16,Interp!$D$11:$D$16)</f>
        <v>#N/A</v>
      </c>
      <c r="W41" t="s">
        <v>996</v>
      </c>
      <c r="X41" t="s">
        <v>196</v>
      </c>
    </row>
    <row r="42" spans="1:24" x14ac:dyDescent="0.2">
      <c r="A42"/>
      <c r="B42"/>
      <c r="C42"/>
      <c r="D42"/>
      <c r="E42"/>
      <c r="F42" s="662" t="str">
        <f>LEFT(AllDaqbookOffsets[[#This Row],[traceability_no]],2)</f>
        <v>J1</v>
      </c>
      <c r="I42">
        <v>1</v>
      </c>
      <c r="J42">
        <v>-50</v>
      </c>
      <c r="K42">
        <v>-0.20000000000000284</v>
      </c>
      <c r="W42" t="s">
        <v>1014</v>
      </c>
      <c r="X42" t="s">
        <v>199</v>
      </c>
    </row>
    <row r="43" spans="1:24" x14ac:dyDescent="0.2">
      <c r="A43"/>
      <c r="B43"/>
      <c r="C43"/>
      <c r="D43"/>
      <c r="E43"/>
      <c r="F43" s="662" t="str">
        <f>LEFT(AllDaqbookOffsets[[#This Row],[traceability_no]],2)</f>
        <v>J1</v>
      </c>
      <c r="I43">
        <v>2</v>
      </c>
      <c r="J43">
        <v>-50</v>
      </c>
      <c r="K43">
        <v>0.10000000000000142</v>
      </c>
      <c r="W43" t="s">
        <v>1015</v>
      </c>
      <c r="X43" t="s">
        <v>199</v>
      </c>
    </row>
    <row r="44" spans="1:24" x14ac:dyDescent="0.2">
      <c r="A44"/>
      <c r="B44"/>
      <c r="C44"/>
      <c r="D44"/>
      <c r="E44"/>
      <c r="F44" s="662" t="str">
        <f>LEFT(AllDaqbookOffsets[[#This Row],[traceability_no]],2)</f>
        <v>J1</v>
      </c>
      <c r="I44">
        <v>3</v>
      </c>
      <c r="J44">
        <v>-50</v>
      </c>
      <c r="K44">
        <v>-0.10000000000000142</v>
      </c>
      <c r="W44" t="s">
        <v>1016</v>
      </c>
      <c r="X44" t="s">
        <v>199</v>
      </c>
    </row>
    <row r="45" spans="1:24" x14ac:dyDescent="0.2">
      <c r="A45"/>
      <c r="B45"/>
      <c r="C45"/>
      <c r="D45"/>
      <c r="E45"/>
      <c r="F45" s="662" t="str">
        <f>LEFT(AllDaqbookOffsets[[#This Row],[traceability_no]],2)</f>
        <v>J1</v>
      </c>
      <c r="I45">
        <v>4</v>
      </c>
      <c r="J45">
        <v>-50</v>
      </c>
      <c r="K45">
        <v>-0.20000000000000284</v>
      </c>
      <c r="W45" t="s">
        <v>1017</v>
      </c>
      <c r="X45" t="s">
        <v>199</v>
      </c>
    </row>
    <row r="46" spans="1:24" x14ac:dyDescent="0.2">
      <c r="A46"/>
      <c r="B46"/>
      <c r="C46"/>
      <c r="D46"/>
      <c r="E46"/>
      <c r="F46" s="662" t="str">
        <f>LEFT(AllDaqbookOffsets[[#This Row],[traceability_no]],2)</f>
        <v>J1</v>
      </c>
      <c r="I46">
        <v>5</v>
      </c>
      <c r="J46">
        <v>-50</v>
      </c>
      <c r="K46">
        <v>0</v>
      </c>
      <c r="W46" t="s">
        <v>1018</v>
      </c>
      <c r="X46" t="s">
        <v>199</v>
      </c>
    </row>
    <row r="47" spans="1:24" x14ac:dyDescent="0.2">
      <c r="A47"/>
      <c r="B47"/>
      <c r="C47"/>
      <c r="D47"/>
      <c r="E47"/>
      <c r="F47" s="662" t="str">
        <f>LEFT(AllDaqbookOffsets[[#This Row],[traceability_no]],2)</f>
        <v>J1</v>
      </c>
      <c r="I47">
        <v>6</v>
      </c>
      <c r="J47">
        <v>-50</v>
      </c>
      <c r="K47">
        <v>-0.10000000000000142</v>
      </c>
      <c r="W47" t="s">
        <v>1019</v>
      </c>
      <c r="X47" t="s">
        <v>199</v>
      </c>
    </row>
    <row r="48" spans="1:24" x14ac:dyDescent="0.2">
      <c r="A48"/>
      <c r="B48"/>
      <c r="C48"/>
      <c r="D48"/>
      <c r="E48"/>
      <c r="F48" s="662" t="str">
        <f>LEFT(AllDaqbookOffsets[[#This Row],[traceability_no]],2)</f>
        <v>J1</v>
      </c>
      <c r="I48">
        <v>7</v>
      </c>
      <c r="J48">
        <v>-50</v>
      </c>
      <c r="K48">
        <v>-0.10000000000000142</v>
      </c>
      <c r="W48" t="s">
        <v>1020</v>
      </c>
      <c r="X48" t="s">
        <v>199</v>
      </c>
    </row>
    <row r="49" spans="1:24" x14ac:dyDescent="0.2">
      <c r="A49"/>
      <c r="B49"/>
      <c r="C49"/>
      <c r="D49"/>
      <c r="E49"/>
      <c r="F49" s="662" t="str">
        <f>LEFT(AllDaqbookOffsets[[#This Row],[traceability_no]],2)</f>
        <v>J1</v>
      </c>
      <c r="I49">
        <v>8</v>
      </c>
      <c r="J49">
        <v>-50</v>
      </c>
      <c r="K49">
        <v>0.20000000000000284</v>
      </c>
      <c r="W49" t="s">
        <v>1021</v>
      </c>
      <c r="X49" t="s">
        <v>199</v>
      </c>
    </row>
    <row r="50" spans="1:24" x14ac:dyDescent="0.2">
      <c r="A50"/>
      <c r="B50"/>
      <c r="C50"/>
      <c r="D50"/>
      <c r="E50"/>
      <c r="F50" s="662" t="str">
        <f>LEFT(AllDaqbookOffsets[[#This Row],[traceability_no]],2)</f>
        <v>J1</v>
      </c>
      <c r="I50">
        <v>9</v>
      </c>
      <c r="J50">
        <v>-50</v>
      </c>
      <c r="K50">
        <v>-0.20000000000000284</v>
      </c>
      <c r="W50" t="s">
        <v>1022</v>
      </c>
      <c r="X50" t="s">
        <v>199</v>
      </c>
    </row>
    <row r="51" spans="1:24" x14ac:dyDescent="0.2">
      <c r="A51"/>
      <c r="B51"/>
      <c r="C51"/>
      <c r="D51"/>
      <c r="E51"/>
      <c r="F51" s="662" t="str">
        <f>LEFT(AllDaqbookOffsets[[#This Row],[traceability_no]],2)</f>
        <v>J1</v>
      </c>
      <c r="I51">
        <v>10</v>
      </c>
      <c r="J51">
        <v>-50</v>
      </c>
      <c r="K51">
        <v>0.10000000000000142</v>
      </c>
      <c r="W51" t="s">
        <v>997</v>
      </c>
      <c r="X51" t="s">
        <v>196</v>
      </c>
    </row>
    <row r="52" spans="1:24" x14ac:dyDescent="0.2">
      <c r="A52"/>
      <c r="B52"/>
      <c r="C52"/>
      <c r="D52"/>
      <c r="E52"/>
      <c r="F52" s="662" t="str">
        <f>LEFT(AllDaqbookOffsets[[#This Row],[traceability_no]],2)</f>
        <v>J1</v>
      </c>
      <c r="I52">
        <v>11</v>
      </c>
      <c r="J52">
        <v>-50</v>
      </c>
      <c r="K52">
        <v>-0.20000000000000284</v>
      </c>
      <c r="W52" t="s">
        <v>1023</v>
      </c>
      <c r="X52" t="s">
        <v>199</v>
      </c>
    </row>
    <row r="53" spans="1:24" x14ac:dyDescent="0.2">
      <c r="A53"/>
      <c r="B53"/>
      <c r="C53"/>
      <c r="D53"/>
      <c r="E53"/>
      <c r="F53" s="662" t="str">
        <f>LEFT(AllDaqbookOffsets[[#This Row],[traceability_no]],2)</f>
        <v>J1</v>
      </c>
      <c r="I53">
        <v>12</v>
      </c>
      <c r="J53">
        <v>-50</v>
      </c>
      <c r="K53">
        <v>0.20000000000000284</v>
      </c>
      <c r="W53" t="s">
        <v>1024</v>
      </c>
      <c r="X53" t="s">
        <v>199</v>
      </c>
    </row>
    <row r="54" spans="1:24" x14ac:dyDescent="0.2">
      <c r="A54"/>
      <c r="B54"/>
      <c r="C54"/>
      <c r="D54"/>
      <c r="E54"/>
      <c r="F54" s="662" t="str">
        <f>LEFT(AllDaqbookOffsets[[#This Row],[traceability_no]],2)</f>
        <v>J1</v>
      </c>
      <c r="I54">
        <v>13</v>
      </c>
      <c r="J54">
        <v>-50</v>
      </c>
      <c r="K54">
        <v>-0.20000000000000284</v>
      </c>
      <c r="W54" t="s">
        <v>1025</v>
      </c>
      <c r="X54" t="s">
        <v>199</v>
      </c>
    </row>
    <row r="55" spans="1:24" x14ac:dyDescent="0.2">
      <c r="A55"/>
      <c r="B55"/>
      <c r="C55"/>
      <c r="D55"/>
      <c r="E55"/>
      <c r="F55" s="662" t="str">
        <f>LEFT(AllDaqbookOffsets[[#This Row],[traceability_no]],2)</f>
        <v>J1</v>
      </c>
      <c r="I55">
        <v>14</v>
      </c>
      <c r="J55">
        <v>-50</v>
      </c>
      <c r="K55">
        <v>-0.5</v>
      </c>
      <c r="W55" t="s">
        <v>1026</v>
      </c>
      <c r="X55" t="s">
        <v>199</v>
      </c>
    </row>
    <row r="56" spans="1:24" x14ac:dyDescent="0.2">
      <c r="A56"/>
      <c r="B56"/>
      <c r="C56"/>
      <c r="D56"/>
      <c r="E56"/>
      <c r="F56" s="662" t="str">
        <f>LEFT(AllDaqbookOffsets[[#This Row],[traceability_no]],2)</f>
        <v>J1</v>
      </c>
      <c r="I56">
        <v>15</v>
      </c>
      <c r="J56">
        <v>-50</v>
      </c>
      <c r="K56">
        <v>0.10000000000000142</v>
      </c>
      <c r="W56" t="s">
        <v>1027</v>
      </c>
      <c r="X56" t="s">
        <v>199</v>
      </c>
    </row>
    <row r="57" spans="1:24" x14ac:dyDescent="0.2">
      <c r="A57"/>
      <c r="B57"/>
      <c r="C57"/>
      <c r="D57"/>
      <c r="E57"/>
      <c r="F57" s="662" t="str">
        <f>LEFT(AllDaqbookOffsets[[#This Row],[traceability_no]],2)</f>
        <v>J1</v>
      </c>
      <c r="I57">
        <v>16</v>
      </c>
      <c r="J57">
        <v>-50</v>
      </c>
      <c r="K57">
        <v>0.20000000000000284</v>
      </c>
      <c r="W57" t="s">
        <v>998</v>
      </c>
      <c r="X57" t="s">
        <v>196</v>
      </c>
    </row>
    <row r="58" spans="1:24" x14ac:dyDescent="0.2">
      <c r="A58"/>
      <c r="B58"/>
      <c r="C58"/>
      <c r="D58"/>
      <c r="E58"/>
      <c r="F58" s="662" t="str">
        <f>LEFT(AllDaqbookOffsets[[#This Row],[traceability_no]],2)</f>
        <v>J1</v>
      </c>
      <c r="I58">
        <v>17</v>
      </c>
      <c r="J58">
        <v>-50</v>
      </c>
      <c r="K58">
        <v>0.10000000000000142</v>
      </c>
      <c r="W58" t="s">
        <v>999</v>
      </c>
      <c r="X58" t="s">
        <v>196</v>
      </c>
    </row>
    <row r="59" spans="1:24" x14ac:dyDescent="0.2">
      <c r="A59"/>
      <c r="B59"/>
      <c r="C59"/>
      <c r="D59"/>
      <c r="E59"/>
      <c r="F59" s="662" t="str">
        <f>LEFT(AllDaqbookOffsets[[#This Row],[traceability_no]],2)</f>
        <v>J1</v>
      </c>
      <c r="I59">
        <v>18</v>
      </c>
      <c r="J59">
        <v>-50</v>
      </c>
      <c r="K59">
        <v>0.10000000000000142</v>
      </c>
      <c r="W59" t="s">
        <v>1000</v>
      </c>
      <c r="X59" t="s">
        <v>196</v>
      </c>
    </row>
    <row r="60" spans="1:24" x14ac:dyDescent="0.2">
      <c r="A60"/>
      <c r="B60"/>
      <c r="C60"/>
      <c r="D60"/>
      <c r="E60"/>
      <c r="F60" s="662" t="str">
        <f>LEFT(AllDaqbookOffsets[[#This Row],[traceability_no]],2)</f>
        <v>J1</v>
      </c>
      <c r="I60">
        <v>19</v>
      </c>
      <c r="J60">
        <v>-50</v>
      </c>
      <c r="K60">
        <v>-0.10000000000000142</v>
      </c>
      <c r="W60" t="s">
        <v>1028</v>
      </c>
      <c r="X60" t="s">
        <v>200</v>
      </c>
    </row>
    <row r="61" spans="1:24" x14ac:dyDescent="0.2">
      <c r="A61"/>
      <c r="B61"/>
      <c r="C61"/>
      <c r="D61"/>
      <c r="E61"/>
      <c r="F61" s="662" t="str">
        <f>LEFT(AllDaqbookOffsets[[#This Row],[traceability_no]],2)</f>
        <v>J1</v>
      </c>
      <c r="I61">
        <v>20</v>
      </c>
      <c r="J61">
        <v>-50</v>
      </c>
      <c r="K61">
        <v>0.10000000000000142</v>
      </c>
      <c r="W61" t="s">
        <v>1029</v>
      </c>
      <c r="X61" t="s">
        <v>200</v>
      </c>
    </row>
    <row r="62" spans="1:24" x14ac:dyDescent="0.2">
      <c r="A62"/>
      <c r="B62"/>
      <c r="C62"/>
      <c r="D62"/>
      <c r="E62"/>
      <c r="F62" s="662" t="str">
        <f>LEFT(AllDaqbookOffsets[[#This Row],[traceability_no]],2)</f>
        <v>J1</v>
      </c>
      <c r="I62">
        <v>21</v>
      </c>
      <c r="J62">
        <v>-50</v>
      </c>
      <c r="K62">
        <v>0.20000000000000284</v>
      </c>
      <c r="W62" t="s">
        <v>1030</v>
      </c>
      <c r="X62" t="s">
        <v>200</v>
      </c>
    </row>
    <row r="63" spans="1:24" x14ac:dyDescent="0.2">
      <c r="A63"/>
      <c r="B63"/>
      <c r="C63"/>
      <c r="D63"/>
      <c r="E63"/>
      <c r="F63" s="662" t="str">
        <f>LEFT(AllDaqbookOffsets[[#This Row],[traceability_no]],2)</f>
        <v>J1</v>
      </c>
      <c r="I63">
        <v>22</v>
      </c>
      <c r="J63">
        <v>-50</v>
      </c>
      <c r="K63">
        <v>0.29999999999999716</v>
      </c>
      <c r="W63" t="s">
        <v>1031</v>
      </c>
      <c r="X63" t="s">
        <v>200</v>
      </c>
    </row>
    <row r="64" spans="1:24" x14ac:dyDescent="0.2">
      <c r="A64"/>
      <c r="B64"/>
      <c r="C64"/>
      <c r="D64"/>
      <c r="E64"/>
      <c r="F64" s="662" t="str">
        <f>LEFT(AllDaqbookOffsets[[#This Row],[traceability_no]],2)</f>
        <v>J1</v>
      </c>
      <c r="I64">
        <v>23</v>
      </c>
      <c r="J64">
        <v>-50</v>
      </c>
      <c r="K64">
        <v>0.20000000000000284</v>
      </c>
      <c r="W64" t="s">
        <v>1032</v>
      </c>
      <c r="X64" t="s">
        <v>200</v>
      </c>
    </row>
    <row r="65" spans="1:24" x14ac:dyDescent="0.2">
      <c r="A65"/>
      <c r="B65"/>
      <c r="C65"/>
      <c r="D65"/>
      <c r="E65"/>
      <c r="F65" s="662" t="str">
        <f>LEFT(AllDaqbookOffsets[[#This Row],[traceability_no]],2)</f>
        <v>J1</v>
      </c>
      <c r="I65">
        <v>24</v>
      </c>
      <c r="J65">
        <v>-50</v>
      </c>
      <c r="K65">
        <v>0.10000000000000142</v>
      </c>
      <c r="W65" t="s">
        <v>1033</v>
      </c>
      <c r="X65" t="s">
        <v>200</v>
      </c>
    </row>
    <row r="66" spans="1:24" x14ac:dyDescent="0.2">
      <c r="A66"/>
      <c r="B66"/>
      <c r="C66"/>
      <c r="D66"/>
      <c r="E66"/>
      <c r="F66" s="662" t="str">
        <f>LEFT(AllDaqbookOffsets[[#This Row],[traceability_no]],2)</f>
        <v>J1</v>
      </c>
      <c r="I66">
        <v>25</v>
      </c>
      <c r="J66">
        <v>-50</v>
      </c>
      <c r="K66">
        <v>-0.10000000000000142</v>
      </c>
      <c r="W66" t="s">
        <v>1034</v>
      </c>
      <c r="X66" t="s">
        <v>200</v>
      </c>
    </row>
    <row r="67" spans="1:24" x14ac:dyDescent="0.2">
      <c r="A67"/>
      <c r="B67"/>
      <c r="C67"/>
      <c r="D67"/>
      <c r="E67"/>
      <c r="F67" s="662" t="str">
        <f>LEFT(AllDaqbookOffsets[[#This Row],[traceability_no]],2)</f>
        <v>J1</v>
      </c>
      <c r="I67">
        <v>26</v>
      </c>
      <c r="J67">
        <v>-50</v>
      </c>
      <c r="K67">
        <v>0.20000000000000284</v>
      </c>
      <c r="W67" t="s">
        <v>1035</v>
      </c>
      <c r="X67" t="s">
        <v>200</v>
      </c>
    </row>
    <row r="68" spans="1:24" x14ac:dyDescent="0.2">
      <c r="A68"/>
      <c r="B68"/>
      <c r="C68"/>
      <c r="D68"/>
      <c r="E68"/>
      <c r="F68" s="662" t="str">
        <f>LEFT(AllDaqbookOffsets[[#This Row],[traceability_no]],2)</f>
        <v>J1</v>
      </c>
      <c r="I68">
        <v>27</v>
      </c>
      <c r="J68">
        <v>-50</v>
      </c>
      <c r="K68">
        <v>0.39999999999999858</v>
      </c>
      <c r="W68" t="s">
        <v>1036</v>
      </c>
      <c r="X68" t="s">
        <v>200</v>
      </c>
    </row>
    <row r="69" spans="1:24" x14ac:dyDescent="0.2">
      <c r="A69"/>
      <c r="B69"/>
      <c r="C69"/>
      <c r="D69"/>
      <c r="E69"/>
      <c r="F69" s="662" t="str">
        <f>LEFT(AllDaqbookOffsets[[#This Row],[traceability_no]],2)</f>
        <v>J1</v>
      </c>
      <c r="I69">
        <v>28</v>
      </c>
      <c r="J69">
        <v>-50</v>
      </c>
      <c r="K69">
        <v>-0.20000000000000284</v>
      </c>
      <c r="W69" t="s">
        <v>1037</v>
      </c>
      <c r="X69" t="s">
        <v>200</v>
      </c>
    </row>
    <row r="70" spans="1:24" x14ac:dyDescent="0.2">
      <c r="A70"/>
      <c r="B70"/>
      <c r="C70"/>
      <c r="D70"/>
      <c r="E70"/>
      <c r="F70" s="662" t="str">
        <f>LEFT(AllDaqbookOffsets[[#This Row],[traceability_no]],2)</f>
        <v>J1</v>
      </c>
      <c r="I70">
        <v>29</v>
      </c>
      <c r="J70">
        <v>-50</v>
      </c>
      <c r="K70">
        <v>-0.29999999999999716</v>
      </c>
      <c r="W70" t="s">
        <v>1038</v>
      </c>
      <c r="X70" t="s">
        <v>200</v>
      </c>
    </row>
    <row r="71" spans="1:24" x14ac:dyDescent="0.2">
      <c r="A71"/>
      <c r="B71"/>
      <c r="C71"/>
      <c r="D71"/>
      <c r="E71"/>
      <c r="F71" s="662" t="str">
        <f>LEFT(AllDaqbookOffsets[[#This Row],[traceability_no]],2)</f>
        <v>J1</v>
      </c>
      <c r="I71">
        <v>30</v>
      </c>
      <c r="J71">
        <v>-50</v>
      </c>
      <c r="K71">
        <v>0.29999999999999716</v>
      </c>
      <c r="W71" t="s">
        <v>1039</v>
      </c>
      <c r="X71" t="s">
        <v>200</v>
      </c>
    </row>
    <row r="72" spans="1:24" x14ac:dyDescent="0.2">
      <c r="A72"/>
      <c r="B72"/>
      <c r="C72"/>
      <c r="D72"/>
      <c r="E72"/>
      <c r="F72" s="662" t="str">
        <f>LEFT(AllDaqbookOffsets[[#This Row],[traceability_no]],2)</f>
        <v>J1</v>
      </c>
      <c r="I72">
        <v>31</v>
      </c>
      <c r="J72">
        <v>-50</v>
      </c>
      <c r="K72">
        <v>0.20000000000000284</v>
      </c>
      <c r="W72" t="s">
        <v>1040</v>
      </c>
      <c r="X72" t="s">
        <v>200</v>
      </c>
    </row>
    <row r="73" spans="1:24" x14ac:dyDescent="0.2">
      <c r="A73"/>
      <c r="B73"/>
      <c r="C73"/>
      <c r="D73"/>
      <c r="E73"/>
      <c r="F73" s="662" t="str">
        <f>LEFT(AllDaqbookOffsets[[#This Row],[traceability_no]],2)</f>
        <v>J1</v>
      </c>
      <c r="I73">
        <v>32</v>
      </c>
      <c r="J73">
        <v>-50</v>
      </c>
      <c r="K73">
        <v>-0.10000000000000142</v>
      </c>
      <c r="W73" t="s">
        <v>1041</v>
      </c>
      <c r="X73" t="s">
        <v>200</v>
      </c>
    </row>
    <row r="74" spans="1:24" x14ac:dyDescent="0.2">
      <c r="A74"/>
      <c r="B74"/>
      <c r="C74"/>
      <c r="D74"/>
      <c r="E74"/>
      <c r="F74" s="662" t="str">
        <f>LEFT(AllDaqbookOffsets[[#This Row],[traceability_no]],2)</f>
        <v>J1</v>
      </c>
      <c r="I74">
        <v>33</v>
      </c>
      <c r="J74">
        <v>-50</v>
      </c>
      <c r="K74">
        <v>-0.10000000000000142</v>
      </c>
      <c r="W74" t="s">
        <v>1042</v>
      </c>
      <c r="X74" t="s">
        <v>201</v>
      </c>
    </row>
    <row r="75" spans="1:24" x14ac:dyDescent="0.2">
      <c r="A75"/>
      <c r="B75"/>
      <c r="C75"/>
      <c r="D75"/>
      <c r="E75"/>
      <c r="F75" s="662" t="str">
        <f>LEFT(AllDaqbookOffsets[[#This Row],[traceability_no]],2)</f>
        <v>J1</v>
      </c>
      <c r="I75">
        <v>34</v>
      </c>
      <c r="J75">
        <v>-50</v>
      </c>
      <c r="K75">
        <v>-0.20000000000000284</v>
      </c>
      <c r="W75" t="s">
        <v>1043</v>
      </c>
      <c r="X75" t="s">
        <v>201</v>
      </c>
    </row>
    <row r="76" spans="1:24" x14ac:dyDescent="0.2">
      <c r="A76"/>
      <c r="B76"/>
      <c r="C76"/>
      <c r="D76"/>
      <c r="E76"/>
      <c r="F76" s="662" t="str">
        <f>LEFT(AllDaqbookOffsets[[#This Row],[traceability_no]],2)</f>
        <v>J1</v>
      </c>
      <c r="I76">
        <v>35</v>
      </c>
      <c r="J76">
        <v>-50</v>
      </c>
      <c r="K76">
        <v>0.20000000000000284</v>
      </c>
      <c r="W76" t="s">
        <v>1044</v>
      </c>
      <c r="X76" t="s">
        <v>201</v>
      </c>
    </row>
    <row r="77" spans="1:24" x14ac:dyDescent="0.2">
      <c r="A77"/>
      <c r="B77"/>
      <c r="C77"/>
      <c r="D77"/>
      <c r="E77"/>
      <c r="F77" s="662" t="str">
        <f>LEFT(AllDaqbookOffsets[[#This Row],[traceability_no]],2)</f>
        <v>J1</v>
      </c>
      <c r="I77">
        <v>36</v>
      </c>
      <c r="J77">
        <v>-50</v>
      </c>
      <c r="K77">
        <v>0</v>
      </c>
      <c r="W77" t="s">
        <v>1045</v>
      </c>
      <c r="X77" t="s">
        <v>201</v>
      </c>
    </row>
    <row r="78" spans="1:24" x14ac:dyDescent="0.2">
      <c r="A78"/>
      <c r="B78"/>
      <c r="C78"/>
      <c r="D78"/>
      <c r="E78"/>
      <c r="F78" s="662" t="str">
        <f>LEFT(AllDaqbookOffsets[[#This Row],[traceability_no]],2)</f>
        <v>J1</v>
      </c>
      <c r="I78">
        <v>37</v>
      </c>
      <c r="J78">
        <v>-50</v>
      </c>
      <c r="K78">
        <v>-0.10000000000000142</v>
      </c>
      <c r="W78" t="s">
        <v>1046</v>
      </c>
      <c r="X78" t="s">
        <v>201</v>
      </c>
    </row>
    <row r="79" spans="1:24" x14ac:dyDescent="0.2">
      <c r="A79"/>
      <c r="B79"/>
      <c r="C79"/>
      <c r="D79"/>
      <c r="E79"/>
      <c r="F79" s="662" t="str">
        <f>LEFT(AllDaqbookOffsets[[#This Row],[traceability_no]],2)</f>
        <v>J1</v>
      </c>
      <c r="I79">
        <v>38</v>
      </c>
      <c r="J79">
        <v>-50</v>
      </c>
      <c r="K79">
        <v>0</v>
      </c>
      <c r="W79" t="s">
        <v>1047</v>
      </c>
      <c r="X79" t="s">
        <v>201</v>
      </c>
    </row>
    <row r="80" spans="1:24" x14ac:dyDescent="0.2">
      <c r="A80"/>
      <c r="B80"/>
      <c r="C80"/>
      <c r="D80"/>
      <c r="E80"/>
      <c r="F80" s="662" t="str">
        <f>LEFT(AllDaqbookOffsets[[#This Row],[traceability_no]],2)</f>
        <v>J1</v>
      </c>
      <c r="I80">
        <v>39</v>
      </c>
      <c r="J80">
        <v>-50</v>
      </c>
      <c r="K80">
        <v>0.20000000000000284</v>
      </c>
      <c r="W80" t="s">
        <v>1048</v>
      </c>
      <c r="X80" t="s">
        <v>201</v>
      </c>
    </row>
    <row r="81" spans="1:24" x14ac:dyDescent="0.2">
      <c r="A81"/>
      <c r="B81"/>
      <c r="C81"/>
      <c r="D81"/>
      <c r="E81"/>
      <c r="F81" s="662" t="str">
        <f>LEFT(AllDaqbookOffsets[[#This Row],[traceability_no]],2)</f>
        <v>J1</v>
      </c>
      <c r="I81">
        <v>40</v>
      </c>
      <c r="J81">
        <v>-50</v>
      </c>
      <c r="K81">
        <v>-0.29999999999999716</v>
      </c>
      <c r="W81" t="s">
        <v>1049</v>
      </c>
      <c r="X81" t="s">
        <v>201</v>
      </c>
    </row>
    <row r="82" spans="1:24" x14ac:dyDescent="0.2">
      <c r="A82"/>
      <c r="B82"/>
      <c r="C82"/>
      <c r="D82"/>
      <c r="E82"/>
      <c r="F82" s="662" t="str">
        <f>LEFT(AllDaqbookOffsets[[#This Row],[traceability_no]],2)</f>
        <v>J1</v>
      </c>
      <c r="I82">
        <v>1</v>
      </c>
      <c r="J82">
        <v>0</v>
      </c>
      <c r="K82">
        <v>-0.2</v>
      </c>
      <c r="W82" t="s">
        <v>1050</v>
      </c>
      <c r="X82" t="s">
        <v>201</v>
      </c>
    </row>
    <row r="83" spans="1:24" x14ac:dyDescent="0.2">
      <c r="A83"/>
      <c r="B83"/>
      <c r="C83"/>
      <c r="D83"/>
      <c r="E83"/>
      <c r="F83" s="662" t="str">
        <f>LEFT(AllDaqbookOffsets[[#This Row],[traceability_no]],2)</f>
        <v>J1</v>
      </c>
      <c r="I83">
        <v>2</v>
      </c>
      <c r="J83">
        <v>0</v>
      </c>
      <c r="K83">
        <v>0.1</v>
      </c>
      <c r="W83" t="s">
        <v>1051</v>
      </c>
      <c r="X83" t="s">
        <v>201</v>
      </c>
    </row>
    <row r="84" spans="1:24" x14ac:dyDescent="0.2">
      <c r="A84"/>
      <c r="B84"/>
      <c r="C84"/>
      <c r="D84"/>
      <c r="E84"/>
      <c r="F84" s="662" t="str">
        <f>LEFT(AllDaqbookOffsets[[#This Row],[traceability_no]],2)</f>
        <v>J1</v>
      </c>
      <c r="I84">
        <v>3</v>
      </c>
      <c r="J84">
        <v>0</v>
      </c>
      <c r="K84">
        <v>-0.1</v>
      </c>
      <c r="W84" t="s">
        <v>1052</v>
      </c>
      <c r="X84" t="s">
        <v>201</v>
      </c>
    </row>
    <row r="85" spans="1:24" x14ac:dyDescent="0.2">
      <c r="A85"/>
      <c r="B85"/>
      <c r="C85"/>
      <c r="D85"/>
      <c r="E85"/>
      <c r="F85" s="662" t="str">
        <f>LEFT(AllDaqbookOffsets[[#This Row],[traceability_no]],2)</f>
        <v>J1</v>
      </c>
      <c r="I85">
        <v>4</v>
      </c>
      <c r="J85">
        <v>0</v>
      </c>
      <c r="K85">
        <v>-0.3</v>
      </c>
      <c r="W85" t="s">
        <v>1053</v>
      </c>
      <c r="X85" t="s">
        <v>201</v>
      </c>
    </row>
    <row r="86" spans="1:24" x14ac:dyDescent="0.2">
      <c r="A86"/>
      <c r="B86"/>
      <c r="C86"/>
      <c r="D86"/>
      <c r="E86"/>
      <c r="F86" s="662" t="str">
        <f>LEFT(AllDaqbookOffsets[[#This Row],[traceability_no]],2)</f>
        <v>J1</v>
      </c>
      <c r="I86">
        <v>5</v>
      </c>
      <c r="J86">
        <v>0</v>
      </c>
      <c r="K86">
        <v>-0.1</v>
      </c>
      <c r="W86" t="s">
        <v>1054</v>
      </c>
      <c r="X86" t="s">
        <v>201</v>
      </c>
    </row>
    <row r="87" spans="1:24" x14ac:dyDescent="0.2">
      <c r="A87"/>
      <c r="B87"/>
      <c r="C87"/>
      <c r="D87"/>
      <c r="E87"/>
      <c r="F87" s="662" t="str">
        <f>LEFT(AllDaqbookOffsets[[#This Row],[traceability_no]],2)</f>
        <v>J1</v>
      </c>
      <c r="I87">
        <v>6</v>
      </c>
      <c r="J87">
        <v>0</v>
      </c>
      <c r="K87">
        <v>-0.1</v>
      </c>
      <c r="W87" t="s">
        <v>1055</v>
      </c>
      <c r="X87" t="s">
        <v>201</v>
      </c>
    </row>
    <row r="88" spans="1:24" x14ac:dyDescent="0.2">
      <c r="A88"/>
      <c r="B88"/>
      <c r="C88"/>
      <c r="D88"/>
      <c r="E88"/>
      <c r="F88" s="662" t="str">
        <f>LEFT(AllDaqbookOffsets[[#This Row],[traceability_no]],2)</f>
        <v>J1</v>
      </c>
      <c r="I88">
        <v>7</v>
      </c>
      <c r="J88">
        <v>0</v>
      </c>
      <c r="K88">
        <v>-0.1</v>
      </c>
      <c r="W88" t="s">
        <v>1056</v>
      </c>
      <c r="X88" t="s">
        <v>202</v>
      </c>
    </row>
    <row r="89" spans="1:24" x14ac:dyDescent="0.2">
      <c r="A89"/>
      <c r="B89"/>
      <c r="C89"/>
      <c r="D89"/>
      <c r="E89"/>
      <c r="F89" s="662" t="str">
        <f>LEFT(AllDaqbookOffsets[[#This Row],[traceability_no]],2)</f>
        <v>J1</v>
      </c>
      <c r="I89">
        <v>8</v>
      </c>
      <c r="J89">
        <v>0</v>
      </c>
      <c r="K89">
        <v>0.1</v>
      </c>
      <c r="W89" t="s">
        <v>1057</v>
      </c>
      <c r="X89" t="s">
        <v>202</v>
      </c>
    </row>
    <row r="90" spans="1:24" x14ac:dyDescent="0.2">
      <c r="A90"/>
      <c r="B90"/>
      <c r="C90"/>
      <c r="D90"/>
      <c r="E90"/>
      <c r="F90" s="662" t="str">
        <f>LEFT(AllDaqbookOffsets[[#This Row],[traceability_no]],2)</f>
        <v>J1</v>
      </c>
      <c r="I90">
        <v>9</v>
      </c>
      <c r="J90">
        <v>0</v>
      </c>
      <c r="K90">
        <v>-0.3</v>
      </c>
      <c r="W90" t="s">
        <v>1058</v>
      </c>
      <c r="X90" t="s">
        <v>202</v>
      </c>
    </row>
    <row r="91" spans="1:24" x14ac:dyDescent="0.2">
      <c r="A91"/>
      <c r="B91"/>
      <c r="C91"/>
      <c r="D91"/>
      <c r="E91"/>
      <c r="F91" s="662" t="str">
        <f>LEFT(AllDaqbookOffsets[[#This Row],[traceability_no]],2)</f>
        <v>J1</v>
      </c>
      <c r="I91">
        <v>10</v>
      </c>
      <c r="J91">
        <v>0</v>
      </c>
      <c r="K91">
        <v>0</v>
      </c>
      <c r="W91" t="s">
        <v>1059</v>
      </c>
      <c r="X91" t="s">
        <v>202</v>
      </c>
    </row>
    <row r="92" spans="1:24" x14ac:dyDescent="0.2">
      <c r="A92"/>
      <c r="B92"/>
      <c r="C92"/>
      <c r="D92"/>
      <c r="E92"/>
      <c r="F92" s="662" t="str">
        <f>LEFT(AllDaqbookOffsets[[#This Row],[traceability_no]],2)</f>
        <v>J1</v>
      </c>
      <c r="I92">
        <v>11</v>
      </c>
      <c r="J92">
        <v>0</v>
      </c>
      <c r="K92">
        <v>-0.2</v>
      </c>
      <c r="W92" t="s">
        <v>1060</v>
      </c>
      <c r="X92" t="s">
        <v>202</v>
      </c>
    </row>
    <row r="93" spans="1:24" x14ac:dyDescent="0.2">
      <c r="A93"/>
      <c r="B93"/>
      <c r="C93"/>
      <c r="D93"/>
      <c r="E93"/>
      <c r="F93" s="662" t="str">
        <f>LEFT(AllDaqbookOffsets[[#This Row],[traceability_no]],2)</f>
        <v>J1</v>
      </c>
      <c r="I93">
        <v>12</v>
      </c>
      <c r="J93">
        <v>0</v>
      </c>
      <c r="K93">
        <v>0.1</v>
      </c>
      <c r="W93" t="s">
        <v>1061</v>
      </c>
      <c r="X93" t="s">
        <v>202</v>
      </c>
    </row>
    <row r="94" spans="1:24" x14ac:dyDescent="0.2">
      <c r="A94"/>
      <c r="B94"/>
      <c r="C94"/>
      <c r="D94"/>
      <c r="E94"/>
      <c r="F94" s="662" t="str">
        <f>LEFT(AllDaqbookOffsets[[#This Row],[traceability_no]],2)</f>
        <v>J1</v>
      </c>
      <c r="I94">
        <v>13</v>
      </c>
      <c r="J94">
        <v>0</v>
      </c>
      <c r="K94">
        <v>-0.2</v>
      </c>
      <c r="W94" t="s">
        <v>1062</v>
      </c>
      <c r="X94" t="s">
        <v>202</v>
      </c>
    </row>
    <row r="95" spans="1:24" x14ac:dyDescent="0.2">
      <c r="A95"/>
      <c r="B95"/>
      <c r="C95"/>
      <c r="D95"/>
      <c r="E95"/>
      <c r="F95" s="662" t="str">
        <f>LEFT(AllDaqbookOffsets[[#This Row],[traceability_no]],2)</f>
        <v>J1</v>
      </c>
      <c r="I95">
        <v>14</v>
      </c>
      <c r="J95">
        <v>0</v>
      </c>
      <c r="K95">
        <v>-0.5</v>
      </c>
      <c r="W95" t="s">
        <v>1063</v>
      </c>
      <c r="X95" t="s">
        <v>202</v>
      </c>
    </row>
    <row r="96" spans="1:24" x14ac:dyDescent="0.2">
      <c r="A96"/>
      <c r="B96"/>
      <c r="C96"/>
      <c r="D96"/>
      <c r="E96"/>
      <c r="F96" s="662" t="str">
        <f>LEFT(AllDaqbookOffsets[[#This Row],[traceability_no]],2)</f>
        <v>J1</v>
      </c>
      <c r="I96">
        <v>15</v>
      </c>
      <c r="J96">
        <v>0</v>
      </c>
      <c r="K96">
        <v>0.1</v>
      </c>
      <c r="W96" t="s">
        <v>1064</v>
      </c>
      <c r="X96" t="s">
        <v>202</v>
      </c>
    </row>
    <row r="97" spans="1:24" x14ac:dyDescent="0.2">
      <c r="A97"/>
      <c r="B97"/>
      <c r="C97"/>
      <c r="D97"/>
      <c r="E97"/>
      <c r="F97" s="662" t="str">
        <f>LEFT(AllDaqbookOffsets[[#This Row],[traceability_no]],2)</f>
        <v>J1</v>
      </c>
      <c r="I97">
        <v>16</v>
      </c>
      <c r="J97">
        <v>0</v>
      </c>
      <c r="K97">
        <v>0.1</v>
      </c>
      <c r="W97" t="s">
        <v>1065</v>
      </c>
      <c r="X97" t="s">
        <v>202</v>
      </c>
    </row>
    <row r="98" spans="1:24" x14ac:dyDescent="0.2">
      <c r="A98"/>
      <c r="B98"/>
      <c r="C98"/>
      <c r="D98"/>
      <c r="E98"/>
      <c r="F98" s="662" t="str">
        <f>LEFT(AllDaqbookOffsets[[#This Row],[traceability_no]],2)</f>
        <v>J1</v>
      </c>
      <c r="I98">
        <v>17</v>
      </c>
      <c r="J98">
        <v>0</v>
      </c>
      <c r="K98">
        <v>0.1</v>
      </c>
      <c r="W98" t="s">
        <v>1068</v>
      </c>
      <c r="X98" t="s">
        <v>203</v>
      </c>
    </row>
    <row r="99" spans="1:24" x14ac:dyDescent="0.2">
      <c r="A99"/>
      <c r="B99"/>
      <c r="C99"/>
      <c r="D99"/>
      <c r="E99"/>
      <c r="F99" s="662" t="str">
        <f>LEFT(AllDaqbookOffsets[[#This Row],[traceability_no]],2)</f>
        <v>J1</v>
      </c>
      <c r="I99">
        <v>18</v>
      </c>
      <c r="J99">
        <v>0</v>
      </c>
      <c r="K99">
        <v>0</v>
      </c>
      <c r="W99" t="s">
        <v>1069</v>
      </c>
      <c r="X99" t="s">
        <v>203</v>
      </c>
    </row>
    <row r="100" spans="1:24" x14ac:dyDescent="0.2">
      <c r="A100"/>
      <c r="B100"/>
      <c r="C100"/>
      <c r="D100"/>
      <c r="E100"/>
      <c r="F100" s="662" t="str">
        <f>LEFT(AllDaqbookOffsets[[#This Row],[traceability_no]],2)</f>
        <v>J1</v>
      </c>
      <c r="I100">
        <v>19</v>
      </c>
      <c r="J100">
        <v>0</v>
      </c>
      <c r="K100">
        <v>-0.1</v>
      </c>
      <c r="W100" t="s">
        <v>1070</v>
      </c>
      <c r="X100" t="s">
        <v>203</v>
      </c>
    </row>
    <row r="101" spans="1:24" x14ac:dyDescent="0.2">
      <c r="A101"/>
      <c r="B101"/>
      <c r="C101"/>
      <c r="D101"/>
      <c r="E101"/>
      <c r="F101" s="662" t="str">
        <f>LEFT(AllDaqbookOffsets[[#This Row],[traceability_no]],2)</f>
        <v>J1</v>
      </c>
      <c r="I101">
        <v>20</v>
      </c>
      <c r="J101">
        <v>0</v>
      </c>
      <c r="K101">
        <v>0</v>
      </c>
      <c r="W101" t="s">
        <v>1071</v>
      </c>
      <c r="X101" t="s">
        <v>203</v>
      </c>
    </row>
    <row r="102" spans="1:24" x14ac:dyDescent="0.2">
      <c r="A102"/>
      <c r="B102"/>
      <c r="C102"/>
      <c r="D102"/>
      <c r="E102"/>
      <c r="F102" s="662" t="str">
        <f>LEFT(AllDaqbookOffsets[[#This Row],[traceability_no]],2)</f>
        <v>J1</v>
      </c>
      <c r="I102">
        <v>21</v>
      </c>
      <c r="J102">
        <v>0</v>
      </c>
      <c r="K102">
        <v>0</v>
      </c>
      <c r="W102" t="s">
        <v>1072</v>
      </c>
      <c r="X102" t="s">
        <v>203</v>
      </c>
    </row>
    <row r="103" spans="1:24" x14ac:dyDescent="0.2">
      <c r="A103"/>
      <c r="B103"/>
      <c r="C103"/>
      <c r="D103"/>
      <c r="E103"/>
      <c r="F103" s="662" t="str">
        <f>LEFT(AllDaqbookOffsets[[#This Row],[traceability_no]],2)</f>
        <v>J1</v>
      </c>
      <c r="I103">
        <v>22</v>
      </c>
      <c r="J103">
        <v>0</v>
      </c>
      <c r="K103">
        <v>0.1</v>
      </c>
      <c r="W103" t="s">
        <v>1073</v>
      </c>
      <c r="X103" t="s">
        <v>203</v>
      </c>
    </row>
    <row r="104" spans="1:24" x14ac:dyDescent="0.2">
      <c r="A104"/>
      <c r="B104"/>
      <c r="C104"/>
      <c r="D104"/>
      <c r="E104"/>
      <c r="F104" s="662" t="str">
        <f>LEFT(AllDaqbookOffsets[[#This Row],[traceability_no]],2)</f>
        <v>J1</v>
      </c>
      <c r="I104">
        <v>23</v>
      </c>
      <c r="J104">
        <v>0</v>
      </c>
      <c r="K104">
        <v>0.2</v>
      </c>
      <c r="W104" t="s">
        <v>1074</v>
      </c>
      <c r="X104" t="s">
        <v>203</v>
      </c>
    </row>
    <row r="105" spans="1:24" x14ac:dyDescent="0.2">
      <c r="A105"/>
      <c r="B105"/>
      <c r="C105"/>
      <c r="D105"/>
      <c r="E105"/>
      <c r="F105" s="662" t="str">
        <f>LEFT(AllDaqbookOffsets[[#This Row],[traceability_no]],2)</f>
        <v>J1</v>
      </c>
      <c r="I105">
        <v>24</v>
      </c>
      <c r="J105">
        <v>0</v>
      </c>
      <c r="K105">
        <v>-0.1</v>
      </c>
      <c r="W105" t="s">
        <v>1075</v>
      </c>
      <c r="X105" t="s">
        <v>203</v>
      </c>
    </row>
    <row r="106" spans="1:24" x14ac:dyDescent="0.2">
      <c r="A106"/>
      <c r="B106"/>
      <c r="C106"/>
      <c r="D106"/>
      <c r="E106"/>
      <c r="F106" s="662" t="str">
        <f>LEFT(AllDaqbookOffsets[[#This Row],[traceability_no]],2)</f>
        <v>J1</v>
      </c>
      <c r="I106">
        <v>25</v>
      </c>
      <c r="J106">
        <v>0</v>
      </c>
      <c r="K106">
        <v>-0.1</v>
      </c>
      <c r="W106" t="s">
        <v>1076</v>
      </c>
      <c r="X106" t="s">
        <v>203</v>
      </c>
    </row>
    <row r="107" spans="1:24" x14ac:dyDescent="0.2">
      <c r="A107"/>
      <c r="B107"/>
      <c r="C107"/>
      <c r="D107"/>
      <c r="E107"/>
      <c r="F107" s="662" t="str">
        <f>LEFT(AllDaqbookOffsets[[#This Row],[traceability_no]],2)</f>
        <v>J1</v>
      </c>
      <c r="I107">
        <v>26</v>
      </c>
      <c r="J107">
        <v>0</v>
      </c>
      <c r="K107">
        <v>0</v>
      </c>
      <c r="W107" t="s">
        <v>1077</v>
      </c>
      <c r="X107" t="s">
        <v>203</v>
      </c>
    </row>
    <row r="108" spans="1:24" x14ac:dyDescent="0.2">
      <c r="A108"/>
      <c r="B108"/>
      <c r="C108"/>
      <c r="D108"/>
      <c r="E108"/>
      <c r="F108" s="662" t="str">
        <f>LEFT(AllDaqbookOffsets[[#This Row],[traceability_no]],2)</f>
        <v>J1</v>
      </c>
      <c r="I108">
        <v>27</v>
      </c>
      <c r="J108">
        <v>0</v>
      </c>
      <c r="K108">
        <v>0.3</v>
      </c>
      <c r="W108" t="s">
        <v>1078</v>
      </c>
      <c r="X108" t="s">
        <v>367</v>
      </c>
    </row>
    <row r="109" spans="1:24" x14ac:dyDescent="0.2">
      <c r="A109"/>
      <c r="B109"/>
      <c r="C109"/>
      <c r="D109"/>
      <c r="E109"/>
      <c r="F109" s="662" t="str">
        <f>LEFT(AllDaqbookOffsets[[#This Row],[traceability_no]],2)</f>
        <v>J1</v>
      </c>
      <c r="I109">
        <v>28</v>
      </c>
      <c r="J109">
        <v>0</v>
      </c>
      <c r="K109">
        <v>-0.3</v>
      </c>
      <c r="W109" t="s">
        <v>1079</v>
      </c>
      <c r="X109" t="s">
        <v>367</v>
      </c>
    </row>
    <row r="110" spans="1:24" x14ac:dyDescent="0.2">
      <c r="A110"/>
      <c r="B110"/>
      <c r="C110"/>
      <c r="D110"/>
      <c r="E110"/>
      <c r="F110" s="662" t="str">
        <f>LEFT(AllDaqbookOffsets[[#This Row],[traceability_no]],2)</f>
        <v>J1</v>
      </c>
      <c r="I110">
        <v>29</v>
      </c>
      <c r="J110">
        <v>0</v>
      </c>
      <c r="K110">
        <v>-0.2</v>
      </c>
      <c r="W110" t="s">
        <v>1080</v>
      </c>
      <c r="X110" t="s">
        <v>367</v>
      </c>
    </row>
    <row r="111" spans="1:24" x14ac:dyDescent="0.2">
      <c r="A111"/>
      <c r="B111"/>
      <c r="C111"/>
      <c r="D111"/>
      <c r="E111"/>
      <c r="F111" s="662" t="str">
        <f>LEFT(AllDaqbookOffsets[[#This Row],[traceability_no]],2)</f>
        <v>J1</v>
      </c>
      <c r="I111">
        <v>30</v>
      </c>
      <c r="J111">
        <v>0</v>
      </c>
      <c r="K111">
        <v>0.3</v>
      </c>
      <c r="W111" t="s">
        <v>1081</v>
      </c>
      <c r="X111" t="s">
        <v>367</v>
      </c>
    </row>
    <row r="112" spans="1:24" x14ac:dyDescent="0.2">
      <c r="A112"/>
      <c r="B112"/>
      <c r="C112"/>
      <c r="D112"/>
      <c r="E112"/>
      <c r="F112" s="662" t="str">
        <f>LEFT(AllDaqbookOffsets[[#This Row],[traceability_no]],2)</f>
        <v>J1</v>
      </c>
      <c r="I112">
        <v>31</v>
      </c>
      <c r="J112">
        <v>0</v>
      </c>
      <c r="K112">
        <v>0.3</v>
      </c>
      <c r="W112" t="s">
        <v>1082</v>
      </c>
      <c r="X112" t="s">
        <v>367</v>
      </c>
    </row>
    <row r="113" spans="1:24" x14ac:dyDescent="0.2">
      <c r="A113"/>
      <c r="B113"/>
      <c r="C113"/>
      <c r="D113"/>
      <c r="E113"/>
      <c r="F113" s="662" t="str">
        <f>LEFT(AllDaqbookOffsets[[#This Row],[traceability_no]],2)</f>
        <v>J1</v>
      </c>
      <c r="I113">
        <v>32</v>
      </c>
      <c r="J113">
        <v>0</v>
      </c>
      <c r="K113">
        <v>0</v>
      </c>
      <c r="W113" t="s">
        <v>1083</v>
      </c>
      <c r="X113" t="s">
        <v>367</v>
      </c>
    </row>
    <row r="114" spans="1:24" x14ac:dyDescent="0.2">
      <c r="A114"/>
      <c r="B114"/>
      <c r="C114"/>
      <c r="D114"/>
      <c r="E114"/>
      <c r="F114" s="662" t="str">
        <f>LEFT(AllDaqbookOffsets[[#This Row],[traceability_no]],2)</f>
        <v>J1</v>
      </c>
      <c r="I114">
        <v>33</v>
      </c>
      <c r="J114">
        <v>0</v>
      </c>
      <c r="K114">
        <v>-0.3</v>
      </c>
      <c r="W114" t="s">
        <v>1084</v>
      </c>
      <c r="X114" t="s">
        <v>367</v>
      </c>
    </row>
    <row r="115" spans="1:24" x14ac:dyDescent="0.2">
      <c r="A115"/>
      <c r="B115"/>
      <c r="C115"/>
      <c r="D115"/>
      <c r="E115"/>
      <c r="F115" s="662" t="str">
        <f>LEFT(AllDaqbookOffsets[[#This Row],[traceability_no]],2)</f>
        <v>J1</v>
      </c>
      <c r="I115">
        <v>34</v>
      </c>
      <c r="J115">
        <v>0</v>
      </c>
      <c r="K115">
        <v>-0.2</v>
      </c>
      <c r="W115" t="s">
        <v>1085</v>
      </c>
      <c r="X115" t="s">
        <v>367</v>
      </c>
    </row>
    <row r="116" spans="1:24" x14ac:dyDescent="0.2">
      <c r="A116"/>
      <c r="B116"/>
      <c r="C116"/>
      <c r="D116"/>
      <c r="E116"/>
      <c r="F116" s="662" t="str">
        <f>LEFT(AllDaqbookOffsets[[#This Row],[traceability_no]],2)</f>
        <v>J1</v>
      </c>
      <c r="I116">
        <v>35</v>
      </c>
      <c r="J116">
        <v>0</v>
      </c>
      <c r="K116">
        <v>0.3</v>
      </c>
      <c r="W116" t="s">
        <v>1086</v>
      </c>
      <c r="X116" t="s">
        <v>367</v>
      </c>
    </row>
    <row r="117" spans="1:24" x14ac:dyDescent="0.2">
      <c r="A117"/>
      <c r="B117"/>
      <c r="C117"/>
      <c r="D117"/>
      <c r="E117"/>
      <c r="F117" s="662" t="str">
        <f>LEFT(AllDaqbookOffsets[[#This Row],[traceability_no]],2)</f>
        <v>J1</v>
      </c>
      <c r="I117">
        <v>36</v>
      </c>
      <c r="J117">
        <v>0</v>
      </c>
      <c r="K117">
        <v>0.1</v>
      </c>
      <c r="W117" t="s">
        <v>1087</v>
      </c>
      <c r="X117" t="s">
        <v>367</v>
      </c>
    </row>
    <row r="118" spans="1:24" x14ac:dyDescent="0.2">
      <c r="A118"/>
      <c r="B118"/>
      <c r="C118"/>
      <c r="D118"/>
      <c r="E118"/>
      <c r="F118" s="662" t="str">
        <f>LEFT(AllDaqbookOffsets[[#This Row],[traceability_no]],2)</f>
        <v>J1</v>
      </c>
      <c r="I118">
        <v>37</v>
      </c>
      <c r="J118">
        <v>0</v>
      </c>
      <c r="K118">
        <v>-0.1</v>
      </c>
      <c r="W118" t="s">
        <v>1094</v>
      </c>
      <c r="X118" t="s">
        <v>206</v>
      </c>
    </row>
    <row r="119" spans="1:24" x14ac:dyDescent="0.2">
      <c r="A119"/>
      <c r="B119"/>
      <c r="C119"/>
      <c r="D119"/>
      <c r="E119"/>
      <c r="F119" s="662" t="str">
        <f>LEFT(AllDaqbookOffsets[[#This Row],[traceability_no]],2)</f>
        <v>J1</v>
      </c>
      <c r="I119">
        <v>38</v>
      </c>
      <c r="J119">
        <v>0</v>
      </c>
      <c r="K119">
        <v>0</v>
      </c>
      <c r="W119" t="s">
        <v>1095</v>
      </c>
      <c r="X119" t="s">
        <v>206</v>
      </c>
    </row>
    <row r="120" spans="1:24" x14ac:dyDescent="0.2">
      <c r="A120"/>
      <c r="B120"/>
      <c r="C120"/>
      <c r="D120"/>
      <c r="E120"/>
      <c r="F120" s="662" t="str">
        <f>LEFT(AllDaqbookOffsets[[#This Row],[traceability_no]],2)</f>
        <v>J1</v>
      </c>
      <c r="I120">
        <v>39</v>
      </c>
      <c r="J120">
        <v>0</v>
      </c>
      <c r="K120">
        <v>0.2</v>
      </c>
      <c r="W120" t="s">
        <v>1096</v>
      </c>
      <c r="X120" t="s">
        <v>206</v>
      </c>
    </row>
    <row r="121" spans="1:24" x14ac:dyDescent="0.2">
      <c r="A121"/>
      <c r="B121"/>
      <c r="C121"/>
      <c r="D121"/>
      <c r="E121"/>
      <c r="F121" s="662" t="str">
        <f>LEFT(AllDaqbookOffsets[[#This Row],[traceability_no]],2)</f>
        <v>J1</v>
      </c>
      <c r="I121">
        <v>40</v>
      </c>
      <c r="J121">
        <v>0</v>
      </c>
      <c r="K121">
        <v>-0.2</v>
      </c>
      <c r="W121" t="s">
        <v>1097</v>
      </c>
      <c r="X121" t="s">
        <v>206</v>
      </c>
    </row>
    <row r="122" spans="1:24" x14ac:dyDescent="0.2">
      <c r="A122"/>
      <c r="B122"/>
      <c r="C122"/>
      <c r="D122"/>
      <c r="E122"/>
      <c r="F122" s="662" t="str">
        <f>LEFT(AllDaqbookOffsets[[#This Row],[traceability_no]],2)</f>
        <v>J1</v>
      </c>
      <c r="I122">
        <v>1</v>
      </c>
      <c r="J122">
        <v>250</v>
      </c>
      <c r="K122">
        <v>-0.19999999999998863</v>
      </c>
      <c r="W122" t="s">
        <v>1098</v>
      </c>
      <c r="X122" t="s">
        <v>206</v>
      </c>
    </row>
    <row r="123" spans="1:24" x14ac:dyDescent="0.2">
      <c r="A123"/>
      <c r="B123"/>
      <c r="C123"/>
      <c r="D123"/>
      <c r="E123"/>
      <c r="F123" s="662" t="str">
        <f>LEFT(AllDaqbookOffsets[[#This Row],[traceability_no]],2)</f>
        <v>J1</v>
      </c>
      <c r="I123">
        <v>2</v>
      </c>
      <c r="J123">
        <v>250</v>
      </c>
      <c r="K123">
        <v>0</v>
      </c>
      <c r="W123" t="s">
        <v>1099</v>
      </c>
      <c r="X123" t="s">
        <v>206</v>
      </c>
    </row>
    <row r="124" spans="1:24" x14ac:dyDescent="0.2">
      <c r="A124"/>
      <c r="B124"/>
      <c r="C124"/>
      <c r="D124"/>
      <c r="E124"/>
      <c r="F124" s="662" t="str">
        <f>LEFT(AllDaqbookOffsets[[#This Row],[traceability_no]],2)</f>
        <v>J1</v>
      </c>
      <c r="I124">
        <v>3</v>
      </c>
      <c r="J124">
        <v>250</v>
      </c>
      <c r="K124">
        <v>-9.9999999999994316E-2</v>
      </c>
      <c r="W124" t="s">
        <v>1100</v>
      </c>
      <c r="X124" t="s">
        <v>206</v>
      </c>
    </row>
    <row r="125" spans="1:24" x14ac:dyDescent="0.2">
      <c r="A125"/>
      <c r="B125"/>
      <c r="C125"/>
      <c r="D125"/>
      <c r="E125"/>
      <c r="F125" s="662" t="str">
        <f>LEFT(AllDaqbookOffsets[[#This Row],[traceability_no]],2)</f>
        <v>J1</v>
      </c>
      <c r="I125">
        <v>4</v>
      </c>
      <c r="J125">
        <v>250</v>
      </c>
      <c r="K125">
        <v>-0.30000000000001137</v>
      </c>
      <c r="W125" t="s">
        <v>1101</v>
      </c>
      <c r="X125" t="s">
        <v>206</v>
      </c>
    </row>
    <row r="126" spans="1:24" x14ac:dyDescent="0.2">
      <c r="A126"/>
      <c r="B126"/>
      <c r="C126"/>
      <c r="D126"/>
      <c r="E126"/>
      <c r="F126" s="662" t="str">
        <f>LEFT(AllDaqbookOffsets[[#This Row],[traceability_no]],2)</f>
        <v>J1</v>
      </c>
      <c r="I126">
        <v>5</v>
      </c>
      <c r="J126">
        <v>250</v>
      </c>
      <c r="K126">
        <v>-9.9999999999994316E-2</v>
      </c>
      <c r="W126" t="s">
        <v>1102</v>
      </c>
      <c r="X126" t="s">
        <v>206</v>
      </c>
    </row>
    <row r="127" spans="1:24" x14ac:dyDescent="0.2">
      <c r="A127"/>
      <c r="B127"/>
      <c r="C127"/>
      <c r="D127"/>
      <c r="E127"/>
      <c r="F127" s="662" t="str">
        <f>LEFT(AllDaqbookOffsets[[#This Row],[traceability_no]],2)</f>
        <v>J1</v>
      </c>
      <c r="I127">
        <v>6</v>
      </c>
      <c r="J127">
        <v>250</v>
      </c>
      <c r="K127">
        <v>-0.19999999999998863</v>
      </c>
      <c r="W127" t="s">
        <v>1088</v>
      </c>
      <c r="X127" t="s">
        <v>367</v>
      </c>
    </row>
    <row r="128" spans="1:24" x14ac:dyDescent="0.2">
      <c r="A128"/>
      <c r="B128"/>
      <c r="C128"/>
      <c r="D128"/>
      <c r="E128"/>
      <c r="F128" s="662" t="str">
        <f>LEFT(AllDaqbookOffsets[[#This Row],[traceability_no]],2)</f>
        <v>J1</v>
      </c>
      <c r="I128">
        <v>7</v>
      </c>
      <c r="J128">
        <v>250</v>
      </c>
      <c r="K128">
        <v>-9.9999999999994316E-2</v>
      </c>
      <c r="W128" t="s">
        <v>1103</v>
      </c>
      <c r="X128" t="s">
        <v>206</v>
      </c>
    </row>
    <row r="129" spans="1:24" x14ac:dyDescent="0.2">
      <c r="A129"/>
      <c r="B129"/>
      <c r="C129"/>
      <c r="D129"/>
      <c r="E129"/>
      <c r="F129" s="662" t="str">
        <f>LEFT(AllDaqbookOffsets[[#This Row],[traceability_no]],2)</f>
        <v>J1</v>
      </c>
      <c r="I129">
        <v>8</v>
      </c>
      <c r="J129">
        <v>250</v>
      </c>
      <c r="K129">
        <v>0.19999999999998863</v>
      </c>
      <c r="W129" t="s">
        <v>1089</v>
      </c>
      <c r="X129" t="s">
        <v>367</v>
      </c>
    </row>
    <row r="130" spans="1:24" x14ac:dyDescent="0.2">
      <c r="A130"/>
      <c r="B130"/>
      <c r="C130"/>
      <c r="D130"/>
      <c r="E130"/>
      <c r="F130" s="662" t="str">
        <f>LEFT(AllDaqbookOffsets[[#This Row],[traceability_no]],2)</f>
        <v>J1</v>
      </c>
      <c r="I130">
        <v>9</v>
      </c>
      <c r="J130">
        <v>250</v>
      </c>
      <c r="K130">
        <v>-0.30000000000001137</v>
      </c>
      <c r="W130" t="s">
        <v>1090</v>
      </c>
      <c r="X130" t="s">
        <v>367</v>
      </c>
    </row>
    <row r="131" spans="1:24" x14ac:dyDescent="0.2">
      <c r="A131"/>
      <c r="B131"/>
      <c r="C131"/>
      <c r="D131"/>
      <c r="E131"/>
      <c r="F131" s="662" t="str">
        <f>LEFT(AllDaqbookOffsets[[#This Row],[traceability_no]],2)</f>
        <v>J1</v>
      </c>
      <c r="I131">
        <v>10</v>
      </c>
      <c r="J131">
        <v>250</v>
      </c>
      <c r="K131">
        <v>0</v>
      </c>
      <c r="W131" t="s">
        <v>1091</v>
      </c>
      <c r="X131" t="s">
        <v>367</v>
      </c>
    </row>
    <row r="132" spans="1:24" x14ac:dyDescent="0.2">
      <c r="A132"/>
      <c r="B132"/>
      <c r="C132"/>
      <c r="D132"/>
      <c r="E132"/>
      <c r="F132" s="662" t="str">
        <f>LEFT(AllDaqbookOffsets[[#This Row],[traceability_no]],2)</f>
        <v>J1</v>
      </c>
      <c r="I132">
        <v>11</v>
      </c>
      <c r="J132">
        <v>250</v>
      </c>
      <c r="K132">
        <v>-0.19999999999998863</v>
      </c>
      <c r="W132" t="s">
        <v>1092</v>
      </c>
      <c r="X132" t="s">
        <v>367</v>
      </c>
    </row>
    <row r="133" spans="1:24" x14ac:dyDescent="0.2">
      <c r="A133"/>
      <c r="B133"/>
      <c r="C133"/>
      <c r="D133"/>
      <c r="E133"/>
      <c r="F133" s="662" t="str">
        <f>LEFT(AllDaqbookOffsets[[#This Row],[traceability_no]],2)</f>
        <v>J1</v>
      </c>
      <c r="I133">
        <v>12</v>
      </c>
      <c r="J133">
        <v>250</v>
      </c>
      <c r="K133">
        <v>0</v>
      </c>
      <c r="W133" t="s">
        <v>1093</v>
      </c>
      <c r="X133" t="s">
        <v>367</v>
      </c>
    </row>
    <row r="134" spans="1:24" x14ac:dyDescent="0.2">
      <c r="A134"/>
      <c r="B134"/>
      <c r="C134"/>
      <c r="D134"/>
      <c r="E134"/>
      <c r="F134" s="662" t="str">
        <f>LEFT(AllDaqbookOffsets[[#This Row],[traceability_no]],2)</f>
        <v>J1</v>
      </c>
      <c r="I134">
        <v>13</v>
      </c>
      <c r="J134">
        <v>250</v>
      </c>
      <c r="K134">
        <v>-0.40000000000000568</v>
      </c>
      <c r="W134" t="s">
        <v>1104</v>
      </c>
      <c r="X134" t="s">
        <v>207</v>
      </c>
    </row>
    <row r="135" spans="1:24" x14ac:dyDescent="0.2">
      <c r="A135"/>
      <c r="B135"/>
      <c r="C135"/>
      <c r="D135"/>
      <c r="E135"/>
      <c r="F135" s="662" t="str">
        <f>LEFT(AllDaqbookOffsets[[#This Row],[traceability_no]],2)</f>
        <v>J1</v>
      </c>
      <c r="I135">
        <v>14</v>
      </c>
      <c r="J135">
        <v>250</v>
      </c>
      <c r="K135">
        <v>-0.5</v>
      </c>
      <c r="W135" t="s">
        <v>1105</v>
      </c>
      <c r="X135" t="s">
        <v>207</v>
      </c>
    </row>
    <row r="136" spans="1:24" x14ac:dyDescent="0.2">
      <c r="A136"/>
      <c r="B136"/>
      <c r="C136"/>
      <c r="D136"/>
      <c r="E136"/>
      <c r="F136" s="662" t="str">
        <f>LEFT(AllDaqbookOffsets[[#This Row],[traceability_no]],2)</f>
        <v>J1</v>
      </c>
      <c r="I136">
        <v>15</v>
      </c>
      <c r="J136">
        <v>250</v>
      </c>
      <c r="K136">
        <v>9.9999999999994316E-2</v>
      </c>
      <c r="W136" t="s">
        <v>1106</v>
      </c>
      <c r="X136" t="s">
        <v>207</v>
      </c>
    </row>
    <row r="137" spans="1:24" x14ac:dyDescent="0.2">
      <c r="A137"/>
      <c r="B137"/>
      <c r="C137"/>
      <c r="D137"/>
      <c r="E137"/>
      <c r="F137" s="662" t="str">
        <f>LEFT(AllDaqbookOffsets[[#This Row],[traceability_no]],2)</f>
        <v>J1</v>
      </c>
      <c r="I137">
        <v>16</v>
      </c>
      <c r="J137">
        <v>250</v>
      </c>
      <c r="K137">
        <v>0</v>
      </c>
      <c r="W137" t="s">
        <v>1107</v>
      </c>
      <c r="X137" t="s">
        <v>207</v>
      </c>
    </row>
    <row r="138" spans="1:24" x14ac:dyDescent="0.2">
      <c r="A138"/>
      <c r="B138"/>
      <c r="C138"/>
      <c r="D138"/>
      <c r="E138"/>
      <c r="F138" s="662" t="str">
        <f>LEFT(AllDaqbookOffsets[[#This Row],[traceability_no]],2)</f>
        <v>J1</v>
      </c>
      <c r="I138">
        <v>17</v>
      </c>
      <c r="J138">
        <v>250</v>
      </c>
      <c r="K138">
        <v>0</v>
      </c>
      <c r="W138" t="s">
        <v>1108</v>
      </c>
      <c r="X138" t="s">
        <v>207</v>
      </c>
    </row>
    <row r="139" spans="1:24" x14ac:dyDescent="0.2">
      <c r="A139"/>
      <c r="B139"/>
      <c r="C139"/>
      <c r="D139"/>
      <c r="E139"/>
      <c r="F139" s="662" t="str">
        <f>LEFT(AllDaqbookOffsets[[#This Row],[traceability_no]],2)</f>
        <v>J1</v>
      </c>
      <c r="I139">
        <v>18</v>
      </c>
      <c r="J139">
        <v>250</v>
      </c>
      <c r="K139">
        <v>0</v>
      </c>
      <c r="W139" t="s">
        <v>1109</v>
      </c>
      <c r="X139" t="s">
        <v>207</v>
      </c>
    </row>
    <row r="140" spans="1:24" x14ac:dyDescent="0.2">
      <c r="A140"/>
      <c r="B140"/>
      <c r="C140"/>
      <c r="D140"/>
      <c r="E140"/>
      <c r="F140" s="662" t="str">
        <f>LEFT(AllDaqbookOffsets[[#This Row],[traceability_no]],2)</f>
        <v>J1</v>
      </c>
      <c r="I140">
        <v>19</v>
      </c>
      <c r="J140">
        <v>250</v>
      </c>
      <c r="K140">
        <v>-9.9999999999994316E-2</v>
      </c>
      <c r="W140" t="s">
        <v>1110</v>
      </c>
      <c r="X140" t="s">
        <v>207</v>
      </c>
    </row>
    <row r="141" spans="1:24" x14ac:dyDescent="0.2">
      <c r="A141"/>
      <c r="B141"/>
      <c r="C141"/>
      <c r="D141"/>
      <c r="E141"/>
      <c r="F141" s="662" t="str">
        <f>LEFT(AllDaqbookOffsets[[#This Row],[traceability_no]],2)</f>
        <v>J1</v>
      </c>
      <c r="I141">
        <v>20</v>
      </c>
      <c r="J141">
        <v>250</v>
      </c>
      <c r="K141">
        <v>9.9999999999994316E-2</v>
      </c>
      <c r="W141" t="s">
        <v>1111</v>
      </c>
      <c r="X141" t="s">
        <v>207</v>
      </c>
    </row>
    <row r="142" spans="1:24" x14ac:dyDescent="0.2">
      <c r="A142"/>
      <c r="B142"/>
      <c r="C142"/>
      <c r="D142"/>
      <c r="E142"/>
      <c r="F142" s="662" t="str">
        <f>LEFT(AllDaqbookOffsets[[#This Row],[traceability_no]],2)</f>
        <v>J1</v>
      </c>
      <c r="I142">
        <v>21</v>
      </c>
      <c r="J142">
        <v>250</v>
      </c>
      <c r="K142">
        <v>9.9999999999994316E-2</v>
      </c>
      <c r="W142" t="s">
        <v>1112</v>
      </c>
      <c r="X142" t="s">
        <v>207</v>
      </c>
    </row>
    <row r="143" spans="1:24" x14ac:dyDescent="0.2">
      <c r="A143"/>
      <c r="B143"/>
      <c r="C143"/>
      <c r="D143"/>
      <c r="E143"/>
      <c r="F143" s="662" t="str">
        <f>LEFT(AllDaqbookOffsets[[#This Row],[traceability_no]],2)</f>
        <v>J1</v>
      </c>
      <c r="I143">
        <v>22</v>
      </c>
      <c r="J143">
        <v>250</v>
      </c>
      <c r="K143">
        <v>9.9999999999994316E-2</v>
      </c>
      <c r="W143" t="s">
        <v>1113</v>
      </c>
      <c r="X143" t="s">
        <v>207</v>
      </c>
    </row>
    <row r="144" spans="1:24" x14ac:dyDescent="0.2">
      <c r="A144"/>
      <c r="B144"/>
      <c r="C144"/>
      <c r="D144"/>
      <c r="E144"/>
      <c r="F144" s="662" t="str">
        <f>LEFT(AllDaqbookOffsets[[#This Row],[traceability_no]],2)</f>
        <v>J1</v>
      </c>
      <c r="I144">
        <v>23</v>
      </c>
      <c r="J144">
        <v>250</v>
      </c>
      <c r="K144">
        <v>-9.9999999999994316E-2</v>
      </c>
      <c r="W144" t="s">
        <v>1114</v>
      </c>
      <c r="X144" t="s">
        <v>207</v>
      </c>
    </row>
    <row r="145" spans="1:24" x14ac:dyDescent="0.2">
      <c r="A145"/>
      <c r="B145"/>
      <c r="C145"/>
      <c r="D145"/>
      <c r="E145"/>
      <c r="F145" s="662" t="str">
        <f>LEFT(AllDaqbookOffsets[[#This Row],[traceability_no]],2)</f>
        <v>J1</v>
      </c>
      <c r="I145">
        <v>24</v>
      </c>
      <c r="J145">
        <v>250</v>
      </c>
      <c r="K145">
        <v>-0.19999999999998863</v>
      </c>
      <c r="W145" t="s">
        <v>1115</v>
      </c>
      <c r="X145" t="s">
        <v>207</v>
      </c>
    </row>
    <row r="146" spans="1:24" x14ac:dyDescent="0.2">
      <c r="A146"/>
      <c r="B146"/>
      <c r="C146"/>
      <c r="D146"/>
      <c r="E146"/>
      <c r="F146" s="662" t="str">
        <f>LEFT(AllDaqbookOffsets[[#This Row],[traceability_no]],2)</f>
        <v>J1</v>
      </c>
      <c r="I146">
        <v>25</v>
      </c>
      <c r="J146">
        <v>250</v>
      </c>
      <c r="K146">
        <v>0</v>
      </c>
      <c r="W146" t="s">
        <v>1116</v>
      </c>
      <c r="X146" t="s">
        <v>207</v>
      </c>
    </row>
    <row r="147" spans="1:24" x14ac:dyDescent="0.2">
      <c r="A147"/>
      <c r="B147"/>
      <c r="C147"/>
      <c r="D147"/>
      <c r="E147"/>
      <c r="F147" s="662" t="str">
        <f>LEFT(AllDaqbookOffsets[[#This Row],[traceability_no]],2)</f>
        <v>J1</v>
      </c>
      <c r="I147">
        <v>26</v>
      </c>
      <c r="J147">
        <v>250</v>
      </c>
      <c r="K147">
        <v>0</v>
      </c>
      <c r="W147" t="s">
        <v>1117</v>
      </c>
      <c r="X147" t="s">
        <v>207</v>
      </c>
    </row>
    <row r="148" spans="1:24" x14ac:dyDescent="0.2">
      <c r="A148"/>
      <c r="B148"/>
      <c r="C148"/>
      <c r="D148"/>
      <c r="E148"/>
      <c r="F148" s="662" t="str">
        <f>LEFT(AllDaqbookOffsets[[#This Row],[traceability_no]],2)</f>
        <v>J1</v>
      </c>
      <c r="I148">
        <v>27</v>
      </c>
      <c r="J148">
        <v>250</v>
      </c>
      <c r="K148">
        <v>0</v>
      </c>
      <c r="W148" t="s">
        <v>1118</v>
      </c>
      <c r="X148" t="s">
        <v>208</v>
      </c>
    </row>
    <row r="149" spans="1:24" x14ac:dyDescent="0.2">
      <c r="A149"/>
      <c r="B149"/>
      <c r="C149"/>
      <c r="D149"/>
      <c r="E149"/>
      <c r="F149" s="662" t="str">
        <f>LEFT(AllDaqbookOffsets[[#This Row],[traceability_no]],2)</f>
        <v>J1</v>
      </c>
      <c r="I149">
        <v>28</v>
      </c>
      <c r="J149">
        <v>250</v>
      </c>
      <c r="K149">
        <v>-0.19999999999998863</v>
      </c>
      <c r="W149" t="s">
        <v>1119</v>
      </c>
      <c r="X149" t="s">
        <v>208</v>
      </c>
    </row>
    <row r="150" spans="1:24" x14ac:dyDescent="0.2">
      <c r="A150"/>
      <c r="B150"/>
      <c r="C150"/>
      <c r="D150"/>
      <c r="E150"/>
      <c r="F150" s="662" t="str">
        <f>LEFT(AllDaqbookOffsets[[#This Row],[traceability_no]],2)</f>
        <v>J1</v>
      </c>
      <c r="I150">
        <v>29</v>
      </c>
      <c r="J150">
        <v>250</v>
      </c>
      <c r="K150">
        <v>-0.19999999999998863</v>
      </c>
      <c r="W150" t="s">
        <v>1120</v>
      </c>
      <c r="X150" t="s">
        <v>208</v>
      </c>
    </row>
    <row r="151" spans="1:24" x14ac:dyDescent="0.2">
      <c r="A151"/>
      <c r="B151"/>
      <c r="C151"/>
      <c r="D151"/>
      <c r="E151"/>
      <c r="F151" s="662" t="str">
        <f>LEFT(AllDaqbookOffsets[[#This Row],[traceability_no]],2)</f>
        <v>J1</v>
      </c>
      <c r="I151">
        <v>30</v>
      </c>
      <c r="J151">
        <v>250</v>
      </c>
      <c r="K151">
        <v>0.19999999999998863</v>
      </c>
      <c r="W151" t="s">
        <v>1121</v>
      </c>
      <c r="X151" t="s">
        <v>208</v>
      </c>
    </row>
    <row r="152" spans="1:24" x14ac:dyDescent="0.2">
      <c r="A152"/>
      <c r="B152"/>
      <c r="C152"/>
      <c r="D152"/>
      <c r="E152"/>
      <c r="F152" s="662" t="str">
        <f>LEFT(AllDaqbookOffsets[[#This Row],[traceability_no]],2)</f>
        <v>J1</v>
      </c>
      <c r="I152">
        <v>31</v>
      </c>
      <c r="J152">
        <v>250</v>
      </c>
      <c r="K152">
        <v>0.19999999999998863</v>
      </c>
      <c r="W152" t="s">
        <v>1122</v>
      </c>
      <c r="X152" t="s">
        <v>208</v>
      </c>
    </row>
    <row r="153" spans="1:24" x14ac:dyDescent="0.2">
      <c r="A153"/>
      <c r="B153"/>
      <c r="C153"/>
      <c r="D153"/>
      <c r="E153"/>
      <c r="F153" s="662" t="str">
        <f>LEFT(AllDaqbookOffsets[[#This Row],[traceability_no]],2)</f>
        <v>J1</v>
      </c>
      <c r="I153">
        <v>32</v>
      </c>
      <c r="J153">
        <v>250</v>
      </c>
      <c r="K153">
        <v>0</v>
      </c>
      <c r="W153" t="s">
        <v>1123</v>
      </c>
      <c r="X153" t="s">
        <v>208</v>
      </c>
    </row>
    <row r="154" spans="1:24" x14ac:dyDescent="0.2">
      <c r="A154"/>
      <c r="B154"/>
      <c r="C154"/>
      <c r="D154"/>
      <c r="E154"/>
      <c r="F154" s="662" t="str">
        <f>LEFT(AllDaqbookOffsets[[#This Row],[traceability_no]],2)</f>
        <v>J1</v>
      </c>
      <c r="I154">
        <v>33</v>
      </c>
      <c r="J154">
        <v>250</v>
      </c>
      <c r="K154">
        <v>-0.40000000000000568</v>
      </c>
      <c r="W154" t="s">
        <v>1124</v>
      </c>
      <c r="X154" t="s">
        <v>208</v>
      </c>
    </row>
    <row r="155" spans="1:24" x14ac:dyDescent="0.2">
      <c r="A155"/>
      <c r="B155"/>
      <c r="C155"/>
      <c r="D155"/>
      <c r="E155"/>
      <c r="F155" s="662" t="str">
        <f>LEFT(AllDaqbookOffsets[[#This Row],[traceability_no]],2)</f>
        <v>J1</v>
      </c>
      <c r="I155">
        <v>34</v>
      </c>
      <c r="J155">
        <v>250</v>
      </c>
      <c r="K155">
        <v>-0.5</v>
      </c>
      <c r="W155" t="s">
        <v>1125</v>
      </c>
      <c r="X155" t="s">
        <v>208</v>
      </c>
    </row>
    <row r="156" spans="1:24" x14ac:dyDescent="0.2">
      <c r="A156"/>
      <c r="B156"/>
      <c r="C156"/>
      <c r="D156"/>
      <c r="E156"/>
      <c r="F156" s="662" t="str">
        <f>LEFT(AllDaqbookOffsets[[#This Row],[traceability_no]],2)</f>
        <v>J1</v>
      </c>
      <c r="I156">
        <v>35</v>
      </c>
      <c r="J156">
        <v>250</v>
      </c>
      <c r="K156">
        <v>0.30000000000001137</v>
      </c>
      <c r="W156" t="s">
        <v>1126</v>
      </c>
      <c r="X156" t="s">
        <v>208</v>
      </c>
    </row>
    <row r="157" spans="1:24" x14ac:dyDescent="0.2">
      <c r="A157"/>
      <c r="B157"/>
      <c r="C157"/>
      <c r="D157"/>
      <c r="E157"/>
      <c r="F157" s="662" t="str">
        <f>LEFT(AllDaqbookOffsets[[#This Row],[traceability_no]],2)</f>
        <v>J1</v>
      </c>
      <c r="I157">
        <v>36</v>
      </c>
      <c r="J157">
        <v>250</v>
      </c>
      <c r="K157">
        <v>9.9999999999994316E-2</v>
      </c>
      <c r="W157" t="s">
        <v>1127</v>
      </c>
      <c r="X157" t="s">
        <v>208</v>
      </c>
    </row>
    <row r="158" spans="1:24" x14ac:dyDescent="0.2">
      <c r="A158"/>
      <c r="B158"/>
      <c r="C158"/>
      <c r="D158"/>
      <c r="E158"/>
      <c r="F158" s="662" t="str">
        <f>LEFT(AllDaqbookOffsets[[#This Row],[traceability_no]],2)</f>
        <v>J1</v>
      </c>
      <c r="I158">
        <v>37</v>
      </c>
      <c r="J158">
        <v>250</v>
      </c>
      <c r="K158">
        <v>-9.9999999999994316E-2</v>
      </c>
      <c r="W158" t="s">
        <v>1128</v>
      </c>
      <c r="X158" t="s">
        <v>208</v>
      </c>
    </row>
    <row r="159" spans="1:24" x14ac:dyDescent="0.2">
      <c r="A159"/>
      <c r="B159"/>
      <c r="C159"/>
      <c r="D159"/>
      <c r="E159"/>
      <c r="F159" s="662" t="str">
        <f>LEFT(AllDaqbookOffsets[[#This Row],[traceability_no]],2)</f>
        <v>J1</v>
      </c>
      <c r="I159">
        <v>38</v>
      </c>
      <c r="J159">
        <v>250</v>
      </c>
      <c r="K159">
        <v>0</v>
      </c>
      <c r="W159" t="s">
        <v>1129</v>
      </c>
      <c r="X159" t="s">
        <v>208</v>
      </c>
    </row>
    <row r="160" spans="1:24" x14ac:dyDescent="0.2">
      <c r="A160"/>
      <c r="B160"/>
      <c r="C160"/>
      <c r="D160"/>
      <c r="E160"/>
      <c r="F160" s="662" t="str">
        <f>LEFT(AllDaqbookOffsets[[#This Row],[traceability_no]],2)</f>
        <v>J1</v>
      </c>
      <c r="I160">
        <v>39</v>
      </c>
      <c r="J160">
        <v>250</v>
      </c>
      <c r="K160">
        <v>0.19999999999998863</v>
      </c>
      <c r="W160" t="s">
        <v>1130</v>
      </c>
      <c r="X160" t="s">
        <v>208</v>
      </c>
    </row>
    <row r="161" spans="1:24" x14ac:dyDescent="0.2">
      <c r="A161"/>
      <c r="B161"/>
      <c r="C161"/>
      <c r="D161"/>
      <c r="E161"/>
      <c r="F161" s="662" t="str">
        <f>LEFT(AllDaqbookOffsets[[#This Row],[traceability_no]],2)</f>
        <v>J1</v>
      </c>
      <c r="I161">
        <v>40</v>
      </c>
      <c r="J161">
        <v>250</v>
      </c>
      <c r="K161">
        <v>-0.19999999999998863</v>
      </c>
      <c r="W161" t="s">
        <v>1131</v>
      </c>
      <c r="X161" t="s">
        <v>208</v>
      </c>
    </row>
    <row r="162" spans="1:24" x14ac:dyDescent="0.2">
      <c r="A162"/>
      <c r="B162"/>
      <c r="C162"/>
      <c r="D162"/>
      <c r="E162"/>
      <c r="F162" s="662" t="str">
        <f>LEFT(AllDaqbookOffsets[[#This Row],[traceability_no]],2)</f>
        <v>J1</v>
      </c>
      <c r="I162">
        <v>1</v>
      </c>
      <c r="J162">
        <v>500</v>
      </c>
      <c r="K162">
        <v>-0.30000000000001137</v>
      </c>
      <c r="W162" t="s">
        <v>1132</v>
      </c>
      <c r="X162" t="s">
        <v>209</v>
      </c>
    </row>
    <row r="163" spans="1:24" x14ac:dyDescent="0.2">
      <c r="A163"/>
      <c r="B163"/>
      <c r="C163"/>
      <c r="D163"/>
      <c r="E163"/>
      <c r="F163" s="662" t="str">
        <f>LEFT(AllDaqbookOffsets[[#This Row],[traceability_no]],2)</f>
        <v>J1</v>
      </c>
      <c r="I163">
        <v>2</v>
      </c>
      <c r="J163">
        <v>500</v>
      </c>
      <c r="K163">
        <v>0</v>
      </c>
      <c r="W163" t="s">
        <v>1133</v>
      </c>
      <c r="X163" t="s">
        <v>209</v>
      </c>
    </row>
    <row r="164" spans="1:24" x14ac:dyDescent="0.2">
      <c r="A164"/>
      <c r="B164"/>
      <c r="C164"/>
      <c r="D164"/>
      <c r="E164"/>
      <c r="F164" s="662" t="str">
        <f>LEFT(AllDaqbookOffsets[[#This Row],[traceability_no]],2)</f>
        <v>J1</v>
      </c>
      <c r="I164">
        <v>3</v>
      </c>
      <c r="J164">
        <v>500</v>
      </c>
      <c r="K164">
        <v>-0.19999999999998863</v>
      </c>
      <c r="W164" t="s">
        <v>1134</v>
      </c>
      <c r="X164" t="s">
        <v>209</v>
      </c>
    </row>
    <row r="165" spans="1:24" x14ac:dyDescent="0.2">
      <c r="A165"/>
      <c r="B165"/>
      <c r="C165"/>
      <c r="D165"/>
      <c r="E165"/>
      <c r="F165" s="662" t="str">
        <f>LEFT(AllDaqbookOffsets[[#This Row],[traceability_no]],2)</f>
        <v>J1</v>
      </c>
      <c r="I165">
        <v>4</v>
      </c>
      <c r="J165">
        <v>500</v>
      </c>
      <c r="K165">
        <v>-0.30000000000001137</v>
      </c>
      <c r="W165" t="s">
        <v>1135</v>
      </c>
      <c r="X165" t="s">
        <v>209</v>
      </c>
    </row>
    <row r="166" spans="1:24" x14ac:dyDescent="0.2">
      <c r="A166"/>
      <c r="B166"/>
      <c r="C166"/>
      <c r="D166"/>
      <c r="E166"/>
      <c r="F166" s="662" t="str">
        <f>LEFT(AllDaqbookOffsets[[#This Row],[traceability_no]],2)</f>
        <v>J1</v>
      </c>
      <c r="I166">
        <v>5</v>
      </c>
      <c r="J166">
        <v>500</v>
      </c>
      <c r="K166">
        <v>-0.10000000000002274</v>
      </c>
      <c r="W166" t="s">
        <v>1136</v>
      </c>
      <c r="X166" t="s">
        <v>209</v>
      </c>
    </row>
    <row r="167" spans="1:24" x14ac:dyDescent="0.2">
      <c r="A167"/>
      <c r="B167"/>
      <c r="C167"/>
      <c r="D167"/>
      <c r="E167"/>
      <c r="F167" s="662" t="str">
        <f>LEFT(AllDaqbookOffsets[[#This Row],[traceability_no]],2)</f>
        <v>J1</v>
      </c>
      <c r="I167">
        <v>6</v>
      </c>
      <c r="J167">
        <v>500</v>
      </c>
      <c r="K167">
        <v>-0.19999999999998863</v>
      </c>
      <c r="W167" t="s">
        <v>1137</v>
      </c>
      <c r="X167" t="s">
        <v>209</v>
      </c>
    </row>
    <row r="168" spans="1:24" x14ac:dyDescent="0.2">
      <c r="A168"/>
      <c r="B168"/>
      <c r="C168"/>
      <c r="D168"/>
      <c r="E168"/>
      <c r="F168" s="662" t="str">
        <f>LEFT(AllDaqbookOffsets[[#This Row],[traceability_no]],2)</f>
        <v>J1</v>
      </c>
      <c r="I168">
        <v>7</v>
      </c>
      <c r="J168">
        <v>500</v>
      </c>
      <c r="K168">
        <v>-0.19999999999998863</v>
      </c>
      <c r="W168" t="s">
        <v>1138</v>
      </c>
      <c r="X168" t="s">
        <v>209</v>
      </c>
    </row>
    <row r="169" spans="1:24" x14ac:dyDescent="0.2">
      <c r="A169"/>
      <c r="B169"/>
      <c r="C169"/>
      <c r="D169"/>
      <c r="E169"/>
      <c r="F169" s="662" t="str">
        <f>LEFT(AllDaqbookOffsets[[#This Row],[traceability_no]],2)</f>
        <v>J1</v>
      </c>
      <c r="I169">
        <v>8</v>
      </c>
      <c r="J169">
        <v>500</v>
      </c>
      <c r="K169">
        <v>0.19999999999998863</v>
      </c>
      <c r="W169" t="s">
        <v>1139</v>
      </c>
      <c r="X169" t="s">
        <v>209</v>
      </c>
    </row>
    <row r="170" spans="1:24" x14ac:dyDescent="0.2">
      <c r="A170"/>
      <c r="B170"/>
      <c r="C170"/>
      <c r="D170"/>
      <c r="E170"/>
      <c r="F170" s="662" t="str">
        <f>LEFT(AllDaqbookOffsets[[#This Row],[traceability_no]],2)</f>
        <v>J1</v>
      </c>
      <c r="I170">
        <v>9</v>
      </c>
      <c r="J170">
        <v>500</v>
      </c>
      <c r="K170">
        <v>-0.30000000000001137</v>
      </c>
      <c r="W170" t="s">
        <v>1140</v>
      </c>
      <c r="X170" t="s">
        <v>209</v>
      </c>
    </row>
    <row r="171" spans="1:24" x14ac:dyDescent="0.2">
      <c r="A171"/>
      <c r="B171"/>
      <c r="C171"/>
      <c r="D171"/>
      <c r="E171"/>
      <c r="F171" s="662" t="str">
        <f>LEFT(AllDaqbookOffsets[[#This Row],[traceability_no]],2)</f>
        <v>J1</v>
      </c>
      <c r="I171">
        <v>10</v>
      </c>
      <c r="J171">
        <v>500</v>
      </c>
      <c r="K171">
        <v>0</v>
      </c>
      <c r="W171" t="s">
        <v>1141</v>
      </c>
      <c r="X171" t="s">
        <v>209</v>
      </c>
    </row>
    <row r="172" spans="1:24" x14ac:dyDescent="0.2">
      <c r="A172"/>
      <c r="B172"/>
      <c r="C172"/>
      <c r="D172"/>
      <c r="E172"/>
      <c r="F172" s="662" t="str">
        <f>LEFT(AllDaqbookOffsets[[#This Row],[traceability_no]],2)</f>
        <v>J1</v>
      </c>
      <c r="I172">
        <v>11</v>
      </c>
      <c r="J172">
        <v>500</v>
      </c>
      <c r="K172">
        <v>-0.19999999999998863</v>
      </c>
      <c r="W172" t="s">
        <v>1142</v>
      </c>
      <c r="X172" t="s">
        <v>209</v>
      </c>
    </row>
    <row r="173" spans="1:24" x14ac:dyDescent="0.2">
      <c r="A173"/>
      <c r="B173"/>
      <c r="C173"/>
      <c r="D173"/>
      <c r="E173"/>
      <c r="F173" s="662" t="str">
        <f>LEFT(AllDaqbookOffsets[[#This Row],[traceability_no]],2)</f>
        <v>J1</v>
      </c>
      <c r="I173">
        <v>12</v>
      </c>
      <c r="J173">
        <v>500</v>
      </c>
      <c r="K173">
        <v>0</v>
      </c>
      <c r="W173" t="s">
        <v>1143</v>
      </c>
      <c r="X173" t="s">
        <v>209</v>
      </c>
    </row>
    <row r="174" spans="1:24" x14ac:dyDescent="0.2">
      <c r="A174"/>
      <c r="B174"/>
      <c r="C174"/>
      <c r="D174"/>
      <c r="E174"/>
      <c r="F174" s="662" t="str">
        <f>LEFT(AllDaqbookOffsets[[#This Row],[traceability_no]],2)</f>
        <v>J1</v>
      </c>
      <c r="I174">
        <v>13</v>
      </c>
      <c r="J174">
        <v>500</v>
      </c>
      <c r="K174">
        <v>-0.39999999999997726</v>
      </c>
      <c r="W174" t="s">
        <v>1144</v>
      </c>
      <c r="X174" t="s">
        <v>209</v>
      </c>
    </row>
    <row r="175" spans="1:24" x14ac:dyDescent="0.2">
      <c r="A175"/>
      <c r="B175"/>
      <c r="C175"/>
      <c r="D175"/>
      <c r="E175"/>
      <c r="F175" s="662" t="str">
        <f>LEFT(AllDaqbookOffsets[[#This Row],[traceability_no]],2)</f>
        <v>J1</v>
      </c>
      <c r="I175">
        <v>14</v>
      </c>
      <c r="J175">
        <v>500</v>
      </c>
      <c r="K175">
        <v>-0.5</v>
      </c>
      <c r="W175" t="s">
        <v>1145</v>
      </c>
      <c r="X175" t="s">
        <v>209</v>
      </c>
    </row>
    <row r="176" spans="1:24" x14ac:dyDescent="0.2">
      <c r="A176"/>
      <c r="B176"/>
      <c r="C176"/>
      <c r="D176"/>
      <c r="E176"/>
      <c r="F176" s="662" t="str">
        <f>LEFT(AllDaqbookOffsets[[#This Row],[traceability_no]],2)</f>
        <v>J1</v>
      </c>
      <c r="I176">
        <v>15</v>
      </c>
      <c r="J176">
        <v>500</v>
      </c>
      <c r="K176">
        <v>0</v>
      </c>
      <c r="W176" t="s">
        <v>1146</v>
      </c>
      <c r="X176" t="s">
        <v>209</v>
      </c>
    </row>
    <row r="177" spans="1:24" x14ac:dyDescent="0.2">
      <c r="A177"/>
      <c r="B177"/>
      <c r="C177"/>
      <c r="D177"/>
      <c r="E177"/>
      <c r="F177" s="662" t="str">
        <f>LEFT(AllDaqbookOffsets[[#This Row],[traceability_no]],2)</f>
        <v>J1</v>
      </c>
      <c r="I177">
        <v>16</v>
      </c>
      <c r="J177">
        <v>500</v>
      </c>
      <c r="K177">
        <v>-0.10000000000002274</v>
      </c>
      <c r="W177" t="s">
        <v>1147</v>
      </c>
      <c r="X177" t="s">
        <v>209</v>
      </c>
    </row>
    <row r="178" spans="1:24" x14ac:dyDescent="0.2">
      <c r="A178"/>
      <c r="B178"/>
      <c r="C178"/>
      <c r="D178"/>
      <c r="E178"/>
      <c r="F178" s="662" t="str">
        <f>LEFT(AllDaqbookOffsets[[#This Row],[traceability_no]],2)</f>
        <v>J1</v>
      </c>
      <c r="I178">
        <v>17</v>
      </c>
      <c r="J178">
        <v>500</v>
      </c>
      <c r="K178">
        <v>0</v>
      </c>
      <c r="W178" t="s">
        <v>1148</v>
      </c>
      <c r="X178" t="s">
        <v>210</v>
      </c>
    </row>
    <row r="179" spans="1:24" x14ac:dyDescent="0.2">
      <c r="A179"/>
      <c r="B179"/>
      <c r="C179"/>
      <c r="D179"/>
      <c r="E179"/>
      <c r="F179" s="662" t="str">
        <f>LEFT(AllDaqbookOffsets[[#This Row],[traceability_no]],2)</f>
        <v>J1</v>
      </c>
      <c r="I179">
        <v>18</v>
      </c>
      <c r="J179">
        <v>500</v>
      </c>
      <c r="K179">
        <v>-0.10000000000002274</v>
      </c>
      <c r="W179" t="s">
        <v>1149</v>
      </c>
      <c r="X179" t="s">
        <v>210</v>
      </c>
    </row>
    <row r="180" spans="1:24" x14ac:dyDescent="0.2">
      <c r="A180"/>
      <c r="B180"/>
      <c r="C180"/>
      <c r="D180"/>
      <c r="E180"/>
      <c r="F180" s="662" t="str">
        <f>LEFT(AllDaqbookOffsets[[#This Row],[traceability_no]],2)</f>
        <v>J1</v>
      </c>
      <c r="I180">
        <v>19</v>
      </c>
      <c r="J180">
        <v>500</v>
      </c>
      <c r="K180">
        <v>-0.19999999999998863</v>
      </c>
      <c r="W180" t="s">
        <v>1150</v>
      </c>
      <c r="X180" t="s">
        <v>210</v>
      </c>
    </row>
    <row r="181" spans="1:24" x14ac:dyDescent="0.2">
      <c r="A181"/>
      <c r="B181"/>
      <c r="C181"/>
      <c r="D181"/>
      <c r="E181"/>
      <c r="F181" s="662" t="str">
        <f>LEFT(AllDaqbookOffsets[[#This Row],[traceability_no]],2)</f>
        <v>J1</v>
      </c>
      <c r="I181">
        <v>20</v>
      </c>
      <c r="J181">
        <v>500</v>
      </c>
      <c r="K181">
        <v>0</v>
      </c>
      <c r="W181" t="s">
        <v>1151</v>
      </c>
      <c r="X181" t="s">
        <v>210</v>
      </c>
    </row>
    <row r="182" spans="1:24" x14ac:dyDescent="0.2">
      <c r="A182"/>
      <c r="B182"/>
      <c r="C182"/>
      <c r="D182"/>
      <c r="E182"/>
      <c r="F182" s="662" t="str">
        <f>LEFT(AllDaqbookOffsets[[#This Row],[traceability_no]],2)</f>
        <v>J1</v>
      </c>
      <c r="I182">
        <v>21</v>
      </c>
      <c r="J182">
        <v>500</v>
      </c>
      <c r="K182">
        <v>0.10000000000002274</v>
      </c>
      <c r="W182" t="s">
        <v>1152</v>
      </c>
      <c r="X182" t="s">
        <v>210</v>
      </c>
    </row>
    <row r="183" spans="1:24" x14ac:dyDescent="0.2">
      <c r="A183"/>
      <c r="B183"/>
      <c r="C183"/>
      <c r="D183"/>
      <c r="E183"/>
      <c r="F183" s="662" t="str">
        <f>LEFT(AllDaqbookOffsets[[#This Row],[traceability_no]],2)</f>
        <v>J1</v>
      </c>
      <c r="I183">
        <v>22</v>
      </c>
      <c r="J183">
        <v>500</v>
      </c>
      <c r="K183">
        <v>0.10000000000002274</v>
      </c>
      <c r="W183" t="s">
        <v>1153</v>
      </c>
      <c r="X183" t="s">
        <v>210</v>
      </c>
    </row>
    <row r="184" spans="1:24" x14ac:dyDescent="0.2">
      <c r="A184"/>
      <c r="B184"/>
      <c r="C184"/>
      <c r="D184"/>
      <c r="E184"/>
      <c r="F184" s="662" t="str">
        <f>LEFT(AllDaqbookOffsets[[#This Row],[traceability_no]],2)</f>
        <v>J1</v>
      </c>
      <c r="I184">
        <v>23</v>
      </c>
      <c r="J184">
        <v>500</v>
      </c>
      <c r="K184">
        <v>0</v>
      </c>
      <c r="W184" t="s">
        <v>1154</v>
      </c>
      <c r="X184" t="s">
        <v>210</v>
      </c>
    </row>
    <row r="185" spans="1:24" x14ac:dyDescent="0.2">
      <c r="A185"/>
      <c r="B185"/>
      <c r="C185"/>
      <c r="D185"/>
      <c r="E185"/>
      <c r="F185" s="662" t="str">
        <f>LEFT(AllDaqbookOffsets[[#This Row],[traceability_no]],2)</f>
        <v>J1</v>
      </c>
      <c r="I185">
        <v>24</v>
      </c>
      <c r="J185">
        <v>500</v>
      </c>
      <c r="K185">
        <v>-0.19999999999998863</v>
      </c>
      <c r="W185" t="s">
        <v>1155</v>
      </c>
      <c r="X185" t="s">
        <v>210</v>
      </c>
    </row>
    <row r="186" spans="1:24" x14ac:dyDescent="0.2">
      <c r="A186"/>
      <c r="B186"/>
      <c r="C186"/>
      <c r="D186"/>
      <c r="E186"/>
      <c r="F186" s="662" t="str">
        <f>LEFT(AllDaqbookOffsets[[#This Row],[traceability_no]],2)</f>
        <v>J1</v>
      </c>
      <c r="I186">
        <v>25</v>
      </c>
      <c r="J186">
        <v>500</v>
      </c>
      <c r="K186">
        <v>0</v>
      </c>
      <c r="W186" t="s">
        <v>1156</v>
      </c>
      <c r="X186" t="s">
        <v>210</v>
      </c>
    </row>
    <row r="187" spans="1:24" x14ac:dyDescent="0.2">
      <c r="A187"/>
      <c r="B187"/>
      <c r="C187"/>
      <c r="D187"/>
      <c r="E187"/>
      <c r="F187" s="662" t="str">
        <f>LEFT(AllDaqbookOffsets[[#This Row],[traceability_no]],2)</f>
        <v>J1</v>
      </c>
      <c r="I187">
        <v>26</v>
      </c>
      <c r="J187">
        <v>500</v>
      </c>
      <c r="K187">
        <v>-0.10000000000002274</v>
      </c>
      <c r="W187" t="s">
        <v>1157</v>
      </c>
      <c r="X187" t="s">
        <v>210</v>
      </c>
    </row>
    <row r="188" spans="1:24" x14ac:dyDescent="0.2">
      <c r="A188"/>
      <c r="B188"/>
      <c r="C188"/>
      <c r="D188"/>
      <c r="E188"/>
      <c r="F188" s="662" t="str">
        <f>LEFT(AllDaqbookOffsets[[#This Row],[traceability_no]],2)</f>
        <v>J1</v>
      </c>
      <c r="I188">
        <v>27</v>
      </c>
      <c r="J188">
        <v>500</v>
      </c>
      <c r="K188">
        <v>0</v>
      </c>
      <c r="W188" t="s">
        <v>1158</v>
      </c>
      <c r="X188" t="s">
        <v>210</v>
      </c>
    </row>
    <row r="189" spans="1:24" x14ac:dyDescent="0.2">
      <c r="A189"/>
      <c r="B189"/>
      <c r="C189"/>
      <c r="D189"/>
      <c r="E189"/>
      <c r="F189" s="662" t="str">
        <f>LEFT(AllDaqbookOffsets[[#This Row],[traceability_no]],2)</f>
        <v>J1</v>
      </c>
      <c r="I189">
        <v>28</v>
      </c>
      <c r="J189">
        <v>500</v>
      </c>
      <c r="K189">
        <v>-0.30000000000001137</v>
      </c>
      <c r="W189" t="s">
        <v>1159</v>
      </c>
      <c r="X189" t="s">
        <v>210</v>
      </c>
    </row>
    <row r="190" spans="1:24" x14ac:dyDescent="0.2">
      <c r="A190"/>
      <c r="B190"/>
      <c r="C190"/>
      <c r="D190"/>
      <c r="E190"/>
      <c r="F190" s="662" t="str">
        <f>LEFT(AllDaqbookOffsets[[#This Row],[traceability_no]],2)</f>
        <v>J1</v>
      </c>
      <c r="I190">
        <v>29</v>
      </c>
      <c r="J190">
        <v>500</v>
      </c>
      <c r="K190">
        <v>-0.30000000000001137</v>
      </c>
      <c r="W190" t="s">
        <v>1160</v>
      </c>
      <c r="X190" t="s">
        <v>210</v>
      </c>
    </row>
    <row r="191" spans="1:24" x14ac:dyDescent="0.2">
      <c r="A191"/>
      <c r="B191"/>
      <c r="C191"/>
      <c r="D191"/>
      <c r="E191"/>
      <c r="F191" s="662" t="str">
        <f>LEFT(AllDaqbookOffsets[[#This Row],[traceability_no]],2)</f>
        <v>J1</v>
      </c>
      <c r="I191">
        <v>30</v>
      </c>
      <c r="J191">
        <v>500</v>
      </c>
      <c r="K191">
        <v>0.19999999999998863</v>
      </c>
      <c r="W191" t="s">
        <v>1161</v>
      </c>
      <c r="X191" t="s">
        <v>210</v>
      </c>
    </row>
    <row r="192" spans="1:24" x14ac:dyDescent="0.2">
      <c r="A192"/>
      <c r="B192"/>
      <c r="C192"/>
      <c r="D192"/>
      <c r="E192"/>
      <c r="F192" s="662" t="str">
        <f>LEFT(AllDaqbookOffsets[[#This Row],[traceability_no]],2)</f>
        <v>J1</v>
      </c>
      <c r="I192">
        <v>31</v>
      </c>
      <c r="J192">
        <v>500</v>
      </c>
      <c r="K192">
        <v>0.10000000000002274</v>
      </c>
      <c r="W192" t="s">
        <v>1162</v>
      </c>
      <c r="X192" t="s">
        <v>211</v>
      </c>
    </row>
    <row r="193" spans="1:24" x14ac:dyDescent="0.2">
      <c r="A193"/>
      <c r="B193"/>
      <c r="C193"/>
      <c r="D193"/>
      <c r="E193"/>
      <c r="F193" s="662" t="str">
        <f>LEFT(AllDaqbookOffsets[[#This Row],[traceability_no]],2)</f>
        <v>J1</v>
      </c>
      <c r="I193">
        <v>32</v>
      </c>
      <c r="J193">
        <v>500</v>
      </c>
      <c r="K193">
        <v>-0.19999999999998863</v>
      </c>
      <c r="W193" t="s">
        <v>1163</v>
      </c>
      <c r="X193" t="s">
        <v>211</v>
      </c>
    </row>
    <row r="194" spans="1:24" x14ac:dyDescent="0.2">
      <c r="A194"/>
      <c r="B194"/>
      <c r="C194"/>
      <c r="D194"/>
      <c r="E194"/>
      <c r="F194" s="662" t="str">
        <f>LEFT(AllDaqbookOffsets[[#This Row],[traceability_no]],2)</f>
        <v>J1</v>
      </c>
      <c r="I194">
        <v>33</v>
      </c>
      <c r="J194">
        <v>500</v>
      </c>
      <c r="K194">
        <v>-0.5</v>
      </c>
      <c r="W194" t="s">
        <v>1164</v>
      </c>
      <c r="X194" t="s">
        <v>211</v>
      </c>
    </row>
    <row r="195" spans="1:24" x14ac:dyDescent="0.2">
      <c r="A195"/>
      <c r="B195"/>
      <c r="C195"/>
      <c r="D195"/>
      <c r="E195"/>
      <c r="F195" s="662" t="str">
        <f>LEFT(AllDaqbookOffsets[[#This Row],[traceability_no]],2)</f>
        <v>J1</v>
      </c>
      <c r="I195">
        <v>34</v>
      </c>
      <c r="J195">
        <v>500</v>
      </c>
      <c r="K195">
        <v>-0.5</v>
      </c>
      <c r="W195" t="s">
        <v>1165</v>
      </c>
      <c r="X195" t="s">
        <v>211</v>
      </c>
    </row>
    <row r="196" spans="1:24" x14ac:dyDescent="0.2">
      <c r="A196"/>
      <c r="B196"/>
      <c r="C196"/>
      <c r="D196"/>
      <c r="E196"/>
      <c r="F196" s="662" t="str">
        <f>LEFT(AllDaqbookOffsets[[#This Row],[traceability_no]],2)</f>
        <v>J1</v>
      </c>
      <c r="I196">
        <v>35</v>
      </c>
      <c r="J196">
        <v>500</v>
      </c>
      <c r="K196">
        <v>0</v>
      </c>
      <c r="W196" t="s">
        <v>1166</v>
      </c>
      <c r="X196" t="s">
        <v>211</v>
      </c>
    </row>
    <row r="197" spans="1:24" x14ac:dyDescent="0.2">
      <c r="A197"/>
      <c r="B197"/>
      <c r="C197"/>
      <c r="D197"/>
      <c r="E197"/>
      <c r="F197" s="662" t="str">
        <f>LEFT(AllDaqbookOffsets[[#This Row],[traceability_no]],2)</f>
        <v>J1</v>
      </c>
      <c r="I197">
        <v>36</v>
      </c>
      <c r="J197">
        <v>500</v>
      </c>
      <c r="K197">
        <v>0</v>
      </c>
      <c r="W197" t="s">
        <v>1167</v>
      </c>
      <c r="X197" t="s">
        <v>211</v>
      </c>
    </row>
    <row r="198" spans="1:24" x14ac:dyDescent="0.2">
      <c r="A198"/>
      <c r="B198"/>
      <c r="C198"/>
      <c r="D198"/>
      <c r="E198"/>
      <c r="F198" s="662" t="str">
        <f>LEFT(AllDaqbookOffsets[[#This Row],[traceability_no]],2)</f>
        <v>J1</v>
      </c>
      <c r="I198">
        <v>37</v>
      </c>
      <c r="J198">
        <v>500</v>
      </c>
      <c r="K198">
        <v>-0.10000000000002274</v>
      </c>
      <c r="W198" t="s">
        <v>1168</v>
      </c>
      <c r="X198" t="s">
        <v>211</v>
      </c>
    </row>
    <row r="199" spans="1:24" x14ac:dyDescent="0.2">
      <c r="A199"/>
      <c r="B199"/>
      <c r="C199"/>
      <c r="D199"/>
      <c r="E199"/>
      <c r="F199" s="662" t="str">
        <f>LEFT(AllDaqbookOffsets[[#This Row],[traceability_no]],2)</f>
        <v>J1</v>
      </c>
      <c r="I199">
        <v>38</v>
      </c>
      <c r="J199">
        <v>500</v>
      </c>
      <c r="K199">
        <v>0</v>
      </c>
      <c r="W199" t="s">
        <v>1169</v>
      </c>
      <c r="X199" t="s">
        <v>211</v>
      </c>
    </row>
    <row r="200" spans="1:24" x14ac:dyDescent="0.2">
      <c r="A200"/>
      <c r="B200"/>
      <c r="C200"/>
      <c r="D200"/>
      <c r="E200"/>
      <c r="F200" s="662" t="str">
        <f>LEFT(AllDaqbookOffsets[[#This Row],[traceability_no]],2)</f>
        <v>J1</v>
      </c>
      <c r="I200">
        <v>39</v>
      </c>
      <c r="J200">
        <v>500</v>
      </c>
      <c r="K200">
        <v>0.10000000000002274</v>
      </c>
      <c r="W200" t="s">
        <v>1170</v>
      </c>
      <c r="X200" t="s">
        <v>211</v>
      </c>
    </row>
    <row r="201" spans="1:24" x14ac:dyDescent="0.2">
      <c r="A201"/>
      <c r="B201"/>
      <c r="C201"/>
      <c r="D201"/>
      <c r="E201"/>
      <c r="F201" s="662" t="str">
        <f>LEFT(AllDaqbookOffsets[[#This Row],[traceability_no]],2)</f>
        <v>J1</v>
      </c>
      <c r="I201">
        <v>40</v>
      </c>
      <c r="J201">
        <v>500</v>
      </c>
      <c r="K201">
        <v>-0.19999999999998863</v>
      </c>
      <c r="W201" t="s">
        <v>1171</v>
      </c>
      <c r="X201" t="s">
        <v>211</v>
      </c>
    </row>
    <row r="202" spans="1:24" x14ac:dyDescent="0.2">
      <c r="A202"/>
      <c r="B202"/>
      <c r="C202"/>
      <c r="D202"/>
      <c r="E202"/>
      <c r="F202" s="662" t="str">
        <f>LEFT(AllDaqbookOffsets[[#This Row],[traceability_no]],2)</f>
        <v>J1</v>
      </c>
      <c r="I202">
        <v>1</v>
      </c>
      <c r="J202">
        <v>1000</v>
      </c>
      <c r="K202">
        <v>-0.29999999999995453</v>
      </c>
      <c r="W202" t="s">
        <v>1172</v>
      </c>
      <c r="X202" t="s">
        <v>212</v>
      </c>
    </row>
    <row r="203" spans="1:24" x14ac:dyDescent="0.2">
      <c r="A203"/>
      <c r="B203"/>
      <c r="C203"/>
      <c r="D203"/>
      <c r="E203"/>
      <c r="F203" s="662" t="str">
        <f>LEFT(AllDaqbookOffsets[[#This Row],[traceability_no]],2)</f>
        <v>J1</v>
      </c>
      <c r="I203">
        <v>2</v>
      </c>
      <c r="J203">
        <v>1000</v>
      </c>
      <c r="K203">
        <v>-0.10000000000002274</v>
      </c>
      <c r="W203" t="s">
        <v>1173</v>
      </c>
      <c r="X203" t="s">
        <v>212</v>
      </c>
    </row>
    <row r="204" spans="1:24" x14ac:dyDescent="0.2">
      <c r="A204"/>
      <c r="B204"/>
      <c r="C204"/>
      <c r="D204"/>
      <c r="E204"/>
      <c r="F204" s="662" t="str">
        <f>LEFT(AllDaqbookOffsets[[#This Row],[traceability_no]],2)</f>
        <v>J1</v>
      </c>
      <c r="I204">
        <v>3</v>
      </c>
      <c r="J204">
        <v>1000</v>
      </c>
      <c r="K204">
        <v>-0.29999999999995453</v>
      </c>
      <c r="W204" t="s">
        <v>1174</v>
      </c>
      <c r="X204" t="s">
        <v>212</v>
      </c>
    </row>
    <row r="205" spans="1:24" x14ac:dyDescent="0.2">
      <c r="A205"/>
      <c r="B205"/>
      <c r="C205"/>
      <c r="D205"/>
      <c r="E205"/>
      <c r="F205" s="662" t="str">
        <f>LEFT(AllDaqbookOffsets[[#This Row],[traceability_no]],2)</f>
        <v>J1</v>
      </c>
      <c r="I205">
        <v>4</v>
      </c>
      <c r="J205">
        <v>1000</v>
      </c>
      <c r="K205">
        <v>-0.29999999999995453</v>
      </c>
      <c r="W205" t="s">
        <v>1175</v>
      </c>
      <c r="X205" t="s">
        <v>212</v>
      </c>
    </row>
    <row r="206" spans="1:24" x14ac:dyDescent="0.2">
      <c r="A206"/>
      <c r="B206"/>
      <c r="C206"/>
      <c r="D206"/>
      <c r="E206"/>
      <c r="F206" s="662" t="str">
        <f>LEFT(AllDaqbookOffsets[[#This Row],[traceability_no]],2)</f>
        <v>J1</v>
      </c>
      <c r="I206">
        <v>5</v>
      </c>
      <c r="J206">
        <v>1000</v>
      </c>
      <c r="K206">
        <v>-0.20000000000004547</v>
      </c>
      <c r="W206" t="s">
        <v>1176</v>
      </c>
      <c r="X206" t="s">
        <v>212</v>
      </c>
    </row>
    <row r="207" spans="1:24" x14ac:dyDescent="0.2">
      <c r="A207"/>
      <c r="B207"/>
      <c r="C207"/>
      <c r="D207"/>
      <c r="E207"/>
      <c r="F207" s="662" t="str">
        <f>LEFT(AllDaqbookOffsets[[#This Row],[traceability_no]],2)</f>
        <v>J1</v>
      </c>
      <c r="I207">
        <v>6</v>
      </c>
      <c r="J207">
        <v>1000</v>
      </c>
      <c r="K207">
        <v>-0.20000000000004547</v>
      </c>
      <c r="W207" t="s">
        <v>1177</v>
      </c>
      <c r="X207" t="s">
        <v>212</v>
      </c>
    </row>
    <row r="208" spans="1:24" x14ac:dyDescent="0.2">
      <c r="A208"/>
      <c r="B208"/>
      <c r="C208"/>
      <c r="D208"/>
      <c r="E208"/>
      <c r="F208" s="662" t="str">
        <f>LEFT(AllDaqbookOffsets[[#This Row],[traceability_no]],2)</f>
        <v>J1</v>
      </c>
      <c r="I208">
        <v>7</v>
      </c>
      <c r="J208">
        <v>1000</v>
      </c>
      <c r="K208">
        <v>-0.20000000000004547</v>
      </c>
      <c r="W208" t="s">
        <v>1178</v>
      </c>
      <c r="X208" t="s">
        <v>212</v>
      </c>
    </row>
    <row r="209" spans="1:24" x14ac:dyDescent="0.2">
      <c r="A209"/>
      <c r="B209"/>
      <c r="C209"/>
      <c r="D209"/>
      <c r="E209"/>
      <c r="F209" s="662" t="str">
        <f>LEFT(AllDaqbookOffsets[[#This Row],[traceability_no]],2)</f>
        <v>J1</v>
      </c>
      <c r="I209">
        <v>8</v>
      </c>
      <c r="J209">
        <v>1000</v>
      </c>
      <c r="K209">
        <v>0.20000000000004547</v>
      </c>
      <c r="W209" t="s">
        <v>1179</v>
      </c>
      <c r="X209" t="s">
        <v>212</v>
      </c>
    </row>
    <row r="210" spans="1:24" x14ac:dyDescent="0.2">
      <c r="A210"/>
      <c r="B210"/>
      <c r="C210"/>
      <c r="D210"/>
      <c r="E210"/>
      <c r="F210" s="662" t="str">
        <f>LEFT(AllDaqbookOffsets[[#This Row],[traceability_no]],2)</f>
        <v>J1</v>
      </c>
      <c r="I210">
        <v>9</v>
      </c>
      <c r="J210">
        <v>1000</v>
      </c>
      <c r="K210">
        <v>-0.29999999999995453</v>
      </c>
      <c r="W210" t="s">
        <v>1180</v>
      </c>
      <c r="X210" t="s">
        <v>212</v>
      </c>
    </row>
    <row r="211" spans="1:24" x14ac:dyDescent="0.2">
      <c r="A211"/>
      <c r="B211"/>
      <c r="C211"/>
      <c r="D211"/>
      <c r="E211"/>
      <c r="F211" s="662" t="str">
        <f>LEFT(AllDaqbookOffsets[[#This Row],[traceability_no]],2)</f>
        <v>J1</v>
      </c>
      <c r="I211">
        <v>10</v>
      </c>
      <c r="J211">
        <v>1000</v>
      </c>
      <c r="K211">
        <v>0</v>
      </c>
      <c r="W211" t="s">
        <v>1181</v>
      </c>
      <c r="X211" t="s">
        <v>212</v>
      </c>
    </row>
    <row r="212" spans="1:24" x14ac:dyDescent="0.2">
      <c r="A212"/>
      <c r="B212"/>
      <c r="C212"/>
      <c r="D212"/>
      <c r="E212"/>
      <c r="F212" s="662" t="str">
        <f>LEFT(AllDaqbookOffsets[[#This Row],[traceability_no]],2)</f>
        <v>J1</v>
      </c>
      <c r="I212">
        <v>11</v>
      </c>
      <c r="J212">
        <v>1000</v>
      </c>
      <c r="K212">
        <v>-0.20000000000004547</v>
      </c>
      <c r="W212" t="s">
        <v>1182</v>
      </c>
      <c r="X212" t="s">
        <v>213</v>
      </c>
    </row>
    <row r="213" spans="1:24" x14ac:dyDescent="0.2">
      <c r="A213"/>
      <c r="B213"/>
      <c r="C213"/>
      <c r="D213"/>
      <c r="E213"/>
      <c r="F213" s="662" t="str">
        <f>LEFT(AllDaqbookOffsets[[#This Row],[traceability_no]],2)</f>
        <v>J1</v>
      </c>
      <c r="I213">
        <v>12</v>
      </c>
      <c r="J213">
        <v>1000</v>
      </c>
      <c r="K213">
        <v>-0.10000000000002274</v>
      </c>
      <c r="W213" t="s">
        <v>1183</v>
      </c>
      <c r="X213" t="s">
        <v>213</v>
      </c>
    </row>
    <row r="214" spans="1:24" x14ac:dyDescent="0.2">
      <c r="A214"/>
      <c r="B214"/>
      <c r="C214"/>
      <c r="D214"/>
      <c r="E214"/>
      <c r="F214" s="662" t="str">
        <f>LEFT(AllDaqbookOffsets[[#This Row],[traceability_no]],2)</f>
        <v>J1</v>
      </c>
      <c r="I214">
        <v>13</v>
      </c>
      <c r="J214">
        <v>1000</v>
      </c>
      <c r="K214">
        <v>-0.5</v>
      </c>
      <c r="W214" t="s">
        <v>1184</v>
      </c>
      <c r="X214" t="s">
        <v>213</v>
      </c>
    </row>
    <row r="215" spans="1:24" x14ac:dyDescent="0.2">
      <c r="A215"/>
      <c r="B215"/>
      <c r="C215"/>
      <c r="D215"/>
      <c r="E215"/>
      <c r="F215" s="662" t="str">
        <f>LEFT(AllDaqbookOffsets[[#This Row],[traceability_no]],2)</f>
        <v>J1</v>
      </c>
      <c r="I215">
        <v>14</v>
      </c>
      <c r="J215">
        <v>1000</v>
      </c>
      <c r="K215">
        <v>-0.5</v>
      </c>
      <c r="W215" t="s">
        <v>1185</v>
      </c>
      <c r="X215" t="s">
        <v>213</v>
      </c>
    </row>
    <row r="216" spans="1:24" x14ac:dyDescent="0.2">
      <c r="A216"/>
      <c r="B216"/>
      <c r="C216"/>
      <c r="D216"/>
      <c r="E216"/>
      <c r="F216" s="662" t="str">
        <f>LEFT(AllDaqbookOffsets[[#This Row],[traceability_no]],2)</f>
        <v>J1</v>
      </c>
      <c r="I216">
        <v>15</v>
      </c>
      <c r="J216">
        <v>1000</v>
      </c>
      <c r="K216">
        <v>-0.10000000000002274</v>
      </c>
      <c r="W216" t="s">
        <v>1186</v>
      </c>
      <c r="X216" t="s">
        <v>213</v>
      </c>
    </row>
    <row r="217" spans="1:24" x14ac:dyDescent="0.2">
      <c r="A217"/>
      <c r="B217"/>
      <c r="C217"/>
      <c r="D217"/>
      <c r="E217"/>
      <c r="F217" s="662" t="str">
        <f>LEFT(AllDaqbookOffsets[[#This Row],[traceability_no]],2)</f>
        <v>J1</v>
      </c>
      <c r="I217">
        <v>16</v>
      </c>
      <c r="J217">
        <v>1000</v>
      </c>
      <c r="K217">
        <v>-0.20000000000004547</v>
      </c>
      <c r="W217" t="s">
        <v>1187</v>
      </c>
      <c r="X217" t="s">
        <v>213</v>
      </c>
    </row>
    <row r="218" spans="1:24" x14ac:dyDescent="0.2">
      <c r="A218"/>
      <c r="B218"/>
      <c r="C218"/>
      <c r="D218"/>
      <c r="E218"/>
      <c r="F218" s="662" t="str">
        <f>LEFT(AllDaqbookOffsets[[#This Row],[traceability_no]],2)</f>
        <v>J1</v>
      </c>
      <c r="I218">
        <v>17</v>
      </c>
      <c r="J218">
        <v>1000</v>
      </c>
      <c r="K218">
        <v>0</v>
      </c>
      <c r="W218" t="s">
        <v>1188</v>
      </c>
      <c r="X218" t="s">
        <v>213</v>
      </c>
    </row>
    <row r="219" spans="1:24" x14ac:dyDescent="0.2">
      <c r="A219"/>
      <c r="B219"/>
      <c r="C219"/>
      <c r="D219"/>
      <c r="E219"/>
      <c r="F219" s="662" t="str">
        <f>LEFT(AllDaqbookOffsets[[#This Row],[traceability_no]],2)</f>
        <v>J1</v>
      </c>
      <c r="I219">
        <v>18</v>
      </c>
      <c r="J219">
        <v>1000</v>
      </c>
      <c r="K219">
        <v>-0.10000000000002274</v>
      </c>
      <c r="W219" t="s">
        <v>1189</v>
      </c>
      <c r="X219" t="s">
        <v>213</v>
      </c>
    </row>
    <row r="220" spans="1:24" x14ac:dyDescent="0.2">
      <c r="A220"/>
      <c r="B220"/>
      <c r="C220"/>
      <c r="D220"/>
      <c r="E220"/>
      <c r="F220" s="662" t="str">
        <f>LEFT(AllDaqbookOffsets[[#This Row],[traceability_no]],2)</f>
        <v>J1</v>
      </c>
      <c r="I220">
        <v>19</v>
      </c>
      <c r="J220">
        <v>1000</v>
      </c>
      <c r="K220">
        <v>-0.20000000000004547</v>
      </c>
      <c r="W220" t="s">
        <v>1190</v>
      </c>
      <c r="X220" t="s">
        <v>213</v>
      </c>
    </row>
    <row r="221" spans="1:24" x14ac:dyDescent="0.2">
      <c r="A221"/>
      <c r="B221"/>
      <c r="C221"/>
      <c r="D221"/>
      <c r="E221"/>
      <c r="F221" s="662" t="str">
        <f>LEFT(AllDaqbookOffsets[[#This Row],[traceability_no]],2)</f>
        <v>J1</v>
      </c>
      <c r="I221">
        <v>20</v>
      </c>
      <c r="J221">
        <v>1000</v>
      </c>
      <c r="K221">
        <v>0.20000000000004547</v>
      </c>
      <c r="W221" t="s">
        <v>1191</v>
      </c>
      <c r="X221" t="s">
        <v>213</v>
      </c>
    </row>
    <row r="222" spans="1:24" x14ac:dyDescent="0.2">
      <c r="A222"/>
      <c r="B222"/>
      <c r="C222"/>
      <c r="D222"/>
      <c r="E222"/>
      <c r="F222" s="662" t="str">
        <f>LEFT(AllDaqbookOffsets[[#This Row],[traceability_no]],2)</f>
        <v>J1</v>
      </c>
      <c r="I222">
        <v>21</v>
      </c>
      <c r="J222">
        <v>1000</v>
      </c>
      <c r="K222">
        <v>0.20000000000004547</v>
      </c>
      <c r="W222" t="s">
        <v>1192</v>
      </c>
      <c r="X222" t="s">
        <v>213</v>
      </c>
    </row>
    <row r="223" spans="1:24" x14ac:dyDescent="0.2">
      <c r="A223"/>
      <c r="B223"/>
      <c r="C223"/>
      <c r="D223"/>
      <c r="E223"/>
      <c r="F223" s="662" t="str">
        <f>LEFT(AllDaqbookOffsets[[#This Row],[traceability_no]],2)</f>
        <v>J1</v>
      </c>
      <c r="I223">
        <v>22</v>
      </c>
      <c r="J223">
        <v>1000</v>
      </c>
      <c r="K223">
        <v>0</v>
      </c>
      <c r="W223" t="s">
        <v>1193</v>
      </c>
      <c r="X223" t="s">
        <v>213</v>
      </c>
    </row>
    <row r="224" spans="1:24" x14ac:dyDescent="0.2">
      <c r="A224"/>
      <c r="B224"/>
      <c r="C224"/>
      <c r="D224"/>
      <c r="E224"/>
      <c r="F224" s="662" t="str">
        <f>LEFT(AllDaqbookOffsets[[#This Row],[traceability_no]],2)</f>
        <v>J1</v>
      </c>
      <c r="I224">
        <v>23</v>
      </c>
      <c r="J224">
        <v>1000</v>
      </c>
      <c r="K224">
        <v>0</v>
      </c>
      <c r="W224" t="s">
        <v>1194</v>
      </c>
      <c r="X224" t="s">
        <v>213</v>
      </c>
    </row>
    <row r="225" spans="1:24" x14ac:dyDescent="0.2">
      <c r="A225"/>
      <c r="B225"/>
      <c r="C225"/>
      <c r="D225"/>
      <c r="E225"/>
      <c r="F225" s="662" t="str">
        <f>LEFT(AllDaqbookOffsets[[#This Row],[traceability_no]],2)</f>
        <v>J1</v>
      </c>
      <c r="I225">
        <v>24</v>
      </c>
      <c r="J225">
        <v>1000</v>
      </c>
      <c r="K225">
        <v>-0.20000000000004547</v>
      </c>
      <c r="W225" t="s">
        <v>1195</v>
      </c>
      <c r="X225" t="s">
        <v>213</v>
      </c>
    </row>
    <row r="226" spans="1:24" x14ac:dyDescent="0.2">
      <c r="A226"/>
      <c r="B226"/>
      <c r="C226"/>
      <c r="D226"/>
      <c r="E226"/>
      <c r="F226" s="662" t="str">
        <f>LEFT(AllDaqbookOffsets[[#This Row],[traceability_no]],2)</f>
        <v>J1</v>
      </c>
      <c r="I226">
        <v>25</v>
      </c>
      <c r="J226">
        <v>1000</v>
      </c>
      <c r="K226">
        <v>0.10000000000002274</v>
      </c>
      <c r="W226" t="s">
        <v>1196</v>
      </c>
      <c r="X226" t="s">
        <v>213</v>
      </c>
    </row>
    <row r="227" spans="1:24" x14ac:dyDescent="0.2">
      <c r="A227"/>
      <c r="B227"/>
      <c r="C227"/>
      <c r="D227"/>
      <c r="E227"/>
      <c r="F227" s="662" t="str">
        <f>LEFT(AllDaqbookOffsets[[#This Row],[traceability_no]],2)</f>
        <v>J1</v>
      </c>
      <c r="I227">
        <v>26</v>
      </c>
      <c r="J227">
        <v>1000</v>
      </c>
      <c r="K227">
        <v>-0.10000000000002274</v>
      </c>
      <c r="W227" t="s">
        <v>1197</v>
      </c>
      <c r="X227" t="s">
        <v>213</v>
      </c>
    </row>
    <row r="228" spans="1:24" x14ac:dyDescent="0.2">
      <c r="A228"/>
      <c r="B228"/>
      <c r="C228"/>
      <c r="D228"/>
      <c r="E228"/>
      <c r="F228" s="662" t="str">
        <f>LEFT(AllDaqbookOffsets[[#This Row],[traceability_no]],2)</f>
        <v>J1</v>
      </c>
      <c r="I228">
        <v>27</v>
      </c>
      <c r="J228">
        <v>1000</v>
      </c>
      <c r="K228">
        <v>-0.20000000000004547</v>
      </c>
      <c r="W228" t="s">
        <v>1198</v>
      </c>
      <c r="X228" t="s">
        <v>214</v>
      </c>
    </row>
    <row r="229" spans="1:24" x14ac:dyDescent="0.2">
      <c r="A229"/>
      <c r="B229"/>
      <c r="C229"/>
      <c r="D229"/>
      <c r="E229"/>
      <c r="F229" s="662" t="str">
        <f>LEFT(AllDaqbookOffsets[[#This Row],[traceability_no]],2)</f>
        <v>J1</v>
      </c>
      <c r="I229">
        <v>28</v>
      </c>
      <c r="J229">
        <v>1000</v>
      </c>
      <c r="K229">
        <v>-0.29999999999995453</v>
      </c>
      <c r="W229" t="s">
        <v>1199</v>
      </c>
      <c r="X229" t="s">
        <v>214</v>
      </c>
    </row>
    <row r="230" spans="1:24" x14ac:dyDescent="0.2">
      <c r="A230"/>
      <c r="B230"/>
      <c r="C230"/>
      <c r="D230"/>
      <c r="E230"/>
      <c r="F230" s="662" t="str">
        <f>LEFT(AllDaqbookOffsets[[#This Row],[traceability_no]],2)</f>
        <v>J1</v>
      </c>
      <c r="I230">
        <v>29</v>
      </c>
      <c r="J230">
        <v>1000</v>
      </c>
      <c r="K230">
        <v>-0.29999999999995453</v>
      </c>
      <c r="W230" t="s">
        <v>1200</v>
      </c>
      <c r="X230" t="s">
        <v>214</v>
      </c>
    </row>
    <row r="231" spans="1:24" x14ac:dyDescent="0.2">
      <c r="A231"/>
      <c r="B231"/>
      <c r="C231"/>
      <c r="D231"/>
      <c r="E231"/>
      <c r="F231" s="662" t="str">
        <f>LEFT(AllDaqbookOffsets[[#This Row],[traceability_no]],2)</f>
        <v>J1</v>
      </c>
      <c r="I231">
        <v>30</v>
      </c>
      <c r="J231">
        <v>1000</v>
      </c>
      <c r="K231">
        <v>0.20000000000004547</v>
      </c>
      <c r="W231" t="s">
        <v>1201</v>
      </c>
      <c r="X231" t="s">
        <v>214</v>
      </c>
    </row>
    <row r="232" spans="1:24" x14ac:dyDescent="0.2">
      <c r="A232"/>
      <c r="B232"/>
      <c r="C232"/>
      <c r="D232"/>
      <c r="E232"/>
      <c r="F232" s="662" t="str">
        <f>LEFT(AllDaqbookOffsets[[#This Row],[traceability_no]],2)</f>
        <v>J1</v>
      </c>
      <c r="I232">
        <v>31</v>
      </c>
      <c r="J232">
        <v>1000</v>
      </c>
      <c r="K232">
        <v>0</v>
      </c>
      <c r="W232" t="s">
        <v>1202</v>
      </c>
      <c r="X232" t="s">
        <v>214</v>
      </c>
    </row>
    <row r="233" spans="1:24" x14ac:dyDescent="0.2">
      <c r="A233"/>
      <c r="B233"/>
      <c r="C233"/>
      <c r="D233"/>
      <c r="E233"/>
      <c r="F233" s="662" t="str">
        <f>LEFT(AllDaqbookOffsets[[#This Row],[traceability_no]],2)</f>
        <v>J1</v>
      </c>
      <c r="I233">
        <v>32</v>
      </c>
      <c r="J233">
        <v>1000</v>
      </c>
      <c r="K233">
        <v>-0.20000000000004547</v>
      </c>
      <c r="W233" t="s">
        <v>1203</v>
      </c>
      <c r="X233" t="s">
        <v>214</v>
      </c>
    </row>
    <row r="234" spans="1:24" x14ac:dyDescent="0.2">
      <c r="A234"/>
      <c r="B234"/>
      <c r="C234"/>
      <c r="D234"/>
      <c r="E234"/>
      <c r="F234" s="662" t="str">
        <f>LEFT(AllDaqbookOffsets[[#This Row],[traceability_no]],2)</f>
        <v>J1</v>
      </c>
      <c r="I234">
        <v>33</v>
      </c>
      <c r="J234">
        <v>1000</v>
      </c>
      <c r="K234">
        <v>-0.39999999999997726</v>
      </c>
      <c r="W234" t="s">
        <v>1204</v>
      </c>
      <c r="X234" t="s">
        <v>214</v>
      </c>
    </row>
    <row r="235" spans="1:24" x14ac:dyDescent="0.2">
      <c r="A235"/>
      <c r="B235"/>
      <c r="C235"/>
      <c r="D235"/>
      <c r="E235"/>
      <c r="F235" s="662" t="str">
        <f>LEFT(AllDaqbookOffsets[[#This Row],[traceability_no]],2)</f>
        <v>J1</v>
      </c>
      <c r="I235">
        <v>34</v>
      </c>
      <c r="J235">
        <v>1000</v>
      </c>
      <c r="K235">
        <v>-0.5</v>
      </c>
      <c r="W235" t="s">
        <v>1205</v>
      </c>
      <c r="X235" t="s">
        <v>214</v>
      </c>
    </row>
    <row r="236" spans="1:24" x14ac:dyDescent="0.2">
      <c r="A236"/>
      <c r="B236"/>
      <c r="C236"/>
      <c r="D236"/>
      <c r="E236"/>
      <c r="F236" s="662" t="str">
        <f>LEFT(AllDaqbookOffsets[[#This Row],[traceability_no]],2)</f>
        <v>J1</v>
      </c>
      <c r="I236">
        <v>35</v>
      </c>
      <c r="J236">
        <v>1000</v>
      </c>
      <c r="K236">
        <v>0</v>
      </c>
      <c r="W236" t="s">
        <v>1206</v>
      </c>
      <c r="X236" t="s">
        <v>214</v>
      </c>
    </row>
    <row r="237" spans="1:24" x14ac:dyDescent="0.2">
      <c r="A237"/>
      <c r="B237"/>
      <c r="C237"/>
      <c r="D237"/>
      <c r="E237"/>
      <c r="F237" s="662" t="str">
        <f>LEFT(AllDaqbookOffsets[[#This Row],[traceability_no]],2)</f>
        <v>J1</v>
      </c>
      <c r="I237">
        <v>36</v>
      </c>
      <c r="J237">
        <v>1000</v>
      </c>
      <c r="K237">
        <v>-0.10000000000002274</v>
      </c>
      <c r="W237" t="s">
        <v>1207</v>
      </c>
      <c r="X237" t="s">
        <v>214</v>
      </c>
    </row>
    <row r="238" spans="1:24" x14ac:dyDescent="0.2">
      <c r="A238"/>
      <c r="B238"/>
      <c r="C238"/>
      <c r="D238"/>
      <c r="E238"/>
      <c r="F238" s="662" t="str">
        <f>LEFT(AllDaqbookOffsets[[#This Row],[traceability_no]],2)</f>
        <v>J1</v>
      </c>
      <c r="I238">
        <v>37</v>
      </c>
      <c r="J238">
        <v>1000</v>
      </c>
      <c r="K238">
        <v>-0.10000000000002274</v>
      </c>
      <c r="W238" t="s">
        <v>1208</v>
      </c>
      <c r="X238" t="s">
        <v>325</v>
      </c>
    </row>
    <row r="239" spans="1:24" x14ac:dyDescent="0.2">
      <c r="A239"/>
      <c r="B239"/>
      <c r="C239"/>
      <c r="D239"/>
      <c r="E239"/>
      <c r="F239" s="662" t="str">
        <f>LEFT(AllDaqbookOffsets[[#This Row],[traceability_no]],2)</f>
        <v>J1</v>
      </c>
      <c r="I239">
        <v>38</v>
      </c>
      <c r="J239">
        <v>1000</v>
      </c>
      <c r="K239">
        <v>0</v>
      </c>
      <c r="W239" t="s">
        <v>1209</v>
      </c>
      <c r="X239" t="s">
        <v>325</v>
      </c>
    </row>
    <row r="240" spans="1:24" x14ac:dyDescent="0.2">
      <c r="A240"/>
      <c r="B240"/>
      <c r="C240"/>
      <c r="D240"/>
      <c r="E240"/>
      <c r="F240" s="662" t="str">
        <f>LEFT(AllDaqbookOffsets[[#This Row],[traceability_no]],2)</f>
        <v>J1</v>
      </c>
      <c r="I240">
        <v>39</v>
      </c>
      <c r="J240">
        <v>1000</v>
      </c>
      <c r="K240">
        <v>0.10000000000002274</v>
      </c>
      <c r="W240" t="s">
        <v>1210</v>
      </c>
      <c r="X240" t="s">
        <v>325</v>
      </c>
    </row>
    <row r="241" spans="1:24" x14ac:dyDescent="0.2">
      <c r="A241"/>
      <c r="B241"/>
      <c r="C241"/>
      <c r="D241"/>
      <c r="E241"/>
      <c r="F241" s="662" t="str">
        <f>LEFT(AllDaqbookOffsets[[#This Row],[traceability_no]],2)</f>
        <v>J1</v>
      </c>
      <c r="I241">
        <v>40</v>
      </c>
      <c r="J241">
        <v>1000</v>
      </c>
      <c r="K241">
        <v>-0.20000000000004547</v>
      </c>
      <c r="W241" t="s">
        <v>1211</v>
      </c>
      <c r="X241" t="s">
        <v>325</v>
      </c>
    </row>
    <row r="242" spans="1:24" x14ac:dyDescent="0.2">
      <c r="A242"/>
      <c r="B242"/>
      <c r="C242"/>
      <c r="D242"/>
      <c r="E242"/>
      <c r="F242" s="662" t="str">
        <f>LEFT(AllDaqbookOffsets[[#This Row],[traceability_no]],2)</f>
        <v>J2</v>
      </c>
      <c r="W242" t="s">
        <v>1212</v>
      </c>
      <c r="X242" t="s">
        <v>325</v>
      </c>
    </row>
    <row r="243" spans="1:24" x14ac:dyDescent="0.2">
      <c r="A243"/>
      <c r="B243"/>
      <c r="C243"/>
      <c r="D243"/>
      <c r="E243"/>
      <c r="F243" s="662" t="str">
        <f>LEFT(AllDaqbookOffsets[[#This Row],[traceability_no]],2)</f>
        <v>J2</v>
      </c>
      <c r="W243" t="s">
        <v>1213</v>
      </c>
      <c r="X243" t="s">
        <v>325</v>
      </c>
    </row>
    <row r="244" spans="1:24" x14ac:dyDescent="0.2">
      <c r="A244"/>
      <c r="B244"/>
      <c r="C244"/>
      <c r="D244"/>
      <c r="E244"/>
      <c r="F244" s="662" t="str">
        <f>LEFT(AllDaqbookOffsets[[#This Row],[traceability_no]],2)</f>
        <v>J2</v>
      </c>
      <c r="W244" t="s">
        <v>1214</v>
      </c>
      <c r="X244" t="s">
        <v>325</v>
      </c>
    </row>
    <row r="245" spans="1:24" x14ac:dyDescent="0.2">
      <c r="A245"/>
      <c r="B245"/>
      <c r="C245"/>
      <c r="D245"/>
      <c r="E245"/>
      <c r="F245" s="662" t="str">
        <f>LEFT(AllDaqbookOffsets[[#This Row],[traceability_no]],2)</f>
        <v>J2</v>
      </c>
      <c r="W245" t="s">
        <v>1215</v>
      </c>
      <c r="X245" t="s">
        <v>325</v>
      </c>
    </row>
    <row r="246" spans="1:24" x14ac:dyDescent="0.2">
      <c r="A246"/>
      <c r="B246"/>
      <c r="C246"/>
      <c r="D246"/>
      <c r="E246"/>
      <c r="F246" s="662" t="str">
        <f>LEFT(AllDaqbookOffsets[[#This Row],[traceability_no]],2)</f>
        <v>J2</v>
      </c>
      <c r="W246" t="s">
        <v>1216</v>
      </c>
      <c r="X246" t="s">
        <v>325</v>
      </c>
    </row>
    <row r="247" spans="1:24" x14ac:dyDescent="0.2">
      <c r="A247"/>
      <c r="B247"/>
      <c r="C247"/>
      <c r="D247"/>
      <c r="E247"/>
      <c r="F247" s="662" t="str">
        <f>LEFT(AllDaqbookOffsets[[#This Row],[traceability_no]],2)</f>
        <v>J2</v>
      </c>
      <c r="W247" t="s">
        <v>1217</v>
      </c>
      <c r="X247" t="s">
        <v>325</v>
      </c>
    </row>
    <row r="248" spans="1:24" x14ac:dyDescent="0.2">
      <c r="A248"/>
      <c r="B248"/>
      <c r="C248"/>
      <c r="D248"/>
      <c r="E248"/>
      <c r="F248" s="662" t="str">
        <f>LEFT(AllDaqbookOffsets[[#This Row],[traceability_no]],2)</f>
        <v>J2</v>
      </c>
      <c r="W248" t="s">
        <v>1224</v>
      </c>
      <c r="X248" t="s">
        <v>215</v>
      </c>
    </row>
    <row r="249" spans="1:24" x14ac:dyDescent="0.2">
      <c r="A249"/>
      <c r="B249"/>
      <c r="C249"/>
      <c r="D249"/>
      <c r="E249"/>
      <c r="F249" s="662" t="str">
        <f>LEFT(AllDaqbookOffsets[[#This Row],[traceability_no]],2)</f>
        <v>J2</v>
      </c>
      <c r="W249" t="s">
        <v>1225</v>
      </c>
      <c r="X249" t="s">
        <v>215</v>
      </c>
    </row>
    <row r="250" spans="1:24" x14ac:dyDescent="0.2">
      <c r="A250"/>
      <c r="B250"/>
      <c r="C250"/>
      <c r="D250"/>
      <c r="E250"/>
      <c r="F250" s="662" t="str">
        <f>LEFT(AllDaqbookOffsets[[#This Row],[traceability_no]],2)</f>
        <v>J2</v>
      </c>
      <c r="W250" t="s">
        <v>1226</v>
      </c>
      <c r="X250" t="s">
        <v>215</v>
      </c>
    </row>
    <row r="251" spans="1:24" x14ac:dyDescent="0.2">
      <c r="A251"/>
      <c r="B251"/>
      <c r="C251"/>
      <c r="D251"/>
      <c r="E251"/>
      <c r="F251" s="662" t="str">
        <f>LEFT(AllDaqbookOffsets[[#This Row],[traceability_no]],2)</f>
        <v>J2</v>
      </c>
      <c r="W251" t="s">
        <v>1227</v>
      </c>
      <c r="X251" t="s">
        <v>215</v>
      </c>
    </row>
    <row r="252" spans="1:24" x14ac:dyDescent="0.2">
      <c r="A252"/>
      <c r="B252"/>
      <c r="C252"/>
      <c r="D252"/>
      <c r="E252"/>
      <c r="F252" s="662" t="str">
        <f>LEFT(AllDaqbookOffsets[[#This Row],[traceability_no]],2)</f>
        <v>J2</v>
      </c>
      <c r="W252" t="s">
        <v>1228</v>
      </c>
      <c r="X252" t="s">
        <v>215</v>
      </c>
    </row>
    <row r="253" spans="1:24" x14ac:dyDescent="0.2">
      <c r="A253"/>
      <c r="B253"/>
      <c r="C253"/>
      <c r="D253"/>
      <c r="E253"/>
      <c r="F253" s="662" t="str">
        <f>LEFT(AllDaqbookOffsets[[#This Row],[traceability_no]],2)</f>
        <v>J2</v>
      </c>
      <c r="W253" t="s">
        <v>1229</v>
      </c>
      <c r="X253" t="s">
        <v>215</v>
      </c>
    </row>
    <row r="254" spans="1:24" x14ac:dyDescent="0.2">
      <c r="A254"/>
      <c r="B254"/>
      <c r="C254"/>
      <c r="D254"/>
      <c r="E254"/>
      <c r="F254" s="662" t="str">
        <f>LEFT(AllDaqbookOffsets[[#This Row],[traceability_no]],2)</f>
        <v>J2</v>
      </c>
      <c r="W254" t="s">
        <v>1230</v>
      </c>
      <c r="X254" t="s">
        <v>215</v>
      </c>
    </row>
    <row r="255" spans="1:24" x14ac:dyDescent="0.2">
      <c r="A255"/>
      <c r="B255"/>
      <c r="C255"/>
      <c r="D255"/>
      <c r="E255"/>
      <c r="F255" s="662" t="str">
        <f>LEFT(AllDaqbookOffsets[[#This Row],[traceability_no]],2)</f>
        <v>J2</v>
      </c>
      <c r="W255" t="s">
        <v>1231</v>
      </c>
      <c r="X255" t="s">
        <v>215</v>
      </c>
    </row>
    <row r="256" spans="1:24" x14ac:dyDescent="0.2">
      <c r="A256"/>
      <c r="B256"/>
      <c r="C256"/>
      <c r="D256"/>
      <c r="E256"/>
      <c r="F256" s="662" t="str">
        <f>LEFT(AllDaqbookOffsets[[#This Row],[traceability_no]],2)</f>
        <v>J2</v>
      </c>
      <c r="W256" t="s">
        <v>1232</v>
      </c>
      <c r="X256" t="s">
        <v>215</v>
      </c>
    </row>
    <row r="257" spans="1:24" x14ac:dyDescent="0.2">
      <c r="A257"/>
      <c r="B257"/>
      <c r="C257"/>
      <c r="D257"/>
      <c r="E257"/>
      <c r="F257" s="662" t="str">
        <f>LEFT(AllDaqbookOffsets[[#This Row],[traceability_no]],2)</f>
        <v>J2</v>
      </c>
      <c r="W257" t="s">
        <v>1218</v>
      </c>
      <c r="X257" t="s">
        <v>325</v>
      </c>
    </row>
    <row r="258" spans="1:24" x14ac:dyDescent="0.2">
      <c r="A258"/>
      <c r="B258"/>
      <c r="C258"/>
      <c r="D258"/>
      <c r="E258"/>
      <c r="F258" s="662" t="str">
        <f>LEFT(AllDaqbookOffsets[[#This Row],[traceability_no]],2)</f>
        <v>J2</v>
      </c>
      <c r="W258" t="s">
        <v>1233</v>
      </c>
      <c r="X258" t="s">
        <v>215</v>
      </c>
    </row>
    <row r="259" spans="1:24" x14ac:dyDescent="0.2">
      <c r="A259"/>
      <c r="B259"/>
      <c r="C259"/>
      <c r="D259"/>
      <c r="E259"/>
      <c r="F259" s="662" t="str">
        <f>LEFT(AllDaqbookOffsets[[#This Row],[traceability_no]],2)</f>
        <v>J2</v>
      </c>
      <c r="W259" t="s">
        <v>1234</v>
      </c>
      <c r="X259" t="s">
        <v>215</v>
      </c>
    </row>
    <row r="260" spans="1:24" x14ac:dyDescent="0.2">
      <c r="A260"/>
      <c r="B260"/>
      <c r="C260"/>
      <c r="D260"/>
      <c r="E260"/>
      <c r="F260" s="662" t="str">
        <f>LEFT(AllDaqbookOffsets[[#This Row],[traceability_no]],2)</f>
        <v>J2</v>
      </c>
      <c r="W260" t="s">
        <v>1235</v>
      </c>
      <c r="X260" t="s">
        <v>215</v>
      </c>
    </row>
    <row r="261" spans="1:24" x14ac:dyDescent="0.2">
      <c r="A261"/>
      <c r="B261"/>
      <c r="C261"/>
      <c r="D261"/>
      <c r="E261"/>
      <c r="F261" s="662" t="str">
        <f>LEFT(AllDaqbookOffsets[[#This Row],[traceability_no]],2)</f>
        <v>J2</v>
      </c>
      <c r="W261" t="s">
        <v>1219</v>
      </c>
      <c r="X261" t="s">
        <v>325</v>
      </c>
    </row>
    <row r="262" spans="1:24" x14ac:dyDescent="0.2">
      <c r="A262"/>
      <c r="B262"/>
      <c r="C262"/>
      <c r="D262"/>
      <c r="E262"/>
      <c r="F262" s="662" t="str">
        <f>LEFT(AllDaqbookOffsets[[#This Row],[traceability_no]],2)</f>
        <v>J2</v>
      </c>
      <c r="W262" t="s">
        <v>1220</v>
      </c>
      <c r="X262" t="s">
        <v>325</v>
      </c>
    </row>
    <row r="263" spans="1:24" x14ac:dyDescent="0.2">
      <c r="A263"/>
      <c r="B263"/>
      <c r="C263"/>
      <c r="D263"/>
      <c r="E263"/>
      <c r="F263" s="662" t="str">
        <f>LEFT(AllDaqbookOffsets[[#This Row],[traceability_no]],2)</f>
        <v>J2</v>
      </c>
      <c r="W263" t="s">
        <v>1221</v>
      </c>
      <c r="X263" t="s">
        <v>325</v>
      </c>
    </row>
    <row r="264" spans="1:24" x14ac:dyDescent="0.2">
      <c r="A264"/>
      <c r="B264"/>
      <c r="C264"/>
      <c r="D264"/>
      <c r="E264"/>
      <c r="F264" s="662" t="str">
        <f>LEFT(AllDaqbookOffsets[[#This Row],[traceability_no]],2)</f>
        <v>J2</v>
      </c>
      <c r="W264" t="s">
        <v>1222</v>
      </c>
      <c r="X264" t="s">
        <v>325</v>
      </c>
    </row>
    <row r="265" spans="1:24" x14ac:dyDescent="0.2">
      <c r="A265"/>
      <c r="B265"/>
      <c r="C265"/>
      <c r="D265"/>
      <c r="E265"/>
      <c r="F265" s="662" t="str">
        <f>LEFT(AllDaqbookOffsets[[#This Row],[traceability_no]],2)</f>
        <v>J2</v>
      </c>
      <c r="W265" t="s">
        <v>1223</v>
      </c>
      <c r="X265" t="s">
        <v>325</v>
      </c>
    </row>
    <row r="266" spans="1:24" x14ac:dyDescent="0.2">
      <c r="A266"/>
      <c r="B266"/>
      <c r="C266"/>
      <c r="D266"/>
      <c r="E266"/>
      <c r="F266" s="662" t="str">
        <f>LEFT(AllDaqbookOffsets[[#This Row],[traceability_no]],2)</f>
        <v>J2</v>
      </c>
      <c r="W266" t="s">
        <v>1236</v>
      </c>
      <c r="X266" t="s">
        <v>216</v>
      </c>
    </row>
    <row r="267" spans="1:24" x14ac:dyDescent="0.2">
      <c r="A267"/>
      <c r="B267"/>
      <c r="C267"/>
      <c r="D267"/>
      <c r="E267"/>
      <c r="F267" s="662" t="str">
        <f>LEFT(AllDaqbookOffsets[[#This Row],[traceability_no]],2)</f>
        <v>J2</v>
      </c>
      <c r="W267" t="s">
        <v>1237</v>
      </c>
      <c r="X267" t="s">
        <v>216</v>
      </c>
    </row>
    <row r="268" spans="1:24" x14ac:dyDescent="0.2">
      <c r="A268"/>
      <c r="B268"/>
      <c r="C268"/>
      <c r="D268"/>
      <c r="E268"/>
      <c r="F268" s="662" t="str">
        <f>LEFT(AllDaqbookOffsets[[#This Row],[traceability_no]],2)</f>
        <v>J2</v>
      </c>
      <c r="W268" t="s">
        <v>1238</v>
      </c>
      <c r="X268" t="s">
        <v>216</v>
      </c>
    </row>
    <row r="269" spans="1:24" x14ac:dyDescent="0.2">
      <c r="A269"/>
      <c r="B269"/>
      <c r="C269"/>
      <c r="D269"/>
      <c r="E269"/>
      <c r="F269" s="662" t="str">
        <f>LEFT(AllDaqbookOffsets[[#This Row],[traceability_no]],2)</f>
        <v>J2</v>
      </c>
      <c r="W269" t="s">
        <v>1239</v>
      </c>
      <c r="X269" t="s">
        <v>216</v>
      </c>
    </row>
    <row r="270" spans="1:24" x14ac:dyDescent="0.2">
      <c r="A270"/>
      <c r="B270"/>
      <c r="C270"/>
      <c r="D270"/>
      <c r="E270"/>
      <c r="F270" s="662" t="str">
        <f>LEFT(AllDaqbookOffsets[[#This Row],[traceability_no]],2)</f>
        <v>J2</v>
      </c>
      <c r="W270" t="s">
        <v>1240</v>
      </c>
      <c r="X270" t="s">
        <v>216</v>
      </c>
    </row>
    <row r="271" spans="1:24" x14ac:dyDescent="0.2">
      <c r="A271"/>
      <c r="B271"/>
      <c r="C271"/>
      <c r="D271"/>
      <c r="E271"/>
      <c r="F271" s="662" t="str">
        <f>LEFT(AllDaqbookOffsets[[#This Row],[traceability_no]],2)</f>
        <v>J2</v>
      </c>
      <c r="W271" t="s">
        <v>1241</v>
      </c>
      <c r="X271" t="s">
        <v>216</v>
      </c>
    </row>
    <row r="272" spans="1:24" x14ac:dyDescent="0.2">
      <c r="A272"/>
      <c r="B272"/>
      <c r="C272"/>
      <c r="D272"/>
      <c r="E272"/>
      <c r="F272" s="662" t="str">
        <f>LEFT(AllDaqbookOffsets[[#This Row],[traceability_no]],2)</f>
        <v>J2</v>
      </c>
      <c r="W272" t="s">
        <v>1242</v>
      </c>
      <c r="X272" t="s">
        <v>216</v>
      </c>
    </row>
    <row r="273" spans="1:24" x14ac:dyDescent="0.2">
      <c r="A273"/>
      <c r="B273"/>
      <c r="C273"/>
      <c r="D273"/>
      <c r="E273"/>
      <c r="F273" s="662" t="str">
        <f>LEFT(AllDaqbookOffsets[[#This Row],[traceability_no]],2)</f>
        <v>J2</v>
      </c>
      <c r="W273" t="s">
        <v>1243</v>
      </c>
      <c r="X273" t="s">
        <v>216</v>
      </c>
    </row>
    <row r="274" spans="1:24" x14ac:dyDescent="0.2">
      <c r="A274"/>
      <c r="B274"/>
      <c r="C274"/>
      <c r="D274"/>
      <c r="E274"/>
      <c r="F274" s="662" t="str">
        <f>LEFT(AllDaqbookOffsets[[#This Row],[traceability_no]],2)</f>
        <v>J2</v>
      </c>
      <c r="W274" t="s">
        <v>1244</v>
      </c>
      <c r="X274" t="s">
        <v>216</v>
      </c>
    </row>
    <row r="275" spans="1:24" x14ac:dyDescent="0.2">
      <c r="A275"/>
      <c r="B275"/>
      <c r="C275"/>
      <c r="D275"/>
      <c r="E275"/>
      <c r="F275" s="662" t="str">
        <f>LEFT(AllDaqbookOffsets[[#This Row],[traceability_no]],2)</f>
        <v>J2</v>
      </c>
      <c r="W275" t="s">
        <v>1245</v>
      </c>
      <c r="X275" t="s">
        <v>216</v>
      </c>
    </row>
    <row r="276" spans="1:24" x14ac:dyDescent="0.2">
      <c r="A276"/>
      <c r="B276"/>
      <c r="C276"/>
      <c r="D276"/>
      <c r="E276"/>
      <c r="F276" s="662" t="str">
        <f>LEFT(AllDaqbookOffsets[[#This Row],[traceability_no]],2)</f>
        <v>J2</v>
      </c>
      <c r="W276" t="s">
        <v>1246</v>
      </c>
      <c r="X276" t="s">
        <v>216</v>
      </c>
    </row>
    <row r="277" spans="1:24" x14ac:dyDescent="0.2">
      <c r="A277"/>
      <c r="B277"/>
      <c r="C277"/>
      <c r="D277"/>
      <c r="E277"/>
      <c r="F277" s="662" t="str">
        <f>LEFT(AllDaqbookOffsets[[#This Row],[traceability_no]],2)</f>
        <v>J2</v>
      </c>
      <c r="W277" t="s">
        <v>1247</v>
      </c>
      <c r="X277" t="s">
        <v>216</v>
      </c>
    </row>
    <row r="278" spans="1:24" x14ac:dyDescent="0.2">
      <c r="A278"/>
      <c r="B278"/>
      <c r="C278"/>
      <c r="D278"/>
      <c r="E278"/>
      <c r="F278" s="662" t="str">
        <f>LEFT(AllDaqbookOffsets[[#This Row],[traceability_no]],2)</f>
        <v>J2</v>
      </c>
      <c r="W278" t="s">
        <v>1248</v>
      </c>
      <c r="X278" t="s">
        <v>216</v>
      </c>
    </row>
    <row r="279" spans="1:24" x14ac:dyDescent="0.2">
      <c r="A279"/>
      <c r="B279"/>
      <c r="C279"/>
      <c r="D279"/>
      <c r="E279"/>
      <c r="F279" s="662" t="str">
        <f>LEFT(AllDaqbookOffsets[[#This Row],[traceability_no]],2)</f>
        <v>J2</v>
      </c>
      <c r="W279" t="s">
        <v>1249</v>
      </c>
      <c r="X279" t="s">
        <v>216</v>
      </c>
    </row>
    <row r="280" spans="1:24" x14ac:dyDescent="0.2">
      <c r="A280"/>
      <c r="B280"/>
      <c r="C280"/>
      <c r="D280"/>
      <c r="E280"/>
      <c r="F280" s="662" t="str">
        <f>LEFT(AllDaqbookOffsets[[#This Row],[traceability_no]],2)</f>
        <v>J2</v>
      </c>
    </row>
    <row r="281" spans="1:24" x14ac:dyDescent="0.2">
      <c r="A281"/>
      <c r="B281"/>
      <c r="C281"/>
      <c r="D281"/>
      <c r="E281"/>
      <c r="F281" s="662" t="str">
        <f>LEFT(AllDaqbookOffsets[[#This Row],[traceability_no]],2)</f>
        <v>J2</v>
      </c>
    </row>
    <row r="282" spans="1:24" x14ac:dyDescent="0.2">
      <c r="A282"/>
      <c r="B282"/>
      <c r="C282"/>
      <c r="D282"/>
      <c r="E282"/>
      <c r="F282" s="662" t="str">
        <f>LEFT(AllDaqbookOffsets[[#This Row],[traceability_no]],2)</f>
        <v>J2</v>
      </c>
    </row>
    <row r="283" spans="1:24" x14ac:dyDescent="0.2">
      <c r="A283"/>
      <c r="B283"/>
      <c r="C283"/>
      <c r="D283"/>
      <c r="E283"/>
      <c r="F283" s="662" t="str">
        <f>LEFT(AllDaqbookOffsets[[#This Row],[traceability_no]],2)</f>
        <v>J2</v>
      </c>
    </row>
    <row r="284" spans="1:24" x14ac:dyDescent="0.2">
      <c r="A284"/>
      <c r="B284"/>
      <c r="C284"/>
      <c r="D284"/>
      <c r="E284"/>
      <c r="F284" s="662" t="str">
        <f>LEFT(AllDaqbookOffsets[[#This Row],[traceability_no]],2)</f>
        <v>J2</v>
      </c>
    </row>
    <row r="285" spans="1:24" x14ac:dyDescent="0.2">
      <c r="A285"/>
      <c r="B285"/>
      <c r="C285"/>
      <c r="D285"/>
      <c r="E285"/>
      <c r="F285" s="662" t="str">
        <f>LEFT(AllDaqbookOffsets[[#This Row],[traceability_no]],2)</f>
        <v>J2</v>
      </c>
    </row>
    <row r="286" spans="1:24" x14ac:dyDescent="0.2">
      <c r="A286"/>
      <c r="B286"/>
      <c r="C286"/>
      <c r="D286"/>
      <c r="E286"/>
      <c r="F286" s="662" t="str">
        <f>LEFT(AllDaqbookOffsets[[#This Row],[traceability_no]],2)</f>
        <v>J2</v>
      </c>
    </row>
    <row r="287" spans="1:24" x14ac:dyDescent="0.2">
      <c r="A287"/>
      <c r="B287"/>
      <c r="C287"/>
      <c r="D287"/>
      <c r="E287"/>
      <c r="F287" s="662" t="str">
        <f>LEFT(AllDaqbookOffsets[[#This Row],[traceability_no]],2)</f>
        <v>J2</v>
      </c>
    </row>
    <row r="288" spans="1:24" x14ac:dyDescent="0.2">
      <c r="A288"/>
      <c r="B288"/>
      <c r="C288"/>
      <c r="D288"/>
      <c r="E288"/>
      <c r="F288" s="662" t="str">
        <f>LEFT(AllDaqbookOffsets[[#This Row],[traceability_no]],2)</f>
        <v>J2</v>
      </c>
    </row>
    <row r="289" spans="1:6" x14ac:dyDescent="0.2">
      <c r="A289"/>
      <c r="B289"/>
      <c r="C289"/>
      <c r="D289"/>
      <c r="E289"/>
      <c r="F289" s="662" t="str">
        <f>LEFT(AllDaqbookOffsets[[#This Row],[traceability_no]],2)</f>
        <v>J2</v>
      </c>
    </row>
    <row r="290" spans="1:6" x14ac:dyDescent="0.2">
      <c r="A290"/>
      <c r="B290"/>
      <c r="C290"/>
      <c r="D290"/>
      <c r="E290"/>
      <c r="F290" s="662" t="str">
        <f>LEFT(AllDaqbookOffsets[[#This Row],[traceability_no]],2)</f>
        <v>J2</v>
      </c>
    </row>
    <row r="291" spans="1:6" x14ac:dyDescent="0.2">
      <c r="A291"/>
      <c r="B291"/>
      <c r="C291"/>
      <c r="D291"/>
      <c r="E291"/>
      <c r="F291" s="662" t="str">
        <f>LEFT(AllDaqbookOffsets[[#This Row],[traceability_no]],2)</f>
        <v>J2</v>
      </c>
    </row>
    <row r="292" spans="1:6" x14ac:dyDescent="0.2">
      <c r="A292"/>
      <c r="B292"/>
      <c r="C292"/>
      <c r="D292"/>
      <c r="E292"/>
      <c r="F292" s="662" t="str">
        <f>LEFT(AllDaqbookOffsets[[#This Row],[traceability_no]],2)</f>
        <v>J2</v>
      </c>
    </row>
    <row r="293" spans="1:6" x14ac:dyDescent="0.2">
      <c r="A293"/>
      <c r="B293"/>
      <c r="C293"/>
      <c r="D293"/>
      <c r="E293"/>
      <c r="F293" s="662" t="str">
        <f>LEFT(AllDaqbookOffsets[[#This Row],[traceability_no]],2)</f>
        <v>J2</v>
      </c>
    </row>
    <row r="294" spans="1:6" x14ac:dyDescent="0.2">
      <c r="A294"/>
      <c r="B294"/>
      <c r="C294"/>
      <c r="D294"/>
      <c r="E294"/>
      <c r="F294" s="662" t="str">
        <f>LEFT(AllDaqbookOffsets[[#This Row],[traceability_no]],2)</f>
        <v>J2</v>
      </c>
    </row>
    <row r="295" spans="1:6" x14ac:dyDescent="0.2">
      <c r="A295"/>
      <c r="B295"/>
      <c r="C295"/>
      <c r="D295"/>
      <c r="E295"/>
      <c r="F295" s="662" t="str">
        <f>LEFT(AllDaqbookOffsets[[#This Row],[traceability_no]],2)</f>
        <v>J2</v>
      </c>
    </row>
    <row r="296" spans="1:6" x14ac:dyDescent="0.2">
      <c r="A296"/>
      <c r="B296"/>
      <c r="C296"/>
      <c r="D296"/>
      <c r="E296"/>
      <c r="F296" s="662" t="str">
        <f>LEFT(AllDaqbookOffsets[[#This Row],[traceability_no]],2)</f>
        <v>J2</v>
      </c>
    </row>
    <row r="297" spans="1:6" x14ac:dyDescent="0.2">
      <c r="A297"/>
      <c r="B297"/>
      <c r="C297"/>
      <c r="D297"/>
      <c r="E297"/>
      <c r="F297" s="662" t="str">
        <f>LEFT(AllDaqbookOffsets[[#This Row],[traceability_no]],2)</f>
        <v>J2</v>
      </c>
    </row>
    <row r="298" spans="1:6" x14ac:dyDescent="0.2">
      <c r="A298"/>
      <c r="B298"/>
      <c r="C298"/>
      <c r="D298"/>
      <c r="E298"/>
      <c r="F298" s="662" t="str">
        <f>LEFT(AllDaqbookOffsets[[#This Row],[traceability_no]],2)</f>
        <v>J2</v>
      </c>
    </row>
    <row r="299" spans="1:6" x14ac:dyDescent="0.2">
      <c r="A299"/>
      <c r="B299"/>
      <c r="C299"/>
      <c r="D299"/>
      <c r="E299"/>
      <c r="F299" s="662" t="str">
        <f>LEFT(AllDaqbookOffsets[[#This Row],[traceability_no]],2)</f>
        <v>J2</v>
      </c>
    </row>
    <row r="300" spans="1:6" x14ac:dyDescent="0.2">
      <c r="A300"/>
      <c r="B300"/>
      <c r="C300"/>
      <c r="D300"/>
      <c r="E300"/>
      <c r="F300" s="662" t="str">
        <f>LEFT(AllDaqbookOffsets[[#This Row],[traceability_no]],2)</f>
        <v>J2</v>
      </c>
    </row>
    <row r="301" spans="1:6" x14ac:dyDescent="0.2">
      <c r="A301"/>
      <c r="B301"/>
      <c r="C301"/>
      <c r="D301"/>
      <c r="E301"/>
      <c r="F301" s="662" t="str">
        <f>LEFT(AllDaqbookOffsets[[#This Row],[traceability_no]],2)</f>
        <v>J2</v>
      </c>
    </row>
    <row r="302" spans="1:6" x14ac:dyDescent="0.2">
      <c r="A302"/>
      <c r="B302"/>
      <c r="C302"/>
      <c r="D302"/>
      <c r="E302"/>
      <c r="F302" s="662" t="str">
        <f>LEFT(AllDaqbookOffsets[[#This Row],[traceability_no]],2)</f>
        <v>J2</v>
      </c>
    </row>
    <row r="303" spans="1:6" x14ac:dyDescent="0.2">
      <c r="A303"/>
      <c r="B303"/>
      <c r="C303"/>
      <c r="D303"/>
      <c r="E303"/>
      <c r="F303" s="662" t="str">
        <f>LEFT(AllDaqbookOffsets[[#This Row],[traceability_no]],2)</f>
        <v>J2</v>
      </c>
    </row>
    <row r="304" spans="1:6" x14ac:dyDescent="0.2">
      <c r="A304"/>
      <c r="B304"/>
      <c r="C304"/>
      <c r="D304"/>
      <c r="E304"/>
      <c r="F304" s="662" t="str">
        <f>LEFT(AllDaqbookOffsets[[#This Row],[traceability_no]],2)</f>
        <v>J2</v>
      </c>
    </row>
    <row r="305" spans="1:6" x14ac:dyDescent="0.2">
      <c r="A305"/>
      <c r="B305"/>
      <c r="C305"/>
      <c r="D305"/>
      <c r="E305"/>
      <c r="F305" s="662" t="str">
        <f>LEFT(AllDaqbookOffsets[[#This Row],[traceability_no]],2)</f>
        <v>J2</v>
      </c>
    </row>
    <row r="306" spans="1:6" x14ac:dyDescent="0.2">
      <c r="A306"/>
      <c r="B306"/>
      <c r="C306"/>
      <c r="D306"/>
      <c r="E306"/>
      <c r="F306" s="662" t="str">
        <f>LEFT(AllDaqbookOffsets[[#This Row],[traceability_no]],2)</f>
        <v>J2</v>
      </c>
    </row>
    <row r="307" spans="1:6" x14ac:dyDescent="0.2">
      <c r="A307"/>
      <c r="B307"/>
      <c r="C307"/>
      <c r="D307"/>
      <c r="E307"/>
      <c r="F307" s="662" t="str">
        <f>LEFT(AllDaqbookOffsets[[#This Row],[traceability_no]],2)</f>
        <v>J2</v>
      </c>
    </row>
    <row r="308" spans="1:6" x14ac:dyDescent="0.2">
      <c r="A308"/>
      <c r="B308"/>
      <c r="C308"/>
      <c r="D308"/>
      <c r="E308"/>
      <c r="F308" s="662" t="str">
        <f>LEFT(AllDaqbookOffsets[[#This Row],[traceability_no]],2)</f>
        <v>J2</v>
      </c>
    </row>
    <row r="309" spans="1:6" x14ac:dyDescent="0.2">
      <c r="A309"/>
      <c r="B309"/>
      <c r="C309"/>
      <c r="D309"/>
      <c r="E309"/>
      <c r="F309" s="662" t="str">
        <f>LEFT(AllDaqbookOffsets[[#This Row],[traceability_no]],2)</f>
        <v>J2</v>
      </c>
    </row>
    <row r="310" spans="1:6" x14ac:dyDescent="0.2">
      <c r="A310"/>
      <c r="B310"/>
      <c r="C310"/>
      <c r="D310"/>
      <c r="E310"/>
      <c r="F310" s="662" t="str">
        <f>LEFT(AllDaqbookOffsets[[#This Row],[traceability_no]],2)</f>
        <v>J2</v>
      </c>
    </row>
    <row r="311" spans="1:6" x14ac:dyDescent="0.2">
      <c r="A311"/>
      <c r="B311"/>
      <c r="C311"/>
      <c r="D311"/>
      <c r="E311"/>
      <c r="F311" s="662" t="str">
        <f>LEFT(AllDaqbookOffsets[[#This Row],[traceability_no]],2)</f>
        <v>J2</v>
      </c>
    </row>
    <row r="312" spans="1:6" x14ac:dyDescent="0.2">
      <c r="A312"/>
      <c r="B312"/>
      <c r="C312"/>
      <c r="D312"/>
      <c r="E312"/>
      <c r="F312" s="662" t="str">
        <f>LEFT(AllDaqbookOffsets[[#This Row],[traceability_no]],2)</f>
        <v>J2</v>
      </c>
    </row>
    <row r="313" spans="1:6" x14ac:dyDescent="0.2">
      <c r="A313"/>
      <c r="B313"/>
      <c r="C313"/>
      <c r="D313"/>
      <c r="E313"/>
      <c r="F313" s="662" t="str">
        <f>LEFT(AllDaqbookOffsets[[#This Row],[traceability_no]],2)</f>
        <v>J2</v>
      </c>
    </row>
    <row r="314" spans="1:6" x14ac:dyDescent="0.2">
      <c r="A314"/>
      <c r="B314"/>
      <c r="C314"/>
      <c r="D314"/>
      <c r="E314"/>
      <c r="F314" s="662" t="str">
        <f>LEFT(AllDaqbookOffsets[[#This Row],[traceability_no]],2)</f>
        <v>J2</v>
      </c>
    </row>
    <row r="315" spans="1:6" x14ac:dyDescent="0.2">
      <c r="A315"/>
      <c r="B315"/>
      <c r="C315"/>
      <c r="D315"/>
      <c r="E315"/>
      <c r="F315" s="662" t="str">
        <f>LEFT(AllDaqbookOffsets[[#This Row],[traceability_no]],2)</f>
        <v>J2</v>
      </c>
    </row>
    <row r="316" spans="1:6" x14ac:dyDescent="0.2">
      <c r="A316"/>
      <c r="B316"/>
      <c r="C316"/>
      <c r="D316"/>
      <c r="E316"/>
      <c r="F316" s="662" t="str">
        <f>LEFT(AllDaqbookOffsets[[#This Row],[traceability_no]],2)</f>
        <v>J2</v>
      </c>
    </row>
    <row r="317" spans="1:6" x14ac:dyDescent="0.2">
      <c r="A317"/>
      <c r="B317"/>
      <c r="C317"/>
      <c r="D317"/>
      <c r="E317"/>
      <c r="F317" s="662" t="str">
        <f>LEFT(AllDaqbookOffsets[[#This Row],[traceability_no]],2)</f>
        <v>J2</v>
      </c>
    </row>
    <row r="318" spans="1:6" x14ac:dyDescent="0.2">
      <c r="A318"/>
      <c r="B318"/>
      <c r="C318"/>
      <c r="D318"/>
      <c r="E318"/>
      <c r="F318" s="662" t="str">
        <f>LEFT(AllDaqbookOffsets[[#This Row],[traceability_no]],2)</f>
        <v>J2</v>
      </c>
    </row>
    <row r="319" spans="1:6" x14ac:dyDescent="0.2">
      <c r="A319"/>
      <c r="B319"/>
      <c r="C319"/>
      <c r="D319"/>
      <c r="E319"/>
      <c r="F319" s="662" t="str">
        <f>LEFT(AllDaqbookOffsets[[#This Row],[traceability_no]],2)</f>
        <v>J2</v>
      </c>
    </row>
    <row r="320" spans="1:6" x14ac:dyDescent="0.2">
      <c r="A320"/>
      <c r="B320"/>
      <c r="C320"/>
      <c r="D320"/>
      <c r="E320"/>
      <c r="F320" s="662" t="str">
        <f>LEFT(AllDaqbookOffsets[[#This Row],[traceability_no]],2)</f>
        <v>J2</v>
      </c>
    </row>
    <row r="321" spans="1:6" x14ac:dyDescent="0.2">
      <c r="A321"/>
      <c r="B321"/>
      <c r="C321"/>
      <c r="D321"/>
      <c r="E321"/>
      <c r="F321" s="662" t="str">
        <f>LEFT(AllDaqbookOffsets[[#This Row],[traceability_no]],2)</f>
        <v>J2</v>
      </c>
    </row>
    <row r="322" spans="1:6" x14ac:dyDescent="0.2">
      <c r="A322"/>
      <c r="B322"/>
      <c r="C322"/>
      <c r="D322"/>
      <c r="E322"/>
      <c r="F322" s="662" t="str">
        <f>LEFT(AllDaqbookOffsets[[#This Row],[traceability_no]],2)</f>
        <v>J2</v>
      </c>
    </row>
    <row r="323" spans="1:6" x14ac:dyDescent="0.2">
      <c r="A323"/>
      <c r="B323"/>
      <c r="C323"/>
      <c r="D323"/>
      <c r="E323"/>
      <c r="F323" s="662" t="str">
        <f>LEFT(AllDaqbookOffsets[[#This Row],[traceability_no]],2)</f>
        <v>J2</v>
      </c>
    </row>
    <row r="324" spans="1:6" x14ac:dyDescent="0.2">
      <c r="A324"/>
      <c r="B324"/>
      <c r="C324"/>
      <c r="D324"/>
      <c r="E324"/>
      <c r="F324" s="662" t="str">
        <f>LEFT(AllDaqbookOffsets[[#This Row],[traceability_no]],2)</f>
        <v>J2</v>
      </c>
    </row>
    <row r="325" spans="1:6" x14ac:dyDescent="0.2">
      <c r="A325"/>
      <c r="B325"/>
      <c r="C325"/>
      <c r="D325"/>
      <c r="E325"/>
      <c r="F325" s="662" t="str">
        <f>LEFT(AllDaqbookOffsets[[#This Row],[traceability_no]],2)</f>
        <v>J2</v>
      </c>
    </row>
    <row r="326" spans="1:6" x14ac:dyDescent="0.2">
      <c r="A326"/>
      <c r="B326"/>
      <c r="C326"/>
      <c r="D326"/>
      <c r="E326"/>
      <c r="F326" s="662" t="str">
        <f>LEFT(AllDaqbookOffsets[[#This Row],[traceability_no]],2)</f>
        <v>J2</v>
      </c>
    </row>
    <row r="327" spans="1:6" x14ac:dyDescent="0.2">
      <c r="A327"/>
      <c r="B327"/>
      <c r="C327"/>
      <c r="D327"/>
      <c r="E327"/>
      <c r="F327" s="662" t="str">
        <f>LEFT(AllDaqbookOffsets[[#This Row],[traceability_no]],2)</f>
        <v>J2</v>
      </c>
    </row>
    <row r="328" spans="1:6" x14ac:dyDescent="0.2">
      <c r="A328"/>
      <c r="B328"/>
      <c r="C328"/>
      <c r="D328"/>
      <c r="E328"/>
      <c r="F328" s="662" t="str">
        <f>LEFT(AllDaqbookOffsets[[#This Row],[traceability_no]],2)</f>
        <v>J2</v>
      </c>
    </row>
    <row r="329" spans="1:6" x14ac:dyDescent="0.2">
      <c r="A329"/>
      <c r="B329"/>
      <c r="C329"/>
      <c r="D329"/>
      <c r="E329"/>
      <c r="F329" s="662" t="str">
        <f>LEFT(AllDaqbookOffsets[[#This Row],[traceability_no]],2)</f>
        <v>J2</v>
      </c>
    </row>
    <row r="330" spans="1:6" x14ac:dyDescent="0.2">
      <c r="A330"/>
      <c r="B330"/>
      <c r="C330"/>
      <c r="D330"/>
      <c r="E330"/>
      <c r="F330" s="662" t="str">
        <f>LEFT(AllDaqbookOffsets[[#This Row],[traceability_no]],2)</f>
        <v>J2</v>
      </c>
    </row>
    <row r="331" spans="1:6" x14ac:dyDescent="0.2">
      <c r="A331"/>
      <c r="B331"/>
      <c r="C331"/>
      <c r="D331"/>
      <c r="E331"/>
      <c r="F331" s="662" t="str">
        <f>LEFT(AllDaqbookOffsets[[#This Row],[traceability_no]],2)</f>
        <v>J2</v>
      </c>
    </row>
    <row r="332" spans="1:6" x14ac:dyDescent="0.2">
      <c r="A332"/>
      <c r="B332"/>
      <c r="C332"/>
      <c r="D332"/>
      <c r="E332"/>
      <c r="F332" s="662" t="str">
        <f>LEFT(AllDaqbookOffsets[[#This Row],[traceability_no]],2)</f>
        <v>J2</v>
      </c>
    </row>
    <row r="333" spans="1:6" x14ac:dyDescent="0.2">
      <c r="A333"/>
      <c r="B333"/>
      <c r="C333"/>
      <c r="D333"/>
      <c r="E333"/>
      <c r="F333" s="662" t="str">
        <f>LEFT(AllDaqbookOffsets[[#This Row],[traceability_no]],2)</f>
        <v>J2</v>
      </c>
    </row>
    <row r="334" spans="1:6" x14ac:dyDescent="0.2">
      <c r="A334"/>
      <c r="B334"/>
      <c r="C334"/>
      <c r="D334"/>
      <c r="E334"/>
      <c r="F334" s="662" t="str">
        <f>LEFT(AllDaqbookOffsets[[#This Row],[traceability_no]],2)</f>
        <v>J2</v>
      </c>
    </row>
    <row r="335" spans="1:6" x14ac:dyDescent="0.2">
      <c r="A335"/>
      <c r="B335"/>
      <c r="C335"/>
      <c r="D335"/>
      <c r="E335"/>
      <c r="F335" s="662" t="str">
        <f>LEFT(AllDaqbookOffsets[[#This Row],[traceability_no]],2)</f>
        <v>J2</v>
      </c>
    </row>
    <row r="336" spans="1:6" x14ac:dyDescent="0.2">
      <c r="A336"/>
      <c r="B336"/>
      <c r="C336"/>
      <c r="D336"/>
      <c r="E336"/>
      <c r="F336" s="662" t="str">
        <f>LEFT(AllDaqbookOffsets[[#This Row],[traceability_no]],2)</f>
        <v>J2</v>
      </c>
    </row>
    <row r="337" spans="1:6" x14ac:dyDescent="0.2">
      <c r="A337"/>
      <c r="B337"/>
      <c r="C337"/>
      <c r="D337"/>
      <c r="E337"/>
      <c r="F337" s="662" t="str">
        <f>LEFT(AllDaqbookOffsets[[#This Row],[traceability_no]],2)</f>
        <v>J2</v>
      </c>
    </row>
    <row r="338" spans="1:6" x14ac:dyDescent="0.2">
      <c r="A338"/>
      <c r="B338"/>
      <c r="C338"/>
      <c r="D338"/>
      <c r="E338"/>
      <c r="F338" s="662" t="str">
        <f>LEFT(AllDaqbookOffsets[[#This Row],[traceability_no]],2)</f>
        <v>J2</v>
      </c>
    </row>
    <row r="339" spans="1:6" x14ac:dyDescent="0.2">
      <c r="A339"/>
      <c r="B339"/>
      <c r="C339"/>
      <c r="D339"/>
      <c r="E339"/>
      <c r="F339" s="662" t="str">
        <f>LEFT(AllDaqbookOffsets[[#This Row],[traceability_no]],2)</f>
        <v>J2</v>
      </c>
    </row>
    <row r="340" spans="1:6" x14ac:dyDescent="0.2">
      <c r="A340"/>
      <c r="B340"/>
      <c r="C340"/>
      <c r="D340"/>
      <c r="E340"/>
      <c r="F340" s="662" t="str">
        <f>LEFT(AllDaqbookOffsets[[#This Row],[traceability_no]],2)</f>
        <v>J2</v>
      </c>
    </row>
    <row r="341" spans="1:6" x14ac:dyDescent="0.2">
      <c r="A341"/>
      <c r="B341"/>
      <c r="C341"/>
      <c r="D341"/>
      <c r="E341"/>
      <c r="F341" s="662" t="str">
        <f>LEFT(AllDaqbookOffsets[[#This Row],[traceability_no]],2)</f>
        <v>J2</v>
      </c>
    </row>
    <row r="342" spans="1:6" x14ac:dyDescent="0.2">
      <c r="A342"/>
      <c r="B342"/>
      <c r="C342"/>
      <c r="D342"/>
      <c r="E342"/>
      <c r="F342" s="662" t="str">
        <f>LEFT(AllDaqbookOffsets[[#This Row],[traceability_no]],2)</f>
        <v>J2</v>
      </c>
    </row>
    <row r="343" spans="1:6" x14ac:dyDescent="0.2">
      <c r="A343"/>
      <c r="B343"/>
      <c r="C343"/>
      <c r="D343"/>
      <c r="E343"/>
      <c r="F343" s="662" t="str">
        <f>LEFT(AllDaqbookOffsets[[#This Row],[traceability_no]],2)</f>
        <v>J2</v>
      </c>
    </row>
    <row r="344" spans="1:6" x14ac:dyDescent="0.2">
      <c r="A344"/>
      <c r="B344"/>
      <c r="C344"/>
      <c r="D344"/>
      <c r="E344"/>
      <c r="F344" s="662" t="str">
        <f>LEFT(AllDaqbookOffsets[[#This Row],[traceability_no]],2)</f>
        <v>J2</v>
      </c>
    </row>
    <row r="345" spans="1:6" x14ac:dyDescent="0.2">
      <c r="A345"/>
      <c r="B345"/>
      <c r="C345"/>
      <c r="D345"/>
      <c r="E345"/>
      <c r="F345" s="662" t="str">
        <f>LEFT(AllDaqbookOffsets[[#This Row],[traceability_no]],2)</f>
        <v>J2</v>
      </c>
    </row>
    <row r="346" spans="1:6" x14ac:dyDescent="0.2">
      <c r="A346"/>
      <c r="B346"/>
      <c r="C346"/>
      <c r="D346"/>
      <c r="E346"/>
      <c r="F346" s="662" t="str">
        <f>LEFT(AllDaqbookOffsets[[#This Row],[traceability_no]],2)</f>
        <v>J2</v>
      </c>
    </row>
    <row r="347" spans="1:6" x14ac:dyDescent="0.2">
      <c r="A347"/>
      <c r="B347"/>
      <c r="C347"/>
      <c r="D347"/>
      <c r="E347"/>
      <c r="F347" s="662" t="str">
        <f>LEFT(AllDaqbookOffsets[[#This Row],[traceability_no]],2)</f>
        <v>J2</v>
      </c>
    </row>
    <row r="348" spans="1:6" x14ac:dyDescent="0.2">
      <c r="A348"/>
      <c r="B348"/>
      <c r="C348"/>
      <c r="D348"/>
      <c r="E348"/>
      <c r="F348" s="662" t="str">
        <f>LEFT(AllDaqbookOffsets[[#This Row],[traceability_no]],2)</f>
        <v>J2</v>
      </c>
    </row>
    <row r="349" spans="1:6" x14ac:dyDescent="0.2">
      <c r="A349"/>
      <c r="B349"/>
      <c r="C349"/>
      <c r="D349"/>
      <c r="E349"/>
      <c r="F349" s="662" t="str">
        <f>LEFT(AllDaqbookOffsets[[#This Row],[traceability_no]],2)</f>
        <v>J2</v>
      </c>
    </row>
    <row r="350" spans="1:6" x14ac:dyDescent="0.2">
      <c r="A350"/>
      <c r="B350"/>
      <c r="C350"/>
      <c r="D350"/>
      <c r="E350"/>
      <c r="F350" s="662" t="str">
        <f>LEFT(AllDaqbookOffsets[[#This Row],[traceability_no]],2)</f>
        <v>J2</v>
      </c>
    </row>
    <row r="351" spans="1:6" x14ac:dyDescent="0.2">
      <c r="A351"/>
      <c r="B351"/>
      <c r="C351"/>
      <c r="D351"/>
      <c r="E351"/>
      <c r="F351" s="662" t="str">
        <f>LEFT(AllDaqbookOffsets[[#This Row],[traceability_no]],2)</f>
        <v>J2</v>
      </c>
    </row>
    <row r="352" spans="1:6" x14ac:dyDescent="0.2">
      <c r="A352"/>
      <c r="B352"/>
      <c r="C352"/>
      <c r="D352"/>
      <c r="E352"/>
      <c r="F352" s="662" t="str">
        <f>LEFT(AllDaqbookOffsets[[#This Row],[traceability_no]],2)</f>
        <v>J2</v>
      </c>
    </row>
    <row r="353" spans="1:6" x14ac:dyDescent="0.2">
      <c r="A353"/>
      <c r="B353"/>
      <c r="C353"/>
      <c r="D353"/>
      <c r="E353"/>
      <c r="F353" s="662" t="str">
        <f>LEFT(AllDaqbookOffsets[[#This Row],[traceability_no]],2)</f>
        <v>J2</v>
      </c>
    </row>
    <row r="354" spans="1:6" x14ac:dyDescent="0.2">
      <c r="A354"/>
      <c r="B354"/>
      <c r="C354"/>
      <c r="D354"/>
      <c r="E354"/>
      <c r="F354" s="662" t="str">
        <f>LEFT(AllDaqbookOffsets[[#This Row],[traceability_no]],2)</f>
        <v>J2</v>
      </c>
    </row>
    <row r="355" spans="1:6" x14ac:dyDescent="0.2">
      <c r="A355"/>
      <c r="B355"/>
      <c r="C355"/>
      <c r="D355"/>
      <c r="E355"/>
      <c r="F355" s="662" t="str">
        <f>LEFT(AllDaqbookOffsets[[#This Row],[traceability_no]],2)</f>
        <v>J2</v>
      </c>
    </row>
    <row r="356" spans="1:6" x14ac:dyDescent="0.2">
      <c r="A356"/>
      <c r="B356"/>
      <c r="C356"/>
      <c r="D356"/>
      <c r="E356"/>
      <c r="F356" s="662" t="str">
        <f>LEFT(AllDaqbookOffsets[[#This Row],[traceability_no]],2)</f>
        <v>J2</v>
      </c>
    </row>
    <row r="357" spans="1:6" x14ac:dyDescent="0.2">
      <c r="A357"/>
      <c r="B357"/>
      <c r="C357"/>
      <c r="D357"/>
      <c r="E357"/>
      <c r="F357" s="662" t="str">
        <f>LEFT(AllDaqbookOffsets[[#This Row],[traceability_no]],2)</f>
        <v>J2</v>
      </c>
    </row>
    <row r="358" spans="1:6" x14ac:dyDescent="0.2">
      <c r="A358"/>
      <c r="B358"/>
      <c r="C358"/>
      <c r="D358"/>
      <c r="E358"/>
      <c r="F358" s="662" t="str">
        <f>LEFT(AllDaqbookOffsets[[#This Row],[traceability_no]],2)</f>
        <v>J2</v>
      </c>
    </row>
    <row r="359" spans="1:6" x14ac:dyDescent="0.2">
      <c r="A359"/>
      <c r="B359"/>
      <c r="C359"/>
      <c r="D359"/>
      <c r="E359"/>
      <c r="F359" s="662" t="str">
        <f>LEFT(AllDaqbookOffsets[[#This Row],[traceability_no]],2)</f>
        <v>J2</v>
      </c>
    </row>
    <row r="360" spans="1:6" x14ac:dyDescent="0.2">
      <c r="A360"/>
      <c r="B360"/>
      <c r="C360"/>
      <c r="D360"/>
      <c r="E360"/>
      <c r="F360" s="662" t="str">
        <f>LEFT(AllDaqbookOffsets[[#This Row],[traceability_no]],2)</f>
        <v>J2</v>
      </c>
    </row>
    <row r="361" spans="1:6" x14ac:dyDescent="0.2">
      <c r="A361"/>
      <c r="B361"/>
      <c r="C361"/>
      <c r="D361"/>
      <c r="E361"/>
      <c r="F361" s="662" t="str">
        <f>LEFT(AllDaqbookOffsets[[#This Row],[traceability_no]],2)</f>
        <v>J2</v>
      </c>
    </row>
    <row r="362" spans="1:6" x14ac:dyDescent="0.2">
      <c r="A362"/>
      <c r="B362"/>
      <c r="C362"/>
      <c r="D362"/>
      <c r="E362"/>
      <c r="F362" s="662" t="str">
        <f>LEFT(AllDaqbookOffsets[[#This Row],[traceability_no]],2)</f>
        <v>J2</v>
      </c>
    </row>
    <row r="363" spans="1:6" x14ac:dyDescent="0.2">
      <c r="A363"/>
      <c r="B363"/>
      <c r="C363"/>
      <c r="D363"/>
      <c r="E363"/>
      <c r="F363" s="662" t="str">
        <f>LEFT(AllDaqbookOffsets[[#This Row],[traceability_no]],2)</f>
        <v>J2</v>
      </c>
    </row>
    <row r="364" spans="1:6" x14ac:dyDescent="0.2">
      <c r="A364"/>
      <c r="B364"/>
      <c r="C364"/>
      <c r="D364"/>
      <c r="E364"/>
      <c r="F364" s="662" t="str">
        <f>LEFT(AllDaqbookOffsets[[#This Row],[traceability_no]],2)</f>
        <v>J2</v>
      </c>
    </row>
    <row r="365" spans="1:6" x14ac:dyDescent="0.2">
      <c r="A365"/>
      <c r="B365"/>
      <c r="C365"/>
      <c r="D365"/>
      <c r="E365"/>
      <c r="F365" s="662" t="str">
        <f>LEFT(AllDaqbookOffsets[[#This Row],[traceability_no]],2)</f>
        <v>J2</v>
      </c>
    </row>
    <row r="366" spans="1:6" x14ac:dyDescent="0.2">
      <c r="A366"/>
      <c r="B366"/>
      <c r="C366"/>
      <c r="D366"/>
      <c r="E366"/>
      <c r="F366" s="662" t="str">
        <f>LEFT(AllDaqbookOffsets[[#This Row],[traceability_no]],2)</f>
        <v>J2</v>
      </c>
    </row>
    <row r="367" spans="1:6" x14ac:dyDescent="0.2">
      <c r="A367"/>
      <c r="B367"/>
      <c r="C367"/>
      <c r="D367"/>
      <c r="E367"/>
      <c r="F367" s="662" t="str">
        <f>LEFT(AllDaqbookOffsets[[#This Row],[traceability_no]],2)</f>
        <v>J2</v>
      </c>
    </row>
    <row r="368" spans="1:6" x14ac:dyDescent="0.2">
      <c r="A368"/>
      <c r="B368"/>
      <c r="C368"/>
      <c r="D368"/>
      <c r="E368"/>
      <c r="F368" s="662" t="str">
        <f>LEFT(AllDaqbookOffsets[[#This Row],[traceability_no]],2)</f>
        <v>J2</v>
      </c>
    </row>
    <row r="369" spans="1:6" x14ac:dyDescent="0.2">
      <c r="A369"/>
      <c r="B369"/>
      <c r="C369"/>
      <c r="D369"/>
      <c r="E369"/>
      <c r="F369" s="662" t="str">
        <f>LEFT(AllDaqbookOffsets[[#This Row],[traceability_no]],2)</f>
        <v>J2</v>
      </c>
    </row>
    <row r="370" spans="1:6" x14ac:dyDescent="0.2">
      <c r="A370"/>
      <c r="B370"/>
      <c r="C370"/>
      <c r="D370"/>
      <c r="E370"/>
      <c r="F370" s="662" t="str">
        <f>LEFT(AllDaqbookOffsets[[#This Row],[traceability_no]],2)</f>
        <v>J2</v>
      </c>
    </row>
    <row r="371" spans="1:6" x14ac:dyDescent="0.2">
      <c r="A371"/>
      <c r="B371"/>
      <c r="C371"/>
      <c r="D371"/>
      <c r="E371"/>
      <c r="F371" s="662" t="str">
        <f>LEFT(AllDaqbookOffsets[[#This Row],[traceability_no]],2)</f>
        <v>J2</v>
      </c>
    </row>
    <row r="372" spans="1:6" x14ac:dyDescent="0.2">
      <c r="A372"/>
      <c r="B372"/>
      <c r="C372"/>
      <c r="D372"/>
      <c r="E372"/>
      <c r="F372" s="662" t="str">
        <f>LEFT(AllDaqbookOffsets[[#This Row],[traceability_no]],2)</f>
        <v>J2</v>
      </c>
    </row>
    <row r="373" spans="1:6" x14ac:dyDescent="0.2">
      <c r="A373"/>
      <c r="B373"/>
      <c r="C373"/>
      <c r="D373"/>
      <c r="E373"/>
      <c r="F373" s="662" t="str">
        <f>LEFT(AllDaqbookOffsets[[#This Row],[traceability_no]],2)</f>
        <v>J2</v>
      </c>
    </row>
    <row r="374" spans="1:6" x14ac:dyDescent="0.2">
      <c r="A374"/>
      <c r="B374"/>
      <c r="C374"/>
      <c r="D374"/>
      <c r="E374"/>
      <c r="F374" s="662" t="str">
        <f>LEFT(AllDaqbookOffsets[[#This Row],[traceability_no]],2)</f>
        <v>J2</v>
      </c>
    </row>
    <row r="375" spans="1:6" x14ac:dyDescent="0.2">
      <c r="A375"/>
      <c r="B375"/>
      <c r="C375"/>
      <c r="D375"/>
      <c r="E375"/>
      <c r="F375" s="662" t="str">
        <f>LEFT(AllDaqbookOffsets[[#This Row],[traceability_no]],2)</f>
        <v>J2</v>
      </c>
    </row>
    <row r="376" spans="1:6" x14ac:dyDescent="0.2">
      <c r="A376"/>
      <c r="B376"/>
      <c r="C376"/>
      <c r="D376"/>
      <c r="E376"/>
      <c r="F376" s="662" t="str">
        <f>LEFT(AllDaqbookOffsets[[#This Row],[traceability_no]],2)</f>
        <v>J2</v>
      </c>
    </row>
    <row r="377" spans="1:6" x14ac:dyDescent="0.2">
      <c r="A377"/>
      <c r="B377"/>
      <c r="C377"/>
      <c r="D377"/>
      <c r="E377"/>
      <c r="F377" s="662" t="str">
        <f>LEFT(AllDaqbookOffsets[[#This Row],[traceability_no]],2)</f>
        <v>J2</v>
      </c>
    </row>
    <row r="378" spans="1:6" x14ac:dyDescent="0.2">
      <c r="A378"/>
      <c r="B378"/>
      <c r="C378"/>
      <c r="D378"/>
      <c r="E378"/>
      <c r="F378" s="662" t="str">
        <f>LEFT(AllDaqbookOffsets[[#This Row],[traceability_no]],2)</f>
        <v>J2</v>
      </c>
    </row>
    <row r="379" spans="1:6" x14ac:dyDescent="0.2">
      <c r="A379"/>
      <c r="B379"/>
      <c r="C379"/>
      <c r="D379"/>
      <c r="E379"/>
      <c r="F379" s="662" t="str">
        <f>LEFT(AllDaqbookOffsets[[#This Row],[traceability_no]],2)</f>
        <v>J2</v>
      </c>
    </row>
    <row r="380" spans="1:6" x14ac:dyDescent="0.2">
      <c r="A380"/>
      <c r="B380"/>
      <c r="C380"/>
      <c r="D380"/>
      <c r="E380"/>
      <c r="F380" s="662" t="str">
        <f>LEFT(AllDaqbookOffsets[[#This Row],[traceability_no]],2)</f>
        <v>J2</v>
      </c>
    </row>
    <row r="381" spans="1:6" x14ac:dyDescent="0.2">
      <c r="A381"/>
      <c r="B381"/>
      <c r="C381"/>
      <c r="D381"/>
      <c r="E381"/>
      <c r="F381" s="662" t="str">
        <f>LEFT(AllDaqbookOffsets[[#This Row],[traceability_no]],2)</f>
        <v>J2</v>
      </c>
    </row>
    <row r="382" spans="1:6" x14ac:dyDescent="0.2">
      <c r="A382"/>
      <c r="B382"/>
      <c r="C382"/>
      <c r="D382"/>
      <c r="E382"/>
      <c r="F382" s="662" t="str">
        <f>LEFT(AllDaqbookOffsets[[#This Row],[traceability_no]],2)</f>
        <v>J2</v>
      </c>
    </row>
    <row r="383" spans="1:6" x14ac:dyDescent="0.2">
      <c r="A383"/>
      <c r="B383"/>
      <c r="C383"/>
      <c r="D383"/>
      <c r="E383"/>
      <c r="F383" s="662" t="str">
        <f>LEFT(AllDaqbookOffsets[[#This Row],[traceability_no]],2)</f>
        <v>J2</v>
      </c>
    </row>
    <row r="384" spans="1:6" x14ac:dyDescent="0.2">
      <c r="A384"/>
      <c r="B384"/>
      <c r="C384"/>
      <c r="D384"/>
      <c r="E384"/>
      <c r="F384" s="662" t="str">
        <f>LEFT(AllDaqbookOffsets[[#This Row],[traceability_no]],2)</f>
        <v>J2</v>
      </c>
    </row>
    <row r="385" spans="1:6" x14ac:dyDescent="0.2">
      <c r="A385"/>
      <c r="B385"/>
      <c r="C385"/>
      <c r="D385"/>
      <c r="E385"/>
      <c r="F385" s="662" t="str">
        <f>LEFT(AllDaqbookOffsets[[#This Row],[traceability_no]],2)</f>
        <v>J2</v>
      </c>
    </row>
    <row r="386" spans="1:6" x14ac:dyDescent="0.2">
      <c r="A386"/>
      <c r="B386"/>
      <c r="C386"/>
      <c r="D386"/>
      <c r="E386"/>
      <c r="F386" s="662" t="str">
        <f>LEFT(AllDaqbookOffsets[[#This Row],[traceability_no]],2)</f>
        <v>J2</v>
      </c>
    </row>
    <row r="387" spans="1:6" x14ac:dyDescent="0.2">
      <c r="A387"/>
      <c r="B387"/>
      <c r="C387"/>
      <c r="D387"/>
      <c r="E387"/>
      <c r="F387" s="662" t="str">
        <f>LEFT(AllDaqbookOffsets[[#This Row],[traceability_no]],2)</f>
        <v>J2</v>
      </c>
    </row>
    <row r="388" spans="1:6" x14ac:dyDescent="0.2">
      <c r="A388"/>
      <c r="B388"/>
      <c r="C388"/>
      <c r="D388"/>
      <c r="E388"/>
      <c r="F388" s="662" t="str">
        <f>LEFT(AllDaqbookOffsets[[#This Row],[traceability_no]],2)</f>
        <v>J2</v>
      </c>
    </row>
    <row r="389" spans="1:6" x14ac:dyDescent="0.2">
      <c r="A389"/>
      <c r="B389"/>
      <c r="C389"/>
      <c r="D389"/>
      <c r="E389"/>
      <c r="F389" s="662" t="str">
        <f>LEFT(AllDaqbookOffsets[[#This Row],[traceability_no]],2)</f>
        <v>J2</v>
      </c>
    </row>
    <row r="390" spans="1:6" x14ac:dyDescent="0.2">
      <c r="A390"/>
      <c r="B390"/>
      <c r="C390"/>
      <c r="D390"/>
      <c r="E390"/>
      <c r="F390" s="662" t="str">
        <f>LEFT(AllDaqbookOffsets[[#This Row],[traceability_no]],2)</f>
        <v>J2</v>
      </c>
    </row>
    <row r="391" spans="1:6" x14ac:dyDescent="0.2">
      <c r="A391"/>
      <c r="B391"/>
      <c r="C391"/>
      <c r="D391"/>
      <c r="E391"/>
      <c r="F391" s="662" t="str">
        <f>LEFT(AllDaqbookOffsets[[#This Row],[traceability_no]],2)</f>
        <v>J2</v>
      </c>
    </row>
    <row r="392" spans="1:6" x14ac:dyDescent="0.2">
      <c r="A392"/>
      <c r="B392"/>
      <c r="C392"/>
      <c r="D392"/>
      <c r="E392"/>
      <c r="F392" s="662" t="str">
        <f>LEFT(AllDaqbookOffsets[[#This Row],[traceability_no]],2)</f>
        <v>J2</v>
      </c>
    </row>
    <row r="393" spans="1:6" x14ac:dyDescent="0.2">
      <c r="A393"/>
      <c r="B393"/>
      <c r="C393"/>
      <c r="D393"/>
      <c r="E393"/>
      <c r="F393" s="662" t="str">
        <f>LEFT(AllDaqbookOffsets[[#This Row],[traceability_no]],2)</f>
        <v>J2</v>
      </c>
    </row>
    <row r="394" spans="1:6" x14ac:dyDescent="0.2">
      <c r="A394"/>
      <c r="B394"/>
      <c r="C394"/>
      <c r="D394"/>
      <c r="E394"/>
      <c r="F394" s="662" t="str">
        <f>LEFT(AllDaqbookOffsets[[#This Row],[traceability_no]],2)</f>
        <v>J2</v>
      </c>
    </row>
    <row r="395" spans="1:6" x14ac:dyDescent="0.2">
      <c r="A395"/>
      <c r="B395"/>
      <c r="C395"/>
      <c r="D395"/>
      <c r="E395"/>
      <c r="F395" s="662" t="str">
        <f>LEFT(AllDaqbookOffsets[[#This Row],[traceability_no]],2)</f>
        <v>J2</v>
      </c>
    </row>
    <row r="396" spans="1:6" x14ac:dyDescent="0.2">
      <c r="A396"/>
      <c r="B396"/>
      <c r="C396"/>
      <c r="D396"/>
      <c r="E396"/>
      <c r="F396" s="662" t="str">
        <f>LEFT(AllDaqbookOffsets[[#This Row],[traceability_no]],2)</f>
        <v>J2</v>
      </c>
    </row>
    <row r="397" spans="1:6" x14ac:dyDescent="0.2">
      <c r="A397"/>
      <c r="B397"/>
      <c r="C397"/>
      <c r="D397"/>
      <c r="E397"/>
      <c r="F397" s="662" t="str">
        <f>LEFT(AllDaqbookOffsets[[#This Row],[traceability_no]],2)</f>
        <v>J2</v>
      </c>
    </row>
    <row r="398" spans="1:6" x14ac:dyDescent="0.2">
      <c r="A398"/>
      <c r="B398"/>
      <c r="C398"/>
      <c r="D398"/>
      <c r="E398"/>
      <c r="F398" s="662" t="str">
        <f>LEFT(AllDaqbookOffsets[[#This Row],[traceability_no]],2)</f>
        <v>J2</v>
      </c>
    </row>
    <row r="399" spans="1:6" x14ac:dyDescent="0.2">
      <c r="A399"/>
      <c r="B399"/>
      <c r="C399"/>
      <c r="D399"/>
      <c r="E399"/>
      <c r="F399" s="662" t="str">
        <f>LEFT(AllDaqbookOffsets[[#This Row],[traceability_no]],2)</f>
        <v>J2</v>
      </c>
    </row>
    <row r="400" spans="1:6" x14ac:dyDescent="0.2">
      <c r="A400"/>
      <c r="B400"/>
      <c r="C400"/>
      <c r="D400"/>
      <c r="E400"/>
      <c r="F400" s="662" t="str">
        <f>LEFT(AllDaqbookOffsets[[#This Row],[traceability_no]],2)</f>
        <v>J2</v>
      </c>
    </row>
    <row r="401" spans="1:6" x14ac:dyDescent="0.2">
      <c r="A401"/>
      <c r="B401"/>
      <c r="C401"/>
      <c r="D401"/>
      <c r="E401"/>
      <c r="F401" s="662" t="str">
        <f>LEFT(AllDaqbookOffsets[[#This Row],[traceability_no]],2)</f>
        <v>J2</v>
      </c>
    </row>
    <row r="402" spans="1:6" x14ac:dyDescent="0.2">
      <c r="A402"/>
      <c r="B402"/>
      <c r="C402"/>
      <c r="D402"/>
      <c r="E402"/>
      <c r="F402" s="662" t="str">
        <f>LEFT(AllDaqbookOffsets[[#This Row],[traceability_no]],2)</f>
        <v>J2</v>
      </c>
    </row>
    <row r="403" spans="1:6" x14ac:dyDescent="0.2">
      <c r="A403"/>
      <c r="B403"/>
      <c r="C403"/>
      <c r="D403"/>
      <c r="E403"/>
      <c r="F403" s="662" t="str">
        <f>LEFT(AllDaqbookOffsets[[#This Row],[traceability_no]],2)</f>
        <v>J2</v>
      </c>
    </row>
    <row r="404" spans="1:6" x14ac:dyDescent="0.2">
      <c r="A404"/>
      <c r="B404"/>
      <c r="C404"/>
      <c r="D404"/>
      <c r="E404"/>
      <c r="F404" s="662" t="str">
        <f>LEFT(AllDaqbookOffsets[[#This Row],[traceability_no]],2)</f>
        <v>J2</v>
      </c>
    </row>
    <row r="405" spans="1:6" x14ac:dyDescent="0.2">
      <c r="A405"/>
      <c r="B405"/>
      <c r="C405"/>
      <c r="D405"/>
      <c r="E405"/>
      <c r="F405" s="662" t="str">
        <f>LEFT(AllDaqbookOffsets[[#This Row],[traceability_no]],2)</f>
        <v>J2</v>
      </c>
    </row>
    <row r="406" spans="1:6" x14ac:dyDescent="0.2">
      <c r="A406"/>
      <c r="B406"/>
      <c r="C406"/>
      <c r="D406"/>
      <c r="E406"/>
      <c r="F406" s="662" t="str">
        <f>LEFT(AllDaqbookOffsets[[#This Row],[traceability_no]],2)</f>
        <v>J2</v>
      </c>
    </row>
    <row r="407" spans="1:6" x14ac:dyDescent="0.2">
      <c r="A407"/>
      <c r="B407"/>
      <c r="C407"/>
      <c r="D407"/>
      <c r="E407"/>
      <c r="F407" s="662" t="str">
        <f>LEFT(AllDaqbookOffsets[[#This Row],[traceability_no]],2)</f>
        <v>J2</v>
      </c>
    </row>
    <row r="408" spans="1:6" x14ac:dyDescent="0.2">
      <c r="A408"/>
      <c r="B408"/>
      <c r="C408"/>
      <c r="D408"/>
      <c r="E408"/>
      <c r="F408" s="662" t="str">
        <f>LEFT(AllDaqbookOffsets[[#This Row],[traceability_no]],2)</f>
        <v>J2</v>
      </c>
    </row>
    <row r="409" spans="1:6" x14ac:dyDescent="0.2">
      <c r="A409"/>
      <c r="B409"/>
      <c r="C409"/>
      <c r="D409"/>
      <c r="E409"/>
      <c r="F409" s="662" t="str">
        <f>LEFT(AllDaqbookOffsets[[#This Row],[traceability_no]],2)</f>
        <v>J2</v>
      </c>
    </row>
    <row r="410" spans="1:6" x14ac:dyDescent="0.2">
      <c r="A410"/>
      <c r="B410"/>
      <c r="C410"/>
      <c r="D410"/>
      <c r="E410"/>
      <c r="F410" s="662" t="str">
        <f>LEFT(AllDaqbookOffsets[[#This Row],[traceability_no]],2)</f>
        <v>J2</v>
      </c>
    </row>
    <row r="411" spans="1:6" x14ac:dyDescent="0.2">
      <c r="A411"/>
      <c r="B411"/>
      <c r="C411"/>
      <c r="D411"/>
      <c r="E411"/>
      <c r="F411" s="662" t="str">
        <f>LEFT(AllDaqbookOffsets[[#This Row],[traceability_no]],2)</f>
        <v>J2</v>
      </c>
    </row>
    <row r="412" spans="1:6" x14ac:dyDescent="0.2">
      <c r="A412"/>
      <c r="B412"/>
      <c r="C412"/>
      <c r="D412"/>
      <c r="E412"/>
      <c r="F412" s="662" t="str">
        <f>LEFT(AllDaqbookOffsets[[#This Row],[traceability_no]],2)</f>
        <v>J2</v>
      </c>
    </row>
    <row r="413" spans="1:6" x14ac:dyDescent="0.2">
      <c r="A413"/>
      <c r="B413"/>
      <c r="C413"/>
      <c r="D413"/>
      <c r="E413"/>
      <c r="F413" s="662" t="str">
        <f>LEFT(AllDaqbookOffsets[[#This Row],[traceability_no]],2)</f>
        <v>J2</v>
      </c>
    </row>
    <row r="414" spans="1:6" x14ac:dyDescent="0.2">
      <c r="A414"/>
      <c r="B414"/>
      <c r="C414"/>
      <c r="D414"/>
      <c r="E414"/>
      <c r="F414" s="662" t="str">
        <f>LEFT(AllDaqbookOffsets[[#This Row],[traceability_no]],2)</f>
        <v>J2</v>
      </c>
    </row>
    <row r="415" spans="1:6" x14ac:dyDescent="0.2">
      <c r="A415"/>
      <c r="B415"/>
      <c r="C415"/>
      <c r="D415"/>
      <c r="E415"/>
      <c r="F415" s="662" t="str">
        <f>LEFT(AllDaqbookOffsets[[#This Row],[traceability_no]],2)</f>
        <v>J2</v>
      </c>
    </row>
    <row r="416" spans="1:6" x14ac:dyDescent="0.2">
      <c r="A416"/>
      <c r="B416"/>
      <c r="C416"/>
      <c r="D416"/>
      <c r="E416"/>
      <c r="F416" s="662" t="str">
        <f>LEFT(AllDaqbookOffsets[[#This Row],[traceability_no]],2)</f>
        <v>J2</v>
      </c>
    </row>
    <row r="417" spans="1:6" x14ac:dyDescent="0.2">
      <c r="A417"/>
      <c r="B417"/>
      <c r="C417"/>
      <c r="D417"/>
      <c r="E417"/>
      <c r="F417" s="662" t="str">
        <f>LEFT(AllDaqbookOffsets[[#This Row],[traceability_no]],2)</f>
        <v>J2</v>
      </c>
    </row>
    <row r="418" spans="1:6" x14ac:dyDescent="0.2">
      <c r="A418"/>
      <c r="B418"/>
      <c r="C418"/>
      <c r="D418"/>
      <c r="E418"/>
      <c r="F418" s="662" t="str">
        <f>LEFT(AllDaqbookOffsets[[#This Row],[traceability_no]],2)</f>
        <v>J2</v>
      </c>
    </row>
    <row r="419" spans="1:6" x14ac:dyDescent="0.2">
      <c r="A419"/>
      <c r="B419"/>
      <c r="C419"/>
      <c r="D419"/>
      <c r="E419"/>
      <c r="F419" s="662" t="str">
        <f>LEFT(AllDaqbookOffsets[[#This Row],[traceability_no]],2)</f>
        <v>J2</v>
      </c>
    </row>
    <row r="420" spans="1:6" x14ac:dyDescent="0.2">
      <c r="A420"/>
      <c r="B420"/>
      <c r="C420"/>
      <c r="D420"/>
      <c r="E420"/>
      <c r="F420" s="662" t="str">
        <f>LEFT(AllDaqbookOffsets[[#This Row],[traceability_no]],2)</f>
        <v>J2</v>
      </c>
    </row>
    <row r="421" spans="1:6" x14ac:dyDescent="0.2">
      <c r="A421"/>
      <c r="B421"/>
      <c r="C421"/>
      <c r="D421"/>
      <c r="E421"/>
      <c r="F421" s="662" t="str">
        <f>LEFT(AllDaqbookOffsets[[#This Row],[traceability_no]],2)</f>
        <v>J2</v>
      </c>
    </row>
    <row r="422" spans="1:6" x14ac:dyDescent="0.2">
      <c r="A422"/>
      <c r="B422"/>
      <c r="C422"/>
      <c r="D422"/>
      <c r="E422"/>
      <c r="F422" s="662" t="str">
        <f>LEFT(AllDaqbookOffsets[[#This Row],[traceability_no]],2)</f>
        <v>J2</v>
      </c>
    </row>
    <row r="423" spans="1:6" x14ac:dyDescent="0.2">
      <c r="A423"/>
      <c r="B423"/>
      <c r="C423"/>
      <c r="D423"/>
      <c r="E423"/>
      <c r="F423" s="662" t="str">
        <f>LEFT(AllDaqbookOffsets[[#This Row],[traceability_no]],2)</f>
        <v>J2</v>
      </c>
    </row>
    <row r="424" spans="1:6" x14ac:dyDescent="0.2">
      <c r="A424"/>
      <c r="B424"/>
      <c r="C424"/>
      <c r="D424"/>
      <c r="E424"/>
      <c r="F424" s="662" t="str">
        <f>LEFT(AllDaqbookOffsets[[#This Row],[traceability_no]],2)</f>
        <v>J2</v>
      </c>
    </row>
    <row r="425" spans="1:6" x14ac:dyDescent="0.2">
      <c r="A425"/>
      <c r="B425"/>
      <c r="C425"/>
      <c r="D425"/>
      <c r="E425"/>
      <c r="F425" s="662" t="str">
        <f>LEFT(AllDaqbookOffsets[[#This Row],[traceability_no]],2)</f>
        <v>J2</v>
      </c>
    </row>
    <row r="426" spans="1:6" x14ac:dyDescent="0.2">
      <c r="A426"/>
      <c r="B426"/>
      <c r="C426"/>
      <c r="D426"/>
      <c r="E426"/>
      <c r="F426" s="662" t="str">
        <f>LEFT(AllDaqbookOffsets[[#This Row],[traceability_no]],2)</f>
        <v>J2</v>
      </c>
    </row>
    <row r="427" spans="1:6" x14ac:dyDescent="0.2">
      <c r="A427"/>
      <c r="B427"/>
      <c r="C427"/>
      <c r="D427"/>
      <c r="E427"/>
      <c r="F427" s="662" t="str">
        <f>LEFT(AllDaqbookOffsets[[#This Row],[traceability_no]],2)</f>
        <v>J2</v>
      </c>
    </row>
    <row r="428" spans="1:6" x14ac:dyDescent="0.2">
      <c r="A428"/>
      <c r="B428"/>
      <c r="C428"/>
      <c r="D428"/>
      <c r="E428"/>
      <c r="F428" s="662" t="str">
        <f>LEFT(AllDaqbookOffsets[[#This Row],[traceability_no]],2)</f>
        <v>J2</v>
      </c>
    </row>
    <row r="429" spans="1:6" x14ac:dyDescent="0.2">
      <c r="A429"/>
      <c r="B429"/>
      <c r="C429"/>
      <c r="D429"/>
      <c r="E429"/>
      <c r="F429" s="662" t="str">
        <f>LEFT(AllDaqbookOffsets[[#This Row],[traceability_no]],2)</f>
        <v>J2</v>
      </c>
    </row>
    <row r="430" spans="1:6" x14ac:dyDescent="0.2">
      <c r="A430"/>
      <c r="B430"/>
      <c r="C430"/>
      <c r="D430"/>
      <c r="E430"/>
      <c r="F430" s="662" t="str">
        <f>LEFT(AllDaqbookOffsets[[#This Row],[traceability_no]],2)</f>
        <v>J2</v>
      </c>
    </row>
    <row r="431" spans="1:6" x14ac:dyDescent="0.2">
      <c r="A431"/>
      <c r="B431"/>
      <c r="C431"/>
      <c r="D431"/>
      <c r="E431"/>
      <c r="F431" s="662" t="str">
        <f>LEFT(AllDaqbookOffsets[[#This Row],[traceability_no]],2)</f>
        <v>J2</v>
      </c>
    </row>
    <row r="432" spans="1:6" x14ac:dyDescent="0.2">
      <c r="A432"/>
      <c r="B432"/>
      <c r="C432"/>
      <c r="D432"/>
      <c r="E432"/>
      <c r="F432" s="662" t="str">
        <f>LEFT(AllDaqbookOffsets[[#This Row],[traceability_no]],2)</f>
        <v>J2</v>
      </c>
    </row>
    <row r="433" spans="1:6" x14ac:dyDescent="0.2">
      <c r="A433"/>
      <c r="B433"/>
      <c r="C433"/>
      <c r="D433"/>
      <c r="E433"/>
      <c r="F433" s="662" t="str">
        <f>LEFT(AllDaqbookOffsets[[#This Row],[traceability_no]],2)</f>
        <v>J2</v>
      </c>
    </row>
    <row r="434" spans="1:6" x14ac:dyDescent="0.2">
      <c r="A434"/>
      <c r="B434"/>
      <c r="C434"/>
      <c r="D434"/>
      <c r="E434"/>
      <c r="F434" s="662" t="str">
        <f>LEFT(AllDaqbookOffsets[[#This Row],[traceability_no]],2)</f>
        <v>J2</v>
      </c>
    </row>
    <row r="435" spans="1:6" x14ac:dyDescent="0.2">
      <c r="A435"/>
      <c r="B435"/>
      <c r="C435"/>
      <c r="D435"/>
      <c r="E435"/>
      <c r="F435" s="662" t="str">
        <f>LEFT(AllDaqbookOffsets[[#This Row],[traceability_no]],2)</f>
        <v>J2</v>
      </c>
    </row>
    <row r="436" spans="1:6" x14ac:dyDescent="0.2">
      <c r="A436"/>
      <c r="B436"/>
      <c r="C436"/>
      <c r="D436"/>
      <c r="E436"/>
      <c r="F436" s="662" t="str">
        <f>LEFT(AllDaqbookOffsets[[#This Row],[traceability_no]],2)</f>
        <v>J2</v>
      </c>
    </row>
    <row r="437" spans="1:6" x14ac:dyDescent="0.2">
      <c r="A437"/>
      <c r="B437"/>
      <c r="C437"/>
      <c r="D437"/>
      <c r="E437"/>
      <c r="F437" s="662" t="str">
        <f>LEFT(AllDaqbookOffsets[[#This Row],[traceability_no]],2)</f>
        <v>J2</v>
      </c>
    </row>
    <row r="438" spans="1:6" x14ac:dyDescent="0.2">
      <c r="A438"/>
      <c r="B438"/>
      <c r="C438"/>
      <c r="D438"/>
      <c r="E438"/>
      <c r="F438" s="662" t="str">
        <f>LEFT(AllDaqbookOffsets[[#This Row],[traceability_no]],2)</f>
        <v>J2</v>
      </c>
    </row>
    <row r="439" spans="1:6" x14ac:dyDescent="0.2">
      <c r="A439"/>
      <c r="B439"/>
      <c r="C439"/>
      <c r="D439"/>
      <c r="E439"/>
      <c r="F439" s="662" t="str">
        <f>LEFT(AllDaqbookOffsets[[#This Row],[traceability_no]],2)</f>
        <v>J2</v>
      </c>
    </row>
    <row r="440" spans="1:6" x14ac:dyDescent="0.2">
      <c r="A440"/>
      <c r="B440"/>
      <c r="C440"/>
      <c r="D440"/>
      <c r="E440"/>
      <c r="F440" s="662" t="str">
        <f>LEFT(AllDaqbookOffsets[[#This Row],[traceability_no]],2)</f>
        <v>J2</v>
      </c>
    </row>
    <row r="441" spans="1:6" x14ac:dyDescent="0.2">
      <c r="A441"/>
      <c r="B441"/>
      <c r="C441"/>
      <c r="D441"/>
      <c r="E441"/>
      <c r="F441" s="662" t="str">
        <f>LEFT(AllDaqbookOffsets[[#This Row],[traceability_no]],2)</f>
        <v>J2</v>
      </c>
    </row>
    <row r="442" spans="1:6" x14ac:dyDescent="0.2">
      <c r="A442"/>
      <c r="B442"/>
      <c r="C442"/>
      <c r="D442"/>
      <c r="E442"/>
      <c r="F442" s="662" t="str">
        <f>LEFT(AllDaqbookOffsets[[#This Row],[traceability_no]],2)</f>
        <v>J2</v>
      </c>
    </row>
    <row r="443" spans="1:6" x14ac:dyDescent="0.2">
      <c r="A443"/>
      <c r="B443"/>
      <c r="C443"/>
      <c r="D443"/>
      <c r="E443"/>
      <c r="F443" s="662" t="str">
        <f>LEFT(AllDaqbookOffsets[[#This Row],[traceability_no]],2)</f>
        <v>J2</v>
      </c>
    </row>
    <row r="444" spans="1:6" x14ac:dyDescent="0.2">
      <c r="A444"/>
      <c r="B444"/>
      <c r="C444"/>
      <c r="D444"/>
      <c r="E444"/>
      <c r="F444" s="662" t="str">
        <f>LEFT(AllDaqbookOffsets[[#This Row],[traceability_no]],2)</f>
        <v>J2</v>
      </c>
    </row>
    <row r="445" spans="1:6" x14ac:dyDescent="0.2">
      <c r="A445"/>
      <c r="B445"/>
      <c r="C445"/>
      <c r="D445"/>
      <c r="E445"/>
      <c r="F445" s="662" t="str">
        <f>LEFT(AllDaqbookOffsets[[#This Row],[traceability_no]],2)</f>
        <v>J2</v>
      </c>
    </row>
    <row r="446" spans="1:6" x14ac:dyDescent="0.2">
      <c r="A446"/>
      <c r="B446"/>
      <c r="C446"/>
      <c r="D446"/>
      <c r="E446"/>
      <c r="F446" s="662" t="str">
        <f>LEFT(AllDaqbookOffsets[[#This Row],[traceability_no]],2)</f>
        <v>J2</v>
      </c>
    </row>
    <row r="447" spans="1:6" x14ac:dyDescent="0.2">
      <c r="A447"/>
      <c r="B447"/>
      <c r="C447"/>
      <c r="D447"/>
      <c r="E447"/>
      <c r="F447" s="662" t="str">
        <f>LEFT(AllDaqbookOffsets[[#This Row],[traceability_no]],2)</f>
        <v>J2</v>
      </c>
    </row>
    <row r="448" spans="1:6" x14ac:dyDescent="0.2">
      <c r="A448"/>
      <c r="B448"/>
      <c r="C448"/>
      <c r="D448"/>
      <c r="E448"/>
      <c r="F448" s="662" t="str">
        <f>LEFT(AllDaqbookOffsets[[#This Row],[traceability_no]],2)</f>
        <v>J2</v>
      </c>
    </row>
    <row r="449" spans="1:6" x14ac:dyDescent="0.2">
      <c r="A449"/>
      <c r="B449"/>
      <c r="C449"/>
      <c r="D449"/>
      <c r="E449"/>
      <c r="F449" s="662" t="str">
        <f>LEFT(AllDaqbookOffsets[[#This Row],[traceability_no]],2)</f>
        <v>J2</v>
      </c>
    </row>
    <row r="450" spans="1:6" x14ac:dyDescent="0.2">
      <c r="A450"/>
      <c r="B450"/>
      <c r="C450"/>
      <c r="D450"/>
      <c r="E450"/>
      <c r="F450" s="662" t="str">
        <f>LEFT(AllDaqbookOffsets[[#This Row],[traceability_no]],2)</f>
        <v>J2</v>
      </c>
    </row>
    <row r="451" spans="1:6" x14ac:dyDescent="0.2">
      <c r="A451"/>
      <c r="B451"/>
      <c r="C451"/>
      <c r="D451"/>
      <c r="E451"/>
      <c r="F451" s="662" t="str">
        <f>LEFT(AllDaqbookOffsets[[#This Row],[traceability_no]],2)</f>
        <v>J2</v>
      </c>
    </row>
    <row r="452" spans="1:6" x14ac:dyDescent="0.2">
      <c r="A452"/>
      <c r="B452"/>
      <c r="C452"/>
      <c r="D452"/>
      <c r="E452"/>
      <c r="F452" s="662" t="str">
        <f>LEFT(AllDaqbookOffsets[[#This Row],[traceability_no]],2)</f>
        <v>J2</v>
      </c>
    </row>
    <row r="453" spans="1:6" x14ac:dyDescent="0.2">
      <c r="A453"/>
      <c r="B453"/>
      <c r="C453"/>
      <c r="D453"/>
      <c r="E453"/>
      <c r="F453" s="662" t="str">
        <f>LEFT(AllDaqbookOffsets[[#This Row],[traceability_no]],2)</f>
        <v>J2</v>
      </c>
    </row>
    <row r="454" spans="1:6" x14ac:dyDescent="0.2">
      <c r="A454"/>
      <c r="B454"/>
      <c r="C454"/>
      <c r="D454"/>
      <c r="E454"/>
      <c r="F454" s="662" t="str">
        <f>LEFT(AllDaqbookOffsets[[#This Row],[traceability_no]],2)</f>
        <v>J2</v>
      </c>
    </row>
    <row r="455" spans="1:6" x14ac:dyDescent="0.2">
      <c r="A455"/>
      <c r="B455"/>
      <c r="C455"/>
      <c r="D455"/>
      <c r="E455"/>
      <c r="F455" s="662" t="str">
        <f>LEFT(AllDaqbookOffsets[[#This Row],[traceability_no]],2)</f>
        <v>J2</v>
      </c>
    </row>
    <row r="456" spans="1:6" x14ac:dyDescent="0.2">
      <c r="A456"/>
      <c r="B456"/>
      <c r="C456"/>
      <c r="D456"/>
      <c r="E456"/>
      <c r="F456" s="662" t="str">
        <f>LEFT(AllDaqbookOffsets[[#This Row],[traceability_no]],2)</f>
        <v>J2</v>
      </c>
    </row>
    <row r="457" spans="1:6" x14ac:dyDescent="0.2">
      <c r="A457"/>
      <c r="B457"/>
      <c r="C457"/>
      <c r="D457"/>
      <c r="E457"/>
      <c r="F457" s="662" t="str">
        <f>LEFT(AllDaqbookOffsets[[#This Row],[traceability_no]],2)</f>
        <v>J2</v>
      </c>
    </row>
    <row r="458" spans="1:6" x14ac:dyDescent="0.2">
      <c r="A458"/>
      <c r="B458"/>
      <c r="C458"/>
      <c r="D458"/>
      <c r="E458"/>
      <c r="F458" s="662" t="str">
        <f>LEFT(AllDaqbookOffsets[[#This Row],[traceability_no]],2)</f>
        <v>J2</v>
      </c>
    </row>
    <row r="459" spans="1:6" x14ac:dyDescent="0.2">
      <c r="A459"/>
      <c r="B459"/>
      <c r="C459"/>
      <c r="D459"/>
      <c r="E459"/>
      <c r="F459" s="662" t="str">
        <f>LEFT(AllDaqbookOffsets[[#This Row],[traceability_no]],2)</f>
        <v>J2</v>
      </c>
    </row>
    <row r="460" spans="1:6" x14ac:dyDescent="0.2">
      <c r="A460"/>
      <c r="B460"/>
      <c r="C460"/>
      <c r="D460"/>
      <c r="E460"/>
      <c r="F460" s="662" t="str">
        <f>LEFT(AllDaqbookOffsets[[#This Row],[traceability_no]],2)</f>
        <v>J2</v>
      </c>
    </row>
    <row r="461" spans="1:6" x14ac:dyDescent="0.2">
      <c r="A461"/>
      <c r="B461"/>
      <c r="C461"/>
      <c r="D461"/>
      <c r="E461"/>
      <c r="F461" s="662" t="str">
        <f>LEFT(AllDaqbookOffsets[[#This Row],[traceability_no]],2)</f>
        <v>J2</v>
      </c>
    </row>
    <row r="462" spans="1:6" x14ac:dyDescent="0.2">
      <c r="A462"/>
      <c r="B462"/>
      <c r="C462"/>
      <c r="D462"/>
      <c r="E462"/>
      <c r="F462" s="662" t="str">
        <f>LEFT(AllDaqbookOffsets[[#This Row],[traceability_no]],2)</f>
        <v>J2</v>
      </c>
    </row>
    <row r="463" spans="1:6" x14ac:dyDescent="0.2">
      <c r="A463"/>
      <c r="B463"/>
      <c r="C463"/>
      <c r="D463"/>
      <c r="E463"/>
      <c r="F463" s="662" t="str">
        <f>LEFT(AllDaqbookOffsets[[#This Row],[traceability_no]],2)</f>
        <v>J2</v>
      </c>
    </row>
    <row r="464" spans="1:6" x14ac:dyDescent="0.2">
      <c r="A464"/>
      <c r="B464"/>
      <c r="C464"/>
      <c r="D464"/>
      <c r="E464"/>
      <c r="F464" s="662" t="str">
        <f>LEFT(AllDaqbookOffsets[[#This Row],[traceability_no]],2)</f>
        <v>J2</v>
      </c>
    </row>
    <row r="465" spans="1:6" x14ac:dyDescent="0.2">
      <c r="A465"/>
      <c r="B465"/>
      <c r="C465"/>
      <c r="D465"/>
      <c r="E465"/>
      <c r="F465" s="662" t="str">
        <f>LEFT(AllDaqbookOffsets[[#This Row],[traceability_no]],2)</f>
        <v>J2</v>
      </c>
    </row>
    <row r="466" spans="1:6" x14ac:dyDescent="0.2">
      <c r="A466"/>
      <c r="B466"/>
      <c r="C466"/>
      <c r="D466"/>
      <c r="E466"/>
      <c r="F466" s="662" t="str">
        <f>LEFT(AllDaqbookOffsets[[#This Row],[traceability_no]],2)</f>
        <v>J2</v>
      </c>
    </row>
    <row r="467" spans="1:6" x14ac:dyDescent="0.2">
      <c r="A467"/>
      <c r="B467"/>
      <c r="C467"/>
      <c r="D467"/>
      <c r="E467"/>
      <c r="F467" s="662" t="str">
        <f>LEFT(AllDaqbookOffsets[[#This Row],[traceability_no]],2)</f>
        <v>J2</v>
      </c>
    </row>
    <row r="468" spans="1:6" x14ac:dyDescent="0.2">
      <c r="A468"/>
      <c r="B468"/>
      <c r="C468"/>
      <c r="D468"/>
      <c r="E468"/>
      <c r="F468" s="662" t="str">
        <f>LEFT(AllDaqbookOffsets[[#This Row],[traceability_no]],2)</f>
        <v>J2</v>
      </c>
    </row>
    <row r="469" spans="1:6" x14ac:dyDescent="0.2">
      <c r="A469"/>
      <c r="B469"/>
      <c r="C469"/>
      <c r="D469"/>
      <c r="E469"/>
      <c r="F469" s="662" t="str">
        <f>LEFT(AllDaqbookOffsets[[#This Row],[traceability_no]],2)</f>
        <v>J2</v>
      </c>
    </row>
    <row r="470" spans="1:6" x14ac:dyDescent="0.2">
      <c r="A470"/>
      <c r="B470"/>
      <c r="C470"/>
      <c r="D470"/>
      <c r="E470"/>
      <c r="F470" s="662" t="str">
        <f>LEFT(AllDaqbookOffsets[[#This Row],[traceability_no]],2)</f>
        <v>J2</v>
      </c>
    </row>
    <row r="471" spans="1:6" x14ac:dyDescent="0.2">
      <c r="A471"/>
      <c r="B471"/>
      <c r="C471"/>
      <c r="D471"/>
      <c r="E471"/>
      <c r="F471" s="662" t="str">
        <f>LEFT(AllDaqbookOffsets[[#This Row],[traceability_no]],2)</f>
        <v>J2</v>
      </c>
    </row>
    <row r="472" spans="1:6" x14ac:dyDescent="0.2">
      <c r="A472"/>
      <c r="B472"/>
      <c r="C472"/>
      <c r="D472"/>
      <c r="E472"/>
      <c r="F472" s="662" t="str">
        <f>LEFT(AllDaqbookOffsets[[#This Row],[traceability_no]],2)</f>
        <v>J2</v>
      </c>
    </row>
    <row r="473" spans="1:6" x14ac:dyDescent="0.2">
      <c r="A473"/>
      <c r="B473"/>
      <c r="C473"/>
      <c r="D473"/>
      <c r="E473"/>
      <c r="F473" s="662" t="str">
        <f>LEFT(AllDaqbookOffsets[[#This Row],[traceability_no]],2)</f>
        <v>J2</v>
      </c>
    </row>
    <row r="474" spans="1:6" x14ac:dyDescent="0.2">
      <c r="A474"/>
      <c r="B474"/>
      <c r="C474"/>
      <c r="D474"/>
      <c r="E474"/>
      <c r="F474" s="662" t="str">
        <f>LEFT(AllDaqbookOffsets[[#This Row],[traceability_no]],2)</f>
        <v>J2</v>
      </c>
    </row>
    <row r="475" spans="1:6" x14ac:dyDescent="0.2">
      <c r="A475"/>
      <c r="B475"/>
      <c r="C475"/>
      <c r="D475"/>
      <c r="E475"/>
      <c r="F475" s="662" t="str">
        <f>LEFT(AllDaqbookOffsets[[#This Row],[traceability_no]],2)</f>
        <v>J2</v>
      </c>
    </row>
    <row r="476" spans="1:6" x14ac:dyDescent="0.2">
      <c r="A476"/>
      <c r="B476"/>
      <c r="C476"/>
      <c r="D476"/>
      <c r="E476"/>
      <c r="F476" s="662" t="str">
        <f>LEFT(AllDaqbookOffsets[[#This Row],[traceability_no]],2)</f>
        <v>J2</v>
      </c>
    </row>
    <row r="477" spans="1:6" x14ac:dyDescent="0.2">
      <c r="A477"/>
      <c r="B477"/>
      <c r="C477"/>
      <c r="D477"/>
      <c r="E477"/>
      <c r="F477" s="662" t="str">
        <f>LEFT(AllDaqbookOffsets[[#This Row],[traceability_no]],2)</f>
        <v>J2</v>
      </c>
    </row>
    <row r="478" spans="1:6" x14ac:dyDescent="0.2">
      <c r="A478"/>
      <c r="B478"/>
      <c r="C478"/>
      <c r="D478"/>
      <c r="E478"/>
      <c r="F478" s="662" t="str">
        <f>LEFT(AllDaqbookOffsets[[#This Row],[traceability_no]],2)</f>
        <v>J2</v>
      </c>
    </row>
    <row r="479" spans="1:6" x14ac:dyDescent="0.2">
      <c r="A479"/>
      <c r="B479"/>
      <c r="C479"/>
      <c r="D479"/>
      <c r="E479"/>
      <c r="F479" s="662" t="str">
        <f>LEFT(AllDaqbookOffsets[[#This Row],[traceability_no]],2)</f>
        <v>J2</v>
      </c>
    </row>
    <row r="480" spans="1:6" x14ac:dyDescent="0.2">
      <c r="A480"/>
      <c r="B480"/>
      <c r="C480"/>
      <c r="D480"/>
      <c r="E480"/>
      <c r="F480" s="662" t="str">
        <f>LEFT(AllDaqbookOffsets[[#This Row],[traceability_no]],2)</f>
        <v>J2</v>
      </c>
    </row>
    <row r="481" spans="1:6" x14ac:dyDescent="0.2">
      <c r="A481"/>
      <c r="B481"/>
      <c r="C481"/>
      <c r="D481"/>
      <c r="E481"/>
      <c r="F481" s="662" t="str">
        <f>LEFT(AllDaqbookOffsets[[#This Row],[traceability_no]],2)</f>
        <v>J2</v>
      </c>
    </row>
    <row r="482" spans="1:6" x14ac:dyDescent="0.2">
      <c r="A482"/>
      <c r="B482"/>
      <c r="C482"/>
      <c r="D482"/>
      <c r="E482"/>
      <c r="F482" s="662" t="str">
        <f>LEFT(AllDaqbookOffsets[[#This Row],[traceability_no]],2)</f>
        <v>J3</v>
      </c>
    </row>
    <row r="483" spans="1:6" x14ac:dyDescent="0.2">
      <c r="A483"/>
      <c r="B483"/>
      <c r="C483"/>
      <c r="D483"/>
      <c r="E483"/>
      <c r="F483" s="662" t="str">
        <f>LEFT(AllDaqbookOffsets[[#This Row],[traceability_no]],2)</f>
        <v>J3</v>
      </c>
    </row>
    <row r="484" spans="1:6" x14ac:dyDescent="0.2">
      <c r="A484"/>
      <c r="B484"/>
      <c r="C484"/>
      <c r="D484"/>
      <c r="E484"/>
      <c r="F484" s="662" t="str">
        <f>LEFT(AllDaqbookOffsets[[#This Row],[traceability_no]],2)</f>
        <v>J3</v>
      </c>
    </row>
    <row r="485" spans="1:6" x14ac:dyDescent="0.2">
      <c r="A485"/>
      <c r="B485"/>
      <c r="C485"/>
      <c r="D485"/>
      <c r="E485"/>
      <c r="F485" s="662" t="str">
        <f>LEFT(AllDaqbookOffsets[[#This Row],[traceability_no]],2)</f>
        <v>J3</v>
      </c>
    </row>
    <row r="486" spans="1:6" x14ac:dyDescent="0.2">
      <c r="A486"/>
      <c r="B486"/>
      <c r="C486"/>
      <c r="D486"/>
      <c r="E486"/>
      <c r="F486" s="662" t="str">
        <f>LEFT(AllDaqbookOffsets[[#This Row],[traceability_no]],2)</f>
        <v>J3</v>
      </c>
    </row>
    <row r="487" spans="1:6" x14ac:dyDescent="0.2">
      <c r="A487"/>
      <c r="B487"/>
      <c r="C487"/>
      <c r="D487"/>
      <c r="E487"/>
      <c r="F487" s="662" t="str">
        <f>LEFT(AllDaqbookOffsets[[#This Row],[traceability_no]],2)</f>
        <v>J3</v>
      </c>
    </row>
    <row r="488" spans="1:6" x14ac:dyDescent="0.2">
      <c r="A488"/>
      <c r="B488"/>
      <c r="C488"/>
      <c r="D488"/>
      <c r="E488"/>
      <c r="F488" s="662" t="str">
        <f>LEFT(AllDaqbookOffsets[[#This Row],[traceability_no]],2)</f>
        <v>J3</v>
      </c>
    </row>
    <row r="489" spans="1:6" x14ac:dyDescent="0.2">
      <c r="A489"/>
      <c r="B489"/>
      <c r="C489"/>
      <c r="D489"/>
      <c r="E489"/>
      <c r="F489" s="662" t="str">
        <f>LEFT(AllDaqbookOffsets[[#This Row],[traceability_no]],2)</f>
        <v>J3</v>
      </c>
    </row>
    <row r="490" spans="1:6" x14ac:dyDescent="0.2">
      <c r="A490"/>
      <c r="B490"/>
      <c r="C490"/>
      <c r="D490"/>
      <c r="E490"/>
      <c r="F490" s="662" t="str">
        <f>LEFT(AllDaqbookOffsets[[#This Row],[traceability_no]],2)</f>
        <v>J3</v>
      </c>
    </row>
    <row r="491" spans="1:6" x14ac:dyDescent="0.2">
      <c r="A491"/>
      <c r="B491"/>
      <c r="C491"/>
      <c r="D491"/>
      <c r="E491"/>
      <c r="F491" s="662" t="str">
        <f>LEFT(AllDaqbookOffsets[[#This Row],[traceability_no]],2)</f>
        <v>J3</v>
      </c>
    </row>
    <row r="492" spans="1:6" x14ac:dyDescent="0.2">
      <c r="A492"/>
      <c r="B492"/>
      <c r="C492"/>
      <c r="D492"/>
      <c r="E492"/>
      <c r="F492" s="662" t="str">
        <f>LEFT(AllDaqbookOffsets[[#This Row],[traceability_no]],2)</f>
        <v>J3</v>
      </c>
    </row>
    <row r="493" spans="1:6" x14ac:dyDescent="0.2">
      <c r="A493"/>
      <c r="B493"/>
      <c r="C493"/>
      <c r="D493"/>
      <c r="E493"/>
      <c r="F493" s="662" t="str">
        <f>LEFT(AllDaqbookOffsets[[#This Row],[traceability_no]],2)</f>
        <v>J3</v>
      </c>
    </row>
    <row r="494" spans="1:6" x14ac:dyDescent="0.2">
      <c r="A494"/>
      <c r="B494"/>
      <c r="C494"/>
      <c r="D494"/>
      <c r="E494"/>
      <c r="F494" s="662" t="str">
        <f>LEFT(AllDaqbookOffsets[[#This Row],[traceability_no]],2)</f>
        <v>J3</v>
      </c>
    </row>
    <row r="495" spans="1:6" x14ac:dyDescent="0.2">
      <c r="A495"/>
      <c r="B495"/>
      <c r="C495"/>
      <c r="D495"/>
      <c r="E495"/>
      <c r="F495" s="662" t="str">
        <f>LEFT(AllDaqbookOffsets[[#This Row],[traceability_no]],2)</f>
        <v>J3</v>
      </c>
    </row>
    <row r="496" spans="1:6" x14ac:dyDescent="0.2">
      <c r="A496"/>
      <c r="B496"/>
      <c r="C496"/>
      <c r="D496"/>
      <c r="E496"/>
      <c r="F496" s="662" t="str">
        <f>LEFT(AllDaqbookOffsets[[#This Row],[traceability_no]],2)</f>
        <v>J3</v>
      </c>
    </row>
    <row r="497" spans="1:6" x14ac:dyDescent="0.2">
      <c r="A497"/>
      <c r="B497"/>
      <c r="C497"/>
      <c r="D497"/>
      <c r="E497"/>
      <c r="F497" s="662" t="str">
        <f>LEFT(AllDaqbookOffsets[[#This Row],[traceability_no]],2)</f>
        <v>J3</v>
      </c>
    </row>
    <row r="498" spans="1:6" x14ac:dyDescent="0.2">
      <c r="A498"/>
      <c r="B498"/>
      <c r="C498"/>
      <c r="D498"/>
      <c r="E498"/>
      <c r="F498" s="662" t="str">
        <f>LEFT(AllDaqbookOffsets[[#This Row],[traceability_no]],2)</f>
        <v>J3</v>
      </c>
    </row>
    <row r="499" spans="1:6" x14ac:dyDescent="0.2">
      <c r="A499"/>
      <c r="B499"/>
      <c r="C499"/>
      <c r="D499"/>
      <c r="E499"/>
      <c r="F499" s="662" t="str">
        <f>LEFT(AllDaqbookOffsets[[#This Row],[traceability_no]],2)</f>
        <v>J3</v>
      </c>
    </row>
    <row r="500" spans="1:6" x14ac:dyDescent="0.2">
      <c r="A500"/>
      <c r="B500"/>
      <c r="C500"/>
      <c r="D500"/>
      <c r="E500"/>
      <c r="F500" s="662" t="str">
        <f>LEFT(AllDaqbookOffsets[[#This Row],[traceability_no]],2)</f>
        <v>J3</v>
      </c>
    </row>
    <row r="501" spans="1:6" x14ac:dyDescent="0.2">
      <c r="A501"/>
      <c r="B501"/>
      <c r="C501"/>
      <c r="D501"/>
      <c r="E501"/>
      <c r="F501" s="662" t="str">
        <f>LEFT(AllDaqbookOffsets[[#This Row],[traceability_no]],2)</f>
        <v>J3</v>
      </c>
    </row>
    <row r="502" spans="1:6" x14ac:dyDescent="0.2">
      <c r="A502"/>
      <c r="B502"/>
      <c r="C502"/>
      <c r="D502"/>
      <c r="E502"/>
      <c r="F502" s="662" t="str">
        <f>LEFT(AllDaqbookOffsets[[#This Row],[traceability_no]],2)</f>
        <v>J3</v>
      </c>
    </row>
    <row r="503" spans="1:6" x14ac:dyDescent="0.2">
      <c r="A503"/>
      <c r="B503"/>
      <c r="C503"/>
      <c r="D503"/>
      <c r="E503"/>
      <c r="F503" s="662" t="str">
        <f>LEFT(AllDaqbookOffsets[[#This Row],[traceability_no]],2)</f>
        <v>J3</v>
      </c>
    </row>
    <row r="504" spans="1:6" x14ac:dyDescent="0.2">
      <c r="A504"/>
      <c r="B504"/>
      <c r="C504"/>
      <c r="D504"/>
      <c r="E504"/>
      <c r="F504" s="662" t="str">
        <f>LEFT(AllDaqbookOffsets[[#This Row],[traceability_no]],2)</f>
        <v>J3</v>
      </c>
    </row>
    <row r="505" spans="1:6" x14ac:dyDescent="0.2">
      <c r="A505"/>
      <c r="B505"/>
      <c r="C505"/>
      <c r="D505"/>
      <c r="E505"/>
      <c r="F505" s="662" t="str">
        <f>LEFT(AllDaqbookOffsets[[#This Row],[traceability_no]],2)</f>
        <v>J3</v>
      </c>
    </row>
    <row r="506" spans="1:6" x14ac:dyDescent="0.2">
      <c r="A506"/>
      <c r="B506"/>
      <c r="C506"/>
      <c r="D506"/>
      <c r="E506"/>
      <c r="F506" s="662" t="str">
        <f>LEFT(AllDaqbookOffsets[[#This Row],[traceability_no]],2)</f>
        <v>J3</v>
      </c>
    </row>
    <row r="507" spans="1:6" x14ac:dyDescent="0.2">
      <c r="A507"/>
      <c r="B507"/>
      <c r="C507"/>
      <c r="D507"/>
      <c r="E507"/>
      <c r="F507" s="662" t="str">
        <f>LEFT(AllDaqbookOffsets[[#This Row],[traceability_no]],2)</f>
        <v>J3</v>
      </c>
    </row>
    <row r="508" spans="1:6" x14ac:dyDescent="0.2">
      <c r="A508"/>
      <c r="B508"/>
      <c r="C508"/>
      <c r="D508"/>
      <c r="E508"/>
      <c r="F508" s="662" t="str">
        <f>LEFT(AllDaqbookOffsets[[#This Row],[traceability_no]],2)</f>
        <v>J3</v>
      </c>
    </row>
    <row r="509" spans="1:6" x14ac:dyDescent="0.2">
      <c r="A509"/>
      <c r="B509"/>
      <c r="C509"/>
      <c r="D509"/>
      <c r="E509"/>
      <c r="F509" s="662" t="str">
        <f>LEFT(AllDaqbookOffsets[[#This Row],[traceability_no]],2)</f>
        <v>J3</v>
      </c>
    </row>
    <row r="510" spans="1:6" x14ac:dyDescent="0.2">
      <c r="A510"/>
      <c r="B510"/>
      <c r="C510"/>
      <c r="D510"/>
      <c r="E510"/>
      <c r="F510" s="662" t="str">
        <f>LEFT(AllDaqbookOffsets[[#This Row],[traceability_no]],2)</f>
        <v>J3</v>
      </c>
    </row>
    <row r="511" spans="1:6" x14ac:dyDescent="0.2">
      <c r="A511"/>
      <c r="B511"/>
      <c r="C511"/>
      <c r="D511"/>
      <c r="E511"/>
      <c r="F511" s="662" t="str">
        <f>LEFT(AllDaqbookOffsets[[#This Row],[traceability_no]],2)</f>
        <v>J3</v>
      </c>
    </row>
    <row r="512" spans="1:6" x14ac:dyDescent="0.2">
      <c r="A512"/>
      <c r="B512"/>
      <c r="C512"/>
      <c r="D512"/>
      <c r="E512"/>
      <c r="F512" s="662" t="str">
        <f>LEFT(AllDaqbookOffsets[[#This Row],[traceability_no]],2)</f>
        <v>J3</v>
      </c>
    </row>
    <row r="513" spans="1:6" x14ac:dyDescent="0.2">
      <c r="A513"/>
      <c r="B513"/>
      <c r="C513"/>
      <c r="D513"/>
      <c r="E513"/>
      <c r="F513" s="662" t="str">
        <f>LEFT(AllDaqbookOffsets[[#This Row],[traceability_no]],2)</f>
        <v>J3</v>
      </c>
    </row>
    <row r="514" spans="1:6" x14ac:dyDescent="0.2">
      <c r="A514"/>
      <c r="B514"/>
      <c r="C514"/>
      <c r="D514"/>
      <c r="E514"/>
      <c r="F514" s="662" t="str">
        <f>LEFT(AllDaqbookOffsets[[#This Row],[traceability_no]],2)</f>
        <v>J3</v>
      </c>
    </row>
    <row r="515" spans="1:6" x14ac:dyDescent="0.2">
      <c r="A515"/>
      <c r="B515"/>
      <c r="C515"/>
      <c r="D515"/>
      <c r="E515"/>
      <c r="F515" s="662" t="str">
        <f>LEFT(AllDaqbookOffsets[[#This Row],[traceability_no]],2)</f>
        <v>J3</v>
      </c>
    </row>
    <row r="516" spans="1:6" x14ac:dyDescent="0.2">
      <c r="A516"/>
      <c r="B516"/>
      <c r="C516"/>
      <c r="D516"/>
      <c r="E516"/>
      <c r="F516" s="662" t="str">
        <f>LEFT(AllDaqbookOffsets[[#This Row],[traceability_no]],2)</f>
        <v>J3</v>
      </c>
    </row>
    <row r="517" spans="1:6" x14ac:dyDescent="0.2">
      <c r="A517"/>
      <c r="B517"/>
      <c r="C517"/>
      <c r="D517"/>
      <c r="E517"/>
      <c r="F517" s="662" t="str">
        <f>LEFT(AllDaqbookOffsets[[#This Row],[traceability_no]],2)</f>
        <v>J3</v>
      </c>
    </row>
    <row r="518" spans="1:6" x14ac:dyDescent="0.2">
      <c r="A518"/>
      <c r="B518"/>
      <c r="C518"/>
      <c r="D518"/>
      <c r="E518"/>
      <c r="F518" s="662" t="str">
        <f>LEFT(AllDaqbookOffsets[[#This Row],[traceability_no]],2)</f>
        <v>J3</v>
      </c>
    </row>
    <row r="519" spans="1:6" x14ac:dyDescent="0.2">
      <c r="A519"/>
      <c r="B519"/>
      <c r="C519"/>
      <c r="D519"/>
      <c r="E519"/>
      <c r="F519" s="662" t="str">
        <f>LEFT(AllDaqbookOffsets[[#This Row],[traceability_no]],2)</f>
        <v>J3</v>
      </c>
    </row>
    <row r="520" spans="1:6" x14ac:dyDescent="0.2">
      <c r="A520"/>
      <c r="B520"/>
      <c r="C520"/>
      <c r="D520"/>
      <c r="E520"/>
      <c r="F520" s="662" t="str">
        <f>LEFT(AllDaqbookOffsets[[#This Row],[traceability_no]],2)</f>
        <v>J3</v>
      </c>
    </row>
    <row r="521" spans="1:6" x14ac:dyDescent="0.2">
      <c r="A521"/>
      <c r="B521"/>
      <c r="C521"/>
      <c r="D521"/>
      <c r="E521"/>
      <c r="F521" s="662" t="str">
        <f>LEFT(AllDaqbookOffsets[[#This Row],[traceability_no]],2)</f>
        <v>J3</v>
      </c>
    </row>
    <row r="522" spans="1:6" x14ac:dyDescent="0.2">
      <c r="A522"/>
      <c r="B522"/>
      <c r="C522"/>
      <c r="D522"/>
      <c r="E522"/>
      <c r="F522" s="662" t="str">
        <f>LEFT(AllDaqbookOffsets[[#This Row],[traceability_no]],2)</f>
        <v>J3</v>
      </c>
    </row>
    <row r="523" spans="1:6" x14ac:dyDescent="0.2">
      <c r="A523"/>
      <c r="B523"/>
      <c r="C523"/>
      <c r="D523"/>
      <c r="E523"/>
      <c r="F523" s="662" t="str">
        <f>LEFT(AllDaqbookOffsets[[#This Row],[traceability_no]],2)</f>
        <v>J3</v>
      </c>
    </row>
    <row r="524" spans="1:6" x14ac:dyDescent="0.2">
      <c r="A524"/>
      <c r="B524"/>
      <c r="C524"/>
      <c r="D524"/>
      <c r="E524"/>
      <c r="F524" s="662" t="str">
        <f>LEFT(AllDaqbookOffsets[[#This Row],[traceability_no]],2)</f>
        <v>J3</v>
      </c>
    </row>
    <row r="525" spans="1:6" x14ac:dyDescent="0.2">
      <c r="A525"/>
      <c r="B525"/>
      <c r="C525"/>
      <c r="D525"/>
      <c r="E525"/>
      <c r="F525" s="662" t="str">
        <f>LEFT(AllDaqbookOffsets[[#This Row],[traceability_no]],2)</f>
        <v>J3</v>
      </c>
    </row>
    <row r="526" spans="1:6" x14ac:dyDescent="0.2">
      <c r="A526"/>
      <c r="B526"/>
      <c r="C526"/>
      <c r="D526"/>
      <c r="E526"/>
      <c r="F526" s="662" t="str">
        <f>LEFT(AllDaqbookOffsets[[#This Row],[traceability_no]],2)</f>
        <v>J3</v>
      </c>
    </row>
    <row r="527" spans="1:6" x14ac:dyDescent="0.2">
      <c r="A527"/>
      <c r="B527"/>
      <c r="C527"/>
      <c r="D527"/>
      <c r="E527"/>
      <c r="F527" s="662" t="str">
        <f>LEFT(AllDaqbookOffsets[[#This Row],[traceability_no]],2)</f>
        <v>J3</v>
      </c>
    </row>
    <row r="528" spans="1:6" x14ac:dyDescent="0.2">
      <c r="A528"/>
      <c r="B528"/>
      <c r="C528"/>
      <c r="D528"/>
      <c r="E528"/>
      <c r="F528" s="662" t="str">
        <f>LEFT(AllDaqbookOffsets[[#This Row],[traceability_no]],2)</f>
        <v>J3</v>
      </c>
    </row>
    <row r="529" spans="1:6" x14ac:dyDescent="0.2">
      <c r="A529"/>
      <c r="B529"/>
      <c r="C529"/>
      <c r="D529"/>
      <c r="E529"/>
      <c r="F529" s="662" t="str">
        <f>LEFT(AllDaqbookOffsets[[#This Row],[traceability_no]],2)</f>
        <v>J3</v>
      </c>
    </row>
    <row r="530" spans="1:6" x14ac:dyDescent="0.2">
      <c r="A530"/>
      <c r="B530"/>
      <c r="C530"/>
      <c r="D530"/>
      <c r="E530"/>
      <c r="F530" s="662" t="str">
        <f>LEFT(AllDaqbookOffsets[[#This Row],[traceability_no]],2)</f>
        <v>J3</v>
      </c>
    </row>
    <row r="531" spans="1:6" x14ac:dyDescent="0.2">
      <c r="A531"/>
      <c r="B531"/>
      <c r="C531"/>
      <c r="D531"/>
      <c r="E531"/>
      <c r="F531" s="662" t="str">
        <f>LEFT(AllDaqbookOffsets[[#This Row],[traceability_no]],2)</f>
        <v>J3</v>
      </c>
    </row>
    <row r="532" spans="1:6" x14ac:dyDescent="0.2">
      <c r="A532"/>
      <c r="B532"/>
      <c r="C532"/>
      <c r="D532"/>
      <c r="E532"/>
      <c r="F532" s="662" t="str">
        <f>LEFT(AllDaqbookOffsets[[#This Row],[traceability_no]],2)</f>
        <v>J3</v>
      </c>
    </row>
    <row r="533" spans="1:6" x14ac:dyDescent="0.2">
      <c r="A533"/>
      <c r="B533"/>
      <c r="C533"/>
      <c r="D533"/>
      <c r="E533"/>
      <c r="F533" s="662" t="str">
        <f>LEFT(AllDaqbookOffsets[[#This Row],[traceability_no]],2)</f>
        <v>J3</v>
      </c>
    </row>
    <row r="534" spans="1:6" x14ac:dyDescent="0.2">
      <c r="A534"/>
      <c r="B534"/>
      <c r="C534"/>
      <c r="D534"/>
      <c r="E534"/>
      <c r="F534" s="662" t="str">
        <f>LEFT(AllDaqbookOffsets[[#This Row],[traceability_no]],2)</f>
        <v>J3</v>
      </c>
    </row>
    <row r="535" spans="1:6" x14ac:dyDescent="0.2">
      <c r="A535"/>
      <c r="B535"/>
      <c r="C535"/>
      <c r="D535"/>
      <c r="E535"/>
      <c r="F535" s="662" t="str">
        <f>LEFT(AllDaqbookOffsets[[#This Row],[traceability_no]],2)</f>
        <v>J3</v>
      </c>
    </row>
    <row r="536" spans="1:6" x14ac:dyDescent="0.2">
      <c r="A536"/>
      <c r="B536"/>
      <c r="C536"/>
      <c r="D536"/>
      <c r="E536"/>
      <c r="F536" s="662" t="str">
        <f>LEFT(AllDaqbookOffsets[[#This Row],[traceability_no]],2)</f>
        <v>J3</v>
      </c>
    </row>
    <row r="537" spans="1:6" x14ac:dyDescent="0.2">
      <c r="A537"/>
      <c r="B537"/>
      <c r="C537"/>
      <c r="D537"/>
      <c r="E537"/>
      <c r="F537" s="662" t="str">
        <f>LEFT(AllDaqbookOffsets[[#This Row],[traceability_no]],2)</f>
        <v>J3</v>
      </c>
    </row>
    <row r="538" spans="1:6" x14ac:dyDescent="0.2">
      <c r="A538"/>
      <c r="B538"/>
      <c r="C538"/>
      <c r="D538"/>
      <c r="E538"/>
      <c r="F538" s="662" t="str">
        <f>LEFT(AllDaqbookOffsets[[#This Row],[traceability_no]],2)</f>
        <v>J3</v>
      </c>
    </row>
    <row r="539" spans="1:6" x14ac:dyDescent="0.2">
      <c r="A539"/>
      <c r="B539"/>
      <c r="C539"/>
      <c r="D539"/>
      <c r="E539"/>
      <c r="F539" s="662" t="str">
        <f>LEFT(AllDaqbookOffsets[[#This Row],[traceability_no]],2)</f>
        <v>J3</v>
      </c>
    </row>
    <row r="540" spans="1:6" x14ac:dyDescent="0.2">
      <c r="A540"/>
      <c r="B540"/>
      <c r="C540"/>
      <c r="D540"/>
      <c r="E540"/>
      <c r="F540" s="662" t="str">
        <f>LEFT(AllDaqbookOffsets[[#This Row],[traceability_no]],2)</f>
        <v>J3</v>
      </c>
    </row>
    <row r="541" spans="1:6" x14ac:dyDescent="0.2">
      <c r="A541"/>
      <c r="B541"/>
      <c r="C541"/>
      <c r="D541"/>
      <c r="E541"/>
      <c r="F541" s="662" t="str">
        <f>LEFT(AllDaqbookOffsets[[#This Row],[traceability_no]],2)</f>
        <v>J3</v>
      </c>
    </row>
    <row r="542" spans="1:6" x14ac:dyDescent="0.2">
      <c r="A542"/>
      <c r="B542"/>
      <c r="C542"/>
      <c r="D542"/>
      <c r="E542"/>
      <c r="F542" s="662" t="str">
        <f>LEFT(AllDaqbookOffsets[[#This Row],[traceability_no]],2)</f>
        <v>J3</v>
      </c>
    </row>
    <row r="543" spans="1:6" x14ac:dyDescent="0.2">
      <c r="A543"/>
      <c r="B543"/>
      <c r="C543"/>
      <c r="D543"/>
      <c r="E543"/>
      <c r="F543" s="662" t="str">
        <f>LEFT(AllDaqbookOffsets[[#This Row],[traceability_no]],2)</f>
        <v>J3</v>
      </c>
    </row>
    <row r="544" spans="1:6" x14ac:dyDescent="0.2">
      <c r="A544"/>
      <c r="B544"/>
      <c r="C544"/>
      <c r="D544"/>
      <c r="E544"/>
      <c r="F544" s="662" t="str">
        <f>LEFT(AllDaqbookOffsets[[#This Row],[traceability_no]],2)</f>
        <v>J3</v>
      </c>
    </row>
    <row r="545" spans="1:6" x14ac:dyDescent="0.2">
      <c r="A545"/>
      <c r="B545"/>
      <c r="C545"/>
      <c r="D545"/>
      <c r="E545"/>
      <c r="F545" s="662" t="str">
        <f>LEFT(AllDaqbookOffsets[[#This Row],[traceability_no]],2)</f>
        <v>J3</v>
      </c>
    </row>
    <row r="546" spans="1:6" x14ac:dyDescent="0.2">
      <c r="A546"/>
      <c r="B546"/>
      <c r="C546"/>
      <c r="D546"/>
      <c r="E546"/>
      <c r="F546" s="662" t="str">
        <f>LEFT(AllDaqbookOffsets[[#This Row],[traceability_no]],2)</f>
        <v>J3</v>
      </c>
    </row>
    <row r="547" spans="1:6" x14ac:dyDescent="0.2">
      <c r="A547"/>
      <c r="B547"/>
      <c r="C547"/>
      <c r="D547"/>
      <c r="E547"/>
      <c r="F547" s="662" t="str">
        <f>LEFT(AllDaqbookOffsets[[#This Row],[traceability_no]],2)</f>
        <v>J3</v>
      </c>
    </row>
    <row r="548" spans="1:6" x14ac:dyDescent="0.2">
      <c r="A548"/>
      <c r="B548"/>
      <c r="C548"/>
      <c r="D548"/>
      <c r="E548"/>
      <c r="F548" s="662" t="str">
        <f>LEFT(AllDaqbookOffsets[[#This Row],[traceability_no]],2)</f>
        <v>J3</v>
      </c>
    </row>
    <row r="549" spans="1:6" x14ac:dyDescent="0.2">
      <c r="A549"/>
      <c r="B549"/>
      <c r="C549"/>
      <c r="D549"/>
      <c r="E549"/>
      <c r="F549" s="662" t="str">
        <f>LEFT(AllDaqbookOffsets[[#This Row],[traceability_no]],2)</f>
        <v>J3</v>
      </c>
    </row>
    <row r="550" spans="1:6" x14ac:dyDescent="0.2">
      <c r="A550"/>
      <c r="B550"/>
      <c r="C550"/>
      <c r="D550"/>
      <c r="E550"/>
      <c r="F550" s="662" t="str">
        <f>LEFT(AllDaqbookOffsets[[#This Row],[traceability_no]],2)</f>
        <v>J3</v>
      </c>
    </row>
    <row r="551" spans="1:6" x14ac:dyDescent="0.2">
      <c r="A551"/>
      <c r="B551"/>
      <c r="C551"/>
      <c r="D551"/>
      <c r="E551"/>
      <c r="F551" s="662" t="str">
        <f>LEFT(AllDaqbookOffsets[[#This Row],[traceability_no]],2)</f>
        <v>J3</v>
      </c>
    </row>
    <row r="552" spans="1:6" x14ac:dyDescent="0.2">
      <c r="A552"/>
      <c r="B552"/>
      <c r="C552"/>
      <c r="D552"/>
      <c r="E552"/>
      <c r="F552" s="662" t="str">
        <f>LEFT(AllDaqbookOffsets[[#This Row],[traceability_no]],2)</f>
        <v>J3</v>
      </c>
    </row>
    <row r="553" spans="1:6" x14ac:dyDescent="0.2">
      <c r="A553"/>
      <c r="B553"/>
      <c r="C553"/>
      <c r="D553"/>
      <c r="E553"/>
      <c r="F553" s="662" t="str">
        <f>LEFT(AllDaqbookOffsets[[#This Row],[traceability_no]],2)</f>
        <v>J3</v>
      </c>
    </row>
    <row r="554" spans="1:6" x14ac:dyDescent="0.2">
      <c r="A554"/>
      <c r="B554"/>
      <c r="C554"/>
      <c r="D554"/>
      <c r="E554"/>
      <c r="F554" s="662" t="str">
        <f>LEFT(AllDaqbookOffsets[[#This Row],[traceability_no]],2)</f>
        <v>J3</v>
      </c>
    </row>
    <row r="555" spans="1:6" x14ac:dyDescent="0.2">
      <c r="A555"/>
      <c r="B555"/>
      <c r="C555"/>
      <c r="D555"/>
      <c r="E555"/>
      <c r="F555" s="662" t="str">
        <f>LEFT(AllDaqbookOffsets[[#This Row],[traceability_no]],2)</f>
        <v>J3</v>
      </c>
    </row>
    <row r="556" spans="1:6" x14ac:dyDescent="0.2">
      <c r="A556"/>
      <c r="B556"/>
      <c r="C556"/>
      <c r="D556"/>
      <c r="E556"/>
      <c r="F556" s="662" t="str">
        <f>LEFT(AllDaqbookOffsets[[#This Row],[traceability_no]],2)</f>
        <v>J3</v>
      </c>
    </row>
    <row r="557" spans="1:6" x14ac:dyDescent="0.2">
      <c r="A557"/>
      <c r="B557"/>
      <c r="C557"/>
      <c r="D557"/>
      <c r="E557"/>
      <c r="F557" s="662" t="str">
        <f>LEFT(AllDaqbookOffsets[[#This Row],[traceability_no]],2)</f>
        <v>J3</v>
      </c>
    </row>
    <row r="558" spans="1:6" x14ac:dyDescent="0.2">
      <c r="A558"/>
      <c r="B558"/>
      <c r="C558"/>
      <c r="D558"/>
      <c r="E558"/>
      <c r="F558" s="662" t="str">
        <f>LEFT(AllDaqbookOffsets[[#This Row],[traceability_no]],2)</f>
        <v>J3</v>
      </c>
    </row>
    <row r="559" spans="1:6" x14ac:dyDescent="0.2">
      <c r="A559"/>
      <c r="B559"/>
      <c r="C559"/>
      <c r="D559"/>
      <c r="E559"/>
      <c r="F559" s="662" t="str">
        <f>LEFT(AllDaqbookOffsets[[#This Row],[traceability_no]],2)</f>
        <v>J3</v>
      </c>
    </row>
    <row r="560" spans="1:6" x14ac:dyDescent="0.2">
      <c r="A560"/>
      <c r="B560"/>
      <c r="C560"/>
      <c r="D560"/>
      <c r="E560"/>
      <c r="F560" s="662" t="str">
        <f>LEFT(AllDaqbookOffsets[[#This Row],[traceability_no]],2)</f>
        <v>J3</v>
      </c>
    </row>
    <row r="561" spans="1:6" x14ac:dyDescent="0.2">
      <c r="A561"/>
      <c r="B561"/>
      <c r="C561"/>
      <c r="D561"/>
      <c r="E561"/>
      <c r="F561" s="662" t="str">
        <f>LEFT(AllDaqbookOffsets[[#This Row],[traceability_no]],2)</f>
        <v>J3</v>
      </c>
    </row>
    <row r="562" spans="1:6" x14ac:dyDescent="0.2">
      <c r="A562"/>
      <c r="B562"/>
      <c r="C562"/>
      <c r="D562"/>
      <c r="E562"/>
      <c r="F562" s="662" t="str">
        <f>LEFT(AllDaqbookOffsets[[#This Row],[traceability_no]],2)</f>
        <v>J3</v>
      </c>
    </row>
    <row r="563" spans="1:6" x14ac:dyDescent="0.2">
      <c r="A563"/>
      <c r="B563"/>
      <c r="C563"/>
      <c r="D563"/>
      <c r="E563"/>
      <c r="F563" s="662" t="str">
        <f>LEFT(AllDaqbookOffsets[[#This Row],[traceability_no]],2)</f>
        <v>J3</v>
      </c>
    </row>
    <row r="564" spans="1:6" x14ac:dyDescent="0.2">
      <c r="A564"/>
      <c r="B564"/>
      <c r="C564"/>
      <c r="D564"/>
      <c r="E564"/>
      <c r="F564" s="662" t="str">
        <f>LEFT(AllDaqbookOffsets[[#This Row],[traceability_no]],2)</f>
        <v>J3</v>
      </c>
    </row>
    <row r="565" spans="1:6" x14ac:dyDescent="0.2">
      <c r="A565"/>
      <c r="B565"/>
      <c r="C565"/>
      <c r="D565"/>
      <c r="E565"/>
      <c r="F565" s="662" t="str">
        <f>LEFT(AllDaqbookOffsets[[#This Row],[traceability_no]],2)</f>
        <v>J3</v>
      </c>
    </row>
    <row r="566" spans="1:6" x14ac:dyDescent="0.2">
      <c r="A566"/>
      <c r="B566"/>
      <c r="C566"/>
      <c r="D566"/>
      <c r="E566"/>
      <c r="F566" s="662" t="str">
        <f>LEFT(AllDaqbookOffsets[[#This Row],[traceability_no]],2)</f>
        <v>J3</v>
      </c>
    </row>
    <row r="567" spans="1:6" x14ac:dyDescent="0.2">
      <c r="A567"/>
      <c r="B567"/>
      <c r="C567"/>
      <c r="D567"/>
      <c r="E567"/>
      <c r="F567" s="662" t="str">
        <f>LEFT(AllDaqbookOffsets[[#This Row],[traceability_no]],2)</f>
        <v>J3</v>
      </c>
    </row>
    <row r="568" spans="1:6" x14ac:dyDescent="0.2">
      <c r="A568"/>
      <c r="B568"/>
      <c r="C568"/>
      <c r="D568"/>
      <c r="E568"/>
      <c r="F568" s="662" t="str">
        <f>LEFT(AllDaqbookOffsets[[#This Row],[traceability_no]],2)</f>
        <v>J3</v>
      </c>
    </row>
    <row r="569" spans="1:6" x14ac:dyDescent="0.2">
      <c r="A569"/>
      <c r="B569"/>
      <c r="C569"/>
      <c r="D569"/>
      <c r="E569"/>
      <c r="F569" s="662" t="str">
        <f>LEFT(AllDaqbookOffsets[[#This Row],[traceability_no]],2)</f>
        <v>J3</v>
      </c>
    </row>
    <row r="570" spans="1:6" x14ac:dyDescent="0.2">
      <c r="A570"/>
      <c r="B570"/>
      <c r="C570"/>
      <c r="D570"/>
      <c r="E570"/>
      <c r="F570" s="662" t="str">
        <f>LEFT(AllDaqbookOffsets[[#This Row],[traceability_no]],2)</f>
        <v>J3</v>
      </c>
    </row>
    <row r="571" spans="1:6" x14ac:dyDescent="0.2">
      <c r="A571"/>
      <c r="B571"/>
      <c r="C571"/>
      <c r="D571"/>
      <c r="E571"/>
      <c r="F571" s="662" t="str">
        <f>LEFT(AllDaqbookOffsets[[#This Row],[traceability_no]],2)</f>
        <v>J3</v>
      </c>
    </row>
    <row r="572" spans="1:6" x14ac:dyDescent="0.2">
      <c r="A572"/>
      <c r="B572"/>
      <c r="C572"/>
      <c r="D572"/>
      <c r="E572"/>
      <c r="F572" s="662" t="str">
        <f>LEFT(AllDaqbookOffsets[[#This Row],[traceability_no]],2)</f>
        <v>J3</v>
      </c>
    </row>
    <row r="573" spans="1:6" x14ac:dyDescent="0.2">
      <c r="A573"/>
      <c r="B573"/>
      <c r="C573"/>
      <c r="D573"/>
      <c r="E573"/>
      <c r="F573" s="662" t="str">
        <f>LEFT(AllDaqbookOffsets[[#This Row],[traceability_no]],2)</f>
        <v>J3</v>
      </c>
    </row>
    <row r="574" spans="1:6" x14ac:dyDescent="0.2">
      <c r="A574"/>
      <c r="B574"/>
      <c r="C574"/>
      <c r="D574"/>
      <c r="E574"/>
      <c r="F574" s="662" t="str">
        <f>LEFT(AllDaqbookOffsets[[#This Row],[traceability_no]],2)</f>
        <v>J3</v>
      </c>
    </row>
    <row r="575" spans="1:6" x14ac:dyDescent="0.2">
      <c r="A575"/>
      <c r="B575"/>
      <c r="C575"/>
      <c r="D575"/>
      <c r="E575"/>
      <c r="F575" s="662" t="str">
        <f>LEFT(AllDaqbookOffsets[[#This Row],[traceability_no]],2)</f>
        <v>J3</v>
      </c>
    </row>
    <row r="576" spans="1:6" x14ac:dyDescent="0.2">
      <c r="A576"/>
      <c r="B576"/>
      <c r="C576"/>
      <c r="D576"/>
      <c r="E576"/>
      <c r="F576" s="662" t="str">
        <f>LEFT(AllDaqbookOffsets[[#This Row],[traceability_no]],2)</f>
        <v>J3</v>
      </c>
    </row>
    <row r="577" spans="1:6" x14ac:dyDescent="0.2">
      <c r="A577"/>
      <c r="B577"/>
      <c r="C577"/>
      <c r="D577"/>
      <c r="E577"/>
      <c r="F577" s="662" t="str">
        <f>LEFT(AllDaqbookOffsets[[#This Row],[traceability_no]],2)</f>
        <v>J3</v>
      </c>
    </row>
    <row r="578" spans="1:6" x14ac:dyDescent="0.2">
      <c r="A578"/>
      <c r="B578"/>
      <c r="C578"/>
      <c r="D578"/>
      <c r="E578"/>
      <c r="F578" s="662" t="str">
        <f>LEFT(AllDaqbookOffsets[[#This Row],[traceability_no]],2)</f>
        <v>J3</v>
      </c>
    </row>
    <row r="579" spans="1:6" x14ac:dyDescent="0.2">
      <c r="A579"/>
      <c r="B579"/>
      <c r="C579"/>
      <c r="D579"/>
      <c r="E579"/>
      <c r="F579" s="662" t="str">
        <f>LEFT(AllDaqbookOffsets[[#This Row],[traceability_no]],2)</f>
        <v>J3</v>
      </c>
    </row>
    <row r="580" spans="1:6" x14ac:dyDescent="0.2">
      <c r="A580"/>
      <c r="B580"/>
      <c r="C580"/>
      <c r="D580"/>
      <c r="E580"/>
      <c r="F580" s="662" t="str">
        <f>LEFT(AllDaqbookOffsets[[#This Row],[traceability_no]],2)</f>
        <v>J3</v>
      </c>
    </row>
    <row r="581" spans="1:6" x14ac:dyDescent="0.2">
      <c r="A581"/>
      <c r="B581"/>
      <c r="C581"/>
      <c r="D581"/>
      <c r="E581"/>
      <c r="F581" s="662" t="str">
        <f>LEFT(AllDaqbookOffsets[[#This Row],[traceability_no]],2)</f>
        <v>J3</v>
      </c>
    </row>
    <row r="582" spans="1:6" x14ac:dyDescent="0.2">
      <c r="A582"/>
      <c r="B582"/>
      <c r="C582"/>
      <c r="D582"/>
      <c r="E582"/>
      <c r="F582" s="662" t="str">
        <f>LEFT(AllDaqbookOffsets[[#This Row],[traceability_no]],2)</f>
        <v>J3</v>
      </c>
    </row>
    <row r="583" spans="1:6" x14ac:dyDescent="0.2">
      <c r="A583"/>
      <c r="B583"/>
      <c r="C583"/>
      <c r="D583"/>
      <c r="E583"/>
      <c r="F583" s="662" t="str">
        <f>LEFT(AllDaqbookOffsets[[#This Row],[traceability_no]],2)</f>
        <v>J3</v>
      </c>
    </row>
    <row r="584" spans="1:6" x14ac:dyDescent="0.2">
      <c r="A584"/>
      <c r="B584"/>
      <c r="C584"/>
      <c r="D584"/>
      <c r="E584"/>
      <c r="F584" s="662" t="str">
        <f>LEFT(AllDaqbookOffsets[[#This Row],[traceability_no]],2)</f>
        <v>J3</v>
      </c>
    </row>
    <row r="585" spans="1:6" x14ac:dyDescent="0.2">
      <c r="A585"/>
      <c r="B585"/>
      <c r="C585"/>
      <c r="D585"/>
      <c r="E585"/>
      <c r="F585" s="662" t="str">
        <f>LEFT(AllDaqbookOffsets[[#This Row],[traceability_no]],2)</f>
        <v>J3</v>
      </c>
    </row>
    <row r="586" spans="1:6" x14ac:dyDescent="0.2">
      <c r="A586"/>
      <c r="B586"/>
      <c r="C586"/>
      <c r="D586"/>
      <c r="E586"/>
      <c r="F586" s="662" t="str">
        <f>LEFT(AllDaqbookOffsets[[#This Row],[traceability_no]],2)</f>
        <v>J3</v>
      </c>
    </row>
    <row r="587" spans="1:6" x14ac:dyDescent="0.2">
      <c r="A587"/>
      <c r="B587"/>
      <c r="C587"/>
      <c r="D587"/>
      <c r="E587"/>
      <c r="F587" s="662" t="str">
        <f>LEFT(AllDaqbookOffsets[[#This Row],[traceability_no]],2)</f>
        <v>J3</v>
      </c>
    </row>
    <row r="588" spans="1:6" x14ac:dyDescent="0.2">
      <c r="A588"/>
      <c r="B588"/>
      <c r="C588"/>
      <c r="D588"/>
      <c r="E588"/>
      <c r="F588" s="662" t="str">
        <f>LEFT(AllDaqbookOffsets[[#This Row],[traceability_no]],2)</f>
        <v>J3</v>
      </c>
    </row>
    <row r="589" spans="1:6" x14ac:dyDescent="0.2">
      <c r="A589"/>
      <c r="B589"/>
      <c r="C589"/>
      <c r="D589"/>
      <c r="E589"/>
      <c r="F589" s="662" t="str">
        <f>LEFT(AllDaqbookOffsets[[#This Row],[traceability_no]],2)</f>
        <v>J3</v>
      </c>
    </row>
    <row r="590" spans="1:6" x14ac:dyDescent="0.2">
      <c r="A590"/>
      <c r="B590"/>
      <c r="C590"/>
      <c r="D590"/>
      <c r="E590"/>
      <c r="F590" s="662" t="str">
        <f>LEFT(AllDaqbookOffsets[[#This Row],[traceability_no]],2)</f>
        <v>J3</v>
      </c>
    </row>
    <row r="591" spans="1:6" x14ac:dyDescent="0.2">
      <c r="A591"/>
      <c r="B591"/>
      <c r="C591"/>
      <c r="D591"/>
      <c r="E591"/>
      <c r="F591" s="662" t="str">
        <f>LEFT(AllDaqbookOffsets[[#This Row],[traceability_no]],2)</f>
        <v>J3</v>
      </c>
    </row>
    <row r="592" spans="1:6" x14ac:dyDescent="0.2">
      <c r="A592"/>
      <c r="B592"/>
      <c r="C592"/>
      <c r="D592"/>
      <c r="E592"/>
      <c r="F592" s="662" t="str">
        <f>LEFT(AllDaqbookOffsets[[#This Row],[traceability_no]],2)</f>
        <v>J3</v>
      </c>
    </row>
    <row r="593" spans="1:6" x14ac:dyDescent="0.2">
      <c r="A593"/>
      <c r="B593"/>
      <c r="C593"/>
      <c r="D593"/>
      <c r="E593"/>
      <c r="F593" s="662" t="str">
        <f>LEFT(AllDaqbookOffsets[[#This Row],[traceability_no]],2)</f>
        <v>J3</v>
      </c>
    </row>
    <row r="594" spans="1:6" x14ac:dyDescent="0.2">
      <c r="A594"/>
      <c r="B594"/>
      <c r="C594"/>
      <c r="D594"/>
      <c r="E594"/>
      <c r="F594" s="662" t="str">
        <f>LEFT(AllDaqbookOffsets[[#This Row],[traceability_no]],2)</f>
        <v>J3</v>
      </c>
    </row>
    <row r="595" spans="1:6" x14ac:dyDescent="0.2">
      <c r="A595"/>
      <c r="B595"/>
      <c r="C595"/>
      <c r="D595"/>
      <c r="E595"/>
      <c r="F595" s="662" t="str">
        <f>LEFT(AllDaqbookOffsets[[#This Row],[traceability_no]],2)</f>
        <v>J3</v>
      </c>
    </row>
    <row r="596" spans="1:6" x14ac:dyDescent="0.2">
      <c r="A596"/>
      <c r="B596"/>
      <c r="C596"/>
      <c r="D596"/>
      <c r="E596"/>
      <c r="F596" s="662" t="str">
        <f>LEFT(AllDaqbookOffsets[[#This Row],[traceability_no]],2)</f>
        <v>J3</v>
      </c>
    </row>
    <row r="597" spans="1:6" x14ac:dyDescent="0.2">
      <c r="A597"/>
      <c r="B597"/>
      <c r="C597"/>
      <c r="D597"/>
      <c r="E597"/>
      <c r="F597" s="662" t="str">
        <f>LEFT(AllDaqbookOffsets[[#This Row],[traceability_no]],2)</f>
        <v>J3</v>
      </c>
    </row>
    <row r="598" spans="1:6" x14ac:dyDescent="0.2">
      <c r="A598"/>
      <c r="B598"/>
      <c r="C598"/>
      <c r="D598"/>
      <c r="E598"/>
      <c r="F598" s="662" t="str">
        <f>LEFT(AllDaqbookOffsets[[#This Row],[traceability_no]],2)</f>
        <v>J3</v>
      </c>
    </row>
    <row r="599" spans="1:6" x14ac:dyDescent="0.2">
      <c r="A599"/>
      <c r="B599"/>
      <c r="C599"/>
      <c r="D599"/>
      <c r="E599"/>
      <c r="F599" s="662" t="str">
        <f>LEFT(AllDaqbookOffsets[[#This Row],[traceability_no]],2)</f>
        <v>J3</v>
      </c>
    </row>
    <row r="600" spans="1:6" x14ac:dyDescent="0.2">
      <c r="A600"/>
      <c r="B600"/>
      <c r="C600"/>
      <c r="D600"/>
      <c r="E600"/>
      <c r="F600" s="662" t="str">
        <f>LEFT(AllDaqbookOffsets[[#This Row],[traceability_no]],2)</f>
        <v>J3</v>
      </c>
    </row>
    <row r="601" spans="1:6" x14ac:dyDescent="0.2">
      <c r="A601"/>
      <c r="B601"/>
      <c r="C601"/>
      <c r="D601"/>
      <c r="E601"/>
      <c r="F601" s="662" t="str">
        <f>LEFT(AllDaqbookOffsets[[#This Row],[traceability_no]],2)</f>
        <v>J3</v>
      </c>
    </row>
    <row r="602" spans="1:6" x14ac:dyDescent="0.2">
      <c r="A602"/>
      <c r="B602"/>
      <c r="C602"/>
      <c r="D602"/>
      <c r="E602"/>
      <c r="F602" s="662" t="str">
        <f>LEFT(AllDaqbookOffsets[[#This Row],[traceability_no]],2)</f>
        <v>J3</v>
      </c>
    </row>
    <row r="603" spans="1:6" x14ac:dyDescent="0.2">
      <c r="A603"/>
      <c r="B603"/>
      <c r="C603"/>
      <c r="D603"/>
      <c r="E603"/>
      <c r="F603" s="662" t="str">
        <f>LEFT(AllDaqbookOffsets[[#This Row],[traceability_no]],2)</f>
        <v>J3</v>
      </c>
    </row>
    <row r="604" spans="1:6" x14ac:dyDescent="0.2">
      <c r="A604"/>
      <c r="B604"/>
      <c r="C604"/>
      <c r="D604"/>
      <c r="E604"/>
      <c r="F604" s="662" t="str">
        <f>LEFT(AllDaqbookOffsets[[#This Row],[traceability_no]],2)</f>
        <v>J3</v>
      </c>
    </row>
    <row r="605" spans="1:6" x14ac:dyDescent="0.2">
      <c r="A605"/>
      <c r="B605"/>
      <c r="C605"/>
      <c r="D605"/>
      <c r="E605"/>
      <c r="F605" s="662" t="str">
        <f>LEFT(AllDaqbookOffsets[[#This Row],[traceability_no]],2)</f>
        <v>J3</v>
      </c>
    </row>
    <row r="606" spans="1:6" x14ac:dyDescent="0.2">
      <c r="A606"/>
      <c r="B606"/>
      <c r="C606"/>
      <c r="D606"/>
      <c r="E606"/>
      <c r="F606" s="662" t="str">
        <f>LEFT(AllDaqbookOffsets[[#This Row],[traceability_no]],2)</f>
        <v>J3</v>
      </c>
    </row>
    <row r="607" spans="1:6" x14ac:dyDescent="0.2">
      <c r="A607"/>
      <c r="B607"/>
      <c r="C607"/>
      <c r="D607"/>
      <c r="E607"/>
      <c r="F607" s="662" t="str">
        <f>LEFT(AllDaqbookOffsets[[#This Row],[traceability_no]],2)</f>
        <v>J3</v>
      </c>
    </row>
    <row r="608" spans="1:6" x14ac:dyDescent="0.2">
      <c r="A608"/>
      <c r="B608"/>
      <c r="C608"/>
      <c r="D608"/>
      <c r="E608"/>
      <c r="F608" s="662" t="str">
        <f>LEFT(AllDaqbookOffsets[[#This Row],[traceability_no]],2)</f>
        <v>J3</v>
      </c>
    </row>
    <row r="609" spans="1:6" x14ac:dyDescent="0.2">
      <c r="A609"/>
      <c r="B609"/>
      <c r="C609"/>
      <c r="D609"/>
      <c r="E609"/>
      <c r="F609" s="662" t="str">
        <f>LEFT(AllDaqbookOffsets[[#This Row],[traceability_no]],2)</f>
        <v>J3</v>
      </c>
    </row>
    <row r="610" spans="1:6" x14ac:dyDescent="0.2">
      <c r="A610"/>
      <c r="B610"/>
      <c r="C610"/>
      <c r="D610"/>
      <c r="E610"/>
      <c r="F610" s="662" t="str">
        <f>LEFT(AllDaqbookOffsets[[#This Row],[traceability_no]],2)</f>
        <v>J3</v>
      </c>
    </row>
    <row r="611" spans="1:6" x14ac:dyDescent="0.2">
      <c r="A611"/>
      <c r="B611"/>
      <c r="C611"/>
      <c r="D611"/>
      <c r="E611"/>
      <c r="F611" s="662" t="str">
        <f>LEFT(AllDaqbookOffsets[[#This Row],[traceability_no]],2)</f>
        <v>J3</v>
      </c>
    </row>
    <row r="612" spans="1:6" x14ac:dyDescent="0.2">
      <c r="A612"/>
      <c r="B612"/>
      <c r="C612"/>
      <c r="D612"/>
      <c r="E612"/>
      <c r="F612" s="662" t="str">
        <f>LEFT(AllDaqbookOffsets[[#This Row],[traceability_no]],2)</f>
        <v>J3</v>
      </c>
    </row>
    <row r="613" spans="1:6" x14ac:dyDescent="0.2">
      <c r="A613"/>
      <c r="B613"/>
      <c r="C613"/>
      <c r="D613"/>
      <c r="E613"/>
      <c r="F613" s="662" t="str">
        <f>LEFT(AllDaqbookOffsets[[#This Row],[traceability_no]],2)</f>
        <v>J3</v>
      </c>
    </row>
    <row r="614" spans="1:6" x14ac:dyDescent="0.2">
      <c r="A614"/>
      <c r="B614"/>
      <c r="C614"/>
      <c r="D614"/>
      <c r="E614"/>
      <c r="F614" s="662" t="str">
        <f>LEFT(AllDaqbookOffsets[[#This Row],[traceability_no]],2)</f>
        <v>J3</v>
      </c>
    </row>
    <row r="615" spans="1:6" x14ac:dyDescent="0.2">
      <c r="A615"/>
      <c r="B615"/>
      <c r="C615"/>
      <c r="D615"/>
      <c r="E615"/>
      <c r="F615" s="662" t="str">
        <f>LEFT(AllDaqbookOffsets[[#This Row],[traceability_no]],2)</f>
        <v>J3</v>
      </c>
    </row>
    <row r="616" spans="1:6" x14ac:dyDescent="0.2">
      <c r="A616"/>
      <c r="B616"/>
      <c r="C616"/>
      <c r="D616"/>
      <c r="E616"/>
      <c r="F616" s="662" t="str">
        <f>LEFT(AllDaqbookOffsets[[#This Row],[traceability_no]],2)</f>
        <v>J3</v>
      </c>
    </row>
    <row r="617" spans="1:6" x14ac:dyDescent="0.2">
      <c r="A617"/>
      <c r="B617"/>
      <c r="C617"/>
      <c r="D617"/>
      <c r="E617"/>
      <c r="F617" s="662" t="str">
        <f>LEFT(AllDaqbookOffsets[[#This Row],[traceability_no]],2)</f>
        <v>J3</v>
      </c>
    </row>
    <row r="618" spans="1:6" x14ac:dyDescent="0.2">
      <c r="A618"/>
      <c r="B618"/>
      <c r="C618"/>
      <c r="D618"/>
      <c r="E618"/>
      <c r="F618" s="662" t="str">
        <f>LEFT(AllDaqbookOffsets[[#This Row],[traceability_no]],2)</f>
        <v>J3</v>
      </c>
    </row>
    <row r="619" spans="1:6" x14ac:dyDescent="0.2">
      <c r="A619"/>
      <c r="B619"/>
      <c r="C619"/>
      <c r="D619"/>
      <c r="E619"/>
      <c r="F619" s="662" t="str">
        <f>LEFT(AllDaqbookOffsets[[#This Row],[traceability_no]],2)</f>
        <v>J3</v>
      </c>
    </row>
    <row r="620" spans="1:6" x14ac:dyDescent="0.2">
      <c r="A620"/>
      <c r="B620"/>
      <c r="C620"/>
      <c r="D620"/>
      <c r="E620"/>
      <c r="F620" s="662" t="str">
        <f>LEFT(AllDaqbookOffsets[[#This Row],[traceability_no]],2)</f>
        <v>J3</v>
      </c>
    </row>
    <row r="621" spans="1:6" x14ac:dyDescent="0.2">
      <c r="A621"/>
      <c r="B621"/>
      <c r="C621"/>
      <c r="D621"/>
      <c r="E621"/>
      <c r="F621" s="662" t="str">
        <f>LEFT(AllDaqbookOffsets[[#This Row],[traceability_no]],2)</f>
        <v>J3</v>
      </c>
    </row>
    <row r="622" spans="1:6" x14ac:dyDescent="0.2">
      <c r="A622"/>
      <c r="B622"/>
      <c r="C622"/>
      <c r="D622"/>
      <c r="E622"/>
      <c r="F622" s="662" t="str">
        <f>LEFT(AllDaqbookOffsets[[#This Row],[traceability_no]],2)</f>
        <v>J3</v>
      </c>
    </row>
    <row r="623" spans="1:6" x14ac:dyDescent="0.2">
      <c r="A623"/>
      <c r="B623"/>
      <c r="C623"/>
      <c r="D623"/>
      <c r="E623"/>
      <c r="F623" s="662" t="str">
        <f>LEFT(AllDaqbookOffsets[[#This Row],[traceability_no]],2)</f>
        <v>J3</v>
      </c>
    </row>
    <row r="624" spans="1:6" x14ac:dyDescent="0.2">
      <c r="A624"/>
      <c r="B624"/>
      <c r="C624"/>
      <c r="D624"/>
      <c r="E624"/>
      <c r="F624" s="662" t="str">
        <f>LEFT(AllDaqbookOffsets[[#This Row],[traceability_no]],2)</f>
        <v>J3</v>
      </c>
    </row>
    <row r="625" spans="1:6" x14ac:dyDescent="0.2">
      <c r="A625"/>
      <c r="B625"/>
      <c r="C625"/>
      <c r="D625"/>
      <c r="E625"/>
      <c r="F625" s="662" t="str">
        <f>LEFT(AllDaqbookOffsets[[#This Row],[traceability_no]],2)</f>
        <v>J3</v>
      </c>
    </row>
    <row r="626" spans="1:6" x14ac:dyDescent="0.2">
      <c r="A626"/>
      <c r="B626"/>
      <c r="C626"/>
      <c r="D626"/>
      <c r="E626"/>
      <c r="F626" s="662" t="str">
        <f>LEFT(AllDaqbookOffsets[[#This Row],[traceability_no]],2)</f>
        <v>J3</v>
      </c>
    </row>
    <row r="627" spans="1:6" x14ac:dyDescent="0.2">
      <c r="A627"/>
      <c r="B627"/>
      <c r="C627"/>
      <c r="D627"/>
      <c r="E627"/>
      <c r="F627" s="662" t="str">
        <f>LEFT(AllDaqbookOffsets[[#This Row],[traceability_no]],2)</f>
        <v>J3</v>
      </c>
    </row>
    <row r="628" spans="1:6" x14ac:dyDescent="0.2">
      <c r="A628"/>
      <c r="B628"/>
      <c r="C628"/>
      <c r="D628"/>
      <c r="E628"/>
      <c r="F628" s="662" t="str">
        <f>LEFT(AllDaqbookOffsets[[#This Row],[traceability_no]],2)</f>
        <v>J3</v>
      </c>
    </row>
    <row r="629" spans="1:6" x14ac:dyDescent="0.2">
      <c r="A629"/>
      <c r="B629"/>
      <c r="C629"/>
      <c r="D629"/>
      <c r="E629"/>
      <c r="F629" s="662" t="str">
        <f>LEFT(AllDaqbookOffsets[[#This Row],[traceability_no]],2)</f>
        <v>J3</v>
      </c>
    </row>
    <row r="630" spans="1:6" x14ac:dyDescent="0.2">
      <c r="A630"/>
      <c r="B630"/>
      <c r="C630"/>
      <c r="D630"/>
      <c r="E630"/>
      <c r="F630" s="662" t="str">
        <f>LEFT(AllDaqbookOffsets[[#This Row],[traceability_no]],2)</f>
        <v>J3</v>
      </c>
    </row>
    <row r="631" spans="1:6" x14ac:dyDescent="0.2">
      <c r="A631"/>
      <c r="B631"/>
      <c r="C631"/>
      <c r="D631"/>
      <c r="E631"/>
      <c r="F631" s="662" t="str">
        <f>LEFT(AllDaqbookOffsets[[#This Row],[traceability_no]],2)</f>
        <v>J3</v>
      </c>
    </row>
    <row r="632" spans="1:6" x14ac:dyDescent="0.2">
      <c r="A632"/>
      <c r="B632"/>
      <c r="C632"/>
      <c r="D632"/>
      <c r="E632"/>
      <c r="F632" s="662" t="str">
        <f>LEFT(AllDaqbookOffsets[[#This Row],[traceability_no]],2)</f>
        <v>J3</v>
      </c>
    </row>
    <row r="633" spans="1:6" x14ac:dyDescent="0.2">
      <c r="A633"/>
      <c r="B633"/>
      <c r="C633"/>
      <c r="D633"/>
      <c r="E633"/>
      <c r="F633" s="662" t="str">
        <f>LEFT(AllDaqbookOffsets[[#This Row],[traceability_no]],2)</f>
        <v>J3</v>
      </c>
    </row>
    <row r="634" spans="1:6" x14ac:dyDescent="0.2">
      <c r="A634"/>
      <c r="B634"/>
      <c r="C634"/>
      <c r="D634"/>
      <c r="E634"/>
      <c r="F634" s="662" t="str">
        <f>LEFT(AllDaqbookOffsets[[#This Row],[traceability_no]],2)</f>
        <v>J3</v>
      </c>
    </row>
    <row r="635" spans="1:6" x14ac:dyDescent="0.2">
      <c r="A635"/>
      <c r="B635"/>
      <c r="C635"/>
      <c r="D635"/>
      <c r="E635"/>
      <c r="F635" s="662" t="str">
        <f>LEFT(AllDaqbookOffsets[[#This Row],[traceability_no]],2)</f>
        <v>J3</v>
      </c>
    </row>
    <row r="636" spans="1:6" x14ac:dyDescent="0.2">
      <c r="A636"/>
      <c r="B636"/>
      <c r="C636"/>
      <c r="D636"/>
      <c r="E636"/>
      <c r="F636" s="662" t="str">
        <f>LEFT(AllDaqbookOffsets[[#This Row],[traceability_no]],2)</f>
        <v>J3</v>
      </c>
    </row>
    <row r="637" spans="1:6" x14ac:dyDescent="0.2">
      <c r="A637"/>
      <c r="B637"/>
      <c r="C637"/>
      <c r="D637"/>
      <c r="E637"/>
      <c r="F637" s="662" t="str">
        <f>LEFT(AllDaqbookOffsets[[#This Row],[traceability_no]],2)</f>
        <v>J3</v>
      </c>
    </row>
    <row r="638" spans="1:6" x14ac:dyDescent="0.2">
      <c r="A638"/>
      <c r="B638"/>
      <c r="C638"/>
      <c r="D638"/>
      <c r="E638"/>
      <c r="F638" s="662" t="str">
        <f>LEFT(AllDaqbookOffsets[[#This Row],[traceability_no]],2)</f>
        <v>J3</v>
      </c>
    </row>
    <row r="639" spans="1:6" x14ac:dyDescent="0.2">
      <c r="A639"/>
      <c r="B639"/>
      <c r="C639"/>
      <c r="D639"/>
      <c r="E639"/>
      <c r="F639" s="662" t="str">
        <f>LEFT(AllDaqbookOffsets[[#This Row],[traceability_no]],2)</f>
        <v>J3</v>
      </c>
    </row>
    <row r="640" spans="1:6" x14ac:dyDescent="0.2">
      <c r="A640"/>
      <c r="B640"/>
      <c r="C640"/>
      <c r="D640"/>
      <c r="E640"/>
      <c r="F640" s="662" t="str">
        <f>LEFT(AllDaqbookOffsets[[#This Row],[traceability_no]],2)</f>
        <v>J3</v>
      </c>
    </row>
    <row r="641" spans="1:6" x14ac:dyDescent="0.2">
      <c r="A641"/>
      <c r="B641"/>
      <c r="C641"/>
      <c r="D641"/>
      <c r="E641"/>
      <c r="F641" s="662" t="str">
        <f>LEFT(AllDaqbookOffsets[[#This Row],[traceability_no]],2)</f>
        <v>J3</v>
      </c>
    </row>
    <row r="642" spans="1:6" x14ac:dyDescent="0.2">
      <c r="A642"/>
      <c r="B642"/>
      <c r="C642"/>
      <c r="D642"/>
      <c r="E642"/>
      <c r="F642" s="662" t="str">
        <f>LEFT(AllDaqbookOffsets[[#This Row],[traceability_no]],2)</f>
        <v>J3</v>
      </c>
    </row>
    <row r="643" spans="1:6" x14ac:dyDescent="0.2">
      <c r="A643"/>
      <c r="B643"/>
      <c r="C643"/>
      <c r="D643"/>
      <c r="E643"/>
      <c r="F643" s="662" t="str">
        <f>LEFT(AllDaqbookOffsets[[#This Row],[traceability_no]],2)</f>
        <v>J3</v>
      </c>
    </row>
    <row r="644" spans="1:6" x14ac:dyDescent="0.2">
      <c r="A644"/>
      <c r="B644"/>
      <c r="C644"/>
      <c r="D644"/>
      <c r="E644"/>
      <c r="F644" s="662" t="str">
        <f>LEFT(AllDaqbookOffsets[[#This Row],[traceability_no]],2)</f>
        <v>J3</v>
      </c>
    </row>
    <row r="645" spans="1:6" x14ac:dyDescent="0.2">
      <c r="A645"/>
      <c r="B645"/>
      <c r="C645"/>
      <c r="D645"/>
      <c r="E645"/>
      <c r="F645" s="662" t="str">
        <f>LEFT(AllDaqbookOffsets[[#This Row],[traceability_no]],2)</f>
        <v>J3</v>
      </c>
    </row>
    <row r="646" spans="1:6" x14ac:dyDescent="0.2">
      <c r="A646"/>
      <c r="B646"/>
      <c r="C646"/>
      <c r="D646"/>
      <c r="E646"/>
      <c r="F646" s="662" t="str">
        <f>LEFT(AllDaqbookOffsets[[#This Row],[traceability_no]],2)</f>
        <v>J3</v>
      </c>
    </row>
    <row r="647" spans="1:6" x14ac:dyDescent="0.2">
      <c r="A647"/>
      <c r="B647"/>
      <c r="C647"/>
      <c r="D647"/>
      <c r="E647"/>
      <c r="F647" s="662" t="str">
        <f>LEFT(AllDaqbookOffsets[[#This Row],[traceability_no]],2)</f>
        <v>J3</v>
      </c>
    </row>
    <row r="648" spans="1:6" x14ac:dyDescent="0.2">
      <c r="A648"/>
      <c r="B648"/>
      <c r="C648"/>
      <c r="D648"/>
      <c r="E648"/>
      <c r="F648" s="662" t="str">
        <f>LEFT(AllDaqbookOffsets[[#This Row],[traceability_no]],2)</f>
        <v>J3</v>
      </c>
    </row>
    <row r="649" spans="1:6" x14ac:dyDescent="0.2">
      <c r="A649"/>
      <c r="B649"/>
      <c r="C649"/>
      <c r="D649"/>
      <c r="E649"/>
      <c r="F649" s="662" t="str">
        <f>LEFT(AllDaqbookOffsets[[#This Row],[traceability_no]],2)</f>
        <v>J3</v>
      </c>
    </row>
    <row r="650" spans="1:6" x14ac:dyDescent="0.2">
      <c r="A650"/>
      <c r="B650"/>
      <c r="C650"/>
      <c r="D650"/>
      <c r="E650"/>
      <c r="F650" s="662" t="str">
        <f>LEFT(AllDaqbookOffsets[[#This Row],[traceability_no]],2)</f>
        <v>J3</v>
      </c>
    </row>
    <row r="651" spans="1:6" x14ac:dyDescent="0.2">
      <c r="A651"/>
      <c r="B651"/>
      <c r="C651"/>
      <c r="D651"/>
      <c r="E651"/>
      <c r="F651" s="662" t="str">
        <f>LEFT(AllDaqbookOffsets[[#This Row],[traceability_no]],2)</f>
        <v>J3</v>
      </c>
    </row>
    <row r="652" spans="1:6" x14ac:dyDescent="0.2">
      <c r="A652"/>
      <c r="B652"/>
      <c r="C652"/>
      <c r="D652"/>
      <c r="E652"/>
      <c r="F652" s="662" t="str">
        <f>LEFT(AllDaqbookOffsets[[#This Row],[traceability_no]],2)</f>
        <v>J3</v>
      </c>
    </row>
    <row r="653" spans="1:6" x14ac:dyDescent="0.2">
      <c r="A653"/>
      <c r="B653"/>
      <c r="C653"/>
      <c r="D653"/>
      <c r="E653"/>
      <c r="F653" s="662" t="str">
        <f>LEFT(AllDaqbookOffsets[[#This Row],[traceability_no]],2)</f>
        <v>J3</v>
      </c>
    </row>
    <row r="654" spans="1:6" x14ac:dyDescent="0.2">
      <c r="A654"/>
      <c r="B654"/>
      <c r="C654"/>
      <c r="D654"/>
      <c r="E654"/>
      <c r="F654" s="662" t="str">
        <f>LEFT(AllDaqbookOffsets[[#This Row],[traceability_no]],2)</f>
        <v>J3</v>
      </c>
    </row>
    <row r="655" spans="1:6" x14ac:dyDescent="0.2">
      <c r="A655"/>
      <c r="B655"/>
      <c r="C655"/>
      <c r="D655"/>
      <c r="E655"/>
      <c r="F655" s="662" t="str">
        <f>LEFT(AllDaqbookOffsets[[#This Row],[traceability_no]],2)</f>
        <v>J3</v>
      </c>
    </row>
    <row r="656" spans="1:6" x14ac:dyDescent="0.2">
      <c r="A656"/>
      <c r="B656"/>
      <c r="C656"/>
      <c r="D656"/>
      <c r="E656"/>
      <c r="F656" s="662" t="str">
        <f>LEFT(AllDaqbookOffsets[[#This Row],[traceability_no]],2)</f>
        <v>J3</v>
      </c>
    </row>
    <row r="657" spans="1:6" x14ac:dyDescent="0.2">
      <c r="A657"/>
      <c r="B657"/>
      <c r="C657"/>
      <c r="D657"/>
      <c r="E657"/>
      <c r="F657" s="662" t="str">
        <f>LEFT(AllDaqbookOffsets[[#This Row],[traceability_no]],2)</f>
        <v>J3</v>
      </c>
    </row>
    <row r="658" spans="1:6" x14ac:dyDescent="0.2">
      <c r="A658"/>
      <c r="B658"/>
      <c r="C658"/>
      <c r="D658"/>
      <c r="E658"/>
      <c r="F658" s="662" t="str">
        <f>LEFT(AllDaqbookOffsets[[#This Row],[traceability_no]],2)</f>
        <v>J3</v>
      </c>
    </row>
    <row r="659" spans="1:6" x14ac:dyDescent="0.2">
      <c r="A659"/>
      <c r="B659"/>
      <c r="C659"/>
      <c r="D659"/>
      <c r="E659"/>
      <c r="F659" s="662" t="str">
        <f>LEFT(AllDaqbookOffsets[[#This Row],[traceability_no]],2)</f>
        <v>J3</v>
      </c>
    </row>
    <row r="660" spans="1:6" x14ac:dyDescent="0.2">
      <c r="A660"/>
      <c r="B660"/>
      <c r="C660"/>
      <c r="D660"/>
      <c r="E660"/>
      <c r="F660" s="662" t="str">
        <f>LEFT(AllDaqbookOffsets[[#This Row],[traceability_no]],2)</f>
        <v>J3</v>
      </c>
    </row>
    <row r="661" spans="1:6" x14ac:dyDescent="0.2">
      <c r="A661"/>
      <c r="B661"/>
      <c r="C661"/>
      <c r="D661"/>
      <c r="E661"/>
      <c r="F661" s="662" t="str">
        <f>LEFT(AllDaqbookOffsets[[#This Row],[traceability_no]],2)</f>
        <v>J3</v>
      </c>
    </row>
    <row r="662" spans="1:6" x14ac:dyDescent="0.2">
      <c r="A662"/>
      <c r="B662"/>
      <c r="C662"/>
      <c r="D662"/>
      <c r="E662"/>
      <c r="F662" s="662" t="str">
        <f>LEFT(AllDaqbookOffsets[[#This Row],[traceability_no]],2)</f>
        <v>J3</v>
      </c>
    </row>
    <row r="663" spans="1:6" x14ac:dyDescent="0.2">
      <c r="A663"/>
      <c r="B663"/>
      <c r="C663"/>
      <c r="D663"/>
      <c r="E663"/>
      <c r="F663" s="662" t="str">
        <f>LEFT(AllDaqbookOffsets[[#This Row],[traceability_no]],2)</f>
        <v>J3</v>
      </c>
    </row>
    <row r="664" spans="1:6" x14ac:dyDescent="0.2">
      <c r="A664"/>
      <c r="B664"/>
      <c r="C664"/>
      <c r="D664"/>
      <c r="E664"/>
      <c r="F664" s="662" t="str">
        <f>LEFT(AllDaqbookOffsets[[#This Row],[traceability_no]],2)</f>
        <v>J3</v>
      </c>
    </row>
    <row r="665" spans="1:6" x14ac:dyDescent="0.2">
      <c r="A665"/>
      <c r="B665"/>
      <c r="C665"/>
      <c r="D665"/>
      <c r="E665"/>
      <c r="F665" s="662" t="str">
        <f>LEFT(AllDaqbookOffsets[[#This Row],[traceability_no]],2)</f>
        <v>J3</v>
      </c>
    </row>
    <row r="666" spans="1:6" x14ac:dyDescent="0.2">
      <c r="A666"/>
      <c r="B666"/>
      <c r="C666"/>
      <c r="D666"/>
      <c r="E666"/>
      <c r="F666" s="662" t="str">
        <f>LEFT(AllDaqbookOffsets[[#This Row],[traceability_no]],2)</f>
        <v>J3</v>
      </c>
    </row>
    <row r="667" spans="1:6" x14ac:dyDescent="0.2">
      <c r="A667"/>
      <c r="B667"/>
      <c r="C667"/>
      <c r="D667"/>
      <c r="E667"/>
      <c r="F667" s="662" t="str">
        <f>LEFT(AllDaqbookOffsets[[#This Row],[traceability_no]],2)</f>
        <v>J3</v>
      </c>
    </row>
    <row r="668" spans="1:6" x14ac:dyDescent="0.2">
      <c r="A668"/>
      <c r="B668"/>
      <c r="C668"/>
      <c r="D668"/>
      <c r="E668"/>
      <c r="F668" s="662" t="str">
        <f>LEFT(AllDaqbookOffsets[[#This Row],[traceability_no]],2)</f>
        <v>J3</v>
      </c>
    </row>
    <row r="669" spans="1:6" x14ac:dyDescent="0.2">
      <c r="A669"/>
      <c r="B669"/>
      <c r="C669"/>
      <c r="D669"/>
      <c r="E669"/>
      <c r="F669" s="662" t="str">
        <f>LEFT(AllDaqbookOffsets[[#This Row],[traceability_no]],2)</f>
        <v>J3</v>
      </c>
    </row>
    <row r="670" spans="1:6" x14ac:dyDescent="0.2">
      <c r="A670"/>
      <c r="B670"/>
      <c r="C670"/>
      <c r="D670"/>
      <c r="E670"/>
      <c r="F670" s="662" t="str">
        <f>LEFT(AllDaqbookOffsets[[#This Row],[traceability_no]],2)</f>
        <v>J3</v>
      </c>
    </row>
    <row r="671" spans="1:6" x14ac:dyDescent="0.2">
      <c r="A671"/>
      <c r="B671"/>
      <c r="C671"/>
      <c r="D671"/>
      <c r="E671"/>
      <c r="F671" s="662" t="str">
        <f>LEFT(AllDaqbookOffsets[[#This Row],[traceability_no]],2)</f>
        <v>J3</v>
      </c>
    </row>
    <row r="672" spans="1:6" x14ac:dyDescent="0.2">
      <c r="A672"/>
      <c r="B672"/>
      <c r="C672"/>
      <c r="D672"/>
      <c r="E672"/>
      <c r="F672" s="662" t="str">
        <f>LEFT(AllDaqbookOffsets[[#This Row],[traceability_no]],2)</f>
        <v>J3</v>
      </c>
    </row>
    <row r="673" spans="1:6" x14ac:dyDescent="0.2">
      <c r="A673"/>
      <c r="B673"/>
      <c r="C673"/>
      <c r="D673"/>
      <c r="E673"/>
      <c r="F673" s="662" t="str">
        <f>LEFT(AllDaqbookOffsets[[#This Row],[traceability_no]],2)</f>
        <v>J3</v>
      </c>
    </row>
    <row r="674" spans="1:6" x14ac:dyDescent="0.2">
      <c r="A674"/>
      <c r="B674"/>
      <c r="C674"/>
      <c r="D674"/>
      <c r="E674"/>
      <c r="F674" s="662" t="str">
        <f>LEFT(AllDaqbookOffsets[[#This Row],[traceability_no]],2)</f>
        <v>J3</v>
      </c>
    </row>
    <row r="675" spans="1:6" x14ac:dyDescent="0.2">
      <c r="A675"/>
      <c r="B675"/>
      <c r="C675"/>
      <c r="D675"/>
      <c r="E675"/>
      <c r="F675" s="662" t="str">
        <f>LEFT(AllDaqbookOffsets[[#This Row],[traceability_no]],2)</f>
        <v>J3</v>
      </c>
    </row>
    <row r="676" spans="1:6" x14ac:dyDescent="0.2">
      <c r="A676"/>
      <c r="B676"/>
      <c r="C676"/>
      <c r="D676"/>
      <c r="E676"/>
      <c r="F676" s="662" t="str">
        <f>LEFT(AllDaqbookOffsets[[#This Row],[traceability_no]],2)</f>
        <v>J3</v>
      </c>
    </row>
    <row r="677" spans="1:6" x14ac:dyDescent="0.2">
      <c r="A677"/>
      <c r="B677"/>
      <c r="C677"/>
      <c r="D677"/>
      <c r="E677"/>
      <c r="F677" s="662" t="str">
        <f>LEFT(AllDaqbookOffsets[[#This Row],[traceability_no]],2)</f>
        <v>J3</v>
      </c>
    </row>
    <row r="678" spans="1:6" x14ac:dyDescent="0.2">
      <c r="A678"/>
      <c r="B678"/>
      <c r="C678"/>
      <c r="D678"/>
      <c r="E678"/>
      <c r="F678" s="662" t="str">
        <f>LEFT(AllDaqbookOffsets[[#This Row],[traceability_no]],2)</f>
        <v>J3</v>
      </c>
    </row>
    <row r="679" spans="1:6" x14ac:dyDescent="0.2">
      <c r="A679"/>
      <c r="B679"/>
      <c r="C679"/>
      <c r="D679"/>
      <c r="E679"/>
      <c r="F679" s="662" t="str">
        <f>LEFT(AllDaqbookOffsets[[#This Row],[traceability_no]],2)</f>
        <v>J3</v>
      </c>
    </row>
    <row r="680" spans="1:6" x14ac:dyDescent="0.2">
      <c r="A680"/>
      <c r="B680"/>
      <c r="C680"/>
      <c r="D680"/>
      <c r="E680"/>
      <c r="F680" s="662" t="str">
        <f>LEFT(AllDaqbookOffsets[[#This Row],[traceability_no]],2)</f>
        <v>J3</v>
      </c>
    </row>
    <row r="681" spans="1:6" x14ac:dyDescent="0.2">
      <c r="A681"/>
      <c r="B681"/>
      <c r="C681"/>
      <c r="D681"/>
      <c r="E681"/>
      <c r="F681" s="662" t="str">
        <f>LEFT(AllDaqbookOffsets[[#This Row],[traceability_no]],2)</f>
        <v>J3</v>
      </c>
    </row>
    <row r="682" spans="1:6" x14ac:dyDescent="0.2">
      <c r="A682"/>
      <c r="B682"/>
      <c r="C682"/>
      <c r="D682"/>
      <c r="E682"/>
      <c r="F682" s="662" t="str">
        <f>LEFT(AllDaqbookOffsets[[#This Row],[traceability_no]],2)</f>
        <v>J3</v>
      </c>
    </row>
    <row r="683" spans="1:6" x14ac:dyDescent="0.2">
      <c r="A683"/>
      <c r="B683"/>
      <c r="C683"/>
      <c r="D683"/>
      <c r="E683"/>
      <c r="F683" s="662" t="str">
        <f>LEFT(AllDaqbookOffsets[[#This Row],[traceability_no]],2)</f>
        <v>J3</v>
      </c>
    </row>
    <row r="684" spans="1:6" x14ac:dyDescent="0.2">
      <c r="A684"/>
      <c r="B684"/>
      <c r="C684"/>
      <c r="D684"/>
      <c r="E684"/>
      <c r="F684" s="662" t="str">
        <f>LEFT(AllDaqbookOffsets[[#This Row],[traceability_no]],2)</f>
        <v>J3</v>
      </c>
    </row>
    <row r="685" spans="1:6" x14ac:dyDescent="0.2">
      <c r="A685"/>
      <c r="B685"/>
      <c r="C685"/>
      <c r="D685"/>
      <c r="E685"/>
      <c r="F685" s="662" t="str">
        <f>LEFT(AllDaqbookOffsets[[#This Row],[traceability_no]],2)</f>
        <v>J3</v>
      </c>
    </row>
    <row r="686" spans="1:6" x14ac:dyDescent="0.2">
      <c r="A686"/>
      <c r="B686"/>
      <c r="C686"/>
      <c r="D686"/>
      <c r="E686"/>
      <c r="F686" s="662" t="str">
        <f>LEFT(AllDaqbookOffsets[[#This Row],[traceability_no]],2)</f>
        <v>J3</v>
      </c>
    </row>
    <row r="687" spans="1:6" x14ac:dyDescent="0.2">
      <c r="A687"/>
      <c r="B687"/>
      <c r="C687"/>
      <c r="D687"/>
      <c r="E687"/>
      <c r="F687" s="662" t="str">
        <f>LEFT(AllDaqbookOffsets[[#This Row],[traceability_no]],2)</f>
        <v>J3</v>
      </c>
    </row>
    <row r="688" spans="1:6" x14ac:dyDescent="0.2">
      <c r="A688"/>
      <c r="B688"/>
      <c r="C688"/>
      <c r="D688"/>
      <c r="E688"/>
      <c r="F688" s="662" t="str">
        <f>LEFT(AllDaqbookOffsets[[#This Row],[traceability_no]],2)</f>
        <v>J3</v>
      </c>
    </row>
    <row r="689" spans="1:6" x14ac:dyDescent="0.2">
      <c r="A689"/>
      <c r="B689"/>
      <c r="C689"/>
      <c r="D689"/>
      <c r="E689"/>
      <c r="F689" s="662" t="str">
        <f>LEFT(AllDaqbookOffsets[[#This Row],[traceability_no]],2)</f>
        <v>J3</v>
      </c>
    </row>
    <row r="690" spans="1:6" x14ac:dyDescent="0.2">
      <c r="A690"/>
      <c r="B690"/>
      <c r="C690"/>
      <c r="D690"/>
      <c r="E690"/>
      <c r="F690" s="662" t="str">
        <f>LEFT(AllDaqbookOffsets[[#This Row],[traceability_no]],2)</f>
        <v>J3</v>
      </c>
    </row>
    <row r="691" spans="1:6" x14ac:dyDescent="0.2">
      <c r="A691"/>
      <c r="B691"/>
      <c r="C691"/>
      <c r="D691"/>
      <c r="E691"/>
      <c r="F691" s="662" t="str">
        <f>LEFT(AllDaqbookOffsets[[#This Row],[traceability_no]],2)</f>
        <v>J3</v>
      </c>
    </row>
    <row r="692" spans="1:6" x14ac:dyDescent="0.2">
      <c r="A692"/>
      <c r="B692"/>
      <c r="C692"/>
      <c r="D692"/>
      <c r="E692"/>
      <c r="F692" s="662" t="str">
        <f>LEFT(AllDaqbookOffsets[[#This Row],[traceability_no]],2)</f>
        <v>J3</v>
      </c>
    </row>
    <row r="693" spans="1:6" x14ac:dyDescent="0.2">
      <c r="A693"/>
      <c r="B693"/>
      <c r="C693"/>
      <c r="D693"/>
      <c r="E693"/>
      <c r="F693" s="662" t="str">
        <f>LEFT(AllDaqbookOffsets[[#This Row],[traceability_no]],2)</f>
        <v>J3</v>
      </c>
    </row>
    <row r="694" spans="1:6" x14ac:dyDescent="0.2">
      <c r="A694"/>
      <c r="B694"/>
      <c r="C694"/>
      <c r="D694"/>
      <c r="E694"/>
      <c r="F694" s="662" t="str">
        <f>LEFT(AllDaqbookOffsets[[#This Row],[traceability_no]],2)</f>
        <v>J3</v>
      </c>
    </row>
    <row r="695" spans="1:6" x14ac:dyDescent="0.2">
      <c r="A695"/>
      <c r="B695"/>
      <c r="C695"/>
      <c r="D695"/>
      <c r="E695"/>
      <c r="F695" s="662" t="str">
        <f>LEFT(AllDaqbookOffsets[[#This Row],[traceability_no]],2)</f>
        <v>J3</v>
      </c>
    </row>
    <row r="696" spans="1:6" x14ac:dyDescent="0.2">
      <c r="A696"/>
      <c r="B696"/>
      <c r="C696"/>
      <c r="D696"/>
      <c r="E696"/>
      <c r="F696" s="662" t="str">
        <f>LEFT(AllDaqbookOffsets[[#This Row],[traceability_no]],2)</f>
        <v>J3</v>
      </c>
    </row>
    <row r="697" spans="1:6" x14ac:dyDescent="0.2">
      <c r="A697"/>
      <c r="B697"/>
      <c r="C697"/>
      <c r="D697"/>
      <c r="E697"/>
      <c r="F697" s="662" t="str">
        <f>LEFT(AllDaqbookOffsets[[#This Row],[traceability_no]],2)</f>
        <v>J3</v>
      </c>
    </row>
    <row r="698" spans="1:6" x14ac:dyDescent="0.2">
      <c r="A698"/>
      <c r="B698"/>
      <c r="C698"/>
      <c r="D698"/>
      <c r="E698"/>
      <c r="F698" s="662" t="str">
        <f>LEFT(AllDaqbookOffsets[[#This Row],[traceability_no]],2)</f>
        <v>J3</v>
      </c>
    </row>
    <row r="699" spans="1:6" x14ac:dyDescent="0.2">
      <c r="A699"/>
      <c r="B699"/>
      <c r="C699"/>
      <c r="D699"/>
      <c r="E699"/>
      <c r="F699" s="662" t="str">
        <f>LEFT(AllDaqbookOffsets[[#This Row],[traceability_no]],2)</f>
        <v>J3</v>
      </c>
    </row>
    <row r="700" spans="1:6" x14ac:dyDescent="0.2">
      <c r="A700"/>
      <c r="B700"/>
      <c r="C700"/>
      <c r="D700"/>
      <c r="E700"/>
      <c r="F700" s="662" t="str">
        <f>LEFT(AllDaqbookOffsets[[#This Row],[traceability_no]],2)</f>
        <v>J3</v>
      </c>
    </row>
    <row r="701" spans="1:6" x14ac:dyDescent="0.2">
      <c r="A701"/>
      <c r="B701"/>
      <c r="C701"/>
      <c r="D701"/>
      <c r="E701"/>
      <c r="F701" s="662" t="str">
        <f>LEFT(AllDaqbookOffsets[[#This Row],[traceability_no]],2)</f>
        <v>J3</v>
      </c>
    </row>
    <row r="702" spans="1:6" x14ac:dyDescent="0.2">
      <c r="A702"/>
      <c r="B702"/>
      <c r="C702"/>
      <c r="D702"/>
      <c r="E702"/>
      <c r="F702" s="662" t="str">
        <f>LEFT(AllDaqbookOffsets[[#This Row],[traceability_no]],2)</f>
        <v>J3</v>
      </c>
    </row>
    <row r="703" spans="1:6" x14ac:dyDescent="0.2">
      <c r="A703"/>
      <c r="B703"/>
      <c r="C703"/>
      <c r="D703"/>
      <c r="E703"/>
      <c r="F703" s="662" t="str">
        <f>LEFT(AllDaqbookOffsets[[#This Row],[traceability_no]],2)</f>
        <v>J3</v>
      </c>
    </row>
    <row r="704" spans="1:6" x14ac:dyDescent="0.2">
      <c r="A704"/>
      <c r="B704"/>
      <c r="C704"/>
      <c r="D704"/>
      <c r="E704"/>
      <c r="F704" s="662" t="str">
        <f>LEFT(AllDaqbookOffsets[[#This Row],[traceability_no]],2)</f>
        <v>J3</v>
      </c>
    </row>
    <row r="705" spans="1:6" x14ac:dyDescent="0.2">
      <c r="A705"/>
      <c r="B705"/>
      <c r="C705"/>
      <c r="D705"/>
      <c r="E705"/>
      <c r="F705" s="662" t="str">
        <f>LEFT(AllDaqbookOffsets[[#This Row],[traceability_no]],2)</f>
        <v>J3</v>
      </c>
    </row>
    <row r="706" spans="1:6" x14ac:dyDescent="0.2">
      <c r="A706"/>
      <c r="B706"/>
      <c r="C706"/>
      <c r="D706"/>
      <c r="E706"/>
      <c r="F706" s="662" t="str">
        <f>LEFT(AllDaqbookOffsets[[#This Row],[traceability_no]],2)</f>
        <v>J3</v>
      </c>
    </row>
    <row r="707" spans="1:6" x14ac:dyDescent="0.2">
      <c r="A707"/>
      <c r="B707"/>
      <c r="C707"/>
      <c r="D707"/>
      <c r="E707"/>
      <c r="F707" s="662" t="str">
        <f>LEFT(AllDaqbookOffsets[[#This Row],[traceability_no]],2)</f>
        <v>J3</v>
      </c>
    </row>
    <row r="708" spans="1:6" x14ac:dyDescent="0.2">
      <c r="A708"/>
      <c r="B708"/>
      <c r="C708"/>
      <c r="D708"/>
      <c r="E708"/>
      <c r="F708" s="662" t="str">
        <f>LEFT(AllDaqbookOffsets[[#This Row],[traceability_no]],2)</f>
        <v>J3</v>
      </c>
    </row>
    <row r="709" spans="1:6" x14ac:dyDescent="0.2">
      <c r="A709"/>
      <c r="B709"/>
      <c r="C709"/>
      <c r="D709"/>
      <c r="E709"/>
      <c r="F709" s="662" t="str">
        <f>LEFT(AllDaqbookOffsets[[#This Row],[traceability_no]],2)</f>
        <v>J3</v>
      </c>
    </row>
    <row r="710" spans="1:6" x14ac:dyDescent="0.2">
      <c r="A710"/>
      <c r="B710"/>
      <c r="C710"/>
      <c r="D710"/>
      <c r="E710"/>
      <c r="F710" s="662" t="str">
        <f>LEFT(AllDaqbookOffsets[[#This Row],[traceability_no]],2)</f>
        <v>J3</v>
      </c>
    </row>
    <row r="711" spans="1:6" x14ac:dyDescent="0.2">
      <c r="A711"/>
      <c r="B711"/>
      <c r="C711"/>
      <c r="D711"/>
      <c r="E711"/>
      <c r="F711" s="662" t="str">
        <f>LEFT(AllDaqbookOffsets[[#This Row],[traceability_no]],2)</f>
        <v>J3</v>
      </c>
    </row>
    <row r="712" spans="1:6" x14ac:dyDescent="0.2">
      <c r="A712"/>
      <c r="B712"/>
      <c r="C712"/>
      <c r="D712"/>
      <c r="E712"/>
      <c r="F712" s="662" t="str">
        <f>LEFT(AllDaqbookOffsets[[#This Row],[traceability_no]],2)</f>
        <v>J3</v>
      </c>
    </row>
    <row r="713" spans="1:6" x14ac:dyDescent="0.2">
      <c r="A713"/>
      <c r="B713"/>
      <c r="C713"/>
      <c r="D713"/>
      <c r="E713"/>
      <c r="F713" s="662" t="str">
        <f>LEFT(AllDaqbookOffsets[[#This Row],[traceability_no]],2)</f>
        <v>J3</v>
      </c>
    </row>
    <row r="714" spans="1:6" x14ac:dyDescent="0.2">
      <c r="A714"/>
      <c r="B714"/>
      <c r="C714"/>
      <c r="D714"/>
      <c r="E714"/>
      <c r="F714" s="662" t="str">
        <f>LEFT(AllDaqbookOffsets[[#This Row],[traceability_no]],2)</f>
        <v>J3</v>
      </c>
    </row>
    <row r="715" spans="1:6" x14ac:dyDescent="0.2">
      <c r="A715"/>
      <c r="B715"/>
      <c r="C715"/>
      <c r="D715"/>
      <c r="E715"/>
      <c r="F715" s="662" t="str">
        <f>LEFT(AllDaqbookOffsets[[#This Row],[traceability_no]],2)</f>
        <v>J3</v>
      </c>
    </row>
    <row r="716" spans="1:6" x14ac:dyDescent="0.2">
      <c r="A716"/>
      <c r="B716"/>
      <c r="C716"/>
      <c r="D716"/>
      <c r="E716"/>
      <c r="F716" s="662" t="str">
        <f>LEFT(AllDaqbookOffsets[[#This Row],[traceability_no]],2)</f>
        <v>J3</v>
      </c>
    </row>
    <row r="717" spans="1:6" x14ac:dyDescent="0.2">
      <c r="A717"/>
      <c r="B717"/>
      <c r="C717"/>
      <c r="D717"/>
      <c r="E717"/>
      <c r="F717" s="662" t="str">
        <f>LEFT(AllDaqbookOffsets[[#This Row],[traceability_no]],2)</f>
        <v>J3</v>
      </c>
    </row>
    <row r="718" spans="1:6" x14ac:dyDescent="0.2">
      <c r="A718"/>
      <c r="B718"/>
      <c r="C718"/>
      <c r="D718"/>
      <c r="E718"/>
      <c r="F718" s="662" t="str">
        <f>LEFT(AllDaqbookOffsets[[#This Row],[traceability_no]],2)</f>
        <v>J3</v>
      </c>
    </row>
    <row r="719" spans="1:6" x14ac:dyDescent="0.2">
      <c r="A719"/>
      <c r="B719"/>
      <c r="C719"/>
      <c r="D719"/>
      <c r="E719"/>
      <c r="F719" s="662" t="str">
        <f>LEFT(AllDaqbookOffsets[[#This Row],[traceability_no]],2)</f>
        <v>J3</v>
      </c>
    </row>
    <row r="720" spans="1:6" x14ac:dyDescent="0.2">
      <c r="A720"/>
      <c r="B720"/>
      <c r="C720"/>
      <c r="D720"/>
      <c r="E720"/>
      <c r="F720" s="662" t="str">
        <f>LEFT(AllDaqbookOffsets[[#This Row],[traceability_no]],2)</f>
        <v>J3</v>
      </c>
    </row>
    <row r="721" spans="1:6" x14ac:dyDescent="0.2">
      <c r="A721"/>
      <c r="B721"/>
      <c r="C721"/>
      <c r="D721"/>
      <c r="E721"/>
      <c r="F721" s="662" t="str">
        <f>LEFT(AllDaqbookOffsets[[#This Row],[traceability_no]],2)</f>
        <v>J3</v>
      </c>
    </row>
    <row r="722" spans="1:6" x14ac:dyDescent="0.2">
      <c r="A722"/>
      <c r="B722"/>
      <c r="C722"/>
      <c r="D722"/>
      <c r="E722"/>
      <c r="F722" s="662" t="str">
        <f>LEFT(AllDaqbookOffsets[[#This Row],[traceability_no]],2)</f>
        <v>K4</v>
      </c>
    </row>
    <row r="723" spans="1:6" x14ac:dyDescent="0.2">
      <c r="A723"/>
      <c r="B723"/>
      <c r="C723"/>
      <c r="D723"/>
      <c r="E723"/>
      <c r="F723" s="662" t="str">
        <f>LEFT(AllDaqbookOffsets[[#This Row],[traceability_no]],2)</f>
        <v>K4</v>
      </c>
    </row>
    <row r="724" spans="1:6" x14ac:dyDescent="0.2">
      <c r="A724"/>
      <c r="B724"/>
      <c r="C724"/>
      <c r="D724"/>
      <c r="E724"/>
      <c r="F724" s="662" t="str">
        <f>LEFT(AllDaqbookOffsets[[#This Row],[traceability_no]],2)</f>
        <v>K4</v>
      </c>
    </row>
    <row r="725" spans="1:6" x14ac:dyDescent="0.2">
      <c r="A725"/>
      <c r="B725"/>
      <c r="C725"/>
      <c r="D725"/>
      <c r="E725"/>
      <c r="F725" s="662" t="str">
        <f>LEFT(AllDaqbookOffsets[[#This Row],[traceability_no]],2)</f>
        <v>K4</v>
      </c>
    </row>
    <row r="726" spans="1:6" x14ac:dyDescent="0.2">
      <c r="A726"/>
      <c r="B726"/>
      <c r="C726"/>
      <c r="D726"/>
      <c r="E726"/>
      <c r="F726" s="662" t="str">
        <f>LEFT(AllDaqbookOffsets[[#This Row],[traceability_no]],2)</f>
        <v>K4</v>
      </c>
    </row>
    <row r="727" spans="1:6" x14ac:dyDescent="0.2">
      <c r="A727"/>
      <c r="B727"/>
      <c r="C727"/>
      <c r="D727"/>
      <c r="E727"/>
      <c r="F727" s="662" t="str">
        <f>LEFT(AllDaqbookOffsets[[#This Row],[traceability_no]],2)</f>
        <v>K4</v>
      </c>
    </row>
    <row r="728" spans="1:6" x14ac:dyDescent="0.2">
      <c r="A728"/>
      <c r="B728"/>
      <c r="C728"/>
      <c r="D728"/>
      <c r="E728"/>
      <c r="F728" s="662" t="str">
        <f>LEFT(AllDaqbookOffsets[[#This Row],[traceability_no]],2)</f>
        <v>K4</v>
      </c>
    </row>
    <row r="729" spans="1:6" x14ac:dyDescent="0.2">
      <c r="A729"/>
      <c r="B729"/>
      <c r="C729"/>
      <c r="D729"/>
      <c r="E729"/>
      <c r="F729" s="662" t="str">
        <f>LEFT(AllDaqbookOffsets[[#This Row],[traceability_no]],2)</f>
        <v>K4</v>
      </c>
    </row>
    <row r="730" spans="1:6" x14ac:dyDescent="0.2">
      <c r="A730"/>
      <c r="B730"/>
      <c r="C730"/>
      <c r="D730"/>
      <c r="E730"/>
      <c r="F730" s="662" t="str">
        <f>LEFT(AllDaqbookOffsets[[#This Row],[traceability_no]],2)</f>
        <v>K4</v>
      </c>
    </row>
    <row r="731" spans="1:6" x14ac:dyDescent="0.2">
      <c r="A731"/>
      <c r="B731"/>
      <c r="C731"/>
      <c r="D731"/>
      <c r="E731"/>
      <c r="F731" s="662" t="str">
        <f>LEFT(AllDaqbookOffsets[[#This Row],[traceability_no]],2)</f>
        <v>K4</v>
      </c>
    </row>
    <row r="732" spans="1:6" x14ac:dyDescent="0.2">
      <c r="A732"/>
      <c r="B732"/>
      <c r="C732"/>
      <c r="D732"/>
      <c r="E732"/>
      <c r="F732" s="662" t="str">
        <f>LEFT(AllDaqbookOffsets[[#This Row],[traceability_no]],2)</f>
        <v>K4</v>
      </c>
    </row>
    <row r="733" spans="1:6" x14ac:dyDescent="0.2">
      <c r="A733"/>
      <c r="B733"/>
      <c r="C733"/>
      <c r="D733"/>
      <c r="E733"/>
      <c r="F733" s="662" t="str">
        <f>LEFT(AllDaqbookOffsets[[#This Row],[traceability_no]],2)</f>
        <v>K4</v>
      </c>
    </row>
    <row r="734" spans="1:6" x14ac:dyDescent="0.2">
      <c r="A734"/>
      <c r="B734"/>
      <c r="C734"/>
      <c r="D734"/>
      <c r="E734"/>
      <c r="F734" s="662" t="str">
        <f>LEFT(AllDaqbookOffsets[[#This Row],[traceability_no]],2)</f>
        <v>K4</v>
      </c>
    </row>
    <row r="735" spans="1:6" x14ac:dyDescent="0.2">
      <c r="A735"/>
      <c r="B735"/>
      <c r="C735"/>
      <c r="D735"/>
      <c r="E735"/>
      <c r="F735" s="662" t="str">
        <f>LEFT(AllDaqbookOffsets[[#This Row],[traceability_no]],2)</f>
        <v>K4</v>
      </c>
    </row>
    <row r="736" spans="1:6" x14ac:dyDescent="0.2">
      <c r="A736"/>
      <c r="B736"/>
      <c r="C736"/>
      <c r="D736"/>
      <c r="E736"/>
      <c r="F736" s="662" t="str">
        <f>LEFT(AllDaqbookOffsets[[#This Row],[traceability_no]],2)</f>
        <v>K4</v>
      </c>
    </row>
    <row r="737" spans="1:6" x14ac:dyDescent="0.2">
      <c r="A737"/>
      <c r="B737"/>
      <c r="C737"/>
      <c r="D737"/>
      <c r="E737"/>
      <c r="F737" s="662" t="str">
        <f>LEFT(AllDaqbookOffsets[[#This Row],[traceability_no]],2)</f>
        <v>K4</v>
      </c>
    </row>
    <row r="738" spans="1:6" x14ac:dyDescent="0.2">
      <c r="A738"/>
      <c r="B738"/>
      <c r="C738"/>
      <c r="D738"/>
      <c r="E738"/>
      <c r="F738" s="662" t="str">
        <f>LEFT(AllDaqbookOffsets[[#This Row],[traceability_no]],2)</f>
        <v>K4</v>
      </c>
    </row>
    <row r="739" spans="1:6" x14ac:dyDescent="0.2">
      <c r="A739"/>
      <c r="B739"/>
      <c r="C739"/>
      <c r="D739"/>
      <c r="E739"/>
      <c r="F739" s="662" t="str">
        <f>LEFT(AllDaqbookOffsets[[#This Row],[traceability_no]],2)</f>
        <v>K4</v>
      </c>
    </row>
    <row r="740" spans="1:6" x14ac:dyDescent="0.2">
      <c r="A740"/>
      <c r="B740"/>
      <c r="C740"/>
      <c r="D740"/>
      <c r="E740"/>
      <c r="F740" s="662" t="str">
        <f>LEFT(AllDaqbookOffsets[[#This Row],[traceability_no]],2)</f>
        <v>K4</v>
      </c>
    </row>
    <row r="741" spans="1:6" x14ac:dyDescent="0.2">
      <c r="A741"/>
      <c r="B741"/>
      <c r="C741"/>
      <c r="D741"/>
      <c r="E741"/>
      <c r="F741" s="662" t="str">
        <f>LEFT(AllDaqbookOffsets[[#This Row],[traceability_no]],2)</f>
        <v>K4</v>
      </c>
    </row>
    <row r="742" spans="1:6" x14ac:dyDescent="0.2">
      <c r="A742"/>
      <c r="B742"/>
      <c r="C742"/>
      <c r="D742"/>
      <c r="E742"/>
      <c r="F742" s="662" t="str">
        <f>LEFT(AllDaqbookOffsets[[#This Row],[traceability_no]],2)</f>
        <v>K4</v>
      </c>
    </row>
    <row r="743" spans="1:6" x14ac:dyDescent="0.2">
      <c r="A743"/>
      <c r="B743"/>
      <c r="C743"/>
      <c r="D743"/>
      <c r="E743"/>
      <c r="F743" s="662" t="str">
        <f>LEFT(AllDaqbookOffsets[[#This Row],[traceability_no]],2)</f>
        <v>K4</v>
      </c>
    </row>
    <row r="744" spans="1:6" x14ac:dyDescent="0.2">
      <c r="A744"/>
      <c r="B744"/>
      <c r="C744"/>
      <c r="D744"/>
      <c r="E744"/>
      <c r="F744" s="662" t="str">
        <f>LEFT(AllDaqbookOffsets[[#This Row],[traceability_no]],2)</f>
        <v>K4</v>
      </c>
    </row>
    <row r="745" spans="1:6" x14ac:dyDescent="0.2">
      <c r="A745"/>
      <c r="B745"/>
      <c r="C745"/>
      <c r="D745"/>
      <c r="E745"/>
      <c r="F745" s="662" t="str">
        <f>LEFT(AllDaqbookOffsets[[#This Row],[traceability_no]],2)</f>
        <v>K4</v>
      </c>
    </row>
    <row r="746" spans="1:6" x14ac:dyDescent="0.2">
      <c r="A746"/>
      <c r="B746"/>
      <c r="C746"/>
      <c r="D746"/>
      <c r="E746"/>
      <c r="F746" s="662" t="str">
        <f>LEFT(AllDaqbookOffsets[[#This Row],[traceability_no]],2)</f>
        <v>K4</v>
      </c>
    </row>
    <row r="747" spans="1:6" x14ac:dyDescent="0.2">
      <c r="A747"/>
      <c r="B747"/>
      <c r="C747"/>
      <c r="D747"/>
      <c r="E747"/>
      <c r="F747" s="662" t="str">
        <f>LEFT(AllDaqbookOffsets[[#This Row],[traceability_no]],2)</f>
        <v>K4</v>
      </c>
    </row>
    <row r="748" spans="1:6" x14ac:dyDescent="0.2">
      <c r="A748"/>
      <c r="B748"/>
      <c r="C748"/>
      <c r="D748"/>
      <c r="E748"/>
      <c r="F748" s="662" t="str">
        <f>LEFT(AllDaqbookOffsets[[#This Row],[traceability_no]],2)</f>
        <v>K4</v>
      </c>
    </row>
    <row r="749" spans="1:6" x14ac:dyDescent="0.2">
      <c r="A749"/>
      <c r="B749"/>
      <c r="C749"/>
      <c r="D749"/>
      <c r="E749"/>
      <c r="F749" s="662" t="str">
        <f>LEFT(AllDaqbookOffsets[[#This Row],[traceability_no]],2)</f>
        <v>K4</v>
      </c>
    </row>
    <row r="750" spans="1:6" x14ac:dyDescent="0.2">
      <c r="A750"/>
      <c r="B750"/>
      <c r="C750"/>
      <c r="D750"/>
      <c r="E750"/>
      <c r="F750" s="662" t="str">
        <f>LEFT(AllDaqbookOffsets[[#This Row],[traceability_no]],2)</f>
        <v>K4</v>
      </c>
    </row>
    <row r="751" spans="1:6" x14ac:dyDescent="0.2">
      <c r="A751"/>
      <c r="B751"/>
      <c r="C751"/>
      <c r="D751"/>
      <c r="E751"/>
      <c r="F751" s="662" t="str">
        <f>LEFT(AllDaqbookOffsets[[#This Row],[traceability_no]],2)</f>
        <v>K4</v>
      </c>
    </row>
    <row r="752" spans="1:6" x14ac:dyDescent="0.2">
      <c r="A752"/>
      <c r="B752"/>
      <c r="C752"/>
      <c r="D752"/>
      <c r="E752"/>
      <c r="F752" s="662" t="str">
        <f>LEFT(AllDaqbookOffsets[[#This Row],[traceability_no]],2)</f>
        <v>K4</v>
      </c>
    </row>
    <row r="753" spans="1:6" x14ac:dyDescent="0.2">
      <c r="A753"/>
      <c r="B753"/>
      <c r="C753"/>
      <c r="D753"/>
      <c r="E753"/>
      <c r="F753" s="662" t="str">
        <f>LEFT(AllDaqbookOffsets[[#This Row],[traceability_no]],2)</f>
        <v>K4</v>
      </c>
    </row>
    <row r="754" spans="1:6" x14ac:dyDescent="0.2">
      <c r="A754"/>
      <c r="B754"/>
      <c r="C754"/>
      <c r="D754"/>
      <c r="E754"/>
      <c r="F754" s="662" t="str">
        <f>LEFT(AllDaqbookOffsets[[#This Row],[traceability_no]],2)</f>
        <v>K4</v>
      </c>
    </row>
    <row r="755" spans="1:6" x14ac:dyDescent="0.2">
      <c r="A755"/>
      <c r="B755"/>
      <c r="C755"/>
      <c r="D755"/>
      <c r="E755"/>
      <c r="F755" s="662" t="str">
        <f>LEFT(AllDaqbookOffsets[[#This Row],[traceability_no]],2)</f>
        <v>K4</v>
      </c>
    </row>
    <row r="756" spans="1:6" x14ac:dyDescent="0.2">
      <c r="A756"/>
      <c r="B756"/>
      <c r="C756"/>
      <c r="D756"/>
      <c r="E756"/>
      <c r="F756" s="662" t="str">
        <f>LEFT(AllDaqbookOffsets[[#This Row],[traceability_no]],2)</f>
        <v>K4</v>
      </c>
    </row>
    <row r="757" spans="1:6" x14ac:dyDescent="0.2">
      <c r="A757"/>
      <c r="B757"/>
      <c r="C757"/>
      <c r="D757"/>
      <c r="E757"/>
      <c r="F757" s="662" t="str">
        <f>LEFT(AllDaqbookOffsets[[#This Row],[traceability_no]],2)</f>
        <v>K4</v>
      </c>
    </row>
    <row r="758" spans="1:6" x14ac:dyDescent="0.2">
      <c r="A758"/>
      <c r="B758"/>
      <c r="C758"/>
      <c r="D758"/>
      <c r="E758"/>
      <c r="F758" s="662" t="str">
        <f>LEFT(AllDaqbookOffsets[[#This Row],[traceability_no]],2)</f>
        <v>K4</v>
      </c>
    </row>
    <row r="759" spans="1:6" x14ac:dyDescent="0.2">
      <c r="A759"/>
      <c r="B759"/>
      <c r="C759"/>
      <c r="D759"/>
      <c r="E759"/>
      <c r="F759" s="662" t="str">
        <f>LEFT(AllDaqbookOffsets[[#This Row],[traceability_no]],2)</f>
        <v>K4</v>
      </c>
    </row>
    <row r="760" spans="1:6" x14ac:dyDescent="0.2">
      <c r="A760"/>
      <c r="B760"/>
      <c r="C760"/>
      <c r="D760"/>
      <c r="E760"/>
      <c r="F760" s="662" t="str">
        <f>LEFT(AllDaqbookOffsets[[#This Row],[traceability_no]],2)</f>
        <v>K4</v>
      </c>
    </row>
    <row r="761" spans="1:6" x14ac:dyDescent="0.2">
      <c r="A761"/>
      <c r="B761"/>
      <c r="C761"/>
      <c r="D761"/>
      <c r="E761"/>
      <c r="F761" s="662" t="str">
        <f>LEFT(AllDaqbookOffsets[[#This Row],[traceability_no]],2)</f>
        <v>K4</v>
      </c>
    </row>
    <row r="762" spans="1:6" x14ac:dyDescent="0.2">
      <c r="A762"/>
      <c r="B762"/>
      <c r="C762"/>
      <c r="D762"/>
      <c r="E762"/>
      <c r="F762" s="662" t="str">
        <f>LEFT(AllDaqbookOffsets[[#This Row],[traceability_no]],2)</f>
        <v>K4</v>
      </c>
    </row>
    <row r="763" spans="1:6" x14ac:dyDescent="0.2">
      <c r="A763"/>
      <c r="B763"/>
      <c r="C763"/>
      <c r="D763"/>
      <c r="E763"/>
      <c r="F763" s="662" t="str">
        <f>LEFT(AllDaqbookOffsets[[#This Row],[traceability_no]],2)</f>
        <v>K4</v>
      </c>
    </row>
    <row r="764" spans="1:6" x14ac:dyDescent="0.2">
      <c r="A764"/>
      <c r="B764"/>
      <c r="C764"/>
      <c r="D764"/>
      <c r="E764"/>
      <c r="F764" s="662" t="str">
        <f>LEFT(AllDaqbookOffsets[[#This Row],[traceability_no]],2)</f>
        <v>K4</v>
      </c>
    </row>
    <row r="765" spans="1:6" x14ac:dyDescent="0.2">
      <c r="A765"/>
      <c r="B765"/>
      <c r="C765"/>
      <c r="D765"/>
      <c r="E765"/>
      <c r="F765" s="662" t="str">
        <f>LEFT(AllDaqbookOffsets[[#This Row],[traceability_no]],2)</f>
        <v>K4</v>
      </c>
    </row>
    <row r="766" spans="1:6" x14ac:dyDescent="0.2">
      <c r="A766"/>
      <c r="B766"/>
      <c r="C766"/>
      <c r="D766"/>
      <c r="E766"/>
      <c r="F766" s="662" t="str">
        <f>LEFT(AllDaqbookOffsets[[#This Row],[traceability_no]],2)</f>
        <v>K4</v>
      </c>
    </row>
    <row r="767" spans="1:6" x14ac:dyDescent="0.2">
      <c r="A767"/>
      <c r="B767"/>
      <c r="C767"/>
      <c r="D767"/>
      <c r="E767"/>
      <c r="F767" s="662" t="str">
        <f>LEFT(AllDaqbookOffsets[[#This Row],[traceability_no]],2)</f>
        <v>K4</v>
      </c>
    </row>
    <row r="768" spans="1:6" x14ac:dyDescent="0.2">
      <c r="A768"/>
      <c r="B768"/>
      <c r="C768"/>
      <c r="D768"/>
      <c r="E768"/>
      <c r="F768" s="662" t="str">
        <f>LEFT(AllDaqbookOffsets[[#This Row],[traceability_no]],2)</f>
        <v>K4</v>
      </c>
    </row>
    <row r="769" spans="1:6" x14ac:dyDescent="0.2">
      <c r="A769"/>
      <c r="B769"/>
      <c r="C769"/>
      <c r="D769"/>
      <c r="E769"/>
      <c r="F769" s="662" t="str">
        <f>LEFT(AllDaqbookOffsets[[#This Row],[traceability_no]],2)</f>
        <v>K4</v>
      </c>
    </row>
    <row r="770" spans="1:6" x14ac:dyDescent="0.2">
      <c r="A770"/>
      <c r="B770"/>
      <c r="C770"/>
      <c r="D770"/>
      <c r="E770"/>
      <c r="F770" s="662" t="str">
        <f>LEFT(AllDaqbookOffsets[[#This Row],[traceability_no]],2)</f>
        <v>K4</v>
      </c>
    </row>
    <row r="771" spans="1:6" x14ac:dyDescent="0.2">
      <c r="A771"/>
      <c r="B771"/>
      <c r="C771"/>
      <c r="D771"/>
      <c r="E771"/>
      <c r="F771" s="662" t="str">
        <f>LEFT(AllDaqbookOffsets[[#This Row],[traceability_no]],2)</f>
        <v>K4</v>
      </c>
    </row>
    <row r="772" spans="1:6" x14ac:dyDescent="0.2">
      <c r="A772"/>
      <c r="B772"/>
      <c r="C772"/>
      <c r="D772"/>
      <c r="E772"/>
      <c r="F772" s="662" t="str">
        <f>LEFT(AllDaqbookOffsets[[#This Row],[traceability_no]],2)</f>
        <v>K4</v>
      </c>
    </row>
    <row r="773" spans="1:6" x14ac:dyDescent="0.2">
      <c r="A773"/>
      <c r="B773"/>
      <c r="C773"/>
      <c r="D773"/>
      <c r="E773"/>
      <c r="F773" s="662" t="str">
        <f>LEFT(AllDaqbookOffsets[[#This Row],[traceability_no]],2)</f>
        <v>K4</v>
      </c>
    </row>
    <row r="774" spans="1:6" x14ac:dyDescent="0.2">
      <c r="A774"/>
      <c r="B774"/>
      <c r="C774"/>
      <c r="D774"/>
      <c r="E774"/>
      <c r="F774" s="662" t="str">
        <f>LEFT(AllDaqbookOffsets[[#This Row],[traceability_no]],2)</f>
        <v>K4</v>
      </c>
    </row>
    <row r="775" spans="1:6" x14ac:dyDescent="0.2">
      <c r="A775"/>
      <c r="B775"/>
      <c r="C775"/>
      <c r="D775"/>
      <c r="E775"/>
      <c r="F775" s="662" t="str">
        <f>LEFT(AllDaqbookOffsets[[#This Row],[traceability_no]],2)</f>
        <v>K4</v>
      </c>
    </row>
    <row r="776" spans="1:6" x14ac:dyDescent="0.2">
      <c r="A776"/>
      <c r="B776"/>
      <c r="C776"/>
      <c r="D776"/>
      <c r="E776"/>
      <c r="F776" s="662" t="str">
        <f>LEFT(AllDaqbookOffsets[[#This Row],[traceability_no]],2)</f>
        <v>K4</v>
      </c>
    </row>
    <row r="777" spans="1:6" x14ac:dyDescent="0.2">
      <c r="A777"/>
      <c r="B777"/>
      <c r="C777"/>
      <c r="D777"/>
      <c r="E777"/>
      <c r="F777" s="662" t="str">
        <f>LEFT(AllDaqbookOffsets[[#This Row],[traceability_no]],2)</f>
        <v>K4</v>
      </c>
    </row>
    <row r="778" spans="1:6" x14ac:dyDescent="0.2">
      <c r="A778"/>
      <c r="B778"/>
      <c r="C778"/>
      <c r="D778"/>
      <c r="E778"/>
      <c r="F778" s="662" t="str">
        <f>LEFT(AllDaqbookOffsets[[#This Row],[traceability_no]],2)</f>
        <v>K4</v>
      </c>
    </row>
    <row r="779" spans="1:6" x14ac:dyDescent="0.2">
      <c r="A779"/>
      <c r="B779"/>
      <c r="C779"/>
      <c r="D779"/>
      <c r="E779"/>
      <c r="F779" s="662" t="str">
        <f>LEFT(AllDaqbookOffsets[[#This Row],[traceability_no]],2)</f>
        <v>K4</v>
      </c>
    </row>
    <row r="780" spans="1:6" x14ac:dyDescent="0.2">
      <c r="A780"/>
      <c r="B780"/>
      <c r="C780"/>
      <c r="D780"/>
      <c r="E780"/>
      <c r="F780" s="662" t="str">
        <f>LEFT(AllDaqbookOffsets[[#This Row],[traceability_no]],2)</f>
        <v>K4</v>
      </c>
    </row>
    <row r="781" spans="1:6" x14ac:dyDescent="0.2">
      <c r="A781"/>
      <c r="B781"/>
      <c r="C781"/>
      <c r="D781"/>
      <c r="E781"/>
      <c r="F781" s="662" t="str">
        <f>LEFT(AllDaqbookOffsets[[#This Row],[traceability_no]],2)</f>
        <v>K4</v>
      </c>
    </row>
    <row r="782" spans="1:6" x14ac:dyDescent="0.2">
      <c r="A782"/>
      <c r="B782"/>
      <c r="C782"/>
      <c r="D782"/>
      <c r="E782"/>
      <c r="F782" s="662" t="str">
        <f>LEFT(AllDaqbookOffsets[[#This Row],[traceability_no]],2)</f>
        <v>K4</v>
      </c>
    </row>
    <row r="783" spans="1:6" x14ac:dyDescent="0.2">
      <c r="A783"/>
      <c r="B783"/>
      <c r="C783"/>
      <c r="D783"/>
      <c r="E783"/>
      <c r="F783" s="662" t="str">
        <f>LEFT(AllDaqbookOffsets[[#This Row],[traceability_no]],2)</f>
        <v>K4</v>
      </c>
    </row>
    <row r="784" spans="1:6" x14ac:dyDescent="0.2">
      <c r="A784"/>
      <c r="B784"/>
      <c r="C784"/>
      <c r="D784"/>
      <c r="E784"/>
      <c r="F784" s="662" t="str">
        <f>LEFT(AllDaqbookOffsets[[#This Row],[traceability_no]],2)</f>
        <v>K4</v>
      </c>
    </row>
    <row r="785" spans="1:6" x14ac:dyDescent="0.2">
      <c r="A785"/>
      <c r="B785"/>
      <c r="C785"/>
      <c r="D785"/>
      <c r="E785"/>
      <c r="F785" s="662" t="str">
        <f>LEFT(AllDaqbookOffsets[[#This Row],[traceability_no]],2)</f>
        <v>K4</v>
      </c>
    </row>
    <row r="786" spans="1:6" x14ac:dyDescent="0.2">
      <c r="A786"/>
      <c r="B786"/>
      <c r="C786"/>
      <c r="D786"/>
      <c r="E786"/>
      <c r="F786" s="662" t="str">
        <f>LEFT(AllDaqbookOffsets[[#This Row],[traceability_no]],2)</f>
        <v>K4</v>
      </c>
    </row>
    <row r="787" spans="1:6" x14ac:dyDescent="0.2">
      <c r="A787"/>
      <c r="B787"/>
      <c r="C787"/>
      <c r="D787"/>
      <c r="E787"/>
      <c r="F787" s="662" t="str">
        <f>LEFT(AllDaqbookOffsets[[#This Row],[traceability_no]],2)</f>
        <v>K4</v>
      </c>
    </row>
    <row r="788" spans="1:6" x14ac:dyDescent="0.2">
      <c r="A788"/>
      <c r="B788"/>
      <c r="C788"/>
      <c r="D788"/>
      <c r="E788"/>
      <c r="F788" s="662" t="str">
        <f>LEFT(AllDaqbookOffsets[[#This Row],[traceability_no]],2)</f>
        <v>K4</v>
      </c>
    </row>
    <row r="789" spans="1:6" x14ac:dyDescent="0.2">
      <c r="A789"/>
      <c r="B789"/>
      <c r="C789"/>
      <c r="D789"/>
      <c r="E789"/>
      <c r="F789" s="662" t="str">
        <f>LEFT(AllDaqbookOffsets[[#This Row],[traceability_no]],2)</f>
        <v>K4</v>
      </c>
    </row>
    <row r="790" spans="1:6" x14ac:dyDescent="0.2">
      <c r="A790"/>
      <c r="B790"/>
      <c r="C790"/>
      <c r="D790"/>
      <c r="E790"/>
      <c r="F790" s="662" t="str">
        <f>LEFT(AllDaqbookOffsets[[#This Row],[traceability_no]],2)</f>
        <v>K4</v>
      </c>
    </row>
    <row r="791" spans="1:6" x14ac:dyDescent="0.2">
      <c r="A791"/>
      <c r="B791"/>
      <c r="C791"/>
      <c r="D791"/>
      <c r="E791"/>
      <c r="F791" s="662" t="str">
        <f>LEFT(AllDaqbookOffsets[[#This Row],[traceability_no]],2)</f>
        <v>K4</v>
      </c>
    </row>
    <row r="792" spans="1:6" x14ac:dyDescent="0.2">
      <c r="A792"/>
      <c r="B792"/>
      <c r="C792"/>
      <c r="D792"/>
      <c r="E792"/>
      <c r="F792" s="662" t="str">
        <f>LEFT(AllDaqbookOffsets[[#This Row],[traceability_no]],2)</f>
        <v>K4</v>
      </c>
    </row>
    <row r="793" spans="1:6" x14ac:dyDescent="0.2">
      <c r="A793"/>
      <c r="B793"/>
      <c r="C793"/>
      <c r="D793"/>
      <c r="E793"/>
      <c r="F793" s="662" t="str">
        <f>LEFT(AllDaqbookOffsets[[#This Row],[traceability_no]],2)</f>
        <v>K4</v>
      </c>
    </row>
    <row r="794" spans="1:6" x14ac:dyDescent="0.2">
      <c r="A794"/>
      <c r="B794"/>
      <c r="C794"/>
      <c r="D794"/>
      <c r="E794"/>
      <c r="F794" s="662" t="str">
        <f>LEFT(AllDaqbookOffsets[[#This Row],[traceability_no]],2)</f>
        <v>K4</v>
      </c>
    </row>
    <row r="795" spans="1:6" x14ac:dyDescent="0.2">
      <c r="A795"/>
      <c r="B795"/>
      <c r="C795"/>
      <c r="D795"/>
      <c r="E795"/>
      <c r="F795" s="662" t="str">
        <f>LEFT(AllDaqbookOffsets[[#This Row],[traceability_no]],2)</f>
        <v>K4</v>
      </c>
    </row>
    <row r="796" spans="1:6" x14ac:dyDescent="0.2">
      <c r="A796"/>
      <c r="B796"/>
      <c r="C796"/>
      <c r="D796"/>
      <c r="E796"/>
      <c r="F796" s="662" t="str">
        <f>LEFT(AllDaqbookOffsets[[#This Row],[traceability_no]],2)</f>
        <v>K4</v>
      </c>
    </row>
    <row r="797" spans="1:6" x14ac:dyDescent="0.2">
      <c r="A797"/>
      <c r="B797"/>
      <c r="C797"/>
      <c r="D797"/>
      <c r="E797"/>
      <c r="F797" s="662" t="str">
        <f>LEFT(AllDaqbookOffsets[[#This Row],[traceability_no]],2)</f>
        <v>K4</v>
      </c>
    </row>
    <row r="798" spans="1:6" x14ac:dyDescent="0.2">
      <c r="A798"/>
      <c r="B798"/>
      <c r="C798"/>
      <c r="D798"/>
      <c r="E798"/>
      <c r="F798" s="662" t="str">
        <f>LEFT(AllDaqbookOffsets[[#This Row],[traceability_no]],2)</f>
        <v>K4</v>
      </c>
    </row>
    <row r="799" spans="1:6" x14ac:dyDescent="0.2">
      <c r="A799"/>
      <c r="B799"/>
      <c r="C799"/>
      <c r="D799"/>
      <c r="E799"/>
      <c r="F799" s="662" t="str">
        <f>LEFT(AllDaqbookOffsets[[#This Row],[traceability_no]],2)</f>
        <v>K4</v>
      </c>
    </row>
    <row r="800" spans="1:6" x14ac:dyDescent="0.2">
      <c r="A800"/>
      <c r="B800"/>
      <c r="C800"/>
      <c r="D800"/>
      <c r="E800"/>
      <c r="F800" s="662" t="str">
        <f>LEFT(AllDaqbookOffsets[[#This Row],[traceability_no]],2)</f>
        <v>K4</v>
      </c>
    </row>
    <row r="801" spans="1:6" x14ac:dyDescent="0.2">
      <c r="A801"/>
      <c r="B801"/>
      <c r="C801"/>
      <c r="D801"/>
      <c r="E801"/>
      <c r="F801" s="662" t="str">
        <f>LEFT(AllDaqbookOffsets[[#This Row],[traceability_no]],2)</f>
        <v>K4</v>
      </c>
    </row>
    <row r="802" spans="1:6" x14ac:dyDescent="0.2">
      <c r="A802"/>
      <c r="B802"/>
      <c r="C802"/>
      <c r="D802"/>
      <c r="E802"/>
      <c r="F802" s="662" t="str">
        <f>LEFT(AllDaqbookOffsets[[#This Row],[traceability_no]],2)</f>
        <v>K4</v>
      </c>
    </row>
    <row r="803" spans="1:6" x14ac:dyDescent="0.2">
      <c r="A803"/>
      <c r="B803"/>
      <c r="C803"/>
      <c r="D803"/>
      <c r="E803"/>
      <c r="F803" s="662" t="str">
        <f>LEFT(AllDaqbookOffsets[[#This Row],[traceability_no]],2)</f>
        <v>K4</v>
      </c>
    </row>
    <row r="804" spans="1:6" x14ac:dyDescent="0.2">
      <c r="A804"/>
      <c r="B804"/>
      <c r="C804"/>
      <c r="D804"/>
      <c r="E804"/>
      <c r="F804" s="662" t="str">
        <f>LEFT(AllDaqbookOffsets[[#This Row],[traceability_no]],2)</f>
        <v>K4</v>
      </c>
    </row>
    <row r="805" spans="1:6" x14ac:dyDescent="0.2">
      <c r="A805"/>
      <c r="B805"/>
      <c r="C805"/>
      <c r="D805"/>
      <c r="E805"/>
      <c r="F805" s="662" t="str">
        <f>LEFT(AllDaqbookOffsets[[#This Row],[traceability_no]],2)</f>
        <v>K4</v>
      </c>
    </row>
    <row r="806" spans="1:6" x14ac:dyDescent="0.2">
      <c r="A806"/>
      <c r="B806"/>
      <c r="C806"/>
      <c r="D806"/>
      <c r="E806"/>
      <c r="F806" s="662" t="str">
        <f>LEFT(AllDaqbookOffsets[[#This Row],[traceability_no]],2)</f>
        <v>K4</v>
      </c>
    </row>
    <row r="807" spans="1:6" x14ac:dyDescent="0.2">
      <c r="A807"/>
      <c r="B807"/>
      <c r="C807"/>
      <c r="D807"/>
      <c r="E807"/>
      <c r="F807" s="662" t="str">
        <f>LEFT(AllDaqbookOffsets[[#This Row],[traceability_no]],2)</f>
        <v>K4</v>
      </c>
    </row>
    <row r="808" spans="1:6" x14ac:dyDescent="0.2">
      <c r="A808"/>
      <c r="B808"/>
      <c r="C808"/>
      <c r="D808"/>
      <c r="E808"/>
      <c r="F808" s="662" t="str">
        <f>LEFT(AllDaqbookOffsets[[#This Row],[traceability_no]],2)</f>
        <v>K4</v>
      </c>
    </row>
    <row r="809" spans="1:6" x14ac:dyDescent="0.2">
      <c r="A809"/>
      <c r="B809"/>
      <c r="C809"/>
      <c r="D809"/>
      <c r="E809"/>
      <c r="F809" s="662" t="str">
        <f>LEFT(AllDaqbookOffsets[[#This Row],[traceability_no]],2)</f>
        <v>K4</v>
      </c>
    </row>
    <row r="810" spans="1:6" x14ac:dyDescent="0.2">
      <c r="A810"/>
      <c r="B810"/>
      <c r="C810"/>
      <c r="D810"/>
      <c r="E810"/>
      <c r="F810" s="662" t="str">
        <f>LEFT(AllDaqbookOffsets[[#This Row],[traceability_no]],2)</f>
        <v>K4</v>
      </c>
    </row>
    <row r="811" spans="1:6" x14ac:dyDescent="0.2">
      <c r="A811"/>
      <c r="B811"/>
      <c r="C811"/>
      <c r="D811"/>
      <c r="E811"/>
      <c r="F811" s="662" t="str">
        <f>LEFT(AllDaqbookOffsets[[#This Row],[traceability_no]],2)</f>
        <v>K4</v>
      </c>
    </row>
    <row r="812" spans="1:6" x14ac:dyDescent="0.2">
      <c r="A812"/>
      <c r="B812"/>
      <c r="C812"/>
      <c r="D812"/>
      <c r="E812"/>
      <c r="F812" s="662" t="str">
        <f>LEFT(AllDaqbookOffsets[[#This Row],[traceability_no]],2)</f>
        <v>K4</v>
      </c>
    </row>
    <row r="813" spans="1:6" x14ac:dyDescent="0.2">
      <c r="A813"/>
      <c r="B813"/>
      <c r="C813"/>
      <c r="D813"/>
      <c r="E813"/>
      <c r="F813" s="662" t="str">
        <f>LEFT(AllDaqbookOffsets[[#This Row],[traceability_no]],2)</f>
        <v>K4</v>
      </c>
    </row>
    <row r="814" spans="1:6" x14ac:dyDescent="0.2">
      <c r="A814"/>
      <c r="B814"/>
      <c r="C814"/>
      <c r="D814"/>
      <c r="E814"/>
      <c r="F814" s="662" t="str">
        <f>LEFT(AllDaqbookOffsets[[#This Row],[traceability_no]],2)</f>
        <v>K4</v>
      </c>
    </row>
    <row r="815" spans="1:6" x14ac:dyDescent="0.2">
      <c r="A815"/>
      <c r="B815"/>
      <c r="C815"/>
      <c r="D815"/>
      <c r="E815"/>
      <c r="F815" s="662" t="str">
        <f>LEFT(AllDaqbookOffsets[[#This Row],[traceability_no]],2)</f>
        <v>K4</v>
      </c>
    </row>
    <row r="816" spans="1:6" x14ac:dyDescent="0.2">
      <c r="A816"/>
      <c r="B816"/>
      <c r="C816"/>
      <c r="D816"/>
      <c r="E816"/>
      <c r="F816" s="662" t="str">
        <f>LEFT(AllDaqbookOffsets[[#This Row],[traceability_no]],2)</f>
        <v>K4</v>
      </c>
    </row>
    <row r="817" spans="1:6" x14ac:dyDescent="0.2">
      <c r="A817"/>
      <c r="B817"/>
      <c r="C817"/>
      <c r="D817"/>
      <c r="E817"/>
      <c r="F817" s="662" t="str">
        <f>LEFT(AllDaqbookOffsets[[#This Row],[traceability_no]],2)</f>
        <v>K4</v>
      </c>
    </row>
    <row r="818" spans="1:6" x14ac:dyDescent="0.2">
      <c r="A818"/>
      <c r="B818"/>
      <c r="C818"/>
      <c r="D818"/>
      <c r="E818"/>
      <c r="F818" s="662" t="str">
        <f>LEFT(AllDaqbookOffsets[[#This Row],[traceability_no]],2)</f>
        <v>K4</v>
      </c>
    </row>
    <row r="819" spans="1:6" x14ac:dyDescent="0.2">
      <c r="A819"/>
      <c r="B819"/>
      <c r="C819"/>
      <c r="D819"/>
      <c r="E819"/>
      <c r="F819" s="662" t="str">
        <f>LEFT(AllDaqbookOffsets[[#This Row],[traceability_no]],2)</f>
        <v>K4</v>
      </c>
    </row>
    <row r="820" spans="1:6" x14ac:dyDescent="0.2">
      <c r="A820"/>
      <c r="B820"/>
      <c r="C820"/>
      <c r="D820"/>
      <c r="E820"/>
      <c r="F820" s="662" t="str">
        <f>LEFT(AllDaqbookOffsets[[#This Row],[traceability_no]],2)</f>
        <v>K4</v>
      </c>
    </row>
    <row r="821" spans="1:6" x14ac:dyDescent="0.2">
      <c r="A821"/>
      <c r="B821"/>
      <c r="C821"/>
      <c r="D821"/>
      <c r="E821"/>
      <c r="F821" s="662" t="str">
        <f>LEFT(AllDaqbookOffsets[[#This Row],[traceability_no]],2)</f>
        <v>K4</v>
      </c>
    </row>
    <row r="822" spans="1:6" x14ac:dyDescent="0.2">
      <c r="A822"/>
      <c r="B822"/>
      <c r="C822"/>
      <c r="D822"/>
      <c r="E822"/>
      <c r="F822" s="662" t="str">
        <f>LEFT(AllDaqbookOffsets[[#This Row],[traceability_no]],2)</f>
        <v>K4</v>
      </c>
    </row>
    <row r="823" spans="1:6" x14ac:dyDescent="0.2">
      <c r="A823"/>
      <c r="B823"/>
      <c r="C823"/>
      <c r="D823"/>
      <c r="E823"/>
      <c r="F823" s="662" t="str">
        <f>LEFT(AllDaqbookOffsets[[#This Row],[traceability_no]],2)</f>
        <v>K4</v>
      </c>
    </row>
    <row r="824" spans="1:6" x14ac:dyDescent="0.2">
      <c r="A824"/>
      <c r="B824"/>
      <c r="C824"/>
      <c r="D824"/>
      <c r="E824"/>
      <c r="F824" s="662" t="str">
        <f>LEFT(AllDaqbookOffsets[[#This Row],[traceability_no]],2)</f>
        <v>K4</v>
      </c>
    </row>
    <row r="825" spans="1:6" x14ac:dyDescent="0.2">
      <c r="A825"/>
      <c r="B825"/>
      <c r="C825"/>
      <c r="D825"/>
      <c r="E825"/>
      <c r="F825" s="662" t="str">
        <f>LEFT(AllDaqbookOffsets[[#This Row],[traceability_no]],2)</f>
        <v>K4</v>
      </c>
    </row>
    <row r="826" spans="1:6" x14ac:dyDescent="0.2">
      <c r="A826"/>
      <c r="B826"/>
      <c r="C826"/>
      <c r="D826"/>
      <c r="E826"/>
      <c r="F826" s="662" t="str">
        <f>LEFT(AllDaqbookOffsets[[#This Row],[traceability_no]],2)</f>
        <v>K4</v>
      </c>
    </row>
    <row r="827" spans="1:6" x14ac:dyDescent="0.2">
      <c r="A827"/>
      <c r="B827"/>
      <c r="C827"/>
      <c r="D827"/>
      <c r="E827"/>
      <c r="F827" s="662" t="str">
        <f>LEFT(AllDaqbookOffsets[[#This Row],[traceability_no]],2)</f>
        <v>K4</v>
      </c>
    </row>
    <row r="828" spans="1:6" x14ac:dyDescent="0.2">
      <c r="A828"/>
      <c r="B828"/>
      <c r="C828"/>
      <c r="D828"/>
      <c r="E828"/>
      <c r="F828" s="662" t="str">
        <f>LEFT(AllDaqbookOffsets[[#This Row],[traceability_no]],2)</f>
        <v>K4</v>
      </c>
    </row>
    <row r="829" spans="1:6" x14ac:dyDescent="0.2">
      <c r="A829"/>
      <c r="B829"/>
      <c r="C829"/>
      <c r="D829"/>
      <c r="E829"/>
      <c r="F829" s="662" t="str">
        <f>LEFT(AllDaqbookOffsets[[#This Row],[traceability_no]],2)</f>
        <v>K4</v>
      </c>
    </row>
    <row r="830" spans="1:6" x14ac:dyDescent="0.2">
      <c r="A830"/>
      <c r="B830"/>
      <c r="C830"/>
      <c r="D830"/>
      <c r="E830"/>
      <c r="F830" s="662" t="str">
        <f>LEFT(AllDaqbookOffsets[[#This Row],[traceability_no]],2)</f>
        <v>K4</v>
      </c>
    </row>
    <row r="831" spans="1:6" x14ac:dyDescent="0.2">
      <c r="A831"/>
      <c r="B831"/>
      <c r="C831"/>
      <c r="D831"/>
      <c r="E831"/>
      <c r="F831" s="662" t="str">
        <f>LEFT(AllDaqbookOffsets[[#This Row],[traceability_no]],2)</f>
        <v>K4</v>
      </c>
    </row>
    <row r="832" spans="1:6" x14ac:dyDescent="0.2">
      <c r="A832"/>
      <c r="B832"/>
      <c r="C832"/>
      <c r="D832"/>
      <c r="E832"/>
      <c r="F832" s="662" t="str">
        <f>LEFT(AllDaqbookOffsets[[#This Row],[traceability_no]],2)</f>
        <v>K4</v>
      </c>
    </row>
    <row r="833" spans="1:6" x14ac:dyDescent="0.2">
      <c r="A833"/>
      <c r="B833"/>
      <c r="C833"/>
      <c r="D833"/>
      <c r="E833"/>
      <c r="F833" s="662" t="str">
        <f>LEFT(AllDaqbookOffsets[[#This Row],[traceability_no]],2)</f>
        <v>K4</v>
      </c>
    </row>
    <row r="834" spans="1:6" x14ac:dyDescent="0.2">
      <c r="A834"/>
      <c r="B834"/>
      <c r="C834"/>
      <c r="D834"/>
      <c r="E834"/>
      <c r="F834" s="662" t="str">
        <f>LEFT(AllDaqbookOffsets[[#This Row],[traceability_no]],2)</f>
        <v>K4</v>
      </c>
    </row>
    <row r="835" spans="1:6" x14ac:dyDescent="0.2">
      <c r="A835"/>
      <c r="B835"/>
      <c r="C835"/>
      <c r="D835"/>
      <c r="E835"/>
      <c r="F835" s="662" t="str">
        <f>LEFT(AllDaqbookOffsets[[#This Row],[traceability_no]],2)</f>
        <v>K4</v>
      </c>
    </row>
    <row r="836" spans="1:6" x14ac:dyDescent="0.2">
      <c r="A836"/>
      <c r="B836"/>
      <c r="C836"/>
      <c r="D836"/>
      <c r="E836"/>
      <c r="F836" s="662" t="str">
        <f>LEFT(AllDaqbookOffsets[[#This Row],[traceability_no]],2)</f>
        <v>K4</v>
      </c>
    </row>
    <row r="837" spans="1:6" x14ac:dyDescent="0.2">
      <c r="A837"/>
      <c r="B837"/>
      <c r="C837"/>
      <c r="D837"/>
      <c r="E837"/>
      <c r="F837" s="662" t="str">
        <f>LEFT(AllDaqbookOffsets[[#This Row],[traceability_no]],2)</f>
        <v>K4</v>
      </c>
    </row>
    <row r="838" spans="1:6" x14ac:dyDescent="0.2">
      <c r="A838"/>
      <c r="B838"/>
      <c r="C838"/>
      <c r="D838"/>
      <c r="E838"/>
      <c r="F838" s="662" t="str">
        <f>LEFT(AllDaqbookOffsets[[#This Row],[traceability_no]],2)</f>
        <v>K4</v>
      </c>
    </row>
    <row r="839" spans="1:6" x14ac:dyDescent="0.2">
      <c r="A839"/>
      <c r="B839"/>
      <c r="C839"/>
      <c r="D839"/>
      <c r="E839"/>
      <c r="F839" s="662" t="str">
        <f>LEFT(AllDaqbookOffsets[[#This Row],[traceability_no]],2)</f>
        <v>K4</v>
      </c>
    </row>
    <row r="840" spans="1:6" x14ac:dyDescent="0.2">
      <c r="A840"/>
      <c r="B840"/>
      <c r="C840"/>
      <c r="D840"/>
      <c r="E840"/>
      <c r="F840" s="662" t="str">
        <f>LEFT(AllDaqbookOffsets[[#This Row],[traceability_no]],2)</f>
        <v>K4</v>
      </c>
    </row>
    <row r="841" spans="1:6" x14ac:dyDescent="0.2">
      <c r="A841"/>
      <c r="B841"/>
      <c r="C841"/>
      <c r="D841"/>
      <c r="E841"/>
      <c r="F841" s="662" t="str">
        <f>LEFT(AllDaqbookOffsets[[#This Row],[traceability_no]],2)</f>
        <v>K4</v>
      </c>
    </row>
    <row r="842" spans="1:6" x14ac:dyDescent="0.2">
      <c r="A842"/>
      <c r="B842"/>
      <c r="C842"/>
      <c r="D842"/>
      <c r="E842"/>
      <c r="F842" s="662" t="str">
        <f>LEFT(AllDaqbookOffsets[[#This Row],[traceability_no]],2)</f>
        <v>K4</v>
      </c>
    </row>
    <row r="843" spans="1:6" x14ac:dyDescent="0.2">
      <c r="A843"/>
      <c r="B843"/>
      <c r="C843"/>
      <c r="D843"/>
      <c r="E843"/>
      <c r="F843" s="662" t="str">
        <f>LEFT(AllDaqbookOffsets[[#This Row],[traceability_no]],2)</f>
        <v>K4</v>
      </c>
    </row>
    <row r="844" spans="1:6" x14ac:dyDescent="0.2">
      <c r="A844"/>
      <c r="B844"/>
      <c r="C844"/>
      <c r="D844"/>
      <c r="E844"/>
      <c r="F844" s="662" t="str">
        <f>LEFT(AllDaqbookOffsets[[#This Row],[traceability_no]],2)</f>
        <v>K4</v>
      </c>
    </row>
    <row r="845" spans="1:6" x14ac:dyDescent="0.2">
      <c r="A845"/>
      <c r="B845"/>
      <c r="C845"/>
      <c r="D845"/>
      <c r="E845"/>
      <c r="F845" s="662" t="str">
        <f>LEFT(AllDaqbookOffsets[[#This Row],[traceability_no]],2)</f>
        <v>K4</v>
      </c>
    </row>
    <row r="846" spans="1:6" x14ac:dyDescent="0.2">
      <c r="A846"/>
      <c r="B846"/>
      <c r="C846"/>
      <c r="D846"/>
      <c r="E846"/>
      <c r="F846" s="662" t="str">
        <f>LEFT(AllDaqbookOffsets[[#This Row],[traceability_no]],2)</f>
        <v>K4</v>
      </c>
    </row>
    <row r="847" spans="1:6" x14ac:dyDescent="0.2">
      <c r="A847"/>
      <c r="B847"/>
      <c r="C847"/>
      <c r="D847"/>
      <c r="E847"/>
      <c r="F847" s="662" t="str">
        <f>LEFT(AllDaqbookOffsets[[#This Row],[traceability_no]],2)</f>
        <v>K4</v>
      </c>
    </row>
    <row r="848" spans="1:6" x14ac:dyDescent="0.2">
      <c r="A848"/>
      <c r="B848"/>
      <c r="C848"/>
      <c r="D848"/>
      <c r="E848"/>
      <c r="F848" s="662" t="str">
        <f>LEFT(AllDaqbookOffsets[[#This Row],[traceability_no]],2)</f>
        <v>K4</v>
      </c>
    </row>
    <row r="849" spans="1:6" x14ac:dyDescent="0.2">
      <c r="A849"/>
      <c r="B849"/>
      <c r="C849"/>
      <c r="D849"/>
      <c r="E849"/>
      <c r="F849" s="662" t="str">
        <f>LEFT(AllDaqbookOffsets[[#This Row],[traceability_no]],2)</f>
        <v>K4</v>
      </c>
    </row>
    <row r="850" spans="1:6" x14ac:dyDescent="0.2">
      <c r="A850"/>
      <c r="B850"/>
      <c r="C850"/>
      <c r="D850"/>
      <c r="E850"/>
      <c r="F850" s="662" t="str">
        <f>LEFT(AllDaqbookOffsets[[#This Row],[traceability_no]],2)</f>
        <v>K4</v>
      </c>
    </row>
    <row r="851" spans="1:6" x14ac:dyDescent="0.2">
      <c r="A851"/>
      <c r="B851"/>
      <c r="C851"/>
      <c r="D851"/>
      <c r="E851"/>
      <c r="F851" s="662" t="str">
        <f>LEFT(AllDaqbookOffsets[[#This Row],[traceability_no]],2)</f>
        <v>K4</v>
      </c>
    </row>
    <row r="852" spans="1:6" x14ac:dyDescent="0.2">
      <c r="A852"/>
      <c r="B852"/>
      <c r="C852"/>
      <c r="D852"/>
      <c r="E852"/>
      <c r="F852" s="662" t="str">
        <f>LEFT(AllDaqbookOffsets[[#This Row],[traceability_no]],2)</f>
        <v>K4</v>
      </c>
    </row>
    <row r="853" spans="1:6" x14ac:dyDescent="0.2">
      <c r="A853"/>
      <c r="B853"/>
      <c r="C853"/>
      <c r="D853"/>
      <c r="E853"/>
      <c r="F853" s="662" t="str">
        <f>LEFT(AllDaqbookOffsets[[#This Row],[traceability_no]],2)</f>
        <v>K4</v>
      </c>
    </row>
    <row r="854" spans="1:6" x14ac:dyDescent="0.2">
      <c r="A854"/>
      <c r="B854"/>
      <c r="C854"/>
      <c r="D854"/>
      <c r="E854"/>
      <c r="F854" s="662" t="str">
        <f>LEFT(AllDaqbookOffsets[[#This Row],[traceability_no]],2)</f>
        <v>K4</v>
      </c>
    </row>
    <row r="855" spans="1:6" x14ac:dyDescent="0.2">
      <c r="A855"/>
      <c r="B855"/>
      <c r="C855"/>
      <c r="D855"/>
      <c r="E855"/>
      <c r="F855" s="662" t="str">
        <f>LEFT(AllDaqbookOffsets[[#This Row],[traceability_no]],2)</f>
        <v>K4</v>
      </c>
    </row>
    <row r="856" spans="1:6" x14ac:dyDescent="0.2">
      <c r="A856"/>
      <c r="B856"/>
      <c r="C856"/>
      <c r="D856"/>
      <c r="E856"/>
      <c r="F856" s="662" t="str">
        <f>LEFT(AllDaqbookOffsets[[#This Row],[traceability_no]],2)</f>
        <v>K4</v>
      </c>
    </row>
    <row r="857" spans="1:6" x14ac:dyDescent="0.2">
      <c r="A857"/>
      <c r="B857"/>
      <c r="C857"/>
      <c r="D857"/>
      <c r="E857"/>
      <c r="F857" s="662" t="str">
        <f>LEFT(AllDaqbookOffsets[[#This Row],[traceability_no]],2)</f>
        <v>K4</v>
      </c>
    </row>
    <row r="858" spans="1:6" x14ac:dyDescent="0.2">
      <c r="A858"/>
      <c r="B858"/>
      <c r="C858"/>
      <c r="D858"/>
      <c r="E858"/>
      <c r="F858" s="662" t="str">
        <f>LEFT(AllDaqbookOffsets[[#This Row],[traceability_no]],2)</f>
        <v>K4</v>
      </c>
    </row>
    <row r="859" spans="1:6" x14ac:dyDescent="0.2">
      <c r="A859"/>
      <c r="B859"/>
      <c r="C859"/>
      <c r="D859"/>
      <c r="E859"/>
      <c r="F859" s="662" t="str">
        <f>LEFT(AllDaqbookOffsets[[#This Row],[traceability_no]],2)</f>
        <v>K4</v>
      </c>
    </row>
    <row r="860" spans="1:6" x14ac:dyDescent="0.2">
      <c r="A860"/>
      <c r="B860"/>
      <c r="C860"/>
      <c r="D860"/>
      <c r="E860"/>
      <c r="F860" s="662" t="str">
        <f>LEFT(AllDaqbookOffsets[[#This Row],[traceability_no]],2)</f>
        <v>K4</v>
      </c>
    </row>
    <row r="861" spans="1:6" x14ac:dyDescent="0.2">
      <c r="A861"/>
      <c r="B861"/>
      <c r="C861"/>
      <c r="D861"/>
      <c r="E861"/>
      <c r="F861" s="662" t="str">
        <f>LEFT(AllDaqbookOffsets[[#This Row],[traceability_no]],2)</f>
        <v>K4</v>
      </c>
    </row>
    <row r="862" spans="1:6" x14ac:dyDescent="0.2">
      <c r="A862"/>
      <c r="B862"/>
      <c r="C862"/>
      <c r="D862"/>
      <c r="E862"/>
      <c r="F862" s="662" t="str">
        <f>LEFT(AllDaqbookOffsets[[#This Row],[traceability_no]],2)</f>
        <v>K4</v>
      </c>
    </row>
    <row r="863" spans="1:6" x14ac:dyDescent="0.2">
      <c r="A863"/>
      <c r="B863"/>
      <c r="C863"/>
      <c r="D863"/>
      <c r="E863"/>
      <c r="F863" s="662" t="str">
        <f>LEFT(AllDaqbookOffsets[[#This Row],[traceability_no]],2)</f>
        <v>K4</v>
      </c>
    </row>
    <row r="864" spans="1:6" x14ac:dyDescent="0.2">
      <c r="A864"/>
      <c r="B864"/>
      <c r="C864"/>
      <c r="D864"/>
      <c r="E864"/>
      <c r="F864" s="662" t="str">
        <f>LEFT(AllDaqbookOffsets[[#This Row],[traceability_no]],2)</f>
        <v>K4</v>
      </c>
    </row>
    <row r="865" spans="1:6" x14ac:dyDescent="0.2">
      <c r="A865"/>
      <c r="B865"/>
      <c r="C865"/>
      <c r="D865"/>
      <c r="E865"/>
      <c r="F865" s="662" t="str">
        <f>LEFT(AllDaqbookOffsets[[#This Row],[traceability_no]],2)</f>
        <v>K4</v>
      </c>
    </row>
    <row r="866" spans="1:6" x14ac:dyDescent="0.2">
      <c r="A866"/>
      <c r="B866"/>
      <c r="C866"/>
      <c r="D866"/>
      <c r="E866"/>
      <c r="F866" s="662" t="str">
        <f>LEFT(AllDaqbookOffsets[[#This Row],[traceability_no]],2)</f>
        <v>K4</v>
      </c>
    </row>
    <row r="867" spans="1:6" x14ac:dyDescent="0.2">
      <c r="A867"/>
      <c r="B867"/>
      <c r="C867"/>
      <c r="D867"/>
      <c r="E867"/>
      <c r="F867" s="662" t="str">
        <f>LEFT(AllDaqbookOffsets[[#This Row],[traceability_no]],2)</f>
        <v>K4</v>
      </c>
    </row>
    <row r="868" spans="1:6" x14ac:dyDescent="0.2">
      <c r="A868"/>
      <c r="B868"/>
      <c r="C868"/>
      <c r="D868"/>
      <c r="E868"/>
      <c r="F868" s="662" t="str">
        <f>LEFT(AllDaqbookOffsets[[#This Row],[traceability_no]],2)</f>
        <v>K4</v>
      </c>
    </row>
    <row r="869" spans="1:6" x14ac:dyDescent="0.2">
      <c r="A869"/>
      <c r="B869"/>
      <c r="C869"/>
      <c r="D869"/>
      <c r="E869"/>
      <c r="F869" s="662" t="str">
        <f>LEFT(AllDaqbookOffsets[[#This Row],[traceability_no]],2)</f>
        <v>K4</v>
      </c>
    </row>
    <row r="870" spans="1:6" x14ac:dyDescent="0.2">
      <c r="A870"/>
      <c r="B870"/>
      <c r="C870"/>
      <c r="D870"/>
      <c r="E870"/>
      <c r="F870" s="662" t="str">
        <f>LEFT(AllDaqbookOffsets[[#This Row],[traceability_no]],2)</f>
        <v>K4</v>
      </c>
    </row>
    <row r="871" spans="1:6" x14ac:dyDescent="0.2">
      <c r="A871"/>
      <c r="B871"/>
      <c r="C871"/>
      <c r="D871"/>
      <c r="E871"/>
      <c r="F871" s="662" t="str">
        <f>LEFT(AllDaqbookOffsets[[#This Row],[traceability_no]],2)</f>
        <v>K4</v>
      </c>
    </row>
    <row r="872" spans="1:6" x14ac:dyDescent="0.2">
      <c r="A872"/>
      <c r="B872"/>
      <c r="C872"/>
      <c r="D872"/>
      <c r="E872"/>
      <c r="F872" s="662" t="str">
        <f>LEFT(AllDaqbookOffsets[[#This Row],[traceability_no]],2)</f>
        <v>K4</v>
      </c>
    </row>
    <row r="873" spans="1:6" x14ac:dyDescent="0.2">
      <c r="A873"/>
      <c r="B873"/>
      <c r="C873"/>
      <c r="D873"/>
      <c r="E873"/>
      <c r="F873" s="662" t="str">
        <f>LEFT(AllDaqbookOffsets[[#This Row],[traceability_no]],2)</f>
        <v>K4</v>
      </c>
    </row>
    <row r="874" spans="1:6" x14ac:dyDescent="0.2">
      <c r="A874"/>
      <c r="B874"/>
      <c r="C874"/>
      <c r="D874"/>
      <c r="E874"/>
      <c r="F874" s="662" t="str">
        <f>LEFT(AllDaqbookOffsets[[#This Row],[traceability_no]],2)</f>
        <v>K4</v>
      </c>
    </row>
    <row r="875" spans="1:6" x14ac:dyDescent="0.2">
      <c r="A875"/>
      <c r="B875"/>
      <c r="C875"/>
      <c r="D875"/>
      <c r="E875"/>
      <c r="F875" s="662" t="str">
        <f>LEFT(AllDaqbookOffsets[[#This Row],[traceability_no]],2)</f>
        <v>K4</v>
      </c>
    </row>
    <row r="876" spans="1:6" x14ac:dyDescent="0.2">
      <c r="A876"/>
      <c r="B876"/>
      <c r="C876"/>
      <c r="D876"/>
      <c r="E876"/>
      <c r="F876" s="662" t="str">
        <f>LEFT(AllDaqbookOffsets[[#This Row],[traceability_no]],2)</f>
        <v>K4</v>
      </c>
    </row>
    <row r="877" spans="1:6" x14ac:dyDescent="0.2">
      <c r="A877"/>
      <c r="B877"/>
      <c r="C877"/>
      <c r="D877"/>
      <c r="E877"/>
      <c r="F877" s="662" t="str">
        <f>LEFT(AllDaqbookOffsets[[#This Row],[traceability_no]],2)</f>
        <v>K4</v>
      </c>
    </row>
    <row r="878" spans="1:6" x14ac:dyDescent="0.2">
      <c r="A878"/>
      <c r="B878"/>
      <c r="C878"/>
      <c r="D878"/>
      <c r="E878"/>
      <c r="F878" s="662" t="str">
        <f>LEFT(AllDaqbookOffsets[[#This Row],[traceability_no]],2)</f>
        <v>K4</v>
      </c>
    </row>
    <row r="879" spans="1:6" x14ac:dyDescent="0.2">
      <c r="A879"/>
      <c r="B879"/>
      <c r="C879"/>
      <c r="D879"/>
      <c r="E879"/>
      <c r="F879" s="662" t="str">
        <f>LEFT(AllDaqbookOffsets[[#This Row],[traceability_no]],2)</f>
        <v>K4</v>
      </c>
    </row>
    <row r="880" spans="1:6" x14ac:dyDescent="0.2">
      <c r="A880"/>
      <c r="B880"/>
      <c r="C880"/>
      <c r="D880"/>
      <c r="E880"/>
      <c r="F880" s="662" t="str">
        <f>LEFT(AllDaqbookOffsets[[#This Row],[traceability_no]],2)</f>
        <v>K4</v>
      </c>
    </row>
    <row r="881" spans="1:6" x14ac:dyDescent="0.2">
      <c r="A881"/>
      <c r="B881"/>
      <c r="C881"/>
      <c r="D881"/>
      <c r="E881"/>
      <c r="F881" s="662" t="str">
        <f>LEFT(AllDaqbookOffsets[[#This Row],[traceability_no]],2)</f>
        <v>K4</v>
      </c>
    </row>
    <row r="882" spans="1:6" x14ac:dyDescent="0.2">
      <c r="A882"/>
      <c r="B882"/>
      <c r="C882"/>
      <c r="D882"/>
      <c r="E882"/>
      <c r="F882" s="662" t="str">
        <f>LEFT(AllDaqbookOffsets[[#This Row],[traceability_no]],2)</f>
        <v>K4</v>
      </c>
    </row>
    <row r="883" spans="1:6" x14ac:dyDescent="0.2">
      <c r="A883"/>
      <c r="B883"/>
      <c r="C883"/>
      <c r="D883"/>
      <c r="E883"/>
      <c r="F883" s="662" t="str">
        <f>LEFT(AllDaqbookOffsets[[#This Row],[traceability_no]],2)</f>
        <v>K4</v>
      </c>
    </row>
    <row r="884" spans="1:6" x14ac:dyDescent="0.2">
      <c r="A884"/>
      <c r="B884"/>
      <c r="C884"/>
      <c r="D884"/>
      <c r="E884"/>
      <c r="F884" s="662" t="str">
        <f>LEFT(AllDaqbookOffsets[[#This Row],[traceability_no]],2)</f>
        <v>K4</v>
      </c>
    </row>
    <row r="885" spans="1:6" x14ac:dyDescent="0.2">
      <c r="A885"/>
      <c r="B885"/>
      <c r="C885"/>
      <c r="D885"/>
      <c r="E885"/>
      <c r="F885" s="662" t="str">
        <f>LEFT(AllDaqbookOffsets[[#This Row],[traceability_no]],2)</f>
        <v>K4</v>
      </c>
    </row>
    <row r="886" spans="1:6" x14ac:dyDescent="0.2">
      <c r="A886"/>
      <c r="B886"/>
      <c r="C886"/>
      <c r="D886"/>
      <c r="E886"/>
      <c r="F886" s="662" t="str">
        <f>LEFT(AllDaqbookOffsets[[#This Row],[traceability_no]],2)</f>
        <v>K4</v>
      </c>
    </row>
    <row r="887" spans="1:6" x14ac:dyDescent="0.2">
      <c r="A887"/>
      <c r="B887"/>
      <c r="C887"/>
      <c r="D887"/>
      <c r="E887"/>
      <c r="F887" s="662" t="str">
        <f>LEFT(AllDaqbookOffsets[[#This Row],[traceability_no]],2)</f>
        <v>K4</v>
      </c>
    </row>
    <row r="888" spans="1:6" x14ac:dyDescent="0.2">
      <c r="A888"/>
      <c r="B888"/>
      <c r="C888"/>
      <c r="D888"/>
      <c r="E888"/>
      <c r="F888" s="662" t="str">
        <f>LEFT(AllDaqbookOffsets[[#This Row],[traceability_no]],2)</f>
        <v>K4</v>
      </c>
    </row>
    <row r="889" spans="1:6" x14ac:dyDescent="0.2">
      <c r="A889"/>
      <c r="B889"/>
      <c r="C889"/>
      <c r="D889"/>
      <c r="E889"/>
      <c r="F889" s="662" t="str">
        <f>LEFT(AllDaqbookOffsets[[#This Row],[traceability_no]],2)</f>
        <v>K4</v>
      </c>
    </row>
    <row r="890" spans="1:6" x14ac:dyDescent="0.2">
      <c r="A890"/>
      <c r="B890"/>
      <c r="C890"/>
      <c r="D890"/>
      <c r="E890"/>
      <c r="F890" s="662" t="str">
        <f>LEFT(AllDaqbookOffsets[[#This Row],[traceability_no]],2)</f>
        <v>K4</v>
      </c>
    </row>
    <row r="891" spans="1:6" x14ac:dyDescent="0.2">
      <c r="A891"/>
      <c r="B891"/>
      <c r="C891"/>
      <c r="D891"/>
      <c r="E891"/>
      <c r="F891" s="662" t="str">
        <f>LEFT(AllDaqbookOffsets[[#This Row],[traceability_no]],2)</f>
        <v>K4</v>
      </c>
    </row>
    <row r="892" spans="1:6" x14ac:dyDescent="0.2">
      <c r="A892"/>
      <c r="B892"/>
      <c r="C892"/>
      <c r="D892"/>
      <c r="E892"/>
      <c r="F892" s="662" t="str">
        <f>LEFT(AllDaqbookOffsets[[#This Row],[traceability_no]],2)</f>
        <v>K4</v>
      </c>
    </row>
    <row r="893" spans="1:6" x14ac:dyDescent="0.2">
      <c r="A893"/>
      <c r="B893"/>
      <c r="C893"/>
      <c r="D893"/>
      <c r="E893"/>
      <c r="F893" s="662" t="str">
        <f>LEFT(AllDaqbookOffsets[[#This Row],[traceability_no]],2)</f>
        <v>K4</v>
      </c>
    </row>
    <row r="894" spans="1:6" x14ac:dyDescent="0.2">
      <c r="A894"/>
      <c r="B894"/>
      <c r="C894"/>
      <c r="D894"/>
      <c r="E894"/>
      <c r="F894" s="662" t="str">
        <f>LEFT(AllDaqbookOffsets[[#This Row],[traceability_no]],2)</f>
        <v>K4</v>
      </c>
    </row>
    <row r="895" spans="1:6" x14ac:dyDescent="0.2">
      <c r="A895"/>
      <c r="B895"/>
      <c r="C895"/>
      <c r="D895"/>
      <c r="E895"/>
      <c r="F895" s="662" t="str">
        <f>LEFT(AllDaqbookOffsets[[#This Row],[traceability_no]],2)</f>
        <v>K4</v>
      </c>
    </row>
    <row r="896" spans="1:6" x14ac:dyDescent="0.2">
      <c r="A896"/>
      <c r="B896"/>
      <c r="C896"/>
      <c r="D896"/>
      <c r="E896"/>
      <c r="F896" s="662" t="str">
        <f>LEFT(AllDaqbookOffsets[[#This Row],[traceability_no]],2)</f>
        <v>K4</v>
      </c>
    </row>
    <row r="897" spans="1:6" x14ac:dyDescent="0.2">
      <c r="A897"/>
      <c r="B897"/>
      <c r="C897"/>
      <c r="D897"/>
      <c r="E897"/>
      <c r="F897" s="662" t="str">
        <f>LEFT(AllDaqbookOffsets[[#This Row],[traceability_no]],2)</f>
        <v>K4</v>
      </c>
    </row>
    <row r="898" spans="1:6" x14ac:dyDescent="0.2">
      <c r="A898"/>
      <c r="B898"/>
      <c r="C898"/>
      <c r="D898"/>
      <c r="E898"/>
      <c r="F898" s="662" t="str">
        <f>LEFT(AllDaqbookOffsets[[#This Row],[traceability_no]],2)</f>
        <v>K4</v>
      </c>
    </row>
    <row r="899" spans="1:6" x14ac:dyDescent="0.2">
      <c r="A899"/>
      <c r="B899"/>
      <c r="C899"/>
      <c r="D899"/>
      <c r="E899"/>
      <c r="F899" s="662" t="str">
        <f>LEFT(AllDaqbookOffsets[[#This Row],[traceability_no]],2)</f>
        <v>K4</v>
      </c>
    </row>
    <row r="900" spans="1:6" x14ac:dyDescent="0.2">
      <c r="A900"/>
      <c r="B900"/>
      <c r="C900"/>
      <c r="D900"/>
      <c r="E900"/>
      <c r="F900" s="662" t="str">
        <f>LEFT(AllDaqbookOffsets[[#This Row],[traceability_no]],2)</f>
        <v>K4</v>
      </c>
    </row>
    <row r="901" spans="1:6" x14ac:dyDescent="0.2">
      <c r="A901"/>
      <c r="B901"/>
      <c r="C901"/>
      <c r="D901"/>
      <c r="E901"/>
      <c r="F901" s="662" t="str">
        <f>LEFT(AllDaqbookOffsets[[#This Row],[traceability_no]],2)</f>
        <v>K4</v>
      </c>
    </row>
    <row r="902" spans="1:6" x14ac:dyDescent="0.2">
      <c r="A902"/>
      <c r="B902"/>
      <c r="C902"/>
      <c r="D902"/>
      <c r="E902"/>
      <c r="F902" s="662" t="str">
        <f>LEFT(AllDaqbookOffsets[[#This Row],[traceability_no]],2)</f>
        <v>K4</v>
      </c>
    </row>
    <row r="903" spans="1:6" x14ac:dyDescent="0.2">
      <c r="A903"/>
      <c r="B903"/>
      <c r="C903"/>
      <c r="D903"/>
      <c r="E903"/>
      <c r="F903" s="662" t="str">
        <f>LEFT(AllDaqbookOffsets[[#This Row],[traceability_no]],2)</f>
        <v>K4</v>
      </c>
    </row>
    <row r="904" spans="1:6" x14ac:dyDescent="0.2">
      <c r="A904"/>
      <c r="B904"/>
      <c r="C904"/>
      <c r="D904"/>
      <c r="E904"/>
      <c r="F904" s="662" t="str">
        <f>LEFT(AllDaqbookOffsets[[#This Row],[traceability_no]],2)</f>
        <v>K4</v>
      </c>
    </row>
    <row r="905" spans="1:6" x14ac:dyDescent="0.2">
      <c r="A905"/>
      <c r="B905"/>
      <c r="C905"/>
      <c r="D905"/>
      <c r="E905"/>
      <c r="F905" s="662" t="str">
        <f>LEFT(AllDaqbookOffsets[[#This Row],[traceability_no]],2)</f>
        <v>K4</v>
      </c>
    </row>
    <row r="906" spans="1:6" x14ac:dyDescent="0.2">
      <c r="A906"/>
      <c r="B906"/>
      <c r="C906"/>
      <c r="D906"/>
      <c r="E906"/>
      <c r="F906" s="662" t="str">
        <f>LEFT(AllDaqbookOffsets[[#This Row],[traceability_no]],2)</f>
        <v>K4</v>
      </c>
    </row>
    <row r="907" spans="1:6" x14ac:dyDescent="0.2">
      <c r="A907"/>
      <c r="B907"/>
      <c r="C907"/>
      <c r="D907"/>
      <c r="E907"/>
      <c r="F907" s="662" t="str">
        <f>LEFT(AllDaqbookOffsets[[#This Row],[traceability_no]],2)</f>
        <v>K4</v>
      </c>
    </row>
    <row r="908" spans="1:6" x14ac:dyDescent="0.2">
      <c r="A908"/>
      <c r="B908"/>
      <c r="C908"/>
      <c r="D908"/>
      <c r="E908"/>
      <c r="F908" s="662" t="str">
        <f>LEFT(AllDaqbookOffsets[[#This Row],[traceability_no]],2)</f>
        <v>K4</v>
      </c>
    </row>
    <row r="909" spans="1:6" x14ac:dyDescent="0.2">
      <c r="A909"/>
      <c r="B909"/>
      <c r="C909"/>
      <c r="D909"/>
      <c r="E909"/>
      <c r="F909" s="662" t="str">
        <f>LEFT(AllDaqbookOffsets[[#This Row],[traceability_no]],2)</f>
        <v>K4</v>
      </c>
    </row>
    <row r="910" spans="1:6" x14ac:dyDescent="0.2">
      <c r="A910"/>
      <c r="B910"/>
      <c r="C910"/>
      <c r="D910"/>
      <c r="E910"/>
      <c r="F910" s="662" t="str">
        <f>LEFT(AllDaqbookOffsets[[#This Row],[traceability_no]],2)</f>
        <v>K4</v>
      </c>
    </row>
    <row r="911" spans="1:6" x14ac:dyDescent="0.2">
      <c r="A911"/>
      <c r="B911"/>
      <c r="C911"/>
      <c r="D911"/>
      <c r="E911"/>
      <c r="F911" s="662" t="str">
        <f>LEFT(AllDaqbookOffsets[[#This Row],[traceability_no]],2)</f>
        <v>K4</v>
      </c>
    </row>
    <row r="912" spans="1:6" x14ac:dyDescent="0.2">
      <c r="A912"/>
      <c r="B912"/>
      <c r="C912"/>
      <c r="D912"/>
      <c r="E912"/>
      <c r="F912" s="662" t="str">
        <f>LEFT(AllDaqbookOffsets[[#This Row],[traceability_no]],2)</f>
        <v>K4</v>
      </c>
    </row>
    <row r="913" spans="1:6" x14ac:dyDescent="0.2">
      <c r="A913"/>
      <c r="B913"/>
      <c r="C913"/>
      <c r="D913"/>
      <c r="E913"/>
      <c r="F913" s="662" t="str">
        <f>LEFT(AllDaqbookOffsets[[#This Row],[traceability_no]],2)</f>
        <v>K4</v>
      </c>
    </row>
    <row r="914" spans="1:6" x14ac:dyDescent="0.2">
      <c r="A914"/>
      <c r="B914"/>
      <c r="C914"/>
      <c r="D914"/>
      <c r="E914"/>
      <c r="F914" s="662" t="str">
        <f>LEFT(AllDaqbookOffsets[[#This Row],[traceability_no]],2)</f>
        <v>K4</v>
      </c>
    </row>
    <row r="915" spans="1:6" x14ac:dyDescent="0.2">
      <c r="A915"/>
      <c r="B915"/>
      <c r="C915"/>
      <c r="D915"/>
      <c r="E915"/>
      <c r="F915" s="662" t="str">
        <f>LEFT(AllDaqbookOffsets[[#This Row],[traceability_no]],2)</f>
        <v>K4</v>
      </c>
    </row>
    <row r="916" spans="1:6" x14ac:dyDescent="0.2">
      <c r="A916"/>
      <c r="B916"/>
      <c r="C916"/>
      <c r="D916"/>
      <c r="E916"/>
      <c r="F916" s="662" t="str">
        <f>LEFT(AllDaqbookOffsets[[#This Row],[traceability_no]],2)</f>
        <v>K4</v>
      </c>
    </row>
    <row r="917" spans="1:6" x14ac:dyDescent="0.2">
      <c r="A917"/>
      <c r="B917"/>
      <c r="C917"/>
      <c r="D917"/>
      <c r="E917"/>
      <c r="F917" s="662" t="str">
        <f>LEFT(AllDaqbookOffsets[[#This Row],[traceability_no]],2)</f>
        <v>K4</v>
      </c>
    </row>
    <row r="918" spans="1:6" x14ac:dyDescent="0.2">
      <c r="A918"/>
      <c r="B918"/>
      <c r="C918"/>
      <c r="D918"/>
      <c r="E918"/>
      <c r="F918" s="662" t="str">
        <f>LEFT(AllDaqbookOffsets[[#This Row],[traceability_no]],2)</f>
        <v>K4</v>
      </c>
    </row>
    <row r="919" spans="1:6" x14ac:dyDescent="0.2">
      <c r="A919"/>
      <c r="B919"/>
      <c r="C919"/>
      <c r="D919"/>
      <c r="E919"/>
      <c r="F919" s="662" t="str">
        <f>LEFT(AllDaqbookOffsets[[#This Row],[traceability_no]],2)</f>
        <v>K4</v>
      </c>
    </row>
    <row r="920" spans="1:6" x14ac:dyDescent="0.2">
      <c r="A920"/>
      <c r="B920"/>
      <c r="C920"/>
      <c r="D920"/>
      <c r="E920"/>
      <c r="F920" s="662" t="str">
        <f>LEFT(AllDaqbookOffsets[[#This Row],[traceability_no]],2)</f>
        <v>K4</v>
      </c>
    </row>
    <row r="921" spans="1:6" x14ac:dyDescent="0.2">
      <c r="A921"/>
      <c r="B921"/>
      <c r="C921"/>
      <c r="D921"/>
      <c r="E921"/>
      <c r="F921" s="662" t="str">
        <f>LEFT(AllDaqbookOffsets[[#This Row],[traceability_no]],2)</f>
        <v>K4</v>
      </c>
    </row>
    <row r="922" spans="1:6" x14ac:dyDescent="0.2">
      <c r="A922"/>
      <c r="B922"/>
      <c r="C922"/>
      <c r="D922"/>
      <c r="E922"/>
      <c r="F922" s="662" t="str">
        <f>LEFT(AllDaqbookOffsets[[#This Row],[traceability_no]],2)</f>
        <v>K4</v>
      </c>
    </row>
    <row r="923" spans="1:6" x14ac:dyDescent="0.2">
      <c r="A923"/>
      <c r="B923"/>
      <c r="C923"/>
      <c r="D923"/>
      <c r="E923"/>
      <c r="F923" s="662" t="str">
        <f>LEFT(AllDaqbookOffsets[[#This Row],[traceability_no]],2)</f>
        <v>K4</v>
      </c>
    </row>
    <row r="924" spans="1:6" x14ac:dyDescent="0.2">
      <c r="A924"/>
      <c r="B924"/>
      <c r="C924"/>
      <c r="D924"/>
      <c r="E924"/>
      <c r="F924" s="662" t="str">
        <f>LEFT(AllDaqbookOffsets[[#This Row],[traceability_no]],2)</f>
        <v>K4</v>
      </c>
    </row>
    <row r="925" spans="1:6" x14ac:dyDescent="0.2">
      <c r="A925"/>
      <c r="B925"/>
      <c r="C925"/>
      <c r="D925"/>
      <c r="E925"/>
      <c r="F925" s="662" t="str">
        <f>LEFT(AllDaqbookOffsets[[#This Row],[traceability_no]],2)</f>
        <v>K4</v>
      </c>
    </row>
    <row r="926" spans="1:6" x14ac:dyDescent="0.2">
      <c r="A926"/>
      <c r="B926"/>
      <c r="C926"/>
      <c r="D926"/>
      <c r="E926"/>
      <c r="F926" s="662" t="str">
        <f>LEFT(AllDaqbookOffsets[[#This Row],[traceability_no]],2)</f>
        <v>K4</v>
      </c>
    </row>
    <row r="927" spans="1:6" x14ac:dyDescent="0.2">
      <c r="A927"/>
      <c r="B927"/>
      <c r="C927"/>
      <c r="D927"/>
      <c r="E927"/>
      <c r="F927" s="662" t="str">
        <f>LEFT(AllDaqbookOffsets[[#This Row],[traceability_no]],2)</f>
        <v>K4</v>
      </c>
    </row>
    <row r="928" spans="1:6" x14ac:dyDescent="0.2">
      <c r="A928"/>
      <c r="B928"/>
      <c r="C928"/>
      <c r="D928"/>
      <c r="E928"/>
      <c r="F928" s="662" t="str">
        <f>LEFT(AllDaqbookOffsets[[#This Row],[traceability_no]],2)</f>
        <v>K4</v>
      </c>
    </row>
    <row r="929" spans="1:6" x14ac:dyDescent="0.2">
      <c r="A929"/>
      <c r="B929"/>
      <c r="C929"/>
      <c r="D929"/>
      <c r="E929"/>
      <c r="F929" s="662" t="str">
        <f>LEFT(AllDaqbookOffsets[[#This Row],[traceability_no]],2)</f>
        <v>K4</v>
      </c>
    </row>
    <row r="930" spans="1:6" x14ac:dyDescent="0.2">
      <c r="A930"/>
      <c r="B930"/>
      <c r="C930"/>
      <c r="D930"/>
      <c r="E930"/>
      <c r="F930" s="662" t="str">
        <f>LEFT(AllDaqbookOffsets[[#This Row],[traceability_no]],2)</f>
        <v>K4</v>
      </c>
    </row>
    <row r="931" spans="1:6" x14ac:dyDescent="0.2">
      <c r="A931"/>
      <c r="B931"/>
      <c r="C931"/>
      <c r="D931"/>
      <c r="E931"/>
      <c r="F931" s="662" t="str">
        <f>LEFT(AllDaqbookOffsets[[#This Row],[traceability_no]],2)</f>
        <v>K4</v>
      </c>
    </row>
    <row r="932" spans="1:6" x14ac:dyDescent="0.2">
      <c r="A932"/>
      <c r="B932"/>
      <c r="C932"/>
      <c r="D932"/>
      <c r="E932"/>
      <c r="F932" s="662" t="str">
        <f>LEFT(AllDaqbookOffsets[[#This Row],[traceability_no]],2)</f>
        <v>K4</v>
      </c>
    </row>
    <row r="933" spans="1:6" x14ac:dyDescent="0.2">
      <c r="A933"/>
      <c r="B933"/>
      <c r="C933"/>
      <c r="D933"/>
      <c r="E933"/>
      <c r="F933" s="662" t="str">
        <f>LEFT(AllDaqbookOffsets[[#This Row],[traceability_no]],2)</f>
        <v>K4</v>
      </c>
    </row>
    <row r="934" spans="1:6" x14ac:dyDescent="0.2">
      <c r="A934"/>
      <c r="B934"/>
      <c r="C934"/>
      <c r="D934"/>
      <c r="E934"/>
      <c r="F934" s="662" t="str">
        <f>LEFT(AllDaqbookOffsets[[#This Row],[traceability_no]],2)</f>
        <v>K4</v>
      </c>
    </row>
    <row r="935" spans="1:6" x14ac:dyDescent="0.2">
      <c r="A935"/>
      <c r="B935"/>
      <c r="C935"/>
      <c r="D935"/>
      <c r="E935"/>
      <c r="F935" s="662" t="str">
        <f>LEFT(AllDaqbookOffsets[[#This Row],[traceability_no]],2)</f>
        <v>K4</v>
      </c>
    </row>
    <row r="936" spans="1:6" x14ac:dyDescent="0.2">
      <c r="A936"/>
      <c r="B936"/>
      <c r="C936"/>
      <c r="D936"/>
      <c r="E936"/>
      <c r="F936" s="662" t="str">
        <f>LEFT(AllDaqbookOffsets[[#This Row],[traceability_no]],2)</f>
        <v>K4</v>
      </c>
    </row>
    <row r="937" spans="1:6" x14ac:dyDescent="0.2">
      <c r="A937"/>
      <c r="B937"/>
      <c r="C937"/>
      <c r="D937"/>
      <c r="E937"/>
      <c r="F937" s="662" t="str">
        <f>LEFT(AllDaqbookOffsets[[#This Row],[traceability_no]],2)</f>
        <v>K4</v>
      </c>
    </row>
    <row r="938" spans="1:6" x14ac:dyDescent="0.2">
      <c r="A938"/>
      <c r="B938"/>
      <c r="C938"/>
      <c r="D938"/>
      <c r="E938"/>
      <c r="F938" s="662" t="str">
        <f>LEFT(AllDaqbookOffsets[[#This Row],[traceability_no]],2)</f>
        <v>K4</v>
      </c>
    </row>
    <row r="939" spans="1:6" x14ac:dyDescent="0.2">
      <c r="A939"/>
      <c r="B939"/>
      <c r="C939"/>
      <c r="D939"/>
      <c r="E939"/>
      <c r="F939" s="662" t="str">
        <f>LEFT(AllDaqbookOffsets[[#This Row],[traceability_no]],2)</f>
        <v>K4</v>
      </c>
    </row>
    <row r="940" spans="1:6" x14ac:dyDescent="0.2">
      <c r="A940"/>
      <c r="B940"/>
      <c r="C940"/>
      <c r="D940"/>
      <c r="E940"/>
      <c r="F940" s="662" t="str">
        <f>LEFT(AllDaqbookOffsets[[#This Row],[traceability_no]],2)</f>
        <v>K4</v>
      </c>
    </row>
    <row r="941" spans="1:6" x14ac:dyDescent="0.2">
      <c r="A941"/>
      <c r="B941"/>
      <c r="C941"/>
      <c r="D941"/>
      <c r="E941"/>
      <c r="F941" s="662" t="str">
        <f>LEFT(AllDaqbookOffsets[[#This Row],[traceability_no]],2)</f>
        <v>K4</v>
      </c>
    </row>
    <row r="942" spans="1:6" x14ac:dyDescent="0.2">
      <c r="A942"/>
      <c r="B942"/>
      <c r="C942"/>
      <c r="D942"/>
      <c r="E942"/>
      <c r="F942" s="662" t="str">
        <f>LEFT(AllDaqbookOffsets[[#This Row],[traceability_no]],2)</f>
        <v>K4</v>
      </c>
    </row>
    <row r="943" spans="1:6" x14ac:dyDescent="0.2">
      <c r="A943"/>
      <c r="B943"/>
      <c r="C943"/>
      <c r="D943"/>
      <c r="E943"/>
      <c r="F943" s="662" t="str">
        <f>LEFT(AllDaqbookOffsets[[#This Row],[traceability_no]],2)</f>
        <v>K4</v>
      </c>
    </row>
    <row r="944" spans="1:6" x14ac:dyDescent="0.2">
      <c r="A944"/>
      <c r="B944"/>
      <c r="C944"/>
      <c r="D944"/>
      <c r="E944"/>
      <c r="F944" s="662" t="str">
        <f>LEFT(AllDaqbookOffsets[[#This Row],[traceability_no]],2)</f>
        <v>K4</v>
      </c>
    </row>
    <row r="945" spans="1:6" x14ac:dyDescent="0.2">
      <c r="A945"/>
      <c r="B945"/>
      <c r="C945"/>
      <c r="D945"/>
      <c r="E945"/>
      <c r="F945" s="662" t="str">
        <f>LEFT(AllDaqbookOffsets[[#This Row],[traceability_no]],2)</f>
        <v>K4</v>
      </c>
    </row>
    <row r="946" spans="1:6" x14ac:dyDescent="0.2">
      <c r="A946"/>
      <c r="B946"/>
      <c r="C946"/>
      <c r="D946"/>
      <c r="E946"/>
      <c r="F946" s="662" t="str">
        <f>LEFT(AllDaqbookOffsets[[#This Row],[traceability_no]],2)</f>
        <v>K4</v>
      </c>
    </row>
    <row r="947" spans="1:6" x14ac:dyDescent="0.2">
      <c r="A947"/>
      <c r="B947"/>
      <c r="C947"/>
      <c r="D947"/>
      <c r="E947"/>
      <c r="F947" s="662" t="str">
        <f>LEFT(AllDaqbookOffsets[[#This Row],[traceability_no]],2)</f>
        <v>K4</v>
      </c>
    </row>
    <row r="948" spans="1:6" x14ac:dyDescent="0.2">
      <c r="A948"/>
      <c r="B948"/>
      <c r="C948"/>
      <c r="D948"/>
      <c r="E948"/>
      <c r="F948" s="662" t="str">
        <f>LEFT(AllDaqbookOffsets[[#This Row],[traceability_no]],2)</f>
        <v>K4</v>
      </c>
    </row>
    <row r="949" spans="1:6" x14ac:dyDescent="0.2">
      <c r="A949"/>
      <c r="B949"/>
      <c r="C949"/>
      <c r="D949"/>
      <c r="E949"/>
      <c r="F949" s="662" t="str">
        <f>LEFT(AllDaqbookOffsets[[#This Row],[traceability_no]],2)</f>
        <v>K4</v>
      </c>
    </row>
    <row r="950" spans="1:6" x14ac:dyDescent="0.2">
      <c r="A950"/>
      <c r="B950"/>
      <c r="C950"/>
      <c r="D950"/>
      <c r="E950"/>
      <c r="F950" s="662" t="str">
        <f>LEFT(AllDaqbookOffsets[[#This Row],[traceability_no]],2)</f>
        <v>K4</v>
      </c>
    </row>
    <row r="951" spans="1:6" x14ac:dyDescent="0.2">
      <c r="A951"/>
      <c r="B951"/>
      <c r="C951"/>
      <c r="D951"/>
      <c r="E951"/>
      <c r="F951" s="662" t="str">
        <f>LEFT(AllDaqbookOffsets[[#This Row],[traceability_no]],2)</f>
        <v>K4</v>
      </c>
    </row>
    <row r="952" spans="1:6" x14ac:dyDescent="0.2">
      <c r="A952"/>
      <c r="B952"/>
      <c r="C952"/>
      <c r="D952"/>
      <c r="E952"/>
      <c r="F952" s="662" t="str">
        <f>LEFT(AllDaqbookOffsets[[#This Row],[traceability_no]],2)</f>
        <v>K4</v>
      </c>
    </row>
    <row r="953" spans="1:6" x14ac:dyDescent="0.2">
      <c r="A953"/>
      <c r="B953"/>
      <c r="C953"/>
      <c r="D953"/>
      <c r="E953"/>
      <c r="F953" s="662" t="str">
        <f>LEFT(AllDaqbookOffsets[[#This Row],[traceability_no]],2)</f>
        <v>K4</v>
      </c>
    </row>
    <row r="954" spans="1:6" x14ac:dyDescent="0.2">
      <c r="A954"/>
      <c r="B954"/>
      <c r="C954"/>
      <c r="D954"/>
      <c r="E954"/>
      <c r="F954" s="662" t="str">
        <f>LEFT(AllDaqbookOffsets[[#This Row],[traceability_no]],2)</f>
        <v>K4</v>
      </c>
    </row>
    <row r="955" spans="1:6" x14ac:dyDescent="0.2">
      <c r="A955"/>
      <c r="B955"/>
      <c r="C955"/>
      <c r="D955"/>
      <c r="E955"/>
      <c r="F955" s="662" t="str">
        <f>LEFT(AllDaqbookOffsets[[#This Row],[traceability_no]],2)</f>
        <v>K4</v>
      </c>
    </row>
    <row r="956" spans="1:6" x14ac:dyDescent="0.2">
      <c r="A956"/>
      <c r="B956"/>
      <c r="C956"/>
      <c r="D956"/>
      <c r="E956"/>
      <c r="F956" s="662" t="str">
        <f>LEFT(AllDaqbookOffsets[[#This Row],[traceability_no]],2)</f>
        <v>K4</v>
      </c>
    </row>
    <row r="957" spans="1:6" x14ac:dyDescent="0.2">
      <c r="A957"/>
      <c r="B957"/>
      <c r="C957"/>
      <c r="D957"/>
      <c r="E957"/>
      <c r="F957" s="662" t="str">
        <f>LEFT(AllDaqbookOffsets[[#This Row],[traceability_no]],2)</f>
        <v>K4</v>
      </c>
    </row>
    <row r="958" spans="1:6" x14ac:dyDescent="0.2">
      <c r="A958"/>
      <c r="B958"/>
      <c r="C958"/>
      <c r="D958"/>
      <c r="E958"/>
      <c r="F958" s="662" t="str">
        <f>LEFT(AllDaqbookOffsets[[#This Row],[traceability_no]],2)</f>
        <v>K4</v>
      </c>
    </row>
    <row r="959" spans="1:6" x14ac:dyDescent="0.2">
      <c r="A959"/>
      <c r="B959"/>
      <c r="C959"/>
      <c r="D959"/>
      <c r="E959"/>
      <c r="F959" s="662" t="str">
        <f>LEFT(AllDaqbookOffsets[[#This Row],[traceability_no]],2)</f>
        <v>K4</v>
      </c>
    </row>
    <row r="960" spans="1:6" x14ac:dyDescent="0.2">
      <c r="A960"/>
      <c r="B960"/>
      <c r="C960"/>
      <c r="D960"/>
      <c r="E960"/>
      <c r="F960" s="662" t="str">
        <f>LEFT(AllDaqbookOffsets[[#This Row],[traceability_no]],2)</f>
        <v>K4</v>
      </c>
    </row>
    <row r="961" spans="1:6" x14ac:dyDescent="0.2">
      <c r="A961"/>
      <c r="B961"/>
      <c r="C961"/>
      <c r="D961"/>
      <c r="E961"/>
      <c r="F961" s="662" t="str">
        <f>LEFT(AllDaqbookOffsets[[#This Row],[traceability_no]],2)</f>
        <v>K4</v>
      </c>
    </row>
    <row r="962" spans="1:6" x14ac:dyDescent="0.2">
      <c r="A962"/>
      <c r="B962"/>
      <c r="C962"/>
      <c r="D962"/>
      <c r="E962"/>
      <c r="F962" s="662" t="str">
        <f>LEFT(AllDaqbookOffsets[[#This Row],[traceability_no]],2)</f>
        <v>K5</v>
      </c>
    </row>
    <row r="963" spans="1:6" x14ac:dyDescent="0.2">
      <c r="A963"/>
      <c r="B963"/>
      <c r="C963"/>
      <c r="D963"/>
      <c r="E963"/>
      <c r="F963" s="662" t="str">
        <f>LEFT(AllDaqbookOffsets[[#This Row],[traceability_no]],2)</f>
        <v>K5</v>
      </c>
    </row>
    <row r="964" spans="1:6" x14ac:dyDescent="0.2">
      <c r="A964"/>
      <c r="B964"/>
      <c r="C964"/>
      <c r="D964"/>
      <c r="E964"/>
      <c r="F964" s="662" t="str">
        <f>LEFT(AllDaqbookOffsets[[#This Row],[traceability_no]],2)</f>
        <v>K5</v>
      </c>
    </row>
    <row r="965" spans="1:6" x14ac:dyDescent="0.2">
      <c r="A965"/>
      <c r="B965"/>
      <c r="C965"/>
      <c r="D965"/>
      <c r="E965"/>
      <c r="F965" s="662" t="str">
        <f>LEFT(AllDaqbookOffsets[[#This Row],[traceability_no]],2)</f>
        <v>K5</v>
      </c>
    </row>
    <row r="966" spans="1:6" x14ac:dyDescent="0.2">
      <c r="A966"/>
      <c r="B966"/>
      <c r="C966"/>
      <c r="D966"/>
      <c r="E966"/>
      <c r="F966" s="662" t="str">
        <f>LEFT(AllDaqbookOffsets[[#This Row],[traceability_no]],2)</f>
        <v>K5</v>
      </c>
    </row>
    <row r="967" spans="1:6" x14ac:dyDescent="0.2">
      <c r="A967"/>
      <c r="B967"/>
      <c r="C967"/>
      <c r="D967"/>
      <c r="E967"/>
      <c r="F967" s="662" t="str">
        <f>LEFT(AllDaqbookOffsets[[#This Row],[traceability_no]],2)</f>
        <v>K5</v>
      </c>
    </row>
    <row r="968" spans="1:6" x14ac:dyDescent="0.2">
      <c r="A968"/>
      <c r="B968"/>
      <c r="C968"/>
      <c r="D968"/>
      <c r="E968"/>
      <c r="F968" s="662" t="str">
        <f>LEFT(AllDaqbookOffsets[[#This Row],[traceability_no]],2)</f>
        <v>K5</v>
      </c>
    </row>
    <row r="969" spans="1:6" x14ac:dyDescent="0.2">
      <c r="A969"/>
      <c r="B969"/>
      <c r="C969"/>
      <c r="D969"/>
      <c r="E969"/>
      <c r="F969" s="662" t="str">
        <f>LEFT(AllDaqbookOffsets[[#This Row],[traceability_no]],2)</f>
        <v>K5</v>
      </c>
    </row>
    <row r="970" spans="1:6" x14ac:dyDescent="0.2">
      <c r="A970"/>
      <c r="B970"/>
      <c r="C970"/>
      <c r="D970"/>
      <c r="E970"/>
      <c r="F970" s="662" t="str">
        <f>LEFT(AllDaqbookOffsets[[#This Row],[traceability_no]],2)</f>
        <v>K5</v>
      </c>
    </row>
    <row r="971" spans="1:6" x14ac:dyDescent="0.2">
      <c r="A971"/>
      <c r="B971"/>
      <c r="C971"/>
      <c r="D971"/>
      <c r="E971"/>
      <c r="F971" s="662" t="str">
        <f>LEFT(AllDaqbookOffsets[[#This Row],[traceability_no]],2)</f>
        <v>K5</v>
      </c>
    </row>
    <row r="972" spans="1:6" x14ac:dyDescent="0.2">
      <c r="A972"/>
      <c r="B972"/>
      <c r="C972"/>
      <c r="D972"/>
      <c r="E972"/>
      <c r="F972" s="662" t="str">
        <f>LEFT(AllDaqbookOffsets[[#This Row],[traceability_no]],2)</f>
        <v>K5</v>
      </c>
    </row>
    <row r="973" spans="1:6" x14ac:dyDescent="0.2">
      <c r="A973"/>
      <c r="B973"/>
      <c r="C973"/>
      <c r="D973"/>
      <c r="E973"/>
      <c r="F973" s="662" t="str">
        <f>LEFT(AllDaqbookOffsets[[#This Row],[traceability_no]],2)</f>
        <v>K5</v>
      </c>
    </row>
    <row r="974" spans="1:6" x14ac:dyDescent="0.2">
      <c r="A974"/>
      <c r="B974"/>
      <c r="C974"/>
      <c r="D974"/>
      <c r="E974"/>
      <c r="F974" s="662" t="str">
        <f>LEFT(AllDaqbookOffsets[[#This Row],[traceability_no]],2)</f>
        <v>K5</v>
      </c>
    </row>
    <row r="975" spans="1:6" x14ac:dyDescent="0.2">
      <c r="A975"/>
      <c r="B975"/>
      <c r="C975"/>
      <c r="D975"/>
      <c r="E975"/>
      <c r="F975" s="662" t="str">
        <f>LEFT(AllDaqbookOffsets[[#This Row],[traceability_no]],2)</f>
        <v>K5</v>
      </c>
    </row>
    <row r="976" spans="1:6" x14ac:dyDescent="0.2">
      <c r="A976"/>
      <c r="B976"/>
      <c r="C976"/>
      <c r="D976"/>
      <c r="E976"/>
      <c r="F976" s="662" t="str">
        <f>LEFT(AllDaqbookOffsets[[#This Row],[traceability_no]],2)</f>
        <v>K5</v>
      </c>
    </row>
    <row r="977" spans="1:6" x14ac:dyDescent="0.2">
      <c r="A977"/>
      <c r="B977"/>
      <c r="C977"/>
      <c r="D977"/>
      <c r="E977"/>
      <c r="F977" s="662" t="str">
        <f>LEFT(AllDaqbookOffsets[[#This Row],[traceability_no]],2)</f>
        <v>K5</v>
      </c>
    </row>
    <row r="978" spans="1:6" x14ac:dyDescent="0.2">
      <c r="A978"/>
      <c r="B978"/>
      <c r="C978"/>
      <c r="D978"/>
      <c r="E978"/>
      <c r="F978" s="662" t="str">
        <f>LEFT(AllDaqbookOffsets[[#This Row],[traceability_no]],2)</f>
        <v>K5</v>
      </c>
    </row>
    <row r="979" spans="1:6" x14ac:dyDescent="0.2">
      <c r="A979"/>
      <c r="B979"/>
      <c r="C979"/>
      <c r="D979"/>
      <c r="E979"/>
      <c r="F979" s="662" t="str">
        <f>LEFT(AllDaqbookOffsets[[#This Row],[traceability_no]],2)</f>
        <v>K5</v>
      </c>
    </row>
    <row r="980" spans="1:6" x14ac:dyDescent="0.2">
      <c r="A980"/>
      <c r="B980"/>
      <c r="C980"/>
      <c r="D980"/>
      <c r="E980"/>
      <c r="F980" s="662" t="str">
        <f>LEFT(AllDaqbookOffsets[[#This Row],[traceability_no]],2)</f>
        <v>K5</v>
      </c>
    </row>
    <row r="981" spans="1:6" x14ac:dyDescent="0.2">
      <c r="A981"/>
      <c r="B981"/>
      <c r="C981"/>
      <c r="D981"/>
      <c r="E981"/>
      <c r="F981" s="662" t="str">
        <f>LEFT(AllDaqbookOffsets[[#This Row],[traceability_no]],2)</f>
        <v>K5</v>
      </c>
    </row>
    <row r="982" spans="1:6" x14ac:dyDescent="0.2">
      <c r="A982"/>
      <c r="B982"/>
      <c r="C982"/>
      <c r="D982"/>
      <c r="E982"/>
      <c r="F982" s="662" t="str">
        <f>LEFT(AllDaqbookOffsets[[#This Row],[traceability_no]],2)</f>
        <v>K5</v>
      </c>
    </row>
    <row r="983" spans="1:6" x14ac:dyDescent="0.2">
      <c r="A983"/>
      <c r="B983"/>
      <c r="C983"/>
      <c r="D983"/>
      <c r="E983"/>
      <c r="F983" s="662" t="str">
        <f>LEFT(AllDaqbookOffsets[[#This Row],[traceability_no]],2)</f>
        <v>K5</v>
      </c>
    </row>
    <row r="984" spans="1:6" x14ac:dyDescent="0.2">
      <c r="A984"/>
      <c r="B984"/>
      <c r="C984"/>
      <c r="D984"/>
      <c r="E984"/>
      <c r="F984" s="662" t="str">
        <f>LEFT(AllDaqbookOffsets[[#This Row],[traceability_no]],2)</f>
        <v>K5</v>
      </c>
    </row>
    <row r="985" spans="1:6" x14ac:dyDescent="0.2">
      <c r="A985"/>
      <c r="B985"/>
      <c r="C985"/>
      <c r="D985"/>
      <c r="E985"/>
      <c r="F985" s="662" t="str">
        <f>LEFT(AllDaqbookOffsets[[#This Row],[traceability_no]],2)</f>
        <v>K5</v>
      </c>
    </row>
    <row r="986" spans="1:6" x14ac:dyDescent="0.2">
      <c r="A986"/>
      <c r="B986"/>
      <c r="C986"/>
      <c r="D986"/>
      <c r="E986"/>
      <c r="F986" s="662" t="str">
        <f>LEFT(AllDaqbookOffsets[[#This Row],[traceability_no]],2)</f>
        <v>K5</v>
      </c>
    </row>
    <row r="987" spans="1:6" x14ac:dyDescent="0.2">
      <c r="A987"/>
      <c r="B987"/>
      <c r="C987"/>
      <c r="D987"/>
      <c r="E987"/>
      <c r="F987" s="662" t="str">
        <f>LEFT(AllDaqbookOffsets[[#This Row],[traceability_no]],2)</f>
        <v>K5</v>
      </c>
    </row>
    <row r="988" spans="1:6" x14ac:dyDescent="0.2">
      <c r="A988"/>
      <c r="B988"/>
      <c r="C988"/>
      <c r="D988"/>
      <c r="E988"/>
      <c r="F988" s="662" t="str">
        <f>LEFT(AllDaqbookOffsets[[#This Row],[traceability_no]],2)</f>
        <v>K5</v>
      </c>
    </row>
    <row r="989" spans="1:6" x14ac:dyDescent="0.2">
      <c r="A989"/>
      <c r="B989"/>
      <c r="C989"/>
      <c r="D989"/>
      <c r="E989"/>
      <c r="F989" s="662" t="str">
        <f>LEFT(AllDaqbookOffsets[[#This Row],[traceability_no]],2)</f>
        <v>K5</v>
      </c>
    </row>
    <row r="990" spans="1:6" x14ac:dyDescent="0.2">
      <c r="A990"/>
      <c r="B990"/>
      <c r="C990"/>
      <c r="D990"/>
      <c r="E990"/>
      <c r="F990" s="662" t="str">
        <f>LEFT(AllDaqbookOffsets[[#This Row],[traceability_no]],2)</f>
        <v>K5</v>
      </c>
    </row>
    <row r="991" spans="1:6" x14ac:dyDescent="0.2">
      <c r="A991"/>
      <c r="B991"/>
      <c r="C991"/>
      <c r="D991"/>
      <c r="E991"/>
      <c r="F991" s="662" t="str">
        <f>LEFT(AllDaqbookOffsets[[#This Row],[traceability_no]],2)</f>
        <v>K5</v>
      </c>
    </row>
    <row r="992" spans="1:6" x14ac:dyDescent="0.2">
      <c r="A992"/>
      <c r="B992"/>
      <c r="C992"/>
      <c r="D992"/>
      <c r="E992"/>
      <c r="F992" s="662" t="str">
        <f>LEFT(AllDaqbookOffsets[[#This Row],[traceability_no]],2)</f>
        <v>K5</v>
      </c>
    </row>
    <row r="993" spans="1:6" x14ac:dyDescent="0.2">
      <c r="A993"/>
      <c r="B993"/>
      <c r="C993"/>
      <c r="D993"/>
      <c r="E993"/>
      <c r="F993" s="662" t="str">
        <f>LEFT(AllDaqbookOffsets[[#This Row],[traceability_no]],2)</f>
        <v>K5</v>
      </c>
    </row>
    <row r="994" spans="1:6" x14ac:dyDescent="0.2">
      <c r="A994"/>
      <c r="B994"/>
      <c r="C994"/>
      <c r="D994"/>
      <c r="E994"/>
      <c r="F994" s="662" t="str">
        <f>LEFT(AllDaqbookOffsets[[#This Row],[traceability_no]],2)</f>
        <v>K5</v>
      </c>
    </row>
    <row r="995" spans="1:6" x14ac:dyDescent="0.2">
      <c r="A995"/>
      <c r="B995"/>
      <c r="C995"/>
      <c r="D995"/>
      <c r="E995"/>
      <c r="F995" s="662" t="str">
        <f>LEFT(AllDaqbookOffsets[[#This Row],[traceability_no]],2)</f>
        <v>K5</v>
      </c>
    </row>
    <row r="996" spans="1:6" x14ac:dyDescent="0.2">
      <c r="A996"/>
      <c r="B996"/>
      <c r="C996"/>
      <c r="D996"/>
      <c r="E996"/>
      <c r="F996" s="662" t="str">
        <f>LEFT(AllDaqbookOffsets[[#This Row],[traceability_no]],2)</f>
        <v>K5</v>
      </c>
    </row>
    <row r="997" spans="1:6" x14ac:dyDescent="0.2">
      <c r="A997"/>
      <c r="B997"/>
      <c r="C997"/>
      <c r="D997"/>
      <c r="E997"/>
      <c r="F997" s="662" t="str">
        <f>LEFT(AllDaqbookOffsets[[#This Row],[traceability_no]],2)</f>
        <v>K5</v>
      </c>
    </row>
    <row r="998" spans="1:6" x14ac:dyDescent="0.2">
      <c r="A998"/>
      <c r="B998"/>
      <c r="C998"/>
      <c r="D998"/>
      <c r="E998"/>
      <c r="F998" s="662" t="str">
        <f>LEFT(AllDaqbookOffsets[[#This Row],[traceability_no]],2)</f>
        <v>K5</v>
      </c>
    </row>
    <row r="999" spans="1:6" x14ac:dyDescent="0.2">
      <c r="A999"/>
      <c r="B999"/>
      <c r="C999"/>
      <c r="D999"/>
      <c r="E999"/>
      <c r="F999" s="662" t="str">
        <f>LEFT(AllDaqbookOffsets[[#This Row],[traceability_no]],2)</f>
        <v>K5</v>
      </c>
    </row>
    <row r="1000" spans="1:6" x14ac:dyDescent="0.2">
      <c r="A1000"/>
      <c r="B1000"/>
      <c r="C1000"/>
      <c r="D1000"/>
      <c r="E1000"/>
      <c r="F1000" s="662" t="str">
        <f>LEFT(AllDaqbookOffsets[[#This Row],[traceability_no]],2)</f>
        <v>K5</v>
      </c>
    </row>
    <row r="1001" spans="1:6" x14ac:dyDescent="0.2">
      <c r="A1001"/>
      <c r="B1001"/>
      <c r="C1001"/>
      <c r="D1001"/>
      <c r="E1001"/>
      <c r="F1001" s="662" t="str">
        <f>LEFT(AllDaqbookOffsets[[#This Row],[traceability_no]],2)</f>
        <v>K5</v>
      </c>
    </row>
    <row r="1002" spans="1:6" x14ac:dyDescent="0.2">
      <c r="A1002"/>
      <c r="B1002"/>
      <c r="C1002"/>
      <c r="D1002"/>
      <c r="E1002"/>
      <c r="F1002" s="662" t="str">
        <f>LEFT(AllDaqbookOffsets[[#This Row],[traceability_no]],2)</f>
        <v>K5</v>
      </c>
    </row>
    <row r="1003" spans="1:6" x14ac:dyDescent="0.2">
      <c r="A1003"/>
      <c r="B1003"/>
      <c r="C1003"/>
      <c r="D1003"/>
      <c r="E1003"/>
      <c r="F1003" s="662" t="str">
        <f>LEFT(AllDaqbookOffsets[[#This Row],[traceability_no]],2)</f>
        <v>K5</v>
      </c>
    </row>
    <row r="1004" spans="1:6" x14ac:dyDescent="0.2">
      <c r="A1004"/>
      <c r="B1004"/>
      <c r="C1004"/>
      <c r="D1004"/>
      <c r="E1004"/>
      <c r="F1004" s="662" t="str">
        <f>LEFT(AllDaqbookOffsets[[#This Row],[traceability_no]],2)</f>
        <v>K5</v>
      </c>
    </row>
    <row r="1005" spans="1:6" x14ac:dyDescent="0.2">
      <c r="A1005"/>
      <c r="B1005"/>
      <c r="C1005"/>
      <c r="D1005"/>
      <c r="E1005"/>
      <c r="F1005" s="662" t="str">
        <f>LEFT(AllDaqbookOffsets[[#This Row],[traceability_no]],2)</f>
        <v>K5</v>
      </c>
    </row>
    <row r="1006" spans="1:6" x14ac:dyDescent="0.2">
      <c r="A1006"/>
      <c r="B1006"/>
      <c r="C1006"/>
      <c r="D1006"/>
      <c r="E1006"/>
      <c r="F1006" s="662" t="str">
        <f>LEFT(AllDaqbookOffsets[[#This Row],[traceability_no]],2)</f>
        <v>K5</v>
      </c>
    </row>
    <row r="1007" spans="1:6" x14ac:dyDescent="0.2">
      <c r="A1007"/>
      <c r="B1007"/>
      <c r="C1007"/>
      <c r="D1007"/>
      <c r="E1007"/>
      <c r="F1007" s="662" t="str">
        <f>LEFT(AllDaqbookOffsets[[#This Row],[traceability_no]],2)</f>
        <v>K5</v>
      </c>
    </row>
    <row r="1008" spans="1:6" x14ac:dyDescent="0.2">
      <c r="A1008"/>
      <c r="B1008"/>
      <c r="C1008"/>
      <c r="D1008"/>
      <c r="E1008"/>
      <c r="F1008" s="662" t="str">
        <f>LEFT(AllDaqbookOffsets[[#This Row],[traceability_no]],2)</f>
        <v>K5</v>
      </c>
    </row>
    <row r="1009" spans="1:6" x14ac:dyDescent="0.2">
      <c r="A1009"/>
      <c r="B1009"/>
      <c r="C1009"/>
      <c r="D1009"/>
      <c r="E1009"/>
      <c r="F1009" s="662" t="str">
        <f>LEFT(AllDaqbookOffsets[[#This Row],[traceability_no]],2)</f>
        <v>K5</v>
      </c>
    </row>
    <row r="1010" spans="1:6" x14ac:dyDescent="0.2">
      <c r="A1010"/>
      <c r="B1010"/>
      <c r="C1010"/>
      <c r="D1010"/>
      <c r="E1010"/>
      <c r="F1010" s="662" t="str">
        <f>LEFT(AllDaqbookOffsets[[#This Row],[traceability_no]],2)</f>
        <v>K5</v>
      </c>
    </row>
    <row r="1011" spans="1:6" x14ac:dyDescent="0.2">
      <c r="A1011"/>
      <c r="B1011"/>
      <c r="C1011"/>
      <c r="D1011"/>
      <c r="E1011"/>
      <c r="F1011" s="662" t="str">
        <f>LEFT(AllDaqbookOffsets[[#This Row],[traceability_no]],2)</f>
        <v>K5</v>
      </c>
    </row>
    <row r="1012" spans="1:6" x14ac:dyDescent="0.2">
      <c r="A1012"/>
      <c r="B1012"/>
      <c r="C1012"/>
      <c r="D1012"/>
      <c r="E1012"/>
      <c r="F1012" s="662" t="str">
        <f>LEFT(AllDaqbookOffsets[[#This Row],[traceability_no]],2)</f>
        <v>K5</v>
      </c>
    </row>
    <row r="1013" spans="1:6" x14ac:dyDescent="0.2">
      <c r="A1013"/>
      <c r="B1013"/>
      <c r="C1013"/>
      <c r="D1013"/>
      <c r="E1013"/>
      <c r="F1013" s="662" t="str">
        <f>LEFT(AllDaqbookOffsets[[#This Row],[traceability_no]],2)</f>
        <v>K5</v>
      </c>
    </row>
    <row r="1014" spans="1:6" x14ac:dyDescent="0.2">
      <c r="A1014"/>
      <c r="B1014"/>
      <c r="C1014"/>
      <c r="D1014"/>
      <c r="E1014"/>
      <c r="F1014" s="662" t="str">
        <f>LEFT(AllDaqbookOffsets[[#This Row],[traceability_no]],2)</f>
        <v>K5</v>
      </c>
    </row>
    <row r="1015" spans="1:6" x14ac:dyDescent="0.2">
      <c r="A1015"/>
      <c r="B1015"/>
      <c r="C1015"/>
      <c r="D1015"/>
      <c r="E1015"/>
      <c r="F1015" s="662" t="str">
        <f>LEFT(AllDaqbookOffsets[[#This Row],[traceability_no]],2)</f>
        <v>K5</v>
      </c>
    </row>
    <row r="1016" spans="1:6" x14ac:dyDescent="0.2">
      <c r="A1016"/>
      <c r="B1016"/>
      <c r="C1016"/>
      <c r="D1016"/>
      <c r="E1016"/>
      <c r="F1016" s="662" t="str">
        <f>LEFT(AllDaqbookOffsets[[#This Row],[traceability_no]],2)</f>
        <v>K5</v>
      </c>
    </row>
    <row r="1017" spans="1:6" x14ac:dyDescent="0.2">
      <c r="A1017"/>
      <c r="B1017"/>
      <c r="C1017"/>
      <c r="D1017"/>
      <c r="E1017"/>
      <c r="F1017" s="662" t="str">
        <f>LEFT(AllDaqbookOffsets[[#This Row],[traceability_no]],2)</f>
        <v>K5</v>
      </c>
    </row>
    <row r="1018" spans="1:6" x14ac:dyDescent="0.2">
      <c r="A1018"/>
      <c r="B1018"/>
      <c r="C1018"/>
      <c r="D1018"/>
      <c r="E1018"/>
      <c r="F1018" s="662" t="str">
        <f>LEFT(AllDaqbookOffsets[[#This Row],[traceability_no]],2)</f>
        <v>K5</v>
      </c>
    </row>
    <row r="1019" spans="1:6" x14ac:dyDescent="0.2">
      <c r="A1019"/>
      <c r="B1019"/>
      <c r="C1019"/>
      <c r="D1019"/>
      <c r="E1019"/>
      <c r="F1019" s="662" t="str">
        <f>LEFT(AllDaqbookOffsets[[#This Row],[traceability_no]],2)</f>
        <v>K5</v>
      </c>
    </row>
    <row r="1020" spans="1:6" x14ac:dyDescent="0.2">
      <c r="A1020"/>
      <c r="B1020"/>
      <c r="C1020"/>
      <c r="D1020"/>
      <c r="E1020"/>
      <c r="F1020" s="662" t="str">
        <f>LEFT(AllDaqbookOffsets[[#This Row],[traceability_no]],2)</f>
        <v>K5</v>
      </c>
    </row>
    <row r="1021" spans="1:6" x14ac:dyDescent="0.2">
      <c r="A1021"/>
      <c r="B1021"/>
      <c r="C1021"/>
      <c r="D1021"/>
      <c r="E1021"/>
      <c r="F1021" s="662" t="str">
        <f>LEFT(AllDaqbookOffsets[[#This Row],[traceability_no]],2)</f>
        <v>K5</v>
      </c>
    </row>
    <row r="1022" spans="1:6" x14ac:dyDescent="0.2">
      <c r="A1022"/>
      <c r="B1022"/>
      <c r="C1022"/>
      <c r="D1022"/>
      <c r="E1022"/>
      <c r="F1022" s="662" t="str">
        <f>LEFT(AllDaqbookOffsets[[#This Row],[traceability_no]],2)</f>
        <v>K5</v>
      </c>
    </row>
    <row r="1023" spans="1:6" x14ac:dyDescent="0.2">
      <c r="A1023"/>
      <c r="B1023"/>
      <c r="C1023"/>
      <c r="D1023"/>
      <c r="E1023"/>
      <c r="F1023" s="662" t="str">
        <f>LEFT(AllDaqbookOffsets[[#This Row],[traceability_no]],2)</f>
        <v>K5</v>
      </c>
    </row>
    <row r="1024" spans="1:6" x14ac:dyDescent="0.2">
      <c r="A1024"/>
      <c r="B1024"/>
      <c r="C1024"/>
      <c r="D1024"/>
      <c r="E1024"/>
      <c r="F1024" s="662" t="str">
        <f>LEFT(AllDaqbookOffsets[[#This Row],[traceability_no]],2)</f>
        <v>K5</v>
      </c>
    </row>
    <row r="1025" spans="1:6" x14ac:dyDescent="0.2">
      <c r="A1025"/>
      <c r="B1025"/>
      <c r="C1025"/>
      <c r="D1025"/>
      <c r="E1025"/>
      <c r="F1025" s="662" t="str">
        <f>LEFT(AllDaqbookOffsets[[#This Row],[traceability_no]],2)</f>
        <v>K5</v>
      </c>
    </row>
    <row r="1026" spans="1:6" x14ac:dyDescent="0.2">
      <c r="A1026"/>
      <c r="B1026"/>
      <c r="C1026"/>
      <c r="D1026"/>
      <c r="E1026"/>
      <c r="F1026" s="662" t="str">
        <f>LEFT(AllDaqbookOffsets[[#This Row],[traceability_no]],2)</f>
        <v>K5</v>
      </c>
    </row>
    <row r="1027" spans="1:6" x14ac:dyDescent="0.2">
      <c r="A1027"/>
      <c r="B1027"/>
      <c r="C1027"/>
      <c r="D1027"/>
      <c r="E1027"/>
      <c r="F1027" s="662" t="str">
        <f>LEFT(AllDaqbookOffsets[[#This Row],[traceability_no]],2)</f>
        <v>K5</v>
      </c>
    </row>
    <row r="1028" spans="1:6" x14ac:dyDescent="0.2">
      <c r="A1028"/>
      <c r="B1028"/>
      <c r="C1028"/>
      <c r="D1028"/>
      <c r="E1028"/>
      <c r="F1028" s="662" t="str">
        <f>LEFT(AllDaqbookOffsets[[#This Row],[traceability_no]],2)</f>
        <v>K5</v>
      </c>
    </row>
    <row r="1029" spans="1:6" x14ac:dyDescent="0.2">
      <c r="A1029"/>
      <c r="B1029"/>
      <c r="C1029"/>
      <c r="D1029"/>
      <c r="E1029"/>
      <c r="F1029" s="662" t="str">
        <f>LEFT(AllDaqbookOffsets[[#This Row],[traceability_no]],2)</f>
        <v>K5</v>
      </c>
    </row>
    <row r="1030" spans="1:6" x14ac:dyDescent="0.2">
      <c r="A1030"/>
      <c r="B1030"/>
      <c r="C1030"/>
      <c r="D1030"/>
      <c r="E1030"/>
      <c r="F1030" s="662" t="str">
        <f>LEFT(AllDaqbookOffsets[[#This Row],[traceability_no]],2)</f>
        <v>K5</v>
      </c>
    </row>
    <row r="1031" spans="1:6" x14ac:dyDescent="0.2">
      <c r="A1031"/>
      <c r="B1031"/>
      <c r="C1031"/>
      <c r="D1031"/>
      <c r="E1031"/>
      <c r="F1031" s="662" t="str">
        <f>LEFT(AllDaqbookOffsets[[#This Row],[traceability_no]],2)</f>
        <v>K5</v>
      </c>
    </row>
    <row r="1032" spans="1:6" x14ac:dyDescent="0.2">
      <c r="A1032"/>
      <c r="B1032"/>
      <c r="C1032"/>
      <c r="D1032"/>
      <c r="E1032"/>
      <c r="F1032" s="662" t="str">
        <f>LEFT(AllDaqbookOffsets[[#This Row],[traceability_no]],2)</f>
        <v>K5</v>
      </c>
    </row>
    <row r="1033" spans="1:6" x14ac:dyDescent="0.2">
      <c r="A1033"/>
      <c r="B1033"/>
      <c r="C1033"/>
      <c r="D1033"/>
      <c r="E1033"/>
      <c r="F1033" s="662" t="str">
        <f>LEFT(AllDaqbookOffsets[[#This Row],[traceability_no]],2)</f>
        <v>K5</v>
      </c>
    </row>
    <row r="1034" spans="1:6" x14ac:dyDescent="0.2">
      <c r="A1034"/>
      <c r="B1034"/>
      <c r="C1034"/>
      <c r="D1034"/>
      <c r="E1034"/>
      <c r="F1034" s="662" t="str">
        <f>LEFT(AllDaqbookOffsets[[#This Row],[traceability_no]],2)</f>
        <v>K5</v>
      </c>
    </row>
    <row r="1035" spans="1:6" x14ac:dyDescent="0.2">
      <c r="A1035"/>
      <c r="B1035"/>
      <c r="C1035"/>
      <c r="D1035"/>
      <c r="E1035"/>
      <c r="F1035" s="662" t="str">
        <f>LEFT(AllDaqbookOffsets[[#This Row],[traceability_no]],2)</f>
        <v>K5</v>
      </c>
    </row>
    <row r="1036" spans="1:6" x14ac:dyDescent="0.2">
      <c r="A1036"/>
      <c r="B1036"/>
      <c r="C1036"/>
      <c r="D1036"/>
      <c r="E1036"/>
      <c r="F1036" s="662" t="str">
        <f>LEFT(AllDaqbookOffsets[[#This Row],[traceability_no]],2)</f>
        <v>K5</v>
      </c>
    </row>
    <row r="1037" spans="1:6" x14ac:dyDescent="0.2">
      <c r="A1037"/>
      <c r="B1037"/>
      <c r="C1037"/>
      <c r="D1037"/>
      <c r="E1037"/>
      <c r="F1037" s="662" t="str">
        <f>LEFT(AllDaqbookOffsets[[#This Row],[traceability_no]],2)</f>
        <v>K5</v>
      </c>
    </row>
    <row r="1038" spans="1:6" x14ac:dyDescent="0.2">
      <c r="A1038"/>
      <c r="B1038"/>
      <c r="C1038"/>
      <c r="D1038"/>
      <c r="E1038"/>
      <c r="F1038" s="662" t="str">
        <f>LEFT(AllDaqbookOffsets[[#This Row],[traceability_no]],2)</f>
        <v>K5</v>
      </c>
    </row>
    <row r="1039" spans="1:6" x14ac:dyDescent="0.2">
      <c r="A1039"/>
      <c r="B1039"/>
      <c r="C1039"/>
      <c r="D1039"/>
      <c r="E1039"/>
      <c r="F1039" s="662" t="str">
        <f>LEFT(AllDaqbookOffsets[[#This Row],[traceability_no]],2)</f>
        <v>K5</v>
      </c>
    </row>
    <row r="1040" spans="1:6" x14ac:dyDescent="0.2">
      <c r="A1040"/>
      <c r="B1040"/>
      <c r="C1040"/>
      <c r="D1040"/>
      <c r="E1040"/>
      <c r="F1040" s="662" t="str">
        <f>LEFT(AllDaqbookOffsets[[#This Row],[traceability_no]],2)</f>
        <v>K5</v>
      </c>
    </row>
    <row r="1041" spans="1:6" x14ac:dyDescent="0.2">
      <c r="A1041"/>
      <c r="B1041"/>
      <c r="C1041"/>
      <c r="D1041"/>
      <c r="E1041"/>
      <c r="F1041" s="662" t="str">
        <f>LEFT(AllDaqbookOffsets[[#This Row],[traceability_no]],2)</f>
        <v>K5</v>
      </c>
    </row>
    <row r="1042" spans="1:6" x14ac:dyDescent="0.2">
      <c r="A1042"/>
      <c r="B1042"/>
      <c r="C1042"/>
      <c r="D1042"/>
      <c r="E1042"/>
      <c r="F1042" s="662" t="str">
        <f>LEFT(AllDaqbookOffsets[[#This Row],[traceability_no]],2)</f>
        <v>K5</v>
      </c>
    </row>
    <row r="1043" spans="1:6" x14ac:dyDescent="0.2">
      <c r="A1043"/>
      <c r="B1043"/>
      <c r="C1043"/>
      <c r="D1043"/>
      <c r="E1043"/>
      <c r="F1043" s="662" t="str">
        <f>LEFT(AllDaqbookOffsets[[#This Row],[traceability_no]],2)</f>
        <v>K5</v>
      </c>
    </row>
    <row r="1044" spans="1:6" x14ac:dyDescent="0.2">
      <c r="A1044"/>
      <c r="B1044"/>
      <c r="C1044"/>
      <c r="D1044"/>
      <c r="E1044"/>
      <c r="F1044" s="662" t="str">
        <f>LEFT(AllDaqbookOffsets[[#This Row],[traceability_no]],2)</f>
        <v>K5</v>
      </c>
    </row>
    <row r="1045" spans="1:6" x14ac:dyDescent="0.2">
      <c r="A1045"/>
      <c r="B1045"/>
      <c r="C1045"/>
      <c r="D1045"/>
      <c r="E1045"/>
      <c r="F1045" s="662" t="str">
        <f>LEFT(AllDaqbookOffsets[[#This Row],[traceability_no]],2)</f>
        <v>K5</v>
      </c>
    </row>
    <row r="1046" spans="1:6" x14ac:dyDescent="0.2">
      <c r="A1046"/>
      <c r="B1046"/>
      <c r="C1046"/>
      <c r="D1046"/>
      <c r="E1046"/>
      <c r="F1046" s="662" t="str">
        <f>LEFT(AllDaqbookOffsets[[#This Row],[traceability_no]],2)</f>
        <v>K5</v>
      </c>
    </row>
    <row r="1047" spans="1:6" x14ac:dyDescent="0.2">
      <c r="A1047"/>
      <c r="B1047"/>
      <c r="C1047"/>
      <c r="D1047"/>
      <c r="E1047"/>
      <c r="F1047" s="662" t="str">
        <f>LEFT(AllDaqbookOffsets[[#This Row],[traceability_no]],2)</f>
        <v>K5</v>
      </c>
    </row>
    <row r="1048" spans="1:6" x14ac:dyDescent="0.2">
      <c r="A1048"/>
      <c r="B1048"/>
      <c r="C1048"/>
      <c r="D1048"/>
      <c r="E1048"/>
      <c r="F1048" s="662" t="str">
        <f>LEFT(AllDaqbookOffsets[[#This Row],[traceability_no]],2)</f>
        <v>K5</v>
      </c>
    </row>
    <row r="1049" spans="1:6" x14ac:dyDescent="0.2">
      <c r="A1049"/>
      <c r="B1049"/>
      <c r="C1049"/>
      <c r="D1049"/>
      <c r="E1049"/>
      <c r="F1049" s="662" t="str">
        <f>LEFT(AllDaqbookOffsets[[#This Row],[traceability_no]],2)</f>
        <v>K5</v>
      </c>
    </row>
    <row r="1050" spans="1:6" x14ac:dyDescent="0.2">
      <c r="A1050"/>
      <c r="B1050"/>
      <c r="C1050"/>
      <c r="D1050"/>
      <c r="E1050"/>
      <c r="F1050" s="662" t="str">
        <f>LEFT(AllDaqbookOffsets[[#This Row],[traceability_no]],2)</f>
        <v>K5</v>
      </c>
    </row>
    <row r="1051" spans="1:6" x14ac:dyDescent="0.2">
      <c r="A1051"/>
      <c r="B1051"/>
      <c r="C1051"/>
      <c r="D1051"/>
      <c r="E1051"/>
      <c r="F1051" s="662" t="str">
        <f>LEFT(AllDaqbookOffsets[[#This Row],[traceability_no]],2)</f>
        <v>K5</v>
      </c>
    </row>
    <row r="1052" spans="1:6" x14ac:dyDescent="0.2">
      <c r="A1052"/>
      <c r="B1052"/>
      <c r="C1052"/>
      <c r="D1052"/>
      <c r="E1052"/>
      <c r="F1052" s="662" t="str">
        <f>LEFT(AllDaqbookOffsets[[#This Row],[traceability_no]],2)</f>
        <v>K5</v>
      </c>
    </row>
    <row r="1053" spans="1:6" x14ac:dyDescent="0.2">
      <c r="A1053"/>
      <c r="B1053"/>
      <c r="C1053"/>
      <c r="D1053"/>
      <c r="E1053"/>
      <c r="F1053" s="662" t="str">
        <f>LEFT(AllDaqbookOffsets[[#This Row],[traceability_no]],2)</f>
        <v>K5</v>
      </c>
    </row>
    <row r="1054" spans="1:6" x14ac:dyDescent="0.2">
      <c r="A1054"/>
      <c r="B1054"/>
      <c r="C1054"/>
      <c r="D1054"/>
      <c r="E1054"/>
      <c r="F1054" s="662" t="str">
        <f>LEFT(AllDaqbookOffsets[[#This Row],[traceability_no]],2)</f>
        <v>K5</v>
      </c>
    </row>
    <row r="1055" spans="1:6" x14ac:dyDescent="0.2">
      <c r="A1055"/>
      <c r="B1055"/>
      <c r="C1055"/>
      <c r="D1055"/>
      <c r="E1055"/>
      <c r="F1055" s="662" t="str">
        <f>LEFT(AllDaqbookOffsets[[#This Row],[traceability_no]],2)</f>
        <v>K5</v>
      </c>
    </row>
    <row r="1056" spans="1:6" x14ac:dyDescent="0.2">
      <c r="A1056"/>
      <c r="B1056"/>
      <c r="C1056"/>
      <c r="D1056"/>
      <c r="E1056"/>
      <c r="F1056" s="662" t="str">
        <f>LEFT(AllDaqbookOffsets[[#This Row],[traceability_no]],2)</f>
        <v>K5</v>
      </c>
    </row>
    <row r="1057" spans="1:6" x14ac:dyDescent="0.2">
      <c r="A1057"/>
      <c r="B1057"/>
      <c r="C1057"/>
      <c r="D1057"/>
      <c r="E1057"/>
      <c r="F1057" s="662" t="str">
        <f>LEFT(AllDaqbookOffsets[[#This Row],[traceability_no]],2)</f>
        <v>K5</v>
      </c>
    </row>
    <row r="1058" spans="1:6" x14ac:dyDescent="0.2">
      <c r="A1058"/>
      <c r="B1058"/>
      <c r="C1058"/>
      <c r="D1058"/>
      <c r="E1058"/>
      <c r="F1058" s="662" t="str">
        <f>LEFT(AllDaqbookOffsets[[#This Row],[traceability_no]],2)</f>
        <v>K5</v>
      </c>
    </row>
    <row r="1059" spans="1:6" x14ac:dyDescent="0.2">
      <c r="A1059"/>
      <c r="B1059"/>
      <c r="C1059"/>
      <c r="D1059"/>
      <c r="E1059"/>
      <c r="F1059" s="662" t="str">
        <f>LEFT(AllDaqbookOffsets[[#This Row],[traceability_no]],2)</f>
        <v>K5</v>
      </c>
    </row>
    <row r="1060" spans="1:6" x14ac:dyDescent="0.2">
      <c r="A1060"/>
      <c r="B1060"/>
      <c r="C1060"/>
      <c r="D1060"/>
      <c r="E1060"/>
      <c r="F1060" s="662" t="str">
        <f>LEFT(AllDaqbookOffsets[[#This Row],[traceability_no]],2)</f>
        <v>K5</v>
      </c>
    </row>
    <row r="1061" spans="1:6" x14ac:dyDescent="0.2">
      <c r="A1061"/>
      <c r="B1061"/>
      <c r="C1061"/>
      <c r="D1061"/>
      <c r="E1061"/>
      <c r="F1061" s="662" t="str">
        <f>LEFT(AllDaqbookOffsets[[#This Row],[traceability_no]],2)</f>
        <v>K5</v>
      </c>
    </row>
    <row r="1062" spans="1:6" x14ac:dyDescent="0.2">
      <c r="A1062"/>
      <c r="B1062"/>
      <c r="C1062"/>
      <c r="D1062"/>
      <c r="E1062"/>
      <c r="F1062" s="662" t="str">
        <f>LEFT(AllDaqbookOffsets[[#This Row],[traceability_no]],2)</f>
        <v>K5</v>
      </c>
    </row>
    <row r="1063" spans="1:6" x14ac:dyDescent="0.2">
      <c r="A1063"/>
      <c r="B1063"/>
      <c r="C1063"/>
      <c r="D1063"/>
      <c r="E1063"/>
      <c r="F1063" s="662" t="str">
        <f>LEFT(AllDaqbookOffsets[[#This Row],[traceability_no]],2)</f>
        <v>K5</v>
      </c>
    </row>
    <row r="1064" spans="1:6" x14ac:dyDescent="0.2">
      <c r="A1064"/>
      <c r="B1064"/>
      <c r="C1064"/>
      <c r="D1064"/>
      <c r="E1064"/>
      <c r="F1064" s="662" t="str">
        <f>LEFT(AllDaqbookOffsets[[#This Row],[traceability_no]],2)</f>
        <v>K5</v>
      </c>
    </row>
    <row r="1065" spans="1:6" x14ac:dyDescent="0.2">
      <c r="A1065"/>
      <c r="B1065"/>
      <c r="C1065"/>
      <c r="D1065"/>
      <c r="E1065"/>
      <c r="F1065" s="662" t="str">
        <f>LEFT(AllDaqbookOffsets[[#This Row],[traceability_no]],2)</f>
        <v>K5</v>
      </c>
    </row>
    <row r="1066" spans="1:6" x14ac:dyDescent="0.2">
      <c r="A1066"/>
      <c r="B1066"/>
      <c r="C1066"/>
      <c r="D1066"/>
      <c r="E1066"/>
      <c r="F1066" s="662" t="str">
        <f>LEFT(AllDaqbookOffsets[[#This Row],[traceability_no]],2)</f>
        <v>K5</v>
      </c>
    </row>
    <row r="1067" spans="1:6" x14ac:dyDescent="0.2">
      <c r="A1067"/>
      <c r="B1067"/>
      <c r="C1067"/>
      <c r="D1067"/>
      <c r="E1067"/>
      <c r="F1067" s="662" t="str">
        <f>LEFT(AllDaqbookOffsets[[#This Row],[traceability_no]],2)</f>
        <v>K5</v>
      </c>
    </row>
    <row r="1068" spans="1:6" x14ac:dyDescent="0.2">
      <c r="A1068"/>
      <c r="B1068"/>
      <c r="C1068"/>
      <c r="D1068"/>
      <c r="E1068"/>
      <c r="F1068" s="662" t="str">
        <f>LEFT(AllDaqbookOffsets[[#This Row],[traceability_no]],2)</f>
        <v>K5</v>
      </c>
    </row>
    <row r="1069" spans="1:6" x14ac:dyDescent="0.2">
      <c r="A1069"/>
      <c r="B1069"/>
      <c r="C1069"/>
      <c r="D1069"/>
      <c r="E1069"/>
      <c r="F1069" s="662" t="str">
        <f>LEFT(AllDaqbookOffsets[[#This Row],[traceability_no]],2)</f>
        <v>K5</v>
      </c>
    </row>
    <row r="1070" spans="1:6" x14ac:dyDescent="0.2">
      <c r="A1070"/>
      <c r="B1070"/>
      <c r="C1070"/>
      <c r="D1070"/>
      <c r="E1070"/>
      <c r="F1070" s="662" t="str">
        <f>LEFT(AllDaqbookOffsets[[#This Row],[traceability_no]],2)</f>
        <v>K5</v>
      </c>
    </row>
    <row r="1071" spans="1:6" x14ac:dyDescent="0.2">
      <c r="A1071"/>
      <c r="B1071"/>
      <c r="C1071"/>
      <c r="D1071"/>
      <c r="E1071"/>
      <c r="F1071" s="662" t="str">
        <f>LEFT(AllDaqbookOffsets[[#This Row],[traceability_no]],2)</f>
        <v>K5</v>
      </c>
    </row>
    <row r="1072" spans="1:6" x14ac:dyDescent="0.2">
      <c r="A1072"/>
      <c r="B1072"/>
      <c r="C1072"/>
      <c r="D1072"/>
      <c r="E1072"/>
      <c r="F1072" s="662" t="str">
        <f>LEFT(AllDaqbookOffsets[[#This Row],[traceability_no]],2)</f>
        <v>K5</v>
      </c>
    </row>
    <row r="1073" spans="1:6" x14ac:dyDescent="0.2">
      <c r="A1073"/>
      <c r="B1073"/>
      <c r="C1073"/>
      <c r="D1073"/>
      <c r="E1073"/>
      <c r="F1073" s="662" t="str">
        <f>LEFT(AllDaqbookOffsets[[#This Row],[traceability_no]],2)</f>
        <v>K5</v>
      </c>
    </row>
    <row r="1074" spans="1:6" x14ac:dyDescent="0.2">
      <c r="A1074"/>
      <c r="B1074"/>
      <c r="C1074"/>
      <c r="D1074"/>
      <c r="E1074"/>
      <c r="F1074" s="662" t="str">
        <f>LEFT(AllDaqbookOffsets[[#This Row],[traceability_no]],2)</f>
        <v>K5</v>
      </c>
    </row>
    <row r="1075" spans="1:6" x14ac:dyDescent="0.2">
      <c r="A1075"/>
      <c r="B1075"/>
      <c r="C1075"/>
      <c r="D1075"/>
      <c r="E1075"/>
      <c r="F1075" s="662" t="str">
        <f>LEFT(AllDaqbookOffsets[[#This Row],[traceability_no]],2)</f>
        <v>K5</v>
      </c>
    </row>
    <row r="1076" spans="1:6" x14ac:dyDescent="0.2">
      <c r="A1076"/>
      <c r="B1076"/>
      <c r="C1076"/>
      <c r="D1076"/>
      <c r="E1076"/>
      <c r="F1076" s="662" t="str">
        <f>LEFT(AllDaqbookOffsets[[#This Row],[traceability_no]],2)</f>
        <v>K5</v>
      </c>
    </row>
    <row r="1077" spans="1:6" x14ac:dyDescent="0.2">
      <c r="A1077"/>
      <c r="B1077"/>
      <c r="C1077"/>
      <c r="D1077"/>
      <c r="E1077"/>
      <c r="F1077" s="662" t="str">
        <f>LEFT(AllDaqbookOffsets[[#This Row],[traceability_no]],2)</f>
        <v>K5</v>
      </c>
    </row>
    <row r="1078" spans="1:6" x14ac:dyDescent="0.2">
      <c r="A1078"/>
      <c r="B1078"/>
      <c r="C1078"/>
      <c r="D1078"/>
      <c r="E1078"/>
      <c r="F1078" s="662" t="str">
        <f>LEFT(AllDaqbookOffsets[[#This Row],[traceability_no]],2)</f>
        <v>K5</v>
      </c>
    </row>
    <row r="1079" spans="1:6" x14ac:dyDescent="0.2">
      <c r="A1079"/>
      <c r="B1079"/>
      <c r="C1079"/>
      <c r="D1079"/>
      <c r="E1079"/>
      <c r="F1079" s="662" t="str">
        <f>LEFT(AllDaqbookOffsets[[#This Row],[traceability_no]],2)</f>
        <v>K5</v>
      </c>
    </row>
    <row r="1080" spans="1:6" x14ac:dyDescent="0.2">
      <c r="A1080"/>
      <c r="B1080"/>
      <c r="C1080"/>
      <c r="D1080"/>
      <c r="E1080"/>
      <c r="F1080" s="662" t="str">
        <f>LEFT(AllDaqbookOffsets[[#This Row],[traceability_no]],2)</f>
        <v>K5</v>
      </c>
    </row>
    <row r="1081" spans="1:6" x14ac:dyDescent="0.2">
      <c r="A1081"/>
      <c r="B1081"/>
      <c r="C1081"/>
      <c r="D1081"/>
      <c r="E1081"/>
      <c r="F1081" s="662" t="str">
        <f>LEFT(AllDaqbookOffsets[[#This Row],[traceability_no]],2)</f>
        <v>K5</v>
      </c>
    </row>
    <row r="1082" spans="1:6" x14ac:dyDescent="0.2">
      <c r="A1082"/>
      <c r="B1082"/>
      <c r="C1082"/>
      <c r="D1082"/>
      <c r="E1082"/>
      <c r="F1082" s="662" t="str">
        <f>LEFT(AllDaqbookOffsets[[#This Row],[traceability_no]],2)</f>
        <v>K5</v>
      </c>
    </row>
    <row r="1083" spans="1:6" x14ac:dyDescent="0.2">
      <c r="A1083"/>
      <c r="B1083"/>
      <c r="C1083"/>
      <c r="D1083"/>
      <c r="E1083"/>
      <c r="F1083" s="662" t="str">
        <f>LEFT(AllDaqbookOffsets[[#This Row],[traceability_no]],2)</f>
        <v>K5</v>
      </c>
    </row>
    <row r="1084" spans="1:6" x14ac:dyDescent="0.2">
      <c r="A1084"/>
      <c r="B1084"/>
      <c r="C1084"/>
      <c r="D1084"/>
      <c r="E1084"/>
      <c r="F1084" s="662" t="str">
        <f>LEFT(AllDaqbookOffsets[[#This Row],[traceability_no]],2)</f>
        <v>K5</v>
      </c>
    </row>
    <row r="1085" spans="1:6" x14ac:dyDescent="0.2">
      <c r="A1085"/>
      <c r="B1085"/>
      <c r="C1085"/>
      <c r="D1085"/>
      <c r="E1085"/>
      <c r="F1085" s="662" t="str">
        <f>LEFT(AllDaqbookOffsets[[#This Row],[traceability_no]],2)</f>
        <v>K5</v>
      </c>
    </row>
    <row r="1086" spans="1:6" x14ac:dyDescent="0.2">
      <c r="A1086"/>
      <c r="B1086"/>
      <c r="C1086"/>
      <c r="D1086"/>
      <c r="E1086"/>
      <c r="F1086" s="662" t="str">
        <f>LEFT(AllDaqbookOffsets[[#This Row],[traceability_no]],2)</f>
        <v>K5</v>
      </c>
    </row>
    <row r="1087" spans="1:6" x14ac:dyDescent="0.2">
      <c r="A1087"/>
      <c r="B1087"/>
      <c r="C1087"/>
      <c r="D1087"/>
      <c r="E1087"/>
      <c r="F1087" s="662" t="str">
        <f>LEFT(AllDaqbookOffsets[[#This Row],[traceability_no]],2)</f>
        <v>K5</v>
      </c>
    </row>
    <row r="1088" spans="1:6" x14ac:dyDescent="0.2">
      <c r="A1088"/>
      <c r="B1088"/>
      <c r="C1088"/>
      <c r="D1088"/>
      <c r="E1088"/>
      <c r="F1088" s="662" t="str">
        <f>LEFT(AllDaqbookOffsets[[#This Row],[traceability_no]],2)</f>
        <v>K5</v>
      </c>
    </row>
    <row r="1089" spans="1:6" x14ac:dyDescent="0.2">
      <c r="A1089"/>
      <c r="B1089"/>
      <c r="C1089"/>
      <c r="D1089"/>
      <c r="E1089"/>
      <c r="F1089" s="662" t="str">
        <f>LEFT(AllDaqbookOffsets[[#This Row],[traceability_no]],2)</f>
        <v>K5</v>
      </c>
    </row>
    <row r="1090" spans="1:6" x14ac:dyDescent="0.2">
      <c r="A1090"/>
      <c r="B1090"/>
      <c r="C1090"/>
      <c r="D1090"/>
      <c r="E1090"/>
      <c r="F1090" s="662" t="str">
        <f>LEFT(AllDaqbookOffsets[[#This Row],[traceability_no]],2)</f>
        <v>K5</v>
      </c>
    </row>
    <row r="1091" spans="1:6" x14ac:dyDescent="0.2">
      <c r="A1091"/>
      <c r="B1091"/>
      <c r="C1091"/>
      <c r="D1091"/>
      <c r="E1091"/>
      <c r="F1091" s="662" t="str">
        <f>LEFT(AllDaqbookOffsets[[#This Row],[traceability_no]],2)</f>
        <v>K5</v>
      </c>
    </row>
    <row r="1092" spans="1:6" x14ac:dyDescent="0.2">
      <c r="A1092"/>
      <c r="B1092"/>
      <c r="C1092"/>
      <c r="D1092"/>
      <c r="E1092"/>
      <c r="F1092" s="662" t="str">
        <f>LEFT(AllDaqbookOffsets[[#This Row],[traceability_no]],2)</f>
        <v>K5</v>
      </c>
    </row>
    <row r="1093" spans="1:6" x14ac:dyDescent="0.2">
      <c r="A1093"/>
      <c r="B1093"/>
      <c r="C1093"/>
      <c r="D1093"/>
      <c r="E1093"/>
      <c r="F1093" s="662" t="str">
        <f>LEFT(AllDaqbookOffsets[[#This Row],[traceability_no]],2)</f>
        <v>K5</v>
      </c>
    </row>
    <row r="1094" spans="1:6" x14ac:dyDescent="0.2">
      <c r="A1094"/>
      <c r="B1094"/>
      <c r="C1094"/>
      <c r="D1094"/>
      <c r="E1094"/>
      <c r="F1094" s="662" t="str">
        <f>LEFT(AllDaqbookOffsets[[#This Row],[traceability_no]],2)</f>
        <v>K5</v>
      </c>
    </row>
    <row r="1095" spans="1:6" x14ac:dyDescent="0.2">
      <c r="A1095"/>
      <c r="B1095"/>
      <c r="C1095"/>
      <c r="D1095"/>
      <c r="E1095"/>
      <c r="F1095" s="662" t="str">
        <f>LEFT(AllDaqbookOffsets[[#This Row],[traceability_no]],2)</f>
        <v>K5</v>
      </c>
    </row>
    <row r="1096" spans="1:6" x14ac:dyDescent="0.2">
      <c r="A1096"/>
      <c r="B1096"/>
      <c r="C1096"/>
      <c r="D1096"/>
      <c r="E1096"/>
      <c r="F1096" s="662" t="str">
        <f>LEFT(AllDaqbookOffsets[[#This Row],[traceability_no]],2)</f>
        <v>K5</v>
      </c>
    </row>
    <row r="1097" spans="1:6" x14ac:dyDescent="0.2">
      <c r="A1097"/>
      <c r="B1097"/>
      <c r="C1097"/>
      <c r="D1097"/>
      <c r="E1097"/>
      <c r="F1097" s="662" t="str">
        <f>LEFT(AllDaqbookOffsets[[#This Row],[traceability_no]],2)</f>
        <v>K5</v>
      </c>
    </row>
    <row r="1098" spans="1:6" x14ac:dyDescent="0.2">
      <c r="A1098"/>
      <c r="B1098"/>
      <c r="C1098"/>
      <c r="D1098"/>
      <c r="E1098"/>
      <c r="F1098" s="662" t="str">
        <f>LEFT(AllDaqbookOffsets[[#This Row],[traceability_no]],2)</f>
        <v>K5</v>
      </c>
    </row>
    <row r="1099" spans="1:6" x14ac:dyDescent="0.2">
      <c r="A1099"/>
      <c r="B1099"/>
      <c r="C1099"/>
      <c r="D1099"/>
      <c r="E1099"/>
      <c r="F1099" s="662" t="str">
        <f>LEFT(AllDaqbookOffsets[[#This Row],[traceability_no]],2)</f>
        <v>K5</v>
      </c>
    </row>
    <row r="1100" spans="1:6" x14ac:dyDescent="0.2">
      <c r="A1100"/>
      <c r="B1100"/>
      <c r="C1100"/>
      <c r="D1100"/>
      <c r="E1100"/>
      <c r="F1100" s="662" t="str">
        <f>LEFT(AllDaqbookOffsets[[#This Row],[traceability_no]],2)</f>
        <v>K5</v>
      </c>
    </row>
    <row r="1101" spans="1:6" x14ac:dyDescent="0.2">
      <c r="A1101"/>
      <c r="B1101"/>
      <c r="C1101"/>
      <c r="D1101"/>
      <c r="E1101"/>
      <c r="F1101" s="662" t="str">
        <f>LEFT(AllDaqbookOffsets[[#This Row],[traceability_no]],2)</f>
        <v>K5</v>
      </c>
    </row>
    <row r="1102" spans="1:6" x14ac:dyDescent="0.2">
      <c r="A1102"/>
      <c r="B1102"/>
      <c r="C1102"/>
      <c r="D1102"/>
      <c r="E1102"/>
      <c r="F1102" s="662" t="str">
        <f>LEFT(AllDaqbookOffsets[[#This Row],[traceability_no]],2)</f>
        <v>K5</v>
      </c>
    </row>
    <row r="1103" spans="1:6" x14ac:dyDescent="0.2">
      <c r="A1103"/>
      <c r="B1103"/>
      <c r="C1103"/>
      <c r="D1103"/>
      <c r="E1103"/>
      <c r="F1103" s="662" t="str">
        <f>LEFT(AllDaqbookOffsets[[#This Row],[traceability_no]],2)</f>
        <v>K5</v>
      </c>
    </row>
    <row r="1104" spans="1:6" x14ac:dyDescent="0.2">
      <c r="A1104"/>
      <c r="B1104"/>
      <c r="C1104"/>
      <c r="D1104"/>
      <c r="E1104"/>
      <c r="F1104" s="662" t="str">
        <f>LEFT(AllDaqbookOffsets[[#This Row],[traceability_no]],2)</f>
        <v>K5</v>
      </c>
    </row>
    <row r="1105" spans="1:6" x14ac:dyDescent="0.2">
      <c r="A1105"/>
      <c r="B1105"/>
      <c r="C1105"/>
      <c r="D1105"/>
      <c r="E1105"/>
      <c r="F1105" s="662" t="str">
        <f>LEFT(AllDaqbookOffsets[[#This Row],[traceability_no]],2)</f>
        <v>K5</v>
      </c>
    </row>
    <row r="1106" spans="1:6" x14ac:dyDescent="0.2">
      <c r="A1106"/>
      <c r="B1106"/>
      <c r="C1106"/>
      <c r="D1106"/>
      <c r="E1106"/>
      <c r="F1106" s="662" t="str">
        <f>LEFT(AllDaqbookOffsets[[#This Row],[traceability_no]],2)</f>
        <v>K5</v>
      </c>
    </row>
    <row r="1107" spans="1:6" x14ac:dyDescent="0.2">
      <c r="A1107"/>
      <c r="B1107"/>
      <c r="C1107"/>
      <c r="D1107"/>
      <c r="E1107"/>
      <c r="F1107" s="662" t="str">
        <f>LEFT(AllDaqbookOffsets[[#This Row],[traceability_no]],2)</f>
        <v>K5</v>
      </c>
    </row>
    <row r="1108" spans="1:6" x14ac:dyDescent="0.2">
      <c r="A1108"/>
      <c r="B1108"/>
      <c r="C1108"/>
      <c r="D1108"/>
      <c r="E1108"/>
      <c r="F1108" s="662" t="str">
        <f>LEFT(AllDaqbookOffsets[[#This Row],[traceability_no]],2)</f>
        <v>K5</v>
      </c>
    </row>
    <row r="1109" spans="1:6" x14ac:dyDescent="0.2">
      <c r="A1109"/>
      <c r="B1109"/>
      <c r="C1109"/>
      <c r="D1109"/>
      <c r="E1109"/>
      <c r="F1109" s="662" t="str">
        <f>LEFT(AllDaqbookOffsets[[#This Row],[traceability_no]],2)</f>
        <v>K5</v>
      </c>
    </row>
    <row r="1110" spans="1:6" x14ac:dyDescent="0.2">
      <c r="A1110"/>
      <c r="B1110"/>
      <c r="C1110"/>
      <c r="D1110"/>
      <c r="E1110"/>
      <c r="F1110" s="662" t="str">
        <f>LEFT(AllDaqbookOffsets[[#This Row],[traceability_no]],2)</f>
        <v>K5</v>
      </c>
    </row>
    <row r="1111" spans="1:6" x14ac:dyDescent="0.2">
      <c r="A1111"/>
      <c r="B1111"/>
      <c r="C1111"/>
      <c r="D1111"/>
      <c r="E1111"/>
      <c r="F1111" s="662" t="str">
        <f>LEFT(AllDaqbookOffsets[[#This Row],[traceability_no]],2)</f>
        <v>K5</v>
      </c>
    </row>
    <row r="1112" spans="1:6" x14ac:dyDescent="0.2">
      <c r="A1112"/>
      <c r="B1112"/>
      <c r="C1112"/>
      <c r="D1112"/>
      <c r="E1112"/>
      <c r="F1112" s="662" t="str">
        <f>LEFT(AllDaqbookOffsets[[#This Row],[traceability_no]],2)</f>
        <v>K5</v>
      </c>
    </row>
    <row r="1113" spans="1:6" x14ac:dyDescent="0.2">
      <c r="A1113"/>
      <c r="B1113"/>
      <c r="C1113"/>
      <c r="D1113"/>
      <c r="E1113"/>
      <c r="F1113" s="662" t="str">
        <f>LEFT(AllDaqbookOffsets[[#This Row],[traceability_no]],2)</f>
        <v>K5</v>
      </c>
    </row>
    <row r="1114" spans="1:6" x14ac:dyDescent="0.2">
      <c r="A1114"/>
      <c r="B1114"/>
      <c r="C1114"/>
      <c r="D1114"/>
      <c r="E1114"/>
      <c r="F1114" s="662" t="str">
        <f>LEFT(AllDaqbookOffsets[[#This Row],[traceability_no]],2)</f>
        <v>K5</v>
      </c>
    </row>
    <row r="1115" spans="1:6" x14ac:dyDescent="0.2">
      <c r="A1115"/>
      <c r="B1115"/>
      <c r="C1115"/>
      <c r="D1115"/>
      <c r="E1115"/>
      <c r="F1115" s="662" t="str">
        <f>LEFT(AllDaqbookOffsets[[#This Row],[traceability_no]],2)</f>
        <v>K5</v>
      </c>
    </row>
    <row r="1116" spans="1:6" x14ac:dyDescent="0.2">
      <c r="A1116"/>
      <c r="B1116"/>
      <c r="C1116"/>
      <c r="D1116"/>
      <c r="E1116"/>
      <c r="F1116" s="662" t="str">
        <f>LEFT(AllDaqbookOffsets[[#This Row],[traceability_no]],2)</f>
        <v>K5</v>
      </c>
    </row>
    <row r="1117" spans="1:6" x14ac:dyDescent="0.2">
      <c r="A1117"/>
      <c r="B1117"/>
      <c r="C1117"/>
      <c r="D1117"/>
      <c r="E1117"/>
      <c r="F1117" s="662" t="str">
        <f>LEFT(AllDaqbookOffsets[[#This Row],[traceability_no]],2)</f>
        <v>K5</v>
      </c>
    </row>
    <row r="1118" spans="1:6" x14ac:dyDescent="0.2">
      <c r="A1118"/>
      <c r="B1118"/>
      <c r="C1118"/>
      <c r="D1118"/>
      <c r="E1118"/>
      <c r="F1118" s="662" t="str">
        <f>LEFT(AllDaqbookOffsets[[#This Row],[traceability_no]],2)</f>
        <v>K5</v>
      </c>
    </row>
    <row r="1119" spans="1:6" x14ac:dyDescent="0.2">
      <c r="A1119"/>
      <c r="B1119"/>
      <c r="C1119"/>
      <c r="D1119"/>
      <c r="E1119"/>
      <c r="F1119" s="662" t="str">
        <f>LEFT(AllDaqbookOffsets[[#This Row],[traceability_no]],2)</f>
        <v>K5</v>
      </c>
    </row>
    <row r="1120" spans="1:6" x14ac:dyDescent="0.2">
      <c r="A1120"/>
      <c r="B1120"/>
      <c r="C1120"/>
      <c r="D1120"/>
      <c r="E1120"/>
      <c r="F1120" s="662" t="str">
        <f>LEFT(AllDaqbookOffsets[[#This Row],[traceability_no]],2)</f>
        <v>K5</v>
      </c>
    </row>
    <row r="1121" spans="1:6" x14ac:dyDescent="0.2">
      <c r="A1121"/>
      <c r="B1121"/>
      <c r="C1121"/>
      <c r="D1121"/>
      <c r="E1121"/>
      <c r="F1121" s="662" t="str">
        <f>LEFT(AllDaqbookOffsets[[#This Row],[traceability_no]],2)</f>
        <v>K5</v>
      </c>
    </row>
    <row r="1122" spans="1:6" x14ac:dyDescent="0.2">
      <c r="A1122"/>
      <c r="B1122"/>
      <c r="C1122"/>
      <c r="D1122"/>
      <c r="E1122"/>
      <c r="F1122" s="662" t="str">
        <f>LEFT(AllDaqbookOffsets[[#This Row],[traceability_no]],2)</f>
        <v>K5</v>
      </c>
    </row>
    <row r="1123" spans="1:6" x14ac:dyDescent="0.2">
      <c r="A1123"/>
      <c r="B1123"/>
      <c r="C1123"/>
      <c r="D1123"/>
      <c r="E1123"/>
      <c r="F1123" s="662" t="str">
        <f>LEFT(AllDaqbookOffsets[[#This Row],[traceability_no]],2)</f>
        <v>K5</v>
      </c>
    </row>
    <row r="1124" spans="1:6" x14ac:dyDescent="0.2">
      <c r="A1124"/>
      <c r="B1124"/>
      <c r="C1124"/>
      <c r="D1124"/>
      <c r="E1124"/>
      <c r="F1124" s="662" t="str">
        <f>LEFT(AllDaqbookOffsets[[#This Row],[traceability_no]],2)</f>
        <v>K5</v>
      </c>
    </row>
    <row r="1125" spans="1:6" x14ac:dyDescent="0.2">
      <c r="A1125"/>
      <c r="B1125"/>
      <c r="C1125"/>
      <c r="D1125"/>
      <c r="E1125"/>
      <c r="F1125" s="662" t="str">
        <f>LEFT(AllDaqbookOffsets[[#This Row],[traceability_no]],2)</f>
        <v>K5</v>
      </c>
    </row>
    <row r="1126" spans="1:6" x14ac:dyDescent="0.2">
      <c r="A1126"/>
      <c r="B1126"/>
      <c r="C1126"/>
      <c r="D1126"/>
      <c r="E1126"/>
      <c r="F1126" s="662" t="str">
        <f>LEFT(AllDaqbookOffsets[[#This Row],[traceability_no]],2)</f>
        <v>K5</v>
      </c>
    </row>
    <row r="1127" spans="1:6" x14ac:dyDescent="0.2">
      <c r="A1127"/>
      <c r="B1127"/>
      <c r="C1127"/>
      <c r="D1127"/>
      <c r="E1127"/>
      <c r="F1127" s="662" t="str">
        <f>LEFT(AllDaqbookOffsets[[#This Row],[traceability_no]],2)</f>
        <v>K5</v>
      </c>
    </row>
    <row r="1128" spans="1:6" x14ac:dyDescent="0.2">
      <c r="A1128"/>
      <c r="B1128"/>
      <c r="C1128"/>
      <c r="D1128"/>
      <c r="E1128"/>
      <c r="F1128" s="662" t="str">
        <f>LEFT(AllDaqbookOffsets[[#This Row],[traceability_no]],2)</f>
        <v>K5</v>
      </c>
    </row>
    <row r="1129" spans="1:6" x14ac:dyDescent="0.2">
      <c r="A1129"/>
      <c r="B1129"/>
      <c r="C1129"/>
      <c r="D1129"/>
      <c r="E1129"/>
      <c r="F1129" s="662" t="str">
        <f>LEFT(AllDaqbookOffsets[[#This Row],[traceability_no]],2)</f>
        <v>K5</v>
      </c>
    </row>
    <row r="1130" spans="1:6" x14ac:dyDescent="0.2">
      <c r="A1130"/>
      <c r="B1130"/>
      <c r="C1130"/>
      <c r="D1130"/>
      <c r="E1130"/>
      <c r="F1130" s="662" t="str">
        <f>LEFT(AllDaqbookOffsets[[#This Row],[traceability_no]],2)</f>
        <v>K5</v>
      </c>
    </row>
    <row r="1131" spans="1:6" x14ac:dyDescent="0.2">
      <c r="A1131"/>
      <c r="B1131"/>
      <c r="C1131"/>
      <c r="D1131"/>
      <c r="E1131"/>
      <c r="F1131" s="662" t="str">
        <f>LEFT(AllDaqbookOffsets[[#This Row],[traceability_no]],2)</f>
        <v>K5</v>
      </c>
    </row>
    <row r="1132" spans="1:6" x14ac:dyDescent="0.2">
      <c r="A1132"/>
      <c r="B1132"/>
      <c r="C1132"/>
      <c r="D1132"/>
      <c r="E1132"/>
      <c r="F1132" s="662" t="str">
        <f>LEFT(AllDaqbookOffsets[[#This Row],[traceability_no]],2)</f>
        <v>K5</v>
      </c>
    </row>
    <row r="1133" spans="1:6" x14ac:dyDescent="0.2">
      <c r="A1133"/>
      <c r="B1133"/>
      <c r="C1133"/>
      <c r="D1133"/>
      <c r="E1133"/>
      <c r="F1133" s="662" t="str">
        <f>LEFT(AllDaqbookOffsets[[#This Row],[traceability_no]],2)</f>
        <v>K5</v>
      </c>
    </row>
    <row r="1134" spans="1:6" x14ac:dyDescent="0.2">
      <c r="A1134"/>
      <c r="B1134"/>
      <c r="C1134"/>
      <c r="D1134"/>
      <c r="E1134"/>
      <c r="F1134" s="662" t="str">
        <f>LEFT(AllDaqbookOffsets[[#This Row],[traceability_no]],2)</f>
        <v>K5</v>
      </c>
    </row>
    <row r="1135" spans="1:6" x14ac:dyDescent="0.2">
      <c r="A1135"/>
      <c r="B1135"/>
      <c r="C1135"/>
      <c r="D1135"/>
      <c r="E1135"/>
      <c r="F1135" s="662" t="str">
        <f>LEFT(AllDaqbookOffsets[[#This Row],[traceability_no]],2)</f>
        <v>K5</v>
      </c>
    </row>
    <row r="1136" spans="1:6" x14ac:dyDescent="0.2">
      <c r="A1136"/>
      <c r="B1136"/>
      <c r="C1136"/>
      <c r="D1136"/>
      <c r="E1136"/>
      <c r="F1136" s="662" t="str">
        <f>LEFT(AllDaqbookOffsets[[#This Row],[traceability_no]],2)</f>
        <v>K5</v>
      </c>
    </row>
    <row r="1137" spans="1:6" x14ac:dyDescent="0.2">
      <c r="A1137"/>
      <c r="B1137"/>
      <c r="C1137"/>
      <c r="D1137"/>
      <c r="E1137"/>
      <c r="F1137" s="662" t="str">
        <f>LEFT(AllDaqbookOffsets[[#This Row],[traceability_no]],2)</f>
        <v>K5</v>
      </c>
    </row>
    <row r="1138" spans="1:6" x14ac:dyDescent="0.2">
      <c r="A1138"/>
      <c r="B1138"/>
      <c r="C1138"/>
      <c r="D1138"/>
      <c r="E1138"/>
      <c r="F1138" s="662" t="str">
        <f>LEFT(AllDaqbookOffsets[[#This Row],[traceability_no]],2)</f>
        <v>K5</v>
      </c>
    </row>
    <row r="1139" spans="1:6" x14ac:dyDescent="0.2">
      <c r="A1139"/>
      <c r="B1139"/>
      <c r="C1139"/>
      <c r="D1139"/>
      <c r="E1139"/>
      <c r="F1139" s="662" t="str">
        <f>LEFT(AllDaqbookOffsets[[#This Row],[traceability_no]],2)</f>
        <v>K5</v>
      </c>
    </row>
    <row r="1140" spans="1:6" x14ac:dyDescent="0.2">
      <c r="A1140"/>
      <c r="B1140"/>
      <c r="C1140"/>
      <c r="D1140"/>
      <c r="E1140"/>
      <c r="F1140" s="662" t="str">
        <f>LEFT(AllDaqbookOffsets[[#This Row],[traceability_no]],2)</f>
        <v>K5</v>
      </c>
    </row>
    <row r="1141" spans="1:6" x14ac:dyDescent="0.2">
      <c r="A1141"/>
      <c r="B1141"/>
      <c r="C1141"/>
      <c r="D1141"/>
      <c r="E1141"/>
      <c r="F1141" s="662" t="str">
        <f>LEFT(AllDaqbookOffsets[[#This Row],[traceability_no]],2)</f>
        <v>K5</v>
      </c>
    </row>
    <row r="1142" spans="1:6" x14ac:dyDescent="0.2">
      <c r="A1142"/>
      <c r="B1142"/>
      <c r="C1142"/>
      <c r="D1142"/>
      <c r="E1142"/>
      <c r="F1142" s="662" t="str">
        <f>LEFT(AllDaqbookOffsets[[#This Row],[traceability_no]],2)</f>
        <v>K5</v>
      </c>
    </row>
    <row r="1143" spans="1:6" x14ac:dyDescent="0.2">
      <c r="A1143"/>
      <c r="B1143"/>
      <c r="C1143"/>
      <c r="D1143"/>
      <c r="E1143"/>
      <c r="F1143" s="662" t="str">
        <f>LEFT(AllDaqbookOffsets[[#This Row],[traceability_no]],2)</f>
        <v>K5</v>
      </c>
    </row>
    <row r="1144" spans="1:6" x14ac:dyDescent="0.2">
      <c r="A1144"/>
      <c r="B1144"/>
      <c r="C1144"/>
      <c r="D1144"/>
      <c r="E1144"/>
      <c r="F1144" s="662" t="str">
        <f>LEFT(AllDaqbookOffsets[[#This Row],[traceability_no]],2)</f>
        <v>K5</v>
      </c>
    </row>
    <row r="1145" spans="1:6" x14ac:dyDescent="0.2">
      <c r="A1145"/>
      <c r="B1145"/>
      <c r="C1145"/>
      <c r="D1145"/>
      <c r="E1145"/>
      <c r="F1145" s="662" t="str">
        <f>LEFT(AllDaqbookOffsets[[#This Row],[traceability_no]],2)</f>
        <v>K5</v>
      </c>
    </row>
    <row r="1146" spans="1:6" x14ac:dyDescent="0.2">
      <c r="A1146"/>
      <c r="B1146"/>
      <c r="C1146"/>
      <c r="D1146"/>
      <c r="E1146"/>
      <c r="F1146" s="662" t="str">
        <f>LEFT(AllDaqbookOffsets[[#This Row],[traceability_no]],2)</f>
        <v>K5</v>
      </c>
    </row>
    <row r="1147" spans="1:6" x14ac:dyDescent="0.2">
      <c r="A1147"/>
      <c r="B1147"/>
      <c r="C1147"/>
      <c r="D1147"/>
      <c r="E1147"/>
      <c r="F1147" s="662" t="str">
        <f>LEFT(AllDaqbookOffsets[[#This Row],[traceability_no]],2)</f>
        <v>K5</v>
      </c>
    </row>
    <row r="1148" spans="1:6" x14ac:dyDescent="0.2">
      <c r="A1148"/>
      <c r="B1148"/>
      <c r="C1148"/>
      <c r="D1148"/>
      <c r="E1148"/>
      <c r="F1148" s="662" t="str">
        <f>LEFT(AllDaqbookOffsets[[#This Row],[traceability_no]],2)</f>
        <v>K5</v>
      </c>
    </row>
    <row r="1149" spans="1:6" x14ac:dyDescent="0.2">
      <c r="A1149"/>
      <c r="B1149"/>
      <c r="C1149"/>
      <c r="D1149"/>
      <c r="E1149"/>
      <c r="F1149" s="662" t="str">
        <f>LEFT(AllDaqbookOffsets[[#This Row],[traceability_no]],2)</f>
        <v>K5</v>
      </c>
    </row>
    <row r="1150" spans="1:6" x14ac:dyDescent="0.2">
      <c r="A1150"/>
      <c r="B1150"/>
      <c r="C1150"/>
      <c r="D1150"/>
      <c r="E1150"/>
      <c r="F1150" s="662" t="str">
        <f>LEFT(AllDaqbookOffsets[[#This Row],[traceability_no]],2)</f>
        <v>K5</v>
      </c>
    </row>
    <row r="1151" spans="1:6" x14ac:dyDescent="0.2">
      <c r="A1151"/>
      <c r="B1151"/>
      <c r="C1151"/>
      <c r="D1151"/>
      <c r="E1151"/>
      <c r="F1151" s="662" t="str">
        <f>LEFT(AllDaqbookOffsets[[#This Row],[traceability_no]],2)</f>
        <v>K5</v>
      </c>
    </row>
    <row r="1152" spans="1:6" x14ac:dyDescent="0.2">
      <c r="A1152"/>
      <c r="B1152"/>
      <c r="C1152"/>
      <c r="D1152"/>
      <c r="E1152"/>
      <c r="F1152" s="662" t="str">
        <f>LEFT(AllDaqbookOffsets[[#This Row],[traceability_no]],2)</f>
        <v>K5</v>
      </c>
    </row>
    <row r="1153" spans="1:6" x14ac:dyDescent="0.2">
      <c r="A1153"/>
      <c r="B1153"/>
      <c r="C1153"/>
      <c r="D1153"/>
      <c r="E1153"/>
      <c r="F1153" s="662" t="str">
        <f>LEFT(AllDaqbookOffsets[[#This Row],[traceability_no]],2)</f>
        <v>K5</v>
      </c>
    </row>
    <row r="1154" spans="1:6" x14ac:dyDescent="0.2">
      <c r="A1154"/>
      <c r="B1154"/>
      <c r="C1154"/>
      <c r="D1154"/>
      <c r="E1154"/>
      <c r="F1154" s="662" t="str">
        <f>LEFT(AllDaqbookOffsets[[#This Row],[traceability_no]],2)</f>
        <v>K5</v>
      </c>
    </row>
    <row r="1155" spans="1:6" x14ac:dyDescent="0.2">
      <c r="A1155"/>
      <c r="B1155"/>
      <c r="C1155"/>
      <c r="D1155"/>
      <c r="E1155"/>
      <c r="F1155" s="662" t="str">
        <f>LEFT(AllDaqbookOffsets[[#This Row],[traceability_no]],2)</f>
        <v>K5</v>
      </c>
    </row>
    <row r="1156" spans="1:6" x14ac:dyDescent="0.2">
      <c r="A1156"/>
      <c r="B1156"/>
      <c r="C1156"/>
      <c r="D1156"/>
      <c r="E1156"/>
      <c r="F1156" s="662" t="str">
        <f>LEFT(AllDaqbookOffsets[[#This Row],[traceability_no]],2)</f>
        <v>K5</v>
      </c>
    </row>
    <row r="1157" spans="1:6" x14ac:dyDescent="0.2">
      <c r="A1157"/>
      <c r="B1157"/>
      <c r="C1157"/>
      <c r="D1157"/>
      <c r="E1157"/>
      <c r="F1157" s="662" t="str">
        <f>LEFT(AllDaqbookOffsets[[#This Row],[traceability_no]],2)</f>
        <v>K5</v>
      </c>
    </row>
    <row r="1158" spans="1:6" x14ac:dyDescent="0.2">
      <c r="A1158"/>
      <c r="B1158"/>
      <c r="C1158"/>
      <c r="D1158"/>
      <c r="E1158"/>
      <c r="F1158" s="662" t="str">
        <f>LEFT(AllDaqbookOffsets[[#This Row],[traceability_no]],2)</f>
        <v>K5</v>
      </c>
    </row>
    <row r="1159" spans="1:6" x14ac:dyDescent="0.2">
      <c r="A1159"/>
      <c r="B1159"/>
      <c r="C1159"/>
      <c r="D1159"/>
      <c r="E1159"/>
      <c r="F1159" s="662" t="str">
        <f>LEFT(AllDaqbookOffsets[[#This Row],[traceability_no]],2)</f>
        <v>K5</v>
      </c>
    </row>
    <row r="1160" spans="1:6" x14ac:dyDescent="0.2">
      <c r="A1160"/>
      <c r="B1160"/>
      <c r="C1160"/>
      <c r="D1160"/>
      <c r="E1160"/>
      <c r="F1160" s="662" t="str">
        <f>LEFT(AllDaqbookOffsets[[#This Row],[traceability_no]],2)</f>
        <v>K5</v>
      </c>
    </row>
    <row r="1161" spans="1:6" x14ac:dyDescent="0.2">
      <c r="A1161"/>
      <c r="B1161"/>
      <c r="C1161"/>
      <c r="D1161"/>
      <c r="E1161"/>
      <c r="F1161" s="662" t="str">
        <f>LEFT(AllDaqbookOffsets[[#This Row],[traceability_no]],2)</f>
        <v>K5</v>
      </c>
    </row>
    <row r="1162" spans="1:6" x14ac:dyDescent="0.2">
      <c r="A1162"/>
      <c r="B1162"/>
      <c r="C1162"/>
      <c r="D1162"/>
      <c r="E1162"/>
      <c r="F1162" s="662" t="str">
        <f>LEFT(AllDaqbookOffsets[[#This Row],[traceability_no]],2)</f>
        <v>K5</v>
      </c>
    </row>
    <row r="1163" spans="1:6" x14ac:dyDescent="0.2">
      <c r="A1163"/>
      <c r="B1163"/>
      <c r="C1163"/>
      <c r="D1163"/>
      <c r="E1163"/>
      <c r="F1163" s="662" t="str">
        <f>LEFT(AllDaqbookOffsets[[#This Row],[traceability_no]],2)</f>
        <v>K5</v>
      </c>
    </row>
    <row r="1164" spans="1:6" x14ac:dyDescent="0.2">
      <c r="A1164"/>
      <c r="B1164"/>
      <c r="C1164"/>
      <c r="D1164"/>
      <c r="E1164"/>
      <c r="F1164" s="662" t="str">
        <f>LEFT(AllDaqbookOffsets[[#This Row],[traceability_no]],2)</f>
        <v>K5</v>
      </c>
    </row>
    <row r="1165" spans="1:6" x14ac:dyDescent="0.2">
      <c r="A1165"/>
      <c r="B1165"/>
      <c r="C1165"/>
      <c r="D1165"/>
      <c r="E1165"/>
      <c r="F1165" s="662" t="str">
        <f>LEFT(AllDaqbookOffsets[[#This Row],[traceability_no]],2)</f>
        <v>K5</v>
      </c>
    </row>
    <row r="1166" spans="1:6" x14ac:dyDescent="0.2">
      <c r="A1166"/>
      <c r="B1166"/>
      <c r="C1166"/>
      <c r="D1166"/>
      <c r="E1166"/>
      <c r="F1166" s="662" t="str">
        <f>LEFT(AllDaqbookOffsets[[#This Row],[traceability_no]],2)</f>
        <v>K5</v>
      </c>
    </row>
    <row r="1167" spans="1:6" x14ac:dyDescent="0.2">
      <c r="A1167"/>
      <c r="B1167"/>
      <c r="C1167"/>
      <c r="D1167"/>
      <c r="E1167"/>
      <c r="F1167" s="662" t="str">
        <f>LEFT(AllDaqbookOffsets[[#This Row],[traceability_no]],2)</f>
        <v>K5</v>
      </c>
    </row>
    <row r="1168" spans="1:6" x14ac:dyDescent="0.2">
      <c r="A1168"/>
      <c r="B1168"/>
      <c r="C1168"/>
      <c r="D1168"/>
      <c r="E1168"/>
      <c r="F1168" s="662" t="str">
        <f>LEFT(AllDaqbookOffsets[[#This Row],[traceability_no]],2)</f>
        <v>K5</v>
      </c>
    </row>
    <row r="1169" spans="1:6" x14ac:dyDescent="0.2">
      <c r="A1169"/>
      <c r="B1169"/>
      <c r="C1169"/>
      <c r="D1169"/>
      <c r="E1169"/>
      <c r="F1169" s="662" t="str">
        <f>LEFT(AllDaqbookOffsets[[#This Row],[traceability_no]],2)</f>
        <v>K5</v>
      </c>
    </row>
    <row r="1170" spans="1:6" x14ac:dyDescent="0.2">
      <c r="A1170"/>
      <c r="B1170"/>
      <c r="C1170"/>
      <c r="D1170"/>
      <c r="E1170"/>
      <c r="F1170" s="662" t="str">
        <f>LEFT(AllDaqbookOffsets[[#This Row],[traceability_no]],2)</f>
        <v>K5</v>
      </c>
    </row>
    <row r="1171" spans="1:6" x14ac:dyDescent="0.2">
      <c r="A1171"/>
      <c r="B1171"/>
      <c r="C1171"/>
      <c r="D1171"/>
      <c r="E1171"/>
      <c r="F1171" s="662" t="str">
        <f>LEFT(AllDaqbookOffsets[[#This Row],[traceability_no]],2)</f>
        <v>K5</v>
      </c>
    </row>
    <row r="1172" spans="1:6" x14ac:dyDescent="0.2">
      <c r="A1172"/>
      <c r="B1172"/>
      <c r="C1172"/>
      <c r="D1172"/>
      <c r="E1172"/>
      <c r="F1172" s="662" t="str">
        <f>LEFT(AllDaqbookOffsets[[#This Row],[traceability_no]],2)</f>
        <v>K5</v>
      </c>
    </row>
    <row r="1173" spans="1:6" x14ac:dyDescent="0.2">
      <c r="A1173"/>
      <c r="B1173"/>
      <c r="C1173"/>
      <c r="D1173"/>
      <c r="E1173"/>
      <c r="F1173" s="662" t="str">
        <f>LEFT(AllDaqbookOffsets[[#This Row],[traceability_no]],2)</f>
        <v>K5</v>
      </c>
    </row>
    <row r="1174" spans="1:6" x14ac:dyDescent="0.2">
      <c r="A1174"/>
      <c r="B1174"/>
      <c r="C1174"/>
      <c r="D1174"/>
      <c r="E1174"/>
      <c r="F1174" s="662" t="str">
        <f>LEFT(AllDaqbookOffsets[[#This Row],[traceability_no]],2)</f>
        <v>K5</v>
      </c>
    </row>
    <row r="1175" spans="1:6" x14ac:dyDescent="0.2">
      <c r="A1175"/>
      <c r="B1175"/>
      <c r="C1175"/>
      <c r="D1175"/>
      <c r="E1175"/>
      <c r="F1175" s="662" t="str">
        <f>LEFT(AllDaqbookOffsets[[#This Row],[traceability_no]],2)</f>
        <v>K5</v>
      </c>
    </row>
    <row r="1176" spans="1:6" x14ac:dyDescent="0.2">
      <c r="A1176"/>
      <c r="B1176"/>
      <c r="C1176"/>
      <c r="D1176"/>
      <c r="E1176"/>
      <c r="F1176" s="662" t="str">
        <f>LEFT(AllDaqbookOffsets[[#This Row],[traceability_no]],2)</f>
        <v>K5</v>
      </c>
    </row>
    <row r="1177" spans="1:6" x14ac:dyDescent="0.2">
      <c r="A1177"/>
      <c r="B1177"/>
      <c r="C1177"/>
      <c r="D1177"/>
      <c r="E1177"/>
      <c r="F1177" s="662" t="str">
        <f>LEFT(AllDaqbookOffsets[[#This Row],[traceability_no]],2)</f>
        <v>K5</v>
      </c>
    </row>
    <row r="1178" spans="1:6" x14ac:dyDescent="0.2">
      <c r="A1178"/>
      <c r="B1178"/>
      <c r="C1178"/>
      <c r="D1178"/>
      <c r="E1178"/>
      <c r="F1178" s="662" t="str">
        <f>LEFT(AllDaqbookOffsets[[#This Row],[traceability_no]],2)</f>
        <v>K5</v>
      </c>
    </row>
    <row r="1179" spans="1:6" x14ac:dyDescent="0.2">
      <c r="A1179"/>
      <c r="B1179"/>
      <c r="C1179"/>
      <c r="D1179"/>
      <c r="E1179"/>
      <c r="F1179" s="662" t="str">
        <f>LEFT(AllDaqbookOffsets[[#This Row],[traceability_no]],2)</f>
        <v>K5</v>
      </c>
    </row>
    <row r="1180" spans="1:6" x14ac:dyDescent="0.2">
      <c r="A1180"/>
      <c r="B1180"/>
      <c r="C1180"/>
      <c r="D1180"/>
      <c r="E1180"/>
      <c r="F1180" s="662" t="str">
        <f>LEFT(AllDaqbookOffsets[[#This Row],[traceability_no]],2)</f>
        <v>K5</v>
      </c>
    </row>
    <row r="1181" spans="1:6" x14ac:dyDescent="0.2">
      <c r="A1181"/>
      <c r="B1181"/>
      <c r="C1181"/>
      <c r="D1181"/>
      <c r="E1181"/>
      <c r="F1181" s="662" t="str">
        <f>LEFT(AllDaqbookOffsets[[#This Row],[traceability_no]],2)</f>
        <v>K5</v>
      </c>
    </row>
    <row r="1182" spans="1:6" x14ac:dyDescent="0.2">
      <c r="A1182"/>
      <c r="B1182"/>
      <c r="C1182"/>
      <c r="D1182"/>
      <c r="E1182"/>
      <c r="F1182" s="662" t="str">
        <f>LEFT(AllDaqbookOffsets[[#This Row],[traceability_no]],2)</f>
        <v>K5</v>
      </c>
    </row>
    <row r="1183" spans="1:6" x14ac:dyDescent="0.2">
      <c r="A1183"/>
      <c r="B1183"/>
      <c r="C1183"/>
      <c r="D1183"/>
      <c r="E1183"/>
      <c r="F1183" s="662" t="str">
        <f>LEFT(AllDaqbookOffsets[[#This Row],[traceability_no]],2)</f>
        <v>K5</v>
      </c>
    </row>
    <row r="1184" spans="1:6" x14ac:dyDescent="0.2">
      <c r="A1184"/>
      <c r="B1184"/>
      <c r="C1184"/>
      <c r="D1184"/>
      <c r="E1184"/>
      <c r="F1184" s="662" t="str">
        <f>LEFT(AllDaqbookOffsets[[#This Row],[traceability_no]],2)</f>
        <v>K5</v>
      </c>
    </row>
    <row r="1185" spans="1:6" x14ac:dyDescent="0.2">
      <c r="A1185"/>
      <c r="B1185"/>
      <c r="C1185"/>
      <c r="D1185"/>
      <c r="E1185"/>
      <c r="F1185" s="662" t="str">
        <f>LEFT(AllDaqbookOffsets[[#This Row],[traceability_no]],2)</f>
        <v>K5</v>
      </c>
    </row>
    <row r="1186" spans="1:6" x14ac:dyDescent="0.2">
      <c r="A1186"/>
      <c r="B1186"/>
      <c r="C1186"/>
      <c r="D1186"/>
      <c r="E1186"/>
      <c r="F1186" s="662" t="str">
        <f>LEFT(AllDaqbookOffsets[[#This Row],[traceability_no]],2)</f>
        <v>K5</v>
      </c>
    </row>
    <row r="1187" spans="1:6" x14ac:dyDescent="0.2">
      <c r="A1187"/>
      <c r="B1187"/>
      <c r="C1187"/>
      <c r="D1187"/>
      <c r="E1187"/>
      <c r="F1187" s="662" t="str">
        <f>LEFT(AllDaqbookOffsets[[#This Row],[traceability_no]],2)</f>
        <v>K5</v>
      </c>
    </row>
    <row r="1188" spans="1:6" x14ac:dyDescent="0.2">
      <c r="A1188"/>
      <c r="B1188"/>
      <c r="C1188"/>
      <c r="D1188"/>
      <c r="E1188"/>
      <c r="F1188" s="662" t="str">
        <f>LEFT(AllDaqbookOffsets[[#This Row],[traceability_no]],2)</f>
        <v>K5</v>
      </c>
    </row>
    <row r="1189" spans="1:6" x14ac:dyDescent="0.2">
      <c r="A1189"/>
      <c r="B1189"/>
      <c r="C1189"/>
      <c r="D1189"/>
      <c r="E1189"/>
      <c r="F1189" s="662" t="str">
        <f>LEFT(AllDaqbookOffsets[[#This Row],[traceability_no]],2)</f>
        <v>K5</v>
      </c>
    </row>
    <row r="1190" spans="1:6" x14ac:dyDescent="0.2">
      <c r="A1190"/>
      <c r="B1190"/>
      <c r="C1190"/>
      <c r="D1190"/>
      <c r="E1190"/>
      <c r="F1190" s="662" t="str">
        <f>LEFT(AllDaqbookOffsets[[#This Row],[traceability_no]],2)</f>
        <v>K5</v>
      </c>
    </row>
    <row r="1191" spans="1:6" x14ac:dyDescent="0.2">
      <c r="A1191"/>
      <c r="B1191"/>
      <c r="C1191"/>
      <c r="D1191"/>
      <c r="E1191"/>
      <c r="F1191" s="662" t="str">
        <f>LEFT(AllDaqbookOffsets[[#This Row],[traceability_no]],2)</f>
        <v>K5</v>
      </c>
    </row>
    <row r="1192" spans="1:6" x14ac:dyDescent="0.2">
      <c r="A1192"/>
      <c r="B1192"/>
      <c r="C1192"/>
      <c r="D1192"/>
      <c r="E1192"/>
      <c r="F1192" s="662" t="str">
        <f>LEFT(AllDaqbookOffsets[[#This Row],[traceability_no]],2)</f>
        <v>K5</v>
      </c>
    </row>
    <row r="1193" spans="1:6" x14ac:dyDescent="0.2">
      <c r="A1193"/>
      <c r="B1193"/>
      <c r="C1193"/>
      <c r="D1193"/>
      <c r="E1193"/>
      <c r="F1193" s="662" t="str">
        <f>LEFT(AllDaqbookOffsets[[#This Row],[traceability_no]],2)</f>
        <v>K5</v>
      </c>
    </row>
    <row r="1194" spans="1:6" x14ac:dyDescent="0.2">
      <c r="A1194"/>
      <c r="B1194"/>
      <c r="C1194"/>
      <c r="D1194"/>
      <c r="E1194"/>
      <c r="F1194" s="662" t="str">
        <f>LEFT(AllDaqbookOffsets[[#This Row],[traceability_no]],2)</f>
        <v>K5</v>
      </c>
    </row>
    <row r="1195" spans="1:6" x14ac:dyDescent="0.2">
      <c r="A1195"/>
      <c r="B1195"/>
      <c r="C1195"/>
      <c r="D1195"/>
      <c r="E1195"/>
      <c r="F1195" s="662" t="str">
        <f>LEFT(AllDaqbookOffsets[[#This Row],[traceability_no]],2)</f>
        <v>K5</v>
      </c>
    </row>
    <row r="1196" spans="1:6" x14ac:dyDescent="0.2">
      <c r="A1196"/>
      <c r="B1196"/>
      <c r="C1196"/>
      <c r="D1196"/>
      <c r="E1196"/>
      <c r="F1196" s="662" t="str">
        <f>LEFT(AllDaqbookOffsets[[#This Row],[traceability_no]],2)</f>
        <v>K5</v>
      </c>
    </row>
    <row r="1197" spans="1:6" x14ac:dyDescent="0.2">
      <c r="A1197"/>
      <c r="B1197"/>
      <c r="C1197"/>
      <c r="D1197"/>
      <c r="E1197"/>
      <c r="F1197" s="662" t="str">
        <f>LEFT(AllDaqbookOffsets[[#This Row],[traceability_no]],2)</f>
        <v>K5</v>
      </c>
    </row>
    <row r="1198" spans="1:6" x14ac:dyDescent="0.2">
      <c r="A1198"/>
      <c r="B1198"/>
      <c r="C1198"/>
      <c r="D1198"/>
      <c r="E1198"/>
      <c r="F1198" s="662" t="str">
        <f>LEFT(AllDaqbookOffsets[[#This Row],[traceability_no]],2)</f>
        <v>K5</v>
      </c>
    </row>
    <row r="1199" spans="1:6" x14ac:dyDescent="0.2">
      <c r="A1199"/>
      <c r="B1199"/>
      <c r="C1199"/>
      <c r="D1199"/>
      <c r="E1199"/>
      <c r="F1199" s="662" t="str">
        <f>LEFT(AllDaqbookOffsets[[#This Row],[traceability_no]],2)</f>
        <v>K5</v>
      </c>
    </row>
    <row r="1200" spans="1:6" x14ac:dyDescent="0.2">
      <c r="A1200"/>
      <c r="B1200"/>
      <c r="C1200"/>
      <c r="D1200"/>
      <c r="E1200"/>
      <c r="F1200" s="662" t="str">
        <f>LEFT(AllDaqbookOffsets[[#This Row],[traceability_no]],2)</f>
        <v>K5</v>
      </c>
    </row>
    <row r="1201" spans="1:6" x14ac:dyDescent="0.2">
      <c r="A1201"/>
      <c r="B1201"/>
      <c r="C1201"/>
      <c r="D1201"/>
      <c r="E1201"/>
      <c r="F1201" s="662" t="str">
        <f>LEFT(AllDaqbookOffsets[[#This Row],[traceability_no]],2)</f>
        <v>K6</v>
      </c>
    </row>
    <row r="1202" spans="1:6" x14ac:dyDescent="0.2">
      <c r="A1202"/>
      <c r="B1202"/>
      <c r="C1202"/>
      <c r="D1202"/>
      <c r="E1202"/>
      <c r="F1202" s="662" t="str">
        <f>LEFT(AllDaqbookOffsets[[#This Row],[traceability_no]],2)</f>
        <v>K6</v>
      </c>
    </row>
    <row r="1203" spans="1:6" x14ac:dyDescent="0.2">
      <c r="A1203"/>
      <c r="B1203"/>
      <c r="C1203"/>
      <c r="D1203"/>
      <c r="E1203"/>
      <c r="F1203" s="662" t="str">
        <f>LEFT(AllDaqbookOffsets[[#This Row],[traceability_no]],2)</f>
        <v>K6</v>
      </c>
    </row>
    <row r="1204" spans="1:6" x14ac:dyDescent="0.2">
      <c r="A1204"/>
      <c r="B1204"/>
      <c r="C1204"/>
      <c r="D1204"/>
      <c r="E1204"/>
      <c r="F1204" s="662" t="str">
        <f>LEFT(AllDaqbookOffsets[[#This Row],[traceability_no]],2)</f>
        <v>K6</v>
      </c>
    </row>
    <row r="1205" spans="1:6" x14ac:dyDescent="0.2">
      <c r="A1205"/>
      <c r="B1205"/>
      <c r="C1205"/>
      <c r="D1205"/>
      <c r="E1205"/>
      <c r="F1205" s="662" t="str">
        <f>LEFT(AllDaqbookOffsets[[#This Row],[traceability_no]],2)</f>
        <v>K6</v>
      </c>
    </row>
    <row r="1206" spans="1:6" x14ac:dyDescent="0.2">
      <c r="A1206"/>
      <c r="B1206"/>
      <c r="C1206"/>
      <c r="D1206"/>
      <c r="E1206"/>
      <c r="F1206" s="662" t="str">
        <f>LEFT(AllDaqbookOffsets[[#This Row],[traceability_no]],2)</f>
        <v>K6</v>
      </c>
    </row>
    <row r="1207" spans="1:6" x14ac:dyDescent="0.2">
      <c r="A1207"/>
      <c r="B1207"/>
      <c r="C1207"/>
      <c r="D1207"/>
      <c r="E1207"/>
      <c r="F1207" s="662" t="str">
        <f>LEFT(AllDaqbookOffsets[[#This Row],[traceability_no]],2)</f>
        <v>K6</v>
      </c>
    </row>
    <row r="1208" spans="1:6" x14ac:dyDescent="0.2">
      <c r="A1208"/>
      <c r="B1208"/>
      <c r="C1208"/>
      <c r="D1208"/>
      <c r="E1208"/>
      <c r="F1208" s="662" t="str">
        <f>LEFT(AllDaqbookOffsets[[#This Row],[traceability_no]],2)</f>
        <v>K6</v>
      </c>
    </row>
    <row r="1209" spans="1:6" x14ac:dyDescent="0.2">
      <c r="A1209"/>
      <c r="B1209"/>
      <c r="C1209"/>
      <c r="D1209"/>
      <c r="E1209"/>
      <c r="F1209" s="662" t="str">
        <f>LEFT(AllDaqbookOffsets[[#This Row],[traceability_no]],2)</f>
        <v>K6</v>
      </c>
    </row>
    <row r="1210" spans="1:6" x14ac:dyDescent="0.2">
      <c r="A1210"/>
      <c r="B1210"/>
      <c r="C1210"/>
      <c r="D1210"/>
      <c r="E1210"/>
      <c r="F1210" s="662" t="str">
        <f>LEFT(AllDaqbookOffsets[[#This Row],[traceability_no]],2)</f>
        <v>K6</v>
      </c>
    </row>
    <row r="1211" spans="1:6" x14ac:dyDescent="0.2">
      <c r="A1211"/>
      <c r="B1211"/>
      <c r="C1211"/>
      <c r="D1211"/>
      <c r="E1211"/>
      <c r="F1211" s="662" t="str">
        <f>LEFT(AllDaqbookOffsets[[#This Row],[traceability_no]],2)</f>
        <v>K6</v>
      </c>
    </row>
    <row r="1212" spans="1:6" x14ac:dyDescent="0.2">
      <c r="A1212"/>
      <c r="B1212"/>
      <c r="C1212"/>
      <c r="D1212"/>
      <c r="E1212"/>
      <c r="F1212" s="662" t="str">
        <f>LEFT(AllDaqbookOffsets[[#This Row],[traceability_no]],2)</f>
        <v>K6</v>
      </c>
    </row>
    <row r="1213" spans="1:6" x14ac:dyDescent="0.2">
      <c r="A1213"/>
      <c r="B1213"/>
      <c r="C1213"/>
      <c r="D1213"/>
      <c r="E1213"/>
      <c r="F1213" s="662" t="str">
        <f>LEFT(AllDaqbookOffsets[[#This Row],[traceability_no]],2)</f>
        <v>K6</v>
      </c>
    </row>
    <row r="1214" spans="1:6" x14ac:dyDescent="0.2">
      <c r="A1214"/>
      <c r="B1214"/>
      <c r="C1214"/>
      <c r="D1214"/>
      <c r="E1214"/>
      <c r="F1214" s="662" t="str">
        <f>LEFT(AllDaqbookOffsets[[#This Row],[traceability_no]],2)</f>
        <v>K6</v>
      </c>
    </row>
    <row r="1215" spans="1:6" x14ac:dyDescent="0.2">
      <c r="A1215"/>
      <c r="B1215"/>
      <c r="C1215"/>
      <c r="D1215"/>
      <c r="E1215"/>
      <c r="F1215" s="662" t="str">
        <f>LEFT(AllDaqbookOffsets[[#This Row],[traceability_no]],2)</f>
        <v>K6</v>
      </c>
    </row>
    <row r="1216" spans="1:6" x14ac:dyDescent="0.2">
      <c r="A1216"/>
      <c r="B1216"/>
      <c r="C1216"/>
      <c r="D1216"/>
      <c r="E1216"/>
      <c r="F1216" s="662" t="str">
        <f>LEFT(AllDaqbookOffsets[[#This Row],[traceability_no]],2)</f>
        <v>K6</v>
      </c>
    </row>
    <row r="1217" spans="1:6" x14ac:dyDescent="0.2">
      <c r="A1217"/>
      <c r="B1217"/>
      <c r="C1217"/>
      <c r="D1217"/>
      <c r="E1217"/>
      <c r="F1217" s="662" t="str">
        <f>LEFT(AllDaqbookOffsets[[#This Row],[traceability_no]],2)</f>
        <v>K6</v>
      </c>
    </row>
    <row r="1218" spans="1:6" x14ac:dyDescent="0.2">
      <c r="A1218"/>
      <c r="B1218"/>
      <c r="C1218"/>
      <c r="D1218"/>
      <c r="E1218"/>
      <c r="F1218" s="662" t="str">
        <f>LEFT(AllDaqbookOffsets[[#This Row],[traceability_no]],2)</f>
        <v>K6</v>
      </c>
    </row>
    <row r="1219" spans="1:6" x14ac:dyDescent="0.2">
      <c r="A1219"/>
      <c r="B1219"/>
      <c r="C1219"/>
      <c r="D1219"/>
      <c r="E1219"/>
      <c r="F1219" s="662" t="str">
        <f>LEFT(AllDaqbookOffsets[[#This Row],[traceability_no]],2)</f>
        <v>K6</v>
      </c>
    </row>
    <row r="1220" spans="1:6" x14ac:dyDescent="0.2">
      <c r="A1220"/>
      <c r="B1220"/>
      <c r="C1220"/>
      <c r="D1220"/>
      <c r="E1220"/>
      <c r="F1220" s="662" t="str">
        <f>LEFT(AllDaqbookOffsets[[#This Row],[traceability_no]],2)</f>
        <v>K6</v>
      </c>
    </row>
    <row r="1221" spans="1:6" x14ac:dyDescent="0.2">
      <c r="A1221"/>
      <c r="B1221"/>
      <c r="C1221"/>
      <c r="D1221"/>
      <c r="E1221"/>
      <c r="F1221" s="662" t="str">
        <f>LEFT(AllDaqbookOffsets[[#This Row],[traceability_no]],2)</f>
        <v>K6</v>
      </c>
    </row>
    <row r="1222" spans="1:6" x14ac:dyDescent="0.2">
      <c r="A1222"/>
      <c r="B1222"/>
      <c r="C1222"/>
      <c r="D1222"/>
      <c r="E1222"/>
      <c r="F1222" s="662" t="str">
        <f>LEFT(AllDaqbookOffsets[[#This Row],[traceability_no]],2)</f>
        <v>K6</v>
      </c>
    </row>
    <row r="1223" spans="1:6" x14ac:dyDescent="0.2">
      <c r="A1223"/>
      <c r="B1223"/>
      <c r="C1223"/>
      <c r="D1223"/>
      <c r="E1223"/>
      <c r="F1223" s="662" t="str">
        <f>LEFT(AllDaqbookOffsets[[#This Row],[traceability_no]],2)</f>
        <v>K6</v>
      </c>
    </row>
    <row r="1224" spans="1:6" x14ac:dyDescent="0.2">
      <c r="A1224"/>
      <c r="B1224"/>
      <c r="C1224"/>
      <c r="D1224"/>
      <c r="E1224"/>
      <c r="F1224" s="662" t="str">
        <f>LEFT(AllDaqbookOffsets[[#This Row],[traceability_no]],2)</f>
        <v>K6</v>
      </c>
    </row>
    <row r="1225" spans="1:6" x14ac:dyDescent="0.2">
      <c r="A1225"/>
      <c r="B1225"/>
      <c r="C1225"/>
      <c r="D1225"/>
      <c r="E1225"/>
      <c r="F1225" s="662" t="str">
        <f>LEFT(AllDaqbookOffsets[[#This Row],[traceability_no]],2)</f>
        <v>K6</v>
      </c>
    </row>
    <row r="1226" spans="1:6" x14ac:dyDescent="0.2">
      <c r="A1226"/>
      <c r="B1226"/>
      <c r="C1226"/>
      <c r="D1226"/>
      <c r="E1226"/>
      <c r="F1226" s="662" t="str">
        <f>LEFT(AllDaqbookOffsets[[#This Row],[traceability_no]],2)</f>
        <v>K6</v>
      </c>
    </row>
    <row r="1227" spans="1:6" x14ac:dyDescent="0.2">
      <c r="A1227"/>
      <c r="B1227"/>
      <c r="C1227"/>
      <c r="D1227"/>
      <c r="E1227"/>
      <c r="F1227" s="662" t="str">
        <f>LEFT(AllDaqbookOffsets[[#This Row],[traceability_no]],2)</f>
        <v>K6</v>
      </c>
    </row>
    <row r="1228" spans="1:6" x14ac:dyDescent="0.2">
      <c r="A1228"/>
      <c r="B1228"/>
      <c r="C1228"/>
      <c r="D1228"/>
      <c r="E1228"/>
      <c r="F1228" s="662" t="str">
        <f>LEFT(AllDaqbookOffsets[[#This Row],[traceability_no]],2)</f>
        <v>K6</v>
      </c>
    </row>
    <row r="1229" spans="1:6" x14ac:dyDescent="0.2">
      <c r="A1229"/>
      <c r="B1229"/>
      <c r="C1229"/>
      <c r="D1229"/>
      <c r="E1229"/>
      <c r="F1229" s="662" t="str">
        <f>LEFT(AllDaqbookOffsets[[#This Row],[traceability_no]],2)</f>
        <v>K6</v>
      </c>
    </row>
    <row r="1230" spans="1:6" x14ac:dyDescent="0.2">
      <c r="A1230"/>
      <c r="B1230"/>
      <c r="C1230"/>
      <c r="D1230"/>
      <c r="E1230"/>
      <c r="F1230" s="662" t="str">
        <f>LEFT(AllDaqbookOffsets[[#This Row],[traceability_no]],2)</f>
        <v>K6</v>
      </c>
    </row>
    <row r="1231" spans="1:6" x14ac:dyDescent="0.2">
      <c r="A1231"/>
      <c r="B1231"/>
      <c r="C1231"/>
      <c r="D1231"/>
      <c r="E1231"/>
      <c r="F1231" s="662" t="str">
        <f>LEFT(AllDaqbookOffsets[[#This Row],[traceability_no]],2)</f>
        <v>K6</v>
      </c>
    </row>
    <row r="1232" spans="1:6" x14ac:dyDescent="0.2">
      <c r="A1232"/>
      <c r="B1232"/>
      <c r="C1232"/>
      <c r="D1232"/>
      <c r="E1232"/>
      <c r="F1232" s="662" t="str">
        <f>LEFT(AllDaqbookOffsets[[#This Row],[traceability_no]],2)</f>
        <v>K6</v>
      </c>
    </row>
    <row r="1233" spans="1:6" x14ac:dyDescent="0.2">
      <c r="A1233"/>
      <c r="B1233"/>
      <c r="C1233"/>
      <c r="D1233"/>
      <c r="E1233"/>
      <c r="F1233" s="662" t="str">
        <f>LEFT(AllDaqbookOffsets[[#This Row],[traceability_no]],2)</f>
        <v>K6</v>
      </c>
    </row>
    <row r="1234" spans="1:6" x14ac:dyDescent="0.2">
      <c r="A1234"/>
      <c r="B1234"/>
      <c r="C1234"/>
      <c r="D1234"/>
      <c r="E1234"/>
      <c r="F1234" s="662" t="str">
        <f>LEFT(AllDaqbookOffsets[[#This Row],[traceability_no]],2)</f>
        <v>K6</v>
      </c>
    </row>
    <row r="1235" spans="1:6" x14ac:dyDescent="0.2">
      <c r="A1235"/>
      <c r="B1235"/>
      <c r="C1235"/>
      <c r="D1235"/>
      <c r="E1235"/>
      <c r="F1235" s="662" t="str">
        <f>LEFT(AllDaqbookOffsets[[#This Row],[traceability_no]],2)</f>
        <v>K6</v>
      </c>
    </row>
    <row r="1236" spans="1:6" x14ac:dyDescent="0.2">
      <c r="A1236"/>
      <c r="B1236"/>
      <c r="C1236"/>
      <c r="D1236"/>
      <c r="E1236"/>
      <c r="F1236" s="662" t="str">
        <f>LEFT(AllDaqbookOffsets[[#This Row],[traceability_no]],2)</f>
        <v>K6</v>
      </c>
    </row>
    <row r="1237" spans="1:6" x14ac:dyDescent="0.2">
      <c r="A1237"/>
      <c r="B1237"/>
      <c r="C1237"/>
      <c r="D1237"/>
      <c r="E1237"/>
      <c r="F1237" s="662" t="str">
        <f>LEFT(AllDaqbookOffsets[[#This Row],[traceability_no]],2)</f>
        <v>K6</v>
      </c>
    </row>
    <row r="1238" spans="1:6" x14ac:dyDescent="0.2">
      <c r="A1238"/>
      <c r="B1238"/>
      <c r="C1238"/>
      <c r="D1238"/>
      <c r="E1238"/>
      <c r="F1238" s="662" t="str">
        <f>LEFT(AllDaqbookOffsets[[#This Row],[traceability_no]],2)</f>
        <v>K6</v>
      </c>
    </row>
    <row r="1239" spans="1:6" x14ac:dyDescent="0.2">
      <c r="A1239"/>
      <c r="B1239"/>
      <c r="C1239"/>
      <c r="D1239"/>
      <c r="E1239"/>
      <c r="F1239" s="662" t="str">
        <f>LEFT(AllDaqbookOffsets[[#This Row],[traceability_no]],2)</f>
        <v>K6</v>
      </c>
    </row>
    <row r="1240" spans="1:6" x14ac:dyDescent="0.2">
      <c r="A1240"/>
      <c r="B1240"/>
      <c r="C1240"/>
      <c r="D1240"/>
      <c r="E1240"/>
      <c r="F1240" s="662" t="str">
        <f>LEFT(AllDaqbookOffsets[[#This Row],[traceability_no]],2)</f>
        <v>K6</v>
      </c>
    </row>
    <row r="1241" spans="1:6" x14ac:dyDescent="0.2">
      <c r="A1241"/>
      <c r="B1241"/>
      <c r="C1241"/>
      <c r="D1241"/>
      <c r="E1241"/>
      <c r="F1241" s="662" t="str">
        <f>LEFT(AllDaqbookOffsets[[#This Row],[traceability_no]],2)</f>
        <v>K6</v>
      </c>
    </row>
    <row r="1242" spans="1:6" x14ac:dyDescent="0.2">
      <c r="A1242"/>
      <c r="B1242"/>
      <c r="C1242"/>
      <c r="D1242"/>
      <c r="E1242"/>
      <c r="F1242" s="662" t="str">
        <f>LEFT(AllDaqbookOffsets[[#This Row],[traceability_no]],2)</f>
        <v>K6</v>
      </c>
    </row>
    <row r="1243" spans="1:6" x14ac:dyDescent="0.2">
      <c r="A1243"/>
      <c r="B1243"/>
      <c r="C1243"/>
      <c r="D1243"/>
      <c r="E1243"/>
      <c r="F1243" s="662" t="str">
        <f>LEFT(AllDaqbookOffsets[[#This Row],[traceability_no]],2)</f>
        <v>K6</v>
      </c>
    </row>
    <row r="1244" spans="1:6" x14ac:dyDescent="0.2">
      <c r="A1244"/>
      <c r="B1244"/>
      <c r="C1244"/>
      <c r="D1244"/>
      <c r="E1244"/>
      <c r="F1244" s="662" t="str">
        <f>LEFT(AllDaqbookOffsets[[#This Row],[traceability_no]],2)</f>
        <v>K6</v>
      </c>
    </row>
    <row r="1245" spans="1:6" x14ac:dyDescent="0.2">
      <c r="A1245"/>
      <c r="B1245"/>
      <c r="C1245"/>
      <c r="D1245"/>
      <c r="E1245"/>
      <c r="F1245" s="662" t="str">
        <f>LEFT(AllDaqbookOffsets[[#This Row],[traceability_no]],2)</f>
        <v>K6</v>
      </c>
    </row>
    <row r="1246" spans="1:6" x14ac:dyDescent="0.2">
      <c r="A1246"/>
      <c r="B1246"/>
      <c r="C1246"/>
      <c r="D1246"/>
      <c r="E1246"/>
      <c r="F1246" s="662" t="str">
        <f>LEFT(AllDaqbookOffsets[[#This Row],[traceability_no]],2)</f>
        <v>K6</v>
      </c>
    </row>
    <row r="1247" spans="1:6" x14ac:dyDescent="0.2">
      <c r="A1247"/>
      <c r="B1247"/>
      <c r="C1247"/>
      <c r="D1247"/>
      <c r="E1247"/>
      <c r="F1247" s="662" t="str">
        <f>LEFT(AllDaqbookOffsets[[#This Row],[traceability_no]],2)</f>
        <v>K6</v>
      </c>
    </row>
    <row r="1248" spans="1:6" x14ac:dyDescent="0.2">
      <c r="A1248"/>
      <c r="B1248"/>
      <c r="C1248"/>
      <c r="D1248"/>
      <c r="E1248"/>
      <c r="F1248" s="662" t="str">
        <f>LEFT(AllDaqbookOffsets[[#This Row],[traceability_no]],2)</f>
        <v>K6</v>
      </c>
    </row>
    <row r="1249" spans="1:6" x14ac:dyDescent="0.2">
      <c r="A1249"/>
      <c r="B1249"/>
      <c r="C1249"/>
      <c r="D1249"/>
      <c r="E1249"/>
      <c r="F1249" s="662" t="str">
        <f>LEFT(AllDaqbookOffsets[[#This Row],[traceability_no]],2)</f>
        <v>K6</v>
      </c>
    </row>
    <row r="1250" spans="1:6" x14ac:dyDescent="0.2">
      <c r="A1250"/>
      <c r="B1250"/>
      <c r="C1250"/>
      <c r="D1250"/>
      <c r="E1250"/>
      <c r="F1250" s="662" t="str">
        <f>LEFT(AllDaqbookOffsets[[#This Row],[traceability_no]],2)</f>
        <v>K6</v>
      </c>
    </row>
    <row r="1251" spans="1:6" x14ac:dyDescent="0.2">
      <c r="A1251"/>
      <c r="B1251"/>
      <c r="C1251"/>
      <c r="D1251"/>
      <c r="E1251"/>
      <c r="F1251" s="662" t="str">
        <f>LEFT(AllDaqbookOffsets[[#This Row],[traceability_no]],2)</f>
        <v>K6</v>
      </c>
    </row>
    <row r="1252" spans="1:6" x14ac:dyDescent="0.2">
      <c r="A1252"/>
      <c r="B1252"/>
      <c r="C1252"/>
      <c r="D1252"/>
      <c r="E1252"/>
      <c r="F1252" s="662" t="str">
        <f>LEFT(AllDaqbookOffsets[[#This Row],[traceability_no]],2)</f>
        <v>K6</v>
      </c>
    </row>
    <row r="1253" spans="1:6" x14ac:dyDescent="0.2">
      <c r="A1253"/>
      <c r="B1253"/>
      <c r="C1253"/>
      <c r="D1253"/>
      <c r="E1253"/>
      <c r="F1253" s="662" t="str">
        <f>LEFT(AllDaqbookOffsets[[#This Row],[traceability_no]],2)</f>
        <v>K6</v>
      </c>
    </row>
    <row r="1254" spans="1:6" x14ac:dyDescent="0.2">
      <c r="A1254"/>
      <c r="B1254"/>
      <c r="C1254"/>
      <c r="D1254"/>
      <c r="E1254"/>
      <c r="F1254" s="662" t="str">
        <f>LEFT(AllDaqbookOffsets[[#This Row],[traceability_no]],2)</f>
        <v>K6</v>
      </c>
    </row>
    <row r="1255" spans="1:6" x14ac:dyDescent="0.2">
      <c r="A1255"/>
      <c r="B1255"/>
      <c r="C1255"/>
      <c r="D1255"/>
      <c r="E1255"/>
      <c r="F1255" s="662" t="str">
        <f>LEFT(AllDaqbookOffsets[[#This Row],[traceability_no]],2)</f>
        <v>K6</v>
      </c>
    </row>
    <row r="1256" spans="1:6" x14ac:dyDescent="0.2">
      <c r="A1256"/>
      <c r="B1256"/>
      <c r="C1256"/>
      <c r="D1256"/>
      <c r="E1256"/>
      <c r="F1256" s="662" t="str">
        <f>LEFT(AllDaqbookOffsets[[#This Row],[traceability_no]],2)</f>
        <v>K6</v>
      </c>
    </row>
    <row r="1257" spans="1:6" x14ac:dyDescent="0.2">
      <c r="A1257"/>
      <c r="B1257"/>
      <c r="C1257"/>
      <c r="D1257"/>
      <c r="E1257"/>
      <c r="F1257" s="662" t="str">
        <f>LEFT(AllDaqbookOffsets[[#This Row],[traceability_no]],2)</f>
        <v>K6</v>
      </c>
    </row>
    <row r="1258" spans="1:6" x14ac:dyDescent="0.2">
      <c r="A1258"/>
      <c r="B1258"/>
      <c r="C1258"/>
      <c r="D1258"/>
      <c r="E1258"/>
      <c r="F1258" s="662" t="str">
        <f>LEFT(AllDaqbookOffsets[[#This Row],[traceability_no]],2)</f>
        <v>K6</v>
      </c>
    </row>
    <row r="1259" spans="1:6" x14ac:dyDescent="0.2">
      <c r="A1259"/>
      <c r="B1259"/>
      <c r="C1259"/>
      <c r="D1259"/>
      <c r="E1259"/>
      <c r="F1259" s="662" t="str">
        <f>LEFT(AllDaqbookOffsets[[#This Row],[traceability_no]],2)</f>
        <v>K6</v>
      </c>
    </row>
    <row r="1260" spans="1:6" x14ac:dyDescent="0.2">
      <c r="A1260"/>
      <c r="B1260"/>
      <c r="C1260"/>
      <c r="D1260"/>
      <c r="E1260"/>
      <c r="F1260" s="662" t="str">
        <f>LEFT(AllDaqbookOffsets[[#This Row],[traceability_no]],2)</f>
        <v>K6</v>
      </c>
    </row>
    <row r="1261" spans="1:6" x14ac:dyDescent="0.2">
      <c r="A1261"/>
      <c r="B1261"/>
      <c r="C1261"/>
      <c r="D1261"/>
      <c r="E1261"/>
      <c r="F1261" s="662" t="str">
        <f>LEFT(AllDaqbookOffsets[[#This Row],[traceability_no]],2)</f>
        <v>K6</v>
      </c>
    </row>
    <row r="1262" spans="1:6" x14ac:dyDescent="0.2">
      <c r="A1262"/>
      <c r="B1262"/>
      <c r="C1262"/>
      <c r="D1262"/>
      <c r="E1262"/>
      <c r="F1262" s="662" t="str">
        <f>LEFT(AllDaqbookOffsets[[#This Row],[traceability_no]],2)</f>
        <v>K6</v>
      </c>
    </row>
    <row r="1263" spans="1:6" x14ac:dyDescent="0.2">
      <c r="A1263"/>
      <c r="B1263"/>
      <c r="C1263"/>
      <c r="D1263"/>
      <c r="E1263"/>
      <c r="F1263" s="662" t="str">
        <f>LEFT(AllDaqbookOffsets[[#This Row],[traceability_no]],2)</f>
        <v>K6</v>
      </c>
    </row>
    <row r="1264" spans="1:6" x14ac:dyDescent="0.2">
      <c r="A1264"/>
      <c r="B1264"/>
      <c r="C1264"/>
      <c r="D1264"/>
      <c r="E1264"/>
      <c r="F1264" s="662" t="str">
        <f>LEFT(AllDaqbookOffsets[[#This Row],[traceability_no]],2)</f>
        <v>K6</v>
      </c>
    </row>
    <row r="1265" spans="1:6" x14ac:dyDescent="0.2">
      <c r="A1265"/>
      <c r="B1265"/>
      <c r="C1265"/>
      <c r="D1265"/>
      <c r="E1265"/>
      <c r="F1265" s="662" t="str">
        <f>LEFT(AllDaqbookOffsets[[#This Row],[traceability_no]],2)</f>
        <v>K6</v>
      </c>
    </row>
    <row r="1266" spans="1:6" x14ac:dyDescent="0.2">
      <c r="A1266"/>
      <c r="B1266"/>
      <c r="C1266"/>
      <c r="D1266"/>
      <c r="E1266"/>
      <c r="F1266" s="662" t="str">
        <f>LEFT(AllDaqbookOffsets[[#This Row],[traceability_no]],2)</f>
        <v>K6</v>
      </c>
    </row>
    <row r="1267" spans="1:6" x14ac:dyDescent="0.2">
      <c r="A1267"/>
      <c r="B1267"/>
      <c r="C1267"/>
      <c r="D1267"/>
      <c r="E1267"/>
      <c r="F1267" s="662" t="str">
        <f>LEFT(AllDaqbookOffsets[[#This Row],[traceability_no]],2)</f>
        <v>K6</v>
      </c>
    </row>
    <row r="1268" spans="1:6" x14ac:dyDescent="0.2">
      <c r="A1268"/>
      <c r="B1268"/>
      <c r="C1268"/>
      <c r="D1268"/>
      <c r="E1268"/>
      <c r="F1268" s="662" t="str">
        <f>LEFT(AllDaqbookOffsets[[#This Row],[traceability_no]],2)</f>
        <v>K6</v>
      </c>
    </row>
    <row r="1269" spans="1:6" x14ac:dyDescent="0.2">
      <c r="A1269"/>
      <c r="B1269"/>
      <c r="C1269"/>
      <c r="D1269"/>
      <c r="E1269"/>
      <c r="F1269" s="662" t="str">
        <f>LEFT(AllDaqbookOffsets[[#This Row],[traceability_no]],2)</f>
        <v>K6</v>
      </c>
    </row>
    <row r="1270" spans="1:6" x14ac:dyDescent="0.2">
      <c r="A1270"/>
      <c r="B1270"/>
      <c r="C1270"/>
      <c r="D1270"/>
      <c r="E1270"/>
      <c r="F1270" s="662" t="str">
        <f>LEFT(AllDaqbookOffsets[[#This Row],[traceability_no]],2)</f>
        <v>K6</v>
      </c>
    </row>
    <row r="1271" spans="1:6" x14ac:dyDescent="0.2">
      <c r="A1271"/>
      <c r="B1271"/>
      <c r="C1271"/>
      <c r="D1271"/>
      <c r="E1271"/>
      <c r="F1271" s="662" t="str">
        <f>LEFT(AllDaqbookOffsets[[#This Row],[traceability_no]],2)</f>
        <v>K6</v>
      </c>
    </row>
    <row r="1272" spans="1:6" x14ac:dyDescent="0.2">
      <c r="A1272"/>
      <c r="B1272"/>
      <c r="C1272"/>
      <c r="D1272"/>
      <c r="E1272"/>
      <c r="F1272" s="662" t="str">
        <f>LEFT(AllDaqbookOffsets[[#This Row],[traceability_no]],2)</f>
        <v>K6</v>
      </c>
    </row>
    <row r="1273" spans="1:6" x14ac:dyDescent="0.2">
      <c r="A1273"/>
      <c r="B1273"/>
      <c r="C1273"/>
      <c r="D1273"/>
      <c r="E1273"/>
      <c r="F1273" s="662" t="str">
        <f>LEFT(AllDaqbookOffsets[[#This Row],[traceability_no]],2)</f>
        <v>K6</v>
      </c>
    </row>
    <row r="1274" spans="1:6" x14ac:dyDescent="0.2">
      <c r="A1274"/>
      <c r="B1274"/>
      <c r="C1274"/>
      <c r="D1274"/>
      <c r="E1274"/>
      <c r="F1274" s="662" t="str">
        <f>LEFT(AllDaqbookOffsets[[#This Row],[traceability_no]],2)</f>
        <v>K6</v>
      </c>
    </row>
    <row r="1275" spans="1:6" x14ac:dyDescent="0.2">
      <c r="A1275"/>
      <c r="B1275"/>
      <c r="C1275"/>
      <c r="D1275"/>
      <c r="E1275"/>
      <c r="F1275" s="662" t="str">
        <f>LEFT(AllDaqbookOffsets[[#This Row],[traceability_no]],2)</f>
        <v>K6</v>
      </c>
    </row>
    <row r="1276" spans="1:6" x14ac:dyDescent="0.2">
      <c r="A1276"/>
      <c r="B1276"/>
      <c r="C1276"/>
      <c r="D1276"/>
      <c r="E1276"/>
      <c r="F1276" s="662" t="str">
        <f>LEFT(AllDaqbookOffsets[[#This Row],[traceability_no]],2)</f>
        <v>K6</v>
      </c>
    </row>
    <row r="1277" spans="1:6" x14ac:dyDescent="0.2">
      <c r="A1277"/>
      <c r="B1277"/>
      <c r="C1277"/>
      <c r="D1277"/>
      <c r="E1277"/>
      <c r="F1277" s="662" t="str">
        <f>LEFT(AllDaqbookOffsets[[#This Row],[traceability_no]],2)</f>
        <v>K6</v>
      </c>
    </row>
    <row r="1278" spans="1:6" x14ac:dyDescent="0.2">
      <c r="A1278"/>
      <c r="B1278"/>
      <c r="C1278"/>
      <c r="D1278"/>
      <c r="E1278"/>
      <c r="F1278" s="662" t="str">
        <f>LEFT(AllDaqbookOffsets[[#This Row],[traceability_no]],2)</f>
        <v>K6</v>
      </c>
    </row>
    <row r="1279" spans="1:6" x14ac:dyDescent="0.2">
      <c r="A1279"/>
      <c r="B1279"/>
      <c r="C1279"/>
      <c r="D1279"/>
      <c r="E1279"/>
      <c r="F1279" s="662" t="str">
        <f>LEFT(AllDaqbookOffsets[[#This Row],[traceability_no]],2)</f>
        <v>K6</v>
      </c>
    </row>
    <row r="1280" spans="1:6" x14ac:dyDescent="0.2">
      <c r="A1280"/>
      <c r="B1280"/>
      <c r="C1280"/>
      <c r="D1280"/>
      <c r="E1280"/>
      <c r="F1280" s="662" t="str">
        <f>LEFT(AllDaqbookOffsets[[#This Row],[traceability_no]],2)</f>
        <v>K6</v>
      </c>
    </row>
    <row r="1281" spans="1:6" x14ac:dyDescent="0.2">
      <c r="A1281"/>
      <c r="B1281"/>
      <c r="C1281"/>
      <c r="D1281"/>
      <c r="E1281"/>
      <c r="F1281" s="662" t="str">
        <f>LEFT(AllDaqbookOffsets[[#This Row],[traceability_no]],2)</f>
        <v>K6</v>
      </c>
    </row>
    <row r="1282" spans="1:6" x14ac:dyDescent="0.2">
      <c r="A1282"/>
      <c r="B1282"/>
      <c r="C1282"/>
      <c r="D1282"/>
      <c r="E1282"/>
      <c r="F1282" s="662" t="str">
        <f>LEFT(AllDaqbookOffsets[[#This Row],[traceability_no]],2)</f>
        <v>K6</v>
      </c>
    </row>
    <row r="1283" spans="1:6" x14ac:dyDescent="0.2">
      <c r="A1283"/>
      <c r="B1283"/>
      <c r="C1283"/>
      <c r="D1283"/>
      <c r="E1283"/>
      <c r="F1283" s="662" t="str">
        <f>LEFT(AllDaqbookOffsets[[#This Row],[traceability_no]],2)</f>
        <v>K6</v>
      </c>
    </row>
    <row r="1284" spans="1:6" x14ac:dyDescent="0.2">
      <c r="A1284"/>
      <c r="B1284"/>
      <c r="C1284"/>
      <c r="D1284"/>
      <c r="E1284"/>
      <c r="F1284" s="662" t="str">
        <f>LEFT(AllDaqbookOffsets[[#This Row],[traceability_no]],2)</f>
        <v>K6</v>
      </c>
    </row>
    <row r="1285" spans="1:6" x14ac:dyDescent="0.2">
      <c r="A1285"/>
      <c r="B1285"/>
      <c r="C1285"/>
      <c r="D1285"/>
      <c r="E1285"/>
      <c r="F1285" s="662" t="str">
        <f>LEFT(AllDaqbookOffsets[[#This Row],[traceability_no]],2)</f>
        <v>K6</v>
      </c>
    </row>
    <row r="1286" spans="1:6" x14ac:dyDescent="0.2">
      <c r="A1286"/>
      <c r="B1286"/>
      <c r="C1286"/>
      <c r="D1286"/>
      <c r="E1286"/>
      <c r="F1286" s="662" t="str">
        <f>LEFT(AllDaqbookOffsets[[#This Row],[traceability_no]],2)</f>
        <v>K6</v>
      </c>
    </row>
    <row r="1287" spans="1:6" x14ac:dyDescent="0.2">
      <c r="A1287"/>
      <c r="B1287"/>
      <c r="C1287"/>
      <c r="D1287"/>
      <c r="E1287"/>
      <c r="F1287" s="662" t="str">
        <f>LEFT(AllDaqbookOffsets[[#This Row],[traceability_no]],2)</f>
        <v>K6</v>
      </c>
    </row>
    <row r="1288" spans="1:6" x14ac:dyDescent="0.2">
      <c r="A1288"/>
      <c r="B1288"/>
      <c r="C1288"/>
      <c r="D1288"/>
      <c r="E1288"/>
      <c r="F1288" s="662" t="str">
        <f>LEFT(AllDaqbookOffsets[[#This Row],[traceability_no]],2)</f>
        <v>K6</v>
      </c>
    </row>
    <row r="1289" spans="1:6" x14ac:dyDescent="0.2">
      <c r="A1289"/>
      <c r="B1289"/>
      <c r="C1289"/>
      <c r="D1289"/>
      <c r="E1289"/>
      <c r="F1289" s="662" t="str">
        <f>LEFT(AllDaqbookOffsets[[#This Row],[traceability_no]],2)</f>
        <v>K6</v>
      </c>
    </row>
    <row r="1290" spans="1:6" x14ac:dyDescent="0.2">
      <c r="A1290"/>
      <c r="B1290"/>
      <c r="C1290"/>
      <c r="D1290"/>
      <c r="E1290"/>
      <c r="F1290" s="662" t="str">
        <f>LEFT(AllDaqbookOffsets[[#This Row],[traceability_no]],2)</f>
        <v>K6</v>
      </c>
    </row>
    <row r="1291" spans="1:6" x14ac:dyDescent="0.2">
      <c r="A1291"/>
      <c r="B1291"/>
      <c r="C1291"/>
      <c r="D1291"/>
      <c r="E1291"/>
      <c r="F1291" s="662" t="str">
        <f>LEFT(AllDaqbookOffsets[[#This Row],[traceability_no]],2)</f>
        <v>K6</v>
      </c>
    </row>
    <row r="1292" spans="1:6" x14ac:dyDescent="0.2">
      <c r="A1292"/>
      <c r="B1292"/>
      <c r="C1292"/>
      <c r="D1292"/>
      <c r="E1292"/>
      <c r="F1292" s="662" t="str">
        <f>LEFT(AllDaqbookOffsets[[#This Row],[traceability_no]],2)</f>
        <v>K6</v>
      </c>
    </row>
    <row r="1293" spans="1:6" x14ac:dyDescent="0.2">
      <c r="A1293"/>
      <c r="B1293"/>
      <c r="C1293"/>
      <c r="D1293"/>
      <c r="E1293"/>
      <c r="F1293" s="662" t="str">
        <f>LEFT(AllDaqbookOffsets[[#This Row],[traceability_no]],2)</f>
        <v>K6</v>
      </c>
    </row>
    <row r="1294" spans="1:6" x14ac:dyDescent="0.2">
      <c r="A1294"/>
      <c r="B1294"/>
      <c r="C1294"/>
      <c r="D1294"/>
      <c r="E1294"/>
      <c r="F1294" s="662" t="str">
        <f>LEFT(AllDaqbookOffsets[[#This Row],[traceability_no]],2)</f>
        <v>K6</v>
      </c>
    </row>
    <row r="1295" spans="1:6" x14ac:dyDescent="0.2">
      <c r="A1295"/>
      <c r="B1295"/>
      <c r="C1295"/>
      <c r="D1295"/>
      <c r="E1295"/>
      <c r="F1295" s="662" t="str">
        <f>LEFT(AllDaqbookOffsets[[#This Row],[traceability_no]],2)</f>
        <v>K6</v>
      </c>
    </row>
    <row r="1296" spans="1:6" x14ac:dyDescent="0.2">
      <c r="A1296"/>
      <c r="B1296"/>
      <c r="C1296"/>
      <c r="D1296"/>
      <c r="E1296"/>
      <c r="F1296" s="662" t="str">
        <f>LEFT(AllDaqbookOffsets[[#This Row],[traceability_no]],2)</f>
        <v>K6</v>
      </c>
    </row>
    <row r="1297" spans="1:6" x14ac:dyDescent="0.2">
      <c r="A1297"/>
      <c r="B1297"/>
      <c r="C1297"/>
      <c r="D1297"/>
      <c r="E1297"/>
      <c r="F1297" s="662" t="str">
        <f>LEFT(AllDaqbookOffsets[[#This Row],[traceability_no]],2)</f>
        <v>K6</v>
      </c>
    </row>
    <row r="1298" spans="1:6" x14ac:dyDescent="0.2">
      <c r="A1298"/>
      <c r="B1298"/>
      <c r="C1298"/>
      <c r="D1298"/>
      <c r="E1298"/>
      <c r="F1298" s="662" t="str">
        <f>LEFT(AllDaqbookOffsets[[#This Row],[traceability_no]],2)</f>
        <v>K6</v>
      </c>
    </row>
    <row r="1299" spans="1:6" x14ac:dyDescent="0.2">
      <c r="A1299"/>
      <c r="B1299"/>
      <c r="C1299"/>
      <c r="D1299"/>
      <c r="E1299"/>
      <c r="F1299" s="662" t="str">
        <f>LEFT(AllDaqbookOffsets[[#This Row],[traceability_no]],2)</f>
        <v>K6</v>
      </c>
    </row>
    <row r="1300" spans="1:6" x14ac:dyDescent="0.2">
      <c r="A1300"/>
      <c r="B1300"/>
      <c r="C1300"/>
      <c r="D1300"/>
      <c r="E1300"/>
      <c r="F1300" s="662" t="str">
        <f>LEFT(AllDaqbookOffsets[[#This Row],[traceability_no]],2)</f>
        <v>K6</v>
      </c>
    </row>
    <row r="1301" spans="1:6" x14ac:dyDescent="0.2">
      <c r="A1301"/>
      <c r="B1301"/>
      <c r="C1301"/>
      <c r="D1301"/>
      <c r="E1301"/>
      <c r="F1301" s="662" t="str">
        <f>LEFT(AllDaqbookOffsets[[#This Row],[traceability_no]],2)</f>
        <v>K6</v>
      </c>
    </row>
    <row r="1302" spans="1:6" x14ac:dyDescent="0.2">
      <c r="A1302"/>
      <c r="B1302"/>
      <c r="C1302"/>
      <c r="D1302"/>
      <c r="E1302"/>
      <c r="F1302" s="662" t="str">
        <f>LEFT(AllDaqbookOffsets[[#This Row],[traceability_no]],2)</f>
        <v>K6</v>
      </c>
    </row>
    <row r="1303" spans="1:6" x14ac:dyDescent="0.2">
      <c r="A1303"/>
      <c r="B1303"/>
      <c r="C1303"/>
      <c r="D1303"/>
      <c r="E1303"/>
      <c r="F1303" s="662" t="str">
        <f>LEFT(AllDaqbookOffsets[[#This Row],[traceability_no]],2)</f>
        <v>K6</v>
      </c>
    </row>
    <row r="1304" spans="1:6" x14ac:dyDescent="0.2">
      <c r="A1304"/>
      <c r="B1304"/>
      <c r="C1304"/>
      <c r="D1304"/>
      <c r="E1304"/>
      <c r="F1304" s="662" t="str">
        <f>LEFT(AllDaqbookOffsets[[#This Row],[traceability_no]],2)</f>
        <v>K6</v>
      </c>
    </row>
    <row r="1305" spans="1:6" x14ac:dyDescent="0.2">
      <c r="A1305"/>
      <c r="B1305"/>
      <c r="C1305"/>
      <c r="D1305"/>
      <c r="E1305"/>
      <c r="F1305" s="662" t="str">
        <f>LEFT(AllDaqbookOffsets[[#This Row],[traceability_no]],2)</f>
        <v>K6</v>
      </c>
    </row>
    <row r="1306" spans="1:6" x14ac:dyDescent="0.2">
      <c r="A1306"/>
      <c r="B1306"/>
      <c r="C1306"/>
      <c r="D1306"/>
      <c r="E1306"/>
      <c r="F1306" s="662" t="str">
        <f>LEFT(AllDaqbookOffsets[[#This Row],[traceability_no]],2)</f>
        <v>K6</v>
      </c>
    </row>
    <row r="1307" spans="1:6" x14ac:dyDescent="0.2">
      <c r="A1307"/>
      <c r="B1307"/>
      <c r="C1307"/>
      <c r="D1307"/>
      <c r="E1307"/>
      <c r="F1307" s="662" t="str">
        <f>LEFT(AllDaqbookOffsets[[#This Row],[traceability_no]],2)</f>
        <v>K6</v>
      </c>
    </row>
    <row r="1308" spans="1:6" x14ac:dyDescent="0.2">
      <c r="A1308"/>
      <c r="B1308"/>
      <c r="C1308"/>
      <c r="D1308"/>
      <c r="E1308"/>
      <c r="F1308" s="662" t="str">
        <f>LEFT(AllDaqbookOffsets[[#This Row],[traceability_no]],2)</f>
        <v>K6</v>
      </c>
    </row>
    <row r="1309" spans="1:6" x14ac:dyDescent="0.2">
      <c r="A1309"/>
      <c r="B1309"/>
      <c r="C1309"/>
      <c r="D1309"/>
      <c r="E1309"/>
      <c r="F1309" s="662" t="str">
        <f>LEFT(AllDaqbookOffsets[[#This Row],[traceability_no]],2)</f>
        <v>K6</v>
      </c>
    </row>
    <row r="1310" spans="1:6" x14ac:dyDescent="0.2">
      <c r="A1310"/>
      <c r="B1310"/>
      <c r="C1310"/>
      <c r="D1310"/>
      <c r="E1310"/>
      <c r="F1310" s="662" t="str">
        <f>LEFT(AllDaqbookOffsets[[#This Row],[traceability_no]],2)</f>
        <v>K6</v>
      </c>
    </row>
    <row r="1311" spans="1:6" x14ac:dyDescent="0.2">
      <c r="A1311"/>
      <c r="B1311"/>
      <c r="C1311"/>
      <c r="D1311"/>
      <c r="E1311"/>
      <c r="F1311" s="662" t="str">
        <f>LEFT(AllDaqbookOffsets[[#This Row],[traceability_no]],2)</f>
        <v>K6</v>
      </c>
    </row>
    <row r="1312" spans="1:6" x14ac:dyDescent="0.2">
      <c r="A1312"/>
      <c r="B1312"/>
      <c r="C1312"/>
      <c r="D1312"/>
      <c r="E1312"/>
      <c r="F1312" s="662" t="str">
        <f>LEFT(AllDaqbookOffsets[[#This Row],[traceability_no]],2)</f>
        <v>K6</v>
      </c>
    </row>
    <row r="1313" spans="1:6" x14ac:dyDescent="0.2">
      <c r="A1313"/>
      <c r="B1313"/>
      <c r="C1313"/>
      <c r="D1313"/>
      <c r="E1313"/>
      <c r="F1313" s="662" t="str">
        <f>LEFT(AllDaqbookOffsets[[#This Row],[traceability_no]],2)</f>
        <v>K6</v>
      </c>
    </row>
    <row r="1314" spans="1:6" x14ac:dyDescent="0.2">
      <c r="A1314"/>
      <c r="B1314"/>
      <c r="C1314"/>
      <c r="D1314"/>
      <c r="E1314"/>
      <c r="F1314" s="662" t="str">
        <f>LEFT(AllDaqbookOffsets[[#This Row],[traceability_no]],2)</f>
        <v>K6</v>
      </c>
    </row>
    <row r="1315" spans="1:6" x14ac:dyDescent="0.2">
      <c r="A1315"/>
      <c r="B1315"/>
      <c r="C1315"/>
      <c r="D1315"/>
      <c r="E1315"/>
      <c r="F1315" s="662" t="str">
        <f>LEFT(AllDaqbookOffsets[[#This Row],[traceability_no]],2)</f>
        <v>K6</v>
      </c>
    </row>
    <row r="1316" spans="1:6" x14ac:dyDescent="0.2">
      <c r="A1316"/>
      <c r="B1316"/>
      <c r="C1316"/>
      <c r="D1316"/>
      <c r="E1316"/>
      <c r="F1316" s="662" t="str">
        <f>LEFT(AllDaqbookOffsets[[#This Row],[traceability_no]],2)</f>
        <v>K6</v>
      </c>
    </row>
    <row r="1317" spans="1:6" x14ac:dyDescent="0.2">
      <c r="A1317"/>
      <c r="B1317"/>
      <c r="C1317"/>
      <c r="D1317"/>
      <c r="E1317"/>
      <c r="F1317" s="662" t="str">
        <f>LEFT(AllDaqbookOffsets[[#This Row],[traceability_no]],2)</f>
        <v>K6</v>
      </c>
    </row>
    <row r="1318" spans="1:6" x14ac:dyDescent="0.2">
      <c r="A1318"/>
      <c r="B1318"/>
      <c r="C1318"/>
      <c r="D1318"/>
      <c r="E1318"/>
      <c r="F1318" s="662" t="str">
        <f>LEFT(AllDaqbookOffsets[[#This Row],[traceability_no]],2)</f>
        <v>K6</v>
      </c>
    </row>
    <row r="1319" spans="1:6" x14ac:dyDescent="0.2">
      <c r="A1319"/>
      <c r="B1319"/>
      <c r="C1319"/>
      <c r="D1319"/>
      <c r="E1319"/>
      <c r="F1319" s="662" t="str">
        <f>LEFT(AllDaqbookOffsets[[#This Row],[traceability_no]],2)</f>
        <v>K6</v>
      </c>
    </row>
    <row r="1320" spans="1:6" x14ac:dyDescent="0.2">
      <c r="A1320"/>
      <c r="B1320"/>
      <c r="C1320"/>
      <c r="D1320"/>
      <c r="E1320"/>
      <c r="F1320" s="662" t="str">
        <f>LEFT(AllDaqbookOffsets[[#This Row],[traceability_no]],2)</f>
        <v>K6</v>
      </c>
    </row>
    <row r="1321" spans="1:6" x14ac:dyDescent="0.2">
      <c r="A1321"/>
      <c r="B1321"/>
      <c r="C1321"/>
      <c r="D1321"/>
      <c r="E1321"/>
      <c r="F1321" s="662" t="str">
        <f>LEFT(AllDaqbookOffsets[[#This Row],[traceability_no]],2)</f>
        <v>K6</v>
      </c>
    </row>
    <row r="1322" spans="1:6" x14ac:dyDescent="0.2">
      <c r="A1322"/>
      <c r="B1322"/>
      <c r="C1322"/>
      <c r="D1322"/>
      <c r="E1322"/>
      <c r="F1322" s="662" t="str">
        <f>LEFT(AllDaqbookOffsets[[#This Row],[traceability_no]],2)</f>
        <v>K6</v>
      </c>
    </row>
    <row r="1323" spans="1:6" x14ac:dyDescent="0.2">
      <c r="A1323"/>
      <c r="B1323"/>
      <c r="C1323"/>
      <c r="D1323"/>
      <c r="E1323"/>
      <c r="F1323" s="662" t="str">
        <f>LEFT(AllDaqbookOffsets[[#This Row],[traceability_no]],2)</f>
        <v>K6</v>
      </c>
    </row>
    <row r="1324" spans="1:6" x14ac:dyDescent="0.2">
      <c r="A1324"/>
      <c r="B1324"/>
      <c r="C1324"/>
      <c r="D1324"/>
      <c r="E1324"/>
      <c r="F1324" s="662" t="str">
        <f>LEFT(AllDaqbookOffsets[[#This Row],[traceability_no]],2)</f>
        <v>K6</v>
      </c>
    </row>
    <row r="1325" spans="1:6" x14ac:dyDescent="0.2">
      <c r="A1325"/>
      <c r="B1325"/>
      <c r="C1325"/>
      <c r="D1325"/>
      <c r="E1325"/>
      <c r="F1325" s="662" t="str">
        <f>LEFT(AllDaqbookOffsets[[#This Row],[traceability_no]],2)</f>
        <v>K6</v>
      </c>
    </row>
    <row r="1326" spans="1:6" x14ac:dyDescent="0.2">
      <c r="A1326"/>
      <c r="B1326"/>
      <c r="C1326"/>
      <c r="D1326"/>
      <c r="E1326"/>
      <c r="F1326" s="662" t="str">
        <f>LEFT(AllDaqbookOffsets[[#This Row],[traceability_no]],2)</f>
        <v>K6</v>
      </c>
    </row>
    <row r="1327" spans="1:6" x14ac:dyDescent="0.2">
      <c r="A1327"/>
      <c r="B1327"/>
      <c r="C1327"/>
      <c r="D1327"/>
      <c r="E1327"/>
      <c r="F1327" s="662" t="str">
        <f>LEFT(AllDaqbookOffsets[[#This Row],[traceability_no]],2)</f>
        <v>K6</v>
      </c>
    </row>
    <row r="1328" spans="1:6" x14ac:dyDescent="0.2">
      <c r="A1328"/>
      <c r="B1328"/>
      <c r="C1328"/>
      <c r="D1328"/>
      <c r="E1328"/>
      <c r="F1328" s="662" t="str">
        <f>LEFT(AllDaqbookOffsets[[#This Row],[traceability_no]],2)</f>
        <v>K6</v>
      </c>
    </row>
    <row r="1329" spans="1:6" x14ac:dyDescent="0.2">
      <c r="A1329"/>
      <c r="B1329"/>
      <c r="C1329"/>
      <c r="D1329"/>
      <c r="E1329"/>
      <c r="F1329" s="662" t="str">
        <f>LEFT(AllDaqbookOffsets[[#This Row],[traceability_no]],2)</f>
        <v>K6</v>
      </c>
    </row>
    <row r="1330" spans="1:6" x14ac:dyDescent="0.2">
      <c r="A1330"/>
      <c r="B1330"/>
      <c r="C1330"/>
      <c r="D1330"/>
      <c r="E1330"/>
      <c r="F1330" s="662" t="str">
        <f>LEFT(AllDaqbookOffsets[[#This Row],[traceability_no]],2)</f>
        <v>K6</v>
      </c>
    </row>
    <row r="1331" spans="1:6" x14ac:dyDescent="0.2">
      <c r="A1331"/>
      <c r="B1331"/>
      <c r="C1331"/>
      <c r="D1331"/>
      <c r="E1331"/>
      <c r="F1331" s="662" t="str">
        <f>LEFT(AllDaqbookOffsets[[#This Row],[traceability_no]],2)</f>
        <v>K6</v>
      </c>
    </row>
    <row r="1332" spans="1:6" x14ac:dyDescent="0.2">
      <c r="A1332"/>
      <c r="B1332"/>
      <c r="C1332"/>
      <c r="D1332"/>
      <c r="E1332"/>
      <c r="F1332" s="662" t="str">
        <f>LEFT(AllDaqbookOffsets[[#This Row],[traceability_no]],2)</f>
        <v>K6</v>
      </c>
    </row>
    <row r="1333" spans="1:6" x14ac:dyDescent="0.2">
      <c r="A1333"/>
      <c r="B1333"/>
      <c r="C1333"/>
      <c r="D1333"/>
      <c r="E1333"/>
      <c r="F1333" s="662" t="str">
        <f>LEFT(AllDaqbookOffsets[[#This Row],[traceability_no]],2)</f>
        <v>K6</v>
      </c>
    </row>
    <row r="1334" spans="1:6" x14ac:dyDescent="0.2">
      <c r="A1334"/>
      <c r="B1334"/>
      <c r="C1334"/>
      <c r="D1334"/>
      <c r="E1334"/>
      <c r="F1334" s="662" t="str">
        <f>LEFT(AllDaqbookOffsets[[#This Row],[traceability_no]],2)</f>
        <v>K6</v>
      </c>
    </row>
    <row r="1335" spans="1:6" x14ac:dyDescent="0.2">
      <c r="A1335"/>
      <c r="B1335"/>
      <c r="C1335"/>
      <c r="D1335"/>
      <c r="E1335"/>
      <c r="F1335" s="662" t="str">
        <f>LEFT(AllDaqbookOffsets[[#This Row],[traceability_no]],2)</f>
        <v>K6</v>
      </c>
    </row>
    <row r="1336" spans="1:6" x14ac:dyDescent="0.2">
      <c r="A1336"/>
      <c r="B1336"/>
      <c r="C1336"/>
      <c r="D1336"/>
      <c r="E1336"/>
      <c r="F1336" s="662" t="str">
        <f>LEFT(AllDaqbookOffsets[[#This Row],[traceability_no]],2)</f>
        <v>K6</v>
      </c>
    </row>
    <row r="1337" spans="1:6" x14ac:dyDescent="0.2">
      <c r="A1337"/>
      <c r="B1337"/>
      <c r="C1337"/>
      <c r="D1337"/>
      <c r="E1337"/>
      <c r="F1337" s="662" t="str">
        <f>LEFT(AllDaqbookOffsets[[#This Row],[traceability_no]],2)</f>
        <v>K6</v>
      </c>
    </row>
    <row r="1338" spans="1:6" x14ac:dyDescent="0.2">
      <c r="A1338"/>
      <c r="B1338"/>
      <c r="C1338"/>
      <c r="D1338"/>
      <c r="E1338"/>
      <c r="F1338" s="662" t="str">
        <f>LEFT(AllDaqbookOffsets[[#This Row],[traceability_no]],2)</f>
        <v>K6</v>
      </c>
    </row>
    <row r="1339" spans="1:6" x14ac:dyDescent="0.2">
      <c r="A1339"/>
      <c r="B1339"/>
      <c r="C1339"/>
      <c r="D1339"/>
      <c r="E1339"/>
      <c r="F1339" s="662" t="str">
        <f>LEFT(AllDaqbookOffsets[[#This Row],[traceability_no]],2)</f>
        <v>K6</v>
      </c>
    </row>
    <row r="1340" spans="1:6" x14ac:dyDescent="0.2">
      <c r="A1340"/>
      <c r="B1340"/>
      <c r="C1340"/>
      <c r="D1340"/>
      <c r="E1340"/>
      <c r="F1340" s="662" t="str">
        <f>LEFT(AllDaqbookOffsets[[#This Row],[traceability_no]],2)</f>
        <v>K6</v>
      </c>
    </row>
    <row r="1341" spans="1:6" x14ac:dyDescent="0.2">
      <c r="A1341"/>
      <c r="B1341"/>
      <c r="C1341"/>
      <c r="D1341"/>
      <c r="E1341"/>
      <c r="F1341" s="662" t="str">
        <f>LEFT(AllDaqbookOffsets[[#This Row],[traceability_no]],2)</f>
        <v>K6</v>
      </c>
    </row>
    <row r="1342" spans="1:6" x14ac:dyDescent="0.2">
      <c r="A1342"/>
      <c r="B1342"/>
      <c r="C1342"/>
      <c r="D1342"/>
      <c r="E1342"/>
      <c r="F1342" s="662" t="str">
        <f>LEFT(AllDaqbookOffsets[[#This Row],[traceability_no]],2)</f>
        <v>K6</v>
      </c>
    </row>
    <row r="1343" spans="1:6" x14ac:dyDescent="0.2">
      <c r="A1343"/>
      <c r="B1343"/>
      <c r="C1343"/>
      <c r="D1343"/>
      <c r="E1343"/>
      <c r="F1343" s="662" t="str">
        <f>LEFT(AllDaqbookOffsets[[#This Row],[traceability_no]],2)</f>
        <v>K6</v>
      </c>
    </row>
    <row r="1344" spans="1:6" x14ac:dyDescent="0.2">
      <c r="A1344"/>
      <c r="B1344"/>
      <c r="C1344"/>
      <c r="D1344"/>
      <c r="E1344"/>
      <c r="F1344" s="662" t="str">
        <f>LEFT(AllDaqbookOffsets[[#This Row],[traceability_no]],2)</f>
        <v>K6</v>
      </c>
    </row>
    <row r="1345" spans="1:6" x14ac:dyDescent="0.2">
      <c r="A1345"/>
      <c r="B1345"/>
      <c r="C1345"/>
      <c r="D1345"/>
      <c r="E1345"/>
      <c r="F1345" s="662" t="str">
        <f>LEFT(AllDaqbookOffsets[[#This Row],[traceability_no]],2)</f>
        <v>K6</v>
      </c>
    </row>
    <row r="1346" spans="1:6" x14ac:dyDescent="0.2">
      <c r="A1346"/>
      <c r="B1346"/>
      <c r="C1346"/>
      <c r="D1346"/>
      <c r="E1346"/>
      <c r="F1346" s="662" t="str">
        <f>LEFT(AllDaqbookOffsets[[#This Row],[traceability_no]],2)</f>
        <v>K6</v>
      </c>
    </row>
    <row r="1347" spans="1:6" x14ac:dyDescent="0.2">
      <c r="A1347"/>
      <c r="B1347"/>
      <c r="C1347"/>
      <c r="D1347"/>
      <c r="E1347"/>
      <c r="F1347" s="662" t="str">
        <f>LEFT(AllDaqbookOffsets[[#This Row],[traceability_no]],2)</f>
        <v>K6</v>
      </c>
    </row>
    <row r="1348" spans="1:6" x14ac:dyDescent="0.2">
      <c r="A1348"/>
      <c r="B1348"/>
      <c r="C1348"/>
      <c r="D1348"/>
      <c r="E1348"/>
      <c r="F1348" s="662" t="str">
        <f>LEFT(AllDaqbookOffsets[[#This Row],[traceability_no]],2)</f>
        <v>K6</v>
      </c>
    </row>
    <row r="1349" spans="1:6" x14ac:dyDescent="0.2">
      <c r="A1349"/>
      <c r="B1349"/>
      <c r="C1349"/>
      <c r="D1349"/>
      <c r="E1349"/>
      <c r="F1349" s="662" t="str">
        <f>LEFT(AllDaqbookOffsets[[#This Row],[traceability_no]],2)</f>
        <v>K6</v>
      </c>
    </row>
    <row r="1350" spans="1:6" x14ac:dyDescent="0.2">
      <c r="A1350"/>
      <c r="B1350"/>
      <c r="C1350"/>
      <c r="D1350"/>
      <c r="E1350"/>
      <c r="F1350" s="662" t="str">
        <f>LEFT(AllDaqbookOffsets[[#This Row],[traceability_no]],2)</f>
        <v>K6</v>
      </c>
    </row>
    <row r="1351" spans="1:6" x14ac:dyDescent="0.2">
      <c r="A1351"/>
      <c r="B1351"/>
      <c r="C1351"/>
      <c r="D1351"/>
      <c r="E1351"/>
      <c r="F1351" s="662" t="str">
        <f>LEFT(AllDaqbookOffsets[[#This Row],[traceability_no]],2)</f>
        <v>K6</v>
      </c>
    </row>
    <row r="1352" spans="1:6" x14ac:dyDescent="0.2">
      <c r="A1352"/>
      <c r="B1352"/>
      <c r="C1352"/>
      <c r="D1352"/>
      <c r="E1352"/>
      <c r="F1352" s="662" t="str">
        <f>LEFT(AllDaqbookOffsets[[#This Row],[traceability_no]],2)</f>
        <v>K6</v>
      </c>
    </row>
    <row r="1353" spans="1:6" x14ac:dyDescent="0.2">
      <c r="A1353"/>
      <c r="B1353"/>
      <c r="C1353"/>
      <c r="D1353"/>
      <c r="E1353"/>
      <c r="F1353" s="662" t="str">
        <f>LEFT(AllDaqbookOffsets[[#This Row],[traceability_no]],2)</f>
        <v>K6</v>
      </c>
    </row>
    <row r="1354" spans="1:6" x14ac:dyDescent="0.2">
      <c r="A1354"/>
      <c r="B1354"/>
      <c r="C1354"/>
      <c r="D1354"/>
      <c r="E1354"/>
      <c r="F1354" s="662" t="str">
        <f>LEFT(AllDaqbookOffsets[[#This Row],[traceability_no]],2)</f>
        <v>K6</v>
      </c>
    </row>
    <row r="1355" spans="1:6" x14ac:dyDescent="0.2">
      <c r="A1355"/>
      <c r="B1355"/>
      <c r="C1355"/>
      <c r="D1355"/>
      <c r="E1355"/>
      <c r="F1355" s="662" t="str">
        <f>LEFT(AllDaqbookOffsets[[#This Row],[traceability_no]],2)</f>
        <v>K6</v>
      </c>
    </row>
    <row r="1356" spans="1:6" x14ac:dyDescent="0.2">
      <c r="A1356"/>
      <c r="B1356"/>
      <c r="C1356"/>
      <c r="D1356"/>
      <c r="E1356"/>
      <c r="F1356" s="662" t="str">
        <f>LEFT(AllDaqbookOffsets[[#This Row],[traceability_no]],2)</f>
        <v>K6</v>
      </c>
    </row>
    <row r="1357" spans="1:6" x14ac:dyDescent="0.2">
      <c r="A1357"/>
      <c r="B1357"/>
      <c r="C1357"/>
      <c r="D1357"/>
      <c r="E1357"/>
      <c r="F1357" s="662" t="str">
        <f>LEFT(AllDaqbookOffsets[[#This Row],[traceability_no]],2)</f>
        <v>K6</v>
      </c>
    </row>
    <row r="1358" spans="1:6" x14ac:dyDescent="0.2">
      <c r="A1358"/>
      <c r="B1358"/>
      <c r="C1358"/>
      <c r="D1358"/>
      <c r="E1358"/>
      <c r="F1358" s="662" t="str">
        <f>LEFT(AllDaqbookOffsets[[#This Row],[traceability_no]],2)</f>
        <v>K6</v>
      </c>
    </row>
    <row r="1359" spans="1:6" x14ac:dyDescent="0.2">
      <c r="A1359"/>
      <c r="B1359"/>
      <c r="C1359"/>
      <c r="D1359"/>
      <c r="E1359"/>
      <c r="F1359" s="662" t="str">
        <f>LEFT(AllDaqbookOffsets[[#This Row],[traceability_no]],2)</f>
        <v>K6</v>
      </c>
    </row>
    <row r="1360" spans="1:6" x14ac:dyDescent="0.2">
      <c r="A1360"/>
      <c r="B1360"/>
      <c r="C1360"/>
      <c r="D1360"/>
      <c r="E1360"/>
      <c r="F1360" s="662" t="str">
        <f>LEFT(AllDaqbookOffsets[[#This Row],[traceability_no]],2)</f>
        <v>K6</v>
      </c>
    </row>
    <row r="1361" spans="1:6" x14ac:dyDescent="0.2">
      <c r="A1361"/>
      <c r="B1361"/>
      <c r="C1361"/>
      <c r="D1361"/>
      <c r="E1361"/>
      <c r="F1361" s="662" t="str">
        <f>LEFT(AllDaqbookOffsets[[#This Row],[traceability_no]],2)</f>
        <v>K6</v>
      </c>
    </row>
    <row r="1362" spans="1:6" x14ac:dyDescent="0.2">
      <c r="A1362"/>
      <c r="B1362"/>
      <c r="C1362"/>
      <c r="D1362"/>
      <c r="E1362"/>
      <c r="F1362" s="662" t="str">
        <f>LEFT(AllDaqbookOffsets[[#This Row],[traceability_no]],2)</f>
        <v>K6</v>
      </c>
    </row>
    <row r="1363" spans="1:6" x14ac:dyDescent="0.2">
      <c r="A1363"/>
      <c r="B1363"/>
      <c r="C1363"/>
      <c r="D1363"/>
      <c r="E1363"/>
      <c r="F1363" s="662" t="str">
        <f>LEFT(AllDaqbookOffsets[[#This Row],[traceability_no]],2)</f>
        <v>K6</v>
      </c>
    </row>
    <row r="1364" spans="1:6" x14ac:dyDescent="0.2">
      <c r="A1364"/>
      <c r="B1364"/>
      <c r="C1364"/>
      <c r="D1364"/>
      <c r="E1364"/>
      <c r="F1364" s="662" t="str">
        <f>LEFT(AllDaqbookOffsets[[#This Row],[traceability_no]],2)</f>
        <v>K6</v>
      </c>
    </row>
    <row r="1365" spans="1:6" x14ac:dyDescent="0.2">
      <c r="A1365"/>
      <c r="B1365"/>
      <c r="C1365"/>
      <c r="D1365"/>
      <c r="E1365"/>
      <c r="F1365" s="662" t="str">
        <f>LEFT(AllDaqbookOffsets[[#This Row],[traceability_no]],2)</f>
        <v>K6</v>
      </c>
    </row>
    <row r="1366" spans="1:6" x14ac:dyDescent="0.2">
      <c r="A1366"/>
      <c r="B1366"/>
      <c r="C1366"/>
      <c r="D1366"/>
      <c r="E1366"/>
      <c r="F1366" s="662" t="str">
        <f>LEFT(AllDaqbookOffsets[[#This Row],[traceability_no]],2)</f>
        <v>K6</v>
      </c>
    </row>
    <row r="1367" spans="1:6" x14ac:dyDescent="0.2">
      <c r="A1367"/>
      <c r="B1367"/>
      <c r="C1367"/>
      <c r="D1367"/>
      <c r="E1367"/>
      <c r="F1367" s="662" t="str">
        <f>LEFT(AllDaqbookOffsets[[#This Row],[traceability_no]],2)</f>
        <v>K6</v>
      </c>
    </row>
    <row r="1368" spans="1:6" x14ac:dyDescent="0.2">
      <c r="A1368"/>
      <c r="B1368"/>
      <c r="C1368"/>
      <c r="D1368"/>
      <c r="E1368"/>
      <c r="F1368" s="662" t="str">
        <f>LEFT(AllDaqbookOffsets[[#This Row],[traceability_no]],2)</f>
        <v>K6</v>
      </c>
    </row>
    <row r="1369" spans="1:6" x14ac:dyDescent="0.2">
      <c r="A1369"/>
      <c r="B1369"/>
      <c r="C1369"/>
      <c r="D1369"/>
      <c r="E1369"/>
      <c r="F1369" s="662" t="str">
        <f>LEFT(AllDaqbookOffsets[[#This Row],[traceability_no]],2)</f>
        <v>K6</v>
      </c>
    </row>
    <row r="1370" spans="1:6" x14ac:dyDescent="0.2">
      <c r="A1370"/>
      <c r="B1370"/>
      <c r="C1370"/>
      <c r="D1370"/>
      <c r="E1370"/>
      <c r="F1370" s="662" t="str">
        <f>LEFT(AllDaqbookOffsets[[#This Row],[traceability_no]],2)</f>
        <v>K6</v>
      </c>
    </row>
    <row r="1371" spans="1:6" x14ac:dyDescent="0.2">
      <c r="A1371"/>
      <c r="B1371"/>
      <c r="C1371"/>
      <c r="D1371"/>
      <c r="E1371"/>
      <c r="F1371" s="662" t="str">
        <f>LEFT(AllDaqbookOffsets[[#This Row],[traceability_no]],2)</f>
        <v>K6</v>
      </c>
    </row>
    <row r="1372" spans="1:6" x14ac:dyDescent="0.2">
      <c r="A1372"/>
      <c r="B1372"/>
      <c r="C1372"/>
      <c r="D1372"/>
      <c r="E1372"/>
      <c r="F1372" s="662" t="str">
        <f>LEFT(AllDaqbookOffsets[[#This Row],[traceability_no]],2)</f>
        <v>K6</v>
      </c>
    </row>
    <row r="1373" spans="1:6" x14ac:dyDescent="0.2">
      <c r="A1373"/>
      <c r="B1373"/>
      <c r="C1373"/>
      <c r="D1373"/>
      <c r="E1373"/>
      <c r="F1373" s="662" t="str">
        <f>LEFT(AllDaqbookOffsets[[#This Row],[traceability_no]],2)</f>
        <v>K6</v>
      </c>
    </row>
    <row r="1374" spans="1:6" x14ac:dyDescent="0.2">
      <c r="A1374"/>
      <c r="B1374"/>
      <c r="C1374"/>
      <c r="D1374"/>
      <c r="E1374"/>
      <c r="F1374" s="662" t="str">
        <f>LEFT(AllDaqbookOffsets[[#This Row],[traceability_no]],2)</f>
        <v>K6</v>
      </c>
    </row>
    <row r="1375" spans="1:6" x14ac:dyDescent="0.2">
      <c r="A1375"/>
      <c r="B1375"/>
      <c r="C1375"/>
      <c r="D1375"/>
      <c r="E1375"/>
      <c r="F1375" s="662" t="str">
        <f>LEFT(AllDaqbookOffsets[[#This Row],[traceability_no]],2)</f>
        <v>K6</v>
      </c>
    </row>
    <row r="1376" spans="1:6" x14ac:dyDescent="0.2">
      <c r="A1376"/>
      <c r="B1376"/>
      <c r="C1376"/>
      <c r="D1376"/>
      <c r="E1376"/>
      <c r="F1376" s="662" t="str">
        <f>LEFT(AllDaqbookOffsets[[#This Row],[traceability_no]],2)</f>
        <v>K6</v>
      </c>
    </row>
    <row r="1377" spans="1:6" x14ac:dyDescent="0.2">
      <c r="A1377"/>
      <c r="B1377"/>
      <c r="C1377"/>
      <c r="D1377"/>
      <c r="E1377"/>
      <c r="F1377" s="662" t="str">
        <f>LEFT(AllDaqbookOffsets[[#This Row],[traceability_no]],2)</f>
        <v>K6</v>
      </c>
    </row>
    <row r="1378" spans="1:6" x14ac:dyDescent="0.2">
      <c r="A1378"/>
      <c r="B1378"/>
      <c r="C1378"/>
      <c r="D1378"/>
      <c r="E1378"/>
      <c r="F1378" s="662" t="str">
        <f>LEFT(AllDaqbookOffsets[[#This Row],[traceability_no]],2)</f>
        <v>K6</v>
      </c>
    </row>
    <row r="1379" spans="1:6" x14ac:dyDescent="0.2">
      <c r="A1379"/>
      <c r="B1379"/>
      <c r="C1379"/>
      <c r="D1379"/>
      <c r="E1379"/>
      <c r="F1379" s="662" t="str">
        <f>LEFT(AllDaqbookOffsets[[#This Row],[traceability_no]],2)</f>
        <v>K6</v>
      </c>
    </row>
    <row r="1380" spans="1:6" x14ac:dyDescent="0.2">
      <c r="A1380"/>
      <c r="B1380"/>
      <c r="C1380"/>
      <c r="D1380"/>
      <c r="E1380"/>
      <c r="F1380" s="662" t="str">
        <f>LEFT(AllDaqbookOffsets[[#This Row],[traceability_no]],2)</f>
        <v>K6</v>
      </c>
    </row>
    <row r="1381" spans="1:6" x14ac:dyDescent="0.2">
      <c r="A1381"/>
      <c r="B1381"/>
      <c r="C1381"/>
      <c r="D1381"/>
      <c r="E1381"/>
      <c r="F1381" s="662" t="str">
        <f>LEFT(AllDaqbookOffsets[[#This Row],[traceability_no]],2)</f>
        <v>K6</v>
      </c>
    </row>
    <row r="1382" spans="1:6" x14ac:dyDescent="0.2">
      <c r="A1382"/>
      <c r="B1382"/>
      <c r="C1382"/>
      <c r="D1382"/>
      <c r="E1382"/>
      <c r="F1382" s="662" t="str">
        <f>LEFT(AllDaqbookOffsets[[#This Row],[traceability_no]],2)</f>
        <v>K6</v>
      </c>
    </row>
    <row r="1383" spans="1:6" x14ac:dyDescent="0.2">
      <c r="A1383"/>
      <c r="B1383"/>
      <c r="C1383"/>
      <c r="D1383"/>
      <c r="E1383"/>
      <c r="F1383" s="662" t="str">
        <f>LEFT(AllDaqbookOffsets[[#This Row],[traceability_no]],2)</f>
        <v>K6</v>
      </c>
    </row>
    <row r="1384" spans="1:6" x14ac:dyDescent="0.2">
      <c r="A1384"/>
      <c r="B1384"/>
      <c r="C1384"/>
      <c r="D1384"/>
      <c r="E1384"/>
      <c r="F1384" s="662" t="str">
        <f>LEFT(AllDaqbookOffsets[[#This Row],[traceability_no]],2)</f>
        <v>K6</v>
      </c>
    </row>
    <row r="1385" spans="1:6" x14ac:dyDescent="0.2">
      <c r="A1385"/>
      <c r="B1385"/>
      <c r="C1385"/>
      <c r="D1385"/>
      <c r="E1385"/>
      <c r="F1385" s="662" t="str">
        <f>LEFT(AllDaqbookOffsets[[#This Row],[traceability_no]],2)</f>
        <v>K6</v>
      </c>
    </row>
    <row r="1386" spans="1:6" x14ac:dyDescent="0.2">
      <c r="A1386"/>
      <c r="B1386"/>
      <c r="C1386"/>
      <c r="D1386"/>
      <c r="E1386"/>
      <c r="F1386" s="662" t="str">
        <f>LEFT(AllDaqbookOffsets[[#This Row],[traceability_no]],2)</f>
        <v>K6</v>
      </c>
    </row>
    <row r="1387" spans="1:6" x14ac:dyDescent="0.2">
      <c r="A1387"/>
      <c r="B1387"/>
      <c r="C1387"/>
      <c r="D1387"/>
      <c r="E1387"/>
      <c r="F1387" s="662" t="str">
        <f>LEFT(AllDaqbookOffsets[[#This Row],[traceability_no]],2)</f>
        <v>K6</v>
      </c>
    </row>
    <row r="1388" spans="1:6" x14ac:dyDescent="0.2">
      <c r="A1388"/>
      <c r="B1388"/>
      <c r="C1388"/>
      <c r="D1388"/>
      <c r="E1388"/>
      <c r="F1388" s="662" t="str">
        <f>LEFT(AllDaqbookOffsets[[#This Row],[traceability_no]],2)</f>
        <v>K6</v>
      </c>
    </row>
    <row r="1389" spans="1:6" x14ac:dyDescent="0.2">
      <c r="A1389"/>
      <c r="B1389"/>
      <c r="C1389"/>
      <c r="D1389"/>
      <c r="E1389"/>
      <c r="F1389" s="662" t="str">
        <f>LEFT(AllDaqbookOffsets[[#This Row],[traceability_no]],2)</f>
        <v>K6</v>
      </c>
    </row>
    <row r="1390" spans="1:6" x14ac:dyDescent="0.2">
      <c r="A1390"/>
      <c r="B1390"/>
      <c r="C1390"/>
      <c r="D1390"/>
      <c r="E1390"/>
      <c r="F1390" s="662" t="str">
        <f>LEFT(AllDaqbookOffsets[[#This Row],[traceability_no]],2)</f>
        <v>K6</v>
      </c>
    </row>
    <row r="1391" spans="1:6" x14ac:dyDescent="0.2">
      <c r="A1391"/>
      <c r="B1391"/>
      <c r="C1391"/>
      <c r="D1391"/>
      <c r="E1391"/>
      <c r="F1391" s="662" t="str">
        <f>LEFT(AllDaqbookOffsets[[#This Row],[traceability_no]],2)</f>
        <v>K6</v>
      </c>
    </row>
    <row r="1392" spans="1:6" x14ac:dyDescent="0.2">
      <c r="A1392"/>
      <c r="B1392"/>
      <c r="C1392"/>
      <c r="D1392"/>
      <c r="E1392"/>
      <c r="F1392" s="662" t="str">
        <f>LEFT(AllDaqbookOffsets[[#This Row],[traceability_no]],2)</f>
        <v>K6</v>
      </c>
    </row>
    <row r="1393" spans="1:6" x14ac:dyDescent="0.2">
      <c r="A1393"/>
      <c r="B1393"/>
      <c r="C1393"/>
      <c r="D1393"/>
      <c r="E1393"/>
      <c r="F1393" s="662" t="str">
        <f>LEFT(AllDaqbookOffsets[[#This Row],[traceability_no]],2)</f>
        <v>K6</v>
      </c>
    </row>
    <row r="1394" spans="1:6" x14ac:dyDescent="0.2">
      <c r="A1394"/>
      <c r="B1394"/>
      <c r="C1394"/>
      <c r="D1394"/>
      <c r="E1394"/>
      <c r="F1394" s="662" t="str">
        <f>LEFT(AllDaqbookOffsets[[#This Row],[traceability_no]],2)</f>
        <v>K6</v>
      </c>
    </row>
    <row r="1395" spans="1:6" x14ac:dyDescent="0.2">
      <c r="A1395"/>
      <c r="B1395"/>
      <c r="C1395"/>
      <c r="D1395"/>
      <c r="E1395"/>
      <c r="F1395" s="662" t="str">
        <f>LEFT(AllDaqbookOffsets[[#This Row],[traceability_no]],2)</f>
        <v>K6</v>
      </c>
    </row>
    <row r="1396" spans="1:6" x14ac:dyDescent="0.2">
      <c r="A1396"/>
      <c r="B1396"/>
      <c r="C1396"/>
      <c r="D1396"/>
      <c r="E1396"/>
      <c r="F1396" s="662" t="str">
        <f>LEFT(AllDaqbookOffsets[[#This Row],[traceability_no]],2)</f>
        <v>K6</v>
      </c>
    </row>
    <row r="1397" spans="1:6" x14ac:dyDescent="0.2">
      <c r="A1397"/>
      <c r="B1397"/>
      <c r="C1397"/>
      <c r="D1397"/>
      <c r="E1397"/>
      <c r="F1397" s="662" t="str">
        <f>LEFT(AllDaqbookOffsets[[#This Row],[traceability_no]],2)</f>
        <v>K6</v>
      </c>
    </row>
    <row r="1398" spans="1:6" x14ac:dyDescent="0.2">
      <c r="A1398"/>
      <c r="B1398"/>
      <c r="C1398"/>
      <c r="D1398"/>
      <c r="E1398"/>
      <c r="F1398" s="662" t="str">
        <f>LEFT(AllDaqbookOffsets[[#This Row],[traceability_no]],2)</f>
        <v>K6</v>
      </c>
    </row>
    <row r="1399" spans="1:6" x14ac:dyDescent="0.2">
      <c r="A1399"/>
      <c r="B1399"/>
      <c r="C1399"/>
      <c r="D1399"/>
      <c r="E1399"/>
      <c r="F1399" s="662" t="str">
        <f>LEFT(AllDaqbookOffsets[[#This Row],[traceability_no]],2)</f>
        <v>K6</v>
      </c>
    </row>
    <row r="1400" spans="1:6" x14ac:dyDescent="0.2">
      <c r="A1400"/>
      <c r="B1400"/>
      <c r="C1400"/>
      <c r="D1400"/>
      <c r="E1400"/>
      <c r="F1400" s="662" t="str">
        <f>LEFT(AllDaqbookOffsets[[#This Row],[traceability_no]],2)</f>
        <v>K6</v>
      </c>
    </row>
    <row r="1401" spans="1:6" x14ac:dyDescent="0.2">
      <c r="A1401"/>
      <c r="B1401"/>
      <c r="C1401"/>
      <c r="D1401"/>
      <c r="E1401"/>
      <c r="F1401" s="662" t="str">
        <f>LEFT(AllDaqbookOffsets[[#This Row],[traceability_no]],2)</f>
        <v>K6</v>
      </c>
    </row>
    <row r="1402" spans="1:6" x14ac:dyDescent="0.2">
      <c r="A1402"/>
      <c r="B1402"/>
      <c r="C1402"/>
      <c r="D1402"/>
      <c r="E1402"/>
      <c r="F1402" s="662" t="str">
        <f>LEFT(AllDaqbookOffsets[[#This Row],[traceability_no]],2)</f>
        <v>K6</v>
      </c>
    </row>
    <row r="1403" spans="1:6" x14ac:dyDescent="0.2">
      <c r="A1403"/>
      <c r="B1403"/>
      <c r="C1403"/>
      <c r="D1403"/>
      <c r="E1403"/>
      <c r="F1403" s="662" t="str">
        <f>LEFT(AllDaqbookOffsets[[#This Row],[traceability_no]],2)</f>
        <v>K6</v>
      </c>
    </row>
    <row r="1404" spans="1:6" x14ac:dyDescent="0.2">
      <c r="A1404"/>
      <c r="B1404"/>
      <c r="C1404"/>
      <c r="D1404"/>
      <c r="E1404"/>
      <c r="F1404" s="662" t="str">
        <f>LEFT(AllDaqbookOffsets[[#This Row],[traceability_no]],2)</f>
        <v>K6</v>
      </c>
    </row>
    <row r="1405" spans="1:6" x14ac:dyDescent="0.2">
      <c r="A1405"/>
      <c r="B1405"/>
      <c r="C1405"/>
      <c r="D1405"/>
      <c r="E1405"/>
      <c r="F1405" s="662" t="str">
        <f>LEFT(AllDaqbookOffsets[[#This Row],[traceability_no]],2)</f>
        <v>K6</v>
      </c>
    </row>
    <row r="1406" spans="1:6" x14ac:dyDescent="0.2">
      <c r="A1406"/>
      <c r="B1406"/>
      <c r="C1406"/>
      <c r="D1406"/>
      <c r="E1406"/>
      <c r="F1406" s="662" t="str">
        <f>LEFT(AllDaqbookOffsets[[#This Row],[traceability_no]],2)</f>
        <v>K6</v>
      </c>
    </row>
    <row r="1407" spans="1:6" x14ac:dyDescent="0.2">
      <c r="A1407"/>
      <c r="B1407"/>
      <c r="C1407"/>
      <c r="D1407"/>
      <c r="E1407"/>
      <c r="F1407" s="662" t="str">
        <f>LEFT(AllDaqbookOffsets[[#This Row],[traceability_no]],2)</f>
        <v>K6</v>
      </c>
    </row>
    <row r="1408" spans="1:6" x14ac:dyDescent="0.2">
      <c r="A1408"/>
      <c r="B1408"/>
      <c r="C1408"/>
      <c r="D1408"/>
      <c r="E1408"/>
      <c r="F1408" s="662" t="str">
        <f>LEFT(AllDaqbookOffsets[[#This Row],[traceability_no]],2)</f>
        <v>K6</v>
      </c>
    </row>
    <row r="1409" spans="1:6" x14ac:dyDescent="0.2">
      <c r="A1409"/>
      <c r="B1409"/>
      <c r="C1409"/>
      <c r="D1409"/>
      <c r="E1409"/>
      <c r="F1409" s="662" t="str">
        <f>LEFT(AllDaqbookOffsets[[#This Row],[traceability_no]],2)</f>
        <v>K6</v>
      </c>
    </row>
    <row r="1410" spans="1:6" x14ac:dyDescent="0.2">
      <c r="A1410"/>
      <c r="B1410"/>
      <c r="C1410"/>
      <c r="D1410"/>
      <c r="E1410"/>
      <c r="F1410" s="662" t="str">
        <f>LEFT(AllDaqbookOffsets[[#This Row],[traceability_no]],2)</f>
        <v>K6</v>
      </c>
    </row>
    <row r="1411" spans="1:6" x14ac:dyDescent="0.2">
      <c r="A1411"/>
      <c r="B1411"/>
      <c r="C1411"/>
      <c r="D1411"/>
      <c r="E1411"/>
      <c r="F1411" s="662" t="str">
        <f>LEFT(AllDaqbookOffsets[[#This Row],[traceability_no]],2)</f>
        <v>K6</v>
      </c>
    </row>
    <row r="1412" spans="1:6" x14ac:dyDescent="0.2">
      <c r="A1412"/>
      <c r="B1412"/>
      <c r="C1412"/>
      <c r="D1412"/>
      <c r="E1412"/>
      <c r="F1412" s="662" t="str">
        <f>LEFT(AllDaqbookOffsets[[#This Row],[traceability_no]],2)</f>
        <v>K6</v>
      </c>
    </row>
    <row r="1413" spans="1:6" x14ac:dyDescent="0.2">
      <c r="A1413"/>
      <c r="B1413"/>
      <c r="C1413"/>
      <c r="D1413"/>
      <c r="E1413"/>
      <c r="F1413" s="662" t="str">
        <f>LEFT(AllDaqbookOffsets[[#This Row],[traceability_no]],2)</f>
        <v>K6</v>
      </c>
    </row>
    <row r="1414" spans="1:6" x14ac:dyDescent="0.2">
      <c r="A1414"/>
      <c r="B1414"/>
      <c r="C1414"/>
      <c r="D1414"/>
      <c r="E1414"/>
      <c r="F1414" s="662" t="str">
        <f>LEFT(AllDaqbookOffsets[[#This Row],[traceability_no]],2)</f>
        <v>K6</v>
      </c>
    </row>
    <row r="1415" spans="1:6" x14ac:dyDescent="0.2">
      <c r="A1415"/>
      <c r="B1415"/>
      <c r="C1415"/>
      <c r="D1415"/>
      <c r="E1415"/>
      <c r="F1415" s="662" t="str">
        <f>LEFT(AllDaqbookOffsets[[#This Row],[traceability_no]],2)</f>
        <v>K6</v>
      </c>
    </row>
    <row r="1416" spans="1:6" x14ac:dyDescent="0.2">
      <c r="A1416"/>
      <c r="B1416"/>
      <c r="C1416"/>
      <c r="D1416"/>
      <c r="E1416"/>
      <c r="F1416" s="662" t="str">
        <f>LEFT(AllDaqbookOffsets[[#This Row],[traceability_no]],2)</f>
        <v>K6</v>
      </c>
    </row>
    <row r="1417" spans="1:6" x14ac:dyDescent="0.2">
      <c r="A1417"/>
      <c r="B1417"/>
      <c r="C1417"/>
      <c r="D1417"/>
      <c r="E1417"/>
      <c r="F1417" s="662" t="str">
        <f>LEFT(AllDaqbookOffsets[[#This Row],[traceability_no]],2)</f>
        <v>K6</v>
      </c>
    </row>
    <row r="1418" spans="1:6" x14ac:dyDescent="0.2">
      <c r="A1418"/>
      <c r="B1418"/>
      <c r="C1418"/>
      <c r="D1418"/>
      <c r="E1418"/>
      <c r="F1418" s="662" t="str">
        <f>LEFT(AllDaqbookOffsets[[#This Row],[traceability_no]],2)</f>
        <v>K6</v>
      </c>
    </row>
    <row r="1419" spans="1:6" x14ac:dyDescent="0.2">
      <c r="A1419"/>
      <c r="B1419"/>
      <c r="C1419"/>
      <c r="D1419"/>
      <c r="E1419"/>
      <c r="F1419" s="662" t="str">
        <f>LEFT(AllDaqbookOffsets[[#This Row],[traceability_no]],2)</f>
        <v>K6</v>
      </c>
    </row>
    <row r="1420" spans="1:6" x14ac:dyDescent="0.2">
      <c r="A1420"/>
      <c r="B1420"/>
      <c r="C1420"/>
      <c r="D1420"/>
      <c r="E1420"/>
      <c r="F1420" s="662" t="str">
        <f>LEFT(AllDaqbookOffsets[[#This Row],[traceability_no]],2)</f>
        <v>K6</v>
      </c>
    </row>
    <row r="1421" spans="1:6" x14ac:dyDescent="0.2">
      <c r="A1421"/>
      <c r="B1421"/>
      <c r="C1421"/>
      <c r="D1421"/>
      <c r="E1421"/>
      <c r="F1421" s="662" t="str">
        <f>LEFT(AllDaqbookOffsets[[#This Row],[traceability_no]],2)</f>
        <v>K6</v>
      </c>
    </row>
    <row r="1422" spans="1:6" x14ac:dyDescent="0.2">
      <c r="A1422"/>
      <c r="B1422"/>
      <c r="C1422"/>
      <c r="D1422"/>
      <c r="E1422"/>
      <c r="F1422" s="662" t="str">
        <f>LEFT(AllDaqbookOffsets[[#This Row],[traceability_no]],2)</f>
        <v>K6</v>
      </c>
    </row>
    <row r="1423" spans="1:6" x14ac:dyDescent="0.2">
      <c r="A1423"/>
      <c r="B1423"/>
      <c r="C1423"/>
      <c r="D1423"/>
      <c r="E1423"/>
      <c r="F1423" s="662" t="str">
        <f>LEFT(AllDaqbookOffsets[[#This Row],[traceability_no]],2)</f>
        <v>K6</v>
      </c>
    </row>
    <row r="1424" spans="1:6" x14ac:dyDescent="0.2">
      <c r="A1424"/>
      <c r="B1424"/>
      <c r="C1424"/>
      <c r="D1424"/>
      <c r="E1424"/>
      <c r="F1424" s="662" t="str">
        <f>LEFT(AllDaqbookOffsets[[#This Row],[traceability_no]],2)</f>
        <v>K6</v>
      </c>
    </row>
    <row r="1425" spans="1:6" x14ac:dyDescent="0.2">
      <c r="A1425"/>
      <c r="B1425"/>
      <c r="C1425"/>
      <c r="D1425"/>
      <c r="E1425"/>
      <c r="F1425" s="662" t="str">
        <f>LEFT(AllDaqbookOffsets[[#This Row],[traceability_no]],2)</f>
        <v>K6</v>
      </c>
    </row>
    <row r="1426" spans="1:6" x14ac:dyDescent="0.2">
      <c r="A1426"/>
      <c r="B1426"/>
      <c r="C1426"/>
      <c r="D1426"/>
      <c r="E1426"/>
      <c r="F1426" s="662" t="str">
        <f>LEFT(AllDaqbookOffsets[[#This Row],[traceability_no]],2)</f>
        <v>K6</v>
      </c>
    </row>
    <row r="1427" spans="1:6" x14ac:dyDescent="0.2">
      <c r="A1427"/>
      <c r="B1427"/>
      <c r="C1427"/>
      <c r="D1427"/>
      <c r="E1427"/>
      <c r="F1427" s="662" t="str">
        <f>LEFT(AllDaqbookOffsets[[#This Row],[traceability_no]],2)</f>
        <v>K6</v>
      </c>
    </row>
    <row r="1428" spans="1:6" x14ac:dyDescent="0.2">
      <c r="A1428"/>
      <c r="B1428"/>
      <c r="C1428"/>
      <c r="D1428"/>
      <c r="E1428"/>
      <c r="F1428" s="662" t="str">
        <f>LEFT(AllDaqbookOffsets[[#This Row],[traceability_no]],2)</f>
        <v>K6</v>
      </c>
    </row>
    <row r="1429" spans="1:6" x14ac:dyDescent="0.2">
      <c r="A1429"/>
      <c r="B1429"/>
      <c r="C1429"/>
      <c r="D1429"/>
      <c r="E1429"/>
      <c r="F1429" s="662" t="str">
        <f>LEFT(AllDaqbookOffsets[[#This Row],[traceability_no]],2)</f>
        <v>K6</v>
      </c>
    </row>
    <row r="1430" spans="1:6" x14ac:dyDescent="0.2">
      <c r="A1430"/>
      <c r="B1430"/>
      <c r="C1430"/>
      <c r="D1430"/>
      <c r="E1430"/>
      <c r="F1430" s="662" t="str">
        <f>LEFT(AllDaqbookOffsets[[#This Row],[traceability_no]],2)</f>
        <v>K6</v>
      </c>
    </row>
    <row r="1431" spans="1:6" x14ac:dyDescent="0.2">
      <c r="A1431"/>
      <c r="B1431"/>
      <c r="C1431"/>
      <c r="D1431"/>
      <c r="E1431"/>
      <c r="F1431" s="662" t="str">
        <f>LEFT(AllDaqbookOffsets[[#This Row],[traceability_no]],2)</f>
        <v>K6</v>
      </c>
    </row>
    <row r="1432" spans="1:6" x14ac:dyDescent="0.2">
      <c r="A1432"/>
      <c r="B1432"/>
      <c r="C1432"/>
      <c r="D1432"/>
      <c r="E1432"/>
      <c r="F1432" s="662" t="str">
        <f>LEFT(AllDaqbookOffsets[[#This Row],[traceability_no]],2)</f>
        <v>K6</v>
      </c>
    </row>
    <row r="1433" spans="1:6" x14ac:dyDescent="0.2">
      <c r="A1433"/>
      <c r="B1433"/>
      <c r="C1433"/>
      <c r="D1433"/>
      <c r="E1433"/>
      <c r="F1433" s="662" t="str">
        <f>LEFT(AllDaqbookOffsets[[#This Row],[traceability_no]],2)</f>
        <v>K6</v>
      </c>
    </row>
    <row r="1434" spans="1:6" x14ac:dyDescent="0.2">
      <c r="A1434"/>
      <c r="B1434"/>
      <c r="C1434"/>
      <c r="D1434"/>
      <c r="E1434"/>
      <c r="F1434" s="662" t="str">
        <f>LEFT(AllDaqbookOffsets[[#This Row],[traceability_no]],2)</f>
        <v>K6</v>
      </c>
    </row>
    <row r="1435" spans="1:6" x14ac:dyDescent="0.2">
      <c r="A1435"/>
      <c r="B1435"/>
      <c r="C1435"/>
      <c r="D1435"/>
      <c r="E1435"/>
      <c r="F1435" s="662" t="str">
        <f>LEFT(AllDaqbookOffsets[[#This Row],[traceability_no]],2)</f>
        <v>K6</v>
      </c>
    </row>
    <row r="1436" spans="1:6" x14ac:dyDescent="0.2">
      <c r="A1436"/>
      <c r="B1436"/>
      <c r="C1436"/>
      <c r="D1436"/>
      <c r="E1436"/>
      <c r="F1436" s="662" t="str">
        <f>LEFT(AllDaqbookOffsets[[#This Row],[traceability_no]],2)</f>
        <v>K6</v>
      </c>
    </row>
    <row r="1437" spans="1:6" x14ac:dyDescent="0.2">
      <c r="A1437"/>
      <c r="B1437"/>
      <c r="C1437"/>
      <c r="D1437"/>
      <c r="E1437"/>
      <c r="F1437" s="662" t="str">
        <f>LEFT(AllDaqbookOffsets[[#This Row],[traceability_no]],2)</f>
        <v>K6</v>
      </c>
    </row>
    <row r="1438" spans="1:6" x14ac:dyDescent="0.2">
      <c r="A1438"/>
      <c r="B1438"/>
      <c r="C1438"/>
      <c r="D1438"/>
      <c r="E1438"/>
      <c r="F1438" s="662" t="str">
        <f>LEFT(AllDaqbookOffsets[[#This Row],[traceability_no]],2)</f>
        <v>K6</v>
      </c>
    </row>
    <row r="1439" spans="1:6" x14ac:dyDescent="0.2">
      <c r="A1439"/>
      <c r="B1439"/>
      <c r="C1439"/>
      <c r="D1439"/>
      <c r="E1439"/>
      <c r="F1439" s="662" t="str">
        <f>LEFT(AllDaqbookOffsets[[#This Row],[traceability_no]],2)</f>
        <v>K6</v>
      </c>
    </row>
    <row r="1440" spans="1:6" x14ac:dyDescent="0.2">
      <c r="A1440"/>
      <c r="B1440"/>
      <c r="C1440"/>
      <c r="D1440"/>
      <c r="E1440"/>
      <c r="F1440" s="662" t="str">
        <f>LEFT(AllDaqbookOffsets[[#This Row],[traceability_no]],2)</f>
        <v>K6</v>
      </c>
    </row>
    <row r="1441" spans="1:6" x14ac:dyDescent="0.2">
      <c r="A1441"/>
      <c r="B1441"/>
      <c r="C1441"/>
      <c r="D1441"/>
      <c r="E1441"/>
      <c r="F1441" s="662" t="str">
        <f>LEFT(AllDaqbookOffsets[[#This Row],[traceability_no]],2)</f>
        <v>N2</v>
      </c>
    </row>
    <row r="1442" spans="1:6" x14ac:dyDescent="0.2">
      <c r="A1442"/>
      <c r="B1442"/>
      <c r="C1442"/>
      <c r="D1442"/>
      <c r="E1442"/>
      <c r="F1442" s="662" t="str">
        <f>LEFT(AllDaqbookOffsets[[#This Row],[traceability_no]],2)</f>
        <v>N2</v>
      </c>
    </row>
    <row r="1443" spans="1:6" x14ac:dyDescent="0.2">
      <c r="A1443"/>
      <c r="B1443"/>
      <c r="C1443"/>
      <c r="D1443"/>
      <c r="E1443"/>
      <c r="F1443" s="662" t="str">
        <f>LEFT(AllDaqbookOffsets[[#This Row],[traceability_no]],2)</f>
        <v>N2</v>
      </c>
    </row>
    <row r="1444" spans="1:6" x14ac:dyDescent="0.2">
      <c r="A1444"/>
      <c r="B1444"/>
      <c r="C1444"/>
      <c r="D1444"/>
      <c r="E1444"/>
      <c r="F1444" s="662" t="str">
        <f>LEFT(AllDaqbookOffsets[[#This Row],[traceability_no]],2)</f>
        <v>N2</v>
      </c>
    </row>
    <row r="1445" spans="1:6" x14ac:dyDescent="0.2">
      <c r="A1445"/>
      <c r="B1445"/>
      <c r="C1445"/>
      <c r="D1445"/>
      <c r="E1445"/>
      <c r="F1445" s="662" t="str">
        <f>LEFT(AllDaqbookOffsets[[#This Row],[traceability_no]],2)</f>
        <v>N2</v>
      </c>
    </row>
    <row r="1446" spans="1:6" x14ac:dyDescent="0.2">
      <c r="A1446"/>
      <c r="B1446"/>
      <c r="C1446"/>
      <c r="D1446"/>
      <c r="E1446"/>
      <c r="F1446" s="662" t="str">
        <f>LEFT(AllDaqbookOffsets[[#This Row],[traceability_no]],2)</f>
        <v>N2</v>
      </c>
    </row>
    <row r="1447" spans="1:6" x14ac:dyDescent="0.2">
      <c r="A1447"/>
      <c r="B1447"/>
      <c r="C1447"/>
      <c r="D1447"/>
      <c r="E1447"/>
      <c r="F1447" s="662" t="str">
        <f>LEFT(AllDaqbookOffsets[[#This Row],[traceability_no]],2)</f>
        <v>N2</v>
      </c>
    </row>
    <row r="1448" spans="1:6" x14ac:dyDescent="0.2">
      <c r="A1448"/>
      <c r="B1448"/>
      <c r="C1448"/>
      <c r="D1448"/>
      <c r="E1448"/>
      <c r="F1448" s="662" t="str">
        <f>LEFT(AllDaqbookOffsets[[#This Row],[traceability_no]],2)</f>
        <v>N2</v>
      </c>
    </row>
    <row r="1449" spans="1:6" x14ac:dyDescent="0.2">
      <c r="A1449"/>
      <c r="B1449"/>
      <c r="C1449"/>
      <c r="D1449"/>
      <c r="E1449"/>
      <c r="F1449" s="662" t="str">
        <f>LEFT(AllDaqbookOffsets[[#This Row],[traceability_no]],2)</f>
        <v>N2</v>
      </c>
    </row>
    <row r="1450" spans="1:6" x14ac:dyDescent="0.2">
      <c r="A1450"/>
      <c r="B1450"/>
      <c r="C1450"/>
      <c r="D1450"/>
      <c r="E1450"/>
      <c r="F1450" s="662" t="str">
        <f>LEFT(AllDaqbookOffsets[[#This Row],[traceability_no]],2)</f>
        <v>N2</v>
      </c>
    </row>
    <row r="1451" spans="1:6" x14ac:dyDescent="0.2">
      <c r="A1451"/>
      <c r="B1451"/>
      <c r="C1451"/>
      <c r="D1451"/>
      <c r="E1451"/>
      <c r="F1451" s="662" t="str">
        <f>LEFT(AllDaqbookOffsets[[#This Row],[traceability_no]],2)</f>
        <v>N2</v>
      </c>
    </row>
    <row r="1452" spans="1:6" x14ac:dyDescent="0.2">
      <c r="A1452"/>
      <c r="B1452"/>
      <c r="C1452"/>
      <c r="D1452"/>
      <c r="E1452"/>
      <c r="F1452" s="662" t="str">
        <f>LEFT(AllDaqbookOffsets[[#This Row],[traceability_no]],2)</f>
        <v>N2</v>
      </c>
    </row>
    <row r="1453" spans="1:6" x14ac:dyDescent="0.2">
      <c r="A1453"/>
      <c r="B1453"/>
      <c r="C1453"/>
      <c r="D1453"/>
      <c r="E1453"/>
      <c r="F1453" s="662" t="str">
        <f>LEFT(AllDaqbookOffsets[[#This Row],[traceability_no]],2)</f>
        <v>N2</v>
      </c>
    </row>
    <row r="1454" spans="1:6" x14ac:dyDescent="0.2">
      <c r="A1454"/>
      <c r="B1454"/>
      <c r="C1454"/>
      <c r="D1454"/>
      <c r="E1454"/>
      <c r="F1454" s="662" t="str">
        <f>LEFT(AllDaqbookOffsets[[#This Row],[traceability_no]],2)</f>
        <v>N2</v>
      </c>
    </row>
    <row r="1455" spans="1:6" x14ac:dyDescent="0.2">
      <c r="A1455"/>
      <c r="B1455"/>
      <c r="C1455"/>
      <c r="D1455"/>
      <c r="E1455"/>
      <c r="F1455" s="662" t="str">
        <f>LEFT(AllDaqbookOffsets[[#This Row],[traceability_no]],2)</f>
        <v>N2</v>
      </c>
    </row>
    <row r="1456" spans="1:6" x14ac:dyDescent="0.2">
      <c r="A1456"/>
      <c r="B1456"/>
      <c r="C1456"/>
      <c r="D1456"/>
      <c r="E1456"/>
      <c r="F1456" s="662" t="str">
        <f>LEFT(AllDaqbookOffsets[[#This Row],[traceability_no]],2)</f>
        <v>N2</v>
      </c>
    </row>
    <row r="1457" spans="1:6" x14ac:dyDescent="0.2">
      <c r="A1457"/>
      <c r="B1457"/>
      <c r="C1457"/>
      <c r="D1457"/>
      <c r="E1457"/>
      <c r="F1457" s="662" t="str">
        <f>LEFT(AllDaqbookOffsets[[#This Row],[traceability_no]],2)</f>
        <v>N2</v>
      </c>
    </row>
    <row r="1458" spans="1:6" x14ac:dyDescent="0.2">
      <c r="A1458"/>
      <c r="B1458"/>
      <c r="C1458"/>
      <c r="D1458"/>
      <c r="E1458"/>
      <c r="F1458" s="662" t="str">
        <f>LEFT(AllDaqbookOffsets[[#This Row],[traceability_no]],2)</f>
        <v>N2</v>
      </c>
    </row>
    <row r="1459" spans="1:6" x14ac:dyDescent="0.2">
      <c r="A1459"/>
      <c r="B1459"/>
      <c r="C1459"/>
      <c r="D1459"/>
      <c r="E1459"/>
      <c r="F1459" s="662" t="str">
        <f>LEFT(AllDaqbookOffsets[[#This Row],[traceability_no]],2)</f>
        <v>N2</v>
      </c>
    </row>
    <row r="1460" spans="1:6" x14ac:dyDescent="0.2">
      <c r="A1460"/>
      <c r="B1460"/>
      <c r="C1460"/>
      <c r="D1460"/>
      <c r="E1460"/>
      <c r="F1460" s="662" t="str">
        <f>LEFT(AllDaqbookOffsets[[#This Row],[traceability_no]],2)</f>
        <v>N2</v>
      </c>
    </row>
    <row r="1461" spans="1:6" x14ac:dyDescent="0.2">
      <c r="A1461"/>
      <c r="B1461"/>
      <c r="C1461"/>
      <c r="D1461"/>
      <c r="E1461"/>
      <c r="F1461" s="662" t="str">
        <f>LEFT(AllDaqbookOffsets[[#This Row],[traceability_no]],2)</f>
        <v>N2</v>
      </c>
    </row>
    <row r="1462" spans="1:6" x14ac:dyDescent="0.2">
      <c r="A1462"/>
      <c r="B1462"/>
      <c r="C1462"/>
      <c r="D1462"/>
      <c r="E1462"/>
      <c r="F1462" s="662" t="str">
        <f>LEFT(AllDaqbookOffsets[[#This Row],[traceability_no]],2)</f>
        <v>N2</v>
      </c>
    </row>
    <row r="1463" spans="1:6" x14ac:dyDescent="0.2">
      <c r="A1463"/>
      <c r="B1463"/>
      <c r="C1463"/>
      <c r="D1463"/>
      <c r="E1463"/>
      <c r="F1463" s="662" t="str">
        <f>LEFT(AllDaqbookOffsets[[#This Row],[traceability_no]],2)</f>
        <v>N2</v>
      </c>
    </row>
    <row r="1464" spans="1:6" x14ac:dyDescent="0.2">
      <c r="A1464"/>
      <c r="B1464"/>
      <c r="C1464"/>
      <c r="D1464"/>
      <c r="E1464"/>
      <c r="F1464" s="662" t="str">
        <f>LEFT(AllDaqbookOffsets[[#This Row],[traceability_no]],2)</f>
        <v>N2</v>
      </c>
    </row>
    <row r="1465" spans="1:6" x14ac:dyDescent="0.2">
      <c r="A1465"/>
      <c r="B1465"/>
      <c r="C1465"/>
      <c r="D1465"/>
      <c r="E1465"/>
      <c r="F1465" s="662" t="str">
        <f>LEFT(AllDaqbookOffsets[[#This Row],[traceability_no]],2)</f>
        <v>N2</v>
      </c>
    </row>
    <row r="1466" spans="1:6" x14ac:dyDescent="0.2">
      <c r="A1466"/>
      <c r="B1466"/>
      <c r="C1466"/>
      <c r="D1466"/>
      <c r="E1466"/>
      <c r="F1466" s="662" t="str">
        <f>LEFT(AllDaqbookOffsets[[#This Row],[traceability_no]],2)</f>
        <v>N2</v>
      </c>
    </row>
    <row r="1467" spans="1:6" x14ac:dyDescent="0.2">
      <c r="A1467"/>
      <c r="B1467"/>
      <c r="C1467"/>
      <c r="D1467"/>
      <c r="E1467"/>
      <c r="F1467" s="662" t="str">
        <f>LEFT(AllDaqbookOffsets[[#This Row],[traceability_no]],2)</f>
        <v>N2</v>
      </c>
    </row>
    <row r="1468" spans="1:6" x14ac:dyDescent="0.2">
      <c r="A1468"/>
      <c r="B1468"/>
      <c r="C1468"/>
      <c r="D1468"/>
      <c r="E1468"/>
      <c r="F1468" s="662" t="str">
        <f>LEFT(AllDaqbookOffsets[[#This Row],[traceability_no]],2)</f>
        <v>N2</v>
      </c>
    </row>
    <row r="1469" spans="1:6" x14ac:dyDescent="0.2">
      <c r="A1469"/>
      <c r="B1469"/>
      <c r="C1469"/>
      <c r="D1469"/>
      <c r="E1469"/>
      <c r="F1469" s="662" t="str">
        <f>LEFT(AllDaqbookOffsets[[#This Row],[traceability_no]],2)</f>
        <v>N2</v>
      </c>
    </row>
    <row r="1470" spans="1:6" x14ac:dyDescent="0.2">
      <c r="A1470"/>
      <c r="B1470"/>
      <c r="C1470"/>
      <c r="D1470"/>
      <c r="E1470"/>
      <c r="F1470" s="662" t="str">
        <f>LEFT(AllDaqbookOffsets[[#This Row],[traceability_no]],2)</f>
        <v>N2</v>
      </c>
    </row>
    <row r="1471" spans="1:6" x14ac:dyDescent="0.2">
      <c r="A1471"/>
      <c r="B1471"/>
      <c r="C1471"/>
      <c r="D1471"/>
      <c r="E1471"/>
      <c r="F1471" s="662" t="str">
        <f>LEFT(AllDaqbookOffsets[[#This Row],[traceability_no]],2)</f>
        <v>N2</v>
      </c>
    </row>
    <row r="1472" spans="1:6" x14ac:dyDescent="0.2">
      <c r="A1472"/>
      <c r="B1472"/>
      <c r="C1472"/>
      <c r="D1472"/>
      <c r="E1472"/>
      <c r="F1472" s="662" t="str">
        <f>LEFT(AllDaqbookOffsets[[#This Row],[traceability_no]],2)</f>
        <v>N2</v>
      </c>
    </row>
    <row r="1473" spans="1:6" x14ac:dyDescent="0.2">
      <c r="A1473"/>
      <c r="B1473"/>
      <c r="C1473"/>
      <c r="D1473"/>
      <c r="E1473"/>
      <c r="F1473" s="662" t="str">
        <f>LEFT(AllDaqbookOffsets[[#This Row],[traceability_no]],2)</f>
        <v>N2</v>
      </c>
    </row>
    <row r="1474" spans="1:6" x14ac:dyDescent="0.2">
      <c r="A1474"/>
      <c r="B1474"/>
      <c r="C1474"/>
      <c r="D1474"/>
      <c r="E1474"/>
      <c r="F1474" s="662" t="str">
        <f>LEFT(AllDaqbookOffsets[[#This Row],[traceability_no]],2)</f>
        <v>N2</v>
      </c>
    </row>
    <row r="1475" spans="1:6" x14ac:dyDescent="0.2">
      <c r="A1475"/>
      <c r="B1475"/>
      <c r="C1475"/>
      <c r="D1475"/>
      <c r="E1475"/>
      <c r="F1475" s="662" t="str">
        <f>LEFT(AllDaqbookOffsets[[#This Row],[traceability_no]],2)</f>
        <v>N2</v>
      </c>
    </row>
    <row r="1476" spans="1:6" x14ac:dyDescent="0.2">
      <c r="A1476"/>
      <c r="B1476"/>
      <c r="C1476"/>
      <c r="D1476"/>
      <c r="E1476"/>
      <c r="F1476" s="662" t="str">
        <f>LEFT(AllDaqbookOffsets[[#This Row],[traceability_no]],2)</f>
        <v>N2</v>
      </c>
    </row>
    <row r="1477" spans="1:6" x14ac:dyDescent="0.2">
      <c r="A1477"/>
      <c r="B1477"/>
      <c r="C1477"/>
      <c r="D1477"/>
      <c r="E1477"/>
      <c r="F1477" s="662" t="str">
        <f>LEFT(AllDaqbookOffsets[[#This Row],[traceability_no]],2)</f>
        <v>N2</v>
      </c>
    </row>
    <row r="1478" spans="1:6" x14ac:dyDescent="0.2">
      <c r="A1478"/>
      <c r="B1478"/>
      <c r="C1478"/>
      <c r="D1478"/>
      <c r="E1478"/>
      <c r="F1478" s="662" t="str">
        <f>LEFT(AllDaqbookOffsets[[#This Row],[traceability_no]],2)</f>
        <v>N2</v>
      </c>
    </row>
    <row r="1479" spans="1:6" x14ac:dyDescent="0.2">
      <c r="A1479"/>
      <c r="B1479"/>
      <c r="C1479"/>
      <c r="D1479"/>
      <c r="E1479"/>
      <c r="F1479" s="662" t="str">
        <f>LEFT(AllDaqbookOffsets[[#This Row],[traceability_no]],2)</f>
        <v>N2</v>
      </c>
    </row>
    <row r="1480" spans="1:6" x14ac:dyDescent="0.2">
      <c r="A1480"/>
      <c r="B1480"/>
      <c r="C1480"/>
      <c r="D1480"/>
      <c r="E1480"/>
      <c r="F1480" s="662" t="str">
        <f>LEFT(AllDaqbookOffsets[[#This Row],[traceability_no]],2)</f>
        <v>N2</v>
      </c>
    </row>
    <row r="1481" spans="1:6" x14ac:dyDescent="0.2">
      <c r="A1481"/>
      <c r="B1481"/>
      <c r="C1481"/>
      <c r="D1481"/>
      <c r="E1481"/>
      <c r="F1481" s="662" t="str">
        <f>LEFT(AllDaqbookOffsets[[#This Row],[traceability_no]],2)</f>
        <v>N2</v>
      </c>
    </row>
    <row r="1482" spans="1:6" x14ac:dyDescent="0.2">
      <c r="A1482"/>
      <c r="B1482"/>
      <c r="C1482"/>
      <c r="D1482"/>
      <c r="E1482"/>
      <c r="F1482" s="662" t="str">
        <f>LEFT(AllDaqbookOffsets[[#This Row],[traceability_no]],2)</f>
        <v>N2</v>
      </c>
    </row>
    <row r="1483" spans="1:6" x14ac:dyDescent="0.2">
      <c r="A1483"/>
      <c r="B1483"/>
      <c r="C1483"/>
      <c r="D1483"/>
      <c r="E1483"/>
      <c r="F1483" s="662" t="str">
        <f>LEFT(AllDaqbookOffsets[[#This Row],[traceability_no]],2)</f>
        <v>N2</v>
      </c>
    </row>
    <row r="1484" spans="1:6" x14ac:dyDescent="0.2">
      <c r="A1484"/>
      <c r="B1484"/>
      <c r="C1484"/>
      <c r="D1484"/>
      <c r="E1484"/>
      <c r="F1484" s="662" t="str">
        <f>LEFT(AllDaqbookOffsets[[#This Row],[traceability_no]],2)</f>
        <v>N2</v>
      </c>
    </row>
    <row r="1485" spans="1:6" x14ac:dyDescent="0.2">
      <c r="A1485"/>
      <c r="B1485"/>
      <c r="C1485"/>
      <c r="D1485"/>
      <c r="E1485"/>
      <c r="F1485" s="662" t="str">
        <f>LEFT(AllDaqbookOffsets[[#This Row],[traceability_no]],2)</f>
        <v>N2</v>
      </c>
    </row>
    <row r="1486" spans="1:6" x14ac:dyDescent="0.2">
      <c r="A1486"/>
      <c r="B1486"/>
      <c r="C1486"/>
      <c r="D1486"/>
      <c r="E1486"/>
      <c r="F1486" s="662" t="str">
        <f>LEFT(AllDaqbookOffsets[[#This Row],[traceability_no]],2)</f>
        <v>N2</v>
      </c>
    </row>
    <row r="1487" spans="1:6" x14ac:dyDescent="0.2">
      <c r="A1487"/>
      <c r="B1487"/>
      <c r="C1487"/>
      <c r="D1487"/>
      <c r="E1487"/>
      <c r="F1487" s="662" t="str">
        <f>LEFT(AllDaqbookOffsets[[#This Row],[traceability_no]],2)</f>
        <v>N2</v>
      </c>
    </row>
    <row r="1488" spans="1:6" x14ac:dyDescent="0.2">
      <c r="A1488"/>
      <c r="B1488"/>
      <c r="C1488"/>
      <c r="D1488"/>
      <c r="E1488"/>
      <c r="F1488" s="662" t="str">
        <f>LEFT(AllDaqbookOffsets[[#This Row],[traceability_no]],2)</f>
        <v>N2</v>
      </c>
    </row>
    <row r="1489" spans="1:6" x14ac:dyDescent="0.2">
      <c r="A1489"/>
      <c r="B1489"/>
      <c r="C1489"/>
      <c r="D1489"/>
      <c r="E1489"/>
      <c r="F1489" s="662" t="str">
        <f>LEFT(AllDaqbookOffsets[[#This Row],[traceability_no]],2)</f>
        <v>N2</v>
      </c>
    </row>
    <row r="1490" spans="1:6" x14ac:dyDescent="0.2">
      <c r="A1490"/>
      <c r="B1490"/>
      <c r="C1490"/>
      <c r="D1490"/>
      <c r="E1490"/>
      <c r="F1490" s="662" t="str">
        <f>LEFT(AllDaqbookOffsets[[#This Row],[traceability_no]],2)</f>
        <v>N2</v>
      </c>
    </row>
    <row r="1491" spans="1:6" x14ac:dyDescent="0.2">
      <c r="A1491"/>
      <c r="B1491"/>
      <c r="C1491"/>
      <c r="D1491"/>
      <c r="E1491"/>
      <c r="F1491" s="662" t="str">
        <f>LEFT(AllDaqbookOffsets[[#This Row],[traceability_no]],2)</f>
        <v>N2</v>
      </c>
    </row>
    <row r="1492" spans="1:6" x14ac:dyDescent="0.2">
      <c r="A1492"/>
      <c r="B1492"/>
      <c r="C1492"/>
      <c r="D1492"/>
      <c r="E1492"/>
      <c r="F1492" s="662" t="str">
        <f>LEFT(AllDaqbookOffsets[[#This Row],[traceability_no]],2)</f>
        <v>N2</v>
      </c>
    </row>
    <row r="1493" spans="1:6" x14ac:dyDescent="0.2">
      <c r="A1493"/>
      <c r="B1493"/>
      <c r="C1493"/>
      <c r="D1493"/>
      <c r="E1493"/>
      <c r="F1493" s="662" t="str">
        <f>LEFT(AllDaqbookOffsets[[#This Row],[traceability_no]],2)</f>
        <v>N2</v>
      </c>
    </row>
    <row r="1494" spans="1:6" x14ac:dyDescent="0.2">
      <c r="A1494"/>
      <c r="B1494"/>
      <c r="C1494"/>
      <c r="D1494"/>
      <c r="E1494"/>
      <c r="F1494" s="662" t="str">
        <f>LEFT(AllDaqbookOffsets[[#This Row],[traceability_no]],2)</f>
        <v>N2</v>
      </c>
    </row>
    <row r="1495" spans="1:6" x14ac:dyDescent="0.2">
      <c r="A1495"/>
      <c r="B1495"/>
      <c r="C1495"/>
      <c r="D1495"/>
      <c r="E1495"/>
      <c r="F1495" s="662" t="str">
        <f>LEFT(AllDaqbookOffsets[[#This Row],[traceability_no]],2)</f>
        <v>N2</v>
      </c>
    </row>
    <row r="1496" spans="1:6" x14ac:dyDescent="0.2">
      <c r="A1496"/>
      <c r="B1496"/>
      <c r="C1496"/>
      <c r="D1496"/>
      <c r="E1496"/>
      <c r="F1496" s="662" t="str">
        <f>LEFT(AllDaqbookOffsets[[#This Row],[traceability_no]],2)</f>
        <v>N2</v>
      </c>
    </row>
    <row r="1497" spans="1:6" x14ac:dyDescent="0.2">
      <c r="A1497"/>
      <c r="B1497"/>
      <c r="C1497"/>
      <c r="D1497"/>
      <c r="E1497"/>
      <c r="F1497" s="662" t="str">
        <f>LEFT(AllDaqbookOffsets[[#This Row],[traceability_no]],2)</f>
        <v>N2</v>
      </c>
    </row>
    <row r="1498" spans="1:6" x14ac:dyDescent="0.2">
      <c r="A1498"/>
      <c r="B1498"/>
      <c r="C1498"/>
      <c r="D1498"/>
      <c r="E1498"/>
      <c r="F1498" s="662" t="str">
        <f>LEFT(AllDaqbookOffsets[[#This Row],[traceability_no]],2)</f>
        <v>N2</v>
      </c>
    </row>
    <row r="1499" spans="1:6" x14ac:dyDescent="0.2">
      <c r="A1499"/>
      <c r="B1499"/>
      <c r="C1499"/>
      <c r="D1499"/>
      <c r="E1499"/>
      <c r="F1499" s="662" t="str">
        <f>LEFT(AllDaqbookOffsets[[#This Row],[traceability_no]],2)</f>
        <v>N2</v>
      </c>
    </row>
    <row r="1500" spans="1:6" x14ac:dyDescent="0.2">
      <c r="A1500"/>
      <c r="B1500"/>
      <c r="C1500"/>
      <c r="D1500"/>
      <c r="E1500"/>
      <c r="F1500" s="662" t="str">
        <f>LEFT(AllDaqbookOffsets[[#This Row],[traceability_no]],2)</f>
        <v>N2</v>
      </c>
    </row>
    <row r="1501" spans="1:6" x14ac:dyDescent="0.2">
      <c r="A1501"/>
      <c r="B1501"/>
      <c r="C1501"/>
      <c r="D1501"/>
      <c r="E1501"/>
      <c r="F1501" s="662" t="str">
        <f>LEFT(AllDaqbookOffsets[[#This Row],[traceability_no]],2)</f>
        <v>N2</v>
      </c>
    </row>
    <row r="1502" spans="1:6" x14ac:dyDescent="0.2">
      <c r="A1502"/>
      <c r="B1502"/>
      <c r="C1502"/>
      <c r="D1502"/>
      <c r="E1502"/>
      <c r="F1502" s="662" t="str">
        <f>LEFT(AllDaqbookOffsets[[#This Row],[traceability_no]],2)</f>
        <v>N2</v>
      </c>
    </row>
    <row r="1503" spans="1:6" x14ac:dyDescent="0.2">
      <c r="A1503"/>
      <c r="B1503"/>
      <c r="C1503"/>
      <c r="D1503"/>
      <c r="E1503"/>
      <c r="F1503" s="662" t="str">
        <f>LEFT(AllDaqbookOffsets[[#This Row],[traceability_no]],2)</f>
        <v>N2</v>
      </c>
    </row>
    <row r="1504" spans="1:6" x14ac:dyDescent="0.2">
      <c r="A1504"/>
      <c r="B1504"/>
      <c r="C1504"/>
      <c r="D1504"/>
      <c r="E1504"/>
      <c r="F1504" s="662" t="str">
        <f>LEFT(AllDaqbookOffsets[[#This Row],[traceability_no]],2)</f>
        <v>N2</v>
      </c>
    </row>
    <row r="1505" spans="1:6" x14ac:dyDescent="0.2">
      <c r="A1505"/>
      <c r="B1505"/>
      <c r="C1505"/>
      <c r="D1505"/>
      <c r="E1505"/>
      <c r="F1505" s="662" t="str">
        <f>LEFT(AllDaqbookOffsets[[#This Row],[traceability_no]],2)</f>
        <v>N2</v>
      </c>
    </row>
    <row r="1506" spans="1:6" x14ac:dyDescent="0.2">
      <c r="A1506"/>
      <c r="B1506"/>
      <c r="C1506"/>
      <c r="D1506"/>
      <c r="E1506"/>
      <c r="F1506" s="662" t="str">
        <f>LEFT(AllDaqbookOffsets[[#This Row],[traceability_no]],2)</f>
        <v>N2</v>
      </c>
    </row>
    <row r="1507" spans="1:6" x14ac:dyDescent="0.2">
      <c r="A1507"/>
      <c r="B1507"/>
      <c r="C1507"/>
      <c r="D1507"/>
      <c r="E1507"/>
      <c r="F1507" s="662" t="str">
        <f>LEFT(AllDaqbookOffsets[[#This Row],[traceability_no]],2)</f>
        <v>N2</v>
      </c>
    </row>
    <row r="1508" spans="1:6" x14ac:dyDescent="0.2">
      <c r="A1508"/>
      <c r="B1508"/>
      <c r="C1508"/>
      <c r="D1508"/>
      <c r="E1508"/>
      <c r="F1508" s="662" t="str">
        <f>LEFT(AllDaqbookOffsets[[#This Row],[traceability_no]],2)</f>
        <v>N2</v>
      </c>
    </row>
    <row r="1509" spans="1:6" x14ac:dyDescent="0.2">
      <c r="A1509"/>
      <c r="B1509"/>
      <c r="C1509"/>
      <c r="D1509"/>
      <c r="E1509"/>
      <c r="F1509" s="662" t="str">
        <f>LEFT(AllDaqbookOffsets[[#This Row],[traceability_no]],2)</f>
        <v>N2</v>
      </c>
    </row>
    <row r="1510" spans="1:6" x14ac:dyDescent="0.2">
      <c r="A1510"/>
      <c r="B1510"/>
      <c r="C1510"/>
      <c r="D1510"/>
      <c r="E1510"/>
      <c r="F1510" s="662" t="str">
        <f>LEFT(AllDaqbookOffsets[[#This Row],[traceability_no]],2)</f>
        <v>N2</v>
      </c>
    </row>
    <row r="1511" spans="1:6" x14ac:dyDescent="0.2">
      <c r="A1511"/>
      <c r="B1511"/>
      <c r="C1511"/>
      <c r="D1511"/>
      <c r="E1511"/>
      <c r="F1511" s="662" t="str">
        <f>LEFT(AllDaqbookOffsets[[#This Row],[traceability_no]],2)</f>
        <v>N2</v>
      </c>
    </row>
    <row r="1512" spans="1:6" x14ac:dyDescent="0.2">
      <c r="A1512"/>
      <c r="B1512"/>
      <c r="C1512"/>
      <c r="D1512"/>
      <c r="E1512"/>
      <c r="F1512" s="662" t="str">
        <f>LEFT(AllDaqbookOffsets[[#This Row],[traceability_no]],2)</f>
        <v>N2</v>
      </c>
    </row>
    <row r="1513" spans="1:6" x14ac:dyDescent="0.2">
      <c r="A1513"/>
      <c r="B1513"/>
      <c r="C1513"/>
      <c r="D1513"/>
      <c r="E1513"/>
      <c r="F1513" s="662" t="str">
        <f>LEFT(AllDaqbookOffsets[[#This Row],[traceability_no]],2)</f>
        <v>N2</v>
      </c>
    </row>
    <row r="1514" spans="1:6" x14ac:dyDescent="0.2">
      <c r="A1514"/>
      <c r="B1514"/>
      <c r="C1514"/>
      <c r="D1514"/>
      <c r="E1514"/>
      <c r="F1514" s="662" t="str">
        <f>LEFT(AllDaqbookOffsets[[#This Row],[traceability_no]],2)</f>
        <v>N2</v>
      </c>
    </row>
    <row r="1515" spans="1:6" x14ac:dyDescent="0.2">
      <c r="A1515"/>
      <c r="B1515"/>
      <c r="C1515"/>
      <c r="D1515"/>
      <c r="E1515"/>
      <c r="F1515" s="662" t="str">
        <f>LEFT(AllDaqbookOffsets[[#This Row],[traceability_no]],2)</f>
        <v>N2</v>
      </c>
    </row>
    <row r="1516" spans="1:6" x14ac:dyDescent="0.2">
      <c r="A1516"/>
      <c r="B1516"/>
      <c r="C1516"/>
      <c r="D1516"/>
      <c r="E1516"/>
      <c r="F1516" s="662" t="str">
        <f>LEFT(AllDaqbookOffsets[[#This Row],[traceability_no]],2)</f>
        <v>N2</v>
      </c>
    </row>
    <row r="1517" spans="1:6" x14ac:dyDescent="0.2">
      <c r="A1517"/>
      <c r="B1517"/>
      <c r="C1517"/>
      <c r="D1517"/>
      <c r="E1517"/>
      <c r="F1517" s="662" t="str">
        <f>LEFT(AllDaqbookOffsets[[#This Row],[traceability_no]],2)</f>
        <v>N2</v>
      </c>
    </row>
    <row r="1518" spans="1:6" x14ac:dyDescent="0.2">
      <c r="A1518"/>
      <c r="B1518"/>
      <c r="C1518"/>
      <c r="D1518"/>
      <c r="E1518"/>
      <c r="F1518" s="662" t="str">
        <f>LEFT(AllDaqbookOffsets[[#This Row],[traceability_no]],2)</f>
        <v>N2</v>
      </c>
    </row>
    <row r="1519" spans="1:6" x14ac:dyDescent="0.2">
      <c r="A1519"/>
      <c r="B1519"/>
      <c r="C1519"/>
      <c r="D1519"/>
      <c r="E1519"/>
      <c r="F1519" s="662" t="str">
        <f>LEFT(AllDaqbookOffsets[[#This Row],[traceability_no]],2)</f>
        <v>N2</v>
      </c>
    </row>
    <row r="1520" spans="1:6" x14ac:dyDescent="0.2">
      <c r="A1520"/>
      <c r="B1520"/>
      <c r="C1520"/>
      <c r="D1520"/>
      <c r="E1520"/>
      <c r="F1520" s="662" t="str">
        <f>LEFT(AllDaqbookOffsets[[#This Row],[traceability_no]],2)</f>
        <v>N2</v>
      </c>
    </row>
    <row r="1521" spans="1:6" x14ac:dyDescent="0.2">
      <c r="A1521"/>
      <c r="B1521"/>
      <c r="C1521"/>
      <c r="D1521"/>
      <c r="E1521"/>
      <c r="F1521" s="662" t="str">
        <f>LEFT(AllDaqbookOffsets[[#This Row],[traceability_no]],2)</f>
        <v>N2</v>
      </c>
    </row>
    <row r="1522" spans="1:6" x14ac:dyDescent="0.2">
      <c r="A1522"/>
      <c r="B1522"/>
      <c r="C1522"/>
      <c r="D1522"/>
      <c r="E1522"/>
      <c r="F1522" s="662" t="str">
        <f>LEFT(AllDaqbookOffsets[[#This Row],[traceability_no]],2)</f>
        <v>N2</v>
      </c>
    </row>
    <row r="1523" spans="1:6" x14ac:dyDescent="0.2">
      <c r="A1523"/>
      <c r="B1523"/>
      <c r="C1523"/>
      <c r="D1523"/>
      <c r="E1523"/>
      <c r="F1523" s="662" t="str">
        <f>LEFT(AllDaqbookOffsets[[#This Row],[traceability_no]],2)</f>
        <v>N2</v>
      </c>
    </row>
    <row r="1524" spans="1:6" x14ac:dyDescent="0.2">
      <c r="A1524"/>
      <c r="B1524"/>
      <c r="C1524"/>
      <c r="D1524"/>
      <c r="E1524"/>
      <c r="F1524" s="662" t="str">
        <f>LEFT(AllDaqbookOffsets[[#This Row],[traceability_no]],2)</f>
        <v>N2</v>
      </c>
    </row>
    <row r="1525" spans="1:6" x14ac:dyDescent="0.2">
      <c r="A1525"/>
      <c r="B1525"/>
      <c r="C1525"/>
      <c r="D1525"/>
      <c r="E1525"/>
      <c r="F1525" s="662" t="str">
        <f>LEFT(AllDaqbookOffsets[[#This Row],[traceability_no]],2)</f>
        <v>N2</v>
      </c>
    </row>
    <row r="1526" spans="1:6" x14ac:dyDescent="0.2">
      <c r="A1526"/>
      <c r="B1526"/>
      <c r="C1526"/>
      <c r="D1526"/>
      <c r="E1526"/>
      <c r="F1526" s="662" t="str">
        <f>LEFT(AllDaqbookOffsets[[#This Row],[traceability_no]],2)</f>
        <v>N2</v>
      </c>
    </row>
    <row r="1527" spans="1:6" x14ac:dyDescent="0.2">
      <c r="A1527"/>
      <c r="B1527"/>
      <c r="C1527"/>
      <c r="D1527"/>
      <c r="E1527"/>
      <c r="F1527" s="662" t="str">
        <f>LEFT(AllDaqbookOffsets[[#This Row],[traceability_no]],2)</f>
        <v>N2</v>
      </c>
    </row>
    <row r="1528" spans="1:6" x14ac:dyDescent="0.2">
      <c r="A1528"/>
      <c r="B1528"/>
      <c r="C1528"/>
      <c r="D1528"/>
      <c r="E1528"/>
      <c r="F1528" s="662" t="str">
        <f>LEFT(AllDaqbookOffsets[[#This Row],[traceability_no]],2)</f>
        <v>N2</v>
      </c>
    </row>
    <row r="1529" spans="1:6" x14ac:dyDescent="0.2">
      <c r="A1529"/>
      <c r="B1529"/>
      <c r="C1529"/>
      <c r="D1529"/>
      <c r="E1529"/>
      <c r="F1529" s="662" t="str">
        <f>LEFT(AllDaqbookOffsets[[#This Row],[traceability_no]],2)</f>
        <v>N2</v>
      </c>
    </row>
    <row r="1530" spans="1:6" x14ac:dyDescent="0.2">
      <c r="A1530"/>
      <c r="B1530"/>
      <c r="C1530"/>
      <c r="D1530"/>
      <c r="E1530"/>
      <c r="F1530" s="662" t="str">
        <f>LEFT(AllDaqbookOffsets[[#This Row],[traceability_no]],2)</f>
        <v>N2</v>
      </c>
    </row>
    <row r="1531" spans="1:6" x14ac:dyDescent="0.2">
      <c r="A1531"/>
      <c r="B1531"/>
      <c r="C1531"/>
      <c r="D1531"/>
      <c r="E1531"/>
      <c r="F1531" s="662" t="str">
        <f>LEFT(AllDaqbookOffsets[[#This Row],[traceability_no]],2)</f>
        <v>N2</v>
      </c>
    </row>
    <row r="1532" spans="1:6" x14ac:dyDescent="0.2">
      <c r="A1532"/>
      <c r="B1532"/>
      <c r="C1532"/>
      <c r="D1532"/>
      <c r="E1532"/>
      <c r="F1532" s="662" t="str">
        <f>LEFT(AllDaqbookOffsets[[#This Row],[traceability_no]],2)</f>
        <v>N2</v>
      </c>
    </row>
    <row r="1533" spans="1:6" x14ac:dyDescent="0.2">
      <c r="A1533"/>
      <c r="B1533"/>
      <c r="C1533"/>
      <c r="D1533"/>
      <c r="E1533"/>
      <c r="F1533" s="662" t="str">
        <f>LEFT(AllDaqbookOffsets[[#This Row],[traceability_no]],2)</f>
        <v>N2</v>
      </c>
    </row>
    <row r="1534" spans="1:6" x14ac:dyDescent="0.2">
      <c r="A1534"/>
      <c r="B1534"/>
      <c r="C1534"/>
      <c r="D1534"/>
      <c r="E1534"/>
      <c r="F1534" s="662" t="str">
        <f>LEFT(AllDaqbookOffsets[[#This Row],[traceability_no]],2)</f>
        <v>N2</v>
      </c>
    </row>
    <row r="1535" spans="1:6" x14ac:dyDescent="0.2">
      <c r="A1535"/>
      <c r="B1535"/>
      <c r="C1535"/>
      <c r="D1535"/>
      <c r="E1535"/>
      <c r="F1535" s="662" t="str">
        <f>LEFT(AllDaqbookOffsets[[#This Row],[traceability_no]],2)</f>
        <v>N2</v>
      </c>
    </row>
    <row r="1536" spans="1:6" x14ac:dyDescent="0.2">
      <c r="A1536"/>
      <c r="B1536"/>
      <c r="C1536"/>
      <c r="D1536"/>
      <c r="E1536"/>
      <c r="F1536" s="662" t="str">
        <f>LEFT(AllDaqbookOffsets[[#This Row],[traceability_no]],2)</f>
        <v>N2</v>
      </c>
    </row>
    <row r="1537" spans="1:6" x14ac:dyDescent="0.2">
      <c r="A1537"/>
      <c r="B1537"/>
      <c r="C1537"/>
      <c r="D1537"/>
      <c r="E1537"/>
      <c r="F1537" s="662" t="str">
        <f>LEFT(AllDaqbookOffsets[[#This Row],[traceability_no]],2)</f>
        <v>N2</v>
      </c>
    </row>
    <row r="1538" spans="1:6" x14ac:dyDescent="0.2">
      <c r="A1538"/>
      <c r="B1538"/>
      <c r="C1538"/>
      <c r="D1538"/>
      <c r="E1538"/>
      <c r="F1538" s="662" t="str">
        <f>LEFT(AllDaqbookOffsets[[#This Row],[traceability_no]],2)</f>
        <v>N2</v>
      </c>
    </row>
    <row r="1539" spans="1:6" x14ac:dyDescent="0.2">
      <c r="A1539"/>
      <c r="B1539"/>
      <c r="C1539"/>
      <c r="D1539"/>
      <c r="E1539"/>
      <c r="F1539" s="662" t="str">
        <f>LEFT(AllDaqbookOffsets[[#This Row],[traceability_no]],2)</f>
        <v>N2</v>
      </c>
    </row>
    <row r="1540" spans="1:6" x14ac:dyDescent="0.2">
      <c r="A1540"/>
      <c r="B1540"/>
      <c r="C1540"/>
      <c r="D1540"/>
      <c r="E1540"/>
      <c r="F1540" s="662" t="str">
        <f>LEFT(AllDaqbookOffsets[[#This Row],[traceability_no]],2)</f>
        <v>N2</v>
      </c>
    </row>
    <row r="1541" spans="1:6" x14ac:dyDescent="0.2">
      <c r="A1541"/>
      <c r="B1541"/>
      <c r="C1541"/>
      <c r="D1541"/>
      <c r="E1541"/>
      <c r="F1541" s="662" t="str">
        <f>LEFT(AllDaqbookOffsets[[#This Row],[traceability_no]],2)</f>
        <v>N2</v>
      </c>
    </row>
    <row r="1542" spans="1:6" x14ac:dyDescent="0.2">
      <c r="A1542"/>
      <c r="B1542"/>
      <c r="C1542"/>
      <c r="D1542"/>
      <c r="E1542"/>
      <c r="F1542" s="662" t="str">
        <f>LEFT(AllDaqbookOffsets[[#This Row],[traceability_no]],2)</f>
        <v>N2</v>
      </c>
    </row>
    <row r="1543" spans="1:6" x14ac:dyDescent="0.2">
      <c r="A1543"/>
      <c r="B1543"/>
      <c r="C1543"/>
      <c r="D1543"/>
      <c r="E1543"/>
      <c r="F1543" s="662" t="str">
        <f>LEFT(AllDaqbookOffsets[[#This Row],[traceability_no]],2)</f>
        <v>N2</v>
      </c>
    </row>
    <row r="1544" spans="1:6" x14ac:dyDescent="0.2">
      <c r="A1544"/>
      <c r="B1544"/>
      <c r="C1544"/>
      <c r="D1544"/>
      <c r="E1544"/>
      <c r="F1544" s="662" t="str">
        <f>LEFT(AllDaqbookOffsets[[#This Row],[traceability_no]],2)</f>
        <v>N2</v>
      </c>
    </row>
    <row r="1545" spans="1:6" x14ac:dyDescent="0.2">
      <c r="A1545"/>
      <c r="B1545"/>
      <c r="C1545"/>
      <c r="D1545"/>
      <c r="E1545"/>
      <c r="F1545" s="662" t="str">
        <f>LEFT(AllDaqbookOffsets[[#This Row],[traceability_no]],2)</f>
        <v>N2</v>
      </c>
    </row>
    <row r="1546" spans="1:6" x14ac:dyDescent="0.2">
      <c r="A1546"/>
      <c r="B1546"/>
      <c r="C1546"/>
      <c r="D1546"/>
      <c r="E1546"/>
      <c r="F1546" s="662" t="str">
        <f>LEFT(AllDaqbookOffsets[[#This Row],[traceability_no]],2)</f>
        <v>N2</v>
      </c>
    </row>
    <row r="1547" spans="1:6" x14ac:dyDescent="0.2">
      <c r="A1547"/>
      <c r="B1547"/>
      <c r="C1547"/>
      <c r="D1547"/>
      <c r="E1547"/>
      <c r="F1547" s="662" t="str">
        <f>LEFT(AllDaqbookOffsets[[#This Row],[traceability_no]],2)</f>
        <v>N2</v>
      </c>
    </row>
    <row r="1548" spans="1:6" x14ac:dyDescent="0.2">
      <c r="A1548"/>
      <c r="B1548"/>
      <c r="C1548"/>
      <c r="D1548"/>
      <c r="E1548"/>
      <c r="F1548" s="662" t="str">
        <f>LEFT(AllDaqbookOffsets[[#This Row],[traceability_no]],2)</f>
        <v>N2</v>
      </c>
    </row>
    <row r="1549" spans="1:6" x14ac:dyDescent="0.2">
      <c r="A1549"/>
      <c r="B1549"/>
      <c r="C1549"/>
      <c r="D1549"/>
      <c r="E1549"/>
      <c r="F1549" s="662" t="str">
        <f>LEFT(AllDaqbookOffsets[[#This Row],[traceability_no]],2)</f>
        <v>N2</v>
      </c>
    </row>
    <row r="1550" spans="1:6" x14ac:dyDescent="0.2">
      <c r="A1550"/>
      <c r="B1550"/>
      <c r="C1550"/>
      <c r="D1550"/>
      <c r="E1550"/>
      <c r="F1550" s="662" t="str">
        <f>LEFT(AllDaqbookOffsets[[#This Row],[traceability_no]],2)</f>
        <v>N2</v>
      </c>
    </row>
    <row r="1551" spans="1:6" x14ac:dyDescent="0.2">
      <c r="A1551"/>
      <c r="B1551"/>
      <c r="C1551"/>
      <c r="D1551"/>
      <c r="E1551"/>
      <c r="F1551" s="662" t="str">
        <f>LEFT(AllDaqbookOffsets[[#This Row],[traceability_no]],2)</f>
        <v>N2</v>
      </c>
    </row>
    <row r="1552" spans="1:6" x14ac:dyDescent="0.2">
      <c r="A1552"/>
      <c r="B1552"/>
      <c r="C1552"/>
      <c r="D1552"/>
      <c r="E1552"/>
      <c r="F1552" s="662" t="str">
        <f>LEFT(AllDaqbookOffsets[[#This Row],[traceability_no]],2)</f>
        <v>N2</v>
      </c>
    </row>
    <row r="1553" spans="1:6" x14ac:dyDescent="0.2">
      <c r="A1553"/>
      <c r="B1553"/>
      <c r="C1553"/>
      <c r="D1553"/>
      <c r="E1553"/>
      <c r="F1553" s="662" t="str">
        <f>LEFT(AllDaqbookOffsets[[#This Row],[traceability_no]],2)</f>
        <v>N2</v>
      </c>
    </row>
    <row r="1554" spans="1:6" x14ac:dyDescent="0.2">
      <c r="A1554"/>
      <c r="B1554"/>
      <c r="C1554"/>
      <c r="D1554"/>
      <c r="E1554"/>
      <c r="F1554" s="662" t="str">
        <f>LEFT(AllDaqbookOffsets[[#This Row],[traceability_no]],2)</f>
        <v>N2</v>
      </c>
    </row>
    <row r="1555" spans="1:6" x14ac:dyDescent="0.2">
      <c r="A1555"/>
      <c r="B1555"/>
      <c r="C1555"/>
      <c r="D1555"/>
      <c r="E1555"/>
      <c r="F1555" s="662" t="str">
        <f>LEFT(AllDaqbookOffsets[[#This Row],[traceability_no]],2)</f>
        <v>N2</v>
      </c>
    </row>
    <row r="1556" spans="1:6" x14ac:dyDescent="0.2">
      <c r="A1556"/>
      <c r="B1556"/>
      <c r="C1556"/>
      <c r="D1556"/>
      <c r="E1556"/>
      <c r="F1556" s="662" t="str">
        <f>LEFT(AllDaqbookOffsets[[#This Row],[traceability_no]],2)</f>
        <v>N2</v>
      </c>
    </row>
    <row r="1557" spans="1:6" x14ac:dyDescent="0.2">
      <c r="A1557"/>
      <c r="B1557"/>
      <c r="C1557"/>
      <c r="D1557"/>
      <c r="E1557"/>
      <c r="F1557" s="662" t="str">
        <f>LEFT(AllDaqbookOffsets[[#This Row],[traceability_no]],2)</f>
        <v>N2</v>
      </c>
    </row>
    <row r="1558" spans="1:6" x14ac:dyDescent="0.2">
      <c r="A1558"/>
      <c r="B1558"/>
      <c r="C1558"/>
      <c r="D1558"/>
      <c r="E1558"/>
      <c r="F1558" s="662" t="str">
        <f>LEFT(AllDaqbookOffsets[[#This Row],[traceability_no]],2)</f>
        <v>N2</v>
      </c>
    </row>
    <row r="1559" spans="1:6" x14ac:dyDescent="0.2">
      <c r="A1559"/>
      <c r="B1559"/>
      <c r="C1559"/>
      <c r="D1559"/>
      <c r="E1559"/>
      <c r="F1559" s="662" t="str">
        <f>LEFT(AllDaqbookOffsets[[#This Row],[traceability_no]],2)</f>
        <v>N2</v>
      </c>
    </row>
    <row r="1560" spans="1:6" x14ac:dyDescent="0.2">
      <c r="A1560"/>
      <c r="B1560"/>
      <c r="C1560"/>
      <c r="D1560"/>
      <c r="E1560"/>
      <c r="F1560" s="662" t="str">
        <f>LEFT(AllDaqbookOffsets[[#This Row],[traceability_no]],2)</f>
        <v>N2</v>
      </c>
    </row>
    <row r="1561" spans="1:6" x14ac:dyDescent="0.2">
      <c r="A1561"/>
      <c r="B1561"/>
      <c r="C1561"/>
      <c r="D1561"/>
      <c r="E1561"/>
      <c r="F1561" s="662" t="str">
        <f>LEFT(AllDaqbookOffsets[[#This Row],[traceability_no]],2)</f>
        <v>N2</v>
      </c>
    </row>
    <row r="1562" spans="1:6" x14ac:dyDescent="0.2">
      <c r="A1562"/>
      <c r="B1562"/>
      <c r="C1562"/>
      <c r="D1562"/>
      <c r="E1562"/>
      <c r="F1562" s="662" t="str">
        <f>LEFT(AllDaqbookOffsets[[#This Row],[traceability_no]],2)</f>
        <v>N2</v>
      </c>
    </row>
    <row r="1563" spans="1:6" x14ac:dyDescent="0.2">
      <c r="A1563"/>
      <c r="B1563"/>
      <c r="C1563"/>
      <c r="D1563"/>
      <c r="E1563"/>
      <c r="F1563" s="662" t="str">
        <f>LEFT(AllDaqbookOffsets[[#This Row],[traceability_no]],2)</f>
        <v>N2</v>
      </c>
    </row>
    <row r="1564" spans="1:6" x14ac:dyDescent="0.2">
      <c r="A1564"/>
      <c r="B1564"/>
      <c r="C1564"/>
      <c r="D1564"/>
      <c r="E1564"/>
      <c r="F1564" s="662" t="str">
        <f>LEFT(AllDaqbookOffsets[[#This Row],[traceability_no]],2)</f>
        <v>N2</v>
      </c>
    </row>
    <row r="1565" spans="1:6" x14ac:dyDescent="0.2">
      <c r="A1565"/>
      <c r="B1565"/>
      <c r="C1565"/>
      <c r="D1565"/>
      <c r="E1565"/>
      <c r="F1565" s="662" t="str">
        <f>LEFT(AllDaqbookOffsets[[#This Row],[traceability_no]],2)</f>
        <v>N2</v>
      </c>
    </row>
    <row r="1566" spans="1:6" x14ac:dyDescent="0.2">
      <c r="A1566"/>
      <c r="B1566"/>
      <c r="C1566"/>
      <c r="D1566"/>
      <c r="E1566"/>
      <c r="F1566" s="662" t="str">
        <f>LEFT(AllDaqbookOffsets[[#This Row],[traceability_no]],2)</f>
        <v>N2</v>
      </c>
    </row>
    <row r="1567" spans="1:6" x14ac:dyDescent="0.2">
      <c r="A1567"/>
      <c r="B1567"/>
      <c r="C1567"/>
      <c r="D1567"/>
      <c r="E1567"/>
      <c r="F1567" s="662" t="str">
        <f>LEFT(AllDaqbookOffsets[[#This Row],[traceability_no]],2)</f>
        <v>N2</v>
      </c>
    </row>
    <row r="1568" spans="1:6" x14ac:dyDescent="0.2">
      <c r="A1568"/>
      <c r="B1568"/>
      <c r="C1568"/>
      <c r="D1568"/>
      <c r="E1568"/>
      <c r="F1568" s="662" t="str">
        <f>LEFT(AllDaqbookOffsets[[#This Row],[traceability_no]],2)</f>
        <v>N2</v>
      </c>
    </row>
    <row r="1569" spans="1:6" x14ac:dyDescent="0.2">
      <c r="A1569"/>
      <c r="B1569"/>
      <c r="C1569"/>
      <c r="D1569"/>
      <c r="E1569"/>
      <c r="F1569" s="662" t="str">
        <f>LEFT(AllDaqbookOffsets[[#This Row],[traceability_no]],2)</f>
        <v>N2</v>
      </c>
    </row>
    <row r="1570" spans="1:6" x14ac:dyDescent="0.2">
      <c r="A1570"/>
      <c r="B1570"/>
      <c r="C1570"/>
      <c r="D1570"/>
      <c r="E1570"/>
      <c r="F1570" s="662" t="str">
        <f>LEFT(AllDaqbookOffsets[[#This Row],[traceability_no]],2)</f>
        <v>N2</v>
      </c>
    </row>
    <row r="1571" spans="1:6" x14ac:dyDescent="0.2">
      <c r="A1571"/>
      <c r="B1571"/>
      <c r="C1571"/>
      <c r="D1571"/>
      <c r="E1571"/>
      <c r="F1571" s="662" t="str">
        <f>LEFT(AllDaqbookOffsets[[#This Row],[traceability_no]],2)</f>
        <v>N2</v>
      </c>
    </row>
    <row r="1572" spans="1:6" x14ac:dyDescent="0.2">
      <c r="A1572"/>
      <c r="B1572"/>
      <c r="C1572"/>
      <c r="D1572"/>
      <c r="E1572"/>
      <c r="F1572" s="662" t="str">
        <f>LEFT(AllDaqbookOffsets[[#This Row],[traceability_no]],2)</f>
        <v>N2</v>
      </c>
    </row>
    <row r="1573" spans="1:6" x14ac:dyDescent="0.2">
      <c r="A1573"/>
      <c r="B1573"/>
      <c r="C1573"/>
      <c r="D1573"/>
      <c r="E1573"/>
      <c r="F1573" s="662" t="str">
        <f>LEFT(AllDaqbookOffsets[[#This Row],[traceability_no]],2)</f>
        <v>N2</v>
      </c>
    </row>
    <row r="1574" spans="1:6" x14ac:dyDescent="0.2">
      <c r="A1574"/>
      <c r="B1574"/>
      <c r="C1574"/>
      <c r="D1574"/>
      <c r="E1574"/>
      <c r="F1574" s="662" t="str">
        <f>LEFT(AllDaqbookOffsets[[#This Row],[traceability_no]],2)</f>
        <v>N2</v>
      </c>
    </row>
    <row r="1575" spans="1:6" x14ac:dyDescent="0.2">
      <c r="A1575"/>
      <c r="B1575"/>
      <c r="C1575"/>
      <c r="D1575"/>
      <c r="E1575"/>
      <c r="F1575" s="662" t="str">
        <f>LEFT(AllDaqbookOffsets[[#This Row],[traceability_no]],2)</f>
        <v>N2</v>
      </c>
    </row>
    <row r="1576" spans="1:6" x14ac:dyDescent="0.2">
      <c r="A1576"/>
      <c r="B1576"/>
      <c r="C1576"/>
      <c r="D1576"/>
      <c r="E1576"/>
      <c r="F1576" s="662" t="str">
        <f>LEFT(AllDaqbookOffsets[[#This Row],[traceability_no]],2)</f>
        <v>N2</v>
      </c>
    </row>
    <row r="1577" spans="1:6" x14ac:dyDescent="0.2">
      <c r="A1577"/>
      <c r="B1577"/>
      <c r="C1577"/>
      <c r="D1577"/>
      <c r="E1577"/>
      <c r="F1577" s="662" t="str">
        <f>LEFT(AllDaqbookOffsets[[#This Row],[traceability_no]],2)</f>
        <v>N2</v>
      </c>
    </row>
    <row r="1578" spans="1:6" x14ac:dyDescent="0.2">
      <c r="A1578"/>
      <c r="B1578"/>
      <c r="C1578"/>
      <c r="D1578"/>
      <c r="E1578"/>
      <c r="F1578" s="662" t="str">
        <f>LEFT(AllDaqbookOffsets[[#This Row],[traceability_no]],2)</f>
        <v>N2</v>
      </c>
    </row>
    <row r="1579" spans="1:6" x14ac:dyDescent="0.2">
      <c r="A1579"/>
      <c r="B1579"/>
      <c r="C1579"/>
      <c r="D1579"/>
      <c r="E1579"/>
      <c r="F1579" s="662" t="str">
        <f>LEFT(AllDaqbookOffsets[[#This Row],[traceability_no]],2)</f>
        <v>N2</v>
      </c>
    </row>
    <row r="1580" spans="1:6" x14ac:dyDescent="0.2">
      <c r="A1580"/>
      <c r="B1580"/>
      <c r="C1580"/>
      <c r="D1580"/>
      <c r="E1580"/>
      <c r="F1580" s="662" t="str">
        <f>LEFT(AllDaqbookOffsets[[#This Row],[traceability_no]],2)</f>
        <v>N2</v>
      </c>
    </row>
    <row r="1581" spans="1:6" x14ac:dyDescent="0.2">
      <c r="A1581"/>
      <c r="B1581"/>
      <c r="C1581"/>
      <c r="D1581"/>
      <c r="E1581"/>
      <c r="F1581" s="662" t="str">
        <f>LEFT(AllDaqbookOffsets[[#This Row],[traceability_no]],2)</f>
        <v>N2</v>
      </c>
    </row>
    <row r="1582" spans="1:6" x14ac:dyDescent="0.2">
      <c r="A1582"/>
      <c r="B1582"/>
      <c r="C1582"/>
      <c r="D1582"/>
      <c r="E1582"/>
      <c r="F1582" s="662" t="str">
        <f>LEFT(AllDaqbookOffsets[[#This Row],[traceability_no]],2)</f>
        <v>N2</v>
      </c>
    </row>
    <row r="1583" spans="1:6" x14ac:dyDescent="0.2">
      <c r="A1583"/>
      <c r="B1583"/>
      <c r="C1583"/>
      <c r="D1583"/>
      <c r="E1583"/>
      <c r="F1583" s="662" t="str">
        <f>LEFT(AllDaqbookOffsets[[#This Row],[traceability_no]],2)</f>
        <v>N2</v>
      </c>
    </row>
    <row r="1584" spans="1:6" x14ac:dyDescent="0.2">
      <c r="A1584"/>
      <c r="B1584"/>
      <c r="C1584"/>
      <c r="D1584"/>
      <c r="E1584"/>
      <c r="F1584" s="662" t="str">
        <f>LEFT(AllDaqbookOffsets[[#This Row],[traceability_no]],2)</f>
        <v>N2</v>
      </c>
    </row>
    <row r="1585" spans="1:6" x14ac:dyDescent="0.2">
      <c r="A1585"/>
      <c r="B1585"/>
      <c r="C1585"/>
      <c r="D1585"/>
      <c r="E1585"/>
      <c r="F1585" s="662" t="str">
        <f>LEFT(AllDaqbookOffsets[[#This Row],[traceability_no]],2)</f>
        <v>N2</v>
      </c>
    </row>
    <row r="1586" spans="1:6" x14ac:dyDescent="0.2">
      <c r="A1586"/>
      <c r="B1586"/>
      <c r="C1586"/>
      <c r="D1586"/>
      <c r="E1586"/>
      <c r="F1586" s="662" t="str">
        <f>LEFT(AllDaqbookOffsets[[#This Row],[traceability_no]],2)</f>
        <v>N2</v>
      </c>
    </row>
    <row r="1587" spans="1:6" x14ac:dyDescent="0.2">
      <c r="A1587"/>
      <c r="B1587"/>
      <c r="C1587"/>
      <c r="D1587"/>
      <c r="E1587"/>
      <c r="F1587" s="662" t="str">
        <f>LEFT(AllDaqbookOffsets[[#This Row],[traceability_no]],2)</f>
        <v>N2</v>
      </c>
    </row>
    <row r="1588" spans="1:6" x14ac:dyDescent="0.2">
      <c r="A1588"/>
      <c r="B1588"/>
      <c r="C1588"/>
      <c r="D1588"/>
      <c r="E1588"/>
      <c r="F1588" s="662" t="str">
        <f>LEFT(AllDaqbookOffsets[[#This Row],[traceability_no]],2)</f>
        <v>N2</v>
      </c>
    </row>
    <row r="1589" spans="1:6" x14ac:dyDescent="0.2">
      <c r="A1589"/>
      <c r="B1589"/>
      <c r="C1589"/>
      <c r="D1589"/>
      <c r="E1589"/>
      <c r="F1589" s="662" t="str">
        <f>LEFT(AllDaqbookOffsets[[#This Row],[traceability_no]],2)</f>
        <v>N2</v>
      </c>
    </row>
    <row r="1590" spans="1:6" x14ac:dyDescent="0.2">
      <c r="A1590"/>
      <c r="B1590"/>
      <c r="C1590"/>
      <c r="D1590"/>
      <c r="E1590"/>
      <c r="F1590" s="662" t="str">
        <f>LEFT(AllDaqbookOffsets[[#This Row],[traceability_no]],2)</f>
        <v>N2</v>
      </c>
    </row>
    <row r="1591" spans="1:6" x14ac:dyDescent="0.2">
      <c r="A1591"/>
      <c r="B1591"/>
      <c r="C1591"/>
      <c r="D1591"/>
      <c r="E1591"/>
      <c r="F1591" s="662" t="str">
        <f>LEFT(AllDaqbookOffsets[[#This Row],[traceability_no]],2)</f>
        <v>N2</v>
      </c>
    </row>
    <row r="1592" spans="1:6" x14ac:dyDescent="0.2">
      <c r="A1592"/>
      <c r="B1592"/>
      <c r="C1592"/>
      <c r="D1592"/>
      <c r="E1592"/>
      <c r="F1592" s="662" t="str">
        <f>LEFT(AllDaqbookOffsets[[#This Row],[traceability_no]],2)</f>
        <v>N2</v>
      </c>
    </row>
    <row r="1593" spans="1:6" x14ac:dyDescent="0.2">
      <c r="A1593"/>
      <c r="B1593"/>
      <c r="C1593"/>
      <c r="D1593"/>
      <c r="E1593"/>
      <c r="F1593" s="662" t="str">
        <f>LEFT(AllDaqbookOffsets[[#This Row],[traceability_no]],2)</f>
        <v>N2</v>
      </c>
    </row>
    <row r="1594" spans="1:6" x14ac:dyDescent="0.2">
      <c r="A1594"/>
      <c r="B1594"/>
      <c r="C1594"/>
      <c r="D1594"/>
      <c r="E1594"/>
      <c r="F1594" s="662" t="str">
        <f>LEFT(AllDaqbookOffsets[[#This Row],[traceability_no]],2)</f>
        <v>N2</v>
      </c>
    </row>
    <row r="1595" spans="1:6" x14ac:dyDescent="0.2">
      <c r="A1595"/>
      <c r="B1595"/>
      <c r="C1595"/>
      <c r="D1595"/>
      <c r="E1595"/>
      <c r="F1595" s="662" t="str">
        <f>LEFT(AllDaqbookOffsets[[#This Row],[traceability_no]],2)</f>
        <v>N2</v>
      </c>
    </row>
    <row r="1596" spans="1:6" x14ac:dyDescent="0.2">
      <c r="A1596"/>
      <c r="B1596"/>
      <c r="C1596"/>
      <c r="D1596"/>
      <c r="E1596"/>
      <c r="F1596" s="662" t="str">
        <f>LEFT(AllDaqbookOffsets[[#This Row],[traceability_no]],2)</f>
        <v>N2</v>
      </c>
    </row>
    <row r="1597" spans="1:6" x14ac:dyDescent="0.2">
      <c r="A1597"/>
      <c r="B1597"/>
      <c r="C1597"/>
      <c r="D1597"/>
      <c r="E1597"/>
      <c r="F1597" s="662" t="str">
        <f>LEFT(AllDaqbookOffsets[[#This Row],[traceability_no]],2)</f>
        <v>N2</v>
      </c>
    </row>
    <row r="1598" spans="1:6" x14ac:dyDescent="0.2">
      <c r="A1598"/>
      <c r="B1598"/>
      <c r="C1598"/>
      <c r="D1598"/>
      <c r="E1598"/>
      <c r="F1598" s="662" t="str">
        <f>LEFT(AllDaqbookOffsets[[#This Row],[traceability_no]],2)</f>
        <v>N2</v>
      </c>
    </row>
    <row r="1599" spans="1:6" x14ac:dyDescent="0.2">
      <c r="A1599"/>
      <c r="B1599"/>
      <c r="C1599"/>
      <c r="D1599"/>
      <c r="E1599"/>
      <c r="F1599" s="662" t="str">
        <f>LEFT(AllDaqbookOffsets[[#This Row],[traceability_no]],2)</f>
        <v>N2</v>
      </c>
    </row>
    <row r="1600" spans="1:6" x14ac:dyDescent="0.2">
      <c r="A1600"/>
      <c r="B1600"/>
      <c r="C1600"/>
      <c r="D1600"/>
      <c r="E1600"/>
      <c r="F1600" s="662" t="str">
        <f>LEFT(AllDaqbookOffsets[[#This Row],[traceability_no]],2)</f>
        <v>N2</v>
      </c>
    </row>
    <row r="1601" spans="1:6" x14ac:dyDescent="0.2">
      <c r="A1601"/>
      <c r="B1601"/>
      <c r="C1601"/>
      <c r="D1601"/>
      <c r="E1601"/>
      <c r="F1601" s="662" t="str">
        <f>LEFT(AllDaqbookOffsets[[#This Row],[traceability_no]],2)</f>
        <v>N2</v>
      </c>
    </row>
    <row r="1602" spans="1:6" x14ac:dyDescent="0.2">
      <c r="A1602"/>
      <c r="B1602"/>
      <c r="C1602"/>
      <c r="D1602"/>
      <c r="E1602"/>
      <c r="F1602" s="662" t="str">
        <f>LEFT(AllDaqbookOffsets[[#This Row],[traceability_no]],2)</f>
        <v>N2</v>
      </c>
    </row>
    <row r="1603" spans="1:6" x14ac:dyDescent="0.2">
      <c r="A1603"/>
      <c r="B1603"/>
      <c r="C1603"/>
      <c r="D1603"/>
      <c r="E1603"/>
      <c r="F1603" s="662" t="str">
        <f>LEFT(AllDaqbookOffsets[[#This Row],[traceability_no]],2)</f>
        <v>N2</v>
      </c>
    </row>
    <row r="1604" spans="1:6" x14ac:dyDescent="0.2">
      <c r="A1604"/>
      <c r="B1604"/>
      <c r="C1604"/>
      <c r="D1604"/>
      <c r="E1604"/>
      <c r="F1604" s="662" t="str">
        <f>LEFT(AllDaqbookOffsets[[#This Row],[traceability_no]],2)</f>
        <v>N2</v>
      </c>
    </row>
    <row r="1605" spans="1:6" x14ac:dyDescent="0.2">
      <c r="A1605"/>
      <c r="B1605"/>
      <c r="C1605"/>
      <c r="D1605"/>
      <c r="E1605"/>
      <c r="F1605" s="662" t="str">
        <f>LEFT(AllDaqbookOffsets[[#This Row],[traceability_no]],2)</f>
        <v>N2</v>
      </c>
    </row>
    <row r="1606" spans="1:6" x14ac:dyDescent="0.2">
      <c r="A1606"/>
      <c r="B1606"/>
      <c r="C1606"/>
      <c r="D1606"/>
      <c r="E1606"/>
      <c r="F1606" s="662" t="str">
        <f>LEFT(AllDaqbookOffsets[[#This Row],[traceability_no]],2)</f>
        <v>N2</v>
      </c>
    </row>
    <row r="1607" spans="1:6" x14ac:dyDescent="0.2">
      <c r="A1607"/>
      <c r="B1607"/>
      <c r="C1607"/>
      <c r="D1607"/>
      <c r="E1607"/>
      <c r="F1607" s="662" t="str">
        <f>LEFT(AllDaqbookOffsets[[#This Row],[traceability_no]],2)</f>
        <v>N2</v>
      </c>
    </row>
    <row r="1608" spans="1:6" x14ac:dyDescent="0.2">
      <c r="A1608"/>
      <c r="B1608"/>
      <c r="C1608"/>
      <c r="D1608"/>
      <c r="E1608"/>
      <c r="F1608" s="662"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15"/>
      <c r="I2"/>
    </row>
    <row r="3" spans="1:12" x14ac:dyDescent="0.2">
      <c r="A3"/>
      <c r="B3"/>
      <c r="C3"/>
      <c r="D3"/>
      <c r="E3"/>
      <c r="F3"/>
      <c r="G3"/>
      <c r="H3" s="106"/>
      <c r="I3"/>
    </row>
    <row r="4" spans="1:12" x14ac:dyDescent="0.2">
      <c r="A4"/>
      <c r="B4"/>
      <c r="C4"/>
      <c r="D4"/>
      <c r="E4"/>
      <c r="F4"/>
      <c r="G4"/>
      <c r="H4" s="106"/>
      <c r="I4"/>
    </row>
    <row r="5" spans="1:12" x14ac:dyDescent="0.2">
      <c r="A5"/>
      <c r="B5"/>
      <c r="C5"/>
      <c r="D5"/>
      <c r="E5"/>
      <c r="F5"/>
      <c r="G5"/>
      <c r="H5" s="106"/>
      <c r="I5"/>
    </row>
    <row r="6" spans="1:12" x14ac:dyDescent="0.2">
      <c r="A6"/>
      <c r="B6"/>
      <c r="C6"/>
      <c r="D6"/>
      <c r="E6"/>
      <c r="F6"/>
      <c r="G6"/>
      <c r="H6" s="106"/>
      <c r="I6"/>
    </row>
    <row r="7" spans="1:12" x14ac:dyDescent="0.2">
      <c r="A7"/>
      <c r="B7"/>
      <c r="C7"/>
      <c r="D7"/>
      <c r="E7"/>
      <c r="F7"/>
      <c r="G7"/>
      <c r="H7" s="106"/>
      <c r="I7"/>
      <c r="L7" s="37"/>
    </row>
    <row r="8" spans="1:12" x14ac:dyDescent="0.2">
      <c r="A8"/>
      <c r="B8"/>
      <c r="C8"/>
      <c r="D8"/>
      <c r="E8"/>
      <c r="F8"/>
      <c r="G8"/>
      <c r="H8" s="106"/>
      <c r="I8"/>
    </row>
    <row r="9" spans="1:12" x14ac:dyDescent="0.2">
      <c r="A9"/>
      <c r="B9"/>
      <c r="C9"/>
      <c r="D9"/>
      <c r="E9"/>
      <c r="F9"/>
      <c r="G9"/>
      <c r="H9" s="106"/>
      <c r="I9"/>
    </row>
    <row r="10" spans="1:12" x14ac:dyDescent="0.2">
      <c r="A10"/>
      <c r="B10"/>
      <c r="C10"/>
      <c r="D10"/>
      <c r="E10"/>
      <c r="F10"/>
      <c r="G10"/>
      <c r="H10" s="106"/>
      <c r="I10"/>
    </row>
    <row r="11" spans="1:12" x14ac:dyDescent="0.2">
      <c r="A11"/>
      <c r="B11"/>
      <c r="C11"/>
      <c r="D11"/>
      <c r="E11"/>
      <c r="F11"/>
      <c r="G11"/>
      <c r="H11" s="106"/>
      <c r="I11"/>
    </row>
    <row r="12" spans="1:12" x14ac:dyDescent="0.2">
      <c r="A12"/>
      <c r="B12"/>
      <c r="C12"/>
      <c r="D12"/>
      <c r="E12"/>
      <c r="F12"/>
      <c r="G12"/>
      <c r="H12" s="106"/>
      <c r="I12"/>
    </row>
    <row r="13" spans="1:12"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89" t="s">
        <v>856</v>
      </c>
    </row>
    <row r="2" spans="1:3" x14ac:dyDescent="0.2">
      <c r="A2" s="37"/>
      <c r="B2" s="37"/>
    </row>
    <row r="3" spans="1:3" x14ac:dyDescent="0.2">
      <c r="A3" s="37" t="s">
        <v>562</v>
      </c>
      <c r="B3" s="37" t="s">
        <v>563</v>
      </c>
      <c r="C3" s="37" t="s">
        <v>857</v>
      </c>
    </row>
    <row r="4" spans="1:3" x14ac:dyDescent="0.2">
      <c r="A4" s="388">
        <v>-100</v>
      </c>
      <c r="B4" s="388">
        <v>392</v>
      </c>
      <c r="C4" s="387">
        <v>1.6</v>
      </c>
    </row>
    <row r="5" spans="1:3" x14ac:dyDescent="0.2">
      <c r="A5" s="388">
        <v>392</v>
      </c>
      <c r="B5" s="388">
        <v>752</v>
      </c>
      <c r="C5" s="387">
        <v>4</v>
      </c>
    </row>
    <row r="6" spans="1:3" x14ac:dyDescent="0.2">
      <c r="A6" s="388">
        <v>752</v>
      </c>
      <c r="B6" s="388">
        <v>1200</v>
      </c>
      <c r="C6" s="387">
        <v>3</v>
      </c>
    </row>
    <row r="7" spans="1:3" x14ac:dyDescent="0.2">
      <c r="A7" s="388">
        <v>1200</v>
      </c>
      <c r="B7" s="388">
        <v>2000</v>
      </c>
      <c r="C7" s="387">
        <v>4.0999999999999996</v>
      </c>
    </row>
    <row r="8" spans="1:3" x14ac:dyDescent="0.2">
      <c r="A8" s="388">
        <v>1800</v>
      </c>
      <c r="B8" s="388">
        <v>2200</v>
      </c>
      <c r="C8" s="387">
        <v>4.0999999999999996</v>
      </c>
    </row>
  </sheetData>
  <sheetProtection algorithmName="SHA-512" hashValue="9cHQV3HS0RPKMf7Zl4MN3fLrxAK7Rt+b8TW+gVZx4zDFoFSBL+T1n3AljS8ABo0e3EH9LOmS6+UBTuW9f/wYKA==" saltValue="uD5Qn+1CLDdCpZKp5ZLSs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7"/>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row>
    <row r="61" spans="1:36" x14ac:dyDescent="0.2">
      <c r="A61"/>
      <c r="B61"/>
      <c r="C61"/>
      <c r="D61"/>
      <c r="E61"/>
      <c r="F61"/>
      <c r="G61"/>
      <c r="H61"/>
      <c r="I61"/>
      <c r="J61"/>
      <c r="K61"/>
      <c r="L61"/>
      <c r="M61"/>
      <c r="N61"/>
      <c r="O61"/>
      <c r="P61"/>
      <c r="Q61"/>
      <c r="R61"/>
      <c r="S61"/>
      <c r="T61"/>
      <c r="U61"/>
      <c r="V61"/>
      <c r="W61"/>
      <c r="X61"/>
      <c r="Y61"/>
      <c r="Z61"/>
      <c r="AA61"/>
      <c r="AB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c r="AI75"/>
    </row>
    <row r="76" spans="1:35" x14ac:dyDescent="0.2">
      <c r="A76"/>
      <c r="B76"/>
      <c r="C76"/>
      <c r="D76"/>
      <c r="E76"/>
      <c r="F76"/>
      <c r="G76"/>
      <c r="H76"/>
      <c r="I76"/>
      <c r="J76"/>
      <c r="K76"/>
      <c r="L76"/>
      <c r="M76"/>
      <c r="N76"/>
      <c r="O76"/>
      <c r="P76"/>
      <c r="Q76"/>
      <c r="R76"/>
      <c r="S76"/>
      <c r="T76"/>
      <c r="U76"/>
      <c r="V76"/>
      <c r="W76"/>
      <c r="X76"/>
      <c r="Y76"/>
      <c r="Z76"/>
      <c r="AA76"/>
      <c r="AB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Y96"/>
      <c r="Z96"/>
      <c r="AA96"/>
      <c r="AB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C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Y274"/>
      <c r="Z274"/>
      <c r="AA274"/>
      <c r="AB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J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Y315"/>
      <c r="Z315"/>
      <c r="AA315"/>
      <c r="AB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J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P341"/>
      <c r="T341"/>
      <c r="X341"/>
      <c r="Y341"/>
      <c r="Z341"/>
      <c r="AA341"/>
      <c r="AB341"/>
      <c r="AC341"/>
      <c r="AD341"/>
      <c r="AE341"/>
      <c r="AF341"/>
      <c r="AG341"/>
      <c r="AH341"/>
    </row>
    <row r="342" spans="1:36" x14ac:dyDescent="0.2">
      <c r="A342"/>
      <c r="B342"/>
      <c r="C342"/>
      <c r="D342"/>
      <c r="E342"/>
      <c r="F342"/>
      <c r="G342"/>
      <c r="H342"/>
      <c r="I342"/>
      <c r="J342"/>
      <c r="K342"/>
      <c r="L342"/>
      <c r="M342"/>
      <c r="N342"/>
      <c r="O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P348"/>
      <c r="T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J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9"/>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66">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400°F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180°F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7" spans="1:13" x14ac:dyDescent="0.2">
      <c r="A417"/>
      <c r="B417"/>
      <c r="C417"/>
      <c r="D417"/>
      <c r="E417"/>
      <c r="F417"/>
      <c r="G417"/>
      <c r="I417" t="str">
        <f>TEXT(UUTRangeTol[[#This Row],[TolMin]],SUBSTITUTE(UUTRangeTol[[#This Row],[TolResolution]],"1","0"))&amp;UUTRangeTol[[#This Row],[Unit]]</f>
        <v>-10°F</v>
      </c>
      <c r="J417" t="str">
        <f>TEXT(UUTRangeTol[[#This Row],[TolMax]],SUBSTITUTE(UUTRangeTol[[#This Row],[TolResolution]],"1","0"))&amp;UUTRangeTol[[#This Row],[Unit]]</f>
        <v>10°F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8" spans="1:13" x14ac:dyDescent="0.2">
      <c r="A418"/>
      <c r="B418"/>
      <c r="C418"/>
      <c r="D418"/>
      <c r="E418"/>
      <c r="F418"/>
      <c r="G418"/>
      <c r="I418" t="str">
        <f>TEXT(UUTRangeTol[[#This Row],[TolMin]],SUBSTITUTE(UUTRangeTol[[#This Row],[TolResolution]],"1","0"))&amp;UUTRangeTol[[#This Row],[Unit]]</f>
        <v>-10.0°F</v>
      </c>
      <c r="J418" t="str">
        <f>TEXT(UUTRangeTol[[#This Row],[TolMax]],SUBSTITUTE(UUTRangeTol[[#This Row],[TolResolution]],"1","0"))&amp;UUTRangeTol[[#This Row],[Unit]]</f>
        <v>10.0°F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9" spans="1:13" x14ac:dyDescent="0.2">
      <c r="A419"/>
      <c r="B419"/>
      <c r="C419"/>
      <c r="D419"/>
      <c r="E419"/>
      <c r="F419"/>
      <c r="G419"/>
      <c r="I419" t="str">
        <f>TEXT(UUTRangeTol[[#This Row],[TolMin]],SUBSTITUTE(UUTRangeTol[[#This Row],[TolResolution]],"1","0"))&amp;UUTRangeTol[[#This Row],[Unit]]</f>
        <v>-15.0°F</v>
      </c>
      <c r="J419" t="str">
        <f>TEXT(UUTRangeTol[[#This Row],[TolMax]],SUBSTITUTE(UUTRangeTol[[#This Row],[TolResolution]],"1","0"))&amp;UUTRangeTol[[#This Row],[Unit]]</f>
        <v>15.0°F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9" t="str">
        <f>UUTRangeTol[[#This Row],[RangeMax]]&amp;UUTRangeTol[[#This Row],[Unit]]</f>
        <v>180°F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22" ht="23.25" x14ac:dyDescent="0.35">
      <c r="A1" s="462" t="s">
        <v>964</v>
      </c>
      <c r="B1" s="320"/>
      <c r="C1" s="526" t="s">
        <v>50</v>
      </c>
      <c r="D1" s="527"/>
      <c r="E1" s="527"/>
      <c r="F1" s="527"/>
      <c r="G1" s="138" t="e" cm="1">
        <f t="array" ref="G1">GetFormattedWorkItemNumber(K14, D24)</f>
        <v>#VALUE!</v>
      </c>
      <c r="H1" s="138"/>
      <c r="I1" s="139"/>
      <c r="J1" s="303"/>
      <c r="K1" s="303"/>
      <c r="L1" s="303"/>
      <c r="M1" s="303"/>
      <c r="N1" s="303"/>
      <c r="O1" s="303"/>
      <c r="P1" s="303"/>
      <c r="Q1" s="303"/>
      <c r="R1" s="303"/>
      <c r="S1" s="303"/>
    </row>
    <row r="2" spans="1:22" ht="12.75" customHeight="1" x14ac:dyDescent="0.2">
      <c r="A2" s="321"/>
      <c r="B2" s="322"/>
      <c r="C2" s="303"/>
      <c r="D2" s="303"/>
      <c r="E2" s="323"/>
      <c r="F2" s="323"/>
      <c r="G2" s="322"/>
      <c r="H2" s="303"/>
      <c r="I2" s="303"/>
      <c r="J2" s="303"/>
      <c r="K2" s="303"/>
      <c r="L2" s="304"/>
      <c r="M2" s="304"/>
      <c r="N2" s="304"/>
      <c r="O2" s="304"/>
      <c r="P2" s="304"/>
      <c r="Q2" s="304"/>
      <c r="R2" s="304"/>
      <c r="S2" s="304"/>
      <c r="T2" s="304"/>
      <c r="U2" s="304"/>
      <c r="V2" s="304"/>
    </row>
    <row r="3" spans="1:22" s="278" customFormat="1" x14ac:dyDescent="0.2">
      <c r="A3" s="321"/>
      <c r="B3" s="141"/>
      <c r="C3" s="142" t="s">
        <v>72</v>
      </c>
      <c r="D3" s="280"/>
      <c r="E3" s="303"/>
      <c r="F3" s="303"/>
      <c r="G3" s="303"/>
      <c r="H3" s="303"/>
      <c r="I3" s="303"/>
      <c r="J3" s="528" t="s">
        <v>102</v>
      </c>
      <c r="K3" s="529"/>
      <c r="L3" s="530"/>
      <c r="M3" s="303"/>
      <c r="N3" s="544" t="s">
        <v>91</v>
      </c>
      <c r="O3" s="544"/>
      <c r="P3" s="544"/>
      <c r="Q3" s="544"/>
      <c r="R3" s="544"/>
      <c r="S3" s="544"/>
      <c r="T3" s="458"/>
    </row>
    <row r="4" spans="1:22" s="278" customFormat="1" x14ac:dyDescent="0.2">
      <c r="A4" s="321"/>
      <c r="B4" s="141"/>
      <c r="C4" s="142" t="s">
        <v>228</v>
      </c>
      <c r="D4" s="285" t="str">
        <f>IF(Condition="","",Condition)</f>
        <v/>
      </c>
      <c r="E4" s="303"/>
      <c r="F4" s="303"/>
      <c r="G4" s="303"/>
      <c r="H4" s="303"/>
      <c r="I4" s="303"/>
      <c r="J4" s="533" t="s">
        <v>1</v>
      </c>
      <c r="K4" s="534"/>
      <c r="L4" s="143">
        <f>MAX(Survey[Deviations])</f>
        <v>0</v>
      </c>
      <c r="M4" s="303"/>
      <c r="N4" s="144" t="s">
        <v>90</v>
      </c>
      <c r="O4" s="145" t="s">
        <v>89</v>
      </c>
      <c r="P4" s="531" t="s">
        <v>100</v>
      </c>
      <c r="Q4" s="532"/>
      <c r="R4" s="144" t="s">
        <v>137</v>
      </c>
      <c r="S4" s="144" t="s">
        <v>141</v>
      </c>
      <c r="T4" s="458"/>
    </row>
    <row r="5" spans="1:22" s="278" customFormat="1" x14ac:dyDescent="0.2">
      <c r="A5" s="321"/>
      <c r="B5" s="141"/>
      <c r="C5" s="142" t="s">
        <v>41</v>
      </c>
      <c r="D5" s="548" t="e">
        <f>companyName</f>
        <v>#N/A</v>
      </c>
      <c r="E5" s="549"/>
      <c r="F5" s="549"/>
      <c r="G5" s="549"/>
      <c r="H5" s="550"/>
      <c r="I5" s="286"/>
      <c r="J5" s="533" t="s">
        <v>2</v>
      </c>
      <c r="K5" s="534"/>
      <c r="L5" s="143">
        <f>MIN(Survey[Deviations])</f>
        <v>0</v>
      </c>
      <c r="M5" s="303"/>
      <c r="N5" s="429">
        <v>1</v>
      </c>
      <c r="O5" s="146" t="s">
        <v>969</v>
      </c>
      <c r="P5" s="488" t="str" cm="1">
        <f t="array" ref="P5:P44">Alerts[Alert]</f>
        <v>DROPPED</v>
      </c>
      <c r="Q5" s="489"/>
      <c r="R5" s="147" t="e" cm="1">
        <f t="array" ref="R5:R44">Alerts[Temp]</f>
        <v>#VALUE!</v>
      </c>
      <c r="S5" s="147" t="str" cm="1">
        <f t="array" ref="S5:S44">Alerts[Time]</f>
        <v/>
      </c>
      <c r="T5" s="458"/>
    </row>
    <row r="6" spans="1:22" s="278" customFormat="1" x14ac:dyDescent="0.2">
      <c r="A6" s="321"/>
      <c r="B6" s="141"/>
      <c r="C6" s="142" t="s">
        <v>40</v>
      </c>
      <c r="D6" s="545" t="e">
        <f>VLOOKUP("assetName",WorkItemDetails[],2,FALSE)</f>
        <v>#N/A</v>
      </c>
      <c r="E6" s="546"/>
      <c r="F6" s="546"/>
      <c r="G6" s="546"/>
      <c r="H6" s="547"/>
      <c r="J6" s="533" t="s">
        <v>101</v>
      </c>
      <c r="K6" s="534"/>
      <c r="L6" s="143">
        <f>L4-L5</f>
        <v>0</v>
      </c>
      <c r="M6" s="303"/>
      <c r="N6" s="429">
        <v>2</v>
      </c>
      <c r="O6" s="146" t="s">
        <v>970</v>
      </c>
      <c r="P6" s="488" t="str">
        <v>DROPPED</v>
      </c>
      <c r="Q6" s="489"/>
      <c r="R6" s="487" t="e">
        <v>#VALUE!</v>
      </c>
      <c r="S6" s="147" t="str">
        <v/>
      </c>
      <c r="T6" s="458"/>
    </row>
    <row r="7" spans="1:22" s="278" customFormat="1" x14ac:dyDescent="0.2">
      <c r="A7" s="321"/>
      <c r="B7" s="148"/>
      <c r="C7" s="149" t="s">
        <v>27</v>
      </c>
      <c r="D7" s="391" t="str" cm="1">
        <f t="array" ref="D7">_xlfn.XLOOKUP(User[User],Employees[login_email],Employees[Name])</f>
        <v>Jeff Hall</v>
      </c>
      <c r="E7" s="303"/>
      <c r="F7" s="303"/>
      <c r="G7" s="303"/>
      <c r="H7" s="303"/>
      <c r="I7" s="303"/>
      <c r="J7" s="324"/>
      <c r="K7" s="324"/>
      <c r="L7" s="324"/>
      <c r="M7" s="303"/>
      <c r="N7" s="429">
        <v>3</v>
      </c>
      <c r="O7" s="146" t="s">
        <v>971</v>
      </c>
      <c r="P7" s="488" t="str">
        <v>DROPPED</v>
      </c>
      <c r="Q7" s="489"/>
      <c r="R7" s="487" t="e">
        <v>#VALUE!</v>
      </c>
      <c r="S7" s="147" t="str">
        <v/>
      </c>
      <c r="T7" s="458"/>
    </row>
    <row r="8" spans="1:22" s="278" customFormat="1" x14ac:dyDescent="0.2">
      <c r="A8" s="321"/>
      <c r="B8" s="318"/>
      <c r="C8" s="325"/>
      <c r="D8" s="326"/>
      <c r="E8" s="303"/>
      <c r="F8" s="327" t="str">
        <f>IF(N49="","CHECK TUNING CONSTANTS","")</f>
        <v>CHECK TUNING CONSTANTS</v>
      </c>
      <c r="G8" s="303"/>
      <c r="H8" s="303"/>
      <c r="I8" s="303"/>
      <c r="J8" s="303"/>
      <c r="K8" s="303"/>
      <c r="L8" s="303"/>
      <c r="M8" s="303"/>
      <c r="N8" s="429">
        <v>4</v>
      </c>
      <c r="O8" s="146" t="s">
        <v>972</v>
      </c>
      <c r="P8" s="488" t="str">
        <v>DROPPED</v>
      </c>
      <c r="Q8" s="489"/>
      <c r="R8" s="487" t="e">
        <v>#VALUE!</v>
      </c>
      <c r="S8" s="147" t="str">
        <v/>
      </c>
      <c r="T8" s="458"/>
    </row>
    <row r="9" spans="1:22" s="278" customFormat="1" ht="12.75" customHeight="1" x14ac:dyDescent="0.2">
      <c r="A9" s="321"/>
      <c r="B9" s="141"/>
      <c r="C9" s="150" t="s">
        <v>66</v>
      </c>
      <c r="D9" s="282" t="s">
        <v>109</v>
      </c>
      <c r="E9" s="286" cm="1">
        <f t="array" ref="E9">IFERROR(
  _xlfn.XLOOKUP(
    Main!$D$9,
    _xlfn._xlws.FILTER(AssetPool[AssetTag], AssetPool[RootCategoryName]= "DAQ Modules"),
    _xlfn._xlws.FILTER(AssetPool[AssetId], AssetPool[RootCategoryName]= "DAQ Modules")
  ),
  ""
)</f>
        <v>1235630</v>
      </c>
      <c r="F9" s="303"/>
      <c r="G9" s="303"/>
      <c r="H9" s="303"/>
      <c r="I9" s="303"/>
      <c r="J9" s="303"/>
      <c r="K9" s="303"/>
      <c r="L9" s="303"/>
      <c r="M9" s="303"/>
      <c r="N9" s="429">
        <v>5</v>
      </c>
      <c r="O9" s="146" t="s">
        <v>973</v>
      </c>
      <c r="P9" s="488" t="str">
        <v>DROPPED</v>
      </c>
      <c r="Q9" s="489"/>
      <c r="R9" s="487" t="e">
        <v>#VALUE!</v>
      </c>
      <c r="S9" s="147" t="str">
        <v/>
      </c>
      <c r="T9" s="458"/>
    </row>
    <row r="10" spans="1:22" s="278" customFormat="1" x14ac:dyDescent="0.2">
      <c r="A10" s="321"/>
      <c r="B10" s="318"/>
      <c r="C10" s="319"/>
      <c r="D10" s="303"/>
      <c r="E10" s="303"/>
      <c r="F10" s="303"/>
      <c r="G10" s="304" t="str">
        <f>IFERROR(IF(OR(Survey[OutOfTolerance]),"!!!!! OVEN IS OOT !!!!!",""),"")</f>
        <v/>
      </c>
      <c r="H10" s="303"/>
      <c r="I10" s="303"/>
      <c r="J10" s="303"/>
      <c r="K10" s="303"/>
      <c r="L10" s="303"/>
      <c r="M10" s="303"/>
      <c r="N10" s="429">
        <v>6</v>
      </c>
      <c r="O10" s="146" t="s">
        <v>974</v>
      </c>
      <c r="P10" s="488" t="str">
        <v>DROPPED</v>
      </c>
      <c r="Q10" s="489"/>
      <c r="R10" s="487" t="e">
        <v>#VALUE!</v>
      </c>
      <c r="S10" s="147" t="str">
        <v/>
      </c>
      <c r="T10" s="458"/>
    </row>
    <row r="11" spans="1:22" s="278" customFormat="1" x14ac:dyDescent="0.2">
      <c r="A11" s="321"/>
      <c r="B11" s="141"/>
      <c r="C11" s="150" t="s">
        <v>53</v>
      </c>
      <c r="D11" s="457" t="str">
        <f>VLOOKUP("serial_number",DaqbookServiceRecord[], 2, FALSE)</f>
        <v>807705</v>
      </c>
      <c r="E11" s="303"/>
      <c r="F11" s="303"/>
      <c r="G11" s="304" t="str">
        <f>IF(OR(ISBLANK(D3),ISBLANK(D13)),"",IF(D13&lt;D3,"!!!!! DAQBOOK IS OUT OF CERTIFICATION !!!!!",""))</f>
        <v/>
      </c>
      <c r="H11" s="303"/>
      <c r="I11" s="303"/>
      <c r="J11" s="303"/>
      <c r="K11" s="303"/>
      <c r="L11" s="303"/>
      <c r="M11" s="303"/>
      <c r="N11" s="429">
        <v>7</v>
      </c>
      <c r="O11" s="146" t="s">
        <v>975</v>
      </c>
      <c r="P11" s="488" t="str">
        <v>DROPPED</v>
      </c>
      <c r="Q11" s="489"/>
      <c r="R11" s="487" t="e">
        <v>#VALUE!</v>
      </c>
      <c r="S11" s="147" t="str">
        <v/>
      </c>
      <c r="T11" s="458"/>
    </row>
    <row r="12" spans="1:22" s="278" customFormat="1" x14ac:dyDescent="0.2">
      <c r="A12" s="321"/>
      <c r="B12" s="141"/>
      <c r="C12" s="150" t="s">
        <v>87</v>
      </c>
      <c r="D12" s="279">
        <f>VLOOKUP("service_date",DaqbookServiceRecord[], 2, FALSE)</f>
        <v>45884</v>
      </c>
      <c r="E12" s="303"/>
      <c r="F12" s="303"/>
      <c r="G12" s="304" t="str">
        <f>IF(IF(COUNTIFS(DataForChannels1to14[],"&gt;"&amp;B2,DataForChannels1to14[],"&lt;"&amp;(B2+200))&gt;0,1,0)=1,"!!!!! OVEN OVERSHOT IN POINTS 1-14 !!!!!","")</f>
        <v/>
      </c>
      <c r="H12" s="303"/>
      <c r="I12" s="303"/>
      <c r="J12" s="324"/>
      <c r="K12" s="307"/>
      <c r="L12" s="324"/>
      <c r="M12" s="307"/>
      <c r="N12" s="429">
        <v>8</v>
      </c>
      <c r="O12" s="146" t="s">
        <v>976</v>
      </c>
      <c r="P12" s="488" t="str">
        <v>DROPPED</v>
      </c>
      <c r="Q12" s="489"/>
      <c r="R12" s="487" t="e">
        <v>#VALUE!</v>
      </c>
      <c r="S12" s="147" t="str">
        <v/>
      </c>
      <c r="T12" s="458"/>
    </row>
    <row r="13" spans="1:22" s="278" customFormat="1" x14ac:dyDescent="0.2">
      <c r="A13" s="321"/>
      <c r="B13" s="151"/>
      <c r="C13" s="152" t="s">
        <v>86</v>
      </c>
      <c r="D13" s="279">
        <f>VLOOKUP("next_service_date",DaqbookServiceRecord[], 2, FALSE)</f>
        <v>45976</v>
      </c>
      <c r="E13" s="303"/>
      <c r="F13" s="328"/>
      <c r="G13" s="319" t="str">
        <f>IF(IF(COUNTIFS(DataForChannels15to28[],"&gt;"&amp;B2,DataForChannels15to28[],"&lt;"&amp;(B2+200))&gt;0,1,0)=1,"!!!!! OVEN OVERSHOT IN POINTS 15-28 !!!!!","")</f>
        <v/>
      </c>
      <c r="H13" s="303"/>
      <c r="I13" s="303"/>
      <c r="J13" s="240" t="s">
        <v>321</v>
      </c>
      <c r="K13" s="542" t="str">
        <f>IFERROR(VLOOKUP("PoNumber",WorkItemDetails[],2,FALSE),"")</f>
        <v/>
      </c>
      <c r="L13" s="543"/>
      <c r="M13" s="303"/>
      <c r="N13" s="429">
        <v>9</v>
      </c>
      <c r="O13" s="146" t="s">
        <v>977</v>
      </c>
      <c r="P13" s="488" t="str">
        <v>DROPPED</v>
      </c>
      <c r="Q13" s="489"/>
      <c r="R13" s="487" t="e">
        <v>#VALUE!</v>
      </c>
      <c r="S13" s="147" t="str">
        <v/>
      </c>
      <c r="T13" s="458"/>
    </row>
    <row r="14" spans="1:22" s="278" customFormat="1" x14ac:dyDescent="0.2">
      <c r="A14" s="321"/>
      <c r="B14" s="141"/>
      <c r="C14" s="150" t="s">
        <v>88</v>
      </c>
      <c r="D14" s="457" t="str">
        <f>VLOOKUP("certificate_number",DaqbookServiceRecord[], 2, FALSE)</f>
        <v>J30825</v>
      </c>
      <c r="E14" s="303"/>
      <c r="F14" s="303"/>
      <c r="G14" s="304" t="str">
        <f>IF(IF(COUNTIFS(DataForChannels29to40[],"&gt;"&amp;B2,DataForChannels29to40[],"&lt;"&amp;(B2+200))&gt;0,1,0)=1,"!!!!! OVEN OVERSHOT IN POINTS 29-40 !!!!!","")</f>
        <v/>
      </c>
      <c r="H14" s="303"/>
      <c r="I14" s="303"/>
      <c r="J14" s="153" t="s">
        <v>136</v>
      </c>
      <c r="K14" s="551"/>
      <c r="L14" s="552"/>
      <c r="M14" s="303"/>
      <c r="N14" s="429">
        <v>10</v>
      </c>
      <c r="O14" s="146" t="s">
        <v>978</v>
      </c>
      <c r="P14" s="488" t="str">
        <v>DROPPED</v>
      </c>
      <c r="Q14" s="489"/>
      <c r="R14" s="487" t="e">
        <v>#VALUE!</v>
      </c>
      <c r="S14" s="147" t="str">
        <v/>
      </c>
      <c r="T14" s="458"/>
    </row>
    <row r="15" spans="1:22" s="278" customFormat="1" x14ac:dyDescent="0.2">
      <c r="A15" s="321"/>
      <c r="B15" s="188"/>
      <c r="C15" s="186" t="s">
        <v>65</v>
      </c>
      <c r="D15" s="296"/>
      <c r="E15" s="303"/>
      <c r="F15" s="303"/>
      <c r="G15" s="303"/>
      <c r="H15" s="444" t="b">
        <v>1</v>
      </c>
      <c r="I15" s="303"/>
      <c r="J15" s="154" t="s">
        <v>131</v>
      </c>
      <c r="K15" s="537"/>
      <c r="L15" s="538"/>
      <c r="M15" s="303"/>
      <c r="N15" s="429">
        <v>11</v>
      </c>
      <c r="O15" s="146" t="s">
        <v>979</v>
      </c>
      <c r="P15" s="488" t="str">
        <v>DROPPED</v>
      </c>
      <c r="Q15" s="489"/>
      <c r="R15" s="487" t="e">
        <v>#VALUE!</v>
      </c>
      <c r="S15" s="147" t="str">
        <v/>
      </c>
      <c r="T15" s="458"/>
    </row>
    <row r="16" spans="1:22" s="278" customFormat="1" x14ac:dyDescent="0.2">
      <c r="A16" s="321"/>
      <c r="B16" s="155"/>
      <c r="C16" s="187" t="s">
        <v>262</v>
      </c>
      <c r="D16" s="296"/>
      <c r="E16" s="303"/>
      <c r="F16" s="153" t="s">
        <v>77</v>
      </c>
      <c r="G16" s="417" t="s">
        <v>265</v>
      </c>
      <c r="H16" s="418"/>
      <c r="I16" s="303"/>
      <c r="J16" s="499" t="s">
        <v>161</v>
      </c>
      <c r="K16" s="500"/>
      <c r="L16" s="284"/>
      <c r="M16" s="303"/>
      <c r="N16" s="429">
        <v>12</v>
      </c>
      <c r="O16" s="146" t="s">
        <v>980</v>
      </c>
      <c r="P16" s="488" t="str">
        <v>DROPPED</v>
      </c>
      <c r="Q16" s="489"/>
      <c r="R16" s="487" t="e">
        <v>#VALUE!</v>
      </c>
      <c r="S16" s="147" t="str">
        <v/>
      </c>
      <c r="T16" s="458"/>
    </row>
    <row r="17" spans="1:22" s="278" customFormat="1" x14ac:dyDescent="0.2">
      <c r="A17" s="321"/>
      <c r="B17" s="141"/>
      <c r="C17" s="142" t="s">
        <v>64</v>
      </c>
      <c r="D17" s="297"/>
      <c r="E17" s="303"/>
      <c r="F17" s="154" t="s">
        <v>96</v>
      </c>
      <c r="G17" s="392" t="str">
        <f>IF(ISBLANK(Load),"",Load)</f>
        <v/>
      </c>
      <c r="H17" s="303"/>
      <c r="I17" s="304"/>
      <c r="J17" s="499" t="s">
        <v>162</v>
      </c>
      <c r="K17" s="500"/>
      <c r="L17" s="157" t="str">
        <f>IF(K15="SIM Load Hot",TEXT(D26,"hh:mm"),"")</f>
        <v/>
      </c>
      <c r="M17" s="303"/>
      <c r="N17" s="429">
        <v>13</v>
      </c>
      <c r="O17" s="146" t="s">
        <v>981</v>
      </c>
      <c r="P17" s="488" t="str">
        <v>DROPPED</v>
      </c>
      <c r="Q17" s="489"/>
      <c r="R17" s="487" t="e">
        <v>#VALUE!</v>
      </c>
      <c r="S17" s="147" t="str">
        <v/>
      </c>
      <c r="T17" s="458"/>
    </row>
    <row r="18" spans="1:22" s="278" customFormat="1" x14ac:dyDescent="0.2">
      <c r="A18" s="321"/>
      <c r="B18" s="151"/>
      <c r="C18" s="158" t="s">
        <v>67</v>
      </c>
      <c r="D18" s="282"/>
      <c r="E18" s="303"/>
      <c r="F18" s="159" t="s">
        <v>78</v>
      </c>
      <c r="G18" s="553" t="s">
        <v>19</v>
      </c>
      <c r="H18" s="554"/>
      <c r="I18" s="304"/>
      <c r="J18" s="329"/>
      <c r="K18" s="303"/>
      <c r="L18" s="304"/>
      <c r="M18" s="303"/>
      <c r="N18" s="429">
        <v>14</v>
      </c>
      <c r="O18" s="146" t="s">
        <v>982</v>
      </c>
      <c r="P18" s="488" t="str">
        <v>DROPPED</v>
      </c>
      <c r="Q18" s="489"/>
      <c r="R18" s="487" t="e">
        <v>#VALUE!</v>
      </c>
      <c r="S18" s="147" t="str">
        <v/>
      </c>
      <c r="T18" s="458"/>
    </row>
    <row r="19" spans="1:22" s="278" customFormat="1" x14ac:dyDescent="0.2">
      <c r="A19" s="321"/>
      <c r="B19" s="141"/>
      <c r="C19" s="142" t="s">
        <v>10</v>
      </c>
      <c r="D19" s="465"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35" t="str">
        <f>IF(K15="Salt",0, IF(OR(K15="Hot",K15="SIM Load Hot"),IF(OR(D26="",D28=""),"N/A",IF(ISBLANK(D26),"N/A",D28-D26)),"N/A"))</f>
        <v>N/A</v>
      </c>
      <c r="H19" s="536"/>
      <c r="I19" s="330" t="str">
        <f>IF(G19="N/A","N/A",IF(G19=0,"&lt;2",ROUND(IF(LEN(G19)&gt;3,G19*1440,RIGHT(TEXT(G19,"hh:mm"),2)),0))&amp;" MINUTES")</f>
        <v>N/A</v>
      </c>
      <c r="J19" s="460">
        <f>V21</f>
        <v>40</v>
      </c>
      <c r="K19" s="303"/>
      <c r="L19" s="304"/>
      <c r="M19" s="303"/>
      <c r="N19" s="429">
        <v>15</v>
      </c>
      <c r="O19" s="146" t="s">
        <v>983</v>
      </c>
      <c r="P19" s="488" t="str">
        <v>DROPPED</v>
      </c>
      <c r="Q19" s="489"/>
      <c r="R19" s="487" t="e">
        <v>#VALUE!</v>
      </c>
      <c r="S19" s="147" t="str">
        <v/>
      </c>
      <c r="T19" s="458"/>
      <c r="U19" s="286" t="s">
        <v>940</v>
      </c>
      <c r="V19" s="286">
        <f>L20</f>
        <v>1</v>
      </c>
    </row>
    <row r="20" spans="1:22" s="278" customFormat="1" ht="13.7" customHeight="1" x14ac:dyDescent="0.2">
      <c r="A20" s="185"/>
      <c r="B20" s="539" t="s">
        <v>958</v>
      </c>
      <c r="C20" s="540"/>
      <c r="D20" s="390" t="str">
        <f>"±"&amp;SAT_Tolerance&amp;"°F"</f>
        <v>±0°F</v>
      </c>
      <c r="E20" s="442"/>
      <c r="F20" s="303"/>
      <c r="G20" s="303"/>
      <c r="H20" s="303"/>
      <c r="I20" s="304"/>
      <c r="J20" s="303"/>
      <c r="K20" s="303"/>
      <c r="L20" s="443">
        <v>1</v>
      </c>
      <c r="M20" s="303"/>
      <c r="N20" s="429">
        <v>16</v>
      </c>
      <c r="O20" s="146" t="s">
        <v>984</v>
      </c>
      <c r="P20" s="488" t="str">
        <v>DROPPED</v>
      </c>
      <c r="Q20" s="489"/>
      <c r="R20" s="487" t="e">
        <v>#VALUE!</v>
      </c>
      <c r="S20" s="147" t="str">
        <v/>
      </c>
      <c r="T20" s="458"/>
      <c r="U20" s="286" t="s">
        <v>939</v>
      </c>
      <c r="V20" s="286">
        <f>(V19-1)*14</f>
        <v>0</v>
      </c>
    </row>
    <row r="21" spans="1:22" s="278" customFormat="1" x14ac:dyDescent="0.2">
      <c r="A21" s="321"/>
      <c r="B21" s="318"/>
      <c r="C21" s="331"/>
      <c r="D21" s="326"/>
      <c r="E21" s="303"/>
      <c r="F21" s="303"/>
      <c r="G21" s="303"/>
      <c r="H21" s="303"/>
      <c r="I21" s="304"/>
      <c r="J21" s="303"/>
      <c r="K21" s="303"/>
      <c r="L21" s="304"/>
      <c r="M21" s="303"/>
      <c r="N21" s="429">
        <v>17</v>
      </c>
      <c r="O21" s="146" t="s">
        <v>985</v>
      </c>
      <c r="P21" s="488" t="str">
        <v>DROPPED</v>
      </c>
      <c r="Q21" s="489"/>
      <c r="R21" s="487" t="e">
        <v>#VALUE!</v>
      </c>
      <c r="S21" s="147" t="str">
        <v/>
      </c>
      <c r="T21" s="458"/>
      <c r="U21" s="286" t="s">
        <v>938</v>
      </c>
      <c r="V21" s="461">
        <f>IF(D17=0,40,D17)</f>
        <v>40</v>
      </c>
    </row>
    <row r="22" spans="1:22" s="278" customFormat="1" x14ac:dyDescent="0.2">
      <c r="A22" s="321"/>
      <c r="B22" s="155"/>
      <c r="C22" s="156" t="s">
        <v>42</v>
      </c>
      <c r="D22" s="281"/>
      <c r="E22" s="303"/>
      <c r="F22" s="332"/>
      <c r="G22" s="303"/>
      <c r="H22" s="303"/>
      <c r="I22" s="304"/>
      <c r="J22" s="303"/>
      <c r="K22" s="303"/>
      <c r="L22" s="304"/>
      <c r="M22" s="303"/>
      <c r="N22" s="429">
        <v>18</v>
      </c>
      <c r="O22" s="146" t="s">
        <v>986</v>
      </c>
      <c r="P22" s="488" t="str">
        <v>DROPPED</v>
      </c>
      <c r="Q22" s="489"/>
      <c r="R22" s="487" t="e">
        <v>#VALUE!</v>
      </c>
      <c r="S22" s="147" t="str">
        <v/>
      </c>
      <c r="T22" s="458"/>
      <c r="U22" s="286" t="s">
        <v>937</v>
      </c>
      <c r="V22" s="286">
        <f>V20+1</f>
        <v>1</v>
      </c>
    </row>
    <row r="23" spans="1:22" s="278" customFormat="1" x14ac:dyDescent="0.2">
      <c r="A23" s="321"/>
      <c r="B23" s="141"/>
      <c r="C23" s="420" t="s">
        <v>908</v>
      </c>
      <c r="D23" s="282"/>
      <c r="E23" s="303"/>
      <c r="F23" s="160" t="s">
        <v>97</v>
      </c>
      <c r="G23" s="516" t="s">
        <v>368</v>
      </c>
      <c r="H23" s="517"/>
      <c r="I23" s="517"/>
      <c r="J23" s="517"/>
      <c r="K23" s="518"/>
      <c r="L23" s="304"/>
      <c r="M23" s="303"/>
      <c r="N23" s="429">
        <v>19</v>
      </c>
      <c r="O23" s="146"/>
      <c r="P23" s="488" t="str">
        <v/>
      </c>
      <c r="Q23" s="489"/>
      <c r="R23" s="487" t="e">
        <v>#VALUE!</v>
      </c>
      <c r="S23" s="147" t="str">
        <v/>
      </c>
      <c r="T23" s="458"/>
      <c r="U23" s="286" t="s">
        <v>936</v>
      </c>
      <c r="V23" s="286">
        <f>V20+V21</f>
        <v>40</v>
      </c>
    </row>
    <row r="24" spans="1:22" s="278" customFormat="1" x14ac:dyDescent="0.2">
      <c r="A24" s="321"/>
      <c r="B24" s="539" t="s">
        <v>549</v>
      </c>
      <c r="C24" s="541"/>
      <c r="D24" s="282">
        <v>1</v>
      </c>
      <c r="E24" s="303"/>
      <c r="F24" s="160" t="s">
        <v>98</v>
      </c>
      <c r="G24" s="519"/>
      <c r="H24" s="520"/>
      <c r="I24" s="520"/>
      <c r="J24" s="520"/>
      <c r="K24" s="521"/>
      <c r="L24" s="304"/>
      <c r="M24" s="303"/>
      <c r="N24" s="429">
        <v>20</v>
      </c>
      <c r="O24" s="146"/>
      <c r="P24" s="488" t="str">
        <v/>
      </c>
      <c r="Q24" s="489"/>
      <c r="R24" s="487" t="e">
        <v>#VALUE!</v>
      </c>
      <c r="S24" s="147" t="str">
        <v/>
      </c>
      <c r="T24" s="458"/>
      <c r="U24" s="286" t="s">
        <v>935</v>
      </c>
      <c r="V24" s="286" t="str">
        <f>IF(V19=1,"","DaqBook points "&amp;V22&amp;"-"&amp;V23&amp;" used.")</f>
        <v/>
      </c>
    </row>
    <row r="25" spans="1:22" s="278" customFormat="1" x14ac:dyDescent="0.2">
      <c r="A25" s="321"/>
      <c r="B25" s="318"/>
      <c r="C25" s="319"/>
      <c r="D25" s="326"/>
      <c r="E25" s="303"/>
      <c r="F25" s="160" t="s">
        <v>99</v>
      </c>
      <c r="G25" s="519"/>
      <c r="H25" s="520"/>
      <c r="I25" s="520"/>
      <c r="J25" s="520"/>
      <c r="K25" s="521"/>
      <c r="L25" s="304"/>
      <c r="M25" s="303"/>
      <c r="N25" s="429">
        <v>21</v>
      </c>
      <c r="O25" s="146"/>
      <c r="P25" s="488" t="str">
        <v/>
      </c>
      <c r="Q25" s="489"/>
      <c r="R25" s="487" t="e">
        <v>#VALUE!</v>
      </c>
      <c r="S25" s="147" t="str">
        <v/>
      </c>
      <c r="T25" s="458"/>
    </row>
    <row r="26" spans="1:22" s="278" customFormat="1" x14ac:dyDescent="0.2">
      <c r="A26" s="321"/>
      <c r="B26" s="155"/>
      <c r="C26" s="156" t="s">
        <v>60</v>
      </c>
      <c r="D26" s="292"/>
      <c r="E26" s="305" t="str">
        <f>TEXT(D26,"hh:mm")</f>
        <v>00:00</v>
      </c>
      <c r="F26" s="304"/>
      <c r="G26" s="304"/>
      <c r="H26" s="304"/>
      <c r="I26" s="304"/>
      <c r="J26" s="304"/>
      <c r="K26" s="304"/>
      <c r="L26" s="304"/>
      <c r="M26" s="303"/>
      <c r="N26" s="429">
        <v>22</v>
      </c>
      <c r="O26" s="146"/>
      <c r="P26" s="488" t="str">
        <v/>
      </c>
      <c r="Q26" s="489"/>
      <c r="R26" s="487" t="e">
        <v>#VALUE!</v>
      </c>
      <c r="S26" s="147" t="str">
        <v/>
      </c>
      <c r="T26" s="458"/>
    </row>
    <row r="27" spans="1:22" s="278" customFormat="1" x14ac:dyDescent="0.2">
      <c r="A27" s="321"/>
      <c r="B27" s="161">
        <v>10</v>
      </c>
      <c r="C27" s="142" t="s">
        <v>61</v>
      </c>
      <c r="D27" s="292"/>
      <c r="E27" s="305"/>
      <c r="F27" s="240" t="s">
        <v>268</v>
      </c>
      <c r="G27" s="239" t="str">
        <f>G28</f>
        <v/>
      </c>
      <c r="H27" s="514" t="str">
        <f>IF(ISBLANK(D6),"",IF(CheckRec="x","CHECK INSTRUMENT CAL DATES!!!!             CHECK INSTRUMENT CAL DATES!!!!",""))</f>
        <v/>
      </c>
      <c r="I27" s="515"/>
      <c r="J27" s="515"/>
      <c r="K27" s="515"/>
      <c r="L27" s="304"/>
      <c r="M27" s="303"/>
      <c r="N27" s="429">
        <v>23</v>
      </c>
      <c r="O27" s="146"/>
      <c r="P27" s="488" t="str">
        <v/>
      </c>
      <c r="Q27" s="489"/>
      <c r="R27" s="487" t="e">
        <v>#VALUE!</v>
      </c>
      <c r="S27" s="147" t="str">
        <v/>
      </c>
      <c r="T27" s="458"/>
    </row>
    <row r="28" spans="1:22" s="278" customFormat="1" x14ac:dyDescent="0.2">
      <c r="A28" s="321"/>
      <c r="B28" s="162">
        <v>30</v>
      </c>
      <c r="C28" s="158" t="s">
        <v>62</v>
      </c>
      <c r="D28" s="292"/>
      <c r="E28" s="305"/>
      <c r="F28" s="240" t="s">
        <v>269</v>
      </c>
      <c r="G28" s="239" t="str">
        <f>IF(CheckRec="y","Cal by Customer",IF(D$3,D$3,""))</f>
        <v/>
      </c>
      <c r="H28" s="514"/>
      <c r="I28" s="515"/>
      <c r="J28" s="515"/>
      <c r="K28" s="515"/>
      <c r="L28" s="304"/>
      <c r="M28" s="303"/>
      <c r="N28" s="429">
        <v>24</v>
      </c>
      <c r="O28" s="146"/>
      <c r="P28" s="488" t="str">
        <v/>
      </c>
      <c r="Q28" s="489"/>
      <c r="R28" s="487" t="e">
        <v>#VALUE!</v>
      </c>
      <c r="S28" s="147" t="str">
        <v/>
      </c>
      <c r="T28" s="458"/>
    </row>
    <row r="29" spans="1:22" s="278" customFormat="1" x14ac:dyDescent="0.2">
      <c r="A29" s="321"/>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29">
        <v>25</v>
      </c>
      <c r="O29" s="146"/>
      <c r="P29" s="488" t="str">
        <v/>
      </c>
      <c r="Q29" s="489"/>
      <c r="R29" s="487" t="e">
        <v>#VALUE!</v>
      </c>
      <c r="S29" s="147" t="str">
        <v/>
      </c>
      <c r="T29" s="458"/>
    </row>
    <row r="30" spans="1:22" s="278" customFormat="1" x14ac:dyDescent="0.2">
      <c r="A30" s="321"/>
      <c r="B30" s="247">
        <v>45</v>
      </c>
      <c r="C30" s="158" t="s">
        <v>63</v>
      </c>
      <c r="D30" s="386"/>
      <c r="E30" s="334" t="str">
        <f>IF(ISBLANK(D30), "", TEXT(D30, "H:mm"))</f>
        <v/>
      </c>
      <c r="F30" s="303"/>
      <c r="G30" s="306">
        <f>IF(D29="",0,D29)</f>
        <v>0</v>
      </c>
      <c r="H30" s="335">
        <f>D28-D26</f>
        <v>0</v>
      </c>
      <c r="I30" s="304"/>
      <c r="J30" s="304"/>
      <c r="K30" s="304"/>
      <c r="L30" s="336"/>
      <c r="M30" s="303"/>
      <c r="N30" s="429">
        <v>26</v>
      </c>
      <c r="O30" s="146"/>
      <c r="P30" s="488" t="str">
        <v/>
      </c>
      <c r="Q30" s="489"/>
      <c r="R30" s="487" t="e">
        <v>#VALUE!</v>
      </c>
      <c r="S30" s="147" t="str">
        <v/>
      </c>
      <c r="T30" s="458"/>
    </row>
    <row r="31" spans="1:22" s="278" customFormat="1" x14ac:dyDescent="0.2">
      <c r="A31" s="321"/>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29">
        <v>27</v>
      </c>
      <c r="O31" s="146"/>
      <c r="P31" s="488" t="str">
        <v/>
      </c>
      <c r="Q31" s="489"/>
      <c r="R31" s="487" t="e">
        <v>#VALUE!</v>
      </c>
      <c r="S31" s="147" t="str">
        <v/>
      </c>
      <c r="T31" s="458"/>
    </row>
    <row r="32" spans="1:22" s="278" customFormat="1" x14ac:dyDescent="0.2">
      <c r="A32" s="331"/>
      <c r="B32" s="164"/>
      <c r="C32" s="165" t="s">
        <v>81</v>
      </c>
      <c r="D32" s="283"/>
      <c r="E32" s="303"/>
      <c r="F32" s="304" t="str">
        <f>IF(COUNTIF(Comparison_Report!R1:R8, 1) &gt; 0, "CHECK COMPARISON REPORT!!!", "")</f>
        <v/>
      </c>
      <c r="G32" s="304"/>
      <c r="H32" s="304"/>
      <c r="I32" s="304"/>
      <c r="J32" s="304"/>
      <c r="K32" s="304"/>
      <c r="L32" s="304"/>
      <c r="M32" s="303"/>
      <c r="N32" s="429">
        <v>28</v>
      </c>
      <c r="O32" s="146"/>
      <c r="P32" s="488" t="str">
        <v/>
      </c>
      <c r="Q32" s="489"/>
      <c r="R32" s="487" t="e">
        <v>#VALUE!</v>
      </c>
      <c r="S32" s="147" t="str">
        <v/>
      </c>
      <c r="T32" s="458"/>
    </row>
    <row r="33" spans="1:24" s="278" customFormat="1" x14ac:dyDescent="0.2">
      <c r="A33" s="321"/>
      <c r="B33" s="318"/>
      <c r="C33" s="340"/>
      <c r="D33" s="140"/>
      <c r="E33" s="140"/>
      <c r="F33" s="140"/>
      <c r="G33" s="140"/>
      <c r="H33" s="140"/>
      <c r="I33" s="140"/>
      <c r="J33" s="140"/>
      <c r="K33" s="140"/>
      <c r="L33" s="140"/>
      <c r="M33" s="303"/>
      <c r="N33" s="429">
        <v>29</v>
      </c>
      <c r="O33" s="146"/>
      <c r="P33" s="488" t="str">
        <v/>
      </c>
      <c r="Q33" s="489"/>
      <c r="R33" s="487" t="e">
        <v>#VALUE!</v>
      </c>
      <c r="S33" s="147" t="str">
        <v/>
      </c>
      <c r="T33" s="458"/>
    </row>
    <row r="34" spans="1:24" s="278" customFormat="1" ht="12.75" customHeight="1" x14ac:dyDescent="0.2">
      <c r="A34" s="321"/>
      <c r="B34" s="528" t="s">
        <v>49</v>
      </c>
      <c r="C34" s="529"/>
      <c r="D34" s="529"/>
      <c r="E34" s="529"/>
      <c r="F34" s="529"/>
      <c r="G34" s="529"/>
      <c r="H34" s="529"/>
      <c r="I34" s="529"/>
      <c r="J34" s="529"/>
      <c r="K34" s="529"/>
      <c r="L34" s="530"/>
      <c r="M34" s="303"/>
      <c r="N34" s="429">
        <v>30</v>
      </c>
      <c r="O34" s="146"/>
      <c r="P34" s="488" t="str">
        <v/>
      </c>
      <c r="Q34" s="489"/>
      <c r="R34" s="487" t="e">
        <v>#VALUE!</v>
      </c>
      <c r="S34" s="147" t="str">
        <v/>
      </c>
      <c r="T34" s="459"/>
    </row>
    <row r="35" spans="1:24" s="278" customFormat="1" ht="12.75" customHeight="1" thickBot="1" x14ac:dyDescent="0.25">
      <c r="A35" s="463"/>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29">
        <v>31</v>
      </c>
      <c r="O35" s="146"/>
      <c r="P35" s="488" t="str">
        <v/>
      </c>
      <c r="Q35" s="489"/>
      <c r="R35" s="487" t="e">
        <v>#VALUE!</v>
      </c>
      <c r="S35" s="147" t="str">
        <v/>
      </c>
      <c r="T35" s="459"/>
    </row>
    <row r="36" spans="1:24" s="278" customFormat="1" ht="13.5" thickBot="1" x14ac:dyDescent="0.25">
      <c r="A36" s="464"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29">
        <v>32</v>
      </c>
      <c r="O36" s="146"/>
      <c r="P36" s="488" t="str">
        <v/>
      </c>
      <c r="Q36" s="489"/>
      <c r="R36" s="487" t="e">
        <v>#VALUE!</v>
      </c>
      <c r="S36" s="147" t="str">
        <v/>
      </c>
      <c r="T36" s="459"/>
    </row>
    <row r="37" spans="1:24" s="278" customFormat="1" x14ac:dyDescent="0.2">
      <c r="A37" s="490" t="str">
        <f t="shared" ref="A37:A44" si="0">IF(B37,1,"")</f>
        <v/>
      </c>
      <c r="B37" s="491"/>
      <c r="C37" s="471"/>
      <c r="D37" s="472"/>
      <c r="E37" s="472"/>
      <c r="F37" s="472"/>
      <c r="G37" s="472"/>
      <c r="H37" s="472"/>
      <c r="I37" s="473"/>
      <c r="J37" s="473"/>
      <c r="K37" s="473"/>
      <c r="L37" s="473"/>
      <c r="M37" s="303"/>
      <c r="N37" s="429">
        <v>33</v>
      </c>
      <c r="O37" s="146"/>
      <c r="P37" s="488" t="str">
        <v/>
      </c>
      <c r="Q37" s="489"/>
      <c r="R37" s="487" t="e">
        <v>#VALUE!</v>
      </c>
      <c r="S37" s="147" t="str">
        <v/>
      </c>
      <c r="T37" s="459"/>
    </row>
    <row r="38" spans="1:24" s="278" customFormat="1" x14ac:dyDescent="0.2">
      <c r="A38" s="490" t="str">
        <f t="shared" si="0"/>
        <v/>
      </c>
      <c r="B38" s="492"/>
      <c r="C38" s="474"/>
      <c r="D38" s="472"/>
      <c r="E38" s="472"/>
      <c r="F38" s="472"/>
      <c r="G38" s="472"/>
      <c r="H38" s="472"/>
      <c r="I38" s="473"/>
      <c r="J38" s="473"/>
      <c r="K38" s="473"/>
      <c r="L38" s="473"/>
      <c r="M38" s="303"/>
      <c r="N38" s="429">
        <v>34</v>
      </c>
      <c r="O38" s="146"/>
      <c r="P38" s="488" t="str">
        <v/>
      </c>
      <c r="Q38" s="489"/>
      <c r="R38" s="487" t="e">
        <v>#VALUE!</v>
      </c>
      <c r="S38" s="147" t="str">
        <v/>
      </c>
      <c r="T38" s="459"/>
    </row>
    <row r="39" spans="1:24" s="278" customFormat="1" x14ac:dyDescent="0.2">
      <c r="A39" s="490" t="str">
        <f t="shared" si="0"/>
        <v/>
      </c>
      <c r="B39" s="492"/>
      <c r="C39" s="474"/>
      <c r="D39" s="472"/>
      <c r="E39" s="472"/>
      <c r="F39" s="472"/>
      <c r="G39" s="472"/>
      <c r="H39" s="473"/>
      <c r="I39" s="473"/>
      <c r="J39" s="473"/>
      <c r="K39" s="473"/>
      <c r="L39" s="473"/>
      <c r="M39" s="303"/>
      <c r="N39" s="429">
        <v>35</v>
      </c>
      <c r="O39" s="146"/>
      <c r="P39" s="488" t="str">
        <v/>
      </c>
      <c r="Q39" s="489"/>
      <c r="R39" s="487" t="e">
        <v>#VALUE!</v>
      </c>
      <c r="S39" s="147" t="str">
        <v/>
      </c>
      <c r="T39" s="459"/>
    </row>
    <row r="40" spans="1:24" s="278" customFormat="1" x14ac:dyDescent="0.2">
      <c r="A40" s="490" t="str">
        <f t="shared" si="0"/>
        <v/>
      </c>
      <c r="B40" s="492"/>
      <c r="C40" s="474"/>
      <c r="D40" s="472"/>
      <c r="E40" s="472"/>
      <c r="F40" s="472"/>
      <c r="G40" s="472"/>
      <c r="H40" s="473"/>
      <c r="I40" s="473"/>
      <c r="J40" s="473"/>
      <c r="K40" s="473"/>
      <c r="L40" s="473"/>
      <c r="M40" s="303"/>
      <c r="N40" s="429">
        <v>36</v>
      </c>
      <c r="O40" s="146"/>
      <c r="P40" s="488" t="str">
        <v/>
      </c>
      <c r="Q40" s="489"/>
      <c r="R40" s="487" t="e">
        <v>#VALUE!</v>
      </c>
      <c r="S40" s="147" t="str">
        <v/>
      </c>
      <c r="T40" s="459"/>
    </row>
    <row r="41" spans="1:24" s="278" customFormat="1" x14ac:dyDescent="0.2">
      <c r="A41" s="490" t="str">
        <f t="shared" si="0"/>
        <v/>
      </c>
      <c r="B41" s="493"/>
      <c r="C41" s="475"/>
      <c r="D41" s="476"/>
      <c r="E41" s="476"/>
      <c r="F41" s="476"/>
      <c r="G41" s="476"/>
      <c r="H41" s="476"/>
      <c r="I41" s="476"/>
      <c r="J41" s="476"/>
      <c r="K41" s="476"/>
      <c r="L41" s="476"/>
      <c r="M41" s="303"/>
      <c r="N41" s="429">
        <v>37</v>
      </c>
      <c r="O41" s="146"/>
      <c r="P41" s="488" t="str">
        <v/>
      </c>
      <c r="Q41" s="489"/>
      <c r="R41" s="487" t="e">
        <v>#VALUE!</v>
      </c>
      <c r="S41" s="147" t="str">
        <v/>
      </c>
      <c r="T41" s="459"/>
    </row>
    <row r="42" spans="1:24" s="278" customFormat="1" x14ac:dyDescent="0.2">
      <c r="A42" s="490" t="str">
        <f t="shared" si="0"/>
        <v/>
      </c>
      <c r="B42" s="493"/>
      <c r="C42" s="475"/>
      <c r="D42" s="476"/>
      <c r="E42" s="476"/>
      <c r="F42" s="476"/>
      <c r="G42" s="476"/>
      <c r="H42" s="476"/>
      <c r="I42" s="476"/>
      <c r="J42" s="476"/>
      <c r="K42" s="476"/>
      <c r="L42" s="476"/>
      <c r="M42" s="303"/>
      <c r="N42" s="429">
        <v>38</v>
      </c>
      <c r="O42" s="146"/>
      <c r="P42" s="488" t="str">
        <v/>
      </c>
      <c r="Q42" s="489"/>
      <c r="R42" s="487" t="e">
        <v>#VALUE!</v>
      </c>
      <c r="S42" s="147" t="str">
        <v/>
      </c>
      <c r="T42" s="459"/>
    </row>
    <row r="43" spans="1:24" s="278" customFormat="1" x14ac:dyDescent="0.2">
      <c r="A43" s="490" t="str">
        <f t="shared" si="0"/>
        <v/>
      </c>
      <c r="B43" s="493"/>
      <c r="C43" s="475"/>
      <c r="D43" s="476"/>
      <c r="E43" s="476"/>
      <c r="F43" s="476"/>
      <c r="G43" s="476"/>
      <c r="H43" s="476"/>
      <c r="I43" s="476"/>
      <c r="J43" s="476"/>
      <c r="K43" s="476"/>
      <c r="L43" s="476"/>
      <c r="M43" s="303"/>
      <c r="N43" s="429">
        <v>39</v>
      </c>
      <c r="O43" s="146"/>
      <c r="P43" s="488" t="str">
        <v/>
      </c>
      <c r="Q43" s="489"/>
      <c r="R43" s="487" t="e">
        <v>#VALUE!</v>
      </c>
      <c r="S43" s="147" t="str">
        <v/>
      </c>
      <c r="T43" s="459"/>
    </row>
    <row r="44" spans="1:24" s="278" customFormat="1" x14ac:dyDescent="0.2">
      <c r="A44" s="490" t="str">
        <f t="shared" si="0"/>
        <v/>
      </c>
      <c r="B44" s="493"/>
      <c r="C44" s="475"/>
      <c r="D44" s="476"/>
      <c r="E44" s="476"/>
      <c r="F44" s="476"/>
      <c r="G44" s="476"/>
      <c r="H44" s="476"/>
      <c r="I44" s="476"/>
      <c r="J44" s="476"/>
      <c r="K44" s="476"/>
      <c r="L44" s="476"/>
      <c r="M44" s="303"/>
      <c r="N44" s="429">
        <v>40</v>
      </c>
      <c r="O44" s="146"/>
      <c r="P44" s="488" t="str">
        <v/>
      </c>
      <c r="Q44" s="489"/>
      <c r="R44" s="487" t="e">
        <v>#VALUE!</v>
      </c>
      <c r="S44" s="147" t="str">
        <v/>
      </c>
      <c r="T44" s="459"/>
    </row>
    <row r="45" spans="1:24" s="307" customFormat="1" x14ac:dyDescent="0.2">
      <c r="A45" s="321"/>
      <c r="B45" s="342"/>
      <c r="C45" s="343"/>
      <c r="D45" s="303"/>
      <c r="E45" s="303"/>
      <c r="F45" s="303"/>
      <c r="G45" s="303"/>
      <c r="H45" s="303"/>
      <c r="I45" s="303"/>
      <c r="J45" s="303"/>
      <c r="K45" s="344"/>
      <c r="L45" s="303"/>
      <c r="M45" s="303"/>
      <c r="N45" s="305"/>
      <c r="P45" s="305"/>
      <c r="Q45" s="305"/>
      <c r="R45" s="305"/>
      <c r="S45" s="481"/>
      <c r="T45" s="305"/>
      <c r="X45" s="481"/>
    </row>
    <row r="46" spans="1:24" x14ac:dyDescent="0.2">
      <c r="A46" s="325"/>
      <c r="B46" s="345"/>
      <c r="C46" s="346"/>
      <c r="D46" s="496" t="s">
        <v>33</v>
      </c>
      <c r="E46" s="497"/>
      <c r="F46" s="497"/>
      <c r="G46" s="497"/>
      <c r="H46" s="497"/>
      <c r="I46" s="498"/>
      <c r="J46" s="347"/>
      <c r="K46" s="347"/>
      <c r="L46" s="347"/>
      <c r="M46" s="522" t="s">
        <v>326</v>
      </c>
      <c r="N46" s="523"/>
      <c r="O46" s="524"/>
      <c r="P46" s="525"/>
      <c r="Q46" s="307"/>
      <c r="S46" s="307"/>
      <c r="T46" s="307"/>
      <c r="U46" s="307"/>
    </row>
    <row r="47" spans="1:24" x14ac:dyDescent="0.2">
      <c r="A47" s="325"/>
      <c r="B47" s="345"/>
      <c r="C47" s="406"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03" t="s">
        <v>329</v>
      </c>
      <c r="Q47" s="503"/>
      <c r="R47" s="409" t="s">
        <v>330</v>
      </c>
      <c r="T47" s="307"/>
      <c r="U47" s="307"/>
    </row>
    <row r="48" spans="1:24" x14ac:dyDescent="0.2">
      <c r="A48" s="321"/>
      <c r="B48" s="345"/>
      <c r="C48" s="407" t="s">
        <v>34</v>
      </c>
      <c r="D48" s="290"/>
      <c r="E48" s="290"/>
      <c r="F48" s="290"/>
      <c r="G48" s="290"/>
      <c r="H48" s="290"/>
      <c r="I48" s="290"/>
      <c r="J48" s="347"/>
      <c r="K48" s="347"/>
      <c r="L48" s="347"/>
      <c r="M48" s="504" t="s">
        <v>331</v>
      </c>
      <c r="N48" s="504"/>
      <c r="O48" s="349"/>
      <c r="P48" s="505" t="s">
        <v>377</v>
      </c>
      <c r="Q48" s="506"/>
      <c r="R48" s="507"/>
      <c r="S48" s="480" t="b">
        <f>_xlfn.REGEXTEST(TRIM(Class),"^[0-9][AC]",1)</f>
        <v>0</v>
      </c>
      <c r="T48" s="308"/>
      <c r="U48" s="505" t="s">
        <v>380</v>
      </c>
      <c r="V48" s="506"/>
      <c r="W48" s="507"/>
      <c r="X48" s="480" t="b">
        <f>_xlfn.REGEXTEST(TRIM(Class),"^[0-9][AC]",1)</f>
        <v>0</v>
      </c>
    </row>
    <row r="49" spans="1:24" x14ac:dyDescent="0.2">
      <c r="A49" s="321"/>
      <c r="B49" s="350"/>
      <c r="C49" s="406"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508" t="s">
        <v>382</v>
      </c>
      <c r="Q49" s="509"/>
      <c r="R49" s="510"/>
      <c r="S49" s="410" t="str">
        <f>IF(_xlfn.REGEXTEST(TRIM(Class),"^[0-9][AC]",1),
  IF(L4&lt;=HalfTolMax,"Yes","No"),
"N/A")</f>
        <v>N/A</v>
      </c>
      <c r="T49" s="309"/>
      <c r="U49" s="508" t="s">
        <v>381</v>
      </c>
      <c r="V49" s="509"/>
      <c r="W49" s="510"/>
      <c r="X49" s="410" t="str">
        <f>IF(_xlfn.REGEXTEST(TRIM(Class),"^[0-9][AC]",1),
  IF(L5&gt;=HalfTolMin,"Yes","No"),
"N/A")</f>
        <v>N/A</v>
      </c>
    </row>
    <row r="50" spans="1:24" x14ac:dyDescent="0.2">
      <c r="A50" s="321"/>
      <c r="B50" s="351"/>
      <c r="C50" s="406"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511" t="s">
        <v>334</v>
      </c>
      <c r="Q50" s="512"/>
      <c r="R50" s="513"/>
      <c r="S50" s="352"/>
      <c r="T50" s="310"/>
      <c r="U50" s="511" t="s">
        <v>334</v>
      </c>
      <c r="V50" s="512"/>
      <c r="W50" s="513"/>
      <c r="X50" s="307"/>
    </row>
    <row r="51" spans="1:24" x14ac:dyDescent="0.2">
      <c r="A51" s="321"/>
      <c r="B51" s="353"/>
      <c r="C51" s="406" t="s">
        <v>57</v>
      </c>
      <c r="D51" s="290"/>
      <c r="E51" s="290"/>
      <c r="F51" s="290"/>
      <c r="G51" s="290"/>
      <c r="H51" s="290"/>
      <c r="I51" s="290"/>
      <c r="J51" s="347"/>
      <c r="K51" s="354"/>
      <c r="L51" s="347"/>
      <c r="M51" s="393" t="s">
        <v>335</v>
      </c>
      <c r="N51" s="300" t="str">
        <f>IF(Derivative="","",Derivative)</f>
        <v/>
      </c>
      <c r="O51" s="303"/>
      <c r="P51" s="508" t="s">
        <v>378</v>
      </c>
      <c r="Q51" s="509"/>
      <c r="R51" s="510"/>
      <c r="S51" s="410"/>
      <c r="T51" s="311"/>
      <c r="U51" s="508" t="s">
        <v>383</v>
      </c>
      <c r="V51" s="509"/>
      <c r="W51" s="510"/>
      <c r="X51" s="410"/>
    </row>
    <row r="52" spans="1:24" x14ac:dyDescent="0.2">
      <c r="A52" s="321"/>
      <c r="B52" s="345"/>
      <c r="C52" s="406" t="s">
        <v>341</v>
      </c>
      <c r="D52" s="290"/>
      <c r="E52" s="290"/>
      <c r="F52" s="290"/>
      <c r="G52" s="290"/>
      <c r="H52" s="290"/>
      <c r="I52" s="290"/>
      <c r="J52" s="347"/>
      <c r="K52" s="354"/>
      <c r="L52" s="347"/>
      <c r="M52" s="393" t="s">
        <v>336</v>
      </c>
      <c r="N52" s="300" t="str">
        <f>IF(Other1="","",Other1)</f>
        <v/>
      </c>
      <c r="O52" s="317"/>
      <c r="P52" s="511" t="s">
        <v>334</v>
      </c>
      <c r="Q52" s="512"/>
      <c r="R52" s="513"/>
      <c r="S52" s="352"/>
      <c r="T52" s="312"/>
      <c r="U52" s="511" t="s">
        <v>334</v>
      </c>
      <c r="V52" s="512"/>
      <c r="W52" s="513"/>
      <c r="X52" s="307"/>
    </row>
    <row r="53" spans="1:24" ht="12.75" customHeight="1" x14ac:dyDescent="0.2">
      <c r="A53" s="321"/>
      <c r="B53" s="345"/>
      <c r="C53" s="406" t="s">
        <v>58</v>
      </c>
      <c r="D53" s="295"/>
      <c r="E53" s="295"/>
      <c r="F53" s="295"/>
      <c r="G53" s="295"/>
      <c r="H53" s="295"/>
      <c r="I53" s="295"/>
      <c r="J53" s="347"/>
      <c r="K53" s="355"/>
      <c r="L53" s="355"/>
      <c r="M53" s="394" t="s">
        <v>336</v>
      </c>
      <c r="N53" s="300" t="str">
        <f>IF(Other2="","",Other2)</f>
        <v/>
      </c>
      <c r="O53" s="317"/>
      <c r="P53" s="555" t="s">
        <v>379</v>
      </c>
      <c r="Q53" s="556"/>
      <c r="R53" s="557"/>
      <c r="S53" s="410"/>
      <c r="T53" s="313"/>
      <c r="U53" s="555" t="s">
        <v>384</v>
      </c>
      <c r="V53" s="556"/>
      <c r="W53" s="557"/>
      <c r="X53" s="410"/>
    </row>
    <row r="54" spans="1:24" x14ac:dyDescent="0.2">
      <c r="A54" s="321"/>
      <c r="B54" s="345"/>
      <c r="C54" s="408" t="s">
        <v>82</v>
      </c>
      <c r="D54" s="451" t="str">
        <f>_xlfn.XLOOKUP(D$48,WireSets[serial_number],WireSets[traceability_number],"",0)</f>
        <v/>
      </c>
      <c r="E54" s="451" t="str">
        <f>_xlfn.XLOOKUP(E$48,WireSets[serial_number],WireSets[traceability_number],"",0)</f>
        <v/>
      </c>
      <c r="F54" s="451" t="str">
        <f>_xlfn.XLOOKUP(F$48,WireSets[serial_number],WireSets[traceability_number],"",0)</f>
        <v/>
      </c>
      <c r="G54" s="451" t="str">
        <f>_xlfn.XLOOKUP(G$48,WireSets[serial_number],WireSets[traceability_number],"",0)</f>
        <v/>
      </c>
      <c r="H54" s="451" t="str">
        <f>_xlfn.XLOOKUP(H$48,WireSets[serial_number],WireSets[traceability_number],"",0)</f>
        <v/>
      </c>
      <c r="I54" s="451" t="str">
        <f>_xlfn.XLOOKUP(I$48,WireSets[serial_number],WireSets[traceability_number],"",0)</f>
        <v/>
      </c>
      <c r="J54" s="356"/>
      <c r="K54" s="395"/>
      <c r="L54" s="396"/>
      <c r="M54" s="397" t="s">
        <v>363</v>
      </c>
      <c r="N54" s="299">
        <v>0</v>
      </c>
      <c r="O54" s="305"/>
      <c r="P54" s="558"/>
      <c r="Q54" s="559"/>
      <c r="R54" s="560"/>
      <c r="S54" s="357"/>
      <c r="T54" s="314"/>
      <c r="U54" s="558"/>
      <c r="V54" s="559"/>
      <c r="W54" s="560"/>
    </row>
    <row r="55" spans="1:24" x14ac:dyDescent="0.2">
      <c r="A55" s="321"/>
      <c r="B55" s="345"/>
      <c r="C55" s="408" t="s">
        <v>150</v>
      </c>
      <c r="D55" s="452" t="s">
        <v>966</v>
      </c>
      <c r="E55" s="452" t="s">
        <v>965</v>
      </c>
      <c r="F55" s="452" t="str">
        <f>_xlfn.XLOOKUP(F$48,WireSets[serial_number],WireSets[wire_roll_cert_number],"",0)</f>
        <v/>
      </c>
      <c r="G55" s="452" t="str">
        <f>_xlfn.XLOOKUP(G$48,WireSets[serial_number],WireSets[wire_roll_cert_number],"",0)</f>
        <v/>
      </c>
      <c r="H55" s="452" t="str">
        <f>_xlfn.XLOOKUP(H$48,WireSets[serial_number],WireSets[wire_roll_cert_number],"",0)</f>
        <v/>
      </c>
      <c r="I55" s="452" t="str">
        <f>_xlfn.XLOOKUP(I$48,WireSets[serial_number],WireSets[wire_roll_cert_number],"",0)</f>
        <v/>
      </c>
      <c r="J55" s="358"/>
      <c r="K55" s="398"/>
      <c r="L55" s="399"/>
      <c r="M55" s="400" t="s">
        <v>364</v>
      </c>
      <c r="N55" s="299">
        <v>0</v>
      </c>
      <c r="O55" s="305"/>
      <c r="P55" s="243" t="s">
        <v>337</v>
      </c>
      <c r="Q55" s="243" t="s">
        <v>14</v>
      </c>
      <c r="R55" s="251" t="s">
        <v>338</v>
      </c>
      <c r="S55" s="359"/>
      <c r="T55" s="315"/>
      <c r="U55" s="302" t="s">
        <v>339</v>
      </c>
      <c r="V55" s="243" t="s">
        <v>14</v>
      </c>
      <c r="W55" s="243" t="s">
        <v>340</v>
      </c>
    </row>
    <row r="56" spans="1:24" x14ac:dyDescent="0.2">
      <c r="A56" s="321"/>
      <c r="B56" s="360"/>
      <c r="C56" s="408" t="s">
        <v>151</v>
      </c>
      <c r="D56" s="290"/>
      <c r="E56" s="290"/>
      <c r="F56" s="290"/>
      <c r="G56" s="290"/>
      <c r="H56" s="290"/>
      <c r="I56" s="290"/>
      <c r="J56" s="361"/>
      <c r="K56" s="401"/>
      <c r="L56" s="402"/>
      <c r="M56" s="400" t="s">
        <v>365</v>
      </c>
      <c r="N56" s="299">
        <v>0</v>
      </c>
      <c r="O56" s="305"/>
      <c r="P56" s="411">
        <f>MAX(Survey[RawTemp])</f>
        <v>0</v>
      </c>
      <c r="Q56" s="412" t="str" cm="1">
        <f t="array" ref="Q56">_xlfn.TEXTJOIN(", ",TRUE, _xlfn.UNIQUE(TEXT(Alerts[High],"h:mm am/pm")))</f>
        <v/>
      </c>
      <c r="R56" s="413"/>
      <c r="S56" s="362"/>
      <c r="T56" s="316"/>
      <c r="U56" s="414">
        <f>MIN(Survey[RawTemp])</f>
        <v>0</v>
      </c>
      <c r="V56" s="412" t="str" cm="1">
        <f t="array" ref="V56">_xlfn.TEXTJOIN(", ",TRUE, _xlfn.UNIQUE(TEXT(Alerts[Low],"h:mm am/pm")))</f>
        <v/>
      </c>
      <c r="W56" s="411"/>
    </row>
    <row r="57" spans="1:24" x14ac:dyDescent="0.2">
      <c r="A57" s="321"/>
      <c r="B57" s="342"/>
      <c r="C57" s="240" t="s">
        <v>342</v>
      </c>
      <c r="D57" s="291"/>
      <c r="E57" s="291"/>
      <c r="F57" s="291"/>
      <c r="G57" s="291"/>
      <c r="H57" s="291"/>
      <c r="I57" s="291"/>
      <c r="J57" s="303"/>
      <c r="K57" s="403"/>
      <c r="L57" s="404"/>
      <c r="M57" s="405" t="s">
        <v>366</v>
      </c>
      <c r="N57" s="299">
        <v>0</v>
      </c>
      <c r="O57" s="305"/>
      <c r="P57" s="303"/>
      <c r="Q57" s="482"/>
      <c r="S57" s="303"/>
      <c r="V57" s="482"/>
    </row>
    <row r="58" spans="1:24" x14ac:dyDescent="0.2">
      <c r="A58" s="321"/>
      <c r="B58" s="342"/>
      <c r="C58" s="496" t="s">
        <v>156</v>
      </c>
      <c r="D58" s="497"/>
      <c r="E58" s="497"/>
      <c r="F58" s="497"/>
      <c r="G58" s="497"/>
      <c r="H58" s="497"/>
      <c r="I58" s="497"/>
      <c r="J58" s="497"/>
      <c r="K58" s="501"/>
      <c r="L58" s="502"/>
      <c r="M58" s="307"/>
      <c r="N58" s="307"/>
      <c r="O58" s="307"/>
      <c r="P58" s="303"/>
      <c r="Q58" s="484"/>
      <c r="S58" s="307"/>
      <c r="T58" s="307"/>
      <c r="U58" s="307"/>
      <c r="V58" s="482"/>
    </row>
    <row r="59" spans="1:24" x14ac:dyDescent="0.2">
      <c r="A59" s="321"/>
      <c r="B59" s="342"/>
      <c r="C59" s="496" t="s">
        <v>159</v>
      </c>
      <c r="D59" s="497"/>
      <c r="E59" s="497"/>
      <c r="F59" s="497"/>
      <c r="G59" s="497"/>
      <c r="H59" s="497"/>
      <c r="I59" s="497"/>
      <c r="J59" s="497"/>
      <c r="K59" s="497"/>
      <c r="L59" s="498"/>
      <c r="M59" s="307"/>
      <c r="N59" s="317" t="str">
        <f>"DOORS OPENED FOR " &amp;L16&amp; " SECONDS TO SIMULATE LOAD ENTRY AT " &amp;L17&amp; "."</f>
        <v>DOORS OPENED FOR  SECONDS TO SIMULATE LOAD ENTRY AT .</v>
      </c>
      <c r="O59" s="317"/>
      <c r="P59" s="317"/>
      <c r="Q59" s="483"/>
      <c r="R59" s="317"/>
      <c r="S59" s="317"/>
      <c r="T59" s="317"/>
      <c r="U59" s="317"/>
      <c r="V59" s="483"/>
    </row>
    <row r="60" spans="1:24" x14ac:dyDescent="0.2">
      <c r="A60" s="363"/>
      <c r="B60" s="350"/>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64" t="str">
        <f>"AFTER TUS, HIGH LIMIT SET AT " &amp;E60&amp; "°F AND OVEN SETPOINT RAISED UNTIL HIGH LIMIT SYSTEM ACTIVATED AT " &amp;K60&amp; "°F."</f>
        <v>AFTER TUS, HIGH LIMIT SET AT °F AND OVEN SETPOINT RAISED UNTIL HIGH LIMIT SYSTEM ACTIVATED AT °F.</v>
      </c>
      <c r="O60" s="364"/>
      <c r="P60" s="317"/>
      <c r="Q60" s="483"/>
      <c r="R60" s="317"/>
      <c r="S60" s="317"/>
      <c r="T60" s="317"/>
      <c r="U60" s="317"/>
      <c r="V60" s="483"/>
    </row>
    <row r="61" spans="1:24" x14ac:dyDescent="0.2">
      <c r="A61" s="325"/>
      <c r="B61" s="318"/>
      <c r="C61" s="174"/>
      <c r="D61" s="174" t="s">
        <v>158</v>
      </c>
      <c r="E61" s="298"/>
      <c r="F61" s="180" t="s">
        <v>160</v>
      </c>
      <c r="G61" s="181"/>
      <c r="H61" s="181"/>
      <c r="I61" s="182"/>
      <c r="J61" s="298"/>
      <c r="K61" s="183" t="str">
        <f>Unit&amp;"."</f>
        <v>°F.</v>
      </c>
      <c r="L61" s="303"/>
      <c r="M61" s="307"/>
      <c r="N61" s="364" t="str">
        <f>"AFTER TUS, HIGH LIMIT READING " &amp;E61&amp; "°F AND HIGH LIMIT SETPOINT LOWERED UNTIL ACTIVATION AT " &amp;J61&amp; "°F."</f>
        <v>AFTER TUS, HIGH LIMIT READING °F AND HIGH LIMIT SETPOINT LOWERED UNTIL ACTIVATION AT °F.</v>
      </c>
      <c r="O61" s="365"/>
      <c r="P61" s="317"/>
      <c r="Q61" s="483"/>
      <c r="R61" s="317"/>
      <c r="S61" s="317"/>
      <c r="T61" s="317"/>
      <c r="U61" s="317"/>
      <c r="V61" s="483"/>
    </row>
    <row r="62" spans="1:24" x14ac:dyDescent="0.2">
      <c r="A62" s="325"/>
      <c r="B62" s="318"/>
      <c r="C62" s="319"/>
      <c r="D62" s="303"/>
      <c r="E62" s="303"/>
      <c r="F62" s="307" t="s">
        <v>361</v>
      </c>
      <c r="G62" s="341"/>
      <c r="H62" s="341"/>
      <c r="I62" s="341"/>
      <c r="J62" s="303"/>
      <c r="K62" s="303"/>
      <c r="L62" s="303"/>
      <c r="M62" s="366"/>
      <c r="N62" s="365"/>
      <c r="O62" s="365"/>
      <c r="P62" s="317"/>
      <c r="Q62" s="483"/>
      <c r="R62" s="317"/>
      <c r="S62" s="317"/>
      <c r="T62" s="317"/>
      <c r="U62" s="317"/>
      <c r="V62" s="483"/>
    </row>
    <row r="63" spans="1:24" x14ac:dyDescent="0.2">
      <c r="A63" s="325"/>
      <c r="B63" s="318"/>
      <c r="C63" s="340"/>
      <c r="D63" s="341"/>
      <c r="E63" s="341"/>
      <c r="F63" s="341"/>
      <c r="G63" s="341"/>
      <c r="H63" s="341"/>
      <c r="I63" s="341"/>
      <c r="J63" s="303"/>
      <c r="K63" s="303"/>
      <c r="L63" s="303"/>
      <c r="M63" s="307"/>
      <c r="N63" s="347"/>
      <c r="O63" s="347"/>
      <c r="P63" s="307"/>
      <c r="Q63" s="484"/>
      <c r="R63" s="307"/>
      <c r="S63" s="307"/>
      <c r="T63" s="307"/>
      <c r="U63" s="307"/>
      <c r="V63" s="482"/>
    </row>
    <row r="64" spans="1:24" x14ac:dyDescent="0.2">
      <c r="A64" s="367"/>
      <c r="B64" s="368"/>
      <c r="C64" s="369"/>
      <c r="D64" s="370"/>
      <c r="E64" s="376"/>
      <c r="F64" s="377"/>
      <c r="G64" s="378"/>
      <c r="H64" s="379"/>
      <c r="I64" s="380"/>
      <c r="J64" s="373"/>
      <c r="K64" s="374"/>
      <c r="L64" s="375"/>
      <c r="M64" s="370"/>
      <c r="N64" s="371"/>
      <c r="O64" s="371"/>
      <c r="P64" s="371"/>
      <c r="Q64" s="485"/>
      <c r="R64" s="303"/>
      <c r="S64" s="303"/>
      <c r="V64" s="482"/>
    </row>
    <row r="65" spans="1:26" x14ac:dyDescent="0.2">
      <c r="A65" s="367"/>
      <c r="B65" s="368"/>
      <c r="C65" s="369"/>
      <c r="D65" s="370"/>
      <c r="E65" s="68" t="s">
        <v>900</v>
      </c>
      <c r="F65" t="s">
        <v>149</v>
      </c>
      <c r="G65" s="37" t="s">
        <v>901</v>
      </c>
      <c r="I65" s="374"/>
      <c r="J65" s="375"/>
      <c r="K65" s="370"/>
      <c r="L65" s="371"/>
      <c r="M65" s="371"/>
      <c r="N65" s="371"/>
      <c r="O65" s="370"/>
      <c r="P65" s="303"/>
      <c r="Q65" s="482"/>
      <c r="R65" s="307"/>
      <c r="S65" s="303"/>
      <c r="V65" s="482"/>
    </row>
    <row r="66" spans="1:26" x14ac:dyDescent="0.2">
      <c r="A66" s="367"/>
      <c r="B66" s="368"/>
      <c r="C66" s="369"/>
      <c r="D66" s="370"/>
      <c r="E66">
        <v>1</v>
      </c>
      <c r="F66" s="388">
        <v>5</v>
      </c>
      <c r="G66" s="388">
        <v>2</v>
      </c>
      <c r="I66" s="374"/>
      <c r="J66" s="375"/>
      <c r="K66" s="370"/>
      <c r="L66" s="371"/>
      <c r="M66" s="371"/>
      <c r="N66" s="371"/>
      <c r="O66" s="370"/>
      <c r="P66" s="303"/>
      <c r="Q66" s="482"/>
      <c r="R66" s="303"/>
      <c r="S66" s="303"/>
      <c r="V66" s="482"/>
    </row>
    <row r="67" spans="1:26" x14ac:dyDescent="0.2">
      <c r="A67" s="367"/>
      <c r="B67" s="368"/>
      <c r="C67" s="369"/>
      <c r="D67" s="370"/>
      <c r="E67">
        <v>2</v>
      </c>
      <c r="F67" s="388">
        <v>10</v>
      </c>
      <c r="G67" s="388">
        <v>3</v>
      </c>
      <c r="I67" s="374"/>
      <c r="J67" s="375"/>
      <c r="K67" s="370"/>
      <c r="L67" s="371"/>
      <c r="M67" s="371"/>
      <c r="N67" s="371"/>
      <c r="O67" s="370"/>
      <c r="P67" s="303"/>
      <c r="Q67" s="482"/>
      <c r="R67" s="303"/>
      <c r="S67" s="303"/>
      <c r="V67" s="482"/>
    </row>
    <row r="68" spans="1:26" x14ac:dyDescent="0.2">
      <c r="A68" s="367"/>
      <c r="B68" s="368"/>
      <c r="C68" s="369"/>
      <c r="D68" s="370"/>
      <c r="E68">
        <v>3</v>
      </c>
      <c r="F68" s="388">
        <v>15</v>
      </c>
      <c r="G68" s="388">
        <v>4</v>
      </c>
      <c r="I68" s="374"/>
      <c r="J68" s="375"/>
      <c r="K68" s="370"/>
      <c r="L68" s="371"/>
      <c r="M68" s="371"/>
      <c r="N68" s="371"/>
      <c r="O68" s="370"/>
      <c r="P68" s="303"/>
      <c r="Q68" s="482"/>
      <c r="R68" s="303"/>
      <c r="S68" s="303"/>
      <c r="V68" s="482"/>
    </row>
    <row r="69" spans="1:26" x14ac:dyDescent="0.2">
      <c r="A69" s="367"/>
      <c r="B69" s="368"/>
      <c r="C69" s="369"/>
      <c r="D69" s="370"/>
      <c r="E69">
        <v>4</v>
      </c>
      <c r="F69" s="388">
        <v>20</v>
      </c>
      <c r="G69" s="388">
        <v>4</v>
      </c>
      <c r="I69" s="374"/>
      <c r="J69" s="375"/>
      <c r="K69" s="370"/>
      <c r="L69" s="371"/>
      <c r="M69" s="371"/>
      <c r="N69" s="371"/>
      <c r="O69" s="370"/>
      <c r="P69" s="303"/>
      <c r="Q69" s="482"/>
      <c r="R69" s="303"/>
      <c r="S69" s="303"/>
      <c r="V69" s="482"/>
    </row>
    <row r="70" spans="1:26" x14ac:dyDescent="0.2">
      <c r="A70" s="367"/>
      <c r="B70" s="368"/>
      <c r="C70" s="369"/>
      <c r="D70" s="370"/>
      <c r="E70">
        <v>5</v>
      </c>
      <c r="F70" s="388">
        <v>25</v>
      </c>
      <c r="G70" s="388">
        <v>5</v>
      </c>
      <c r="I70" s="374"/>
      <c r="J70" s="375"/>
      <c r="K70" s="370"/>
      <c r="L70" s="371"/>
      <c r="M70" s="371"/>
      <c r="N70" s="371"/>
      <c r="O70" s="370"/>
      <c r="P70" s="303"/>
      <c r="Q70" s="482"/>
      <c r="R70" s="303"/>
      <c r="S70" s="303"/>
      <c r="V70" s="482"/>
    </row>
    <row r="71" spans="1:26" x14ac:dyDescent="0.2">
      <c r="A71" s="367"/>
      <c r="B71" s="368"/>
      <c r="C71" s="369"/>
      <c r="D71" s="370"/>
      <c r="E71">
        <v>6</v>
      </c>
      <c r="F71" s="388">
        <v>50</v>
      </c>
      <c r="G71" s="388">
        <v>10</v>
      </c>
      <c r="I71" s="374"/>
      <c r="J71" s="375"/>
      <c r="K71" s="370"/>
      <c r="L71" s="371"/>
      <c r="M71" s="371"/>
      <c r="N71" s="371"/>
      <c r="O71" s="370"/>
      <c r="P71" s="303"/>
      <c r="Q71" s="303"/>
      <c r="R71" s="303"/>
      <c r="S71" s="303"/>
    </row>
    <row r="72" spans="1:26" x14ac:dyDescent="0.2">
      <c r="A72" s="367"/>
      <c r="B72" s="368"/>
      <c r="C72" s="369"/>
      <c r="D72" s="370"/>
      <c r="E72" s="376"/>
      <c r="F72" s="377"/>
      <c r="H72" s="379"/>
      <c r="I72" s="380"/>
      <c r="J72" s="373"/>
      <c r="K72" s="374"/>
      <c r="L72" s="375"/>
      <c r="M72" s="370"/>
      <c r="N72" s="371"/>
      <c r="O72" s="371"/>
      <c r="P72" s="371"/>
      <c r="Q72" s="370"/>
      <c r="R72" s="303"/>
      <c r="S72" s="303"/>
    </row>
    <row r="73" spans="1:26" x14ac:dyDescent="0.2">
      <c r="A73" s="367"/>
      <c r="B73" s="368"/>
      <c r="C73" s="369"/>
      <c r="D73" s="370"/>
      <c r="E73" s="376"/>
      <c r="F73" s="406" t="s">
        <v>959</v>
      </c>
      <c r="G73" s="469" t="b">
        <f>AND(UUTRangeTol!R2+UUTRangeTol!S2=0,UUTRangeTol!S2&gt;0)</f>
        <v>0</v>
      </c>
      <c r="H73" s="381"/>
      <c r="I73" s="380"/>
      <c r="J73" s="373"/>
      <c r="K73" s="374"/>
      <c r="L73" s="375"/>
      <c r="M73" s="370"/>
      <c r="N73" s="371"/>
      <c r="O73" s="371"/>
      <c r="P73" s="371"/>
      <c r="Q73" s="370"/>
      <c r="R73" s="303"/>
      <c r="S73" s="303"/>
    </row>
    <row r="74" spans="1:26" x14ac:dyDescent="0.2">
      <c r="A74" s="367"/>
      <c r="B74" s="368"/>
      <c r="C74" s="369"/>
      <c r="D74" s="370"/>
      <c r="E74" s="376"/>
      <c r="F74" s="406" t="s">
        <v>960</v>
      </c>
      <c r="G74" s="468">
        <f>IF(Symmetric_Tol,VLOOKUP(UUTRangeTol!S2,SAT_Tolerance_Lookup[[TUS Tol]:[SAT Multiplier]],2,FALSE),SAT_Tol)</f>
        <v>0</v>
      </c>
      <c r="H74" s="375"/>
      <c r="J74" s="373"/>
      <c r="K74" s="374"/>
      <c r="L74" s="375"/>
      <c r="M74" s="370"/>
      <c r="N74" s="371"/>
      <c r="O74" s="371"/>
      <c r="P74" s="371"/>
      <c r="Q74" s="370"/>
      <c r="R74" s="303"/>
      <c r="S74" s="303"/>
    </row>
    <row r="75" spans="1:26" x14ac:dyDescent="0.2">
      <c r="A75" s="367"/>
      <c r="B75" s="368"/>
      <c r="C75" s="369"/>
      <c r="D75" s="370"/>
      <c r="E75" s="372"/>
      <c r="F75" s="406" t="s">
        <v>961</v>
      </c>
      <c r="G75" s="470">
        <f>G74*MAX(NominalTemp/1000,1)</f>
        <v>0</v>
      </c>
      <c r="H75" s="370"/>
      <c r="I75" s="372"/>
      <c r="J75" s="373"/>
      <c r="K75" s="374"/>
      <c r="L75" s="375"/>
      <c r="M75" s="370"/>
      <c r="N75" s="371"/>
      <c r="O75" s="371"/>
      <c r="P75" s="371"/>
      <c r="Q75" s="370"/>
      <c r="R75" s="303"/>
      <c r="S75" s="303"/>
    </row>
    <row r="76" spans="1:26" x14ac:dyDescent="0.2">
      <c r="A76" s="367"/>
      <c r="B76" s="368"/>
      <c r="C76" s="369"/>
      <c r="D76" s="370"/>
      <c r="E76" s="367"/>
      <c r="H76" s="370"/>
      <c r="I76" s="367"/>
      <c r="J76" s="368"/>
      <c r="K76" s="369"/>
      <c r="L76" s="370"/>
      <c r="M76" s="370"/>
      <c r="N76" s="371"/>
      <c r="O76" s="371"/>
      <c r="P76" s="371"/>
      <c r="Q76" s="370"/>
      <c r="R76" s="303"/>
      <c r="S76" s="303"/>
    </row>
    <row r="77" spans="1:26" x14ac:dyDescent="0.2">
      <c r="A77" s="367"/>
      <c r="B77" s="368"/>
      <c r="C77" s="369"/>
      <c r="D77" s="370"/>
      <c r="E77" s="367"/>
      <c r="H77" s="370"/>
      <c r="I77" s="367"/>
      <c r="J77" s="368"/>
      <c r="K77" s="369"/>
      <c r="L77" s="370"/>
      <c r="M77" s="370"/>
      <c r="N77" s="371"/>
      <c r="O77" s="371"/>
      <c r="P77" s="371"/>
      <c r="Q77" s="370"/>
      <c r="R77" s="303"/>
      <c r="S77" s="303"/>
    </row>
    <row r="78" spans="1:26" x14ac:dyDescent="0.2">
      <c r="A78" s="367"/>
      <c r="B78" s="368"/>
      <c r="C78" s="369"/>
      <c r="D78" s="370"/>
      <c r="E78" s="370"/>
      <c r="F78" s="370"/>
      <c r="G78" s="370"/>
      <c r="H78" s="370"/>
      <c r="I78" s="370"/>
      <c r="J78" s="370"/>
      <c r="K78" s="370"/>
      <c r="L78" s="370"/>
      <c r="M78" s="370"/>
      <c r="N78" s="371"/>
      <c r="O78" s="371"/>
      <c r="P78" s="371"/>
      <c r="Q78" s="370"/>
      <c r="R78" s="303"/>
      <c r="S78" s="303"/>
    </row>
    <row r="79" spans="1:26" x14ac:dyDescent="0.2">
      <c r="A79" s="367"/>
      <c r="B79" s="368"/>
      <c r="C79" s="369"/>
      <c r="D79" s="370"/>
      <c r="E79" s="370"/>
      <c r="F79" s="370"/>
      <c r="G79" s="370"/>
      <c r="H79" s="370"/>
      <c r="I79" s="370"/>
      <c r="J79" s="370"/>
      <c r="K79" s="370"/>
      <c r="L79" s="370"/>
      <c r="M79" s="370"/>
      <c r="N79" s="371"/>
      <c r="O79" s="371"/>
      <c r="P79" s="371"/>
      <c r="Q79" s="370"/>
      <c r="R79" s="303"/>
      <c r="S79" s="303"/>
    </row>
    <row r="80" spans="1:26" x14ac:dyDescent="0.2">
      <c r="A80" s="367"/>
      <c r="B80" s="368"/>
      <c r="C80" s="369"/>
      <c r="D80" s="370"/>
      <c r="E80" s="370"/>
      <c r="F80" s="370"/>
      <c r="G80" s="370"/>
      <c r="H80" s="370"/>
      <c r="I80" s="370"/>
      <c r="J80" s="370"/>
      <c r="K80" s="370"/>
      <c r="L80" s="370"/>
      <c r="M80" s="370"/>
      <c r="N80" s="371"/>
      <c r="O80" s="371"/>
      <c r="P80" s="371"/>
      <c r="Q80" s="370"/>
      <c r="R80" s="303"/>
      <c r="S80" s="303"/>
      <c r="Z80" s="449"/>
    </row>
    <row r="81" spans="1:19" x14ac:dyDescent="0.2">
      <c r="A81" s="367"/>
      <c r="B81" s="368"/>
      <c r="C81" s="369"/>
      <c r="D81" s="370"/>
      <c r="E81" s="370"/>
      <c r="F81" s="370"/>
      <c r="G81" s="370"/>
      <c r="H81" s="370"/>
      <c r="I81" s="370"/>
      <c r="J81" s="370"/>
      <c r="K81" s="370"/>
      <c r="L81" s="370"/>
      <c r="M81" s="370"/>
      <c r="N81" s="371"/>
      <c r="O81" s="371"/>
      <c r="P81" s="371"/>
      <c r="Q81" s="370"/>
      <c r="R81" s="303"/>
      <c r="S81" s="303"/>
    </row>
    <row r="82" spans="1:19" x14ac:dyDescent="0.2">
      <c r="A82" s="367"/>
      <c r="B82" s="368"/>
      <c r="C82" s="369"/>
      <c r="D82" s="370"/>
      <c r="E82" s="370"/>
      <c r="F82" s="370"/>
      <c r="G82" s="370"/>
      <c r="H82" s="370"/>
      <c r="I82" s="370"/>
      <c r="J82" s="370"/>
      <c r="K82" s="370"/>
      <c r="L82" s="370"/>
      <c r="M82" s="370"/>
      <c r="N82" s="371"/>
      <c r="O82" s="371"/>
      <c r="P82" s="371"/>
      <c r="Q82" s="370"/>
      <c r="R82" s="303"/>
      <c r="S82" s="303"/>
    </row>
    <row r="83" spans="1:19" x14ac:dyDescent="0.2">
      <c r="A83" s="367"/>
      <c r="B83" s="368"/>
      <c r="C83" s="369"/>
      <c r="D83" s="370"/>
      <c r="E83" s="370"/>
      <c r="F83" s="370"/>
      <c r="G83" s="370"/>
      <c r="H83" s="370"/>
      <c r="I83" s="370"/>
      <c r="J83" s="370"/>
      <c r="K83" s="370"/>
      <c r="L83" s="370"/>
      <c r="M83" s="370"/>
      <c r="N83" s="371"/>
      <c r="O83" s="371"/>
      <c r="P83" s="371"/>
      <c r="Q83" s="370"/>
      <c r="R83" s="303"/>
      <c r="S83" s="303"/>
    </row>
    <row r="84" spans="1:19" x14ac:dyDescent="0.2">
      <c r="A84" s="367"/>
      <c r="B84" s="368"/>
      <c r="C84" s="369"/>
      <c r="D84" s="370"/>
      <c r="E84" s="370"/>
      <c r="F84" s="370"/>
      <c r="G84" s="370"/>
      <c r="H84" s="370"/>
      <c r="I84" s="370"/>
      <c r="J84" s="370"/>
      <c r="K84" s="370"/>
      <c r="L84" s="370"/>
      <c r="M84" s="370"/>
      <c r="N84" s="371"/>
      <c r="O84" s="371"/>
      <c r="P84" s="371"/>
      <c r="Q84" s="370"/>
      <c r="R84" s="303"/>
      <c r="S84" s="303"/>
    </row>
    <row r="85" spans="1:19" x14ac:dyDescent="0.2">
      <c r="A85" s="367"/>
      <c r="B85" s="368"/>
      <c r="C85" s="369"/>
      <c r="D85" s="370"/>
      <c r="E85" s="370"/>
      <c r="F85" s="370"/>
      <c r="G85" s="448"/>
      <c r="H85" s="370"/>
      <c r="I85" s="370"/>
      <c r="J85" s="370"/>
      <c r="K85" s="370"/>
      <c r="L85" s="370"/>
      <c r="M85" s="370"/>
      <c r="N85" s="371"/>
      <c r="O85" s="371"/>
      <c r="P85" s="371"/>
      <c r="Q85" s="370"/>
      <c r="R85" s="303"/>
      <c r="S85" s="303"/>
    </row>
    <row r="86" spans="1:19" x14ac:dyDescent="0.2">
      <c r="A86" s="367"/>
      <c r="B86" s="368"/>
      <c r="C86" s="369"/>
      <c r="D86" s="370"/>
      <c r="E86" s="370"/>
      <c r="F86" s="370"/>
      <c r="G86" s="370"/>
      <c r="H86" s="370"/>
      <c r="I86" s="370"/>
      <c r="J86" s="370"/>
      <c r="K86" s="370"/>
      <c r="L86" s="370"/>
      <c r="M86" s="370"/>
      <c r="N86" s="371"/>
      <c r="O86" s="371"/>
      <c r="P86" s="371"/>
      <c r="Q86" s="370"/>
      <c r="R86" s="303"/>
      <c r="S86" s="303"/>
    </row>
    <row r="87" spans="1:19" x14ac:dyDescent="0.2">
      <c r="A87" s="367"/>
      <c r="B87" s="368"/>
      <c r="C87" s="369"/>
      <c r="D87" s="370"/>
      <c r="E87" s="370"/>
      <c r="F87" s="370"/>
      <c r="G87" s="370"/>
      <c r="H87" s="370"/>
      <c r="I87" s="370"/>
      <c r="J87" s="370"/>
      <c r="K87" s="370"/>
      <c r="L87" s="370"/>
      <c r="M87" s="370"/>
      <c r="N87" s="371"/>
      <c r="O87" s="371"/>
      <c r="P87" s="371"/>
      <c r="Q87" s="370"/>
      <c r="R87" s="303"/>
      <c r="S87" s="303"/>
    </row>
    <row r="88" spans="1:19" x14ac:dyDescent="0.2">
      <c r="A88" s="367"/>
      <c r="B88" s="368"/>
      <c r="C88" s="369"/>
      <c r="D88" s="370"/>
      <c r="E88" s="370"/>
      <c r="F88" s="370"/>
      <c r="G88" s="370"/>
      <c r="H88" s="370"/>
      <c r="I88" s="370"/>
      <c r="J88" s="370"/>
      <c r="K88" s="370"/>
      <c r="L88" s="370"/>
      <c r="M88" s="370"/>
      <c r="N88" s="371"/>
      <c r="O88" s="371"/>
      <c r="P88" s="371"/>
      <c r="Q88" s="370"/>
      <c r="R88" s="303"/>
      <c r="S88" s="303"/>
    </row>
    <row r="89" spans="1:19" x14ac:dyDescent="0.2">
      <c r="A89" s="367"/>
      <c r="B89" s="368"/>
      <c r="C89" s="369"/>
      <c r="D89" s="370"/>
      <c r="E89" s="370"/>
      <c r="F89" s="370"/>
      <c r="G89" s="370"/>
      <c r="H89" s="370"/>
      <c r="I89" s="370"/>
      <c r="J89" s="370"/>
      <c r="K89" s="370"/>
      <c r="L89" s="370"/>
      <c r="M89" s="370"/>
      <c r="N89" s="371"/>
      <c r="O89" s="371"/>
      <c r="P89" s="371"/>
      <c r="Q89" s="370"/>
      <c r="R89" s="303"/>
      <c r="S89" s="303"/>
    </row>
    <row r="90" spans="1:19" x14ac:dyDescent="0.2">
      <c r="A90" s="367"/>
      <c r="B90" s="368"/>
      <c r="C90" s="369"/>
      <c r="D90" s="370"/>
      <c r="E90" s="370"/>
      <c r="F90" s="370"/>
      <c r="G90" s="370"/>
      <c r="H90" s="370"/>
      <c r="I90" s="370"/>
      <c r="J90" s="370"/>
      <c r="K90" s="370"/>
      <c r="L90" s="370"/>
      <c r="M90" s="370"/>
      <c r="N90" s="371"/>
      <c r="O90" s="371"/>
      <c r="P90" s="371"/>
      <c r="Q90" s="370"/>
      <c r="R90" s="303"/>
      <c r="S90" s="303"/>
    </row>
    <row r="91" spans="1:19" x14ac:dyDescent="0.2">
      <c r="A91" s="367"/>
      <c r="B91" s="368"/>
      <c r="C91" s="369"/>
      <c r="D91" s="370"/>
      <c r="E91" s="370"/>
      <c r="F91" s="370"/>
      <c r="G91" s="370"/>
      <c r="H91" s="370"/>
      <c r="I91" s="370"/>
      <c r="J91" s="370"/>
      <c r="K91" s="370"/>
      <c r="L91" s="370"/>
      <c r="M91" s="370"/>
      <c r="N91" s="371"/>
      <c r="O91" s="371"/>
      <c r="P91" s="371"/>
      <c r="Q91" s="370"/>
      <c r="R91" s="303"/>
      <c r="S91" s="303"/>
    </row>
    <row r="92" spans="1:19" x14ac:dyDescent="0.2">
      <c r="A92" s="367"/>
      <c r="B92" s="368"/>
      <c r="C92" s="369"/>
      <c r="D92" s="370"/>
      <c r="E92" s="370"/>
      <c r="F92" s="370"/>
      <c r="G92" s="370"/>
      <c r="H92" s="370"/>
      <c r="I92" s="370"/>
      <c r="J92" s="370"/>
      <c r="K92" s="370"/>
      <c r="L92" s="370"/>
      <c r="M92" s="370"/>
      <c r="N92" s="382"/>
      <c r="O92" s="382"/>
      <c r="P92" s="382"/>
      <c r="Q92" s="370"/>
      <c r="R92" s="303"/>
      <c r="S92" s="303"/>
    </row>
    <row r="93" spans="1:19" x14ac:dyDescent="0.2">
      <c r="A93" s="367"/>
      <c r="B93" s="368"/>
      <c r="C93" s="369"/>
      <c r="D93" s="370"/>
      <c r="E93" s="370"/>
      <c r="F93" s="370"/>
      <c r="G93" s="370"/>
      <c r="H93" s="370"/>
      <c r="I93" s="370"/>
      <c r="J93" s="370"/>
      <c r="K93" s="370"/>
      <c r="L93" s="370"/>
      <c r="M93" s="370"/>
      <c r="N93" s="382"/>
      <c r="O93" s="382"/>
      <c r="P93" s="382"/>
      <c r="Q93" s="370"/>
      <c r="R93" s="303"/>
      <c r="S93" s="303"/>
    </row>
    <row r="94" spans="1:19" x14ac:dyDescent="0.2">
      <c r="A94" s="367"/>
      <c r="B94" s="368"/>
      <c r="C94" s="369"/>
      <c r="D94" s="370"/>
      <c r="E94" s="370"/>
      <c r="F94" s="370"/>
      <c r="G94" s="370"/>
      <c r="H94" s="370"/>
      <c r="I94" s="370"/>
      <c r="J94" s="370"/>
      <c r="K94" s="370"/>
      <c r="L94" s="370"/>
      <c r="M94" s="370"/>
      <c r="N94" s="382"/>
      <c r="O94" s="382"/>
      <c r="P94" s="382"/>
      <c r="Q94" s="370"/>
      <c r="R94" s="303"/>
      <c r="S94" s="303"/>
    </row>
    <row r="95" spans="1:19" x14ac:dyDescent="0.2">
      <c r="A95" s="367"/>
      <c r="B95" s="368"/>
      <c r="C95" s="369"/>
      <c r="D95" s="370"/>
      <c r="E95" s="370"/>
      <c r="F95" s="370"/>
      <c r="G95" s="370"/>
      <c r="H95" s="370"/>
      <c r="I95" s="370"/>
      <c r="J95" s="370"/>
      <c r="K95" s="370"/>
      <c r="L95" s="370"/>
      <c r="M95" s="370"/>
      <c r="N95" s="382"/>
      <c r="O95" s="382"/>
      <c r="P95" s="382"/>
      <c r="Q95" s="370"/>
      <c r="R95" s="303"/>
      <c r="S95" s="303"/>
    </row>
    <row r="96" spans="1:19" x14ac:dyDescent="0.2">
      <c r="A96" s="367"/>
      <c r="B96" s="368"/>
      <c r="C96" s="369"/>
      <c r="D96" s="370"/>
      <c r="E96" s="370"/>
      <c r="F96" s="305"/>
      <c r="G96" s="305"/>
      <c r="H96" s="305"/>
      <c r="I96" s="370"/>
      <c r="J96" s="370"/>
      <c r="K96" s="370"/>
      <c r="L96" s="370"/>
      <c r="M96" s="370"/>
      <c r="N96" s="370"/>
      <c r="O96" s="370"/>
      <c r="P96" s="370"/>
      <c r="Q96" s="370"/>
      <c r="R96" s="303"/>
      <c r="S96" s="303"/>
    </row>
    <row r="97" spans="1:19" x14ac:dyDescent="0.2">
      <c r="A97" s="383"/>
      <c r="B97" s="384"/>
      <c r="C97" s="385"/>
      <c r="D97" s="305"/>
      <c r="E97" s="305"/>
      <c r="F97" s="305"/>
      <c r="G97" s="305"/>
      <c r="H97" s="305"/>
      <c r="I97" s="305"/>
      <c r="J97" s="303"/>
      <c r="K97" s="303"/>
      <c r="L97" s="303"/>
      <c r="M97" s="303"/>
      <c r="N97" s="303"/>
      <c r="O97" s="303"/>
      <c r="P97" s="303"/>
      <c r="Q97" s="303"/>
      <c r="R97" s="303"/>
      <c r="S97" s="303"/>
    </row>
    <row r="98" spans="1:19" x14ac:dyDescent="0.2">
      <c r="A98" s="383"/>
      <c r="B98" s="384"/>
      <c r="C98" s="385"/>
      <c r="D98" s="305"/>
      <c r="E98" s="305"/>
      <c r="F98" s="305"/>
      <c r="G98" s="305"/>
      <c r="H98" s="305"/>
      <c r="I98" s="305"/>
      <c r="J98" s="303"/>
      <c r="K98" s="303"/>
      <c r="L98" s="303"/>
      <c r="M98" s="303"/>
      <c r="N98" s="303"/>
      <c r="O98" s="303"/>
      <c r="P98" s="303"/>
      <c r="Q98" s="303"/>
      <c r="R98" s="303"/>
      <c r="S98" s="303"/>
    </row>
    <row r="99" spans="1:19" x14ac:dyDescent="0.2">
      <c r="A99" s="383"/>
      <c r="B99" s="384"/>
      <c r="C99" s="385"/>
      <c r="D99" s="305"/>
      <c r="E99" s="305"/>
      <c r="I99" s="305"/>
      <c r="J99" s="303"/>
      <c r="K99" s="303"/>
      <c r="L99" s="303"/>
      <c r="M99" s="303"/>
      <c r="N99" s="303"/>
      <c r="O99" s="303"/>
      <c r="P99" s="303"/>
      <c r="Q99" s="303"/>
      <c r="R99" s="303"/>
      <c r="S99" s="303"/>
    </row>
  </sheetData>
  <sheetProtection algorithmName="SHA-512" hashValue="8/ps5ejJKacn11n8VWA2YXIhkHZODVWKfXqAuxUGcXXUA3GaD/j2K6bbcSebjpRBc6Le4yiYaJS8ppHJ3amxow==" saltValue="gvqueuSb3G6J9+o9kKc51w=="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allowBlank="1" showInputMessage="1" showErrorMessage="1" sqref="C37:C44" xr:uid="{D66B35DD-3E61-4996-B504-86E777E0AB13}">
      <formula1>"Controller,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2Hz9yRllcf9Ufs/BJLnDQ8p5gD433KmkvVMNOtEcVUBAu5UvkzPTb3Wxo9xwN75qoaIOmf09QudCPmCjIIHNtQ==" saltValue="Ipg3SgVDyYdbQQjDj7+rEg=="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53" bestFit="1" customWidth="1"/>
    <col min="2" max="15" width="6" style="50" customWidth="1"/>
    <col min="16" max="16" width="2.140625" style="50" customWidth="1"/>
    <col min="17" max="17" width="9" style="419" bestFit="1" customWidth="1"/>
    <col min="18" max="31" width="6" style="50" customWidth="1"/>
    <col min="32" max="32" width="2.140625" style="50" customWidth="1"/>
    <col min="33" max="33" width="9" style="419" bestFit="1" customWidth="1"/>
    <col min="34" max="45" width="6" style="50" customWidth="1"/>
    <col min="46" max="16384" width="9.140625" style="50"/>
  </cols>
  <sheetData>
    <row r="1" spans="1:45" s="421" customFormat="1" ht="24.75" customHeight="1" x14ac:dyDescent="0.25"/>
    <row r="2" spans="1:45" s="422" customFormat="1" x14ac:dyDescent="0.2">
      <c r="A2" s="419"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419"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419"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54"/>
      <c r="C3" s="454"/>
      <c r="D3" s="454"/>
      <c r="E3" s="454"/>
      <c r="F3" s="454"/>
      <c r="G3" s="454"/>
      <c r="H3" s="454"/>
      <c r="I3" s="454"/>
      <c r="J3" s="454"/>
      <c r="K3" s="454"/>
      <c r="L3" s="455"/>
      <c r="M3" s="455"/>
      <c r="N3" s="455"/>
      <c r="O3" s="450"/>
      <c r="Q3" s="453"/>
      <c r="R3" s="454"/>
      <c r="S3" s="454"/>
      <c r="T3" s="454"/>
      <c r="U3" s="454"/>
      <c r="V3" s="454"/>
      <c r="W3" s="454"/>
      <c r="X3" s="454"/>
      <c r="Y3" s="454"/>
      <c r="Z3" s="454"/>
      <c r="AA3" s="454"/>
      <c r="AD3" s="456"/>
      <c r="AE3" s="450"/>
      <c r="AG3" s="453"/>
      <c r="AH3" s="454"/>
      <c r="AI3" s="454"/>
      <c r="AJ3" s="454"/>
      <c r="AK3" s="454"/>
      <c r="AL3" s="454"/>
      <c r="AM3" s="454"/>
      <c r="AN3" s="454"/>
      <c r="AO3" s="454"/>
      <c r="AP3" s="454"/>
      <c r="AQ3" s="454"/>
    </row>
    <row r="4" spans="1:45" x14ac:dyDescent="0.2">
      <c r="Q4" s="453"/>
      <c r="AG4" s="453"/>
    </row>
    <row r="5" spans="1:45" x14ac:dyDescent="0.2">
      <c r="Q5" s="453"/>
      <c r="AG5" s="453"/>
    </row>
    <row r="6" spans="1:45" x14ac:dyDescent="0.2">
      <c r="Q6" s="453"/>
      <c r="AG6" s="453"/>
    </row>
    <row r="7" spans="1:45" x14ac:dyDescent="0.2">
      <c r="Q7" s="453"/>
      <c r="AG7" s="453"/>
    </row>
    <row r="8" spans="1:45" x14ac:dyDescent="0.2">
      <c r="Q8" s="453"/>
      <c r="AG8" s="453"/>
    </row>
    <row r="9" spans="1:45" x14ac:dyDescent="0.2">
      <c r="Q9" s="453"/>
      <c r="AG9" s="453"/>
    </row>
    <row r="10" spans="1:45" x14ac:dyDescent="0.2">
      <c r="Q10" s="453"/>
      <c r="AG10" s="453"/>
    </row>
    <row r="11" spans="1:45" x14ac:dyDescent="0.2">
      <c r="Q11" s="453"/>
      <c r="AG11" s="453"/>
    </row>
    <row r="12" spans="1:45" x14ac:dyDescent="0.2">
      <c r="Q12" s="453"/>
      <c r="AG12" s="453"/>
    </row>
    <row r="13" spans="1:45" x14ac:dyDescent="0.2">
      <c r="Q13" s="453"/>
      <c r="AG13" s="453"/>
    </row>
    <row r="14" spans="1:45" x14ac:dyDescent="0.2">
      <c r="Q14" s="453"/>
      <c r="AG14" s="453"/>
    </row>
    <row r="15" spans="1:45" x14ac:dyDescent="0.2">
      <c r="Q15" s="453"/>
      <c r="AG15" s="453"/>
    </row>
    <row r="16" spans="1:45" x14ac:dyDescent="0.2">
      <c r="Q16" s="453"/>
      <c r="AG16" s="453"/>
    </row>
    <row r="17" spans="17:33" x14ac:dyDescent="0.2">
      <c r="Q17" s="453"/>
      <c r="AG17" s="453"/>
    </row>
    <row r="18" spans="17:33" x14ac:dyDescent="0.2">
      <c r="Q18" s="453"/>
      <c r="AG18" s="453"/>
    </row>
    <row r="19" spans="17:33" x14ac:dyDescent="0.2">
      <c r="Q19" s="453"/>
      <c r="AG19" s="453"/>
    </row>
    <row r="20" spans="17:33" x14ac:dyDescent="0.2">
      <c r="Q20" s="453"/>
      <c r="AG20" s="453"/>
    </row>
    <row r="21" spans="17:33" x14ac:dyDescent="0.2">
      <c r="Q21" s="453"/>
      <c r="AG21" s="453"/>
    </row>
    <row r="22" spans="17:33" x14ac:dyDescent="0.2">
      <c r="Q22" s="453"/>
      <c r="AG22" s="453"/>
    </row>
    <row r="23" spans="17:33" x14ac:dyDescent="0.2">
      <c r="Q23" s="453"/>
      <c r="AG23" s="453"/>
    </row>
    <row r="24" spans="17:33" x14ac:dyDescent="0.2">
      <c r="Q24" s="453"/>
      <c r="AG24" s="453"/>
    </row>
    <row r="25" spans="17:33" x14ac:dyDescent="0.2">
      <c r="Q25" s="453"/>
      <c r="AG25" s="453"/>
    </row>
    <row r="26" spans="17:33" x14ac:dyDescent="0.2">
      <c r="Q26" s="453"/>
      <c r="AG26" s="453"/>
    </row>
    <row r="27" spans="17:33" x14ac:dyDescent="0.2">
      <c r="Q27" s="453"/>
      <c r="AG27" s="453"/>
    </row>
    <row r="28" spans="17:33" x14ac:dyDescent="0.2">
      <c r="Q28" s="453"/>
      <c r="AG28" s="453"/>
    </row>
    <row r="29" spans="17:33" x14ac:dyDescent="0.2">
      <c r="Q29" s="453"/>
      <c r="AG29" s="453"/>
    </row>
    <row r="30" spans="17:33" x14ac:dyDescent="0.2">
      <c r="Q30" s="453"/>
      <c r="AG30" s="453"/>
    </row>
    <row r="31" spans="17:33" x14ac:dyDescent="0.2">
      <c r="Q31" s="453"/>
      <c r="AG31" s="453"/>
    </row>
    <row r="32" spans="17:33" x14ac:dyDescent="0.2">
      <c r="Q32" s="453"/>
      <c r="AG32" s="453"/>
    </row>
    <row r="33" spans="17:33" x14ac:dyDescent="0.2">
      <c r="Q33" s="453"/>
      <c r="AG33" s="453"/>
    </row>
    <row r="34" spans="17:33" x14ac:dyDescent="0.2">
      <c r="Q34" s="453"/>
      <c r="AG34" s="453"/>
    </row>
    <row r="35" spans="17:33" x14ac:dyDescent="0.2">
      <c r="Q35" s="453"/>
      <c r="AG35" s="453"/>
    </row>
    <row r="36" spans="17:33" x14ac:dyDescent="0.2">
      <c r="Q36" s="453"/>
      <c r="AG36" s="453"/>
    </row>
    <row r="37" spans="17:33" x14ac:dyDescent="0.2">
      <c r="Q37" s="453"/>
      <c r="AG37" s="453"/>
    </row>
    <row r="38" spans="17:33" x14ac:dyDescent="0.2">
      <c r="Q38" s="453"/>
      <c r="AG38" s="453"/>
    </row>
    <row r="39" spans="17:33" x14ac:dyDescent="0.2">
      <c r="Q39" s="453"/>
      <c r="AG39" s="453"/>
    </row>
    <row r="40" spans="17:33" x14ac:dyDescent="0.2">
      <c r="Q40" s="453"/>
      <c r="AG40" s="453"/>
    </row>
    <row r="41" spans="17:33" x14ac:dyDescent="0.2">
      <c r="Q41" s="453"/>
      <c r="AG41" s="453"/>
    </row>
    <row r="42" spans="17:33" x14ac:dyDescent="0.2">
      <c r="Q42" s="453"/>
      <c r="AG42" s="453"/>
    </row>
    <row r="43" spans="17:33" x14ac:dyDescent="0.2">
      <c r="Q43" s="453"/>
      <c r="AG43" s="453"/>
    </row>
    <row r="44" spans="17:33" x14ac:dyDescent="0.2">
      <c r="Q44" s="453"/>
      <c r="AG44" s="453"/>
    </row>
    <row r="45" spans="17:33" x14ac:dyDescent="0.2">
      <c r="Q45" s="453"/>
      <c r="AG45" s="453"/>
    </row>
    <row r="46" spans="17:33" x14ac:dyDescent="0.2">
      <c r="Q46" s="453"/>
      <c r="AG46" s="453"/>
    </row>
    <row r="47" spans="17:33" x14ac:dyDescent="0.2">
      <c r="Q47" s="453"/>
      <c r="AG47" s="453"/>
    </row>
    <row r="48" spans="17:33" x14ac:dyDescent="0.2">
      <c r="Q48" s="453"/>
      <c r="AG48" s="453"/>
    </row>
    <row r="49" spans="17:33" x14ac:dyDescent="0.2">
      <c r="Q49" s="453"/>
      <c r="AG49" s="453"/>
    </row>
    <row r="50" spans="17:33" x14ac:dyDescent="0.2">
      <c r="Q50" s="453"/>
      <c r="AG50" s="453"/>
    </row>
    <row r="51" spans="17:33" x14ac:dyDescent="0.2">
      <c r="Q51" s="453"/>
      <c r="AG51" s="453"/>
    </row>
    <row r="52" spans="17:33" x14ac:dyDescent="0.2">
      <c r="Q52" s="453"/>
      <c r="AG52" s="453"/>
    </row>
    <row r="53" spans="17:33" x14ac:dyDescent="0.2">
      <c r="Q53" s="453"/>
      <c r="AG53" s="453"/>
    </row>
    <row r="54" spans="17:33" x14ac:dyDescent="0.2">
      <c r="Q54" s="453"/>
      <c r="AG54" s="453"/>
    </row>
    <row r="55" spans="17:33" x14ac:dyDescent="0.2">
      <c r="Q55" s="453"/>
      <c r="AG55" s="453"/>
    </row>
    <row r="56" spans="17:33" x14ac:dyDescent="0.2">
      <c r="Q56" s="453"/>
      <c r="AG56" s="453"/>
    </row>
    <row r="57" spans="17:33" x14ac:dyDescent="0.2">
      <c r="Q57" s="453"/>
      <c r="AG57" s="453"/>
    </row>
    <row r="58" spans="17:33" x14ac:dyDescent="0.2">
      <c r="Q58" s="453"/>
      <c r="AG58" s="453"/>
    </row>
    <row r="59" spans="17:33" x14ac:dyDescent="0.2">
      <c r="Q59" s="453"/>
      <c r="AG59" s="453"/>
    </row>
    <row r="60" spans="17:33" x14ac:dyDescent="0.2">
      <c r="Q60" s="453"/>
      <c r="AG60" s="453"/>
    </row>
    <row r="61" spans="17:33" x14ac:dyDescent="0.2">
      <c r="Q61" s="453"/>
      <c r="AG61" s="453"/>
    </row>
    <row r="62" spans="17:33" x14ac:dyDescent="0.2">
      <c r="Q62" s="453"/>
      <c r="AG62" s="453"/>
    </row>
    <row r="63" spans="17:33" x14ac:dyDescent="0.2">
      <c r="Q63" s="453"/>
      <c r="AG63" s="453"/>
    </row>
    <row r="64" spans="17:33" x14ac:dyDescent="0.2">
      <c r="Q64" s="453"/>
      <c r="AG64" s="453"/>
    </row>
    <row r="65" spans="17:33" x14ac:dyDescent="0.2">
      <c r="Q65" s="453"/>
      <c r="AG65" s="453"/>
    </row>
    <row r="66" spans="17:33" x14ac:dyDescent="0.2">
      <c r="Q66" s="453"/>
      <c r="AG66" s="453"/>
    </row>
    <row r="67" spans="17:33" x14ac:dyDescent="0.2">
      <c r="Q67" s="453"/>
      <c r="AG67" s="453"/>
    </row>
    <row r="68" spans="17:33" x14ac:dyDescent="0.2">
      <c r="Q68" s="453"/>
      <c r="AG68" s="453"/>
    </row>
    <row r="69" spans="17:33" x14ac:dyDescent="0.2">
      <c r="Q69" s="453"/>
      <c r="AG69" s="453"/>
    </row>
    <row r="70" spans="17:33" x14ac:dyDescent="0.2">
      <c r="Q70" s="453"/>
      <c r="AG70" s="453"/>
    </row>
    <row r="71" spans="17:33" x14ac:dyDescent="0.2">
      <c r="Q71" s="453"/>
      <c r="AG71" s="453"/>
    </row>
    <row r="72" spans="17:33" x14ac:dyDescent="0.2">
      <c r="Q72" s="453"/>
      <c r="AG72" s="453"/>
    </row>
    <row r="73" spans="17:33" x14ac:dyDescent="0.2">
      <c r="Q73" s="453"/>
      <c r="AG73" s="453"/>
    </row>
    <row r="74" spans="17:33" x14ac:dyDescent="0.2">
      <c r="Q74" s="453"/>
      <c r="AG74" s="453"/>
    </row>
    <row r="75" spans="17:33" x14ac:dyDescent="0.2">
      <c r="Q75" s="453"/>
      <c r="AG75" s="453"/>
    </row>
    <row r="76" spans="17:33" x14ac:dyDescent="0.2">
      <c r="Q76" s="453"/>
      <c r="AG76" s="453"/>
    </row>
    <row r="77" spans="17:33" x14ac:dyDescent="0.2">
      <c r="Q77" s="453"/>
      <c r="AG77" s="453"/>
    </row>
    <row r="78" spans="17:33" x14ac:dyDescent="0.2">
      <c r="Q78" s="453"/>
      <c r="AG78" s="453"/>
    </row>
    <row r="79" spans="17:33" x14ac:dyDescent="0.2">
      <c r="Q79" s="453"/>
      <c r="AG79" s="453"/>
    </row>
    <row r="80" spans="17:33" x14ac:dyDescent="0.2">
      <c r="Q80" s="453"/>
      <c r="AG80" s="453"/>
    </row>
    <row r="81" spans="17:33" x14ac:dyDescent="0.2">
      <c r="Q81" s="453"/>
      <c r="AG81" s="453"/>
    </row>
    <row r="82" spans="17:33" x14ac:dyDescent="0.2">
      <c r="Q82" s="453"/>
      <c r="AG82" s="453"/>
    </row>
    <row r="83" spans="17:33" x14ac:dyDescent="0.2">
      <c r="Q83" s="453"/>
      <c r="AG83" s="453"/>
    </row>
    <row r="84" spans="17:33" x14ac:dyDescent="0.2">
      <c r="Q84" s="453"/>
      <c r="AG84" s="453"/>
    </row>
    <row r="85" spans="17:33" x14ac:dyDescent="0.2">
      <c r="Q85" s="453"/>
      <c r="AG85" s="453"/>
    </row>
    <row r="86" spans="17:33" x14ac:dyDescent="0.2">
      <c r="Q86" s="453"/>
      <c r="AG86" s="453"/>
    </row>
    <row r="87" spans="17:33" x14ac:dyDescent="0.2">
      <c r="Q87" s="453"/>
      <c r="AG87" s="453"/>
    </row>
    <row r="88" spans="17:33" x14ac:dyDescent="0.2">
      <c r="Q88" s="453"/>
      <c r="AG88" s="453"/>
    </row>
    <row r="89" spans="17:33" x14ac:dyDescent="0.2">
      <c r="Q89" s="453"/>
      <c r="AG89" s="453"/>
    </row>
    <row r="90" spans="17:33" x14ac:dyDescent="0.2">
      <c r="Q90" s="453"/>
      <c r="AG90" s="453"/>
    </row>
    <row r="91" spans="17:33" x14ac:dyDescent="0.2">
      <c r="Q91" s="453"/>
      <c r="AG91" s="453"/>
    </row>
    <row r="92" spans="17:33" x14ac:dyDescent="0.2">
      <c r="Q92" s="453"/>
      <c r="AG92" s="453"/>
    </row>
    <row r="93" spans="17:33" x14ac:dyDescent="0.2">
      <c r="Q93" s="453"/>
      <c r="AG93" s="453"/>
    </row>
    <row r="94" spans="17:33" x14ac:dyDescent="0.2">
      <c r="Q94" s="453"/>
      <c r="AG94" s="453"/>
    </row>
    <row r="95" spans="17:33" x14ac:dyDescent="0.2">
      <c r="Q95" s="453"/>
      <c r="AG95" s="453"/>
    </row>
    <row r="96" spans="17:33" x14ac:dyDescent="0.2">
      <c r="Q96" s="453"/>
      <c r="AG96" s="453"/>
    </row>
    <row r="97" spans="17:33" x14ac:dyDescent="0.2">
      <c r="Q97" s="453"/>
      <c r="AG97" s="453"/>
    </row>
    <row r="98" spans="17:33" x14ac:dyDescent="0.2">
      <c r="Q98" s="453"/>
      <c r="AG98" s="453"/>
    </row>
    <row r="99" spans="17:33" x14ac:dyDescent="0.2">
      <c r="Q99" s="453"/>
      <c r="AG99" s="453"/>
    </row>
    <row r="100" spans="17:33" x14ac:dyDescent="0.2">
      <c r="Q100" s="453"/>
      <c r="AG100" s="453"/>
    </row>
    <row r="101" spans="17:33" x14ac:dyDescent="0.2">
      <c r="Q101" s="453"/>
      <c r="AG101" s="453"/>
    </row>
    <row r="102" spans="17:33" x14ac:dyDescent="0.2">
      <c r="Q102" s="453"/>
      <c r="AG102" s="453"/>
    </row>
    <row r="103" spans="17:33" x14ac:dyDescent="0.2">
      <c r="Q103" s="453"/>
      <c r="AG103" s="453"/>
    </row>
    <row r="104" spans="17:33" x14ac:dyDescent="0.2">
      <c r="Q104" s="453"/>
      <c r="AG104" s="453"/>
    </row>
    <row r="105" spans="17:33" x14ac:dyDescent="0.2">
      <c r="Q105" s="453"/>
      <c r="AG105" s="453"/>
    </row>
    <row r="106" spans="17:33" x14ac:dyDescent="0.2">
      <c r="Q106" s="453"/>
      <c r="AG106" s="453"/>
    </row>
    <row r="107" spans="17:33" x14ac:dyDescent="0.2">
      <c r="Q107" s="453"/>
      <c r="AG107" s="453"/>
    </row>
    <row r="108" spans="17:33" x14ac:dyDescent="0.2">
      <c r="Q108" s="453"/>
      <c r="AG108" s="453"/>
    </row>
    <row r="109" spans="17:33" x14ac:dyDescent="0.2">
      <c r="Q109" s="453"/>
      <c r="AG109" s="453"/>
    </row>
    <row r="110" spans="17:33" x14ac:dyDescent="0.2">
      <c r="Q110" s="453"/>
      <c r="AG110" s="453"/>
    </row>
    <row r="111" spans="17:33" x14ac:dyDescent="0.2">
      <c r="Q111" s="453"/>
      <c r="AG111" s="453"/>
    </row>
    <row r="112" spans="17:33" x14ac:dyDescent="0.2">
      <c r="Q112" s="453"/>
      <c r="AG112" s="453"/>
    </row>
    <row r="113" spans="17:33" x14ac:dyDescent="0.2">
      <c r="Q113" s="453"/>
      <c r="AG113" s="453"/>
    </row>
    <row r="114" spans="17:33" x14ac:dyDescent="0.2">
      <c r="Q114" s="453"/>
      <c r="AG114" s="453"/>
    </row>
    <row r="115" spans="17:33" x14ac:dyDescent="0.2">
      <c r="Q115" s="453"/>
      <c r="AG115" s="453"/>
    </row>
    <row r="116" spans="17:33" x14ac:dyDescent="0.2">
      <c r="Q116" s="453"/>
      <c r="AG116" s="453"/>
    </row>
    <row r="117" spans="17:33" x14ac:dyDescent="0.2">
      <c r="Q117" s="453"/>
      <c r="AG117" s="453"/>
    </row>
    <row r="118" spans="17:33" x14ac:dyDescent="0.2">
      <c r="Q118" s="453"/>
      <c r="AG118" s="453"/>
    </row>
    <row r="119" spans="17:33" x14ac:dyDescent="0.2">
      <c r="Q119" s="453"/>
      <c r="AG119" s="453"/>
    </row>
    <row r="120" spans="17:33" x14ac:dyDescent="0.2">
      <c r="Q120" s="453"/>
      <c r="AG120" s="453"/>
    </row>
    <row r="121" spans="17:33" x14ac:dyDescent="0.2">
      <c r="Q121" s="453"/>
      <c r="AG121" s="453"/>
    </row>
    <row r="122" spans="17:33" x14ac:dyDescent="0.2">
      <c r="Q122" s="453"/>
      <c r="AG122" s="453"/>
    </row>
    <row r="123" spans="17:33" x14ac:dyDescent="0.2">
      <c r="Q123" s="453"/>
      <c r="AG123" s="453"/>
    </row>
    <row r="124" spans="17:33" x14ac:dyDescent="0.2">
      <c r="Q124" s="453"/>
      <c r="AG124" s="453"/>
    </row>
    <row r="125" spans="17:33" x14ac:dyDescent="0.2">
      <c r="Q125" s="453"/>
      <c r="AG125" s="453"/>
    </row>
    <row r="126" spans="17:33" x14ac:dyDescent="0.2">
      <c r="Q126" s="453"/>
      <c r="AG126" s="453"/>
    </row>
    <row r="127" spans="17:33" x14ac:dyDescent="0.2">
      <c r="Q127" s="453"/>
      <c r="AG127" s="453"/>
    </row>
    <row r="128" spans="17:33" x14ac:dyDescent="0.2">
      <c r="Q128" s="453"/>
      <c r="AG128" s="453"/>
    </row>
    <row r="129" spans="17:33" x14ac:dyDescent="0.2">
      <c r="Q129" s="453"/>
      <c r="AG129" s="453"/>
    </row>
    <row r="130" spans="17:33" x14ac:dyDescent="0.2">
      <c r="Q130" s="453"/>
      <c r="AG130" s="453"/>
    </row>
    <row r="131" spans="17:33" x14ac:dyDescent="0.2">
      <c r="Q131" s="453"/>
      <c r="AG131" s="453"/>
    </row>
    <row r="132" spans="17:33" x14ac:dyDescent="0.2">
      <c r="Q132" s="453"/>
      <c r="AG132" s="453"/>
    </row>
    <row r="133" spans="17:33" x14ac:dyDescent="0.2">
      <c r="Q133" s="453"/>
      <c r="AG133" s="453"/>
    </row>
    <row r="134" spans="17:33" x14ac:dyDescent="0.2">
      <c r="Q134" s="453"/>
      <c r="AG134" s="453"/>
    </row>
    <row r="135" spans="17:33" x14ac:dyDescent="0.2">
      <c r="Q135" s="453"/>
      <c r="AG135" s="453"/>
    </row>
    <row r="136" spans="17:33" x14ac:dyDescent="0.2">
      <c r="Q136" s="453"/>
      <c r="AG136" s="453"/>
    </row>
    <row r="137" spans="17:33" x14ac:dyDescent="0.2">
      <c r="Q137" s="453"/>
      <c r="AG137" s="453"/>
    </row>
    <row r="138" spans="17:33" x14ac:dyDescent="0.2">
      <c r="Q138" s="453"/>
      <c r="AG138" s="453"/>
    </row>
    <row r="139" spans="17:33" x14ac:dyDescent="0.2">
      <c r="Q139" s="453"/>
      <c r="AG139" s="453"/>
    </row>
    <row r="140" spans="17:33" x14ac:dyDescent="0.2">
      <c r="Q140" s="453"/>
      <c r="AG140" s="453"/>
    </row>
    <row r="141" spans="17:33" x14ac:dyDescent="0.2">
      <c r="Q141" s="453"/>
      <c r="AG141" s="453"/>
    </row>
    <row r="142" spans="17:33" x14ac:dyDescent="0.2">
      <c r="Q142" s="453"/>
      <c r="AG142" s="453"/>
    </row>
    <row r="143" spans="17:33" x14ac:dyDescent="0.2">
      <c r="Q143" s="453"/>
      <c r="AG143" s="453"/>
    </row>
    <row r="144" spans="17:33" x14ac:dyDescent="0.2">
      <c r="Q144" s="453"/>
      <c r="AG144" s="453"/>
    </row>
    <row r="145" spans="17:33" x14ac:dyDescent="0.2">
      <c r="Q145" s="453"/>
      <c r="AG145" s="453"/>
    </row>
    <row r="146" spans="17:33" x14ac:dyDescent="0.2">
      <c r="Q146" s="453"/>
      <c r="AG146" s="453"/>
    </row>
    <row r="147" spans="17:33" x14ac:dyDescent="0.2">
      <c r="Q147" s="453"/>
      <c r="AG147" s="453"/>
    </row>
    <row r="148" spans="17:33" x14ac:dyDescent="0.2">
      <c r="Q148" s="453"/>
      <c r="AG148" s="453"/>
    </row>
    <row r="149" spans="17:33" x14ac:dyDescent="0.2">
      <c r="Q149" s="453"/>
      <c r="AG149" s="453"/>
    </row>
    <row r="150" spans="17:33" x14ac:dyDescent="0.2">
      <c r="Q150" s="453"/>
      <c r="AG150" s="453"/>
    </row>
    <row r="151" spans="17:33" x14ac:dyDescent="0.2">
      <c r="Q151" s="453"/>
      <c r="AG151" s="453"/>
    </row>
    <row r="152" spans="17:33" x14ac:dyDescent="0.2">
      <c r="Q152" s="453"/>
      <c r="AG152" s="453"/>
    </row>
    <row r="153" spans="17:33" x14ac:dyDescent="0.2">
      <c r="Q153" s="453"/>
      <c r="AG153" s="453"/>
    </row>
    <row r="154" spans="17:33" x14ac:dyDescent="0.2">
      <c r="Q154" s="453"/>
      <c r="AG154" s="453"/>
    </row>
    <row r="155" spans="17:33" x14ac:dyDescent="0.2">
      <c r="Q155" s="453"/>
      <c r="AG155" s="453"/>
    </row>
    <row r="156" spans="17:33" x14ac:dyDescent="0.2">
      <c r="Q156" s="453"/>
      <c r="AG156" s="453"/>
    </row>
    <row r="157" spans="17:33" x14ac:dyDescent="0.2">
      <c r="Q157" s="453"/>
      <c r="AG157" s="453"/>
    </row>
    <row r="158" spans="17:33" x14ac:dyDescent="0.2">
      <c r="Q158" s="453"/>
      <c r="AG158" s="453"/>
    </row>
    <row r="159" spans="17:33" x14ac:dyDescent="0.2">
      <c r="Q159" s="453"/>
      <c r="AG159" s="453"/>
    </row>
    <row r="160" spans="17:33" x14ac:dyDescent="0.2">
      <c r="Q160" s="453"/>
      <c r="AG160" s="453"/>
    </row>
    <row r="161" spans="17:33" x14ac:dyDescent="0.2">
      <c r="Q161" s="453"/>
      <c r="AG161" s="453"/>
    </row>
    <row r="162" spans="17:33" x14ac:dyDescent="0.2">
      <c r="Q162" s="453"/>
      <c r="AG162" s="453"/>
    </row>
    <row r="163" spans="17:33" x14ac:dyDescent="0.2">
      <c r="Q163" s="453"/>
      <c r="AG163" s="453"/>
    </row>
    <row r="164" spans="17:33" x14ac:dyDescent="0.2">
      <c r="Q164" s="453"/>
      <c r="AG164" s="453"/>
    </row>
    <row r="165" spans="17:33" x14ac:dyDescent="0.2">
      <c r="Q165" s="453"/>
      <c r="AG165" s="453"/>
    </row>
    <row r="166" spans="17:33" x14ac:dyDescent="0.2">
      <c r="Q166" s="453"/>
      <c r="AG166" s="453"/>
    </row>
    <row r="167" spans="17:33" x14ac:dyDescent="0.2">
      <c r="Q167" s="453"/>
      <c r="AG167" s="453"/>
    </row>
    <row r="168" spans="17:33" x14ac:dyDescent="0.2">
      <c r="Q168" s="453"/>
      <c r="AG168" s="453"/>
    </row>
    <row r="169" spans="17:33" x14ac:dyDescent="0.2">
      <c r="Q169" s="453"/>
      <c r="AG169" s="453"/>
    </row>
    <row r="170" spans="17:33" x14ac:dyDescent="0.2">
      <c r="Q170" s="453"/>
      <c r="AG170" s="453"/>
    </row>
    <row r="171" spans="17:33" x14ac:dyDescent="0.2">
      <c r="Q171" s="453"/>
      <c r="AG171" s="453"/>
    </row>
    <row r="172" spans="17:33" x14ac:dyDescent="0.2">
      <c r="Q172" s="453"/>
      <c r="AG172" s="453"/>
    </row>
    <row r="173" spans="17:33" x14ac:dyDescent="0.2">
      <c r="Q173" s="453"/>
      <c r="AG173" s="453"/>
    </row>
    <row r="174" spans="17:33" x14ac:dyDescent="0.2">
      <c r="Q174" s="453"/>
      <c r="AG174" s="453"/>
    </row>
    <row r="175" spans="17:33" x14ac:dyDescent="0.2">
      <c r="Q175" s="453"/>
      <c r="AG175" s="453"/>
    </row>
    <row r="176" spans="17:33" x14ac:dyDescent="0.2">
      <c r="Q176" s="453"/>
      <c r="AG176" s="453"/>
    </row>
    <row r="177" spans="17:33" x14ac:dyDescent="0.2">
      <c r="Q177" s="453"/>
      <c r="AG177" s="453"/>
    </row>
    <row r="178" spans="17:33" x14ac:dyDescent="0.2">
      <c r="Q178" s="453"/>
      <c r="AG178" s="453"/>
    </row>
    <row r="179" spans="17:33" x14ac:dyDescent="0.2">
      <c r="Q179" s="453"/>
      <c r="AG179" s="453"/>
    </row>
    <row r="180" spans="17:33" x14ac:dyDescent="0.2">
      <c r="Q180" s="453"/>
      <c r="AG180" s="453"/>
    </row>
    <row r="181" spans="17:33" x14ac:dyDescent="0.2">
      <c r="Q181" s="453"/>
      <c r="AG181" s="453"/>
    </row>
    <row r="182" spans="17:33" x14ac:dyDescent="0.2">
      <c r="Q182" s="453"/>
      <c r="AG182" s="453"/>
    </row>
    <row r="183" spans="17:33" x14ac:dyDescent="0.2">
      <c r="Q183" s="453"/>
      <c r="AG183" s="453"/>
    </row>
    <row r="184" spans="17:33" x14ac:dyDescent="0.2">
      <c r="Q184" s="453"/>
      <c r="AG184" s="453"/>
    </row>
    <row r="185" spans="17:33" x14ac:dyDescent="0.2">
      <c r="Q185" s="453"/>
      <c r="AG185" s="453"/>
    </row>
    <row r="186" spans="17:33" x14ac:dyDescent="0.2">
      <c r="Q186" s="453"/>
      <c r="AG186" s="453"/>
    </row>
    <row r="187" spans="17:33" x14ac:dyDescent="0.2">
      <c r="Q187" s="453"/>
      <c r="AG187" s="453"/>
    </row>
    <row r="188" spans="17:33" x14ac:dyDescent="0.2">
      <c r="Q188" s="453"/>
      <c r="AG188" s="453"/>
    </row>
    <row r="189" spans="17:33" x14ac:dyDescent="0.2">
      <c r="Q189" s="453"/>
      <c r="AG189" s="453"/>
    </row>
    <row r="190" spans="17:33" x14ac:dyDescent="0.2">
      <c r="Q190" s="453"/>
      <c r="AG190" s="453"/>
    </row>
    <row r="191" spans="17:33" x14ac:dyDescent="0.2">
      <c r="Q191" s="453"/>
      <c r="AG191" s="453"/>
    </row>
    <row r="192" spans="17:33" x14ac:dyDescent="0.2">
      <c r="Q192" s="453"/>
      <c r="AG192" s="453"/>
    </row>
    <row r="193" spans="17:33" x14ac:dyDescent="0.2">
      <c r="Q193" s="453"/>
      <c r="AG193" s="453"/>
    </row>
    <row r="194" spans="17:33" x14ac:dyDescent="0.2">
      <c r="Q194" s="453"/>
      <c r="AG194" s="453"/>
    </row>
    <row r="195" spans="17:33" x14ac:dyDescent="0.2">
      <c r="Q195" s="453"/>
      <c r="AG195" s="453"/>
    </row>
    <row r="196" spans="17:33" x14ac:dyDescent="0.2">
      <c r="Q196" s="453"/>
      <c r="AG196" s="453"/>
    </row>
    <row r="197" spans="17:33" x14ac:dyDescent="0.2">
      <c r="Q197" s="453"/>
      <c r="AG197" s="453"/>
    </row>
    <row r="198" spans="17:33" x14ac:dyDescent="0.2">
      <c r="Q198" s="453"/>
      <c r="AG198" s="453"/>
    </row>
    <row r="199" spans="17:33" x14ac:dyDescent="0.2">
      <c r="Q199" s="453"/>
      <c r="AG199" s="453"/>
    </row>
    <row r="200" spans="17:33" x14ac:dyDescent="0.2">
      <c r="Q200" s="453"/>
      <c r="AG200" s="453"/>
    </row>
    <row r="201" spans="17:33" x14ac:dyDescent="0.2">
      <c r="Q201" s="453"/>
      <c r="AG201" s="453"/>
    </row>
    <row r="202" spans="17:33" x14ac:dyDescent="0.2">
      <c r="Q202" s="453"/>
      <c r="AG202" s="453"/>
    </row>
    <row r="203" spans="17:33" x14ac:dyDescent="0.2">
      <c r="Q203" s="453"/>
      <c r="AG203" s="453"/>
    </row>
    <row r="204" spans="17:33" x14ac:dyDescent="0.2">
      <c r="Q204" s="453"/>
      <c r="AG204" s="453"/>
    </row>
    <row r="205" spans="17:33" x14ac:dyDescent="0.2">
      <c r="Q205" s="453"/>
      <c r="AG205" s="453"/>
    </row>
    <row r="206" spans="17:33" x14ac:dyDescent="0.2">
      <c r="Q206" s="453"/>
      <c r="AG206" s="453"/>
    </row>
    <row r="207" spans="17:33" x14ac:dyDescent="0.2">
      <c r="Q207" s="453"/>
      <c r="AG207" s="453"/>
    </row>
    <row r="208" spans="17:33" x14ac:dyDescent="0.2">
      <c r="Q208" s="453"/>
      <c r="AG208" s="453"/>
    </row>
    <row r="209" spans="17:33" x14ac:dyDescent="0.2">
      <c r="Q209" s="453"/>
      <c r="AG209" s="453"/>
    </row>
    <row r="210" spans="17:33" x14ac:dyDescent="0.2">
      <c r="Q210" s="453"/>
      <c r="AG210" s="453"/>
    </row>
    <row r="211" spans="17:33" x14ac:dyDescent="0.2">
      <c r="Q211" s="453"/>
      <c r="AG211" s="453"/>
    </row>
    <row r="212" spans="17:33" x14ac:dyDescent="0.2">
      <c r="Q212" s="453"/>
      <c r="AG212" s="453"/>
    </row>
    <row r="213" spans="17:33" x14ac:dyDescent="0.2">
      <c r="Q213" s="453"/>
      <c r="AG213" s="453"/>
    </row>
    <row r="214" spans="17:33" x14ac:dyDescent="0.2">
      <c r="Q214" s="453"/>
      <c r="AG214" s="453"/>
    </row>
    <row r="215" spans="17:33" x14ac:dyDescent="0.2">
      <c r="Q215" s="453"/>
      <c r="AG215" s="453"/>
    </row>
    <row r="216" spans="17:33" x14ac:dyDescent="0.2">
      <c r="Q216" s="453"/>
      <c r="AG216" s="453"/>
    </row>
    <row r="217" spans="17:33" x14ac:dyDescent="0.2">
      <c r="Q217" s="453"/>
      <c r="AG217" s="453"/>
    </row>
    <row r="218" spans="17:33" x14ac:dyDescent="0.2">
      <c r="Q218" s="453"/>
      <c r="AG218" s="453"/>
    </row>
    <row r="219" spans="17:33" x14ac:dyDescent="0.2">
      <c r="Q219" s="453"/>
      <c r="AG219" s="453"/>
    </row>
    <row r="220" spans="17:33" x14ac:dyDescent="0.2">
      <c r="Q220" s="453"/>
      <c r="AG220" s="453"/>
    </row>
    <row r="221" spans="17:33" x14ac:dyDescent="0.2">
      <c r="Q221" s="453"/>
      <c r="AG221" s="453"/>
    </row>
    <row r="222" spans="17:33" x14ac:dyDescent="0.2">
      <c r="Q222" s="453"/>
      <c r="AG222" s="453"/>
    </row>
    <row r="223" spans="17:33" x14ac:dyDescent="0.2">
      <c r="Q223" s="453"/>
      <c r="AG223" s="453"/>
    </row>
    <row r="224" spans="17:33" x14ac:dyDescent="0.2">
      <c r="Q224" s="453"/>
      <c r="AG224" s="453"/>
    </row>
    <row r="225" spans="17:33" x14ac:dyDescent="0.2">
      <c r="Q225" s="453"/>
      <c r="AG225" s="453"/>
    </row>
    <row r="226" spans="17:33" x14ac:dyDescent="0.2">
      <c r="Q226" s="453"/>
      <c r="AG226" s="453"/>
    </row>
    <row r="227" spans="17:33" x14ac:dyDescent="0.2">
      <c r="Q227" s="453"/>
      <c r="AG227" s="453"/>
    </row>
    <row r="228" spans="17:33" x14ac:dyDescent="0.2">
      <c r="Q228" s="453"/>
      <c r="AG228" s="453"/>
    </row>
    <row r="229" spans="17:33" x14ac:dyDescent="0.2">
      <c r="Q229" s="453"/>
      <c r="AG229" s="453"/>
    </row>
    <row r="230" spans="17:33" x14ac:dyDescent="0.2">
      <c r="Q230" s="453"/>
      <c r="AG230" s="453"/>
    </row>
    <row r="231" spans="17:33" x14ac:dyDescent="0.2">
      <c r="Q231" s="453"/>
      <c r="AG231" s="453"/>
    </row>
    <row r="232" spans="17:33" x14ac:dyDescent="0.2">
      <c r="Q232" s="453"/>
      <c r="AG232" s="453"/>
    </row>
    <row r="233" spans="17:33" x14ac:dyDescent="0.2">
      <c r="Q233" s="453"/>
      <c r="AG233" s="453"/>
    </row>
    <row r="234" spans="17:33" x14ac:dyDescent="0.2">
      <c r="Q234" s="453"/>
      <c r="AG234" s="453"/>
    </row>
    <row r="235" spans="17:33" x14ac:dyDescent="0.2">
      <c r="Q235" s="453"/>
      <c r="AG235" s="453"/>
    </row>
    <row r="236" spans="17:33" x14ac:dyDescent="0.2">
      <c r="Q236" s="453"/>
      <c r="AG236" s="453"/>
    </row>
    <row r="237" spans="17:33" x14ac:dyDescent="0.2">
      <c r="Q237" s="453"/>
      <c r="AG237" s="453"/>
    </row>
    <row r="238" spans="17:33" x14ac:dyDescent="0.2">
      <c r="Q238" s="453"/>
      <c r="AG238" s="453"/>
    </row>
    <row r="239" spans="17:33" x14ac:dyDescent="0.2">
      <c r="Q239" s="453"/>
      <c r="AG239" s="453"/>
    </row>
    <row r="240" spans="17:33" x14ac:dyDescent="0.2">
      <c r="Q240" s="453"/>
      <c r="AG240" s="453"/>
    </row>
    <row r="241" spans="17:33" x14ac:dyDescent="0.2">
      <c r="Q241" s="453"/>
      <c r="AG241" s="453"/>
    </row>
    <row r="242" spans="17:33" x14ac:dyDescent="0.2">
      <c r="Q242" s="453"/>
      <c r="AG242" s="453"/>
    </row>
    <row r="243" spans="17:33" x14ac:dyDescent="0.2">
      <c r="Q243" s="453"/>
      <c r="AG243" s="453"/>
    </row>
    <row r="244" spans="17:33" x14ac:dyDescent="0.2">
      <c r="Q244" s="453"/>
      <c r="AG244" s="453"/>
    </row>
    <row r="245" spans="17:33" x14ac:dyDescent="0.2">
      <c r="Q245" s="453"/>
      <c r="AG245" s="453"/>
    </row>
    <row r="246" spans="17:33" x14ac:dyDescent="0.2">
      <c r="Q246" s="453"/>
      <c r="AG246" s="453"/>
    </row>
    <row r="247" spans="17:33" x14ac:dyDescent="0.2">
      <c r="Q247" s="453"/>
      <c r="AG247" s="453"/>
    </row>
    <row r="248" spans="17:33" x14ac:dyDescent="0.2">
      <c r="Q248" s="453"/>
      <c r="AG248" s="453"/>
    </row>
    <row r="249" spans="17:33" x14ac:dyDescent="0.2">
      <c r="Q249" s="453"/>
      <c r="AG249" s="453"/>
    </row>
    <row r="250" spans="17:33" x14ac:dyDescent="0.2">
      <c r="Q250" s="453"/>
      <c r="AG250" s="453"/>
    </row>
    <row r="251" spans="17:33" x14ac:dyDescent="0.2">
      <c r="Q251" s="453"/>
      <c r="AG251" s="453"/>
    </row>
    <row r="252" spans="17:33" x14ac:dyDescent="0.2">
      <c r="Q252" s="453"/>
      <c r="AG252" s="453"/>
    </row>
    <row r="253" spans="17:33" x14ac:dyDescent="0.2">
      <c r="Q253" s="453"/>
      <c r="AG253" s="453"/>
    </row>
    <row r="254" spans="17:33" x14ac:dyDescent="0.2">
      <c r="Q254" s="453"/>
      <c r="AG254" s="453"/>
    </row>
    <row r="255" spans="17:33" x14ac:dyDescent="0.2">
      <c r="Q255" s="453"/>
      <c r="AG255" s="453"/>
    </row>
    <row r="256" spans="17:33" x14ac:dyDescent="0.2">
      <c r="Q256" s="453"/>
      <c r="AG256" s="453"/>
    </row>
    <row r="257" spans="17:33" x14ac:dyDescent="0.2">
      <c r="Q257" s="453"/>
      <c r="AG257" s="453"/>
    </row>
    <row r="258" spans="17:33" x14ac:dyDescent="0.2">
      <c r="Q258" s="453"/>
      <c r="AG258" s="453"/>
    </row>
    <row r="259" spans="17:33" x14ac:dyDescent="0.2">
      <c r="Q259" s="453"/>
      <c r="AG259" s="453"/>
    </row>
    <row r="260" spans="17:33" x14ac:dyDescent="0.2">
      <c r="Q260" s="453"/>
      <c r="AG260" s="453"/>
    </row>
    <row r="261" spans="17:33" x14ac:dyDescent="0.2">
      <c r="Q261" s="453"/>
      <c r="AG261" s="453"/>
    </row>
    <row r="262" spans="17:33" x14ac:dyDescent="0.2">
      <c r="Q262" s="453"/>
      <c r="AG262" s="453"/>
    </row>
    <row r="263" spans="17:33" x14ac:dyDescent="0.2">
      <c r="Q263" s="453"/>
      <c r="AG263" s="453"/>
    </row>
    <row r="264" spans="17:33" x14ac:dyDescent="0.2">
      <c r="Q264" s="453"/>
      <c r="AG264" s="453"/>
    </row>
    <row r="265" spans="17:33" x14ac:dyDescent="0.2">
      <c r="Q265" s="453"/>
      <c r="AG265" s="453"/>
    </row>
    <row r="266" spans="17:33" x14ac:dyDescent="0.2">
      <c r="Q266" s="453"/>
      <c r="AG266" s="453"/>
    </row>
    <row r="267" spans="17:33" x14ac:dyDescent="0.2">
      <c r="Q267" s="453"/>
      <c r="AG267" s="453"/>
    </row>
    <row r="268" spans="17:33" x14ac:dyDescent="0.2">
      <c r="Q268" s="453"/>
      <c r="AG268" s="453"/>
    </row>
    <row r="269" spans="17:33" x14ac:dyDescent="0.2">
      <c r="Q269" s="453"/>
      <c r="AG269" s="453"/>
    </row>
    <row r="270" spans="17:33" x14ac:dyDescent="0.2">
      <c r="Q270" s="453"/>
      <c r="AG270" s="453"/>
    </row>
    <row r="271" spans="17:33" x14ac:dyDescent="0.2">
      <c r="Q271" s="453"/>
      <c r="AG271" s="453"/>
    </row>
    <row r="272" spans="17:33" x14ac:dyDescent="0.2">
      <c r="Q272" s="453"/>
      <c r="AG272" s="453"/>
    </row>
    <row r="273" spans="17:33" x14ac:dyDescent="0.2">
      <c r="Q273" s="453"/>
      <c r="AG273" s="453"/>
    </row>
    <row r="274" spans="17:33" x14ac:dyDescent="0.2">
      <c r="Q274" s="453"/>
      <c r="AG274" s="453"/>
    </row>
    <row r="275" spans="17:33" x14ac:dyDescent="0.2">
      <c r="Q275" s="453"/>
      <c r="AG275" s="453"/>
    </row>
    <row r="276" spans="17:33" x14ac:dyDescent="0.2">
      <c r="Q276" s="453"/>
      <c r="AG276" s="453"/>
    </row>
    <row r="277" spans="17:33" x14ac:dyDescent="0.2">
      <c r="Q277" s="453"/>
      <c r="AG277" s="453"/>
    </row>
    <row r="278" spans="17:33" x14ac:dyDescent="0.2">
      <c r="Q278" s="453"/>
      <c r="AG278" s="453"/>
    </row>
    <row r="279" spans="17:33" x14ac:dyDescent="0.2">
      <c r="Q279" s="453"/>
      <c r="AG279" s="453"/>
    </row>
    <row r="280" spans="17:33" x14ac:dyDescent="0.2">
      <c r="Q280" s="453"/>
      <c r="AG280" s="453"/>
    </row>
    <row r="281" spans="17:33" x14ac:dyDescent="0.2">
      <c r="Q281" s="453"/>
      <c r="AG281" s="453"/>
    </row>
    <row r="282" spans="17:33" x14ac:dyDescent="0.2">
      <c r="Q282" s="453"/>
      <c r="AG282" s="453"/>
    </row>
    <row r="283" spans="17:33" x14ac:dyDescent="0.2">
      <c r="Q283" s="453"/>
      <c r="AG283" s="453"/>
    </row>
    <row r="284" spans="17:33" x14ac:dyDescent="0.2">
      <c r="Q284" s="453"/>
      <c r="AG284" s="453"/>
    </row>
    <row r="285" spans="17:33" x14ac:dyDescent="0.2">
      <c r="Q285" s="453"/>
      <c r="AG285" s="453"/>
    </row>
    <row r="286" spans="17:33" x14ac:dyDescent="0.2">
      <c r="Q286" s="453"/>
      <c r="AG286" s="453"/>
    </row>
    <row r="287" spans="17:33" x14ac:dyDescent="0.2">
      <c r="Q287" s="453"/>
      <c r="AG287" s="453"/>
    </row>
    <row r="288" spans="17:33" x14ac:dyDescent="0.2">
      <c r="Q288" s="453"/>
      <c r="AG288" s="453"/>
    </row>
    <row r="289" spans="17:33" x14ac:dyDescent="0.2">
      <c r="Q289" s="453"/>
      <c r="AG289" s="453"/>
    </row>
    <row r="290" spans="17:33" x14ac:dyDescent="0.2">
      <c r="Q290" s="453"/>
      <c r="AG290" s="453"/>
    </row>
    <row r="291" spans="17:33" x14ac:dyDescent="0.2">
      <c r="Q291" s="453"/>
      <c r="AG291" s="453"/>
    </row>
    <row r="292" spans="17:33" x14ac:dyDescent="0.2">
      <c r="Q292" s="453"/>
      <c r="AG292" s="453"/>
    </row>
    <row r="293" spans="17:33" x14ac:dyDescent="0.2">
      <c r="Q293" s="453"/>
      <c r="AG293" s="453"/>
    </row>
    <row r="294" spans="17:33" x14ac:dyDescent="0.2">
      <c r="Q294" s="453"/>
      <c r="AG294" s="453"/>
    </row>
    <row r="295" spans="17:33" x14ac:dyDescent="0.2">
      <c r="Q295" s="453"/>
      <c r="AG295" s="453"/>
    </row>
    <row r="296" spans="17:33" x14ac:dyDescent="0.2">
      <c r="Q296" s="453"/>
      <c r="AG296" s="453"/>
    </row>
    <row r="297" spans="17:33" x14ac:dyDescent="0.2">
      <c r="Q297" s="453"/>
      <c r="AG297" s="453"/>
    </row>
    <row r="298" spans="17:33" x14ac:dyDescent="0.2">
      <c r="Q298" s="453"/>
      <c r="AG298" s="453"/>
    </row>
    <row r="299" spans="17:33" x14ac:dyDescent="0.2">
      <c r="Q299" s="453"/>
      <c r="AG299" s="453"/>
    </row>
    <row r="300" spans="17:33" x14ac:dyDescent="0.2">
      <c r="Q300" s="453"/>
      <c r="AG300" s="453"/>
    </row>
    <row r="301" spans="17:33" x14ac:dyDescent="0.2">
      <c r="Q301" s="453"/>
      <c r="AG301" s="453"/>
    </row>
    <row r="302" spans="17:33" x14ac:dyDescent="0.2">
      <c r="Q302" s="453"/>
      <c r="AG302" s="453"/>
    </row>
    <row r="303" spans="17:33" x14ac:dyDescent="0.2">
      <c r="Q303" s="453"/>
      <c r="AG303" s="453"/>
    </row>
    <row r="304" spans="17:33" x14ac:dyDescent="0.2">
      <c r="Q304" s="453"/>
      <c r="AG304" s="453"/>
    </row>
    <row r="305" spans="17:33" x14ac:dyDescent="0.2">
      <c r="Q305" s="453"/>
      <c r="AG305" s="453"/>
    </row>
    <row r="306" spans="17:33" x14ac:dyDescent="0.2">
      <c r="Q306" s="453"/>
      <c r="AG306" s="453"/>
    </row>
    <row r="307" spans="17:33" x14ac:dyDescent="0.2">
      <c r="Q307" s="453"/>
      <c r="AG307" s="453"/>
    </row>
    <row r="308" spans="17:33" x14ac:dyDescent="0.2">
      <c r="Q308" s="453"/>
      <c r="AG308" s="453"/>
    </row>
    <row r="309" spans="17:33" x14ac:dyDescent="0.2">
      <c r="Q309" s="453"/>
      <c r="AG309" s="453"/>
    </row>
    <row r="310" spans="17:33" x14ac:dyDescent="0.2">
      <c r="Q310" s="453"/>
      <c r="AG310" s="453"/>
    </row>
    <row r="311" spans="17:33" x14ac:dyDescent="0.2">
      <c r="Q311" s="453"/>
      <c r="AG311" s="453"/>
    </row>
    <row r="312" spans="17:33" x14ac:dyDescent="0.2">
      <c r="Q312" s="453"/>
      <c r="AG312" s="453"/>
    </row>
    <row r="313" spans="17:33" x14ac:dyDescent="0.2">
      <c r="Q313" s="453"/>
      <c r="AG313" s="453"/>
    </row>
    <row r="314" spans="17:33" x14ac:dyDescent="0.2">
      <c r="Q314" s="453"/>
      <c r="AG314" s="453"/>
    </row>
    <row r="315" spans="17:33" x14ac:dyDescent="0.2">
      <c r="Q315" s="453"/>
      <c r="AG315" s="453"/>
    </row>
    <row r="316" spans="17:33" x14ac:dyDescent="0.2">
      <c r="Q316" s="453"/>
      <c r="AG316" s="453"/>
    </row>
    <row r="317" spans="17:33" x14ac:dyDescent="0.2">
      <c r="Q317" s="453"/>
      <c r="AG317" s="453"/>
    </row>
    <row r="318" spans="17:33" x14ac:dyDescent="0.2">
      <c r="Q318" s="453"/>
      <c r="AG318" s="453"/>
    </row>
    <row r="319" spans="17:33" x14ac:dyDescent="0.2">
      <c r="Q319" s="453"/>
      <c r="AG319" s="453"/>
    </row>
    <row r="320" spans="17:33" x14ac:dyDescent="0.2">
      <c r="Q320" s="453"/>
      <c r="AG320" s="453"/>
    </row>
    <row r="321" spans="17:33" x14ac:dyDescent="0.2">
      <c r="Q321" s="453"/>
      <c r="AG321" s="453"/>
    </row>
    <row r="322" spans="17:33" x14ac:dyDescent="0.2">
      <c r="Q322" s="453"/>
      <c r="AG322" s="453"/>
    </row>
    <row r="323" spans="17:33" x14ac:dyDescent="0.2">
      <c r="Q323" s="453"/>
      <c r="AG323" s="453"/>
    </row>
    <row r="324" spans="17:33" x14ac:dyDescent="0.2">
      <c r="Q324" s="453"/>
      <c r="AG324" s="453"/>
    </row>
    <row r="325" spans="17:33" x14ac:dyDescent="0.2">
      <c r="Q325" s="453"/>
      <c r="AG325" s="453"/>
    </row>
    <row r="326" spans="17:33" x14ac:dyDescent="0.2">
      <c r="Q326" s="453"/>
      <c r="AG326" s="453"/>
    </row>
    <row r="327" spans="17:33" x14ac:dyDescent="0.2">
      <c r="Q327" s="453"/>
      <c r="AG327" s="453"/>
    </row>
    <row r="328" spans="17:33" x14ac:dyDescent="0.2">
      <c r="Q328" s="453"/>
      <c r="AG328" s="453"/>
    </row>
    <row r="329" spans="17:33" x14ac:dyDescent="0.2">
      <c r="Q329" s="453"/>
      <c r="AG329" s="453"/>
    </row>
    <row r="330" spans="17:33" x14ac:dyDescent="0.2">
      <c r="Q330" s="453"/>
      <c r="AG330" s="453"/>
    </row>
    <row r="331" spans="17:33" x14ac:dyDescent="0.2">
      <c r="Q331" s="453"/>
      <c r="AG331" s="453"/>
    </row>
    <row r="332" spans="17:33" x14ac:dyDescent="0.2">
      <c r="Q332" s="453"/>
      <c r="AG332" s="453"/>
    </row>
    <row r="333" spans="17:33" x14ac:dyDescent="0.2">
      <c r="Q333" s="453"/>
      <c r="AG333" s="453"/>
    </row>
    <row r="334" spans="17:33" x14ac:dyDescent="0.2">
      <c r="Q334" s="453"/>
      <c r="AG334" s="453"/>
    </row>
    <row r="335" spans="17:33" x14ac:dyDescent="0.2">
      <c r="Q335" s="453"/>
      <c r="AG335" s="453"/>
    </row>
    <row r="336" spans="17:33" x14ac:dyDescent="0.2">
      <c r="Q336" s="453"/>
      <c r="AG336" s="453"/>
    </row>
    <row r="337" spans="17:33" x14ac:dyDescent="0.2">
      <c r="Q337" s="453"/>
      <c r="AG337" s="453"/>
    </row>
    <row r="338" spans="17:33" x14ac:dyDescent="0.2">
      <c r="Q338" s="453"/>
      <c r="AG338" s="453"/>
    </row>
    <row r="339" spans="17:33" x14ac:dyDescent="0.2">
      <c r="Q339" s="453"/>
      <c r="AG339" s="453"/>
    </row>
    <row r="340" spans="17:33" x14ac:dyDescent="0.2">
      <c r="Q340" s="453"/>
      <c r="AG340" s="453"/>
    </row>
    <row r="341" spans="17:33" x14ac:dyDescent="0.2">
      <c r="Q341" s="453"/>
      <c r="AG341" s="453"/>
    </row>
    <row r="342" spans="17:33" x14ac:dyDescent="0.2">
      <c r="Q342" s="453"/>
      <c r="AG342" s="453"/>
    </row>
    <row r="343" spans="17:33" x14ac:dyDescent="0.2">
      <c r="Q343" s="453"/>
      <c r="AG343" s="453"/>
    </row>
    <row r="344" spans="17:33" x14ac:dyDescent="0.2">
      <c r="Q344" s="453"/>
      <c r="AG344" s="453"/>
    </row>
    <row r="345" spans="17:33" x14ac:dyDescent="0.2">
      <c r="Q345" s="453"/>
      <c r="AG345" s="453"/>
    </row>
    <row r="346" spans="17:33" x14ac:dyDescent="0.2">
      <c r="Q346" s="453"/>
      <c r="AG346" s="453"/>
    </row>
    <row r="347" spans="17:33" x14ac:dyDescent="0.2">
      <c r="Q347" s="453"/>
      <c r="AG347" s="453"/>
    </row>
    <row r="348" spans="17:33" x14ac:dyDescent="0.2">
      <c r="Q348" s="453"/>
      <c r="AG348" s="453"/>
    </row>
    <row r="349" spans="17:33" x14ac:dyDescent="0.2">
      <c r="Q349" s="453"/>
      <c r="AG349" s="453"/>
    </row>
    <row r="350" spans="17:33" x14ac:dyDescent="0.2">
      <c r="Q350" s="453"/>
      <c r="AG350" s="453"/>
    </row>
    <row r="351" spans="17:33" x14ac:dyDescent="0.2">
      <c r="Q351" s="453"/>
      <c r="AG351" s="453"/>
    </row>
    <row r="352" spans="17:33" x14ac:dyDescent="0.2">
      <c r="Q352" s="453"/>
      <c r="AG352" s="453"/>
    </row>
    <row r="353" spans="17:33" x14ac:dyDescent="0.2">
      <c r="Q353" s="453"/>
      <c r="AG353" s="453"/>
    </row>
    <row r="354" spans="17:33" x14ac:dyDescent="0.2">
      <c r="Q354" s="453"/>
      <c r="AG354" s="453"/>
    </row>
    <row r="355" spans="17:33" x14ac:dyDescent="0.2">
      <c r="Q355" s="453"/>
      <c r="AG355" s="453"/>
    </row>
    <row r="356" spans="17:33" x14ac:dyDescent="0.2">
      <c r="Q356" s="453"/>
      <c r="AG356" s="453"/>
    </row>
    <row r="357" spans="17:33" x14ac:dyDescent="0.2">
      <c r="Q357" s="453"/>
      <c r="AG357" s="453"/>
    </row>
    <row r="358" spans="17:33" x14ac:dyDescent="0.2">
      <c r="Q358" s="453"/>
      <c r="AG358" s="453"/>
    </row>
    <row r="359" spans="17:33" x14ac:dyDescent="0.2">
      <c r="Q359" s="453"/>
      <c r="AG359" s="453"/>
    </row>
    <row r="360" spans="17:33" x14ac:dyDescent="0.2">
      <c r="Q360" s="453"/>
      <c r="AG360" s="453"/>
    </row>
    <row r="361" spans="17:33" x14ac:dyDescent="0.2">
      <c r="Q361" s="453"/>
      <c r="AG361" s="453"/>
    </row>
    <row r="362" spans="17:33" x14ac:dyDescent="0.2">
      <c r="Q362" s="453"/>
      <c r="AG362" s="453"/>
    </row>
    <row r="363" spans="17:33" x14ac:dyDescent="0.2">
      <c r="Q363" s="453"/>
      <c r="AG363" s="453"/>
    </row>
    <row r="364" spans="17:33" x14ac:dyDescent="0.2">
      <c r="Q364" s="453"/>
      <c r="AG364" s="453"/>
    </row>
    <row r="365" spans="17:33" x14ac:dyDescent="0.2">
      <c r="Q365" s="453"/>
      <c r="AG365" s="453"/>
    </row>
    <row r="366" spans="17:33" x14ac:dyDescent="0.2">
      <c r="Q366" s="453"/>
      <c r="AG366" s="453"/>
    </row>
    <row r="367" spans="17:33" x14ac:dyDescent="0.2">
      <c r="Q367" s="453"/>
      <c r="AG367" s="453"/>
    </row>
    <row r="368" spans="17:33" x14ac:dyDescent="0.2">
      <c r="Q368" s="453"/>
      <c r="AG368" s="453"/>
    </row>
    <row r="369" spans="17:33" x14ac:dyDescent="0.2">
      <c r="Q369" s="453"/>
      <c r="AG369" s="453"/>
    </row>
    <row r="370" spans="17:33" x14ac:dyDescent="0.2">
      <c r="Q370" s="453"/>
      <c r="AG370" s="453"/>
    </row>
    <row r="371" spans="17:33" x14ac:dyDescent="0.2">
      <c r="Q371" s="453"/>
      <c r="AG371" s="453"/>
    </row>
    <row r="372" spans="17:33" x14ac:dyDescent="0.2">
      <c r="Q372" s="453"/>
      <c r="AG372" s="453"/>
    </row>
    <row r="373" spans="17:33" x14ac:dyDescent="0.2">
      <c r="Q373" s="453"/>
      <c r="AG373" s="453"/>
    </row>
    <row r="374" spans="17:33" x14ac:dyDescent="0.2">
      <c r="Q374" s="453"/>
      <c r="AG374" s="453"/>
    </row>
    <row r="375" spans="17:33" x14ac:dyDescent="0.2">
      <c r="Q375" s="453"/>
      <c r="AG375" s="453"/>
    </row>
    <row r="376" spans="17:33" x14ac:dyDescent="0.2">
      <c r="Q376" s="453"/>
      <c r="AG376" s="453"/>
    </row>
    <row r="377" spans="17:33" x14ac:dyDescent="0.2">
      <c r="Q377" s="453"/>
      <c r="AG377" s="453"/>
    </row>
    <row r="378" spans="17:33" x14ac:dyDescent="0.2">
      <c r="Q378" s="453"/>
      <c r="AG378" s="453"/>
    </row>
    <row r="379" spans="17:33" x14ac:dyDescent="0.2">
      <c r="Q379" s="453"/>
      <c r="AG379" s="453"/>
    </row>
    <row r="380" spans="17:33" x14ac:dyDescent="0.2">
      <c r="Q380" s="453"/>
      <c r="AG380" s="453"/>
    </row>
    <row r="381" spans="17:33" x14ac:dyDescent="0.2">
      <c r="Q381" s="453"/>
      <c r="AG381" s="453"/>
    </row>
    <row r="382" spans="17:33" x14ac:dyDescent="0.2">
      <c r="Q382" s="453"/>
      <c r="AG382" s="453"/>
    </row>
    <row r="383" spans="17:33" x14ac:dyDescent="0.2">
      <c r="Q383" s="453"/>
      <c r="AG383" s="453"/>
    </row>
    <row r="384" spans="17:33" x14ac:dyDescent="0.2">
      <c r="Q384" s="453"/>
      <c r="AG384" s="453"/>
    </row>
    <row r="385" spans="17:33" x14ac:dyDescent="0.2">
      <c r="Q385" s="453"/>
      <c r="AG385" s="453"/>
    </row>
    <row r="386" spans="17:33" x14ac:dyDescent="0.2">
      <c r="Q386" s="453"/>
      <c r="AG386" s="453"/>
    </row>
    <row r="387" spans="17:33" x14ac:dyDescent="0.2">
      <c r="Q387" s="453"/>
      <c r="AG387" s="453"/>
    </row>
    <row r="388" spans="17:33" x14ac:dyDescent="0.2">
      <c r="Q388" s="453"/>
      <c r="AG388" s="453"/>
    </row>
    <row r="389" spans="17:33" x14ac:dyDescent="0.2">
      <c r="Q389" s="453"/>
      <c r="AG389" s="453"/>
    </row>
    <row r="390" spans="17:33" x14ac:dyDescent="0.2">
      <c r="Q390" s="453"/>
      <c r="AG390" s="453"/>
    </row>
    <row r="391" spans="17:33" x14ac:dyDescent="0.2">
      <c r="Q391" s="453"/>
      <c r="AG391" s="453"/>
    </row>
    <row r="392" spans="17:33" x14ac:dyDescent="0.2">
      <c r="Q392" s="453"/>
      <c r="AG392" s="453"/>
    </row>
    <row r="393" spans="17:33" x14ac:dyDescent="0.2">
      <c r="Q393" s="453"/>
      <c r="AG393" s="453"/>
    </row>
    <row r="394" spans="17:33" x14ac:dyDescent="0.2">
      <c r="Q394" s="453"/>
      <c r="AG394" s="453"/>
    </row>
    <row r="395" spans="17:33" x14ac:dyDescent="0.2">
      <c r="Q395" s="453"/>
      <c r="AG395" s="453"/>
    </row>
    <row r="396" spans="17:33" x14ac:dyDescent="0.2">
      <c r="Q396" s="453"/>
      <c r="AG396" s="453"/>
    </row>
    <row r="397" spans="17:33" x14ac:dyDescent="0.2">
      <c r="Q397" s="453"/>
      <c r="AG397" s="453"/>
    </row>
    <row r="398" spans="17:33" x14ac:dyDescent="0.2">
      <c r="Q398" s="453"/>
      <c r="AG398" s="453"/>
    </row>
    <row r="399" spans="17:33" x14ac:dyDescent="0.2">
      <c r="Q399" s="453"/>
      <c r="AG399" s="453"/>
    </row>
    <row r="400" spans="17:33" x14ac:dyDescent="0.2">
      <c r="Q400" s="453"/>
      <c r="AG400" s="453"/>
    </row>
    <row r="401" spans="17:33" x14ac:dyDescent="0.2">
      <c r="Q401" s="453"/>
      <c r="AG401" s="453"/>
    </row>
    <row r="402" spans="17:33" x14ac:dyDescent="0.2">
      <c r="Q402" s="453"/>
      <c r="AG402" s="453"/>
    </row>
    <row r="403" spans="17:33" x14ac:dyDescent="0.2">
      <c r="Q403" s="453"/>
      <c r="AG403" s="453"/>
    </row>
    <row r="404" spans="17:33" x14ac:dyDescent="0.2">
      <c r="Q404" s="453"/>
      <c r="AG404" s="453"/>
    </row>
    <row r="405" spans="17:33" x14ac:dyDescent="0.2">
      <c r="Q405" s="453"/>
      <c r="AG405" s="453"/>
    </row>
    <row r="406" spans="17:33" x14ac:dyDescent="0.2">
      <c r="Q406" s="453"/>
      <c r="AG406" s="453"/>
    </row>
    <row r="407" spans="17:33" x14ac:dyDescent="0.2">
      <c r="Q407" s="453"/>
      <c r="AG407" s="453"/>
    </row>
    <row r="408" spans="17:33" x14ac:dyDescent="0.2">
      <c r="Q408" s="453"/>
      <c r="AG408" s="453"/>
    </row>
    <row r="409" spans="17:33" x14ac:dyDescent="0.2">
      <c r="Q409" s="453"/>
      <c r="AG409" s="453"/>
    </row>
    <row r="410" spans="17:33" x14ac:dyDescent="0.2">
      <c r="Q410" s="453"/>
      <c r="AG410" s="453"/>
    </row>
    <row r="411" spans="17:33" x14ac:dyDescent="0.2">
      <c r="Q411" s="453"/>
      <c r="AG411" s="453"/>
    </row>
    <row r="412" spans="17:33" x14ac:dyDescent="0.2">
      <c r="Q412" s="453"/>
      <c r="AG412" s="453"/>
    </row>
    <row r="413" spans="17:33" x14ac:dyDescent="0.2">
      <c r="Q413" s="453"/>
      <c r="AG413" s="453"/>
    </row>
    <row r="414" spans="17:33" x14ac:dyDescent="0.2">
      <c r="Q414" s="453"/>
      <c r="AG414" s="453"/>
    </row>
    <row r="415" spans="17:33" x14ac:dyDescent="0.2">
      <c r="Q415" s="453"/>
      <c r="AG415" s="453"/>
    </row>
    <row r="416" spans="17:33" x14ac:dyDescent="0.2">
      <c r="Q416" s="453"/>
      <c r="AG416" s="453"/>
    </row>
    <row r="417" spans="17:33" x14ac:dyDescent="0.2">
      <c r="Q417" s="453"/>
      <c r="AG417" s="453"/>
    </row>
    <row r="418" spans="17:33" x14ac:dyDescent="0.2">
      <c r="Q418" s="453"/>
      <c r="AG418" s="453"/>
    </row>
    <row r="419" spans="17:33" x14ac:dyDescent="0.2">
      <c r="Q419" s="453"/>
      <c r="AG419" s="453"/>
    </row>
    <row r="420" spans="17:33" x14ac:dyDescent="0.2">
      <c r="Q420" s="453"/>
      <c r="AG420" s="453"/>
    </row>
    <row r="421" spans="17:33" x14ac:dyDescent="0.2">
      <c r="Q421" s="453"/>
      <c r="AG421" s="453"/>
    </row>
    <row r="422" spans="17:33" x14ac:dyDescent="0.2">
      <c r="Q422" s="453"/>
      <c r="AG422" s="453"/>
    </row>
    <row r="423" spans="17:33" x14ac:dyDescent="0.2">
      <c r="Q423" s="453"/>
      <c r="AG423" s="453"/>
    </row>
    <row r="424" spans="17:33" x14ac:dyDescent="0.2">
      <c r="Q424" s="453"/>
      <c r="AG424" s="453"/>
    </row>
    <row r="425" spans="17:33" x14ac:dyDescent="0.2">
      <c r="Q425" s="453"/>
      <c r="AG425" s="453"/>
    </row>
    <row r="426" spans="17:33" x14ac:dyDescent="0.2">
      <c r="Q426" s="453"/>
      <c r="AG426" s="453"/>
    </row>
    <row r="427" spans="17:33" x14ac:dyDescent="0.2">
      <c r="Q427" s="453"/>
      <c r="AG427" s="453"/>
    </row>
    <row r="428" spans="17:33" x14ac:dyDescent="0.2">
      <c r="Q428" s="453"/>
      <c r="AG428" s="453"/>
    </row>
    <row r="429" spans="17:33" x14ac:dyDescent="0.2">
      <c r="Q429" s="453"/>
      <c r="AG429" s="453"/>
    </row>
    <row r="430" spans="17:33" x14ac:dyDescent="0.2">
      <c r="Q430" s="453"/>
      <c r="AG430" s="453"/>
    </row>
    <row r="431" spans="17:33" x14ac:dyDescent="0.2">
      <c r="Q431" s="453"/>
      <c r="AG431" s="453"/>
    </row>
    <row r="432" spans="17:33" x14ac:dyDescent="0.2">
      <c r="Q432" s="453"/>
      <c r="AG432" s="453"/>
    </row>
    <row r="433" spans="17:33" x14ac:dyDescent="0.2">
      <c r="Q433" s="453"/>
      <c r="AG433" s="453"/>
    </row>
    <row r="434" spans="17:33" x14ac:dyDescent="0.2">
      <c r="Q434" s="453"/>
      <c r="AG434" s="453"/>
    </row>
    <row r="435" spans="17:33" x14ac:dyDescent="0.2">
      <c r="Q435" s="453"/>
      <c r="AG435" s="453"/>
    </row>
    <row r="436" spans="17:33" x14ac:dyDescent="0.2">
      <c r="Q436" s="453"/>
      <c r="AG436" s="453"/>
    </row>
    <row r="437" spans="17:33" x14ac:dyDescent="0.2">
      <c r="Q437" s="453"/>
      <c r="AG437" s="453"/>
    </row>
    <row r="438" spans="17:33" x14ac:dyDescent="0.2">
      <c r="Q438" s="453"/>
      <c r="AG438" s="453"/>
    </row>
    <row r="439" spans="17:33" x14ac:dyDescent="0.2">
      <c r="Q439" s="453"/>
      <c r="AG439" s="453"/>
    </row>
    <row r="440" spans="17:33" x14ac:dyDescent="0.2">
      <c r="Q440" s="453"/>
      <c r="AG440" s="453"/>
    </row>
    <row r="441" spans="17:33" x14ac:dyDescent="0.2">
      <c r="Q441" s="453"/>
      <c r="AG441" s="453"/>
    </row>
    <row r="442" spans="17:33" x14ac:dyDescent="0.2">
      <c r="Q442" s="453"/>
      <c r="AG442" s="453"/>
    </row>
    <row r="443" spans="17:33" x14ac:dyDescent="0.2">
      <c r="Q443" s="453"/>
      <c r="AG443" s="453"/>
    </row>
    <row r="444" spans="17:33" x14ac:dyDescent="0.2">
      <c r="Q444" s="453"/>
      <c r="AG444" s="453"/>
    </row>
    <row r="445" spans="17:33" x14ac:dyDescent="0.2">
      <c r="Q445" s="453"/>
      <c r="AG445" s="453"/>
    </row>
    <row r="446" spans="17:33" x14ac:dyDescent="0.2">
      <c r="Q446" s="453"/>
      <c r="AG446" s="453"/>
    </row>
    <row r="447" spans="17:33" x14ac:dyDescent="0.2">
      <c r="Q447" s="453"/>
      <c r="AG447" s="453"/>
    </row>
    <row r="448" spans="17:33" x14ac:dyDescent="0.2">
      <c r="Q448" s="453"/>
      <c r="AG448" s="453"/>
    </row>
    <row r="449" spans="17:33" x14ac:dyDescent="0.2">
      <c r="Q449" s="453"/>
      <c r="AG449" s="453"/>
    </row>
    <row r="450" spans="17:33" x14ac:dyDescent="0.2">
      <c r="Q450" s="453"/>
      <c r="AG450" s="453"/>
    </row>
    <row r="451" spans="17:33" x14ac:dyDescent="0.2">
      <c r="Q451" s="453"/>
      <c r="AG451" s="453"/>
    </row>
    <row r="452" spans="17:33" x14ac:dyDescent="0.2">
      <c r="Q452" s="453"/>
      <c r="AG452" s="453"/>
    </row>
    <row r="453" spans="17:33" x14ac:dyDescent="0.2">
      <c r="Q453" s="453"/>
      <c r="AG453" s="453"/>
    </row>
    <row r="454" spans="17:33" x14ac:dyDescent="0.2">
      <c r="Q454" s="453"/>
      <c r="AG454" s="453"/>
    </row>
    <row r="455" spans="17:33" x14ac:dyDescent="0.2">
      <c r="Q455" s="453"/>
      <c r="AG455" s="453"/>
    </row>
    <row r="456" spans="17:33" x14ac:dyDescent="0.2">
      <c r="Q456" s="453"/>
      <c r="AG456" s="453"/>
    </row>
    <row r="457" spans="17:33" x14ac:dyDescent="0.2">
      <c r="Q457" s="453"/>
      <c r="AG457" s="453"/>
    </row>
    <row r="458" spans="17:33" x14ac:dyDescent="0.2">
      <c r="Q458" s="453"/>
      <c r="AG458" s="453"/>
    </row>
    <row r="459" spans="17:33" x14ac:dyDescent="0.2">
      <c r="Q459" s="453"/>
      <c r="AG459" s="453"/>
    </row>
    <row r="460" spans="17:33" x14ac:dyDescent="0.2">
      <c r="Q460" s="453"/>
      <c r="AG460" s="453"/>
    </row>
    <row r="461" spans="17:33" x14ac:dyDescent="0.2">
      <c r="Q461" s="453"/>
      <c r="AG461" s="453"/>
    </row>
    <row r="462" spans="17:33" x14ac:dyDescent="0.2">
      <c r="Q462" s="453"/>
      <c r="AG462" s="453"/>
    </row>
    <row r="463" spans="17:33" x14ac:dyDescent="0.2">
      <c r="Q463" s="453"/>
      <c r="AG463" s="453"/>
    </row>
    <row r="464" spans="17:33" x14ac:dyDescent="0.2">
      <c r="Q464" s="453"/>
      <c r="AG464" s="453"/>
    </row>
    <row r="465" spans="17:33" x14ac:dyDescent="0.2">
      <c r="Q465" s="453"/>
      <c r="AG465" s="453"/>
    </row>
    <row r="466" spans="17:33" x14ac:dyDescent="0.2">
      <c r="Q466" s="453"/>
      <c r="AG466" s="453"/>
    </row>
    <row r="467" spans="17:33" x14ac:dyDescent="0.2">
      <c r="Q467" s="453"/>
      <c r="AG467" s="453"/>
    </row>
    <row r="468" spans="17:33" x14ac:dyDescent="0.2">
      <c r="Q468" s="453"/>
      <c r="AG468" s="453"/>
    </row>
    <row r="469" spans="17:33" x14ac:dyDescent="0.2">
      <c r="Q469" s="453"/>
      <c r="AG469" s="453"/>
    </row>
    <row r="470" spans="17:33" x14ac:dyDescent="0.2">
      <c r="Q470" s="453"/>
      <c r="AG470" s="453"/>
    </row>
    <row r="471" spans="17:33" x14ac:dyDescent="0.2">
      <c r="Q471" s="453"/>
      <c r="AG471" s="453"/>
    </row>
    <row r="472" spans="17:33" x14ac:dyDescent="0.2">
      <c r="Q472" s="453"/>
      <c r="AG472" s="453"/>
    </row>
    <row r="473" spans="17:33" x14ac:dyDescent="0.2">
      <c r="Q473" s="453"/>
      <c r="AG473" s="453"/>
    </row>
    <row r="474" spans="17:33" x14ac:dyDescent="0.2">
      <c r="Q474" s="453"/>
      <c r="AG474" s="453"/>
    </row>
    <row r="475" spans="17:33" x14ac:dyDescent="0.2">
      <c r="Q475" s="453"/>
      <c r="AG475" s="453"/>
    </row>
    <row r="476" spans="17:33" x14ac:dyDescent="0.2">
      <c r="Q476" s="453"/>
      <c r="AG476" s="453"/>
    </row>
    <row r="477" spans="17:33" x14ac:dyDescent="0.2">
      <c r="Q477" s="453"/>
      <c r="AG477" s="453"/>
    </row>
    <row r="478" spans="17:33" x14ac:dyDescent="0.2">
      <c r="Q478" s="453"/>
      <c r="AG478" s="453"/>
    </row>
    <row r="479" spans="17:33" x14ac:dyDescent="0.2">
      <c r="Q479" s="453"/>
      <c r="AG479" s="453"/>
    </row>
    <row r="480" spans="17:33" x14ac:dyDescent="0.2">
      <c r="Q480" s="453"/>
      <c r="AG480" s="453"/>
    </row>
    <row r="481" spans="17:33" x14ac:dyDescent="0.2">
      <c r="Q481" s="453"/>
      <c r="AG481" s="453"/>
    </row>
    <row r="482" spans="17:33" x14ac:dyDescent="0.2">
      <c r="Q482" s="453"/>
      <c r="AG482" s="453"/>
    </row>
    <row r="483" spans="17:33" x14ac:dyDescent="0.2">
      <c r="Q483" s="453"/>
      <c r="AG483" s="453"/>
    </row>
    <row r="484" spans="17:33" x14ac:dyDescent="0.2">
      <c r="Q484" s="453"/>
      <c r="AG484" s="453"/>
    </row>
    <row r="485" spans="17:33" x14ac:dyDescent="0.2">
      <c r="Q485" s="453"/>
      <c r="AG485" s="453"/>
    </row>
    <row r="486" spans="17:33" x14ac:dyDescent="0.2">
      <c r="Q486" s="453"/>
      <c r="AG486" s="453"/>
    </row>
    <row r="487" spans="17:33" x14ac:dyDescent="0.2">
      <c r="Q487" s="453"/>
      <c r="AG487" s="453"/>
    </row>
    <row r="488" spans="17:33" x14ac:dyDescent="0.2">
      <c r="Q488" s="453"/>
      <c r="AG488" s="453"/>
    </row>
    <row r="489" spans="17:33" x14ac:dyDescent="0.2">
      <c r="Q489" s="453"/>
      <c r="AG489" s="453"/>
    </row>
    <row r="490" spans="17:33" x14ac:dyDescent="0.2">
      <c r="Q490" s="453"/>
      <c r="AG490" s="453"/>
    </row>
    <row r="491" spans="17:33" x14ac:dyDescent="0.2">
      <c r="Q491" s="453"/>
      <c r="AG491" s="453"/>
    </row>
    <row r="492" spans="17:33" x14ac:dyDescent="0.2">
      <c r="Q492" s="453"/>
      <c r="AG492" s="453"/>
    </row>
    <row r="493" spans="17:33" x14ac:dyDescent="0.2">
      <c r="Q493" s="453"/>
      <c r="AG493" s="453"/>
    </row>
    <row r="494" spans="17:33" x14ac:dyDescent="0.2">
      <c r="Q494" s="453"/>
      <c r="AG494" s="453"/>
    </row>
    <row r="495" spans="17:33" x14ac:dyDescent="0.2">
      <c r="Q495" s="453"/>
      <c r="AG495" s="453"/>
    </row>
    <row r="496" spans="17:33" x14ac:dyDescent="0.2">
      <c r="Q496" s="453"/>
      <c r="AG496" s="453"/>
    </row>
    <row r="497" spans="17:33" x14ac:dyDescent="0.2">
      <c r="Q497" s="453"/>
      <c r="AG497" s="453"/>
    </row>
    <row r="498" spans="17:33" x14ac:dyDescent="0.2">
      <c r="Q498" s="453"/>
      <c r="AG498" s="453"/>
    </row>
    <row r="499" spans="17:33" x14ac:dyDescent="0.2">
      <c r="Q499" s="453"/>
      <c r="AG499" s="453"/>
    </row>
    <row r="500" spans="17:33" x14ac:dyDescent="0.2">
      <c r="Q500" s="453"/>
      <c r="AG500" s="453"/>
    </row>
    <row r="501" spans="17:33" x14ac:dyDescent="0.2">
      <c r="Q501" s="453"/>
      <c r="AG501" s="453"/>
    </row>
    <row r="502" spans="17:33" x14ac:dyDescent="0.2">
      <c r="Q502" s="453"/>
      <c r="AG502" s="453"/>
    </row>
    <row r="503" spans="17:33" x14ac:dyDescent="0.2">
      <c r="Q503" s="453"/>
      <c r="AG503" s="453"/>
    </row>
    <row r="504" spans="17:33" x14ac:dyDescent="0.2">
      <c r="Q504" s="453"/>
      <c r="AG504" s="453"/>
    </row>
    <row r="505" spans="17:33" x14ac:dyDescent="0.2">
      <c r="Q505" s="453"/>
      <c r="AG505" s="453"/>
    </row>
    <row r="506" spans="17:33" x14ac:dyDescent="0.2">
      <c r="Q506" s="453"/>
      <c r="AG506" s="453"/>
    </row>
    <row r="507" spans="17:33" x14ac:dyDescent="0.2">
      <c r="Q507" s="453"/>
      <c r="AG507" s="453"/>
    </row>
    <row r="508" spans="17:33" x14ac:dyDescent="0.2">
      <c r="Q508" s="453"/>
      <c r="AG508" s="453"/>
    </row>
    <row r="509" spans="17:33" x14ac:dyDescent="0.2">
      <c r="Q509" s="453"/>
      <c r="AG509" s="453"/>
    </row>
    <row r="510" spans="17:33" x14ac:dyDescent="0.2">
      <c r="Q510" s="453"/>
      <c r="AG510" s="453"/>
    </row>
    <row r="511" spans="17:33" x14ac:dyDescent="0.2">
      <c r="Q511" s="453"/>
      <c r="AG511" s="453"/>
    </row>
    <row r="512" spans="17:33" x14ac:dyDescent="0.2">
      <c r="Q512" s="453"/>
      <c r="AG512" s="453"/>
    </row>
    <row r="513" spans="17:33" x14ac:dyDescent="0.2">
      <c r="Q513" s="453"/>
      <c r="AG513" s="453"/>
    </row>
    <row r="514" spans="17:33" x14ac:dyDescent="0.2">
      <c r="Q514" s="453"/>
      <c r="AG514" s="453"/>
    </row>
    <row r="515" spans="17:33" x14ac:dyDescent="0.2">
      <c r="Q515" s="453"/>
      <c r="AG515" s="453"/>
    </row>
    <row r="516" spans="17:33" x14ac:dyDescent="0.2">
      <c r="Q516" s="453"/>
      <c r="AG516" s="453"/>
    </row>
    <row r="517" spans="17:33" x14ac:dyDescent="0.2">
      <c r="Q517" s="453"/>
      <c r="AG517" s="453"/>
    </row>
    <row r="518" spans="17:33" x14ac:dyDescent="0.2">
      <c r="Q518" s="453"/>
      <c r="AG518" s="453"/>
    </row>
    <row r="519" spans="17:33" x14ac:dyDescent="0.2">
      <c r="Q519" s="453"/>
      <c r="AG519" s="453"/>
    </row>
    <row r="520" spans="17:33" x14ac:dyDescent="0.2">
      <c r="Q520" s="453"/>
      <c r="AG520" s="453"/>
    </row>
    <row r="521" spans="17:33" x14ac:dyDescent="0.2">
      <c r="Q521" s="453"/>
      <c r="AG521" s="453"/>
    </row>
    <row r="522" spans="17:33" x14ac:dyDescent="0.2">
      <c r="Q522" s="453"/>
      <c r="AG522" s="453"/>
    </row>
    <row r="523" spans="17:33" x14ac:dyDescent="0.2">
      <c r="Q523" s="453"/>
      <c r="AG523" s="453"/>
    </row>
    <row r="524" spans="17:33" x14ac:dyDescent="0.2">
      <c r="Q524" s="453"/>
      <c r="AG524" s="453"/>
    </row>
    <row r="525" spans="17:33" x14ac:dyDescent="0.2">
      <c r="Q525" s="453"/>
      <c r="AG525" s="453"/>
    </row>
    <row r="526" spans="17:33" x14ac:dyDescent="0.2">
      <c r="Q526" s="453"/>
      <c r="AG526" s="453"/>
    </row>
    <row r="527" spans="17:33" x14ac:dyDescent="0.2">
      <c r="Q527" s="453"/>
      <c r="AG527" s="453"/>
    </row>
    <row r="528" spans="17:33" x14ac:dyDescent="0.2">
      <c r="Q528" s="453"/>
      <c r="AG528" s="453"/>
    </row>
    <row r="529" spans="17:33" x14ac:dyDescent="0.2">
      <c r="Q529" s="453"/>
      <c r="AG529" s="453"/>
    </row>
    <row r="530" spans="17:33" x14ac:dyDescent="0.2">
      <c r="Q530" s="453"/>
      <c r="AG530" s="453"/>
    </row>
    <row r="531" spans="17:33" x14ac:dyDescent="0.2">
      <c r="Q531" s="453"/>
      <c r="AG531" s="453"/>
    </row>
    <row r="532" spans="17:33" x14ac:dyDescent="0.2">
      <c r="Q532" s="453"/>
      <c r="AG532" s="453"/>
    </row>
    <row r="533" spans="17:33" x14ac:dyDescent="0.2">
      <c r="Q533" s="453"/>
      <c r="AG533" s="453"/>
    </row>
    <row r="534" spans="17:33" x14ac:dyDescent="0.2">
      <c r="Q534" s="453"/>
      <c r="AG534" s="453"/>
    </row>
    <row r="535" spans="17:33" x14ac:dyDescent="0.2">
      <c r="AG535" s="453"/>
    </row>
    <row r="536" spans="17:33" x14ac:dyDescent="0.2">
      <c r="AG536" s="453"/>
    </row>
    <row r="537" spans="17:33" x14ac:dyDescent="0.2">
      <c r="AG537" s="453"/>
    </row>
    <row r="538" spans="17:33" x14ac:dyDescent="0.2">
      <c r="AG538" s="453"/>
    </row>
    <row r="539" spans="17:33" x14ac:dyDescent="0.2">
      <c r="AG539" s="453"/>
    </row>
    <row r="540" spans="17:33" x14ac:dyDescent="0.2">
      <c r="AG540" s="453"/>
    </row>
    <row r="541" spans="17:33" x14ac:dyDescent="0.2">
      <c r="AG541" s="453"/>
    </row>
    <row r="542" spans="17:33" x14ac:dyDescent="0.2">
      <c r="AG542" s="453"/>
    </row>
    <row r="543" spans="17:33" x14ac:dyDescent="0.2">
      <c r="AG543" s="453"/>
    </row>
    <row r="544" spans="17:33" x14ac:dyDescent="0.2">
      <c r="AG544" s="453"/>
    </row>
    <row r="545" spans="33:33" x14ac:dyDescent="0.2">
      <c r="AG545" s="453"/>
    </row>
    <row r="546" spans="33:33" x14ac:dyDescent="0.2">
      <c r="AG546" s="453"/>
    </row>
    <row r="547" spans="33:33" x14ac:dyDescent="0.2">
      <c r="AG547" s="453"/>
    </row>
    <row r="548" spans="33:33" x14ac:dyDescent="0.2">
      <c r="AG548" s="453"/>
    </row>
    <row r="549" spans="33:33" x14ac:dyDescent="0.2">
      <c r="AG549" s="453"/>
    </row>
    <row r="550" spans="33:33" x14ac:dyDescent="0.2">
      <c r="AG550" s="453"/>
    </row>
    <row r="551" spans="33:33" x14ac:dyDescent="0.2">
      <c r="AG551" s="453"/>
    </row>
    <row r="552" spans="33:33" x14ac:dyDescent="0.2">
      <c r="AG552" s="453"/>
    </row>
    <row r="553" spans="33:33" x14ac:dyDescent="0.2">
      <c r="AG553" s="453"/>
    </row>
    <row r="554" spans="33:33" x14ac:dyDescent="0.2">
      <c r="AG554" s="453"/>
    </row>
    <row r="555" spans="33:33" x14ac:dyDescent="0.2">
      <c r="AG555" s="453"/>
    </row>
    <row r="556" spans="33:33" x14ac:dyDescent="0.2">
      <c r="AG556" s="453"/>
    </row>
    <row r="557" spans="33:33" x14ac:dyDescent="0.2">
      <c r="AG557" s="453"/>
    </row>
    <row r="558" spans="33:33" x14ac:dyDescent="0.2">
      <c r="AG558" s="453"/>
    </row>
    <row r="559" spans="33:33" x14ac:dyDescent="0.2">
      <c r="AG559" s="453"/>
    </row>
    <row r="560" spans="33:33" x14ac:dyDescent="0.2">
      <c r="AG560" s="453"/>
    </row>
    <row r="561" spans="33:33" x14ac:dyDescent="0.2">
      <c r="AG561" s="453"/>
    </row>
    <row r="562" spans="33:33" x14ac:dyDescent="0.2">
      <c r="AG562" s="453"/>
    </row>
    <row r="563" spans="33:33" x14ac:dyDescent="0.2">
      <c r="AG563" s="453"/>
    </row>
    <row r="564" spans="33:33" x14ac:dyDescent="0.2">
      <c r="AG564" s="453"/>
    </row>
    <row r="565" spans="33:33" x14ac:dyDescent="0.2">
      <c r="AG565" s="453"/>
    </row>
    <row r="566" spans="33:33" x14ac:dyDescent="0.2">
      <c r="AG566" s="453"/>
    </row>
    <row r="567" spans="33:33" x14ac:dyDescent="0.2">
      <c r="AG567" s="453"/>
    </row>
    <row r="568" spans="33:33" x14ac:dyDescent="0.2">
      <c r="AG568" s="453"/>
    </row>
    <row r="569" spans="33:33" x14ac:dyDescent="0.2">
      <c r="AG569" s="453"/>
    </row>
    <row r="570" spans="33:33" x14ac:dyDescent="0.2">
      <c r="AG570" s="453"/>
    </row>
    <row r="571" spans="33:33" x14ac:dyDescent="0.2">
      <c r="AG571" s="453"/>
    </row>
    <row r="572" spans="33:33" x14ac:dyDescent="0.2">
      <c r="AG572" s="453"/>
    </row>
    <row r="573" spans="33:33" x14ac:dyDescent="0.2">
      <c r="AG573" s="453"/>
    </row>
    <row r="574" spans="33:33" x14ac:dyDescent="0.2">
      <c r="AG574" s="453"/>
    </row>
    <row r="575" spans="33:33" x14ac:dyDescent="0.2">
      <c r="AG575" s="453"/>
    </row>
    <row r="576" spans="33:33" x14ac:dyDescent="0.2">
      <c r="AG576" s="453"/>
    </row>
    <row r="577" spans="33:33" x14ac:dyDescent="0.2">
      <c r="AG577" s="453"/>
    </row>
    <row r="578" spans="33:33" x14ac:dyDescent="0.2">
      <c r="AG578" s="453"/>
    </row>
    <row r="579" spans="33:33" x14ac:dyDescent="0.2">
      <c r="AG579" s="453"/>
    </row>
    <row r="580" spans="33:33" x14ac:dyDescent="0.2">
      <c r="AG580" s="453"/>
    </row>
    <row r="581" spans="33:33" x14ac:dyDescent="0.2">
      <c r="AG581" s="453"/>
    </row>
    <row r="582" spans="33:33" x14ac:dyDescent="0.2">
      <c r="AG582" s="453"/>
    </row>
    <row r="583" spans="33:33" x14ac:dyDescent="0.2">
      <c r="AG583" s="453"/>
    </row>
    <row r="584" spans="33:33" x14ac:dyDescent="0.2">
      <c r="AG584" s="453"/>
    </row>
    <row r="585" spans="33:33" x14ac:dyDescent="0.2">
      <c r="AG585" s="453"/>
    </row>
    <row r="586" spans="33:33" x14ac:dyDescent="0.2">
      <c r="AG586" s="453"/>
    </row>
    <row r="587" spans="33:33" x14ac:dyDescent="0.2">
      <c r="AG587" s="453"/>
    </row>
    <row r="588" spans="33:33" x14ac:dyDescent="0.2">
      <c r="AG588" s="453"/>
    </row>
    <row r="589" spans="33:33" x14ac:dyDescent="0.2">
      <c r="AG589" s="453"/>
    </row>
    <row r="590" spans="33:33" x14ac:dyDescent="0.2">
      <c r="AG590" s="453"/>
    </row>
    <row r="591" spans="33:33" x14ac:dyDescent="0.2">
      <c r="AG591" s="453"/>
    </row>
    <row r="592" spans="33:33" x14ac:dyDescent="0.2">
      <c r="AG592" s="453"/>
    </row>
    <row r="593" spans="33:33" x14ac:dyDescent="0.2">
      <c r="AG593" s="453"/>
    </row>
    <row r="594" spans="33:33" x14ac:dyDescent="0.2">
      <c r="AG594" s="453"/>
    </row>
    <row r="595" spans="33:33" x14ac:dyDescent="0.2">
      <c r="AG595" s="453"/>
    </row>
    <row r="596" spans="33:33" x14ac:dyDescent="0.2">
      <c r="AG596" s="453"/>
    </row>
    <row r="597" spans="33:33" x14ac:dyDescent="0.2">
      <c r="AG597" s="453"/>
    </row>
    <row r="598" spans="33:33" x14ac:dyDescent="0.2">
      <c r="AG598" s="453"/>
    </row>
    <row r="599" spans="33:33" x14ac:dyDescent="0.2">
      <c r="AG599" s="453"/>
    </row>
    <row r="600" spans="33:33" x14ac:dyDescent="0.2">
      <c r="AG600" s="453"/>
    </row>
    <row r="601" spans="33:33" x14ac:dyDescent="0.2">
      <c r="AG601" s="453"/>
    </row>
    <row r="602" spans="33:33" x14ac:dyDescent="0.2">
      <c r="AG602" s="453"/>
    </row>
    <row r="603" spans="33:33" x14ac:dyDescent="0.2">
      <c r="AG603" s="453"/>
    </row>
    <row r="604" spans="33:33" x14ac:dyDescent="0.2">
      <c r="AG604" s="453"/>
    </row>
    <row r="605" spans="33:33" x14ac:dyDescent="0.2">
      <c r="AG605" s="453"/>
    </row>
    <row r="606" spans="33:33" x14ac:dyDescent="0.2">
      <c r="AG606" s="453"/>
    </row>
    <row r="607" spans="33:33" x14ac:dyDescent="0.2">
      <c r="AG607" s="453"/>
    </row>
    <row r="608" spans="33:33" x14ac:dyDescent="0.2">
      <c r="AG608" s="453"/>
    </row>
    <row r="609" spans="33:33" x14ac:dyDescent="0.2">
      <c r="AG609" s="453"/>
    </row>
    <row r="610" spans="33:33" x14ac:dyDescent="0.2">
      <c r="AG610" s="453"/>
    </row>
    <row r="611" spans="33:33" x14ac:dyDescent="0.2">
      <c r="AG611" s="453"/>
    </row>
    <row r="612" spans="33:33" x14ac:dyDescent="0.2">
      <c r="AG612" s="453"/>
    </row>
    <row r="613" spans="33:33" x14ac:dyDescent="0.2">
      <c r="AG613" s="453"/>
    </row>
    <row r="614" spans="33:33" x14ac:dyDescent="0.2">
      <c r="AG614" s="453"/>
    </row>
    <row r="615" spans="33:33" x14ac:dyDescent="0.2">
      <c r="AG615" s="453"/>
    </row>
    <row r="616" spans="33:33" x14ac:dyDescent="0.2">
      <c r="AG616" s="453"/>
    </row>
    <row r="617" spans="33:33" x14ac:dyDescent="0.2">
      <c r="AG617" s="453"/>
    </row>
    <row r="618" spans="33:33" x14ac:dyDescent="0.2">
      <c r="AG618" s="453"/>
    </row>
    <row r="619" spans="33:33" x14ac:dyDescent="0.2">
      <c r="AG619" s="453"/>
    </row>
    <row r="620" spans="33:33" x14ac:dyDescent="0.2">
      <c r="AG620" s="453"/>
    </row>
    <row r="621" spans="33:33" x14ac:dyDescent="0.2">
      <c r="AG621" s="453"/>
    </row>
    <row r="622" spans="33:33" x14ac:dyDescent="0.2">
      <c r="AG622" s="453"/>
    </row>
    <row r="623" spans="33:33" x14ac:dyDescent="0.2">
      <c r="AG623" s="453"/>
    </row>
    <row r="624" spans="33:33" x14ac:dyDescent="0.2">
      <c r="AG624" s="453"/>
    </row>
    <row r="625" spans="33:33" x14ac:dyDescent="0.2">
      <c r="AG625" s="453"/>
    </row>
    <row r="626" spans="33:33" x14ac:dyDescent="0.2">
      <c r="AG626" s="453"/>
    </row>
    <row r="627" spans="33:33" x14ac:dyDescent="0.2">
      <c r="AG627" s="453"/>
    </row>
    <row r="628" spans="33:33" x14ac:dyDescent="0.2">
      <c r="AG628" s="453"/>
    </row>
    <row r="629" spans="33:33" x14ac:dyDescent="0.2">
      <c r="AG629" s="453"/>
    </row>
    <row r="630" spans="33:33" x14ac:dyDescent="0.2">
      <c r="AG630" s="453"/>
    </row>
    <row r="631" spans="33:33" x14ac:dyDescent="0.2">
      <c r="AG631" s="453"/>
    </row>
    <row r="632" spans="33:33" x14ac:dyDescent="0.2">
      <c r="AG632" s="453"/>
    </row>
    <row r="633" spans="33:33" x14ac:dyDescent="0.2">
      <c r="AG633" s="453"/>
    </row>
    <row r="634" spans="33:33" x14ac:dyDescent="0.2">
      <c r="AG634" s="453"/>
    </row>
    <row r="635" spans="33:33" x14ac:dyDescent="0.2">
      <c r="AG635" s="453"/>
    </row>
    <row r="636" spans="33:33" x14ac:dyDescent="0.2">
      <c r="AG636" s="453"/>
    </row>
    <row r="637" spans="33:33" x14ac:dyDescent="0.2">
      <c r="AG637" s="453"/>
    </row>
    <row r="638" spans="33:33" x14ac:dyDescent="0.2">
      <c r="AG638" s="453"/>
    </row>
    <row r="639" spans="33:33" x14ac:dyDescent="0.2">
      <c r="AG639" s="453"/>
    </row>
    <row r="640" spans="33:33" x14ac:dyDescent="0.2">
      <c r="AG640" s="453"/>
    </row>
    <row r="641" spans="33:33" x14ac:dyDescent="0.2">
      <c r="AG641" s="453"/>
    </row>
    <row r="642" spans="33:33" x14ac:dyDescent="0.2">
      <c r="AG642" s="453"/>
    </row>
    <row r="643" spans="33:33" x14ac:dyDescent="0.2">
      <c r="AG643" s="453"/>
    </row>
    <row r="644" spans="33:33" x14ac:dyDescent="0.2">
      <c r="AG644" s="453"/>
    </row>
    <row r="645" spans="33:33" x14ac:dyDescent="0.2">
      <c r="AG645" s="453"/>
    </row>
    <row r="646" spans="33:33" x14ac:dyDescent="0.2">
      <c r="AG646" s="453"/>
    </row>
    <row r="647" spans="33:33" x14ac:dyDescent="0.2">
      <c r="AG647" s="453"/>
    </row>
    <row r="648" spans="33:33" x14ac:dyDescent="0.2">
      <c r="AG648" s="453"/>
    </row>
    <row r="649" spans="33:33" x14ac:dyDescent="0.2">
      <c r="AG649" s="453"/>
    </row>
    <row r="650" spans="33:33" x14ac:dyDescent="0.2">
      <c r="AG650" s="453"/>
    </row>
    <row r="651" spans="33:33" x14ac:dyDescent="0.2">
      <c r="AG651" s="453"/>
    </row>
    <row r="652" spans="33:33" x14ac:dyDescent="0.2">
      <c r="AG652" s="453"/>
    </row>
    <row r="653" spans="33:33" x14ac:dyDescent="0.2">
      <c r="AG653" s="453"/>
    </row>
    <row r="654" spans="33:33" x14ac:dyDescent="0.2">
      <c r="AG654" s="453"/>
    </row>
    <row r="655" spans="33:33" x14ac:dyDescent="0.2">
      <c r="AG655" s="453"/>
    </row>
    <row r="656" spans="33:33" x14ac:dyDescent="0.2">
      <c r="AG656" s="453"/>
    </row>
    <row r="657" spans="33:33" x14ac:dyDescent="0.2">
      <c r="AG657" s="453"/>
    </row>
    <row r="658" spans="33:33" x14ac:dyDescent="0.2">
      <c r="AG658" s="453"/>
    </row>
    <row r="659" spans="33:33" x14ac:dyDescent="0.2">
      <c r="AG659" s="453"/>
    </row>
    <row r="660" spans="33:33" x14ac:dyDescent="0.2">
      <c r="AG660" s="453"/>
    </row>
    <row r="661" spans="33:33" x14ac:dyDescent="0.2">
      <c r="AG661" s="453"/>
    </row>
    <row r="662" spans="33:33" x14ac:dyDescent="0.2">
      <c r="AG662" s="453"/>
    </row>
    <row r="663" spans="33:33" x14ac:dyDescent="0.2">
      <c r="AG663" s="453"/>
    </row>
    <row r="664" spans="33:33" x14ac:dyDescent="0.2">
      <c r="AG664" s="453"/>
    </row>
    <row r="665" spans="33:33" x14ac:dyDescent="0.2">
      <c r="AG665" s="453"/>
    </row>
    <row r="666" spans="33:33" x14ac:dyDescent="0.2">
      <c r="AG666" s="453"/>
    </row>
    <row r="667" spans="33:33" x14ac:dyDescent="0.2">
      <c r="AG667" s="453"/>
    </row>
    <row r="668" spans="33:33" x14ac:dyDescent="0.2">
      <c r="AG668" s="453"/>
    </row>
    <row r="669" spans="33:33" x14ac:dyDescent="0.2">
      <c r="AG669" s="453"/>
    </row>
    <row r="670" spans="33:33" x14ac:dyDescent="0.2">
      <c r="AG670" s="453"/>
    </row>
    <row r="671" spans="33:33" x14ac:dyDescent="0.2">
      <c r="AG671" s="453"/>
    </row>
    <row r="672" spans="33:33" x14ac:dyDescent="0.2">
      <c r="AG672" s="453"/>
    </row>
    <row r="673" spans="33:33" x14ac:dyDescent="0.2">
      <c r="AG673" s="453"/>
    </row>
    <row r="674" spans="33:33" x14ac:dyDescent="0.2">
      <c r="AG674" s="453"/>
    </row>
    <row r="675" spans="33:33" x14ac:dyDescent="0.2">
      <c r="AG675" s="453"/>
    </row>
    <row r="676" spans="33:33" x14ac:dyDescent="0.2">
      <c r="AG676" s="453"/>
    </row>
    <row r="677" spans="33:33" x14ac:dyDescent="0.2">
      <c r="AG677" s="453"/>
    </row>
    <row r="678" spans="33:33" x14ac:dyDescent="0.2">
      <c r="AG678" s="453"/>
    </row>
    <row r="679" spans="33:33" x14ac:dyDescent="0.2">
      <c r="AG679" s="453"/>
    </row>
    <row r="680" spans="33:33" x14ac:dyDescent="0.2">
      <c r="AG680" s="453"/>
    </row>
    <row r="681" spans="33:33" x14ac:dyDescent="0.2">
      <c r="AG681" s="453"/>
    </row>
    <row r="682" spans="33:33" x14ac:dyDescent="0.2">
      <c r="AG682" s="453"/>
    </row>
    <row r="683" spans="33:33" x14ac:dyDescent="0.2">
      <c r="AG683" s="453"/>
    </row>
    <row r="684" spans="33:33" x14ac:dyDescent="0.2">
      <c r="AG684" s="453"/>
    </row>
    <row r="685" spans="33:33" x14ac:dyDescent="0.2">
      <c r="AG685" s="453"/>
    </row>
    <row r="686" spans="33:33" x14ac:dyDescent="0.2">
      <c r="AG686" s="453"/>
    </row>
    <row r="687" spans="33:33" x14ac:dyDescent="0.2">
      <c r="AG687" s="453"/>
    </row>
    <row r="688" spans="33:33" x14ac:dyDescent="0.2">
      <c r="AG688" s="453"/>
    </row>
    <row r="689" spans="33:33" x14ac:dyDescent="0.2">
      <c r="AG689" s="453"/>
    </row>
    <row r="690" spans="33:33" x14ac:dyDescent="0.2">
      <c r="AG690" s="453"/>
    </row>
    <row r="691" spans="33:33" x14ac:dyDescent="0.2">
      <c r="AG691" s="453"/>
    </row>
    <row r="692" spans="33:33" x14ac:dyDescent="0.2">
      <c r="AG692" s="453"/>
    </row>
    <row r="693" spans="33:33" x14ac:dyDescent="0.2">
      <c r="AG693" s="453"/>
    </row>
    <row r="694" spans="33:33" x14ac:dyDescent="0.2">
      <c r="AG694" s="453"/>
    </row>
    <row r="695" spans="33:33" x14ac:dyDescent="0.2">
      <c r="AG695" s="453"/>
    </row>
    <row r="696" spans="33:33" x14ac:dyDescent="0.2">
      <c r="AG696" s="453"/>
    </row>
    <row r="697" spans="33:33" x14ac:dyDescent="0.2">
      <c r="AG697" s="453"/>
    </row>
    <row r="698" spans="33:33" x14ac:dyDescent="0.2">
      <c r="AG698" s="453"/>
    </row>
    <row r="699" spans="33:33" x14ac:dyDescent="0.2">
      <c r="AG699" s="453"/>
    </row>
    <row r="700" spans="33:33" x14ac:dyDescent="0.2">
      <c r="AG700" s="453"/>
    </row>
    <row r="701" spans="33:33" x14ac:dyDescent="0.2">
      <c r="AG701" s="453"/>
    </row>
    <row r="702" spans="33:33" x14ac:dyDescent="0.2">
      <c r="AG702" s="453"/>
    </row>
    <row r="703" spans="33:33" x14ac:dyDescent="0.2">
      <c r="AG703" s="453"/>
    </row>
    <row r="704" spans="33:33" x14ac:dyDescent="0.2">
      <c r="AG704" s="453"/>
    </row>
    <row r="705" spans="33:33" x14ac:dyDescent="0.2">
      <c r="AG705" s="453"/>
    </row>
    <row r="706" spans="33:33" x14ac:dyDescent="0.2">
      <c r="AG706" s="453"/>
    </row>
    <row r="707" spans="33:33" x14ac:dyDescent="0.2">
      <c r="AG707" s="453"/>
    </row>
    <row r="708" spans="33:33" x14ac:dyDescent="0.2">
      <c r="AG708" s="453"/>
    </row>
    <row r="709" spans="33:33" x14ac:dyDescent="0.2">
      <c r="AG709" s="453"/>
    </row>
    <row r="710" spans="33:33" x14ac:dyDescent="0.2">
      <c r="AG710" s="453"/>
    </row>
    <row r="711" spans="33:33" x14ac:dyDescent="0.2">
      <c r="AG711" s="453"/>
    </row>
    <row r="712" spans="33:33" x14ac:dyDescent="0.2">
      <c r="AG712" s="453"/>
    </row>
    <row r="713" spans="33:33" x14ac:dyDescent="0.2">
      <c r="AG713" s="453"/>
    </row>
    <row r="714" spans="33:33" x14ac:dyDescent="0.2">
      <c r="AG714" s="453"/>
    </row>
    <row r="715" spans="33:33" x14ac:dyDescent="0.2">
      <c r="AG715" s="453"/>
    </row>
    <row r="716" spans="33:33" x14ac:dyDescent="0.2">
      <c r="AG716" s="453"/>
    </row>
    <row r="717" spans="33:33" x14ac:dyDescent="0.2">
      <c r="AG717" s="453"/>
    </row>
    <row r="718" spans="33:33" x14ac:dyDescent="0.2">
      <c r="AG718" s="453"/>
    </row>
    <row r="719" spans="33:33" x14ac:dyDescent="0.2">
      <c r="AG719" s="453"/>
    </row>
    <row r="720" spans="33:33" x14ac:dyDescent="0.2">
      <c r="AG720" s="453"/>
    </row>
    <row r="721" spans="33:33" x14ac:dyDescent="0.2">
      <c r="AG721" s="453"/>
    </row>
    <row r="722" spans="33:33" x14ac:dyDescent="0.2">
      <c r="AG722" s="453"/>
    </row>
    <row r="723" spans="33:33" x14ac:dyDescent="0.2">
      <c r="AG723" s="453"/>
    </row>
    <row r="724" spans="33:33" x14ac:dyDescent="0.2">
      <c r="AG724" s="453"/>
    </row>
    <row r="725" spans="33:33" x14ac:dyDescent="0.2">
      <c r="AG725" s="453"/>
    </row>
    <row r="726" spans="33:33" x14ac:dyDescent="0.2">
      <c r="AG726" s="453"/>
    </row>
    <row r="727" spans="33:33" x14ac:dyDescent="0.2">
      <c r="AG727" s="453"/>
    </row>
    <row r="728" spans="33:33" x14ac:dyDescent="0.2">
      <c r="AG728" s="453"/>
    </row>
    <row r="729" spans="33:33" x14ac:dyDescent="0.2">
      <c r="AG729" s="453"/>
    </row>
    <row r="730" spans="33:33" x14ac:dyDescent="0.2">
      <c r="AG730" s="453"/>
    </row>
    <row r="731" spans="33:33" x14ac:dyDescent="0.2">
      <c r="AG731" s="453"/>
    </row>
    <row r="732" spans="33:33" x14ac:dyDescent="0.2">
      <c r="AG732" s="453"/>
    </row>
    <row r="733" spans="33:33" x14ac:dyDescent="0.2">
      <c r="AG733" s="453"/>
    </row>
    <row r="734" spans="33:33" x14ac:dyDescent="0.2">
      <c r="AG734" s="453"/>
    </row>
    <row r="735" spans="33:33" x14ac:dyDescent="0.2">
      <c r="AG735" s="453"/>
    </row>
    <row r="736" spans="33:33" x14ac:dyDescent="0.2">
      <c r="AG736" s="453"/>
    </row>
    <row r="737" spans="33:33" x14ac:dyDescent="0.2">
      <c r="AG737" s="453"/>
    </row>
    <row r="738" spans="33:33" x14ac:dyDescent="0.2">
      <c r="AG738" s="453"/>
    </row>
    <row r="739" spans="33:33" x14ac:dyDescent="0.2">
      <c r="AG739" s="453"/>
    </row>
    <row r="740" spans="33:33" x14ac:dyDescent="0.2">
      <c r="AG740" s="453"/>
    </row>
    <row r="741" spans="33:33" x14ac:dyDescent="0.2">
      <c r="AG741" s="453"/>
    </row>
    <row r="742" spans="33:33" x14ac:dyDescent="0.2">
      <c r="AG742" s="453"/>
    </row>
    <row r="743" spans="33:33" x14ac:dyDescent="0.2">
      <c r="AG743" s="453"/>
    </row>
    <row r="744" spans="33:33" x14ac:dyDescent="0.2">
      <c r="AG744" s="453"/>
    </row>
    <row r="745" spans="33:33" x14ac:dyDescent="0.2">
      <c r="AG745" s="453"/>
    </row>
    <row r="746" spans="33:33" x14ac:dyDescent="0.2">
      <c r="AG746" s="453"/>
    </row>
    <row r="747" spans="33:33" x14ac:dyDescent="0.2">
      <c r="AG747" s="453"/>
    </row>
    <row r="748" spans="33:33" x14ac:dyDescent="0.2">
      <c r="AG748" s="453"/>
    </row>
    <row r="749" spans="33:33" x14ac:dyDescent="0.2">
      <c r="AG749" s="453"/>
    </row>
    <row r="750" spans="33:33" x14ac:dyDescent="0.2">
      <c r="AG750" s="453"/>
    </row>
    <row r="751" spans="33:33" x14ac:dyDescent="0.2">
      <c r="AG751" s="453"/>
    </row>
    <row r="752" spans="33:33" x14ac:dyDescent="0.2">
      <c r="AG752" s="453"/>
    </row>
    <row r="753" spans="33:33" x14ac:dyDescent="0.2">
      <c r="AG753" s="453"/>
    </row>
    <row r="754" spans="33:33" x14ac:dyDescent="0.2">
      <c r="AG754" s="453"/>
    </row>
    <row r="755" spans="33:33" x14ac:dyDescent="0.2">
      <c r="AG755" s="453"/>
    </row>
    <row r="756" spans="33:33" x14ac:dyDescent="0.2">
      <c r="AG756" s="453"/>
    </row>
    <row r="757" spans="33:33" x14ac:dyDescent="0.2">
      <c r="AG757" s="453"/>
    </row>
    <row r="758" spans="33:33" x14ac:dyDescent="0.2">
      <c r="AG758" s="453"/>
    </row>
    <row r="759" spans="33:33" x14ac:dyDescent="0.2">
      <c r="AG759" s="453"/>
    </row>
    <row r="760" spans="33:33" x14ac:dyDescent="0.2">
      <c r="AG760" s="453"/>
    </row>
    <row r="761" spans="33:33" x14ac:dyDescent="0.2">
      <c r="AG761" s="453"/>
    </row>
    <row r="762" spans="33:33" x14ac:dyDescent="0.2">
      <c r="AG762" s="453"/>
    </row>
    <row r="763" spans="33:33" x14ac:dyDescent="0.2">
      <c r="AG763" s="453"/>
    </row>
    <row r="764" spans="33:33" x14ac:dyDescent="0.2">
      <c r="AG764" s="453"/>
    </row>
    <row r="765" spans="33:33" x14ac:dyDescent="0.2">
      <c r="AG765" s="453"/>
    </row>
    <row r="766" spans="33:33" x14ac:dyDescent="0.2">
      <c r="AG766" s="453"/>
    </row>
    <row r="767" spans="33:33" x14ac:dyDescent="0.2">
      <c r="AG767" s="453"/>
    </row>
    <row r="768" spans="33:33" x14ac:dyDescent="0.2">
      <c r="AG768" s="453"/>
    </row>
    <row r="769" spans="33:33" x14ac:dyDescent="0.2">
      <c r="AG769" s="453"/>
    </row>
    <row r="770" spans="33:33" x14ac:dyDescent="0.2">
      <c r="AG770" s="453"/>
    </row>
    <row r="771" spans="33:33" x14ac:dyDescent="0.2">
      <c r="AG771" s="453"/>
    </row>
    <row r="772" spans="33:33" x14ac:dyDescent="0.2">
      <c r="AG772" s="453"/>
    </row>
    <row r="773" spans="33:33" x14ac:dyDescent="0.2">
      <c r="AG773" s="453"/>
    </row>
    <row r="774" spans="33:33" x14ac:dyDescent="0.2">
      <c r="AG774" s="453"/>
    </row>
    <row r="775" spans="33:33" x14ac:dyDescent="0.2">
      <c r="AG775" s="453"/>
    </row>
    <row r="776" spans="33:33" x14ac:dyDescent="0.2">
      <c r="AG776" s="453"/>
    </row>
    <row r="777" spans="33:33" x14ac:dyDescent="0.2">
      <c r="AG777" s="453"/>
    </row>
    <row r="778" spans="33:33" x14ac:dyDescent="0.2">
      <c r="AG778" s="453"/>
    </row>
    <row r="779" spans="33:33" x14ac:dyDescent="0.2">
      <c r="AG779" s="453"/>
    </row>
    <row r="780" spans="33:33" x14ac:dyDescent="0.2">
      <c r="AG780" s="453"/>
    </row>
    <row r="781" spans="33:33" x14ac:dyDescent="0.2">
      <c r="AG781" s="453"/>
    </row>
    <row r="782" spans="33:33" x14ac:dyDescent="0.2">
      <c r="AG782" s="453"/>
    </row>
    <row r="783" spans="33:33" x14ac:dyDescent="0.2">
      <c r="AG783" s="453"/>
    </row>
    <row r="784" spans="33:33" x14ac:dyDescent="0.2">
      <c r="AG784" s="453"/>
    </row>
    <row r="785" spans="33:33" x14ac:dyDescent="0.2">
      <c r="AG785" s="453"/>
    </row>
    <row r="786" spans="33:33" x14ac:dyDescent="0.2">
      <c r="AG786" s="453"/>
    </row>
    <row r="787" spans="33:33" x14ac:dyDescent="0.2">
      <c r="AG787" s="453"/>
    </row>
    <row r="788" spans="33:33" x14ac:dyDescent="0.2">
      <c r="AG788" s="453"/>
    </row>
    <row r="789" spans="33:33" x14ac:dyDescent="0.2">
      <c r="AG789" s="453"/>
    </row>
    <row r="790" spans="33:33" x14ac:dyDescent="0.2">
      <c r="AG790" s="453"/>
    </row>
    <row r="791" spans="33:33" x14ac:dyDescent="0.2">
      <c r="AG791" s="453"/>
    </row>
    <row r="792" spans="33:33" x14ac:dyDescent="0.2">
      <c r="AG792" s="453"/>
    </row>
    <row r="793" spans="33:33" x14ac:dyDescent="0.2">
      <c r="AG793" s="453"/>
    </row>
    <row r="794" spans="33:33" x14ac:dyDescent="0.2">
      <c r="AG794" s="453"/>
    </row>
    <row r="795" spans="33:33" x14ac:dyDescent="0.2">
      <c r="AG795" s="453"/>
    </row>
    <row r="796" spans="33:33" x14ac:dyDescent="0.2">
      <c r="AG796" s="453"/>
    </row>
    <row r="797" spans="33:33" x14ac:dyDescent="0.2">
      <c r="AG797" s="453"/>
    </row>
    <row r="798" spans="33:33" x14ac:dyDescent="0.2">
      <c r="AG798" s="453"/>
    </row>
    <row r="799" spans="33:33" x14ac:dyDescent="0.2">
      <c r="AG799" s="453"/>
    </row>
    <row r="800" spans="33:33" x14ac:dyDescent="0.2">
      <c r="AG800" s="453"/>
    </row>
    <row r="801" spans="33:33" x14ac:dyDescent="0.2">
      <c r="AG801" s="453"/>
    </row>
    <row r="802" spans="33:33" x14ac:dyDescent="0.2">
      <c r="AG802" s="453"/>
    </row>
    <row r="803" spans="33:33" x14ac:dyDescent="0.2">
      <c r="AG803" s="453"/>
    </row>
    <row r="804" spans="33:33" x14ac:dyDescent="0.2">
      <c r="AG804" s="453"/>
    </row>
    <row r="805" spans="33:33" x14ac:dyDescent="0.2">
      <c r="AG805" s="453"/>
    </row>
    <row r="806" spans="33:33" x14ac:dyDescent="0.2">
      <c r="AG806" s="453"/>
    </row>
    <row r="807" spans="33:33" x14ac:dyDescent="0.2">
      <c r="AG807" s="453"/>
    </row>
    <row r="808" spans="33:33" x14ac:dyDescent="0.2">
      <c r="AG808" s="453"/>
    </row>
    <row r="809" spans="33:33" x14ac:dyDescent="0.2">
      <c r="AG809" s="453"/>
    </row>
    <row r="810" spans="33:33" x14ac:dyDescent="0.2">
      <c r="AG810" s="453"/>
    </row>
    <row r="811" spans="33:33" x14ac:dyDescent="0.2">
      <c r="AG811" s="453"/>
    </row>
    <row r="812" spans="33:33" x14ac:dyDescent="0.2">
      <c r="AG812" s="453"/>
    </row>
    <row r="813" spans="33:33" x14ac:dyDescent="0.2">
      <c r="AG813" s="453"/>
    </row>
    <row r="814" spans="33:33" x14ac:dyDescent="0.2">
      <c r="AG814" s="453"/>
    </row>
    <row r="815" spans="33:33" x14ac:dyDescent="0.2">
      <c r="AG815" s="453"/>
    </row>
    <row r="816" spans="33:33" x14ac:dyDescent="0.2">
      <c r="AG816" s="453"/>
    </row>
    <row r="817" spans="33:33" x14ac:dyDescent="0.2">
      <c r="AG817" s="453"/>
    </row>
    <row r="818" spans="33:33" x14ac:dyDescent="0.2">
      <c r="AG818" s="453"/>
    </row>
    <row r="819" spans="33:33" x14ac:dyDescent="0.2">
      <c r="AG819" s="453"/>
    </row>
    <row r="820" spans="33:33" x14ac:dyDescent="0.2">
      <c r="AG820" s="453"/>
    </row>
    <row r="821" spans="33:33" x14ac:dyDescent="0.2">
      <c r="AG821" s="453"/>
    </row>
    <row r="822" spans="33:33" x14ac:dyDescent="0.2">
      <c r="AG822" s="453"/>
    </row>
    <row r="823" spans="33:33" x14ac:dyDescent="0.2">
      <c r="AG823" s="453"/>
    </row>
    <row r="824" spans="33:33" x14ac:dyDescent="0.2">
      <c r="AG824" s="453"/>
    </row>
    <row r="825" spans="33:33" x14ac:dyDescent="0.2">
      <c r="AG825" s="453"/>
    </row>
    <row r="826" spans="33:33" x14ac:dyDescent="0.2">
      <c r="AG826" s="453"/>
    </row>
    <row r="827" spans="33:33" x14ac:dyDescent="0.2">
      <c r="AG827" s="453"/>
    </row>
    <row r="828" spans="33:33" x14ac:dyDescent="0.2">
      <c r="AG828" s="453"/>
    </row>
    <row r="829" spans="33:33" x14ac:dyDescent="0.2">
      <c r="AG829" s="453"/>
    </row>
    <row r="830" spans="33:33" x14ac:dyDescent="0.2">
      <c r="AG830" s="453"/>
    </row>
    <row r="831" spans="33:33" x14ac:dyDescent="0.2">
      <c r="AG831" s="453"/>
    </row>
    <row r="832" spans="33:33" x14ac:dyDescent="0.2">
      <c r="AG832" s="453"/>
    </row>
    <row r="833" spans="33:33" x14ac:dyDescent="0.2">
      <c r="AG833" s="453"/>
    </row>
    <row r="834" spans="33:33" x14ac:dyDescent="0.2">
      <c r="AG834" s="453"/>
    </row>
    <row r="835" spans="33:33" x14ac:dyDescent="0.2">
      <c r="AG835" s="453"/>
    </row>
    <row r="836" spans="33:33" x14ac:dyDescent="0.2">
      <c r="AG836" s="453"/>
    </row>
    <row r="837" spans="33:33" x14ac:dyDescent="0.2">
      <c r="AG837" s="453"/>
    </row>
    <row r="838" spans="33:33" x14ac:dyDescent="0.2">
      <c r="AG838" s="453"/>
    </row>
    <row r="839" spans="33:33" x14ac:dyDescent="0.2">
      <c r="AG839" s="453"/>
    </row>
    <row r="840" spans="33:33" x14ac:dyDescent="0.2">
      <c r="AG840" s="453"/>
    </row>
    <row r="841" spans="33:33" x14ac:dyDescent="0.2">
      <c r="AG841" s="453"/>
    </row>
    <row r="842" spans="33:33" x14ac:dyDescent="0.2">
      <c r="AG842" s="453"/>
    </row>
    <row r="843" spans="33:33" x14ac:dyDescent="0.2">
      <c r="AG843" s="453"/>
    </row>
    <row r="844" spans="33:33" x14ac:dyDescent="0.2">
      <c r="AG844" s="453"/>
    </row>
    <row r="845" spans="33:33" x14ac:dyDescent="0.2">
      <c r="AG845" s="453"/>
    </row>
    <row r="846" spans="33:33" x14ac:dyDescent="0.2">
      <c r="AG846" s="453"/>
    </row>
    <row r="847" spans="33:33" x14ac:dyDescent="0.2">
      <c r="AG847" s="453"/>
    </row>
    <row r="848" spans="33:33" x14ac:dyDescent="0.2">
      <c r="AG848" s="453"/>
    </row>
    <row r="849" spans="33:33" x14ac:dyDescent="0.2">
      <c r="AG849" s="453"/>
    </row>
    <row r="850" spans="33:33" x14ac:dyDescent="0.2">
      <c r="AG850" s="453"/>
    </row>
    <row r="851" spans="33:33" x14ac:dyDescent="0.2">
      <c r="AG851" s="453"/>
    </row>
    <row r="852" spans="33:33" x14ac:dyDescent="0.2">
      <c r="AG852" s="453"/>
    </row>
    <row r="853" spans="33:33" x14ac:dyDescent="0.2">
      <c r="AG853" s="453"/>
    </row>
    <row r="854" spans="33:33" x14ac:dyDescent="0.2">
      <c r="AG854" s="453"/>
    </row>
    <row r="855" spans="33:33" x14ac:dyDescent="0.2">
      <c r="AG855" s="453"/>
    </row>
    <row r="856" spans="33:33" x14ac:dyDescent="0.2">
      <c r="AG856" s="453"/>
    </row>
    <row r="857" spans="33:33" x14ac:dyDescent="0.2">
      <c r="AG857" s="453"/>
    </row>
    <row r="858" spans="33:33" x14ac:dyDescent="0.2">
      <c r="AG858" s="453"/>
    </row>
    <row r="859" spans="33:33" x14ac:dyDescent="0.2">
      <c r="AG859" s="453"/>
    </row>
    <row r="860" spans="33:33" x14ac:dyDescent="0.2">
      <c r="AG860" s="453"/>
    </row>
    <row r="861" spans="33:33" x14ac:dyDescent="0.2">
      <c r="AG861" s="453"/>
    </row>
    <row r="862" spans="33:33" x14ac:dyDescent="0.2">
      <c r="AG862" s="453"/>
    </row>
    <row r="863" spans="33:33" x14ac:dyDescent="0.2">
      <c r="AG863" s="453"/>
    </row>
    <row r="864" spans="33:33" x14ac:dyDescent="0.2">
      <c r="AG864" s="453"/>
    </row>
    <row r="865" spans="33:33" x14ac:dyDescent="0.2">
      <c r="AG865" s="453"/>
    </row>
    <row r="866" spans="33:33" x14ac:dyDescent="0.2">
      <c r="AG866" s="453"/>
    </row>
    <row r="867" spans="33:33" x14ac:dyDescent="0.2">
      <c r="AG867" s="453"/>
    </row>
    <row r="868" spans="33:33" x14ac:dyDescent="0.2">
      <c r="AG868" s="453"/>
    </row>
    <row r="869" spans="33:33" x14ac:dyDescent="0.2">
      <c r="AG869" s="453"/>
    </row>
    <row r="870" spans="33:33" x14ac:dyDescent="0.2">
      <c r="AG870" s="453"/>
    </row>
    <row r="871" spans="33:33" x14ac:dyDescent="0.2">
      <c r="AG871" s="453"/>
    </row>
    <row r="872" spans="33:33" x14ac:dyDescent="0.2">
      <c r="AG872" s="453"/>
    </row>
    <row r="873" spans="33:33" x14ac:dyDescent="0.2">
      <c r="AG873" s="453"/>
    </row>
    <row r="874" spans="33:33" x14ac:dyDescent="0.2">
      <c r="AG874" s="453"/>
    </row>
    <row r="875" spans="33:33" x14ac:dyDescent="0.2">
      <c r="AG875" s="453"/>
    </row>
    <row r="876" spans="33:33" x14ac:dyDescent="0.2">
      <c r="AG876" s="453"/>
    </row>
    <row r="877" spans="33:33" x14ac:dyDescent="0.2">
      <c r="AG877" s="453"/>
    </row>
    <row r="878" spans="33:33" x14ac:dyDescent="0.2">
      <c r="AG878" s="453"/>
    </row>
    <row r="879" spans="33:33" x14ac:dyDescent="0.2">
      <c r="AG879" s="453"/>
    </row>
    <row r="880" spans="33:33" x14ac:dyDescent="0.2">
      <c r="AG880" s="453"/>
    </row>
    <row r="881" spans="33:33" x14ac:dyDescent="0.2">
      <c r="AG881" s="453"/>
    </row>
    <row r="882" spans="33:33" x14ac:dyDescent="0.2">
      <c r="AG882" s="453"/>
    </row>
    <row r="883" spans="33:33" x14ac:dyDescent="0.2">
      <c r="AG883" s="453"/>
    </row>
    <row r="884" spans="33:33" x14ac:dyDescent="0.2">
      <c r="AG884" s="453"/>
    </row>
    <row r="885" spans="33:33" x14ac:dyDescent="0.2">
      <c r="AG885" s="453"/>
    </row>
    <row r="886" spans="33:33" x14ac:dyDescent="0.2">
      <c r="AG886" s="453"/>
    </row>
    <row r="887" spans="33:33" x14ac:dyDescent="0.2">
      <c r="AG887" s="453"/>
    </row>
    <row r="888" spans="33:33" x14ac:dyDescent="0.2">
      <c r="AG888" s="453"/>
    </row>
    <row r="889" spans="33:33" x14ac:dyDescent="0.2">
      <c r="AG889" s="453"/>
    </row>
    <row r="890" spans="33:33" x14ac:dyDescent="0.2">
      <c r="AG890" s="453"/>
    </row>
    <row r="891" spans="33:33" x14ac:dyDescent="0.2">
      <c r="AG891" s="453"/>
    </row>
    <row r="892" spans="33:33" x14ac:dyDescent="0.2">
      <c r="AG892" s="453"/>
    </row>
    <row r="893" spans="33:33" x14ac:dyDescent="0.2">
      <c r="AG893" s="453"/>
    </row>
    <row r="894" spans="33:33" x14ac:dyDescent="0.2">
      <c r="AG894" s="453"/>
    </row>
    <row r="895" spans="33:33" x14ac:dyDescent="0.2">
      <c r="AG895" s="453"/>
    </row>
    <row r="896" spans="33:33" x14ac:dyDescent="0.2">
      <c r="AG896" s="453"/>
    </row>
    <row r="897" spans="33:33" x14ac:dyDescent="0.2">
      <c r="AG897" s="453"/>
    </row>
    <row r="898" spans="33:33" x14ac:dyDescent="0.2">
      <c r="AG898" s="453"/>
    </row>
    <row r="899" spans="33:33" x14ac:dyDescent="0.2">
      <c r="AG899" s="453"/>
    </row>
    <row r="900" spans="33:33" x14ac:dyDescent="0.2">
      <c r="AG900" s="453"/>
    </row>
    <row r="901" spans="33:33" x14ac:dyDescent="0.2">
      <c r="AG901" s="453"/>
    </row>
    <row r="902" spans="33:33" x14ac:dyDescent="0.2">
      <c r="AG902" s="453"/>
    </row>
    <row r="903" spans="33:33" x14ac:dyDescent="0.2">
      <c r="AG903" s="453"/>
    </row>
    <row r="904" spans="33:33" x14ac:dyDescent="0.2">
      <c r="AG904" s="453"/>
    </row>
    <row r="905" spans="33:33" x14ac:dyDescent="0.2">
      <c r="AG905" s="453"/>
    </row>
    <row r="906" spans="33:33" x14ac:dyDescent="0.2">
      <c r="AG906" s="453"/>
    </row>
    <row r="907" spans="33:33" x14ac:dyDescent="0.2">
      <c r="AG907" s="453"/>
    </row>
    <row r="908" spans="33:33" x14ac:dyDescent="0.2">
      <c r="AG908" s="453"/>
    </row>
    <row r="909" spans="33:33" x14ac:dyDescent="0.2">
      <c r="AG909" s="453"/>
    </row>
    <row r="910" spans="33:33" x14ac:dyDescent="0.2">
      <c r="AG910" s="453"/>
    </row>
    <row r="911" spans="33:33" x14ac:dyDescent="0.2">
      <c r="AG911" s="453"/>
    </row>
    <row r="912" spans="33:33" x14ac:dyDescent="0.2">
      <c r="AG912" s="453"/>
    </row>
    <row r="913" spans="33:33" x14ac:dyDescent="0.2">
      <c r="AG913" s="453"/>
    </row>
    <row r="914" spans="33:33" x14ac:dyDescent="0.2">
      <c r="AG914" s="453"/>
    </row>
    <row r="915" spans="33:33" x14ac:dyDescent="0.2">
      <c r="AG915" s="453"/>
    </row>
    <row r="916" spans="33:33" x14ac:dyDescent="0.2">
      <c r="AG916" s="453"/>
    </row>
    <row r="917" spans="33:33" x14ac:dyDescent="0.2">
      <c r="AG917" s="453"/>
    </row>
    <row r="918" spans="33:33" x14ac:dyDescent="0.2">
      <c r="AG918" s="453"/>
    </row>
    <row r="919" spans="33:33" x14ac:dyDescent="0.2">
      <c r="AG919" s="453"/>
    </row>
    <row r="920" spans="33:33" x14ac:dyDescent="0.2">
      <c r="AG920" s="453"/>
    </row>
    <row r="921" spans="33:33" x14ac:dyDescent="0.2">
      <c r="AG921" s="453"/>
    </row>
    <row r="922" spans="33:33" x14ac:dyDescent="0.2">
      <c r="AG922" s="453"/>
    </row>
    <row r="923" spans="33:33" x14ac:dyDescent="0.2">
      <c r="AG923" s="453"/>
    </row>
    <row r="924" spans="33:33" x14ac:dyDescent="0.2">
      <c r="AG924" s="453"/>
    </row>
    <row r="925" spans="33:33" x14ac:dyDescent="0.2">
      <c r="AG925" s="453"/>
    </row>
    <row r="926" spans="33:33" x14ac:dyDescent="0.2">
      <c r="AG926" s="453"/>
    </row>
    <row r="927" spans="33:33" x14ac:dyDescent="0.2">
      <c r="AG927" s="453"/>
    </row>
  </sheetData>
  <sheetProtection algorithmName="SHA-512" hashValue="1mG9Nysrhs1avmzHPxY4K7PGjlUr7lGG1WDvetvZ4d1vC56R8JR5iFvV17+9fDqthfkXPj27W92dBR1tWAOf2Q==" saltValue="7Soy+SmHdWkROCmfuX38y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63">
        <f>Main!D3</f>
        <v>0</v>
      </c>
      <c r="E10" s="563"/>
      <c r="F10" s="56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62" t="s">
        <v>370</v>
      </c>
      <c r="F15" s="562"/>
      <c r="G15" s="562"/>
      <c r="H15" s="562"/>
    </row>
    <row r="16" spans="3:8" ht="15" x14ac:dyDescent="0.2">
      <c r="C16" s="130"/>
      <c r="D16" s="73"/>
      <c r="E16" s="287" t="s">
        <v>124</v>
      </c>
      <c r="F16" s="287"/>
      <c r="G16" s="287"/>
      <c r="H16" s="287"/>
    </row>
    <row r="17" spans="3:8" ht="15" x14ac:dyDescent="0.2">
      <c r="C17" s="130"/>
      <c r="D17" s="73"/>
      <c r="E17" s="561" t="s">
        <v>125</v>
      </c>
      <c r="F17" s="561"/>
      <c r="G17" s="561"/>
      <c r="H17" s="561"/>
    </row>
    <row r="18" spans="3:8" ht="15" x14ac:dyDescent="0.2">
      <c r="C18" s="130"/>
      <c r="D18" s="73"/>
      <c r="E18" s="561" t="s">
        <v>6</v>
      </c>
      <c r="F18" s="561"/>
      <c r="G18" s="561"/>
      <c r="H18" s="561"/>
    </row>
    <row r="19" spans="3:8" ht="15" x14ac:dyDescent="0.2">
      <c r="C19" s="130"/>
      <c r="D19" s="73"/>
      <c r="E19" s="561" t="s">
        <v>130</v>
      </c>
      <c r="F19" s="561"/>
      <c r="G19" s="561"/>
      <c r="H19" s="561"/>
    </row>
    <row r="20" spans="3:8" ht="15" x14ac:dyDescent="0.2">
      <c r="C20" s="130"/>
      <c r="D20" s="73"/>
      <c r="E20" s="561" t="s">
        <v>127</v>
      </c>
      <c r="F20" s="561"/>
      <c r="G20" s="561"/>
      <c r="H20" s="561"/>
    </row>
    <row r="21" spans="3:8" ht="15" x14ac:dyDescent="0.2">
      <c r="C21" s="130"/>
      <c r="D21" s="73"/>
      <c r="E21" s="561" t="s">
        <v>128</v>
      </c>
      <c r="F21" s="561"/>
      <c r="G21" s="561"/>
      <c r="H21" s="561"/>
    </row>
    <row r="22" spans="3:8" ht="15" x14ac:dyDescent="0.2">
      <c r="C22" s="130"/>
      <c r="D22" s="73"/>
      <c r="E22" s="561" t="s">
        <v>106</v>
      </c>
      <c r="F22" s="561"/>
      <c r="G22" s="561"/>
      <c r="H22" s="561"/>
    </row>
    <row r="23" spans="3:8" ht="15" x14ac:dyDescent="0.2">
      <c r="C23" s="130"/>
      <c r="D23" s="73"/>
      <c r="E23" s="561" t="s">
        <v>129</v>
      </c>
      <c r="F23" s="561"/>
      <c r="G23" s="561"/>
      <c r="H23" s="561"/>
    </row>
    <row r="24" spans="3:8" ht="15" x14ac:dyDescent="0.2">
      <c r="C24" s="82"/>
      <c r="D24" s="73"/>
      <c r="E24" s="561" t="s">
        <v>148</v>
      </c>
      <c r="F24" s="561"/>
      <c r="G24" s="561"/>
      <c r="H24" s="561"/>
    </row>
    <row r="25" spans="3:8" ht="15" x14ac:dyDescent="0.2">
      <c r="C25" s="82"/>
      <c r="D25" s="73"/>
      <c r="E25" s="561"/>
      <c r="F25" s="561"/>
      <c r="G25" s="561"/>
      <c r="H25" s="561"/>
    </row>
    <row r="26" spans="3:8" ht="15" x14ac:dyDescent="0.2">
      <c r="C26" s="82"/>
      <c r="D26" s="73"/>
      <c r="E26" s="561"/>
      <c r="F26" s="561"/>
      <c r="G26" s="561"/>
      <c r="H26" s="561"/>
    </row>
    <row r="27" spans="3:8" ht="15" x14ac:dyDescent="0.2">
      <c r="C27" s="82"/>
      <c r="D27" s="73"/>
      <c r="E27" s="561"/>
      <c r="F27" s="561"/>
      <c r="G27" s="561"/>
      <c r="H27" s="561"/>
    </row>
    <row r="28" spans="3:8" ht="15" x14ac:dyDescent="0.2">
      <c r="C28" s="82"/>
      <c r="D28" s="73"/>
      <c r="E28" s="561"/>
      <c r="F28" s="561"/>
      <c r="G28" s="561"/>
      <c r="H28" s="561"/>
    </row>
    <row r="29" spans="3:8" ht="15" x14ac:dyDescent="0.2">
      <c r="C29" s="82"/>
      <c r="D29" s="73"/>
      <c r="E29" s="561"/>
      <c r="F29" s="561"/>
      <c r="G29" s="561"/>
      <c r="H29" s="561"/>
    </row>
    <row r="30" spans="3:8" ht="15" x14ac:dyDescent="0.2">
      <c r="C30" s="82"/>
      <c r="D30" s="73"/>
      <c r="E30" s="561"/>
      <c r="F30" s="561"/>
      <c r="G30" s="561"/>
      <c r="H30" s="561"/>
    </row>
    <row r="31" spans="3:8" ht="15" x14ac:dyDescent="0.2">
      <c r="C31" s="248" t="s">
        <v>371</v>
      </c>
      <c r="E31" s="561"/>
      <c r="F31" s="561"/>
      <c r="G31" s="561"/>
      <c r="H31" s="561"/>
    </row>
    <row r="32" spans="3:8" ht="15" x14ac:dyDescent="0.2">
      <c r="C32" s="82"/>
      <c r="D32" s="73"/>
      <c r="E32" s="561"/>
      <c r="F32" s="561"/>
      <c r="G32" s="561"/>
      <c r="H32" s="561"/>
    </row>
    <row r="33" spans="3:8" ht="15" x14ac:dyDescent="0.2">
      <c r="C33" s="82"/>
      <c r="D33" s="73"/>
      <c r="E33" s="561"/>
      <c r="F33" s="561"/>
      <c r="G33" s="561"/>
      <c r="H33" s="561"/>
    </row>
    <row r="34" spans="3:8" ht="15" x14ac:dyDescent="0.2">
      <c r="C34" s="82"/>
      <c r="D34" s="73"/>
      <c r="E34" s="561"/>
      <c r="F34" s="561"/>
      <c r="G34" s="561"/>
      <c r="H34" s="561"/>
    </row>
    <row r="35" spans="3:8" ht="15" x14ac:dyDescent="0.2">
      <c r="C35" s="82"/>
      <c r="D35" s="73"/>
      <c r="E35" s="561"/>
      <c r="F35" s="561"/>
      <c r="G35" s="561"/>
      <c r="H35" s="561"/>
    </row>
    <row r="36" spans="3:8" ht="15" x14ac:dyDescent="0.2">
      <c r="C36" s="73"/>
      <c r="D36" s="73"/>
      <c r="E36" s="561"/>
      <c r="F36" s="561"/>
      <c r="G36" s="561"/>
      <c r="H36" s="56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DLgvP2S7BCv2bnCy7eyNe3NDjiYQn5IkdChmvwtF7DcVnPo2fBs812PHMxeh0CENdi4u+nSvX29i5yMmiypO7A==" saltValue="iXqUx7inewYH6M6P27QzD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83" t="s">
        <v>116</v>
      </c>
      <c r="E1" s="583"/>
      <c r="F1" s="583"/>
      <c r="G1" s="583"/>
      <c r="H1" s="583"/>
      <c r="I1" s="583"/>
      <c r="J1" s="583"/>
      <c r="K1" s="583"/>
      <c r="L1" s="583"/>
      <c r="M1" s="583"/>
    </row>
    <row r="2" spans="1:18" ht="23.25" customHeight="1" x14ac:dyDescent="0.3">
      <c r="C2" s="230"/>
      <c r="D2" s="230" t="s">
        <v>319</v>
      </c>
      <c r="E2" s="230"/>
      <c r="F2" s="230"/>
      <c r="G2" s="230"/>
      <c r="H2" s="230"/>
      <c r="I2" s="230"/>
      <c r="J2" s="230"/>
      <c r="K2" s="230"/>
      <c r="L2" s="230"/>
      <c r="M2" s="230"/>
    </row>
    <row r="3" spans="1:18" ht="23.25" x14ac:dyDescent="0.35">
      <c r="C3" s="584"/>
      <c r="D3" s="584"/>
      <c r="E3" s="584"/>
      <c r="F3" s="584"/>
      <c r="G3" s="584"/>
      <c r="H3" s="584"/>
      <c r="I3" s="584"/>
      <c r="J3" s="584"/>
      <c r="K3" s="584"/>
      <c r="L3" s="584"/>
      <c r="M3" s="584"/>
    </row>
    <row r="4" spans="1:18" ht="23.25" x14ac:dyDescent="0.35">
      <c r="C4" s="214"/>
      <c r="D4" s="214"/>
      <c r="E4" s="214"/>
      <c r="F4" s="214"/>
      <c r="G4" s="214"/>
      <c r="H4" s="214"/>
      <c r="I4" s="214"/>
      <c r="J4" s="214"/>
      <c r="K4" s="214"/>
      <c r="L4" s="214"/>
      <c r="M4" s="214"/>
    </row>
    <row r="5" spans="1:18" ht="23.25" x14ac:dyDescent="0.35">
      <c r="C5" s="580" t="s">
        <v>6</v>
      </c>
      <c r="D5" s="580"/>
      <c r="E5" s="580"/>
      <c r="F5" s="580"/>
      <c r="G5" s="580"/>
      <c r="H5" s="580"/>
      <c r="I5" s="580"/>
      <c r="J5" s="580"/>
      <c r="K5" s="580"/>
      <c r="L5" s="580"/>
      <c r="M5" s="580"/>
    </row>
    <row r="6" spans="1:18" ht="23.25" x14ac:dyDescent="0.35">
      <c r="C6" s="215"/>
      <c r="D6" s="215"/>
      <c r="E6" s="600" t="str">
        <f>IFERROR(CONCATENATE("Report Number: ", WorkItemNumber),"")</f>
        <v/>
      </c>
      <c r="F6" s="600"/>
      <c r="G6" s="600"/>
      <c r="H6" s="600"/>
      <c r="I6" s="600"/>
      <c r="J6" s="600"/>
      <c r="K6" s="600"/>
      <c r="L6" s="215"/>
      <c r="M6" s="215"/>
    </row>
    <row r="7" spans="1:18" ht="18.75" customHeight="1" x14ac:dyDescent="0.3">
      <c r="G7" s="581"/>
      <c r="H7" s="581"/>
      <c r="I7" s="192"/>
      <c r="R7" t="str">
        <f>CONCATENATE("Page ",Main!L9," of ",Main!L10)</f>
        <v xml:space="preserve">Page  of </v>
      </c>
    </row>
    <row r="8" spans="1:18" ht="18" customHeight="1" x14ac:dyDescent="0.25">
      <c r="G8" s="593"/>
      <c r="H8" s="593"/>
      <c r="J8" s="79"/>
      <c r="K8" s="216" t="s">
        <v>316</v>
      </c>
      <c r="L8" s="604">
        <f>FormNumber</f>
        <v>0</v>
      </c>
      <c r="M8" s="604"/>
      <c r="N8" s="604"/>
      <c r="O8" s="604"/>
    </row>
    <row r="9" spans="1:18" ht="18" customHeight="1" x14ac:dyDescent="0.25">
      <c r="A9" s="216" t="s">
        <v>273</v>
      </c>
      <c r="B9" s="33" t="e">
        <f>Main!D5</f>
        <v>#N/A</v>
      </c>
      <c r="J9" s="79"/>
      <c r="K9" s="216" t="s">
        <v>317</v>
      </c>
      <c r="L9" s="595" t="str">
        <f>"JGI WP4100, "&amp;CalMethod</f>
        <v xml:space="preserve">JGI WP4100, </v>
      </c>
      <c r="M9" s="595"/>
      <c r="N9" s="595"/>
      <c r="O9" s="595"/>
    </row>
    <row r="10" spans="1:18" ht="18" customHeight="1" x14ac:dyDescent="0.25">
      <c r="A10" s="87"/>
      <c r="B10" s="211" t="str" cm="1">
        <f t="array" ref="B10">IFZERO('Customer Table'!R2,"")</f>
        <v/>
      </c>
      <c r="J10" s="79"/>
      <c r="K10" s="216"/>
      <c r="L10" s="595"/>
      <c r="M10" s="595"/>
      <c r="N10" s="595"/>
      <c r="O10" s="595"/>
    </row>
    <row r="11" spans="1:18" ht="18" customHeight="1" x14ac:dyDescent="0.25">
      <c r="A11" s="87"/>
      <c r="B11" s="211" t="str" cm="1">
        <f t="array" ref="B11">IFZERO('Customer Table'!S2,"")</f>
        <v/>
      </c>
      <c r="J11" s="79"/>
      <c r="K11" s="216" t="s">
        <v>318</v>
      </c>
      <c r="L11" s="604">
        <f>TolSource</f>
        <v>0</v>
      </c>
      <c r="M11" s="604"/>
      <c r="N11" s="604"/>
      <c r="O11" s="604"/>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96">
        <f>SerialNumber</f>
        <v>0</v>
      </c>
      <c r="C16" s="596"/>
      <c r="D16" s="596"/>
      <c r="E16" s="59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87">
        <f>Class</f>
        <v>0</v>
      </c>
      <c r="C18" s="587"/>
      <c r="D18" s="587"/>
      <c r="E18" s="587"/>
      <c r="G18" s="216" t="s">
        <v>283</v>
      </c>
      <c r="H18" s="220">
        <f>CubicFeet</f>
        <v>0</v>
      </c>
      <c r="M18" s="216" t="s">
        <v>287</v>
      </c>
      <c r="N18" s="220" t="str">
        <f>Main!G18</f>
        <v>ACCEPTED</v>
      </c>
      <c r="O18" s="195"/>
    </row>
    <row r="19" spans="1:19" ht="18" customHeight="1" x14ac:dyDescent="0.25">
      <c r="A19" s="206"/>
      <c r="B19" s="588"/>
      <c r="C19" s="588"/>
      <c r="D19" s="588"/>
      <c r="E19" s="588"/>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97">
        <f>Controller</f>
        <v>0</v>
      </c>
      <c r="C21" s="597"/>
      <c r="D21" s="597"/>
      <c r="E21" s="597"/>
      <c r="F21" s="207" t="s">
        <v>290</v>
      </c>
      <c r="G21" s="597">
        <f>ContSN</f>
        <v>0</v>
      </c>
      <c r="H21" s="597"/>
      <c r="I21" s="597"/>
      <c r="J21" s="207" t="s">
        <v>291</v>
      </c>
      <c r="K21" s="219">
        <f>ContTol</f>
        <v>0</v>
      </c>
      <c r="L21" s="193"/>
      <c r="M21" s="207" t="s">
        <v>292</v>
      </c>
      <c r="N21" s="232" t="str">
        <f>Main!G27</f>
        <v/>
      </c>
      <c r="O21" s="194"/>
    </row>
    <row r="22" spans="1:19" ht="18" customHeight="1" x14ac:dyDescent="0.25">
      <c r="A22" s="225" t="s">
        <v>289</v>
      </c>
      <c r="B22" s="598">
        <f>_xlnm.Recorder</f>
        <v>0</v>
      </c>
      <c r="C22" s="598"/>
      <c r="D22" s="598"/>
      <c r="E22" s="598"/>
      <c r="F22" s="208" t="s">
        <v>290</v>
      </c>
      <c r="G22" s="598">
        <f>RecSN</f>
        <v>0</v>
      </c>
      <c r="H22" s="598"/>
      <c r="I22" s="59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94" t="s">
        <v>301</v>
      </c>
      <c r="D27" s="594"/>
      <c r="E27" s="594"/>
      <c r="F27" s="594"/>
      <c r="G27" s="594"/>
      <c r="H27" s="594"/>
      <c r="I27" s="594"/>
      <c r="J27" s="594"/>
      <c r="K27" s="594"/>
      <c r="L27" s="594"/>
      <c r="M27" s="594"/>
      <c r="N27" s="196"/>
      <c r="O27" s="197"/>
    </row>
    <row r="28" spans="1:19" ht="8.1" customHeight="1" x14ac:dyDescent="0.2"/>
    <row r="29" spans="1:19" ht="18" customHeight="1" x14ac:dyDescent="0.2">
      <c r="A29" s="590" t="s">
        <v>271</v>
      </c>
      <c r="B29" s="591"/>
      <c r="C29" s="592"/>
      <c r="D29" s="590" t="s">
        <v>302</v>
      </c>
      <c r="E29" s="591"/>
      <c r="F29" s="591"/>
      <c r="G29" s="592"/>
      <c r="H29" s="590" t="s">
        <v>272</v>
      </c>
      <c r="I29" s="591"/>
      <c r="J29" s="591"/>
      <c r="K29" s="592"/>
      <c r="L29" s="590" t="s">
        <v>255</v>
      </c>
      <c r="M29" s="591"/>
      <c r="N29" s="591"/>
      <c r="O29" s="592"/>
    </row>
    <row r="30" spans="1:19" ht="18" customHeight="1" x14ac:dyDescent="0.2">
      <c r="A30" s="212"/>
      <c r="B30" s="202" t="s">
        <v>952</v>
      </c>
      <c r="C30" s="213"/>
      <c r="D30" s="573" t="str">
        <f>CONCATENATE(Main!D22,Unit,"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35" t="s">
        <v>303</v>
      </c>
      <c r="B32" s="582" t="s">
        <v>304</v>
      </c>
      <c r="C32" s="582"/>
      <c r="D32" s="235" t="s">
        <v>267</v>
      </c>
      <c r="E32" s="235" t="s">
        <v>266</v>
      </c>
      <c r="F32" s="235" t="s">
        <v>305</v>
      </c>
      <c r="G32" s="79"/>
      <c r="H32" s="79"/>
      <c r="I32" s="235" t="s">
        <v>303</v>
      </c>
      <c r="J32" s="582" t="s">
        <v>304</v>
      </c>
      <c r="K32" s="582"/>
      <c r="L32" s="235" t="s">
        <v>267</v>
      </c>
      <c r="M32" s="235" t="s">
        <v>266</v>
      </c>
      <c r="N32" s="235" t="s">
        <v>305</v>
      </c>
    </row>
    <row r="33" spans="1:14" ht="18" customHeight="1" x14ac:dyDescent="0.2">
      <c r="A33" s="236">
        <f>IF(B33="","",1)</f>
        <v>1</v>
      </c>
      <c r="B33" s="581" t="str">
        <f>IF(Main!O5="","",Main!O5)</f>
        <v>J01</v>
      </c>
      <c r="C33" s="581"/>
      <c r="D33" s="237" t="e" cm="1" vm="1">
        <f t="array" ref="D33:F33">IF(A33&lt;&gt;"",_xlfn.LET(
  _xlpm.temps, _xlfn._xlws.FILTER(Survey[RawTemp], Survey[TestPoint] = A33),
  _xlpm.minVal, MIN(_xlpm.temps),
  _xlpm.maxVal, MAX(_xlpm.temps),
  _xlpm.avgVal, AVERAGE(_xlpm.temps),
  CHOOSE({1,2,3}, _xlpm.minVal, _xlpm.maxVal, _xlpm.avgVal)
),"")</f>
        <v>#VALUE!</v>
      </c>
      <c r="E33" s="237" t="e" vm="1">
        <v>#VALUE!</v>
      </c>
      <c r="F33" s="237" t="e" vm="1">
        <v>#VALUE!</v>
      </c>
      <c r="G33" s="79"/>
      <c r="H33" s="79"/>
      <c r="I33" s="236" t="str">
        <f>IF(J33="","",21)</f>
        <v/>
      </c>
      <c r="J33" s="581" t="str">
        <f>IF(Main!O25="","",Main!O25)</f>
        <v/>
      </c>
      <c r="K33" s="58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f>IF(B34="","",2)</f>
        <v>2</v>
      </c>
      <c r="B34" s="581" t="str">
        <f>IF(Main!O6="","",Main!O6)</f>
        <v>J02</v>
      </c>
      <c r="C34" s="581"/>
      <c r="D34" s="237" t="e" cm="1" vm="1">
        <f t="array" ref="D34:F34">IF(A34&lt;&gt;"",_xlfn.LET(
  _xlpm.temps, _xlfn._xlws.FILTER(Survey[RawTemp], Survey[TestPoint] = A34),
  _xlpm.minVal, MIN(_xlpm.temps),
  _xlpm.maxVal, MAX(_xlpm.temps),
  _xlpm.avgVal, AVERAGE(_xlpm.temps),
  CHOOSE({1,2,3}, _xlpm.minVal, _xlpm.maxVal, _xlpm.avgVal)
),"")</f>
        <v>#VALUE!</v>
      </c>
      <c r="E34" s="237" t="e" vm="1">
        <v>#VALUE!</v>
      </c>
      <c r="F34" s="237" t="e" vm="1">
        <v>#VALUE!</v>
      </c>
      <c r="G34" s="79"/>
      <c r="H34" s="79"/>
      <c r="I34" s="236" t="str">
        <f>IF(J34="","",22)</f>
        <v/>
      </c>
      <c r="J34" s="581" t="str">
        <f>IF(Main!O26="","",Main!O26)</f>
        <v/>
      </c>
      <c r="K34" s="58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f>IF(B35="","",3)</f>
        <v>3</v>
      </c>
      <c r="B35" s="581" t="str">
        <f>IF(Main!O7="","",Main!O7)</f>
        <v>J03</v>
      </c>
      <c r="C35" s="581"/>
      <c r="D35" s="237" t="e" cm="1" vm="1">
        <f t="array" ref="D35:F35">IF(A35&lt;&gt;"",_xlfn.LET(
  _xlpm.temps, _xlfn._xlws.FILTER(Survey[RawTemp], Survey[TestPoint] = A35),
  _xlpm.minVal, MIN(_xlpm.temps),
  _xlpm.maxVal, MAX(_xlpm.temps),
  _xlpm.avgVal, AVERAGE(_xlpm.temps),
  CHOOSE({1,2,3}, _xlpm.minVal, _xlpm.maxVal, _xlpm.avgVal)
),"")</f>
        <v>#VALUE!</v>
      </c>
      <c r="E35" s="237" t="e" vm="1">
        <v>#VALUE!</v>
      </c>
      <c r="F35" s="237" t="e" vm="1">
        <v>#VALUE!</v>
      </c>
      <c r="G35" s="79"/>
      <c r="H35" s="79"/>
      <c r="I35" s="236" t="str">
        <f>IF(J35="","",23)</f>
        <v/>
      </c>
      <c r="J35" s="581" t="str">
        <f>IF(Main!O27="","",Main!O27)</f>
        <v/>
      </c>
      <c r="K35" s="58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f>IF(B36="","",4)</f>
        <v>4</v>
      </c>
      <c r="B36" s="581" t="str">
        <f>IF(Main!O8="","",Main!O8)</f>
        <v>J04</v>
      </c>
      <c r="C36" s="581"/>
      <c r="D36" s="237" t="e" cm="1" vm="1">
        <f t="array" ref="D36:F36">IF(A36&lt;&gt;"",_xlfn.LET(
  _xlpm.temps, _xlfn._xlws.FILTER(Survey[RawTemp], Survey[TestPoint] = A36),
  _xlpm.minVal, MIN(_xlpm.temps),
  _xlpm.maxVal, MAX(_xlpm.temps),
  _xlpm.avgVal, AVERAGE(_xlpm.temps),
  CHOOSE({1,2,3}, _xlpm.minVal, _xlpm.maxVal, _xlpm.avgVal)
),"")</f>
        <v>#VALUE!</v>
      </c>
      <c r="E36" s="237" t="e" vm="1">
        <v>#VALUE!</v>
      </c>
      <c r="F36" s="237" t="e" vm="1">
        <v>#VALUE!</v>
      </c>
      <c r="G36" s="79"/>
      <c r="H36" s="79"/>
      <c r="I36" s="236" t="str">
        <f>IF(J36="","",24)</f>
        <v/>
      </c>
      <c r="J36" s="581" t="str">
        <f>IF(Main!O28="","",Main!O28)</f>
        <v/>
      </c>
      <c r="K36" s="58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f>IF(B37="","",5)</f>
        <v>5</v>
      </c>
      <c r="B37" s="581" t="str">
        <f>IF(Main!O9="","",Main!O9)</f>
        <v>J05</v>
      </c>
      <c r="C37" s="581"/>
      <c r="D37" s="237" t="e" cm="1" vm="1">
        <f t="array" ref="D37:F37">IF(A37&lt;&gt;"",_xlfn.LET(
  _xlpm.temps, _xlfn._xlws.FILTER(Survey[RawTemp], Survey[TestPoint] = A37),
  _xlpm.minVal, MIN(_xlpm.temps),
  _xlpm.maxVal, MAX(_xlpm.temps),
  _xlpm.avgVal, AVERAGE(_xlpm.temps),
  CHOOSE({1,2,3}, _xlpm.minVal, _xlpm.maxVal, _xlpm.avgVal)
),"")</f>
        <v>#VALUE!</v>
      </c>
      <c r="E37" s="237" t="e" vm="1">
        <v>#VALUE!</v>
      </c>
      <c r="F37" s="237" t="e" vm="1">
        <v>#VALUE!</v>
      </c>
      <c r="G37" s="79"/>
      <c r="H37" s="79"/>
      <c r="I37" s="236" t="str">
        <f>IF(J37="","",25)</f>
        <v/>
      </c>
      <c r="J37" s="581" t="str">
        <f>IF(Main!O29="","",Main!O29)</f>
        <v/>
      </c>
      <c r="K37" s="58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f>IF(B38="","",6)</f>
        <v>6</v>
      </c>
      <c r="B38" s="581" t="str">
        <f>IF(Main!O10="","",Main!O10)</f>
        <v>J06</v>
      </c>
      <c r="C38" s="581"/>
      <c r="D38" s="237" t="e" cm="1" vm="1">
        <f t="array" ref="D38:F38">IF(A38&lt;&gt;"",_xlfn.LET(
  _xlpm.temps, _xlfn._xlws.FILTER(Survey[RawTemp], Survey[TestPoint] = A38),
  _xlpm.minVal, MIN(_xlpm.temps),
  _xlpm.maxVal, MAX(_xlpm.temps),
  _xlpm.avgVal, AVERAGE(_xlpm.temps),
  CHOOSE({1,2,3}, _xlpm.minVal, _xlpm.maxVal, _xlpm.avgVal)
),"")</f>
        <v>#VALUE!</v>
      </c>
      <c r="E38" s="237" t="e" vm="1">
        <v>#VALUE!</v>
      </c>
      <c r="F38" s="237" t="e" vm="1">
        <v>#VALUE!</v>
      </c>
      <c r="G38" s="79"/>
      <c r="H38" s="79"/>
      <c r="I38" s="236" t="str">
        <f>IF(J38="","",26)</f>
        <v/>
      </c>
      <c r="J38" s="581" t="str">
        <f>IF(Main!O30="","",Main!O30)</f>
        <v/>
      </c>
      <c r="K38" s="58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f>IF(B39="","",7)</f>
        <v>7</v>
      </c>
      <c r="B39" s="581" t="str">
        <f>IF(Main!O11="","",Main!O11)</f>
        <v>J07</v>
      </c>
      <c r="C39" s="581"/>
      <c r="D39" s="237" t="e" cm="1" vm="1">
        <f t="array" ref="D39:F39">IF(A39&lt;&gt;"",_xlfn.LET(
  _xlpm.temps, _xlfn._xlws.FILTER(Survey[RawTemp], Survey[TestPoint] = A39),
  _xlpm.minVal, MIN(_xlpm.temps),
  _xlpm.maxVal, MAX(_xlpm.temps),
  _xlpm.avgVal, AVERAGE(_xlpm.temps),
  CHOOSE({1,2,3}, _xlpm.minVal, _xlpm.maxVal, _xlpm.avgVal)
),"")</f>
        <v>#VALUE!</v>
      </c>
      <c r="E39" s="237" t="e" vm="1">
        <v>#VALUE!</v>
      </c>
      <c r="F39" s="237" t="e" vm="1">
        <v>#VALUE!</v>
      </c>
      <c r="G39" s="79"/>
      <c r="H39" s="79"/>
      <c r="I39" s="236" t="str">
        <f>IF(J39="","",27)</f>
        <v/>
      </c>
      <c r="J39" s="581" t="str">
        <f>IF(Main!O31="","",Main!O31)</f>
        <v/>
      </c>
      <c r="K39" s="58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f>IF(B40="","",8)</f>
        <v>8</v>
      </c>
      <c r="B40" s="581" t="str">
        <f>IF(Main!O12="","",Main!O12)</f>
        <v>J08</v>
      </c>
      <c r="C40" s="581"/>
      <c r="D40" s="237" t="e" cm="1" vm="1">
        <f t="array" ref="D40:F40">IF(A40&lt;&gt;"",_xlfn.LET(
  _xlpm.temps, _xlfn._xlws.FILTER(Survey[RawTemp], Survey[TestPoint] = A40),
  _xlpm.minVal, MIN(_xlpm.temps),
  _xlpm.maxVal, MAX(_xlpm.temps),
  _xlpm.avgVal, AVERAGE(_xlpm.temps),
  CHOOSE({1,2,3}, _xlpm.minVal, _xlpm.maxVal, _xlpm.avgVal)
),"")</f>
        <v>#VALUE!</v>
      </c>
      <c r="E40" s="237" t="e" vm="1">
        <v>#VALUE!</v>
      </c>
      <c r="F40" s="237" t="e" vm="1">
        <v>#VALUE!</v>
      </c>
      <c r="G40" s="79"/>
      <c r="H40" s="79"/>
      <c r="I40" s="236" t="str">
        <f>IF(J40="","",28)</f>
        <v/>
      </c>
      <c r="J40" s="581" t="str">
        <f>IF(Main!O32="","",Main!O32)</f>
        <v/>
      </c>
      <c r="K40" s="58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f>IF(B41="","",9)</f>
        <v>9</v>
      </c>
      <c r="B41" s="581" t="str">
        <f>IF(Main!O13="","",Main!O13)</f>
        <v>J09</v>
      </c>
      <c r="C41" s="581"/>
      <c r="D41" s="237" t="e" cm="1" vm="1">
        <f t="array" ref="D41:F41">IF(A41&lt;&gt;"",_xlfn.LET(
  _xlpm.temps, _xlfn._xlws.FILTER(Survey[RawTemp], Survey[TestPoint] = A41),
  _xlpm.minVal, MIN(_xlpm.temps),
  _xlpm.maxVal, MAX(_xlpm.temps),
  _xlpm.avgVal, AVERAGE(_xlpm.temps),
  CHOOSE({1,2,3}, _xlpm.minVal, _xlpm.maxVal, _xlpm.avgVal)
),"")</f>
        <v>#VALUE!</v>
      </c>
      <c r="E41" s="237" t="e" vm="1">
        <v>#VALUE!</v>
      </c>
      <c r="F41" s="237" t="e" vm="1">
        <v>#VALUE!</v>
      </c>
      <c r="G41" s="79"/>
      <c r="H41" s="79"/>
      <c r="I41" s="236" t="str">
        <f>IF(J41="","",29)</f>
        <v/>
      </c>
      <c r="J41" s="581" t="str">
        <f>IF(Main!O33="","",Main!O33)</f>
        <v/>
      </c>
      <c r="K41" s="58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f>IF(B42="","",10)</f>
        <v>10</v>
      </c>
      <c r="B42" s="581" t="str">
        <f>IF(Main!O14="","",Main!O14)</f>
        <v>J10</v>
      </c>
      <c r="C42" s="581"/>
      <c r="D42" s="237" t="e" cm="1" vm="1">
        <f t="array" ref="D42:F42">IF(A42&lt;&gt;"",_xlfn.LET(
  _xlpm.temps, _xlfn._xlws.FILTER(Survey[RawTemp], Survey[TestPoint] = A42),
  _xlpm.minVal, MIN(_xlpm.temps),
  _xlpm.maxVal, MAX(_xlpm.temps),
  _xlpm.avgVal, AVERAGE(_xlpm.temps),
  CHOOSE({1,2,3}, _xlpm.minVal, _xlpm.maxVal, _xlpm.avgVal)
),"")</f>
        <v>#VALUE!</v>
      </c>
      <c r="E42" s="237" t="e" vm="1">
        <v>#VALUE!</v>
      </c>
      <c r="F42" s="237" t="e" vm="1">
        <v>#VALUE!</v>
      </c>
      <c r="G42" s="79"/>
      <c r="H42" s="79"/>
      <c r="I42" s="236" t="str">
        <f>IF(J42="","",30)</f>
        <v/>
      </c>
      <c r="J42" s="581" t="str">
        <f>IF(Main!O34="","",Main!O34)</f>
        <v/>
      </c>
      <c r="K42" s="58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f>IF(B43="","",11)</f>
        <v>11</v>
      </c>
      <c r="B43" s="581" t="str">
        <f>IF(Main!O15="","",Main!O15)</f>
        <v>J11</v>
      </c>
      <c r="C43" s="581"/>
      <c r="D43" s="237" t="e" cm="1" vm="1">
        <f t="array" ref="D43:F43">IF(A43&lt;&gt;"",_xlfn.LET(
  _xlpm.temps, _xlfn._xlws.FILTER(Survey[RawTemp], Survey[TestPoint] = A43),
  _xlpm.minVal, MIN(_xlpm.temps),
  _xlpm.maxVal, MAX(_xlpm.temps),
  _xlpm.avgVal, AVERAGE(_xlpm.temps),
  CHOOSE({1,2,3}, _xlpm.minVal, _xlpm.maxVal, _xlpm.avgVal)
),"")</f>
        <v>#VALUE!</v>
      </c>
      <c r="E43" s="237" t="e" vm="1">
        <v>#VALUE!</v>
      </c>
      <c r="F43" s="237" t="e" vm="1">
        <v>#VALUE!</v>
      </c>
      <c r="G43" s="79"/>
      <c r="H43" s="79"/>
      <c r="I43" s="236" t="str">
        <f>IF(J43="","",31)</f>
        <v/>
      </c>
      <c r="J43" s="581" t="str">
        <f>IF(Main!O35="","",Main!O35)</f>
        <v/>
      </c>
      <c r="K43" s="58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f>IF(B44="","",12)</f>
        <v>12</v>
      </c>
      <c r="B44" s="581" t="str">
        <f>IF(Main!O16="","",Main!O16)</f>
        <v>J12</v>
      </c>
      <c r="C44" s="581"/>
      <c r="D44" s="237" t="e" cm="1" vm="1">
        <f t="array" ref="D44:F44">IF(A44&lt;&gt;"",_xlfn.LET(
  _xlpm.temps, _xlfn._xlws.FILTER(Survey[RawTemp], Survey[TestPoint] = A44),
  _xlpm.minVal, MIN(_xlpm.temps),
  _xlpm.maxVal, MAX(_xlpm.temps),
  _xlpm.avgVal, AVERAGE(_xlpm.temps),
  CHOOSE({1,2,3}, _xlpm.minVal, _xlpm.maxVal, _xlpm.avgVal)
),"")</f>
        <v>#VALUE!</v>
      </c>
      <c r="E44" s="237" t="e" vm="1">
        <v>#VALUE!</v>
      </c>
      <c r="F44" s="237" t="e" vm="1">
        <v>#VALUE!</v>
      </c>
      <c r="G44" s="79"/>
      <c r="H44" s="79"/>
      <c r="I44" s="236" t="str">
        <f>IF(J44="","",32)</f>
        <v/>
      </c>
      <c r="J44" s="581" t="str">
        <f>IF(Main!O36="","",Main!O36)</f>
        <v/>
      </c>
      <c r="K44" s="58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f>IF(B45="","",13)</f>
        <v>13</v>
      </c>
      <c r="B45" s="581" t="str">
        <f>IF(Main!O17="","",Main!O17)</f>
        <v>J101</v>
      </c>
      <c r="C45" s="581"/>
      <c r="D45" s="237" t="e" cm="1" vm="1">
        <f t="array" ref="D45:F45">IF(A45&lt;&gt;"",_xlfn.LET(
  _xlpm.temps, _xlfn._xlws.FILTER(Survey[RawTemp], Survey[TestPoint] = A45),
  _xlpm.minVal, MIN(_xlpm.temps),
  _xlpm.maxVal, MAX(_xlpm.temps),
  _xlpm.avgVal, AVERAGE(_xlpm.temps),
  CHOOSE({1,2,3}, _xlpm.minVal, _xlpm.maxVal, _xlpm.avgVal)
),"")</f>
        <v>#VALUE!</v>
      </c>
      <c r="E45" s="237" t="e" vm="1">
        <v>#VALUE!</v>
      </c>
      <c r="F45" s="237" t="e" vm="1">
        <v>#VALUE!</v>
      </c>
      <c r="G45" s="79"/>
      <c r="H45" s="79"/>
      <c r="I45" s="236" t="str">
        <f>IF(J45="","",33)</f>
        <v/>
      </c>
      <c r="J45" s="581" t="str">
        <f>IF(Main!O37="","",Main!O37)</f>
        <v/>
      </c>
      <c r="K45" s="58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f>IF(B46="","",14)</f>
        <v>14</v>
      </c>
      <c r="B46" s="581" t="str">
        <f>IF(Main!O18="","",Main!O18)</f>
        <v>J102</v>
      </c>
      <c r="C46" s="581"/>
      <c r="D46" s="237" t="e" cm="1" vm="1">
        <f t="array" ref="D46:F46">IF(A46&lt;&gt;"",_xlfn.LET(
  _xlpm.temps, _xlfn._xlws.FILTER(Survey[RawTemp], Survey[TestPoint] = A46),
  _xlpm.minVal, MIN(_xlpm.temps),
  _xlpm.maxVal, MAX(_xlpm.temps),
  _xlpm.avgVal, AVERAGE(_xlpm.temps),
  CHOOSE({1,2,3}, _xlpm.minVal, _xlpm.maxVal, _xlpm.avgVal)
),"")</f>
        <v>#VALUE!</v>
      </c>
      <c r="E46" s="237" t="e" vm="1">
        <v>#VALUE!</v>
      </c>
      <c r="F46" s="237" t="e" vm="1">
        <v>#VALUE!</v>
      </c>
      <c r="G46" s="79"/>
      <c r="H46" s="79"/>
      <c r="I46" s="236" t="str">
        <f>IF(J46="","",34)</f>
        <v/>
      </c>
      <c r="J46" s="581" t="str">
        <f>IF(Main!O38="","",Main!O38)</f>
        <v/>
      </c>
      <c r="K46" s="58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f>IF(B47="","",15)</f>
        <v>15</v>
      </c>
      <c r="B47" s="581" t="str">
        <f>IF(Main!O19="","",Main!O19)</f>
        <v>J103</v>
      </c>
      <c r="C47" s="581"/>
      <c r="D47" s="237" t="e" cm="1" vm="1">
        <f t="array" ref="D47:F47">IF(A47&lt;&gt;"",_xlfn.LET(
  _xlpm.temps, _xlfn._xlws.FILTER(Survey[RawTemp], Survey[TestPoint] = A47),
  _xlpm.minVal, MIN(_xlpm.temps),
  _xlpm.maxVal, MAX(_xlpm.temps),
  _xlpm.avgVal, AVERAGE(_xlpm.temps),
  CHOOSE({1,2,3}, _xlpm.minVal, _xlpm.maxVal, _xlpm.avgVal)
),"")</f>
        <v>#VALUE!</v>
      </c>
      <c r="E47" s="237" t="e" vm="1">
        <v>#VALUE!</v>
      </c>
      <c r="F47" s="237" t="e" vm="1">
        <v>#VALUE!</v>
      </c>
      <c r="G47" s="79"/>
      <c r="H47" s="79"/>
      <c r="I47" s="236" t="str">
        <f>IF(J47="","",35)</f>
        <v/>
      </c>
      <c r="J47" s="581" t="str">
        <f>IF(Main!O39="","",Main!O39)</f>
        <v/>
      </c>
      <c r="K47" s="58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f>IF(B48="","",16)</f>
        <v>16</v>
      </c>
      <c r="B48" s="581" t="str">
        <f>IF(Main!O20="","",Main!O20)</f>
        <v>J104</v>
      </c>
      <c r="C48" s="581"/>
      <c r="D48" s="237" t="e" cm="1" vm="1">
        <f t="array" ref="D48:F48">IF(A48&lt;&gt;"",_xlfn.LET(
  _xlpm.temps, _xlfn._xlws.FILTER(Survey[RawTemp], Survey[TestPoint] = A48),
  _xlpm.minVal, MIN(_xlpm.temps),
  _xlpm.maxVal, MAX(_xlpm.temps),
  _xlpm.avgVal, AVERAGE(_xlpm.temps),
  CHOOSE({1,2,3}, _xlpm.minVal, _xlpm.maxVal, _xlpm.avgVal)
),"")</f>
        <v>#VALUE!</v>
      </c>
      <c r="E48" s="237" t="e" vm="1">
        <v>#VALUE!</v>
      </c>
      <c r="F48" s="237" t="e" vm="1">
        <v>#VALUE!</v>
      </c>
      <c r="G48" s="79"/>
      <c r="H48" s="79"/>
      <c r="I48" s="236" t="str">
        <f>IF(J48="","",36)</f>
        <v/>
      </c>
      <c r="J48" s="581" t="str">
        <f>IF(Main!O40="","",Main!O40)</f>
        <v/>
      </c>
      <c r="K48" s="58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f>IF(B49="","",17)</f>
        <v>17</v>
      </c>
      <c r="B49" s="581" t="str">
        <f>IF(Main!O21="","",Main!O21)</f>
        <v>J105</v>
      </c>
      <c r="C49" s="581"/>
      <c r="D49" s="237" t="e" cm="1" vm="1">
        <f t="array" ref="D49:F49">IF(A49&lt;&gt;"",_xlfn.LET(
  _xlpm.temps, _xlfn._xlws.FILTER(Survey[RawTemp], Survey[TestPoint] = A49),
  _xlpm.minVal, MIN(_xlpm.temps),
  _xlpm.maxVal, MAX(_xlpm.temps),
  _xlpm.avgVal, AVERAGE(_xlpm.temps),
  CHOOSE({1,2,3}, _xlpm.minVal, _xlpm.maxVal, _xlpm.avgVal)
),"")</f>
        <v>#VALUE!</v>
      </c>
      <c r="E49" s="237" t="e" vm="1">
        <v>#VALUE!</v>
      </c>
      <c r="F49" s="237" t="e" vm="1">
        <v>#VALUE!</v>
      </c>
      <c r="G49" s="79"/>
      <c r="H49" s="79"/>
      <c r="I49" s="236" t="str">
        <f>IF(J49="","",37)</f>
        <v/>
      </c>
      <c r="J49" s="581" t="str">
        <f>IF(Main!O41="","",Main!O41)</f>
        <v/>
      </c>
      <c r="K49" s="58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f>IF(B50="","",18)</f>
        <v>18</v>
      </c>
      <c r="B50" s="581" t="str">
        <f>IF(Main!O22="","",Main!O22)</f>
        <v>J106</v>
      </c>
      <c r="C50" s="581"/>
      <c r="D50" s="237" t="e" cm="1" vm="1">
        <f t="array" ref="D50:F50">IF(A50&lt;&gt;"",_xlfn.LET(
  _xlpm.temps, _xlfn._xlws.FILTER(Survey[RawTemp], Survey[TestPoint] = A50),
  _xlpm.minVal, MIN(_xlpm.temps),
  _xlpm.maxVal, MAX(_xlpm.temps),
  _xlpm.avgVal, AVERAGE(_xlpm.temps),
  CHOOSE({1,2,3}, _xlpm.minVal, _xlpm.maxVal, _xlpm.avgVal)
),"")</f>
        <v>#VALUE!</v>
      </c>
      <c r="E50" s="237" t="e" vm="1">
        <v>#VALUE!</v>
      </c>
      <c r="F50" s="237" t="e" vm="1">
        <v>#VALUE!</v>
      </c>
      <c r="G50" s="79"/>
      <c r="H50" s="79"/>
      <c r="I50" s="236" t="str">
        <f>IF(J50="","",38)</f>
        <v/>
      </c>
      <c r="J50" s="581" t="str">
        <f>IF(Main!O42="","",Main!O42)</f>
        <v/>
      </c>
      <c r="K50" s="58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81" t="str">
        <f>IF(Main!O23="","",Main!O23)</f>
        <v/>
      </c>
      <c r="C51" s="58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81" t="str">
        <f>IF(Main!O43="","",Main!O43)</f>
        <v/>
      </c>
      <c r="K51" s="58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81" t="str">
        <f>IF(Main!O24="","",Main!O24)</f>
        <v/>
      </c>
      <c r="C52" s="58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81" t="str">
        <f>IF(Main!O44="","",Main!O44)</f>
        <v/>
      </c>
      <c r="K52" s="58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86" t="s">
        <v>306</v>
      </c>
      <c r="C53" s="586"/>
      <c r="D53" s="586"/>
      <c r="E53" s="586"/>
      <c r="F53" s="586"/>
      <c r="G53" s="586"/>
      <c r="H53" s="586"/>
      <c r="I53" s="586"/>
      <c r="J53" s="586"/>
      <c r="K53" s="586"/>
      <c r="L53" s="586"/>
      <c r="M53" s="586"/>
      <c r="N53" s="586"/>
    </row>
    <row r="54" spans="1:21" ht="18" customHeight="1" x14ac:dyDescent="0.25">
      <c r="A54" s="238" t="s">
        <v>307</v>
      </c>
      <c r="B54" s="595" t="str">
        <f>CONCATENATE(Main!G23,"  ",FurnaceSpecificComments,Main!V24)</f>
        <v xml:space="preserve">Found in tolerance.  No adjustment required.  </v>
      </c>
      <c r="C54" s="595"/>
      <c r="D54" s="595"/>
      <c r="E54" s="595"/>
      <c r="F54" s="595"/>
      <c r="G54" s="595"/>
      <c r="H54" s="595"/>
      <c r="I54" s="595"/>
      <c r="J54" s="595"/>
      <c r="K54" s="595"/>
      <c r="L54" s="595"/>
      <c r="M54" s="595"/>
      <c r="N54" s="595"/>
      <c r="O54" s="595"/>
    </row>
    <row r="55" spans="1:21" ht="18" customHeight="1" x14ac:dyDescent="0.25">
      <c r="A55" s="76"/>
      <c r="B55" s="595"/>
      <c r="C55" s="595"/>
      <c r="D55" s="595"/>
      <c r="E55" s="595"/>
      <c r="F55" s="595"/>
      <c r="G55" s="595"/>
      <c r="H55" s="595"/>
      <c r="I55" s="595"/>
      <c r="J55" s="595"/>
      <c r="K55" s="595"/>
      <c r="L55" s="595"/>
      <c r="M55" s="595"/>
      <c r="N55" s="595"/>
      <c r="O55" s="595"/>
    </row>
    <row r="56" spans="1:21" ht="18" customHeight="1" x14ac:dyDescent="0.25">
      <c r="A56" s="76"/>
      <c r="B56" s="595"/>
      <c r="C56" s="595"/>
      <c r="D56" s="595"/>
      <c r="E56" s="595"/>
      <c r="F56" s="595"/>
      <c r="G56" s="595"/>
      <c r="H56" s="595"/>
      <c r="I56" s="595"/>
      <c r="J56" s="595"/>
      <c r="K56" s="595"/>
      <c r="L56" s="595"/>
      <c r="M56" s="595"/>
      <c r="N56" s="595"/>
      <c r="O56" s="595"/>
    </row>
    <row r="57" spans="1:21" ht="18" customHeight="1" x14ac:dyDescent="0.25">
      <c r="A57" s="76"/>
      <c r="B57" s="595"/>
      <c r="C57" s="595"/>
      <c r="D57" s="595"/>
      <c r="E57" s="595"/>
      <c r="F57" s="595"/>
      <c r="G57" s="595"/>
      <c r="H57" s="595"/>
      <c r="I57" s="595"/>
      <c r="J57" s="595"/>
      <c r="K57" s="595"/>
      <c r="L57" s="595"/>
      <c r="M57" s="595"/>
      <c r="N57" s="595"/>
      <c r="O57" s="595"/>
    </row>
    <row r="58" spans="1:21" ht="18" customHeight="1" x14ac:dyDescent="0.25">
      <c r="A58" s="76"/>
      <c r="B58" s="595"/>
      <c r="C58" s="595"/>
      <c r="D58" s="595"/>
      <c r="E58" s="595"/>
      <c r="F58" s="595"/>
      <c r="G58" s="595"/>
      <c r="H58" s="595"/>
      <c r="I58" s="595"/>
      <c r="J58" s="595"/>
      <c r="K58" s="595"/>
      <c r="L58" s="595"/>
      <c r="M58" s="595"/>
      <c r="N58" s="595"/>
      <c r="O58" s="595"/>
    </row>
    <row r="59" spans="1:21" ht="18" customHeight="1" x14ac:dyDescent="0.25">
      <c r="A59" s="76"/>
      <c r="B59" s="595"/>
      <c r="C59" s="595"/>
      <c r="D59" s="595"/>
      <c r="E59" s="595"/>
      <c r="F59" s="595"/>
      <c r="G59" s="595"/>
      <c r="H59" s="595"/>
      <c r="I59" s="595"/>
      <c r="J59" s="595"/>
      <c r="K59" s="595"/>
      <c r="L59" s="595"/>
      <c r="M59" s="595"/>
      <c r="N59" s="595"/>
      <c r="O59" s="595"/>
    </row>
    <row r="60" spans="1:21" ht="18" customHeight="1" x14ac:dyDescent="0.2">
      <c r="A60" s="585" t="s">
        <v>315</v>
      </c>
      <c r="B60" s="585"/>
      <c r="C60" s="585"/>
      <c r="D60" s="585"/>
      <c r="E60" s="585"/>
      <c r="F60" s="585"/>
      <c r="G60" s="585"/>
      <c r="H60" s="585"/>
      <c r="I60" s="585"/>
      <c r="J60" s="585"/>
      <c r="K60" s="585"/>
      <c r="L60" s="585"/>
      <c r="M60" s="585"/>
      <c r="N60" s="585"/>
      <c r="O60" s="585"/>
    </row>
    <row r="61" spans="1:21" ht="18" customHeight="1" x14ac:dyDescent="0.2">
      <c r="A61" s="589" t="s">
        <v>308</v>
      </c>
      <c r="B61" s="589"/>
      <c r="C61" s="589"/>
      <c r="D61" s="589"/>
      <c r="E61" s="589"/>
      <c r="F61" s="603" t="s">
        <v>309</v>
      </c>
      <c r="G61" s="603"/>
      <c r="H61" s="603"/>
      <c r="I61" s="603" t="s">
        <v>310</v>
      </c>
      <c r="J61" s="603"/>
      <c r="K61" s="603" t="s">
        <v>311</v>
      </c>
      <c r="L61" s="603"/>
      <c r="M61" s="603" t="s">
        <v>312</v>
      </c>
      <c r="N61" s="603"/>
      <c r="O61" s="603"/>
      <c r="R61" s="37" t="s">
        <v>852</v>
      </c>
      <c r="T61" s="37" t="s">
        <v>853</v>
      </c>
      <c r="U61" s="37" t="s">
        <v>68</v>
      </c>
    </row>
    <row r="62" spans="1:21" ht="18" customHeight="1" x14ac:dyDescent="0.2">
      <c r="A62" s="570" t="str">
        <f>IF(F62="","",CONCATENATE(T62," - ",R62))</f>
        <v>Data Acquisition System - DaqBook/2005</v>
      </c>
      <c r="B62" s="571"/>
      <c r="C62" s="571"/>
      <c r="D62" s="571"/>
      <c r="E62" s="572"/>
      <c r="F62" s="570" t="str" cm="1">
        <f t="array" ref="F62">IFERROR(
  _xlfn.XLOOKUP(
    Main!D9,
    _xlfn._xlws.FILTER(AssetPool[AssetTag], AssetPool[RootCategoryName]= "DAQ Modules"),
    _xlfn._xlws.FILTER(AssetPool[SerialNumber], AssetPool[RootCategoryName]= "DAQ Modules")
  ),
  ""
)</f>
        <v>807705</v>
      </c>
      <c r="G62" s="571"/>
      <c r="H62" s="572"/>
      <c r="I62" s="601">
        <f>IF(F62="","",Main!D12)</f>
        <v>45884</v>
      </c>
      <c r="J62" s="602"/>
      <c r="K62" s="601">
        <f>IF(F62="","",Main!D13)</f>
        <v>45976</v>
      </c>
      <c r="L62" s="602"/>
      <c r="M62" s="567" t="str">
        <f>IF(F62="","",Main!D14)</f>
        <v>J30825</v>
      </c>
      <c r="N62" s="568"/>
      <c r="O62" s="569"/>
      <c r="Q62">
        <f>IF(CERT!F62="","",1)</f>
        <v>1</v>
      </c>
      <c r="R62" s="193" t="str">
        <f>IF(Main!D9="", "", _xlfn.XLOOKUP(Main!D9,AssetPool[AssetTag],AssetPool[ManufacturerPartNumber]))</f>
        <v>DaqBook/2005</v>
      </c>
      <c r="T62" s="193" t="str">
        <f>IF(Main!D9="", "", _xlfn.XLOOKUP(Main!D9,AssetPool[AssetTag],AssetPool[CategoryName]))</f>
        <v>Data Acquisition System</v>
      </c>
    </row>
    <row r="63" spans="1:21" ht="18" customHeight="1" x14ac:dyDescent="0.2">
      <c r="A63" s="564" t="str">
        <f>IF(Q63="","",CONCATENATE("Type """,U63,""" Thermocouple"))</f>
        <v/>
      </c>
      <c r="B63" s="565"/>
      <c r="C63" s="565"/>
      <c r="D63" s="565"/>
      <c r="E63" s="566"/>
      <c r="F63" s="564" t="str">
        <f>IF(Main!D48="","",Main!D48)</f>
        <v/>
      </c>
      <c r="G63" s="565"/>
      <c r="H63" s="566"/>
      <c r="I63" s="578" t="str">
        <f>IF(Q63="","",Main!D49)</f>
        <v/>
      </c>
      <c r="J63" s="579"/>
      <c r="K63" s="578" t="str">
        <f>IF(Q63="","",Main!D50)</f>
        <v/>
      </c>
      <c r="L63" s="579"/>
      <c r="M63" s="564" t="str">
        <f>IF(Q63="","",Main!D54)</f>
        <v/>
      </c>
      <c r="N63" s="565"/>
      <c r="O63" s="566"/>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64" t="str">
        <f t="shared" ref="A64:A69" si="0">IF(Q64="","",CONCATENATE("Type """,U64,""" Thermocouple"))</f>
        <v/>
      </c>
      <c r="B64" s="565"/>
      <c r="C64" s="565"/>
      <c r="D64" s="565"/>
      <c r="E64" s="566"/>
      <c r="F64" s="564" t="str">
        <f>IF(Main!E48="","",Main!E48)</f>
        <v/>
      </c>
      <c r="G64" s="565"/>
      <c r="H64" s="566"/>
      <c r="I64" s="578" t="str">
        <f>IF(Q64="","",Main!E49)</f>
        <v/>
      </c>
      <c r="J64" s="579"/>
      <c r="K64" s="578" t="str">
        <f>IF(Q64="","",Main!E50)</f>
        <v/>
      </c>
      <c r="L64" s="579"/>
      <c r="M64" s="564" t="str">
        <f>IF(Q64="","",Main!E54)</f>
        <v/>
      </c>
      <c r="N64" s="565"/>
      <c r="O64" s="566"/>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64" t="str">
        <f t="shared" si="0"/>
        <v/>
      </c>
      <c r="B65" s="565"/>
      <c r="C65" s="565"/>
      <c r="D65" s="565"/>
      <c r="E65" s="566"/>
      <c r="F65" s="564" t="str">
        <f>IF(Main!F48="","",Main!F48)</f>
        <v/>
      </c>
      <c r="G65" s="565"/>
      <c r="H65" s="566"/>
      <c r="I65" s="578" t="str">
        <f>IF(Q65="","",Main!F49)</f>
        <v/>
      </c>
      <c r="J65" s="579"/>
      <c r="K65" s="578" t="str">
        <f>IF(Q65="","",Main!F50)</f>
        <v/>
      </c>
      <c r="L65" s="579"/>
      <c r="M65" s="564" t="str">
        <f>IF(Q65="","",Main!F54)</f>
        <v/>
      </c>
      <c r="N65" s="565"/>
      <c r="O65" s="566"/>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64" t="str">
        <f t="shared" si="0"/>
        <v/>
      </c>
      <c r="B66" s="565"/>
      <c r="C66" s="565"/>
      <c r="D66" s="565"/>
      <c r="E66" s="566"/>
      <c r="F66" s="564" t="str">
        <f>IF(Main!G48="","",Main!G48)</f>
        <v/>
      </c>
      <c r="G66" s="565"/>
      <c r="H66" s="566"/>
      <c r="I66" s="578" t="str">
        <f>IF(Q66="","",Main!G49)</f>
        <v/>
      </c>
      <c r="J66" s="579"/>
      <c r="K66" s="578" t="str">
        <f>IF(Q66="","",Main!G50)</f>
        <v/>
      </c>
      <c r="L66" s="579"/>
      <c r="M66" s="564" t="str">
        <f>IF(Q66="","",Main!G54)</f>
        <v/>
      </c>
      <c r="N66" s="565"/>
      <c r="O66" s="566"/>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64" t="str">
        <f t="shared" si="0"/>
        <v/>
      </c>
      <c r="B67" s="565"/>
      <c r="C67" s="565"/>
      <c r="D67" s="565"/>
      <c r="E67" s="566"/>
      <c r="F67" s="564" t="str">
        <f>IF(Main!H48="","",Main!H48)</f>
        <v/>
      </c>
      <c r="G67" s="565"/>
      <c r="H67" s="566"/>
      <c r="I67" s="578" t="str">
        <f>IF(Q67="","",Main!H49)</f>
        <v/>
      </c>
      <c r="J67" s="579"/>
      <c r="K67" s="578" t="str">
        <f>IF(Q67="","",Main!H50)</f>
        <v/>
      </c>
      <c r="L67" s="579"/>
      <c r="M67" s="564" t="str">
        <f>IF(Q67="","",Main!H54)</f>
        <v/>
      </c>
      <c r="N67" s="565"/>
      <c r="O67" s="566"/>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64" t="str">
        <f t="shared" si="0"/>
        <v/>
      </c>
      <c r="B68" s="565"/>
      <c r="C68" s="565"/>
      <c r="D68" s="565"/>
      <c r="E68" s="566"/>
      <c r="F68" s="564" t="str">
        <f>IF(Main!I48="","",Main!I48)</f>
        <v/>
      </c>
      <c r="G68" s="565"/>
      <c r="H68" s="566"/>
      <c r="I68" s="578" t="str">
        <f>IF(Q68="","",Main!I49)</f>
        <v/>
      </c>
      <c r="J68" s="579"/>
      <c r="K68" s="578" t="str">
        <f>IF(Q68="","",Main!I50)</f>
        <v/>
      </c>
      <c r="L68" s="579"/>
      <c r="M68" s="564" t="str">
        <f>IF(Q68="","",Main!I54)</f>
        <v/>
      </c>
      <c r="N68" s="565"/>
      <c r="O68" s="566"/>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64" t="str">
        <f t="shared" si="0"/>
        <v/>
      </c>
      <c r="B69" s="565"/>
      <c r="C69" s="565"/>
      <c r="D69" s="565"/>
      <c r="E69" s="566"/>
      <c r="F69" s="573" t="str">
        <f>IF(Main!J48="","",Main!J48)</f>
        <v/>
      </c>
      <c r="G69" s="574"/>
      <c r="H69" s="575"/>
      <c r="I69" s="576" t="str">
        <f>IF(Q69="","",Main!J49)</f>
        <v/>
      </c>
      <c r="J69" s="577"/>
      <c r="K69" s="576" t="str">
        <f>IF(Q69="","",Main!J50)</f>
        <v/>
      </c>
      <c r="L69" s="577"/>
      <c r="M69" s="573" t="str">
        <f>IF(Q69="","",Main!J54)</f>
        <v/>
      </c>
      <c r="N69" s="574"/>
      <c r="O69" s="575"/>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99" t="s">
        <v>956</v>
      </c>
      <c r="B71" s="599"/>
      <c r="C71" s="599"/>
      <c r="D71" s="599"/>
      <c r="E71" s="599"/>
      <c r="F71" s="599"/>
      <c r="G71" s="599"/>
      <c r="H71" s="599"/>
      <c r="I71" s="599"/>
      <c r="J71" s="599"/>
      <c r="K71" s="599"/>
      <c r="L71" s="599"/>
      <c r="M71" s="599"/>
      <c r="N71" s="599"/>
      <c r="O71" s="599"/>
    </row>
    <row r="72" spans="1:21" ht="18" customHeight="1" x14ac:dyDescent="0.2">
      <c r="A72" s="599"/>
      <c r="B72" s="599"/>
      <c r="C72" s="599"/>
      <c r="D72" s="599"/>
      <c r="E72" s="599"/>
      <c r="F72" s="599"/>
      <c r="G72" s="599"/>
      <c r="H72" s="599"/>
      <c r="I72" s="599"/>
      <c r="J72" s="599"/>
      <c r="K72" s="599"/>
      <c r="L72" s="599"/>
      <c r="M72" s="599"/>
      <c r="N72" s="599"/>
      <c r="O72" s="599"/>
    </row>
    <row r="73" spans="1:21" ht="18" customHeight="1" x14ac:dyDescent="0.2">
      <c r="A73" s="599"/>
      <c r="B73" s="599"/>
      <c r="C73" s="599"/>
      <c r="D73" s="599"/>
      <c r="E73" s="599"/>
      <c r="F73" s="599"/>
      <c r="G73" s="599"/>
      <c r="H73" s="599"/>
      <c r="I73" s="599"/>
      <c r="J73" s="599"/>
      <c r="K73" s="599"/>
      <c r="L73" s="599"/>
      <c r="M73" s="599"/>
      <c r="N73" s="599"/>
      <c r="O73" s="599"/>
    </row>
    <row r="74" spans="1:21" ht="18" customHeight="1" x14ac:dyDescent="0.2">
      <c r="A74" s="599"/>
      <c r="B74" s="599"/>
      <c r="C74" s="599"/>
      <c r="D74" s="599"/>
      <c r="E74" s="599"/>
      <c r="F74" s="599"/>
      <c r="G74" s="599"/>
      <c r="H74" s="599"/>
      <c r="I74" s="599"/>
      <c r="J74" s="599"/>
      <c r="K74" s="599"/>
      <c r="L74" s="599"/>
      <c r="M74" s="599"/>
      <c r="N74" s="599"/>
      <c r="O74" s="599"/>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7rifZxMo468XgtI83o1EAv6h1fGfViu/HQQGuTAaLP2uIR5G8PAKwgQTRZa+uhVACvDWd2N9gYbxDG82DasTyw==" saltValue="sz8KZ5hzDS60jF11PbmCYw=="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L767"/>
      <c r="M767"/>
      <c r="N767"/>
      <c r="O767"/>
    </row>
    <row r="768" spans="1:15" x14ac:dyDescent="0.2">
      <c r="A768"/>
      <c r="B768"/>
      <c r="C768"/>
      <c r="F768"/>
      <c r="G768"/>
      <c r="H768"/>
      <c r="I768"/>
      <c r="L768"/>
      <c r="M768"/>
      <c r="N768"/>
      <c r="O768"/>
    </row>
    <row r="769" spans="1:15" x14ac:dyDescent="0.2">
      <c r="A769"/>
      <c r="B769"/>
      <c r="C769"/>
      <c r="F769"/>
      <c r="G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1"/>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R57"/>
    </row>
    <row r="58" spans="1:18" x14ac:dyDescent="0.2">
      <c r="A58"/>
      <c r="B58"/>
      <c r="C58"/>
      <c r="D58"/>
      <c r="E58"/>
      <c r="F58"/>
      <c r="G58"/>
      <c r="K58"/>
      <c r="L58"/>
      <c r="M58"/>
      <c r="O58"/>
      <c r="P58"/>
      <c r="Q58"/>
      <c r="R58"/>
    </row>
    <row r="59" spans="1:18" x14ac:dyDescent="0.2">
      <c r="A59"/>
      <c r="B59"/>
      <c r="C59"/>
      <c r="D59"/>
      <c r="E59"/>
      <c r="F59"/>
      <c r="G59"/>
      <c r="L59"/>
      <c r="M59"/>
      <c r="O59"/>
      <c r="P59"/>
      <c r="Q59"/>
      <c r="R59"/>
    </row>
    <row r="60" spans="1:18" x14ac:dyDescent="0.2">
      <c r="A60"/>
      <c r="B60"/>
      <c r="C60"/>
      <c r="D60"/>
      <c r="E60"/>
      <c r="G60"/>
      <c r="K60"/>
      <c r="L60"/>
      <c r="M60"/>
      <c r="N60"/>
      <c r="O60"/>
      <c r="P60"/>
      <c r="Q60"/>
      <c r="R60"/>
    </row>
    <row r="61" spans="1:18" x14ac:dyDescent="0.2">
      <c r="A61"/>
      <c r="B61"/>
      <c r="C61"/>
      <c r="D61"/>
      <c r="E61"/>
      <c r="G61"/>
      <c r="L61"/>
      <c r="O61"/>
      <c r="P61"/>
      <c r="R6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F16" sqref="F16"/>
    </sheetView>
  </sheetViews>
  <sheetFormatPr defaultRowHeight="12.75" x14ac:dyDescent="0.2"/>
  <cols>
    <col min="1" max="1" width="26.28515625" bestFit="1" customWidth="1"/>
    <col min="2" max="2" width="69.8554687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row>
    <row r="10" spans="1:2" x14ac:dyDescent="0.2">
      <c r="A10"/>
    </row>
    <row r="11" spans="1:2" x14ac:dyDescent="0.2">
      <c r="A11"/>
    </row>
    <row r="12" spans="1:2" x14ac:dyDescent="0.2">
      <c r="A12"/>
      <c r="B12"/>
    </row>
    <row r="13" spans="1:2" x14ac:dyDescent="0.2">
      <c r="A13"/>
      <c r="B13"/>
    </row>
    <row r="14" spans="1:2" x14ac:dyDescent="0.2">
      <c r="A14"/>
      <c r="B14"/>
    </row>
    <row r="15" spans="1:2" x14ac:dyDescent="0.2">
      <c r="A15"/>
      <c r="B15"/>
    </row>
    <row r="16" spans="1:2" x14ac:dyDescent="0.2">
      <c r="A16"/>
    </row>
    <row r="17" spans="1:2" x14ac:dyDescent="0.2">
      <c r="A17"/>
      <c r="B17"/>
    </row>
    <row r="18" spans="1:2" x14ac:dyDescent="0.2">
      <c r="A18"/>
      <c r="B18"/>
    </row>
    <row r="19" spans="1:2" x14ac:dyDescent="0.2">
      <c r="A19"/>
      <c r="B19"/>
    </row>
    <row r="20" spans="1:2" x14ac:dyDescent="0.2">
      <c r="A20"/>
    </row>
    <row r="21" spans="1:2" x14ac:dyDescent="0.2">
      <c r="A21"/>
      <c r="B21"/>
    </row>
    <row r="22" spans="1:2" x14ac:dyDescent="0.2">
      <c r="A22"/>
    </row>
    <row r="23" spans="1:2" x14ac:dyDescent="0.2">
      <c r="A23"/>
    </row>
    <row r="24" spans="1:2" x14ac:dyDescent="0.2">
      <c r="A24"/>
      <c r="B24"/>
    </row>
    <row r="25" spans="1:2" x14ac:dyDescent="0.2">
      <c r="A25"/>
      <c r="B25"/>
    </row>
    <row r="26" spans="1:2" x14ac:dyDescent="0.2">
      <c r="A26"/>
      <c r="B26"/>
    </row>
    <row r="27" spans="1:2" x14ac:dyDescent="0.2">
      <c r="A27"/>
    </row>
    <row r="28" spans="1:2" x14ac:dyDescent="0.2">
      <c r="A28"/>
      <c r="B28"/>
    </row>
    <row r="29" spans="1:2" x14ac:dyDescent="0.2">
      <c r="A29"/>
      <c r="B29"/>
    </row>
    <row r="30" spans="1:2" x14ac:dyDescent="0.2">
      <c r="A30"/>
      <c r="B30"/>
    </row>
    <row r="31" spans="1:2" x14ac:dyDescent="0.2">
      <c r="A31"/>
      <c r="B31"/>
    </row>
    <row r="32" spans="1:2" x14ac:dyDescent="0.2">
      <c r="A32"/>
    </row>
    <row r="33" spans="1:2" x14ac:dyDescent="0.2">
      <c r="A33"/>
      <c r="B33"/>
    </row>
    <row r="34" spans="1:2" x14ac:dyDescent="0.2">
      <c r="A34"/>
      <c r="B34"/>
    </row>
    <row r="35" spans="1:2" x14ac:dyDescent="0.2">
      <c r="A35"/>
      <c r="B35"/>
    </row>
    <row r="36" spans="1:2" x14ac:dyDescent="0.2">
      <c r="A36"/>
    </row>
    <row r="37" spans="1:2" x14ac:dyDescent="0.2">
      <c r="A37"/>
      <c r="B37"/>
    </row>
    <row r="38" spans="1:2" x14ac:dyDescent="0.2">
      <c r="A38"/>
      <c r="B38"/>
    </row>
    <row r="39" spans="1:2" x14ac:dyDescent="0.2">
      <c r="A39"/>
      <c r="B39"/>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608" t="s">
        <v>103</v>
      </c>
      <c r="N2" s="608"/>
      <c r="O2" s="60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609" t="s">
        <v>104</v>
      </c>
      <c r="N3" s="610"/>
      <c r="O3" s="611"/>
      <c r="P3" s="103"/>
      <c r="Q3" s="103"/>
    </row>
    <row r="4" spans="1:18" ht="15" x14ac:dyDescent="0.25">
      <c r="B4" s="113" t="s">
        <v>25</v>
      </c>
      <c r="C4" s="60"/>
      <c r="D4" s="37"/>
      <c r="E4" s="37"/>
      <c r="F4" s="37"/>
      <c r="G4" s="37"/>
      <c r="H4" s="37"/>
      <c r="I4" s="37"/>
      <c r="J4" s="37"/>
      <c r="K4" s="37"/>
      <c r="L4" s="37"/>
      <c r="M4" s="612" t="s">
        <v>144</v>
      </c>
      <c r="N4" s="613"/>
      <c r="O4" s="614"/>
      <c r="P4" s="85"/>
    </row>
    <row r="5" spans="1:18" x14ac:dyDescent="0.2">
      <c r="B5" s="114" t="s">
        <v>26</v>
      </c>
      <c r="C5" s="54">
        <f>Main!D3</f>
        <v>0</v>
      </c>
      <c r="D5" s="37"/>
      <c r="E5" s="37"/>
      <c r="F5" s="37"/>
      <c r="G5" s="37"/>
      <c r="H5" s="37"/>
      <c r="I5" s="52" t="s">
        <v>4</v>
      </c>
      <c r="J5" s="37" t="e">
        <f>Main!D5</f>
        <v>#N/A</v>
      </c>
      <c r="L5" s="37"/>
      <c r="M5" s="615" t="s">
        <v>143</v>
      </c>
      <c r="N5" s="616"/>
      <c r="O5" s="617"/>
      <c r="P5" s="129"/>
    </row>
    <row r="6" spans="1:18" ht="13.5" thickBot="1" x14ac:dyDescent="0.25">
      <c r="B6" s="114" t="s">
        <v>3</v>
      </c>
      <c r="C6" s="55" t="e">
        <f>Main!D6</f>
        <v>#N/A</v>
      </c>
      <c r="D6" s="37"/>
      <c r="E6" s="37"/>
      <c r="F6" s="37"/>
      <c r="G6" s="37"/>
      <c r="H6" s="37"/>
      <c r="I6" s="52" t="s">
        <v>5</v>
      </c>
      <c r="J6" s="51">
        <f>Main!D16</f>
        <v>0</v>
      </c>
      <c r="L6" s="37"/>
      <c r="M6" s="618" t="str">
        <f>IF(MaxMode,"","In 1/2 Tolerance")</f>
        <v>In 1/2 Tolerance</v>
      </c>
      <c r="N6" s="619"/>
      <c r="O6" s="620"/>
      <c r="P6" s="86"/>
    </row>
    <row r="7" spans="1:18" ht="13.5" thickBot="1" x14ac:dyDescent="0.25">
      <c r="B7" s="114" t="s">
        <v>27</v>
      </c>
      <c r="C7" s="55" t="str">
        <f>Main!D7</f>
        <v>Jeff Hall</v>
      </c>
      <c r="D7" s="37"/>
      <c r="E7" s="37"/>
      <c r="F7" s="37"/>
      <c r="G7" s="37"/>
      <c r="H7" s="37"/>
      <c r="I7" s="57" t="s">
        <v>165</v>
      </c>
      <c r="J7" s="606">
        <f>Main!$D$30</f>
        <v>0</v>
      </c>
      <c r="K7" s="607"/>
      <c r="L7" s="100"/>
      <c r="M7" s="605" t="s">
        <v>142</v>
      </c>
      <c r="N7" s="605"/>
      <c r="O7" s="60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24" customFormat="1" x14ac:dyDescent="0.2">
      <c r="A12" s="423"/>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8/l/M6WbDcNm5+GHv3LK10ktRu+0ZqdKUuLJMi3tEvTMG0gmWHo/TVqqdcU4Brzvj8oGWdbCQSCSqJjc9Pxxdw==" saltValue="41vclgp1/Duq4iYdnn81c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21" t="s">
        <v>103</v>
      </c>
      <c r="N2" s="621"/>
      <c r="O2" s="621"/>
      <c r="P2" s="293" t="str">
        <f>IF(Main!$E$30="","A10",ADDRESS(13+Standards_Info!W2+(MATCH(Main!$E$30,Data_Sheet!$A$14:$A$903,0)),1,4))</f>
        <v>A10</v>
      </c>
      <c r="Q2" s="293">
        <f>VALUE(MID(P2, 2, LEN(P2)-1))</f>
        <v>10</v>
      </c>
    </row>
    <row r="3" spans="1:17" ht="15" x14ac:dyDescent="0.25">
      <c r="B3" s="126" t="s">
        <v>0</v>
      </c>
      <c r="C3" s="3"/>
      <c r="M3" s="609" t="s">
        <v>104</v>
      </c>
      <c r="N3" s="610"/>
      <c r="O3" s="611"/>
      <c r="P3" s="40"/>
    </row>
    <row r="4" spans="1:17" ht="15" x14ac:dyDescent="0.25">
      <c r="B4" s="113" t="s">
        <v>25</v>
      </c>
      <c r="C4" s="4"/>
      <c r="M4" s="612" t="s">
        <v>144</v>
      </c>
      <c r="N4" s="613"/>
      <c r="O4" s="614"/>
    </row>
    <row r="5" spans="1:17" x14ac:dyDescent="0.2">
      <c r="B5" s="114" t="s">
        <v>26</v>
      </c>
      <c r="C5" s="54">
        <f>Main!D3</f>
        <v>0</v>
      </c>
      <c r="D5" s="37"/>
      <c r="E5" s="37"/>
      <c r="F5" s="37"/>
      <c r="G5" s="37"/>
      <c r="H5" s="37"/>
      <c r="I5" s="52" t="s">
        <v>4</v>
      </c>
      <c r="J5" t="e">
        <f>Main!D5</f>
        <v>#N/A</v>
      </c>
      <c r="M5" s="622" t="s">
        <v>143</v>
      </c>
      <c r="N5" s="623"/>
      <c r="O5" s="624"/>
    </row>
    <row r="6" spans="1:17" ht="13.5" thickBot="1" x14ac:dyDescent="0.25">
      <c r="B6" s="114" t="s">
        <v>3</v>
      </c>
      <c r="C6" s="55" t="e">
        <f>Main!D6</f>
        <v>#N/A</v>
      </c>
      <c r="D6" s="37"/>
      <c r="E6" s="37"/>
      <c r="F6" s="37"/>
      <c r="G6" s="37"/>
      <c r="H6" s="37"/>
      <c r="I6" s="52" t="s">
        <v>5</v>
      </c>
      <c r="J6" s="39">
        <f>Main!D16</f>
        <v>0</v>
      </c>
      <c r="M6" s="618" t="str">
        <f>IF(MaxMode,"","In 1/2 Tolerance")</f>
        <v>In 1/2 Tolerance</v>
      </c>
      <c r="N6" s="619"/>
      <c r="O6" s="620"/>
    </row>
    <row r="7" spans="1:17" ht="13.5" thickBot="1" x14ac:dyDescent="0.25">
      <c r="B7" s="114" t="s">
        <v>27</v>
      </c>
      <c r="C7" s="55" t="str">
        <f>Main!D7</f>
        <v>Jeff Hall</v>
      </c>
      <c r="D7" s="37"/>
      <c r="E7" s="37"/>
      <c r="F7" s="37"/>
      <c r="G7" s="37"/>
      <c r="H7" s="37"/>
      <c r="I7" s="57" t="s">
        <v>165</v>
      </c>
      <c r="J7" s="606">
        <f>Main!$D$30</f>
        <v>0</v>
      </c>
      <c r="K7" s="607"/>
      <c r="L7" s="100"/>
      <c r="M7" s="605" t="s">
        <v>142</v>
      </c>
      <c r="N7" s="605"/>
      <c r="O7" s="60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26" customFormat="1" x14ac:dyDescent="0.2">
      <c r="A12" s="425"/>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UfoMpIfiN03/YTHJxNMDjTdzzkT8/dVXF9RjElwrfCYY2kVI6VfyPsIhQhEIz0OPQ+eVHVbV4moGK3UB8gNxFQ==" saltValue="zDZqyUI+IDB94BObGpn6D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21" t="s">
        <v>103</v>
      </c>
      <c r="N2" s="621"/>
      <c r="O2" s="621"/>
      <c r="P2" s="293" t="str">
        <f>IF(Main!$E$30="","A10",ADDRESS(13+Standards_Info!W2+(MATCH(Main!$E$30,Data_Sheet!$A$14:$A$903,0)),1,4))</f>
        <v>A10</v>
      </c>
      <c r="Q2" s="293">
        <f>VALUE(MID(P2, 2, LEN(P2)-1))</f>
        <v>10</v>
      </c>
    </row>
    <row r="3" spans="1:17" ht="15" x14ac:dyDescent="0.25">
      <c r="B3" s="126" t="s">
        <v>0</v>
      </c>
      <c r="C3" s="3"/>
      <c r="M3" s="609" t="s">
        <v>104</v>
      </c>
      <c r="N3" s="610"/>
      <c r="O3" s="611"/>
      <c r="P3" s="40"/>
    </row>
    <row r="4" spans="1:17" ht="15" x14ac:dyDescent="0.25">
      <c r="B4" s="113" t="s">
        <v>25</v>
      </c>
      <c r="C4" s="4"/>
      <c r="M4" s="612" t="s">
        <v>144</v>
      </c>
      <c r="N4" s="613"/>
      <c r="O4" s="614"/>
    </row>
    <row r="5" spans="1:17" x14ac:dyDescent="0.2">
      <c r="B5" s="114" t="s">
        <v>26</v>
      </c>
      <c r="C5" s="54">
        <f>Main!D3</f>
        <v>0</v>
      </c>
      <c r="D5" s="37"/>
      <c r="E5" s="37"/>
      <c r="F5" s="37"/>
      <c r="G5" s="37"/>
      <c r="H5" s="37"/>
      <c r="I5" s="52" t="s">
        <v>4</v>
      </c>
      <c r="J5" s="37" t="e">
        <f>Main!D5</f>
        <v>#N/A</v>
      </c>
      <c r="L5" s="37"/>
      <c r="M5" s="615" t="s">
        <v>143</v>
      </c>
      <c r="N5" s="616"/>
      <c r="O5" s="617"/>
    </row>
    <row r="6" spans="1:17" ht="13.5" thickBot="1" x14ac:dyDescent="0.25">
      <c r="B6" s="114" t="s">
        <v>3</v>
      </c>
      <c r="C6" s="55" t="e">
        <f>Main!D6</f>
        <v>#N/A</v>
      </c>
      <c r="D6" s="37"/>
      <c r="E6" s="37"/>
      <c r="F6" s="37"/>
      <c r="G6" s="37"/>
      <c r="H6" s="37"/>
      <c r="I6" s="52" t="s">
        <v>5</v>
      </c>
      <c r="J6" s="51">
        <f>Main!D16</f>
        <v>0</v>
      </c>
      <c r="L6" s="37"/>
      <c r="M6" s="618" t="str">
        <f>IF(MaxMode,"","In 1/2 Tolerance")</f>
        <v>In 1/2 Tolerance</v>
      </c>
      <c r="N6" s="619"/>
      <c r="O6" s="620"/>
    </row>
    <row r="7" spans="1:17" ht="13.5" thickBot="1" x14ac:dyDescent="0.25">
      <c r="B7" s="114" t="s">
        <v>27</v>
      </c>
      <c r="C7" s="55" t="str">
        <f>Main!D7</f>
        <v>Jeff Hall</v>
      </c>
      <c r="D7" s="37"/>
      <c r="E7" s="37"/>
      <c r="F7" s="37"/>
      <c r="G7" s="37"/>
      <c r="H7" s="37"/>
      <c r="I7" s="57" t="s">
        <v>165</v>
      </c>
      <c r="J7" s="606">
        <f>Main!$D$30</f>
        <v>0</v>
      </c>
      <c r="K7" s="607"/>
      <c r="L7" s="100"/>
      <c r="M7" s="605" t="s">
        <v>142</v>
      </c>
      <c r="N7" s="605"/>
      <c r="O7" s="60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26" customFormat="1" x14ac:dyDescent="0.2">
      <c r="A12" s="425"/>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cV+KNt2GbP7OJT377vW9f7bVWO1tQIh9tJK3vm7xf4adbofjy0MDpbdN/Ph+gh0FahUeQQqFJRCsGL17VBmUTw==" saltValue="Sr5PJQYS+aGrd6XTwTpLd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3" sqref="U13"/>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t="e">
        <f>IF(T1=0, 0, IF(T1 &gt; SAT_Tolerance + (1-D19)*0.4, 1, ""))</f>
        <v>#VALUE!</v>
      </c>
      <c r="T1" s="271" t="e" cm="1">
        <f t="array" ref="T1">MAX(ABS(E10:E18))</f>
        <v>#VALUE!</v>
      </c>
      <c r="U1" s="271" t="e" cm="1">
        <f t="array" ref="U1">MAX(ABS(H10:H18))</f>
        <v>#VALUE!</v>
      </c>
      <c r="X1" s="189"/>
      <c r="Y1" s="189"/>
      <c r="Z1" s="191"/>
      <c r="AA1" s="191"/>
      <c r="AB1" s="191"/>
      <c r="AC1" s="191"/>
    </row>
    <row r="2" spans="1:29" ht="18.75" customHeight="1" x14ac:dyDescent="0.25">
      <c r="H2" s="8" t="s">
        <v>8</v>
      </c>
      <c r="I2" s="6"/>
      <c r="K2" s="5"/>
      <c r="M2" s="5" t="s">
        <v>21</v>
      </c>
      <c r="O2" s="189"/>
      <c r="R2" s="271" t="e">
        <f>IF(U1=0, 0, IF(U1 &gt; SAT_Tolerance + (1-D31)*0.4, 1, ""))</f>
        <v>#VALUE!</v>
      </c>
      <c r="T2" s="271" t="e" cm="1">
        <f t="array" ref="T2">MAX(ABS(K10:K18))</f>
        <v>#VALUE!</v>
      </c>
      <c r="U2" s="271" t="e" cm="1">
        <f t="array" ref="U2">MAX(ABS(N10:N18))</f>
        <v>#VALUE!</v>
      </c>
      <c r="X2" s="189"/>
      <c r="Y2" s="189"/>
      <c r="Z2" s="191"/>
      <c r="AA2" s="191"/>
      <c r="AB2" s="191"/>
      <c r="AC2" s="191"/>
    </row>
    <row r="3" spans="1:29" ht="23.25" customHeight="1" x14ac:dyDescent="0.25">
      <c r="D3" s="30" t="s">
        <v>26</v>
      </c>
      <c r="E3" s="36">
        <f>Main!D3</f>
        <v>0</v>
      </c>
      <c r="G3" s="9"/>
      <c r="H3" s="5"/>
      <c r="J3" s="30" t="s">
        <v>41</v>
      </c>
      <c r="K3" s="10" t="e">
        <f>Main!D5</f>
        <v>#N/A</v>
      </c>
      <c r="L3" s="6"/>
      <c r="O3" s="189"/>
      <c r="R3" s="271" t="e">
        <f>IF(T2=0, 0, IF(T2 &gt; SAT_Tolerance + (1-G19)*0.4, 1, ""))</f>
        <v>#VALUE!</v>
      </c>
      <c r="T3" s="271" t="e" cm="1">
        <f t="array" ref="T3">MAX(ABS(E22:E30))</f>
        <v>#VALUE!</v>
      </c>
      <c r="U3" s="271" t="e" cm="1">
        <f t="array" ref="U3">MAX(ABS(H22:H30))</f>
        <v>#VALUE!</v>
      </c>
      <c r="X3" s="189"/>
      <c r="Y3" s="189"/>
      <c r="Z3" s="191"/>
      <c r="AA3" s="191"/>
      <c r="AB3" s="191"/>
      <c r="AC3" s="191"/>
    </row>
    <row r="4" spans="1:29" x14ac:dyDescent="0.25">
      <c r="D4" s="31" t="s">
        <v>40</v>
      </c>
      <c r="E4" s="7" t="e">
        <f>Main!D6</f>
        <v>#N/A</v>
      </c>
      <c r="H4" s="5"/>
      <c r="J4" s="31" t="s">
        <v>42</v>
      </c>
      <c r="K4" s="11">
        <f>Main!D16</f>
        <v>0</v>
      </c>
      <c r="L4" s="6"/>
      <c r="O4" s="189"/>
      <c r="R4" s="271" t="e">
        <f>IF(U2=0, 0, IF(U2 &gt; SAT_Tolerance + (1-G31)*0.4, 1, ""))</f>
        <v>#VALUE!</v>
      </c>
      <c r="T4" s="271" t="e" cm="1">
        <f t="array" ref="T4">MAX(ABS(K22:K30))</f>
        <v>#VALUE!</v>
      </c>
      <c r="U4" s="271"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1" t="e">
        <f>IF(T3=0, 0, IF(T3 &gt; SAT_Tolerance + (1-J19)*0.4, 1, ""))</f>
        <v>#VALUE!</v>
      </c>
      <c r="T5" s="273"/>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1" t="e">
        <f>IF(U3=0, 0, IF(U3 &gt; SAT_Tolerance + (1-J31)*0.4, 1, ""))</f>
        <v>#VALUE!</v>
      </c>
      <c r="T6" s="273"/>
      <c r="X6" s="189"/>
      <c r="Y6" s="189"/>
      <c r="Z6" s="191"/>
      <c r="AA6" s="191"/>
      <c r="AB6" s="191"/>
      <c r="AC6" s="191"/>
    </row>
    <row r="7" spans="1:29" x14ac:dyDescent="0.25">
      <c r="E7" s="5"/>
      <c r="F7" s="29" t="s">
        <v>11</v>
      </c>
      <c r="O7" s="189"/>
      <c r="R7" s="271" t="e">
        <f>IF(T4=0, 0, IF(T4 &gt; SAT_Tolerance + (1-M19)*0.4, 1, ""))</f>
        <v>#VALUE!</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t="e">
        <f>IF(U4=0, 0, IF(U4 &gt; SAT_Tolerance + (1-M31)*0.4, 1, ""))</f>
        <v>#VALUE!</v>
      </c>
      <c r="T8" s="273"/>
      <c r="X8" s="189"/>
      <c r="Y8" s="189"/>
      <c r="Z8" s="191"/>
      <c r="AA8" s="191"/>
      <c r="AB8" s="191"/>
      <c r="AC8" s="191"/>
    </row>
    <row r="9" spans="1:29" ht="15.75" thickBot="1" x14ac:dyDescent="0.3">
      <c r="A9" s="478" t="s">
        <v>14</v>
      </c>
      <c r="B9" s="16"/>
      <c r="C9" s="479" t="str" cm="1">
        <f t="array" ref="C9">IFERROR(_xlfn._TRO_TRAILING(Main!$B37:$C37),"")</f>
        <v/>
      </c>
      <c r="D9" s="17"/>
      <c r="E9" s="17" t="s">
        <v>15</v>
      </c>
      <c r="F9" s="479" t="str" cm="1">
        <f t="array" ref="F9">IFERROR(_xlfn._TRO_TRAILING(Main!B38:C38),"")</f>
        <v/>
      </c>
      <c r="G9" s="17"/>
      <c r="H9" s="17" t="s">
        <v>15</v>
      </c>
      <c r="I9" s="479" t="str" cm="1">
        <f t="array" ref="I9">IFERROR(_xlfn._TRO_TRAILING(Main!$B39:$C39),"")</f>
        <v/>
      </c>
      <c r="J9" s="17"/>
      <c r="K9" s="17" t="s">
        <v>15</v>
      </c>
      <c r="L9" s="479"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e">
        <f>IF(R1,D9 &amp; " IS OOT!!!","")</f>
        <v>#VALUE!</v>
      </c>
      <c r="Q10" s="477"/>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77"/>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77"/>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45" t="str">
        <f>Main!A37</f>
        <v/>
      </c>
      <c r="E19" s="12" t="str" cm="1">
        <f t="array" ref="E19">IF(OR(P16:P23=1),"CHECK READINGS!!!","")</f>
        <v/>
      </c>
      <c r="F19" s="14"/>
      <c r="G19" s="446" t="str">
        <f>Main!A38</f>
        <v/>
      </c>
      <c r="H19" s="12" t="str" cm="1">
        <f t="array" ref="H19">IF(OR(S16:S23=1),"CHECK READINGS!!!","")</f>
        <v/>
      </c>
      <c r="I19" s="14"/>
      <c r="J19" s="446" t="str">
        <f>Main!A39</f>
        <v/>
      </c>
      <c r="K19" s="14" t="str">
        <f>IF(ISNUMBER(SEARCH(".",K10)),".","")</f>
        <v/>
      </c>
      <c r="L19" s="14"/>
      <c r="M19" s="446"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78" t="s">
        <v>14</v>
      </c>
      <c r="B21" s="16"/>
      <c r="C21" s="479" t="str" cm="1">
        <f t="array" ref="C21">IFERROR(_xlfn._TRO_TRAILING(Main!$B41:$C41),"")</f>
        <v/>
      </c>
      <c r="D21" s="17"/>
      <c r="E21" s="17" t="s">
        <v>15</v>
      </c>
      <c r="F21" s="479" t="str" cm="1">
        <f t="array" ref="F21">IFERROR(_xlfn._TRO_TRAILING(Main!$B42:$C42),"")</f>
        <v/>
      </c>
      <c r="G21" s="17"/>
      <c r="H21" s="17" t="s">
        <v>15</v>
      </c>
      <c r="I21" s="479" t="str" cm="1">
        <f t="array" ref="I21">IFERROR(_xlfn._TRO_TRAILING(Main!$B43:$C43),"")</f>
        <v/>
      </c>
      <c r="J21" s="17"/>
      <c r="K21" s="17" t="s">
        <v>15</v>
      </c>
      <c r="L21" s="479"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e">
        <f>IF(R5, D21 &amp;" IS OOT!!!","")</f>
        <v>#VALUE!</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47" t="str">
        <f>Main!A41</f>
        <v/>
      </c>
      <c r="E31" s="21"/>
      <c r="F31" s="20"/>
      <c r="G31" s="447" t="str">
        <f>Main!A42</f>
        <v/>
      </c>
      <c r="H31" s="21"/>
      <c r="I31" s="20"/>
      <c r="J31" s="447" t="str">
        <f>Main!A43</f>
        <v/>
      </c>
      <c r="K31" s="21"/>
      <c r="L31" s="20"/>
      <c r="M31" s="447" t="str">
        <f>Main!A44</f>
        <v/>
      </c>
      <c r="N31" s="21"/>
    </row>
    <row r="32" spans="1:22" x14ac:dyDescent="0.25">
      <c r="C32" s="22" t="s">
        <v>16</v>
      </c>
      <c r="D32" s="625" t="s">
        <v>17</v>
      </c>
      <c r="E32" s="625"/>
      <c r="F32" s="625"/>
      <c r="G32" s="625"/>
      <c r="H32" s="625"/>
      <c r="I32" s="625"/>
      <c r="J32" s="625"/>
      <c r="K32" s="625"/>
      <c r="L32" s="625"/>
      <c r="M32" s="625"/>
    </row>
    <row r="33" spans="1:14" ht="15" customHeight="1" x14ac:dyDescent="0.25">
      <c r="D33" s="626"/>
      <c r="E33" s="626"/>
      <c r="F33" s="626"/>
      <c r="G33" s="626"/>
      <c r="H33" s="626"/>
      <c r="I33" s="626"/>
      <c r="J33" s="626"/>
      <c r="K33" s="626"/>
      <c r="L33" s="626"/>
      <c r="M33" s="626"/>
      <c r="N33" s="23"/>
    </row>
    <row r="34" spans="1:14" x14ac:dyDescent="0.25">
      <c r="A34" s="18"/>
      <c r="B34" s="18"/>
      <c r="D34" s="626"/>
      <c r="E34" s="626"/>
      <c r="F34" s="626"/>
      <c r="G34" s="626"/>
      <c r="H34" s="626"/>
      <c r="I34" s="626"/>
      <c r="J34" s="626"/>
      <c r="K34" s="626"/>
      <c r="L34" s="626"/>
      <c r="M34" s="62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27" t="s">
        <v>20</v>
      </c>
      <c r="D37" s="627"/>
      <c r="E37" s="627"/>
      <c r="F37" s="627"/>
      <c r="G37" s="627"/>
      <c r="H37" s="627"/>
      <c r="I37" s="627"/>
      <c r="J37" s="627"/>
      <c r="K37" s="627"/>
      <c r="L37" s="627"/>
      <c r="M37" s="627"/>
    </row>
    <row r="38" spans="1:14" x14ac:dyDescent="0.25">
      <c r="A38" s="18"/>
      <c r="B38" s="18"/>
      <c r="C38" s="627"/>
      <c r="D38" s="627"/>
      <c r="E38" s="627"/>
      <c r="F38" s="627"/>
      <c r="G38" s="627"/>
      <c r="H38" s="627"/>
      <c r="I38" s="627"/>
      <c r="J38" s="627"/>
      <c r="K38" s="627"/>
      <c r="L38" s="627"/>
      <c r="M38" s="627"/>
    </row>
    <row r="39" spans="1:14" x14ac:dyDescent="0.25">
      <c r="A39" s="18"/>
      <c r="B39" s="18"/>
      <c r="C39" s="627"/>
      <c r="D39" s="627"/>
      <c r="E39" s="627"/>
      <c r="F39" s="627"/>
      <c r="G39" s="627"/>
      <c r="H39" s="627"/>
      <c r="I39" s="627"/>
      <c r="J39" s="627"/>
      <c r="K39" s="627"/>
      <c r="L39" s="627"/>
      <c r="M39" s="627"/>
    </row>
    <row r="40" spans="1:14" x14ac:dyDescent="0.25">
      <c r="A40" s="18"/>
      <c r="B40" s="18"/>
      <c r="C40" s="627"/>
      <c r="D40" s="627"/>
      <c r="E40" s="627"/>
      <c r="F40" s="627"/>
      <c r="G40" s="627"/>
      <c r="H40" s="627"/>
      <c r="I40" s="627"/>
      <c r="J40" s="627"/>
      <c r="K40" s="627"/>
      <c r="L40" s="627"/>
      <c r="M40" s="62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wn+LFpCBiveAah0BmQ+nNsVluAzmsl2iaNg/4dDXRECfdCxfkiH4KqeLre0EWEkda6z5k2xIJvcW7hBDpw430Q==" saltValue="RXqXagDLJrTagIs7Uwp1RA==" spinCount="100000" sheet="1" objects="1" scenarios="1" selectLockedCells="1" autoFilter="0"/>
  <mergeCells count="2">
    <mergeCell ref="D32:M34"/>
    <mergeCell ref="C37:M40"/>
  </mergeCells>
  <phoneticPr fontId="20"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5"/>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8" t="s">
        <v>343</v>
      </c>
      <c r="I28" s="628"/>
      <c r="J28" s="628"/>
      <c r="K28" s="628"/>
      <c r="L28" s="628"/>
      <c r="M28" s="628"/>
      <c r="N28" s="628"/>
      <c r="O28" s="628"/>
      <c r="P28" s="628"/>
      <c r="Q28" s="628"/>
      <c r="R28" s="628"/>
    </row>
    <row r="29" spans="1:20" x14ac:dyDescent="0.2">
      <c r="A29" s="634" t="s">
        <v>34</v>
      </c>
      <c r="B29" s="635"/>
      <c r="C29" s="47" t="str">
        <f>IF(Main!D48="","",Main!D48)</f>
        <v/>
      </c>
      <c r="D29" s="47" t="str">
        <f>IF(Main!E48="","",Main!E48)</f>
        <v/>
      </c>
      <c r="E29" s="47" t="str">
        <f>IF(Main!F48="","",Main!F48)</f>
        <v/>
      </c>
      <c r="F29" s="47" t="str">
        <f>IF(Main!G48="","",Main!G48)</f>
        <v/>
      </c>
      <c r="G29" s="259"/>
      <c r="H29" s="256" t="s">
        <v>344</v>
      </c>
      <c r="I29" s="112" t="str">
        <f>IF(Main!N47="","",Main!N47)</f>
        <v>Periodic</v>
      </c>
      <c r="J29" s="636" t="s">
        <v>345</v>
      </c>
      <c r="K29" s="637"/>
      <c r="L29" s="112" t="str">
        <f>IF(Main!R47="","",Main!R47)</f>
        <v>Air</v>
      </c>
    </row>
    <row r="30" spans="1:20" x14ac:dyDescent="0.2">
      <c r="A30" s="634" t="s">
        <v>35</v>
      </c>
      <c r="B30" s="635"/>
      <c r="C30" s="48" t="str">
        <f>IF(Main!D49="","",Main!D49)</f>
        <v/>
      </c>
      <c r="D30" s="48" t="str">
        <f>IF(Main!E49="","",Main!E49)</f>
        <v/>
      </c>
      <c r="E30" s="48" t="str">
        <f>IF(Main!F49="","",Main!F49)</f>
        <v/>
      </c>
      <c r="F30" s="48" t="str">
        <f>IF(Main!G49="","",Main!G49)</f>
        <v/>
      </c>
      <c r="G30" s="261"/>
      <c r="H30" s="629" t="s">
        <v>331</v>
      </c>
      <c r="I30" s="629"/>
      <c r="J30" s="638" t="s">
        <v>377</v>
      </c>
      <c r="K30" s="639"/>
      <c r="L30" s="640"/>
      <c r="M30" s="254"/>
      <c r="O30" s="630" t="s">
        <v>380</v>
      </c>
      <c r="P30" s="631"/>
      <c r="Q30" s="632"/>
      <c r="T30" s="37"/>
    </row>
    <row r="31" spans="1:20" x14ac:dyDescent="0.2">
      <c r="A31" s="634" t="s">
        <v>36</v>
      </c>
      <c r="B31" s="635"/>
      <c r="C31" s="48" t="str">
        <f>IF(Main!D50="","",Main!D50)</f>
        <v/>
      </c>
      <c r="D31" s="48" t="str">
        <f>IF(Main!E50="","",Main!E50)</f>
        <v/>
      </c>
      <c r="E31" s="48" t="str">
        <f>IF(Main!F50="","",Main!F50)</f>
        <v/>
      </c>
      <c r="F31" s="48" t="str">
        <f>IF(Main!G50="","",Main!G50)</f>
        <v/>
      </c>
      <c r="G31" s="261"/>
      <c r="H31" s="242" t="s">
        <v>346</v>
      </c>
      <c r="I31" s="244" t="str">
        <f>IF(Main!N49="","",Main!N49)</f>
        <v/>
      </c>
      <c r="J31" s="653" t="s">
        <v>385</v>
      </c>
      <c r="K31" s="654"/>
      <c r="L31" s="655"/>
      <c r="M31" s="255" t="str">
        <f>IF(Main!S49="","",Main!S49)</f>
        <v>N/A</v>
      </c>
      <c r="O31" s="522" t="s">
        <v>387</v>
      </c>
      <c r="P31" s="523"/>
      <c r="Q31" s="633"/>
      <c r="R31" s="56" t="str">
        <f>IF(Main!X49="","",Main!X49)</f>
        <v>N/A</v>
      </c>
      <c r="T31" s="37"/>
    </row>
    <row r="32" spans="1:20" ht="12.75" customHeight="1" x14ac:dyDescent="0.2">
      <c r="A32" s="634" t="s">
        <v>37</v>
      </c>
      <c r="B32" s="635"/>
      <c r="C32" s="47" t="str">
        <f>IF(Main!D51="","",Main!D51)</f>
        <v/>
      </c>
      <c r="D32" s="47" t="str">
        <f>IF(Main!E51="","",Main!E51)</f>
        <v/>
      </c>
      <c r="E32" s="47" t="str">
        <f>IF(Main!F51="","",Main!F51)</f>
        <v/>
      </c>
      <c r="F32" s="47" t="str">
        <f>IF(Main!G51="","",Main!G51)</f>
        <v/>
      </c>
      <c r="G32" s="259"/>
      <c r="H32" s="242" t="s">
        <v>362</v>
      </c>
      <c r="I32" s="244" t="str">
        <f>IF(Main!N50="","",Main!N50)</f>
        <v/>
      </c>
      <c r="J32" s="644" t="s">
        <v>334</v>
      </c>
      <c r="K32" s="645"/>
      <c r="L32" s="646"/>
      <c r="M32" s="250"/>
      <c r="O32" s="644" t="s">
        <v>334</v>
      </c>
      <c r="P32" s="645"/>
      <c r="Q32" s="646"/>
      <c r="T32" s="37"/>
    </row>
    <row r="33" spans="1:20" ht="12.75" customHeight="1" x14ac:dyDescent="0.2">
      <c r="A33" s="634" t="s">
        <v>347</v>
      </c>
      <c r="B33" s="635"/>
      <c r="C33" s="47" t="str">
        <f>IF(Main!D52="","",Main!D52)</f>
        <v/>
      </c>
      <c r="D33" s="47" t="str">
        <f>IF(Main!E52="","",Main!E52)</f>
        <v/>
      </c>
      <c r="E33" s="47" t="str">
        <f>IF(Main!F52="","",Main!F52)</f>
        <v/>
      </c>
      <c r="F33" s="47" t="str">
        <f>IF(Main!G52="","",Main!G52)</f>
        <v/>
      </c>
      <c r="G33" s="259"/>
      <c r="H33" s="242" t="s">
        <v>348</v>
      </c>
      <c r="I33" s="244" t="str">
        <f>IF(Main!N51="","",Main!N51)</f>
        <v/>
      </c>
      <c r="J33" s="641" t="s">
        <v>386</v>
      </c>
      <c r="K33" s="642"/>
      <c r="L33" s="643"/>
      <c r="M33" s="249" t="str">
        <f>IF(Main!S51="","",Main!S51)</f>
        <v/>
      </c>
      <c r="O33" s="641" t="s">
        <v>388</v>
      </c>
      <c r="P33" s="642"/>
      <c r="Q33" s="643"/>
      <c r="R33" s="56" t="str">
        <f>IF(Main!X51="","",Main!X51)</f>
        <v/>
      </c>
      <c r="T33" s="37"/>
    </row>
    <row r="34" spans="1:20" ht="12.75" customHeight="1" x14ac:dyDescent="0.2">
      <c r="A34" s="634" t="s">
        <v>38</v>
      </c>
      <c r="B34" s="635"/>
      <c r="C34" s="49" t="str">
        <f>IF(Main!D53="","",Main!D53)</f>
        <v/>
      </c>
      <c r="D34" s="49" t="str">
        <f>IF(Main!E53="","",Main!E53)</f>
        <v/>
      </c>
      <c r="E34" s="49" t="str">
        <f>IF(Main!F53="","",Main!F53)</f>
        <v/>
      </c>
      <c r="F34" s="49" t="str">
        <f>IF(Main!G53="","",Main!G53)</f>
        <v/>
      </c>
      <c r="G34" s="262"/>
      <c r="H34" s="242" t="s">
        <v>349</v>
      </c>
      <c r="I34" s="241" t="str">
        <f>IF(Main!N52="","",Main!N52)</f>
        <v/>
      </c>
      <c r="J34" s="644" t="s">
        <v>334</v>
      </c>
      <c r="K34" s="645"/>
      <c r="L34" s="646"/>
      <c r="O34" s="644" t="s">
        <v>334</v>
      </c>
      <c r="P34" s="645"/>
      <c r="Q34" s="646"/>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47" t="s">
        <v>389</v>
      </c>
      <c r="K35" s="648"/>
      <c r="L35" s="649"/>
      <c r="M35" s="257" t="str">
        <f>IF(Main!S53="","",Main!S53)</f>
        <v/>
      </c>
      <c r="O35" s="647" t="s">
        <v>390</v>
      </c>
      <c r="P35" s="648"/>
      <c r="Q35" s="649"/>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50"/>
      <c r="K36" s="651"/>
      <c r="L36" s="652"/>
      <c r="M36" s="253"/>
      <c r="O36" s="650"/>
      <c r="P36" s="651"/>
      <c r="Q36" s="652"/>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f>IF(Main!P56="","",Main!P56)</f>
        <v>0</v>
      </c>
      <c r="K38" s="265" t="str">
        <f>IF(Main!Q56="","",Main!Q56)</f>
        <v/>
      </c>
      <c r="L38" s="266" t="str">
        <f>IF(Main!R56="","",Main!R56)</f>
        <v/>
      </c>
      <c r="O38" s="264">
        <f>IF(Main!U56="","",Main!U56)</f>
        <v>0</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7" ht="15.75" customHeight="1" x14ac:dyDescent="0.2">
      <c r="F50" s="250"/>
    </row>
    <row r="51" spans="6:7" x14ac:dyDescent="0.2">
      <c r="F51" s="253"/>
    </row>
    <row r="52" spans="6:7" x14ac:dyDescent="0.2">
      <c r="F52" s="253"/>
    </row>
    <row r="53" spans="6:7" x14ac:dyDescent="0.2">
      <c r="F53" s="658"/>
      <c r="G53" s="658"/>
    </row>
    <row r="54" spans="6:7" x14ac:dyDescent="0.2">
      <c r="F54" s="659"/>
      <c r="G54" s="658"/>
    </row>
    <row r="55" spans="6:7" x14ac:dyDescent="0.2">
      <c r="F55" s="658"/>
      <c r="G55" s="658"/>
    </row>
  </sheetData>
  <sheetProtection algorithmName="SHA-512" hashValue="7Gcy60J/mVSMfg6oRrk4ynWVmw4VEW/R5hXLDurZkj2eHO/WRP2aA7OI5L8dgNmozVUwdise6YSuSOMxT0lzhA==" saltValue="vdwQIw6flvDq+vdcqes+M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059078G</v>
      </c>
      <c r="D11" s="661" t="e"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#VALUE!</v>
      </c>
    </row>
    <row r="12" spans="1:14" x14ac:dyDescent="0.2">
      <c r="B12" t="str">
        <v>065908J</v>
      </c>
      <c r="D12" s="661" t="e"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#VALUE!</v>
      </c>
      <c r="G12" s="660"/>
    </row>
    <row r="13" spans="1:14" x14ac:dyDescent="0.2">
      <c r="B13" t="str">
        <v/>
      </c>
      <c r="D13" s="66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66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66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66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66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66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66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66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66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66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66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661"/>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fTg1KJyRwuBtcrRXlb+lQneYNglnnpcbLtqliSBWBNnQvgihMKJA441SvfnI++BNRCjWuCdkEd5Vq+F6AX4QVQ==" saltValue="GpmRYI/YqOeTv5rLrPEAb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6" t="s">
        <v>56</v>
      </c>
      <c r="B1" s="593"/>
      <c r="C1" s="593"/>
      <c r="D1" s="593"/>
      <c r="E1" s="34" t="s">
        <v>154</v>
      </c>
      <c r="G1" s="593" t="s">
        <v>68</v>
      </c>
      <c r="H1" s="593"/>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XakqvEN4Auey+aq0EBtY3xciewr+Rf3hNbqZ1R3nrhBedflt+xCeey8yfW+cY7lJXDA8MR3pR6F3M/oG5tJoJw==" saltValue="fTVKFNzGnCoL72mnn/xy3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86</vt:i4>
      </vt:variant>
    </vt:vector>
  </HeadingPairs>
  <TitlesOfParts>
    <vt:vector size="113"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2025-11-08T00:27:30Z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