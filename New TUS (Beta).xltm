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E64B087-662B-4CD1-AB5F-B09B176BDF32}"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7" i="8" a="1"/>
  <c r="D7" i="8" s="1"/>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33" i="8" a="1"/>
  <c r="R7" i="8" a="1"/>
  <c r="S30" i="8" a="1"/>
  <c r="S44" i="8" a="1"/>
  <c r="S28" i="8" a="1"/>
  <c r="R40" i="8" a="1"/>
  <c r="S40" i="8" a="1"/>
  <c r="R16" i="8" a="1"/>
  <c r="S34" i="8" a="1"/>
  <c r="R44" i="8" a="1"/>
  <c r="S9" i="8" a="1"/>
  <c r="R5" i="8" a="1"/>
  <c r="S20" i="8" a="1"/>
  <c r="R29" i="8" a="1"/>
  <c r="R37" i="8" a="1"/>
  <c r="S41" i="8" a="1"/>
  <c r="R35" i="8" a="1"/>
  <c r="S7" i="8" a="1"/>
  <c r="S11" i="8" a="1"/>
  <c r="R31" i="8" a="1"/>
  <c r="R25" i="8" a="1"/>
  <c r="R38" i="8" a="1"/>
  <c r="S43" i="8" a="1"/>
  <c r="S18" i="8" a="1"/>
  <c r="S14" i="8" a="1"/>
  <c r="R6" i="8" a="1"/>
  <c r="S42" i="8" a="1"/>
  <c r="R34" i="8" a="1"/>
  <c r="R9" i="8" a="1"/>
  <c r="S13" i="8" a="1"/>
  <c r="R22" i="8" a="1"/>
  <c r="S37" i="8" a="1"/>
  <c r="R8" i="8" a="1"/>
  <c r="R43" i="8" a="1"/>
  <c r="R42" i="8" a="1"/>
  <c r="S8" i="8" a="1"/>
  <c r="R39" i="8" a="1"/>
  <c r="R27" i="8" a="1"/>
  <c r="S25" i="8" a="1"/>
  <c r="R24" i="8" a="1"/>
  <c r="S24" i="8" a="1"/>
  <c r="R18" i="8" a="1"/>
  <c r="R10" i="8" a="1"/>
  <c r="R17" i="8" a="1"/>
  <c r="S15" i="8" a="1"/>
  <c r="S10" i="8" a="1"/>
  <c r="R36" i="8" a="1"/>
  <c r="S6" i="8" a="1"/>
  <c r="S39" i="8" a="1"/>
  <c r="S22" i="8" a="1"/>
  <c r="R15" i="8" a="1"/>
  <c r="R11" i="8" a="1"/>
  <c r="S32" i="8" a="1"/>
  <c r="R13" i="8" a="1"/>
  <c r="R19" i="8" a="1"/>
  <c r="S36" i="8" a="1"/>
  <c r="S23" i="8" a="1"/>
  <c r="S31" i="8" a="1"/>
  <c r="R28" i="8" a="1"/>
  <c r="R30" i="8" a="1"/>
  <c r="S26" i="8" a="1"/>
  <c r="R26" i="8" a="1"/>
  <c r="R32" i="8" a="1"/>
  <c r="S21" i="8" a="1"/>
  <c r="S17" i="8" a="1"/>
  <c r="S33" i="8" a="1"/>
  <c r="R12" i="8" a="1"/>
  <c r="S35" i="8" a="1"/>
  <c r="R41" i="8" a="1"/>
  <c r="R23" i="8" a="1"/>
  <c r="R14" i="8" a="1"/>
  <c r="R20" i="8" a="1"/>
  <c r="S38" i="8" a="1"/>
  <c r="R21" i="8" a="1"/>
  <c r="S5" i="8" a="1"/>
  <c r="S16" i="8" a="1"/>
  <c r="S19" i="8" a="1"/>
  <c r="S27" i="8" a="1"/>
  <c r="S1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<sst xmlns="http://schemas.openxmlformats.org/spreadsheetml/2006/main" count="1916" uniqueCount="953">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</sst>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protection locked="0" hidden="0"/>
    </dxf>
    <dxf>
      <protection locked="0" hidden="0"/>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6"/>
    <tableColumn id="5" xr3:uid="{412A70E1-7452-417E-A3A9-BD3499EBD33C}" uniqueName="5" name="service_date" queryTableFieldId="5" dataDxfId="5"/>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2"/>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5" dataDxfId="84">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0"/>
    <tableColumn id="19" xr3:uid="{31D68568-B5E1-4705-9496-19F08F967786}" uniqueName="19" name="Address2" queryTableFieldId="19" dataDxfId="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8"/>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3" dataDxfId="8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4" dataDxfId="13" headerRowCellStyle="Normal 2" dataCellStyle="Normal 2">
  <autoFilter ref="U11:V25" xr:uid="{DCCFF26E-EC5C-4962-98DB-A7DA1F3C8CE2}"/>
  <tableColumns count="2">
    <tableColumn id="1" xr3:uid="{DFC40837-B092-4826-9847-4A23BE22020F}" name="4" dataDxfId="12" dataCellStyle="Normal 2"/>
    <tableColumn id="2" xr3:uid="{0711DB07-19DA-4D5E-A417-C242A0304453}" name="10" dataDxfId="1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LIrRsRLIuqI7wTyWMB3We2JA3sCxlL8AaKwm6qmlgOeKfOgb6nJ+AotOmEAscIw4KdwnoPMSj2hrkh07SFvMkQ==" saltValue="s8vf13cSkeDHNGpLFUrtp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hTSPzZBDmTFBUje3CgfMPIKqdqHXx89cS2ImLIWbSy4h+06Oc2V1EaNenbRkpkyrnxmsVyNmpkwlrUk6JcKkOQ==" saltValue="G4gnV+QYSIRKDOCwQBYTd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XeiD/HwPgZeTa1CiZQhLjdxazdm4bZsAzVaGMsKUikI8JhOxHF1I3qBGf4ESKh6bo8GorfGyb565B7jD2MP2qA==" saltValue="R/BFNajKbhXs9fOfxqPMJ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952</v>
      </c>
      <c r="B1" s="341"/>
      <c r="C1" s="528" t="s">
        <v>50</v>
      </c>
      <c r="D1" s="529"/>
      <c r="E1" s="529"/>
      <c r="F1" s="529"/>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30" t="s">
        <v>102</v>
      </c>
      <c r="K3" s="531"/>
      <c r="L3" s="532"/>
      <c r="M3" s="323"/>
      <c r="N3" s="547" t="s">
        <v>91</v>
      </c>
      <c r="O3" s="547"/>
      <c r="P3" s="547"/>
      <c r="Q3" s="547"/>
      <c r="R3" s="547"/>
      <c r="S3" s="547"/>
      <c r="T3" s="324"/>
      <c r="U3" s="324"/>
      <c r="V3" s="324"/>
      <c r="W3" s="325"/>
      <c r="X3" s="325"/>
      <c r="Y3" s="325"/>
      <c r="Z3" s="325"/>
    </row>
    <row r="4" spans="1:26" x14ac:dyDescent="0.2">
      <c r="A4" s="342"/>
      <c r="B4" s="147"/>
      <c r="C4" s="148" t="s">
        <v>232</v>
      </c>
      <c r="D4" s="302" t="str">
        <f>IF(Condition="","",Condition)</f>
        <v/>
      </c>
      <c r="E4" s="323"/>
      <c r="F4" s="323"/>
      <c r="G4" s="323"/>
      <c r="H4" s="323"/>
      <c r="I4" s="323"/>
      <c r="J4" s="535" t="s">
        <v>1</v>
      </c>
      <c r="K4" s="536"/>
      <c r="L4" s="149">
        <f>IFERROR(Survey!N2,0)</f>
        <v>0</v>
      </c>
      <c r="M4" s="323"/>
      <c r="N4" s="150" t="s">
        <v>90</v>
      </c>
      <c r="O4" s="151" t="s">
        <v>89</v>
      </c>
      <c r="P4" s="533" t="s">
        <v>100</v>
      </c>
      <c r="Q4" s="534"/>
      <c r="R4" s="150" t="s">
        <v>137</v>
      </c>
      <c r="S4" s="150" t="s">
        <v>141</v>
      </c>
      <c r="T4" s="324"/>
      <c r="U4" s="326"/>
      <c r="V4" s="326"/>
      <c r="W4" s="326"/>
      <c r="X4" s="326"/>
      <c r="Y4" s="326"/>
      <c r="Z4" s="326"/>
    </row>
    <row r="5" spans="1:26" x14ac:dyDescent="0.2">
      <c r="A5" s="342"/>
      <c r="B5" s="147"/>
      <c r="C5" s="148" t="s">
        <v>41</v>
      </c>
      <c r="D5" s="551" t="e">
        <f>companyName</f>
        <v>#N/A</v>
      </c>
      <c r="E5" s="552"/>
      <c r="F5" s="552"/>
      <c r="G5" s="552"/>
      <c r="H5" s="553"/>
      <c r="I5" s="303"/>
      <c r="J5" s="535" t="s">
        <v>2</v>
      </c>
      <c r="K5" s="536"/>
      <c r="L5" s="149">
        <f>IFERROR(Survey!N3,0)</f>
        <v>0</v>
      </c>
      <c r="M5" s="323"/>
      <c r="N5" s="470">
        <v>1</v>
      </c>
      <c r="O5" s="152"/>
      <c r="P5" s="564" t="str">
        <f>VLOOKUP(N5,Alerts[],3,FALSE)</f>
        <v/>
      </c>
      <c r="Q5" s="565"/>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48" t="e">
        <f>VLOOKUP("assetName",WorkItemDetails[],2,FALSE)</f>
        <v>#N/A</v>
      </c>
      <c r="E6" s="549"/>
      <c r="F6" s="549"/>
      <c r="G6" s="549"/>
      <c r="H6" s="550"/>
      <c r="I6" s="294"/>
      <c r="J6" s="535" t="s">
        <v>101</v>
      </c>
      <c r="K6" s="536"/>
      <c r="L6" s="149">
        <f>L4-L5</f>
        <v>0</v>
      </c>
      <c r="M6" s="323"/>
      <c r="N6" s="470">
        <v>2</v>
      </c>
      <c r="O6" s="152"/>
      <c r="P6" s="564" t="str">
        <f>VLOOKUP(N6,Alerts[],3,FALSE)</f>
        <v/>
      </c>
      <c r="Q6" s="565"/>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564" t="str">
        <f>VLOOKUP(N7,Alerts[],3,FALSE)</f>
        <v/>
      </c>
      <c r="Q7" s="565"/>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564" t="str">
        <f>VLOOKUP(N8,Alerts[],3,FALSE)</f>
        <v/>
      </c>
      <c r="Q8" s="565"/>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564" t="str">
        <f>VLOOKUP(N9,Alerts[],3,FALSE)</f>
        <v/>
      </c>
      <c r="Q9" s="565"/>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564" t="str">
        <f>VLOOKUP(N10,Alerts[],3,FALSE)</f>
        <v/>
      </c>
      <c r="Q10" s="565"/>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564" t="str">
        <f>VLOOKUP(N11,Alerts[],3,FALSE)</f>
        <v/>
      </c>
      <c r="Q11" s="565"/>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564" t="str">
        <f>VLOOKUP(N12,Alerts[],3,FALSE)</f>
        <v/>
      </c>
      <c r="Q12" s="565"/>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45" t="str">
        <f>IFERROR(VLOOKUP("PoNumber",WorkItemDetails[],2,FALSE),"")</f>
        <v/>
      </c>
      <c r="L13" s="546"/>
      <c r="M13" s="323"/>
      <c r="N13" s="470">
        <v>9</v>
      </c>
      <c r="O13" s="152"/>
      <c r="P13" s="564" t="str">
        <f>VLOOKUP(N13,Alerts[],3,FALSE)</f>
        <v/>
      </c>
      <c r="Q13" s="565"/>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54"/>
      <c r="L14" s="555"/>
      <c r="M14" s="323"/>
      <c r="N14" s="470">
        <v>10</v>
      </c>
      <c r="O14" s="152"/>
      <c r="P14" s="564" t="str">
        <f>VLOOKUP(N14,Alerts[],3,FALSE)</f>
        <v/>
      </c>
      <c r="Q14" s="565"/>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39"/>
      <c r="L15" s="540"/>
      <c r="M15" s="323"/>
      <c r="N15" s="470">
        <v>11</v>
      </c>
      <c r="O15" s="152"/>
      <c r="P15" s="564" t="str">
        <f>VLOOKUP(N15,Alerts[],3,FALSE)</f>
        <v/>
      </c>
      <c r="Q15" s="565"/>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01" t="s">
        <v>165</v>
      </c>
      <c r="K16" s="502"/>
      <c r="L16" s="301"/>
      <c r="M16" s="323"/>
      <c r="N16" s="470">
        <v>12</v>
      </c>
      <c r="O16" s="152"/>
      <c r="P16" s="564" t="str">
        <f>VLOOKUP(N16,Alerts[],3,FALSE)</f>
        <v/>
      </c>
      <c r="Q16" s="565"/>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01" t="s">
        <v>166</v>
      </c>
      <c r="K17" s="502"/>
      <c r="L17" s="163" t="str">
        <f>IF(K15="SIM Load Hot",TEXT(D26,"hh:mm"),"")</f>
        <v/>
      </c>
      <c r="M17" s="323"/>
      <c r="N17" s="470">
        <v>13</v>
      </c>
      <c r="O17" s="152"/>
      <c r="P17" s="564" t="str">
        <f>VLOOKUP(N17,Alerts[],3,FALSE)</f>
        <v/>
      </c>
      <c r="Q17" s="565"/>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56" t="s">
        <v>19</v>
      </c>
      <c r="H18" s="557"/>
      <c r="I18" s="324"/>
      <c r="J18" s="350"/>
      <c r="K18" s="323"/>
      <c r="L18" s="324"/>
      <c r="M18" s="323"/>
      <c r="N18" s="470">
        <v>14</v>
      </c>
      <c r="O18" s="152"/>
      <c r="P18" s="564" t="str">
        <f>VLOOKUP(N18,Alerts[],3,FALSE)</f>
        <v/>
      </c>
      <c r="Q18" s="565"/>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37" t="str">
        <f>IF(K15="Salt",0, IF(OR(K15="Hot",K15="SIM Load Hot"),IF(OR(D26="",D28=""),"N/A",IF(ISBLANK(D26),"N/A",D28-D26)),"N/A"))</f>
        <v>N/A</v>
      </c>
      <c r="H19" s="538"/>
      <c r="I19" s="351" t="str">
        <f>IF(G19="N/A","N/A",IF(G19=0,"&lt;2",ROUND(IF(LEN(G19)&gt;3,G19*1440,RIGHT(TEXT(G19,"hh:mm"),2)),0))&amp;" MINUTES")</f>
        <v>N/A</v>
      </c>
      <c r="J19" s="350"/>
      <c r="K19" s="323"/>
      <c r="L19" s="324"/>
      <c r="M19" s="323"/>
      <c r="N19" s="470">
        <v>15</v>
      </c>
      <c r="O19" s="152"/>
      <c r="P19" s="564" t="str">
        <f>VLOOKUP(N19,Alerts[],3,FALSE)</f>
        <v/>
      </c>
      <c r="Q19" s="565"/>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41" t="str">
        <f>IF(E20=TRUE,"SAT Tolerance (per AMS2750):","SAT Tolerance (per BAC5621):")</f>
        <v>SAT Tolerance (per BAC5621):</v>
      </c>
      <c r="C20" s="542"/>
      <c r="D20" s="420" t="e">
        <f>G94</f>
        <v>#N/A</v>
      </c>
      <c r="E20" s="485" t="b">
        <v>0</v>
      </c>
      <c r="F20" s="323"/>
      <c r="G20" s="323"/>
      <c r="H20" s="323"/>
      <c r="I20" s="324"/>
      <c r="J20" s="323"/>
      <c r="K20" s="323"/>
      <c r="L20" s="324"/>
      <c r="M20" s="323"/>
      <c r="N20" s="470">
        <v>16</v>
      </c>
      <c r="O20" s="152"/>
      <c r="P20" s="564" t="str">
        <f>VLOOKUP(N20,Alerts[],3,FALSE)</f>
        <v/>
      </c>
      <c r="Q20" s="565"/>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564" t="str">
        <f>VLOOKUP(N21,Alerts[],3,FALSE)</f>
        <v/>
      </c>
      <c r="Q21" s="565"/>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564" t="str">
        <f>VLOOKUP(N22,Alerts[],3,FALSE)</f>
        <v/>
      </c>
      <c r="Q22" s="565"/>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18" t="s">
        <v>380</v>
      </c>
      <c r="H23" s="519"/>
      <c r="I23" s="519"/>
      <c r="J23" s="519"/>
      <c r="K23" s="520"/>
      <c r="L23" s="324"/>
      <c r="M23" s="323"/>
      <c r="N23" s="470">
        <v>19</v>
      </c>
      <c r="O23" s="152"/>
      <c r="P23" s="564" t="str">
        <f>VLOOKUP(N23,Alerts[],3,FALSE)</f>
        <v/>
      </c>
      <c r="Q23" s="565"/>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43" t="s">
        <v>564</v>
      </c>
      <c r="C24" s="544"/>
      <c r="D24" s="299">
        <v>1</v>
      </c>
      <c r="E24" s="323"/>
      <c r="F24" s="166" t="s">
        <v>98</v>
      </c>
      <c r="G24" s="521"/>
      <c r="H24" s="522"/>
      <c r="I24" s="522"/>
      <c r="J24" s="522"/>
      <c r="K24" s="523"/>
      <c r="L24" s="324"/>
      <c r="M24" s="323"/>
      <c r="N24" s="470">
        <v>20</v>
      </c>
      <c r="O24" s="152"/>
      <c r="P24" s="564" t="str">
        <f>VLOOKUP(N24,Alerts[],3,FALSE)</f>
        <v/>
      </c>
      <c r="Q24" s="565"/>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21"/>
      <c r="H25" s="522"/>
      <c r="I25" s="522"/>
      <c r="J25" s="522"/>
      <c r="K25" s="523"/>
      <c r="L25" s="324"/>
      <c r="M25" s="323"/>
      <c r="N25" s="470">
        <v>21</v>
      </c>
      <c r="O25" s="152"/>
      <c r="P25" s="564" t="str">
        <f>VLOOKUP(N25,Alerts[],3,FALSE)</f>
        <v/>
      </c>
      <c r="Q25" s="565"/>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564" t="str">
        <f>VLOOKUP(N26,Alerts[],3,FALSE)</f>
        <v/>
      </c>
      <c r="Q26" s="565"/>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16" t="str">
        <f>IF(ISBLANK(D6),"",IF(CheckRec="x","CHECK INSTRUMENT CAL DATES!!!!             CHECK INSTRUMENT CAL DATES!!!!",""))</f>
        <v/>
      </c>
      <c r="I27" s="517"/>
      <c r="J27" s="517"/>
      <c r="K27" s="517"/>
      <c r="L27" s="324"/>
      <c r="M27" s="323"/>
      <c r="N27" s="470">
        <v>23</v>
      </c>
      <c r="O27" s="152"/>
      <c r="P27" s="564" t="str">
        <f>VLOOKUP(N27,Alerts[],3,FALSE)</f>
        <v/>
      </c>
      <c r="Q27" s="565"/>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16"/>
      <c r="I28" s="517"/>
      <c r="J28" s="517"/>
      <c r="K28" s="517"/>
      <c r="L28" s="324"/>
      <c r="M28" s="323"/>
      <c r="N28" s="470">
        <v>24</v>
      </c>
      <c r="O28" s="152"/>
      <c r="P28" s="564" t="str">
        <f>VLOOKUP(N28,Alerts[],3,FALSE)</f>
        <v/>
      </c>
      <c r="Q28" s="565"/>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564" t="str">
        <f>VLOOKUP(N29,Alerts[],3,FALSE)</f>
        <v/>
      </c>
      <c r="Q29" s="565"/>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564" t="str">
        <f>VLOOKUP(N30,Alerts[],3,FALSE)</f>
        <v/>
      </c>
      <c r="Q30" s="565"/>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564" t="str">
        <f>VLOOKUP(N31,Alerts[],3,FALSE)</f>
        <v/>
      </c>
      <c r="Q31" s="565"/>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564" t="str">
        <f>VLOOKUP(N32,Alerts[],3,FALSE)</f>
        <v/>
      </c>
      <c r="Q32" s="565"/>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564" t="str">
        <f>VLOOKUP(N33,Alerts[],3,FALSE)</f>
        <v/>
      </c>
      <c r="Q33" s="565"/>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30" t="s">
        <v>49</v>
      </c>
      <c r="C34" s="531"/>
      <c r="D34" s="531"/>
      <c r="E34" s="531"/>
      <c r="F34" s="531"/>
      <c r="G34" s="531"/>
      <c r="H34" s="531"/>
      <c r="I34" s="531"/>
      <c r="J34" s="531"/>
      <c r="K34" s="531"/>
      <c r="L34" s="532"/>
      <c r="M34" s="323"/>
      <c r="N34" s="470">
        <v>30</v>
      </c>
      <c r="O34" s="152"/>
      <c r="P34" s="564" t="str">
        <f>VLOOKUP(N34,Alerts[],3,FALSE)</f>
        <v/>
      </c>
      <c r="Q34" s="565"/>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564" t="str">
        <f>VLOOKUP(N35,Alerts[],3,FALSE)</f>
        <v/>
      </c>
      <c r="Q35" s="565"/>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951</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564" t="str">
        <f>VLOOKUP(N36,Alerts[],3,FALSE)</f>
        <v/>
      </c>
      <c r="Q36" s="565"/>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564" t="str">
        <f>VLOOKUP(N37,Alerts[],3,FALSE)</f>
        <v/>
      </c>
      <c r="Q37" s="565"/>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564" t="str">
        <f>VLOOKUP(N38,Alerts[],3,FALSE)</f>
        <v/>
      </c>
      <c r="Q38" s="565"/>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564" t="str">
        <f>VLOOKUP(N39,Alerts[],3,FALSE)</f>
        <v/>
      </c>
      <c r="Q39" s="565"/>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564" t="str">
        <f>VLOOKUP(N40,Alerts[],3,FALSE)</f>
        <v/>
      </c>
      <c r="Q40" s="565"/>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564" t="str">
        <f>VLOOKUP(N41,Alerts[],3,FALSE)</f>
        <v/>
      </c>
      <c r="Q41" s="565"/>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564" t="str">
        <f>VLOOKUP(N42,Alerts[],3,FALSE)</f>
        <v/>
      </c>
      <c r="Q42" s="565"/>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564" t="str">
        <f>VLOOKUP(N43,Alerts[],3,FALSE)</f>
        <v/>
      </c>
      <c r="Q43" s="565"/>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564" t="str">
        <f>VLOOKUP(N44,Alerts[],3,FALSE)</f>
        <v/>
      </c>
      <c r="Q44" s="565"/>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498" t="s">
        <v>33</v>
      </c>
      <c r="E46" s="499"/>
      <c r="F46" s="499"/>
      <c r="G46" s="499"/>
      <c r="H46" s="499"/>
      <c r="I46" s="500"/>
      <c r="J46" s="368"/>
      <c r="K46" s="368"/>
      <c r="L46" s="368"/>
      <c r="M46" s="524" t="s">
        <v>332</v>
      </c>
      <c r="N46" s="525"/>
      <c r="O46" s="526"/>
      <c r="P46" s="527"/>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05" t="s">
        <v>335</v>
      </c>
      <c r="Q47" s="505"/>
      <c r="R47" s="440" t="s">
        <v>336</v>
      </c>
      <c r="S47" s="327"/>
      <c r="T47" s="327"/>
      <c r="U47" s="327"/>
    </row>
    <row r="48" spans="1:26" x14ac:dyDescent="0.2">
      <c r="A48" s="342"/>
      <c r="B48" s="366"/>
      <c r="C48" s="438" t="s">
        <v>34</v>
      </c>
      <c r="D48" s="307"/>
      <c r="E48" s="307"/>
      <c r="F48" s="307"/>
      <c r="G48" s="307"/>
      <c r="H48" s="307"/>
      <c r="I48" s="307"/>
      <c r="J48" s="368"/>
      <c r="K48" s="368"/>
      <c r="L48" s="368"/>
      <c r="M48" s="506" t="s">
        <v>337</v>
      </c>
      <c r="N48" s="506"/>
      <c r="O48" s="370"/>
      <c r="P48" s="507" t="s">
        <v>392</v>
      </c>
      <c r="Q48" s="508"/>
      <c r="R48" s="509"/>
      <c r="S48" s="371"/>
      <c r="T48" s="328"/>
      <c r="U48" s="507" t="s">
        <v>395</v>
      </c>
      <c r="V48" s="508"/>
      <c r="W48" s="509"/>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0" t="s">
        <v>397</v>
      </c>
      <c r="Q49" s="511"/>
      <c r="R49" s="512"/>
      <c r="S49" s="441"/>
      <c r="T49" s="329"/>
      <c r="U49" s="510" t="s">
        <v>396</v>
      </c>
      <c r="V49" s="511"/>
      <c r="W49" s="512"/>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13" t="s">
        <v>340</v>
      </c>
      <c r="Q50" s="514"/>
      <c r="R50" s="515"/>
      <c r="S50" s="374"/>
      <c r="T50" s="330"/>
      <c r="U50" s="513" t="s">
        <v>340</v>
      </c>
      <c r="V50" s="514"/>
      <c r="W50" s="515"/>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0" t="s">
        <v>393</v>
      </c>
      <c r="Q51" s="511"/>
      <c r="R51" s="512"/>
      <c r="S51" s="441"/>
      <c r="T51" s="331"/>
      <c r="U51" s="510" t="s">
        <v>398</v>
      </c>
      <c r="V51" s="511"/>
      <c r="W51" s="512"/>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13" t="s">
        <v>340</v>
      </c>
      <c r="Q52" s="514"/>
      <c r="R52" s="515"/>
      <c r="S52" s="374"/>
      <c r="T52" s="332"/>
      <c r="U52" s="513" t="s">
        <v>340</v>
      </c>
      <c r="V52" s="514"/>
      <c r="W52" s="515"/>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58" t="s">
        <v>394</v>
      </c>
      <c r="Q53" s="559"/>
      <c r="R53" s="560"/>
      <c r="S53" s="442"/>
      <c r="T53" s="333"/>
      <c r="U53" s="558" t="s">
        <v>399</v>
      </c>
      <c r="V53" s="559"/>
      <c r="W53" s="560"/>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61"/>
      <c r="Q54" s="562"/>
      <c r="R54" s="563"/>
      <c r="S54" s="379"/>
      <c r="T54" s="334"/>
      <c r="U54" s="561"/>
      <c r="V54" s="562"/>
      <c r="W54" s="563"/>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498" t="s">
        <v>158</v>
      </c>
      <c r="D58" s="499"/>
      <c r="E58" s="499"/>
      <c r="F58" s="499"/>
      <c r="G58" s="499"/>
      <c r="H58" s="499"/>
      <c r="I58" s="499"/>
      <c r="J58" s="499"/>
      <c r="K58" s="503"/>
      <c r="L58" s="504"/>
      <c r="M58" s="327"/>
      <c r="N58" s="327"/>
      <c r="O58" s="327"/>
      <c r="P58" s="327"/>
      <c r="Q58" s="327"/>
      <c r="R58" s="327"/>
      <c r="S58" s="327"/>
      <c r="T58" s="327"/>
      <c r="U58" s="327"/>
    </row>
    <row r="59" spans="1:24" x14ac:dyDescent="0.2">
      <c r="A59" s="342"/>
      <c r="B59" s="363"/>
      <c r="C59" s="498" t="s">
        <v>163</v>
      </c>
      <c r="D59" s="499"/>
      <c r="E59" s="499"/>
      <c r="F59" s="499"/>
      <c r="G59" s="499"/>
      <c r="H59" s="499"/>
      <c r="I59" s="499"/>
      <c r="J59" s="499"/>
      <c r="K59" s="499"/>
      <c r="L59" s="500"/>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950</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JINdOZDyrXbigaAZ7sZorlr2HjB+DOqXnhBZp4bc5SnxVO97aB68le5BZnh99LNOG+l+2AOuOxFFxA7iqF4kAw==" saltValue="C619p7kRgjHF5to7pnV5T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m2IAHNze18BuKYhSJgLz7P+OAI8/QCeN0ztKD6eEzGx/xplbnpWLJxfqEjxUMqf34/SoeQw7/yPDPDZa2CQF+Q==" saltValue="jTluNosqVeOY4Y66gWdac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xEr1uaHluKPmJpYNwyaAswvQfaAICV2ixRPKw3pyqRJaUHJPDVEU077OEKmIZjf5R06CYPeOCf92UbpV3ZdW8Q==" saltValue="ixtW5Sl+ilQS+4OnKwn6G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92" t="s">
        <v>116</v>
      </c>
      <c r="E1" s="592"/>
      <c r="F1" s="592"/>
      <c r="G1" s="592"/>
      <c r="H1" s="592"/>
      <c r="I1" s="592"/>
      <c r="J1" s="592"/>
      <c r="K1" s="592"/>
      <c r="L1" s="592"/>
      <c r="M1" s="592"/>
    </row>
    <row r="2" spans="1:18" ht="23.25" customHeight="1" x14ac:dyDescent="0.3">
      <c r="C2" s="245"/>
      <c r="D2" s="245" t="s">
        <v>325</v>
      </c>
      <c r="E2" s="245"/>
      <c r="F2" s="245"/>
      <c r="G2" s="245"/>
      <c r="H2" s="245"/>
      <c r="I2" s="245"/>
      <c r="J2" s="245"/>
      <c r="K2" s="245"/>
      <c r="L2" s="245"/>
      <c r="M2" s="245"/>
    </row>
    <row r="3" spans="1:18" ht="23.25" x14ac:dyDescent="0.35">
      <c r="C3" s="593"/>
      <c r="D3" s="593"/>
      <c r="E3" s="593"/>
      <c r="F3" s="593"/>
      <c r="G3" s="593"/>
      <c r="H3" s="593"/>
      <c r="I3" s="593"/>
      <c r="J3" s="593"/>
      <c r="K3" s="593"/>
      <c r="L3" s="593"/>
      <c r="M3" s="593"/>
    </row>
    <row r="4" spans="1:18" ht="23.25" x14ac:dyDescent="0.35">
      <c r="C4" s="229"/>
      <c r="D4" s="229"/>
      <c r="E4" s="229"/>
      <c r="F4" s="229"/>
      <c r="G4" s="229"/>
      <c r="H4" s="229"/>
      <c r="I4" s="229"/>
      <c r="J4" s="229"/>
      <c r="K4" s="229"/>
      <c r="L4" s="229"/>
      <c r="M4" s="229"/>
    </row>
    <row r="5" spans="1:18" ht="23.25" x14ac:dyDescent="0.35">
      <c r="C5" s="589" t="s">
        <v>6</v>
      </c>
      <c r="D5" s="589"/>
      <c r="E5" s="589"/>
      <c r="F5" s="589"/>
      <c r="G5" s="589"/>
      <c r="H5" s="589"/>
      <c r="I5" s="589"/>
      <c r="J5" s="589"/>
      <c r="K5" s="589"/>
      <c r="L5" s="589"/>
      <c r="M5" s="589"/>
    </row>
    <row r="6" spans="1:18" ht="23.25" x14ac:dyDescent="0.35">
      <c r="C6" s="230"/>
      <c r="D6" s="230"/>
      <c r="E6" s="608" t="str">
        <f>IFERROR(CONCATENATE("Report Number: ", WorkItemNumber),"")</f>
        <v/>
      </c>
      <c r="F6" s="608"/>
      <c r="G6" s="608"/>
      <c r="H6" s="608"/>
      <c r="I6" s="608"/>
      <c r="J6" s="608"/>
      <c r="K6" s="608"/>
      <c r="L6" s="230"/>
      <c r="M6" s="230"/>
    </row>
    <row r="7" spans="1:18" ht="18.75" customHeight="1" x14ac:dyDescent="0.3">
      <c r="G7" s="590"/>
      <c r="H7" s="590"/>
      <c r="I7" s="204"/>
      <c r="R7" t="str">
        <f>CONCATENATE("Page ",Main!L9," of ",Main!L10)</f>
        <v xml:space="preserve">Page  of </v>
      </c>
    </row>
    <row r="8" spans="1:18" ht="18" customHeight="1" x14ac:dyDescent="0.25">
      <c r="G8" s="602"/>
      <c r="H8" s="602"/>
      <c r="J8" s="84"/>
      <c r="K8" s="231" t="s">
        <v>322</v>
      </c>
      <c r="L8" s="612">
        <f>FormNumber</f>
        <v>0</v>
      </c>
      <c r="M8" s="612"/>
      <c r="N8" s="612"/>
      <c r="O8" s="612"/>
    </row>
    <row r="9" spans="1:18" ht="18" customHeight="1" x14ac:dyDescent="0.25">
      <c r="A9" s="231" t="s">
        <v>279</v>
      </c>
      <c r="B9" s="34" t="e">
        <f>Main!D5</f>
        <v>#N/A</v>
      </c>
      <c r="J9" s="84"/>
      <c r="K9" s="231" t="s">
        <v>323</v>
      </c>
      <c r="L9" s="604">
        <f>CalMethod</f>
        <v>0</v>
      </c>
      <c r="M9" s="604"/>
      <c r="N9" s="604"/>
      <c r="O9" s="604"/>
    </row>
    <row r="10" spans="1:18" ht="18" customHeight="1" x14ac:dyDescent="0.25">
      <c r="A10" s="93"/>
      <c r="B10" s="226" t="str" cm="1">
        <f t="array" ref="B10">IFERROR(_xlfn.XLOOKUP(clientCompanyId,customers_table[company_id],customers_table[Address1]),"")</f>
        <v/>
      </c>
      <c r="J10" s="84"/>
      <c r="K10" s="231"/>
      <c r="L10" s="604"/>
      <c r="M10" s="604"/>
      <c r="N10" s="604"/>
      <c r="O10" s="604"/>
    </row>
    <row r="11" spans="1:18" ht="18" customHeight="1" x14ac:dyDescent="0.25">
      <c r="A11" s="93"/>
      <c r="B11" s="226" t="str" cm="1">
        <f t="array" ref="B11">IFERROR(_xlfn.XLOOKUP(clientCompanyId,customers_table[company_id],customers_table[Merged]),"")</f>
        <v/>
      </c>
      <c r="J11" s="84"/>
      <c r="K11" s="231" t="s">
        <v>324</v>
      </c>
      <c r="L11" s="612">
        <f>TolSource</f>
        <v>0</v>
      </c>
      <c r="M11" s="612"/>
      <c r="N11" s="612"/>
      <c r="O11" s="61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5">
        <f>SerialNumber</f>
        <v>0</v>
      </c>
      <c r="C16" s="605"/>
      <c r="D16" s="605"/>
      <c r="E16" s="605"/>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6">
        <f>Class</f>
        <v>0</v>
      </c>
      <c r="C18" s="596"/>
      <c r="D18" s="596"/>
      <c r="E18" s="596"/>
      <c r="G18" s="231" t="s">
        <v>289</v>
      </c>
      <c r="H18" s="235">
        <f>CubicFeet</f>
        <v>0</v>
      </c>
      <c r="M18" s="231" t="s">
        <v>293</v>
      </c>
      <c r="N18" s="235" t="str">
        <f>Main!G18</f>
        <v>ACCEPTED</v>
      </c>
      <c r="O18" s="210"/>
    </row>
    <row r="19" spans="1:19" ht="18" customHeight="1" x14ac:dyDescent="0.25">
      <c r="A19" s="221"/>
      <c r="B19" s="597"/>
      <c r="C19" s="597"/>
      <c r="D19" s="597"/>
      <c r="E19" s="597"/>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6">
        <f>Controller</f>
        <v>0</v>
      </c>
      <c r="C21" s="606"/>
      <c r="D21" s="606"/>
      <c r="E21" s="606"/>
      <c r="F21" s="222" t="s">
        <v>296</v>
      </c>
      <c r="G21" s="606">
        <f>ContSN</f>
        <v>0</v>
      </c>
      <c r="H21" s="606"/>
      <c r="I21" s="606"/>
      <c r="J21" s="222" t="s">
        <v>297</v>
      </c>
      <c r="K21" s="234">
        <f>ContTol</f>
        <v>0</v>
      </c>
      <c r="L21" s="208"/>
      <c r="M21" s="222" t="s">
        <v>298</v>
      </c>
      <c r="N21" s="247" t="str">
        <f>Main!G27</f>
        <v/>
      </c>
      <c r="O21" s="209"/>
    </row>
    <row r="22" spans="1:19" ht="18" customHeight="1" x14ac:dyDescent="0.25">
      <c r="A22" s="240" t="s">
        <v>295</v>
      </c>
      <c r="B22" s="607">
        <f>_xlnm.Recorder</f>
        <v>0</v>
      </c>
      <c r="C22" s="607"/>
      <c r="D22" s="607"/>
      <c r="E22" s="607"/>
      <c r="F22" s="223" t="s">
        <v>296</v>
      </c>
      <c r="G22" s="607">
        <f>RecSN</f>
        <v>0</v>
      </c>
      <c r="H22" s="607"/>
      <c r="I22" s="607"/>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3" t="s">
        <v>307</v>
      </c>
      <c r="D27" s="603"/>
      <c r="E27" s="603"/>
      <c r="F27" s="603"/>
      <c r="G27" s="603"/>
      <c r="H27" s="603"/>
      <c r="I27" s="603"/>
      <c r="J27" s="603"/>
      <c r="K27" s="603"/>
      <c r="L27" s="603"/>
      <c r="M27" s="603"/>
      <c r="N27" s="211"/>
      <c r="O27" s="212"/>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7"/>
      <c r="B30" s="217">
        <f>TestLocation</f>
        <v>0</v>
      </c>
      <c r="C30" s="228"/>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50" t="s">
        <v>309</v>
      </c>
      <c r="B32" s="591" t="s">
        <v>310</v>
      </c>
      <c r="C32" s="591"/>
      <c r="D32" s="250" t="s">
        <v>273</v>
      </c>
      <c r="E32" s="250" t="s">
        <v>272</v>
      </c>
      <c r="F32" s="250" t="s">
        <v>311</v>
      </c>
      <c r="G32" s="84"/>
      <c r="H32" s="84"/>
      <c r="I32" s="250" t="s">
        <v>309</v>
      </c>
      <c r="J32" s="591" t="s">
        <v>310</v>
      </c>
      <c r="K32" s="591"/>
      <c r="L32" s="250" t="s">
        <v>273</v>
      </c>
      <c r="M32" s="250" t="s">
        <v>272</v>
      </c>
      <c r="N32" s="250" t="s">
        <v>311</v>
      </c>
    </row>
    <row r="33" spans="1:14" ht="18" customHeight="1" x14ac:dyDescent="0.2">
      <c r="A33" s="251" t="str">
        <f>IF(B33="","",1)</f>
        <v/>
      </c>
      <c r="B33" s="590" t="str">
        <f>IF(Main!O5="","",Main!O5)</f>
        <v/>
      </c>
      <c r="C33" s="590"/>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90" t="str">
        <f>IF(Main!O25="","",Main!O25)</f>
        <v/>
      </c>
      <c r="K33" s="590"/>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90" t="str">
        <f>IF(Main!O6="","",Main!O6)</f>
        <v/>
      </c>
      <c r="C34" s="590"/>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90" t="str">
        <f>IF(Main!O26="","",Main!O26)</f>
        <v/>
      </c>
      <c r="K34" s="590"/>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90" t="str">
        <f>IF(Main!O7="","",Main!O7)</f>
        <v/>
      </c>
      <c r="C35" s="590"/>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90" t="str">
        <f>IF(Main!O27="","",Main!O27)</f>
        <v/>
      </c>
      <c r="K35" s="590"/>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90" t="str">
        <f>IF(Main!O8="","",Main!O8)</f>
        <v/>
      </c>
      <c r="C36" s="590"/>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90" t="str">
        <f>IF(Main!O28="","",Main!O28)</f>
        <v/>
      </c>
      <c r="K36" s="590"/>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90" t="str">
        <f>IF(Main!O9="","",Main!O9)</f>
        <v/>
      </c>
      <c r="C37" s="590"/>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90" t="str">
        <f>IF(Main!O29="","",Main!O29)</f>
        <v/>
      </c>
      <c r="K37" s="590"/>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90" t="str">
        <f>IF(Main!O10="","",Main!O10)</f>
        <v/>
      </c>
      <c r="C38" s="590"/>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90" t="str">
        <f>IF(Main!O30="","",Main!O30)</f>
        <v/>
      </c>
      <c r="K38" s="590"/>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90" t="str">
        <f>IF(Main!O11="","",Main!O11)</f>
        <v/>
      </c>
      <c r="C39" s="590"/>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90" t="str">
        <f>IF(Main!O31="","",Main!O31)</f>
        <v/>
      </c>
      <c r="K39" s="590"/>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90" t="str">
        <f>IF(Main!O12="","",Main!O12)</f>
        <v/>
      </c>
      <c r="C40" s="590"/>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90" t="str">
        <f>IF(Main!O32="","",Main!O32)</f>
        <v/>
      </c>
      <c r="K40" s="590"/>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90" t="str">
        <f>IF(Main!O13="","",Main!O13)</f>
        <v/>
      </c>
      <c r="C41" s="590"/>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90" t="str">
        <f>IF(Main!O33="","",Main!O33)</f>
        <v/>
      </c>
      <c r="K41" s="590"/>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90" t="str">
        <f>IF(Main!O14="","",Main!O14)</f>
        <v/>
      </c>
      <c r="C42" s="590"/>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90" t="str">
        <f>IF(Main!O34="","",Main!O34)</f>
        <v/>
      </c>
      <c r="K42" s="590"/>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90" t="str">
        <f>IF(Main!O15="","",Main!O15)</f>
        <v/>
      </c>
      <c r="C43" s="590"/>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90" t="str">
        <f>IF(Main!O35="","",Main!O35)</f>
        <v/>
      </c>
      <c r="K43" s="590"/>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90" t="str">
        <f>IF(Main!O16="","",Main!O16)</f>
        <v/>
      </c>
      <c r="C44" s="590"/>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90" t="str">
        <f>IF(Main!O36="","",Main!O36)</f>
        <v/>
      </c>
      <c r="K44" s="590"/>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90" t="str">
        <f>IF(Main!O17="","",Main!O17)</f>
        <v/>
      </c>
      <c r="C45" s="590"/>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90" t="str">
        <f>IF(Main!O37="","",Main!O37)</f>
        <v/>
      </c>
      <c r="K45" s="590"/>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90" t="str">
        <f>IF(Main!O18="","",Main!O18)</f>
        <v/>
      </c>
      <c r="C46" s="590"/>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90" t="str">
        <f>IF(Main!O38="","",Main!O38)</f>
        <v/>
      </c>
      <c r="K46" s="590"/>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90" t="str">
        <f>IF(Main!O19="","",Main!O19)</f>
        <v/>
      </c>
      <c r="C47" s="590"/>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90" t="str">
        <f>IF(Main!O39="","",Main!O39)</f>
        <v/>
      </c>
      <c r="K47" s="590"/>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90" t="str">
        <f>IF(Main!O20="","",Main!O20)</f>
        <v/>
      </c>
      <c r="C48" s="590"/>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90" t="str">
        <f>IF(Main!O40="","",Main!O40)</f>
        <v/>
      </c>
      <c r="K48" s="590"/>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90" t="str">
        <f>IF(Main!O21="","",Main!O21)</f>
        <v/>
      </c>
      <c r="C49" s="590"/>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90" t="str">
        <f>IF(Main!O41="","",Main!O41)</f>
        <v/>
      </c>
      <c r="K49" s="590"/>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90" t="str">
        <f>IF(Main!O22="","",Main!O22)</f>
        <v/>
      </c>
      <c r="C50" s="590"/>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90" t="str">
        <f>IF(Main!O42="","",Main!O42)</f>
        <v/>
      </c>
      <c r="K50" s="590"/>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90" t="str">
        <f>IF(Main!O23="","",Main!O23)</f>
        <v/>
      </c>
      <c r="C51" s="590"/>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90" t="str">
        <f>IF(Main!O43="","",Main!O43)</f>
        <v/>
      </c>
      <c r="K51" s="590"/>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90" t="str">
        <f>IF(Main!O24="","",Main!O24)</f>
        <v/>
      </c>
      <c r="C52" s="590"/>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90" t="str">
        <f>IF(Main!O44="","",Main!O44)</f>
        <v/>
      </c>
      <c r="K52" s="590"/>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3"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81"/>
      <c r="B55" s="604"/>
      <c r="C55" s="604"/>
      <c r="D55" s="604"/>
      <c r="E55" s="604"/>
      <c r="F55" s="604"/>
      <c r="G55" s="604"/>
      <c r="H55" s="604"/>
      <c r="I55" s="604"/>
      <c r="J55" s="604"/>
      <c r="K55" s="604"/>
      <c r="L55" s="604"/>
      <c r="M55" s="604"/>
      <c r="N55" s="604"/>
      <c r="O55" s="604"/>
    </row>
    <row r="56" spans="1:20" ht="18" customHeight="1" x14ac:dyDescent="0.25">
      <c r="A56" s="81"/>
      <c r="B56" s="604"/>
      <c r="C56" s="604"/>
      <c r="D56" s="604"/>
      <c r="E56" s="604"/>
      <c r="F56" s="604"/>
      <c r="G56" s="604"/>
      <c r="H56" s="604"/>
      <c r="I56" s="604"/>
      <c r="J56" s="604"/>
      <c r="K56" s="604"/>
      <c r="L56" s="604"/>
      <c r="M56" s="604"/>
      <c r="N56" s="604"/>
      <c r="O56" s="604"/>
    </row>
    <row r="57" spans="1:20" ht="18" customHeight="1" x14ac:dyDescent="0.25">
      <c r="A57" s="81"/>
      <c r="B57" s="604"/>
      <c r="C57" s="604"/>
      <c r="D57" s="604"/>
      <c r="E57" s="604"/>
      <c r="F57" s="604"/>
      <c r="G57" s="604"/>
      <c r="H57" s="604"/>
      <c r="I57" s="604"/>
      <c r="J57" s="604"/>
      <c r="K57" s="604"/>
      <c r="L57" s="604"/>
      <c r="M57" s="604"/>
      <c r="N57" s="604"/>
      <c r="O57" s="604"/>
    </row>
    <row r="58" spans="1:20" ht="18" customHeight="1" x14ac:dyDescent="0.25">
      <c r="A58" s="81"/>
      <c r="B58" s="604"/>
      <c r="C58" s="604"/>
      <c r="D58" s="604"/>
      <c r="E58" s="604"/>
      <c r="F58" s="604"/>
      <c r="G58" s="604"/>
      <c r="H58" s="604"/>
      <c r="I58" s="604"/>
      <c r="J58" s="604"/>
      <c r="K58" s="604"/>
      <c r="L58" s="604"/>
      <c r="M58" s="604"/>
      <c r="N58" s="604"/>
      <c r="O58" s="604"/>
    </row>
    <row r="59" spans="1:20" ht="18" customHeight="1" x14ac:dyDescent="0.25">
      <c r="A59" s="81"/>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884</v>
      </c>
      <c r="T61" s="39" t="s">
        <v>885</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2E35ZgWObjfyo5APNNZIQFOHCiwdKo0Zz5hlMIwxBP3Hn6R0dUxwBijZ7iX/ehQA/B+iVOaV8adoZOGjQWoaSw==" saltValue="YBBT0xiFLv75BJ3/gUBGA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h2FU/4ljITIUiWwoH3YNrhqkKNAjBfJS7UtPnycjBT+eTKAxyE7eBG1XPwdFOWv9cSoCFOBsMvg6xdi5tO0ErA==" saltValue="d0UuyLEvugh3A3v88LT7H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9" priority="1">
      <formula>AND(ROW() &gt;= $Q$1, ROW() &lt;= $Q$2)</formula>
    </cfRule>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Qs21Ctn0hDmVCAPrnLg8phUmE+Vaq4gNZvdiTJiWuZmrTNkM8F+asZO6ffUiKGxJ7tbTil0Ru6HCaqa6mhm2uA==" saltValue="63SELmUD5w5hjXptvazYX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pN5R0KzfJSYK0pkn1zHYEGj0CcOC3VXRcn6yxvc7SZ7p8XhCddYSQrpBahMHWmmqJKHTUpTs4N2OUQKJj9KpZQ==" saltValue="rnIkuXoMngi+vTImK/Lfj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9" priority="2" stopIfTrue="1" operator="between">
      <formula>$E$1</formula>
      <formula>$E$2</formula>
    </cfRule>
    <cfRule type="cellIs" dxfId="68" priority="3" stopIfTrue="1" operator="greaterThan">
      <formula>$C$2</formula>
    </cfRule>
    <cfRule type="cellIs" dxfId="67" priority="4" stopIfTrue="1" operator="lessThan">
      <formula>$C$1</formula>
    </cfRule>
    <cfRule type="cellIs" dxfId="66" priority="6" stopIfTrue="1" operator="greaterThanOrEqual">
      <formula>$C$1</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94"/>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joZYMVadkAKELbmBJmcBrBoEzix0EZXsMrvhURatX7A/iZcj644MXRRaQrg8m9Vy80PS37HzV4GLi0IkcIxf2Q==" saltValue="dXBjTqLVnwVIe+8S80YmBg==" spinCount="100000" sheet="1" objects="1" scenarios="1" selectLockedCells="1" autoFilter="0"/>
  <mergeCells count="2">
    <mergeCell ref="D32:M34"/>
    <mergeCell ref="C37:M40"/>
  </mergeCells>
  <phoneticPr fontId="20"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8">
    <cfRule type="expression" dxfId="60" priority="61">
      <formula>ISERROR(SEARCH(1,$G$19))</formula>
    </cfRule>
    <cfRule type="expression" dxfId="59" priority="62">
      <formula>ISNUMBER(SEARCH(1,$G$19))</formula>
    </cfRule>
  </conditionalFormatting>
  <conditionalFormatting sqref="J14:J18">
    <cfRule type="expression" dxfId="58" priority="57">
      <formula>ISERROR(SEARCH(1,$J$19))</formula>
    </cfRule>
    <cfRule type="expression" dxfId="57" priority="58">
      <formula>ISNUMBER(SEARCH(1,$J$19))</formula>
    </cfRule>
  </conditionalFormatting>
  <conditionalFormatting sqref="M14:M18">
    <cfRule type="expression" dxfId="56" priority="53">
      <formula>ISERROR(SEARCH(1,$M$19))</formula>
    </cfRule>
    <cfRule type="expression" dxfId="55" priority="54">
      <formula>ISNUMBER(SEARCH(1,$M$19))</formula>
    </cfRule>
  </conditionalFormatting>
  <conditionalFormatting sqref="G26:G30">
    <cfRule type="expression" dxfId="54" priority="45">
      <formula>ISERROR(SEARCH(1,$G$31))</formula>
    </cfRule>
    <cfRule type="expression" dxfId="53" priority="46">
      <formula>ISNUMBER(SEARCH(1,$G$31))</formula>
    </cfRule>
  </conditionalFormatting>
  <conditionalFormatting sqref="J26:J30">
    <cfRule type="expression" dxfId="52" priority="41">
      <formula>ISERROR(SEARCH(1,$J$31))</formula>
    </cfRule>
    <cfRule type="expression" dxfId="51" priority="42">
      <formula>ISNUMBER(SEARCH(1,$J$31))</formula>
    </cfRule>
  </conditionalFormatting>
  <conditionalFormatting sqref="M26:M30">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D10">
    <cfRule type="expression" dxfId="44" priority="29">
      <formula>ISERROR(SEARCH(1,$G$19))</formula>
    </cfRule>
    <cfRule type="expression" dxfId="43" priority="30">
      <formula>ISNUMBER(SEARCH(1,$G$19))</formula>
    </cfRule>
  </conditionalFormatting>
  <conditionalFormatting sqref="G11:G13">
    <cfRule type="expression" dxfId="42" priority="27">
      <formula>ISERROR(SEARCH(1,$G$19))</formula>
    </cfRule>
    <cfRule type="expression" dxfId="41" priority="28">
      <formula>ISNUMBER(SEARCH(1,$G$19))</formula>
    </cfRule>
  </conditionalFormatting>
  <conditionalFormatting sqref="G10">
    <cfRule type="expression" dxfId="40" priority="25">
      <formula>ISERROR(SEARCH(1,$G$19))</formula>
    </cfRule>
    <cfRule type="expression" dxfId="39" priority="26">
      <formula>ISNUMBER(SEARCH(1,$G$19))</formula>
    </cfRule>
  </conditionalFormatting>
  <conditionalFormatting sqref="J11:J13">
    <cfRule type="expression" dxfId="38" priority="23">
      <formula>ISERROR(SEARCH(1,$G$19))</formula>
    </cfRule>
    <cfRule type="expression" dxfId="37" priority="24">
      <formula>ISNUMBER(SEARCH(1,$G$19))</formula>
    </cfRule>
  </conditionalFormatting>
  <conditionalFormatting sqref="J10">
    <cfRule type="expression" dxfId="36" priority="21">
      <formula>ISERROR(SEARCH(1,$G$19))</formula>
    </cfRule>
    <cfRule type="expression" dxfId="35" priority="22">
      <formula>ISNUMBER(SEARCH(1,$G$19))</formula>
    </cfRule>
  </conditionalFormatting>
  <conditionalFormatting sqref="M11:M13">
    <cfRule type="expression" dxfId="34" priority="19">
      <formula>ISERROR(SEARCH(1,$G$19))</formula>
    </cfRule>
    <cfRule type="expression" dxfId="33" priority="20">
      <formula>ISNUMBER(SEARCH(1,$G$19))</formula>
    </cfRule>
  </conditionalFormatting>
  <conditionalFormatting sqref="M10">
    <cfRule type="expression" dxfId="32" priority="17">
      <formula>ISERROR(SEARCH(1,$G$19))</formula>
    </cfRule>
    <cfRule type="expression" dxfId="31" priority="18">
      <formula>ISNUMBER(SEARCH(1,$G$19))</formula>
    </cfRule>
  </conditionalFormatting>
  <conditionalFormatting sqref="D23:D25">
    <cfRule type="expression" dxfId="30" priority="15">
      <formula>ISERROR(SEARCH(1,$G$19))</formula>
    </cfRule>
    <cfRule type="expression" dxfId="29" priority="16">
      <formula>ISNUMBER(SEARCH(1,$G$19))</formula>
    </cfRule>
  </conditionalFormatting>
  <conditionalFormatting sqref="D22">
    <cfRule type="expression" dxfId="28" priority="13">
      <formula>ISERROR(SEARCH(1,$G$19))</formula>
    </cfRule>
    <cfRule type="expression" dxfId="27" priority="14">
      <formula>ISNUMBER(SEARCH(1,$G$19))</formula>
    </cfRule>
  </conditionalFormatting>
  <conditionalFormatting sqref="G23:G25">
    <cfRule type="expression" dxfId="26" priority="11">
      <formula>ISERROR(SEARCH(1,$G$19))</formula>
    </cfRule>
    <cfRule type="expression" dxfId="25" priority="12">
      <formula>ISNUMBER(SEARCH(1,$G$19))</formula>
    </cfRule>
  </conditionalFormatting>
  <conditionalFormatting sqref="G22">
    <cfRule type="expression" dxfId="24" priority="9">
      <formula>ISERROR(SEARCH(1,$G$19))</formula>
    </cfRule>
    <cfRule type="expression" dxfId="23" priority="10">
      <formula>ISNUMBER(SEARCH(1,$G$19))</formula>
    </cfRule>
  </conditionalFormatting>
  <conditionalFormatting sqref="J23:J25">
    <cfRule type="expression" dxfId="22" priority="7">
      <formula>ISERROR(SEARCH(1,$G$19))</formula>
    </cfRule>
    <cfRule type="expression" dxfId="21" priority="8">
      <formula>ISNUMBER(SEARCH(1,$G$19))</formula>
    </cfRule>
  </conditionalFormatting>
  <conditionalFormatting sqref="J22">
    <cfRule type="expression" dxfId="20" priority="5">
      <formula>ISERROR(SEARCH(1,$G$19))</formula>
    </cfRule>
    <cfRule type="expression" dxfId="19" priority="6">
      <formula>ISNUMBER(SEARCH(1,$G$19))</formula>
    </cfRule>
  </conditionalFormatting>
  <conditionalFormatting sqref="M23:M25">
    <cfRule type="expression" dxfId="18" priority="3">
      <formula>ISERROR(SEARCH(1,$G$19))</formula>
    </cfRule>
    <cfRule type="expression" dxfId="17" priority="4">
      <formula>ISNUMBER(SEARCH(1,$G$19))</formula>
    </cfRule>
  </conditionalFormatting>
  <conditionalFormatting sqref="M22">
    <cfRule type="expression" dxfId="16" priority="1">
      <formula>ISERROR(SEARCH(1,$G$19))</formula>
    </cfRule>
    <cfRule type="expression" dxfId="1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44" t="s">
        <v>351</v>
      </c>
      <c r="K29" s="645"/>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37" t="s">
        <v>337</v>
      </c>
      <c r="I30" s="637"/>
      <c r="J30" s="646" t="s">
        <v>392</v>
      </c>
      <c r="K30" s="647"/>
      <c r="L30" s="648"/>
      <c r="M30" s="269"/>
      <c r="O30" s="638" t="s">
        <v>395</v>
      </c>
      <c r="P30" s="639"/>
      <c r="Q30" s="640"/>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61" t="s">
        <v>400</v>
      </c>
      <c r="K31" s="662"/>
      <c r="L31" s="663"/>
      <c r="M31" s="270" t="str">
        <f>IF(Main!S49="","",Main!S49)</f>
        <v/>
      </c>
      <c r="O31" s="524" t="s">
        <v>402</v>
      </c>
      <c r="P31" s="525"/>
      <c r="Q31" s="641"/>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52" t="s">
        <v>340</v>
      </c>
      <c r="K32" s="653"/>
      <c r="L32" s="654"/>
      <c r="M32" s="265"/>
      <c r="O32" s="652" t="s">
        <v>340</v>
      </c>
      <c r="P32" s="653"/>
      <c r="Q32" s="654"/>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49" t="s">
        <v>401</v>
      </c>
      <c r="K33" s="650"/>
      <c r="L33" s="651"/>
      <c r="M33" s="264" t="str">
        <f>IF(Main!S51="","",Main!S51)</f>
        <v/>
      </c>
      <c r="O33" s="649" t="s">
        <v>403</v>
      </c>
      <c r="P33" s="650"/>
      <c r="Q33" s="651"/>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52" t="s">
        <v>340</v>
      </c>
      <c r="K34" s="653"/>
      <c r="L34" s="654"/>
      <c r="O34" s="652" t="s">
        <v>340</v>
      </c>
      <c r="P34" s="653"/>
      <c r="Q34" s="654"/>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5" t="s">
        <v>404</v>
      </c>
      <c r="K35" s="656"/>
      <c r="L35" s="657"/>
      <c r="M35" s="273" t="str">
        <f>IF(Main!S53="","",Main!S53)</f>
        <v/>
      </c>
      <c r="O35" s="655" t="s">
        <v>405</v>
      </c>
      <c r="P35" s="656"/>
      <c r="Q35" s="657"/>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8"/>
      <c r="K36" s="659"/>
      <c r="L36" s="660"/>
      <c r="M36" s="268"/>
      <c r="O36" s="658"/>
      <c r="P36" s="659"/>
      <c r="Q36" s="660"/>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IFEp8TmXvIIOeZANf764BJjmfxv76dpi22fEQIJ2+dBkNEQTKGUk0qFM/RetMuqAURiaFNeubf6xQslcXsKWqw==" saltValue="3N5cWoZBb9/H5d2pedaXr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ODJLyyVuvhaI5O4FzCgvUZfvjqQ5KfmMp6dzR92H2jxt8En/lB9RWYM30vvQVeGasKSuXWc37paMlk29YctpJg==" saltValue="ZL6yWkvqOJcflj6tI7Dzi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if/YfmGjBHmcs7KRHHtw8mK78Ial8GQ9cvEjduA75Kv4DgpYdtQAH5isA1OWftU0PeeGwAEY1Q8X8pzX8fzyWw==" saltValue="5EUyhaemuXqyozcuo7kIm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2025-07-08T17:07:24Z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