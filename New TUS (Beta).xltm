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89E5BB0-7890-4F84-A4AA-9F437BD86982}"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_xlpm.Δt" hidden="1" xlm="1">#NAME?</definedName>
    <definedName name="AssetId" comment="Client Asset Id">WorkItemDetails!$D$2</definedName>
    <definedName name="Assets_GetAssetByAssetPool" localSheetId="20"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DaqbookServiceRecords!$A$1:$B$39</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12" hidden="1">AggregatedUUTRangeTol!$A$1:$C$405</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J8" i="95"/>
  <c r="J9" i="95"/>
  <c r="J10" i="95"/>
  <c r="J11" i="95"/>
  <c r="K11" i="95" s="1"/>
  <c r="J12" i="95"/>
  <c r="J13" i="95"/>
  <c r="J14" i="95"/>
  <c r="J15" i="95"/>
  <c r="J16" i="95"/>
  <c r="K16" i="95" s="1"/>
  <c r="J17" i="95"/>
  <c r="K17" i="95" s="1"/>
  <c r="J18" i="95"/>
  <c r="K18" i="95" s="1"/>
  <c r="J19" i="95"/>
  <c r="J20" i="95"/>
  <c r="K20" i="95" s="1"/>
  <c r="J21" i="95"/>
  <c r="K21" i="95" s="1"/>
  <c r="J22" i="95"/>
  <c r="K22" i="95" s="1"/>
  <c r="J23" i="95"/>
  <c r="K23" i="95" s="1"/>
  <c r="J24" i="95"/>
  <c r="K24" i="95" s="1"/>
  <c r="J25" i="95"/>
  <c r="K25" i="95" s="1"/>
  <c r="J26" i="95"/>
  <c r="K26" i="95" s="1"/>
  <c r="J27" i="95"/>
  <c r="J28" i="95"/>
  <c r="K28" i="95" s="1"/>
  <c r="J29" i="95"/>
  <c r="K29" i="95" s="1"/>
  <c r="J30" i="95"/>
  <c r="K30" i="95" s="1"/>
  <c r="J31" i="95"/>
  <c r="K31" i="95" s="1"/>
  <c r="J32" i="95"/>
  <c r="J33" i="95"/>
  <c r="J34" i="95"/>
  <c r="K34" i="95" s="1"/>
  <c r="J35" i="95"/>
  <c r="K35" i="95" s="1"/>
  <c r="J36" i="95"/>
  <c r="J37" i="95"/>
  <c r="J38" i="95"/>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J52" i="95"/>
  <c r="J53" i="95"/>
  <c r="J54" i="95"/>
  <c r="K54" i="95" s="1"/>
  <c r="J55" i="95"/>
  <c r="K55" i="95" s="1"/>
  <c r="J56" i="95"/>
  <c r="K56" i="95" s="1"/>
  <c r="J57" i="95"/>
  <c r="K57" i="95" s="1"/>
  <c r="J58" i="95"/>
  <c r="K58" i="95" s="1"/>
  <c r="J59" i="95"/>
  <c r="J60" i="95"/>
  <c r="K60" i="95" s="1"/>
  <c r="J61" i="95"/>
  <c r="K61" i="95" s="1"/>
  <c r="J62" i="95"/>
  <c r="K62" i="95" s="1"/>
  <c r="J63" i="95"/>
  <c r="K63" i="95" s="1"/>
  <c r="J64" i="95"/>
  <c r="J65" i="95"/>
  <c r="J66" i="95"/>
  <c r="J67" i="95"/>
  <c r="J68" i="95"/>
  <c r="J69" i="95"/>
  <c r="J70" i="95"/>
  <c r="J71" i="95"/>
  <c r="J72" i="95"/>
  <c r="J73" i="95"/>
  <c r="J74" i="95"/>
  <c r="J75" i="95"/>
  <c r="K75" i="95" s="1"/>
  <c r="J76" i="95"/>
  <c r="K76" i="95" s="1"/>
  <c r="J77" i="95"/>
  <c r="K77" i="95" s="1"/>
  <c r="J78" i="95"/>
  <c r="K78" i="95" s="1"/>
  <c r="J79" i="95"/>
  <c r="K79" i="95" s="1"/>
  <c r="J80" i="95"/>
  <c r="K80" i="95" s="1"/>
  <c r="J81" i="95"/>
  <c r="K81" i="95" s="1"/>
  <c r="J82" i="95"/>
  <c r="K82" i="95" s="1"/>
  <c r="J83" i="95"/>
  <c r="J84" i="95"/>
  <c r="K84" i="95" s="1"/>
  <c r="J85" i="95"/>
  <c r="K85" i="95" s="1"/>
  <c r="J86" i="95"/>
  <c r="K86" i="95" s="1"/>
  <c r="J87" i="95"/>
  <c r="K87" i="95" s="1"/>
  <c r="J88" i="95"/>
  <c r="K88" i="95" s="1"/>
  <c r="J89" i="95"/>
  <c r="K89" i="95" s="1"/>
  <c r="J90" i="95"/>
  <c r="K90" i="95" s="1"/>
  <c r="J91" i="95"/>
  <c r="J92" i="95"/>
  <c r="K92" i="95" s="1"/>
  <c r="J93" i="95"/>
  <c r="K93" i="95" s="1"/>
  <c r="J94" i="95"/>
  <c r="K94" i="95" s="1"/>
  <c r="J95" i="95"/>
  <c r="K95" i="95" s="1"/>
  <c r="J96" i="95"/>
  <c r="J97" i="95"/>
  <c r="J98" i="95"/>
  <c r="J99" i="95"/>
  <c r="J100" i="95"/>
  <c r="J101" i="95"/>
  <c r="J102" i="95"/>
  <c r="J103" i="95"/>
  <c r="J104" i="95"/>
  <c r="J105" i="95"/>
  <c r="J106" i="95"/>
  <c r="J107" i="95"/>
  <c r="K107" i="95" s="1"/>
  <c r="J108" i="95"/>
  <c r="K108" i="95" s="1"/>
  <c r="J109" i="95"/>
  <c r="K109" i="95" s="1"/>
  <c r="J110" i="95"/>
  <c r="K110" i="95" s="1"/>
  <c r="J111" i="95"/>
  <c r="K111" i="95" s="1"/>
  <c r="J112" i="95"/>
  <c r="K112" i="95" s="1"/>
  <c r="J113" i="95"/>
  <c r="K113" i="95" s="1"/>
  <c r="J114" i="95"/>
  <c r="K114" i="95" s="1"/>
  <c r="J115" i="95"/>
  <c r="J116" i="95"/>
  <c r="J117" i="95"/>
  <c r="J118" i="95"/>
  <c r="J119" i="95"/>
  <c r="J120" i="95"/>
  <c r="K120" i="95" s="1"/>
  <c r="J121" i="95"/>
  <c r="K121" i="95" s="1"/>
  <c r="J122" i="95"/>
  <c r="K122" i="95" s="1"/>
  <c r="J123" i="95"/>
  <c r="J124" i="95"/>
  <c r="K124" i="95" s="1"/>
  <c r="J125" i="95"/>
  <c r="K125" i="95" s="1"/>
  <c r="J126" i="95"/>
  <c r="K126" i="95" s="1"/>
  <c r="J127" i="95"/>
  <c r="K127" i="95" s="1"/>
  <c r="J128" i="95"/>
  <c r="J129" i="95"/>
  <c r="J130" i="95"/>
  <c r="J131" i="95"/>
  <c r="K131" i="95" s="1"/>
  <c r="J132" i="95"/>
  <c r="K132" i="95" s="1"/>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J148" i="95"/>
  <c r="J149" i="95"/>
  <c r="J150" i="95"/>
  <c r="J151" i="95"/>
  <c r="J152" i="95"/>
  <c r="K152" i="95" s="1"/>
  <c r="J153" i="95"/>
  <c r="K153" i="95" s="1"/>
  <c r="J154" i="95"/>
  <c r="K154" i="95" s="1"/>
  <c r="J155" i="95"/>
  <c r="J156" i="95"/>
  <c r="K156" i="95" s="1"/>
  <c r="J157" i="95"/>
  <c r="K157" i="95" s="1"/>
  <c r="J158" i="95"/>
  <c r="K158" i="95" s="1"/>
  <c r="J159" i="95"/>
  <c r="K159" i="95" s="1"/>
  <c r="J160" i="95"/>
  <c r="J161" i="95"/>
  <c r="J162" i="95"/>
  <c r="J163" i="95"/>
  <c r="J164" i="95"/>
  <c r="J165" i="95"/>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J188" i="95"/>
  <c r="K188" i="95" s="1"/>
  <c r="J189" i="95"/>
  <c r="K189" i="95" s="1"/>
  <c r="J190" i="95"/>
  <c r="K190" i="95" s="1"/>
  <c r="J191" i="95"/>
  <c r="K191" i="95" s="1"/>
  <c r="J192" i="95"/>
  <c r="J193" i="95"/>
  <c r="J194" i="95"/>
  <c r="J195" i="95"/>
  <c r="J196" i="95"/>
  <c r="J197" i="95"/>
  <c r="J198" i="95"/>
  <c r="J199" i="95"/>
  <c r="K199" i="95" s="1"/>
  <c r="J200" i="95"/>
  <c r="J201" i="95"/>
  <c r="J202" i="95"/>
  <c r="J203" i="95"/>
  <c r="K203" i="95" s="1"/>
  <c r="J204" i="95"/>
  <c r="J205" i="95"/>
  <c r="J206" i="95"/>
  <c r="J207" i="95"/>
  <c r="J208" i="95"/>
  <c r="K208" i="95" s="1"/>
  <c r="J209" i="95"/>
  <c r="K209" i="95" s="1"/>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J228" i="95"/>
  <c r="J229" i="95"/>
  <c r="J230" i="95"/>
  <c r="J231" i="95"/>
  <c r="J232" i="95"/>
  <c r="J233" i="95"/>
  <c r="J234" i="95"/>
  <c r="J235" i="95"/>
  <c r="K235" i="95" s="1"/>
  <c r="J236" i="95"/>
  <c r="J237" i="95"/>
  <c r="J238" i="95"/>
  <c r="J239" i="95"/>
  <c r="J240" i="95"/>
  <c r="K240" i="95" s="1"/>
  <c r="J241" i="95"/>
  <c r="K241" i="95" s="1"/>
  <c r="J242" i="95"/>
  <c r="K242" i="95" s="1"/>
  <c r="J243" i="95"/>
  <c r="J244" i="95"/>
  <c r="K244" i="95" s="1"/>
  <c r="J245" i="95"/>
  <c r="K245" i="95" s="1"/>
  <c r="J246" i="95"/>
  <c r="K246" i="95" s="1"/>
  <c r="J247" i="95"/>
  <c r="K247" i="95" s="1"/>
  <c r="J248" i="95"/>
  <c r="K248" i="95" s="1"/>
  <c r="J249" i="95"/>
  <c r="K249" i="95" s="1"/>
  <c r="J250" i="95"/>
  <c r="K250" i="95" s="1"/>
  <c r="J251" i="95"/>
  <c r="J252" i="95"/>
  <c r="K252" i="95" s="1"/>
  <c r="J253" i="95"/>
  <c r="K253" i="95" s="1"/>
  <c r="J254" i="95"/>
  <c r="K254" i="95" s="1"/>
  <c r="J255" i="95"/>
  <c r="K255" i="95" s="1"/>
  <c r="J256" i="95"/>
  <c r="J257" i="95"/>
  <c r="J258" i="95"/>
  <c r="J259" i="95"/>
  <c r="K259" i="95" s="1"/>
  <c r="J260" i="95"/>
  <c r="K260" i="95" s="1"/>
  <c r="J261" i="95"/>
  <c r="J262" i="95"/>
  <c r="J263" i="95"/>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J276" i="95"/>
  <c r="K276" i="95" s="1"/>
  <c r="J277" i="95"/>
  <c r="K277" i="95" s="1"/>
  <c r="J278" i="95"/>
  <c r="K278" i="95" s="1"/>
  <c r="J279" i="95"/>
  <c r="K279" i="95" s="1"/>
  <c r="J280" i="95"/>
  <c r="K280" i="95" s="1"/>
  <c r="J281" i="95"/>
  <c r="K281" i="95" s="1"/>
  <c r="J282" i="95"/>
  <c r="K282" i="95" s="1"/>
  <c r="J283" i="95"/>
  <c r="J284" i="95"/>
  <c r="K284" i="95" s="1"/>
  <c r="J285" i="95"/>
  <c r="K285" i="95" s="1"/>
  <c r="J286" i="95"/>
  <c r="K286" i="95" s="1"/>
  <c r="J287" i="95"/>
  <c r="K287" i="95" s="1"/>
  <c r="J288" i="95"/>
  <c r="J289" i="95"/>
  <c r="J290" i="95"/>
  <c r="J291" i="95"/>
  <c r="J292" i="95"/>
  <c r="J293" i="95"/>
  <c r="J294" i="95"/>
  <c r="J295" i="95"/>
  <c r="J296" i="95"/>
  <c r="J297" i="95"/>
  <c r="J298" i="95"/>
  <c r="J299" i="95"/>
  <c r="K299" i="95" s="1"/>
  <c r="J300" i="95"/>
  <c r="J301" i="95"/>
  <c r="K301" i="95" s="1"/>
  <c r="J302" i="95"/>
  <c r="K302" i="95" s="1"/>
  <c r="J303" i="95"/>
  <c r="K303" i="95" s="1"/>
  <c r="J304" i="95"/>
  <c r="K304" i="95" s="1"/>
  <c r="J305" i="95"/>
  <c r="K305" i="95" s="1"/>
  <c r="J306" i="95"/>
  <c r="K306" i="95" s="1"/>
  <c r="J307" i="95"/>
  <c r="J308" i="95"/>
  <c r="J309" i="95"/>
  <c r="K309" i="95" s="1"/>
  <c r="J310" i="95"/>
  <c r="K310" i="95" s="1"/>
  <c r="J311" i="95"/>
  <c r="K311" i="95" s="1"/>
  <c r="J312" i="95"/>
  <c r="K312" i="95" s="1"/>
  <c r="J313" i="95"/>
  <c r="K313" i="95" s="1"/>
  <c r="J314" i="95"/>
  <c r="K314" i="95" s="1"/>
  <c r="J315" i="95"/>
  <c r="J316" i="95"/>
  <c r="K316" i="95" s="1"/>
  <c r="J317" i="95"/>
  <c r="K317" i="95" s="1"/>
  <c r="J318" i="95"/>
  <c r="K318" i="95" s="1"/>
  <c r="J319" i="95"/>
  <c r="K319" i="95" s="1"/>
  <c r="J320" i="95"/>
  <c r="J321" i="95"/>
  <c r="J322" i="95"/>
  <c r="J323" i="95"/>
  <c r="J324" i="95"/>
  <c r="J325" i="95"/>
  <c r="J326" i="95"/>
  <c r="J327" i="95"/>
  <c r="J328" i="95"/>
  <c r="J329" i="95"/>
  <c r="J330" i="95"/>
  <c r="J331" i="95"/>
  <c r="K331" i="95" s="1"/>
  <c r="J332" i="95"/>
  <c r="J333" i="95"/>
  <c r="J334" i="95"/>
  <c r="J335" i="95"/>
  <c r="K335" i="95" s="1"/>
  <c r="J336" i="95"/>
  <c r="K336" i="95" s="1"/>
  <c r="J337" i="95"/>
  <c r="K337" i="95" s="1"/>
  <c r="J338" i="95"/>
  <c r="K338" i="95" s="1"/>
  <c r="J339" i="95"/>
  <c r="J340" i="95"/>
  <c r="J341" i="95"/>
  <c r="J342" i="95"/>
  <c r="J343" i="95"/>
  <c r="J344" i="95"/>
  <c r="J345" i="95"/>
  <c r="K345" i="95" s="1"/>
  <c r="J346" i="95"/>
  <c r="K346" i="95" s="1"/>
  <c r="J347" i="95"/>
  <c r="J348" i="95"/>
  <c r="K348" i="95" s="1"/>
  <c r="J349" i="95"/>
  <c r="K349" i="95" s="1"/>
  <c r="J350" i="95"/>
  <c r="K350" i="95" s="1"/>
  <c r="J351" i="95"/>
  <c r="K351" i="95" s="1"/>
  <c r="J352" i="95"/>
  <c r="K352" i="95" s="1"/>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J372" i="95"/>
  <c r="J373" i="95"/>
  <c r="J374" i="95"/>
  <c r="J375" i="95"/>
  <c r="J376" i="95"/>
  <c r="J377" i="95"/>
  <c r="K377" i="95" s="1"/>
  <c r="J378" i="95"/>
  <c r="K378" i="95" s="1"/>
  <c r="J379" i="95"/>
  <c r="J380" i="95"/>
  <c r="K380" i="95" s="1"/>
  <c r="J381" i="95"/>
  <c r="K381" i="95" s="1"/>
  <c r="J382" i="95"/>
  <c r="K382" i="95" s="1"/>
  <c r="J383" i="95"/>
  <c r="K383" i="95" s="1"/>
  <c r="J384" i="95"/>
  <c r="J385" i="95"/>
  <c r="J386" i="95"/>
  <c r="J387" i="95"/>
  <c r="J388" i="95"/>
  <c r="J389" i="95"/>
  <c r="J390" i="95"/>
  <c r="J391" i="95"/>
  <c r="J392" i="95"/>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J412" i="95"/>
  <c r="K412" i="95" s="1"/>
  <c r="J413" i="95"/>
  <c r="K413" i="95" s="1"/>
  <c r="J414" i="95"/>
  <c r="K414" i="95" s="1"/>
  <c r="J415" i="95"/>
  <c r="K415" i="95" s="1"/>
  <c r="J416" i="95"/>
  <c r="J417" i="95"/>
  <c r="J418" i="95"/>
  <c r="J419" i="95"/>
  <c r="K2" i="95"/>
  <c r="K3" i="95"/>
  <c r="K4" i="95"/>
  <c r="K5" i="95"/>
  <c r="K6" i="95"/>
  <c r="K7" i="95"/>
  <c r="K8" i="95"/>
  <c r="K9" i="95"/>
  <c r="K10" i="95"/>
  <c r="K12" i="95"/>
  <c r="K13" i="95"/>
  <c r="K14" i="95"/>
  <c r="K15" i="95"/>
  <c r="K19" i="95"/>
  <c r="K27" i="95"/>
  <c r="K32" i="95"/>
  <c r="K33" i="95"/>
  <c r="K36" i="95"/>
  <c r="K37" i="95"/>
  <c r="K38" i="95"/>
  <c r="K51" i="95"/>
  <c r="K52" i="95"/>
  <c r="K53" i="95"/>
  <c r="K59" i="95"/>
  <c r="K64" i="95"/>
  <c r="K65" i="95"/>
  <c r="K66" i="95"/>
  <c r="K67" i="95"/>
  <c r="K68" i="95"/>
  <c r="K69" i="95"/>
  <c r="K70" i="95"/>
  <c r="K71" i="95"/>
  <c r="K72" i="95"/>
  <c r="K73" i="95"/>
  <c r="K74" i="95"/>
  <c r="K83" i="95"/>
  <c r="K91" i="95"/>
  <c r="K96" i="95"/>
  <c r="K97" i="95"/>
  <c r="K98" i="95"/>
  <c r="K99" i="95"/>
  <c r="K100" i="95"/>
  <c r="K101" i="95"/>
  <c r="K102" i="95"/>
  <c r="K103" i="95"/>
  <c r="K104" i="95"/>
  <c r="K105" i="95"/>
  <c r="K106" i="95"/>
  <c r="K115" i="95"/>
  <c r="K116" i="95"/>
  <c r="K117" i="95"/>
  <c r="K118" i="95"/>
  <c r="K119" i="95"/>
  <c r="K123" i="95"/>
  <c r="K128" i="95"/>
  <c r="K129" i="95"/>
  <c r="K130" i="95"/>
  <c r="K147" i="95"/>
  <c r="K148" i="95"/>
  <c r="K149" i="95"/>
  <c r="K150" i="95"/>
  <c r="K151" i="95"/>
  <c r="K155" i="95"/>
  <c r="K160" i="95"/>
  <c r="K161" i="95"/>
  <c r="K162" i="95"/>
  <c r="K163" i="95"/>
  <c r="K164" i="95"/>
  <c r="K165" i="95"/>
  <c r="K187" i="95"/>
  <c r="K192" i="95"/>
  <c r="K193" i="95"/>
  <c r="K194" i="95"/>
  <c r="K195" i="95"/>
  <c r="K196" i="95"/>
  <c r="K197" i="95"/>
  <c r="K198" i="95"/>
  <c r="K200" i="95"/>
  <c r="K201" i="95"/>
  <c r="K202" i="95"/>
  <c r="K204" i="95"/>
  <c r="K205" i="95"/>
  <c r="K206" i="95"/>
  <c r="K207" i="95"/>
  <c r="K224" i="95"/>
  <c r="K225" i="95"/>
  <c r="K226" i="95"/>
  <c r="K227" i="95"/>
  <c r="K228" i="95"/>
  <c r="K229" i="95"/>
  <c r="K230" i="95"/>
  <c r="K231" i="95"/>
  <c r="K232" i="95"/>
  <c r="K233" i="95"/>
  <c r="K234" i="95"/>
  <c r="K236" i="95"/>
  <c r="K237" i="95"/>
  <c r="K238" i="95"/>
  <c r="K239" i="95"/>
  <c r="K243" i="95"/>
  <c r="K251" i="95"/>
  <c r="K257" i="95"/>
  <c r="K258" i="95"/>
  <c r="K261" i="95"/>
  <c r="K262" i="95"/>
  <c r="K263" i="95"/>
  <c r="K275" i="95"/>
  <c r="K283" i="95"/>
  <c r="K288" i="95"/>
  <c r="K289" i="95"/>
  <c r="K290" i="95"/>
  <c r="K291" i="95"/>
  <c r="K292" i="95"/>
  <c r="K293" i="95"/>
  <c r="K294" i="95"/>
  <c r="K295" i="95"/>
  <c r="K296" i="95"/>
  <c r="K297" i="95"/>
  <c r="K298" i="95"/>
  <c r="K300" i="95"/>
  <c r="K307" i="95"/>
  <c r="K308" i="95"/>
  <c r="K315" i="95"/>
  <c r="K322" i="95"/>
  <c r="K323" i="95"/>
  <c r="K324" i="95"/>
  <c r="K325" i="95"/>
  <c r="K326" i="95"/>
  <c r="K327" i="95"/>
  <c r="K328" i="95"/>
  <c r="K329" i="95"/>
  <c r="K330" i="95"/>
  <c r="K332" i="95"/>
  <c r="K333" i="95"/>
  <c r="K334" i="95"/>
  <c r="K339" i="95"/>
  <c r="K340" i="95"/>
  <c r="K341" i="95"/>
  <c r="K342" i="95"/>
  <c r="K343" i="95"/>
  <c r="K344" i="95"/>
  <c r="K347" i="95"/>
  <c r="K353" i="95"/>
  <c r="K354" i="95"/>
  <c r="K355" i="95"/>
  <c r="K356" i="95"/>
  <c r="K371" i="95"/>
  <c r="K372" i="95"/>
  <c r="K373" i="95"/>
  <c r="K374" i="95"/>
  <c r="K375" i="95"/>
  <c r="K376" i="95"/>
  <c r="K379" i="95"/>
  <c r="K384" i="95"/>
  <c r="K385" i="95"/>
  <c r="K386" i="95"/>
  <c r="K387" i="95"/>
  <c r="K388" i="95"/>
  <c r="K389" i="95"/>
  <c r="K390" i="95"/>
  <c r="K391" i="95"/>
  <c r="K392" i="95"/>
  <c r="K411" i="95"/>
  <c r="K416" i="95"/>
  <c r="K417" i="95"/>
  <c r="K418" i="95"/>
  <c r="K419" i="95"/>
  <c r="L2" i="95"/>
  <c r="L3" i="95"/>
  <c r="L4" i="95"/>
  <c r="L5" i="95"/>
  <c r="M5" i="95" s="1"/>
  <c r="L6" i="95"/>
  <c r="M6" i="95" s="1"/>
  <c r="L7" i="95"/>
  <c r="M7" i="95" s="1"/>
  <c r="L8" i="95"/>
  <c r="L9" i="95"/>
  <c r="L10" i="95"/>
  <c r="L11" i="95"/>
  <c r="L12" i="95"/>
  <c r="M12" i="95" s="1"/>
  <c r="L13" i="95"/>
  <c r="M13" i="95" s="1"/>
  <c r="L14" i="95"/>
  <c r="M14" i="95" s="1"/>
  <c r="L15" i="95"/>
  <c r="M15" i="95" s="1"/>
  <c r="L16" i="95"/>
  <c r="L17" i="95"/>
  <c r="L18" i="95"/>
  <c r="M18" i="95" s="1"/>
  <c r="L19" i="95"/>
  <c r="M19" i="95" s="1"/>
  <c r="L20" i="95"/>
  <c r="M20" i="95" s="1"/>
  <c r="L21" i="95"/>
  <c r="M21" i="95" s="1"/>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L41" i="95"/>
  <c r="L42" i="95"/>
  <c r="L43" i="95"/>
  <c r="L44" i="95"/>
  <c r="M44" i="95" s="1"/>
  <c r="L45" i="95"/>
  <c r="M45" i="95" s="1"/>
  <c r="L46" i="95"/>
  <c r="M46" i="95" s="1"/>
  <c r="L47" i="95"/>
  <c r="M47" i="95" s="1"/>
  <c r="L48" i="95"/>
  <c r="L49" i="95"/>
  <c r="L50" i="95"/>
  <c r="L51" i="95"/>
  <c r="M51" i="95" s="1"/>
  <c r="L52" i="95"/>
  <c r="M52" i="95" s="1"/>
  <c r="L53" i="95"/>
  <c r="M53" i="95" s="1"/>
  <c r="L54" i="95"/>
  <c r="L55" i="95"/>
  <c r="L56" i="95"/>
  <c r="M56" i="95" s="1"/>
  <c r="L57" i="95"/>
  <c r="M57" i="95" s="1"/>
  <c r="L58" i="95"/>
  <c r="M58" i="95" s="1"/>
  <c r="L59" i="95"/>
  <c r="M59" i="95" s="1"/>
  <c r="L60" i="95"/>
  <c r="L61" i="95"/>
  <c r="L62" i="95"/>
  <c r="L63" i="95"/>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L81" i="95"/>
  <c r="L82" i="95"/>
  <c r="L83" i="95"/>
  <c r="L84" i="95"/>
  <c r="L85" i="95"/>
  <c r="M85" i="95" s="1"/>
  <c r="L86" i="95"/>
  <c r="L87" i="95"/>
  <c r="L88" i="95"/>
  <c r="M88" i="95" s="1"/>
  <c r="L89" i="95"/>
  <c r="M89" i="95" s="1"/>
  <c r="L90" i="95"/>
  <c r="M90" i="95" s="1"/>
  <c r="L91" i="95"/>
  <c r="M91" i="95" s="1"/>
  <c r="L92" i="95"/>
  <c r="L93" i="95"/>
  <c r="L94" i="95"/>
  <c r="L95" i="95"/>
  <c r="L96" i="95"/>
  <c r="M96" i="95" s="1"/>
  <c r="L97" i="95"/>
  <c r="M97" i="95" s="1"/>
  <c r="L98" i="95"/>
  <c r="M98" i="95" s="1"/>
  <c r="L99" i="95"/>
  <c r="M99" i="95" s="1"/>
  <c r="L100" i="95"/>
  <c r="M100" i="95" s="1"/>
  <c r="L101" i="95"/>
  <c r="M101" i="95" s="1"/>
  <c r="L102" i="95"/>
  <c r="M102" i="95" s="1"/>
  <c r="L103" i="95"/>
  <c r="M103" i="95" s="1"/>
  <c r="L104" i="95"/>
  <c r="L105" i="95"/>
  <c r="L106" i="95"/>
  <c r="M106" i="95" s="1"/>
  <c r="L107" i="95"/>
  <c r="M107" i="95" s="1"/>
  <c r="L108" i="95"/>
  <c r="M108" i="95" s="1"/>
  <c r="L109" i="95"/>
  <c r="M109" i="95" s="1"/>
  <c r="L110" i="95"/>
  <c r="M110" i="95" s="1"/>
  <c r="L111" i="95"/>
  <c r="M111" i="95" s="1"/>
  <c r="L112" i="95"/>
  <c r="L113" i="95"/>
  <c r="L114" i="95"/>
  <c r="M114" i="95" s="1"/>
  <c r="L115" i="95"/>
  <c r="M115" i="95" s="1"/>
  <c r="L116" i="95"/>
  <c r="M116" i="95" s="1"/>
  <c r="L117" i="95"/>
  <c r="M117" i="95" s="1"/>
  <c r="L118" i="95"/>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L137" i="95"/>
  <c r="L138" i="95"/>
  <c r="M138" i="95" s="1"/>
  <c r="L139" i="95"/>
  <c r="M139" i="95" s="1"/>
  <c r="L140" i="95"/>
  <c r="M140" i="95" s="1"/>
  <c r="L141" i="95"/>
  <c r="M141" i="95" s="1"/>
  <c r="L142" i="95"/>
  <c r="M142" i="95" s="1"/>
  <c r="L143" i="95"/>
  <c r="M143" i="95" s="1"/>
  <c r="L144" i="95"/>
  <c r="L145" i="95"/>
  <c r="L146" i="95"/>
  <c r="L147" i="95"/>
  <c r="L148" i="95"/>
  <c r="L149" i="95"/>
  <c r="M149" i="95" s="1"/>
  <c r="L150" i="95"/>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L169" i="95"/>
  <c r="M169" i="95" s="1"/>
  <c r="L170" i="95"/>
  <c r="M170" i="95" s="1"/>
  <c r="L171" i="95"/>
  <c r="M171" i="95" s="1"/>
  <c r="L172" i="95"/>
  <c r="M172" i="95" s="1"/>
  <c r="L173" i="95"/>
  <c r="M173" i="95" s="1"/>
  <c r="L174" i="95"/>
  <c r="M174" i="95" s="1"/>
  <c r="L175" i="95"/>
  <c r="M175" i="95" s="1"/>
  <c r="L176" i="95"/>
  <c r="L177" i="95"/>
  <c r="L178" i="95"/>
  <c r="L179" i="95"/>
  <c r="L180" i="95"/>
  <c r="L181" i="95"/>
  <c r="M181" i="95" s="1"/>
  <c r="L182" i="95"/>
  <c r="L183" i="95"/>
  <c r="L184" i="95"/>
  <c r="M184" i="95" s="1"/>
  <c r="L185" i="95"/>
  <c r="M185" i="95" s="1"/>
  <c r="L186" i="95"/>
  <c r="M186" i="95" s="1"/>
  <c r="L187" i="95"/>
  <c r="M187" i="95" s="1"/>
  <c r="L188" i="95"/>
  <c r="M188" i="95" s="1"/>
  <c r="L189" i="95"/>
  <c r="L190" i="95"/>
  <c r="L191" i="95"/>
  <c r="L192" i="95"/>
  <c r="L193" i="95"/>
  <c r="L194" i="95"/>
  <c r="L195" i="95"/>
  <c r="L196" i="95"/>
  <c r="M196" i="95" s="1"/>
  <c r="L197" i="95"/>
  <c r="M197" i="95" s="1"/>
  <c r="L198" i="95"/>
  <c r="M198" i="95" s="1"/>
  <c r="L199" i="95"/>
  <c r="M199" i="95" s="1"/>
  <c r="L200" i="95"/>
  <c r="L201" i="95"/>
  <c r="L202" i="95"/>
  <c r="M202" i="95" s="1"/>
  <c r="L203" i="95"/>
  <c r="M203" i="95" s="1"/>
  <c r="L204" i="95"/>
  <c r="M204" i="95" s="1"/>
  <c r="L205" i="95"/>
  <c r="M205" i="95" s="1"/>
  <c r="L206" i="95"/>
  <c r="M206" i="95" s="1"/>
  <c r="L207" i="95"/>
  <c r="M207" i="95" s="1"/>
  <c r="L208" i="95"/>
  <c r="L209" i="95"/>
  <c r="L210" i="95"/>
  <c r="L211" i="95"/>
  <c r="M211" i="95" s="1"/>
  <c r="L212" i="95"/>
  <c r="M212" i="95" s="1"/>
  <c r="L213" i="95"/>
  <c r="M213" i="95" s="1"/>
  <c r="L214" i="95"/>
  <c r="L215" i="95"/>
  <c r="L216" i="95"/>
  <c r="M216" i="95" s="1"/>
  <c r="L217" i="95"/>
  <c r="M217" i="95" s="1"/>
  <c r="L218" i="95"/>
  <c r="M218" i="95" s="1"/>
  <c r="L219" i="95"/>
  <c r="M219" i="95" s="1"/>
  <c r="L220" i="95"/>
  <c r="L221" i="95"/>
  <c r="L222" i="95"/>
  <c r="L223" i="95"/>
  <c r="L224" i="95"/>
  <c r="L225" i="95"/>
  <c r="L226" i="95"/>
  <c r="L227" i="95"/>
  <c r="L228" i="95"/>
  <c r="M228" i="95" s="1"/>
  <c r="L229" i="95"/>
  <c r="M229" i="95" s="1"/>
  <c r="L230" i="95"/>
  <c r="M230" i="95" s="1"/>
  <c r="L231" i="95"/>
  <c r="M231" i="95" s="1"/>
  <c r="L232" i="95"/>
  <c r="L233" i="95"/>
  <c r="L234" i="95"/>
  <c r="L235" i="95"/>
  <c r="L236" i="95"/>
  <c r="M236" i="95" s="1"/>
  <c r="L237" i="95"/>
  <c r="M237" i="95" s="1"/>
  <c r="L238" i="95"/>
  <c r="M238" i="95" s="1"/>
  <c r="L239" i="95"/>
  <c r="M239" i="95" s="1"/>
  <c r="L240" i="95"/>
  <c r="L241" i="95"/>
  <c r="M241" i="95" s="1"/>
  <c r="L242" i="95"/>
  <c r="M242" i="95" s="1"/>
  <c r="L243" i="95"/>
  <c r="M243" i="95" s="1"/>
  <c r="L244" i="95"/>
  <c r="M244" i="95" s="1"/>
  <c r="L245" i="95"/>
  <c r="M245" i="95" s="1"/>
  <c r="L246" i="95"/>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L265" i="95"/>
  <c r="L266" i="95"/>
  <c r="L267" i="95"/>
  <c r="L268" i="95"/>
  <c r="M268" i="95" s="1"/>
  <c r="L269" i="95"/>
  <c r="M269" i="95" s="1"/>
  <c r="L270" i="95"/>
  <c r="M270" i="95" s="1"/>
  <c r="L271" i="95"/>
  <c r="M271" i="95" s="1"/>
  <c r="L272" i="95"/>
  <c r="L273" i="95"/>
  <c r="L274" i="95"/>
  <c r="L275" i="95"/>
  <c r="L276" i="95"/>
  <c r="L277" i="95"/>
  <c r="M277" i="95" s="1"/>
  <c r="L278" i="95"/>
  <c r="L279" i="95"/>
  <c r="L280" i="95"/>
  <c r="M280" i="95" s="1"/>
  <c r="L281" i="95"/>
  <c r="M281" i="95" s="1"/>
  <c r="L282" i="95"/>
  <c r="M282" i="95" s="1"/>
  <c r="L283" i="95"/>
  <c r="M283" i="95" s="1"/>
  <c r="L284" i="95"/>
  <c r="L285" i="95"/>
  <c r="L286" i="95"/>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L308" i="95"/>
  <c r="L309" i="95"/>
  <c r="M309" i="95" s="1"/>
  <c r="L310" i="95"/>
  <c r="L311" i="95"/>
  <c r="L312" i="95"/>
  <c r="M312" i="95" s="1"/>
  <c r="L313" i="95"/>
  <c r="M313" i="95" s="1"/>
  <c r="L314" i="95"/>
  <c r="M314" i="95" s="1"/>
  <c r="L315" i="95"/>
  <c r="M315" i="95" s="1"/>
  <c r="L316" i="95"/>
  <c r="L317" i="95"/>
  <c r="L318" i="95"/>
  <c r="L319" i="95"/>
  <c r="M319" i="95" s="1"/>
  <c r="L320" i="95"/>
  <c r="M320" i="95" s="1"/>
  <c r="L321" i="95"/>
  <c r="M321" i="95" s="1"/>
  <c r="L322" i="95"/>
  <c r="M322" i="95" s="1"/>
  <c r="L323" i="95"/>
  <c r="M323" i="95" s="1"/>
  <c r="L324" i="95"/>
  <c r="M324" i="95" s="1"/>
  <c r="L325" i="95"/>
  <c r="M325" i="95" s="1"/>
  <c r="L326" i="95"/>
  <c r="L327" i="95"/>
  <c r="M327" i="95" s="1"/>
  <c r="L328" i="95"/>
  <c r="L329" i="95"/>
  <c r="M329" i="95" s="1"/>
  <c r="L330" i="95"/>
  <c r="M330" i="95" s="1"/>
  <c r="L331" i="95"/>
  <c r="M331" i="95" s="1"/>
  <c r="L332" i="95"/>
  <c r="M332" i="95" s="1"/>
  <c r="L333" i="95"/>
  <c r="M333" i="95" s="1"/>
  <c r="L334" i="95"/>
  <c r="M334" i="95" s="1"/>
  <c r="L335" i="95"/>
  <c r="M335" i="95" s="1"/>
  <c r="L336" i="95"/>
  <c r="L337" i="95"/>
  <c r="M337" i="95" s="1"/>
  <c r="L338" i="95"/>
  <c r="M338" i="95" s="1"/>
  <c r="L339" i="95"/>
  <c r="M339" i="95" s="1"/>
  <c r="L340" i="95"/>
  <c r="M340" i="95" s="1"/>
  <c r="L341" i="95"/>
  <c r="M341" i="95" s="1"/>
  <c r="L342" i="95"/>
  <c r="L343" i="95"/>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L358" i="95"/>
  <c r="M358" i="95" s="1"/>
  <c r="L359" i="95"/>
  <c r="M359" i="95" s="1"/>
  <c r="L360" i="95"/>
  <c r="L361" i="95"/>
  <c r="M361" i="95" s="1"/>
  <c r="L362" i="95"/>
  <c r="M362" i="95" s="1"/>
  <c r="L363" i="95"/>
  <c r="M363" i="95" s="1"/>
  <c r="L364" i="95"/>
  <c r="M364" i="95" s="1"/>
  <c r="L365" i="95"/>
  <c r="M365" i="95" s="1"/>
  <c r="L366" i="95"/>
  <c r="M366" i="95" s="1"/>
  <c r="L367" i="95"/>
  <c r="M367" i="95" s="1"/>
  <c r="L368" i="95"/>
  <c r="L369" i="95"/>
  <c r="L370" i="95"/>
  <c r="L371" i="95"/>
  <c r="L372" i="95"/>
  <c r="L373" i="95"/>
  <c r="M373" i="95" s="1"/>
  <c r="L374" i="95"/>
  <c r="L375" i="95"/>
  <c r="L376" i="95"/>
  <c r="M376" i="95" s="1"/>
  <c r="L377" i="95"/>
  <c r="M377" i="95" s="1"/>
  <c r="L378" i="95"/>
  <c r="M378" i="95" s="1"/>
  <c r="L379" i="95"/>
  <c r="M379" i="95" s="1"/>
  <c r="L380" i="95"/>
  <c r="M380" i="95" s="1"/>
  <c r="L381" i="95"/>
  <c r="M381" i="95" s="1"/>
  <c r="L382" i="95"/>
  <c r="L383" i="95"/>
  <c r="M383" i="95" s="1"/>
  <c r="L384" i="95"/>
  <c r="M384" i="95" s="1"/>
  <c r="L385" i="95"/>
  <c r="M385" i="95" s="1"/>
  <c r="L386" i="95"/>
  <c r="M386" i="95" s="1"/>
  <c r="L387" i="95"/>
  <c r="M387" i="95" s="1"/>
  <c r="L388" i="95"/>
  <c r="M388" i="95" s="1"/>
  <c r="L389" i="95"/>
  <c r="M389" i="95" s="1"/>
  <c r="L390" i="95"/>
  <c r="M390" i="95" s="1"/>
  <c r="L391" i="95"/>
  <c r="M391" i="95" s="1"/>
  <c r="L392" i="95"/>
  <c r="L393" i="95"/>
  <c r="L394" i="95"/>
  <c r="M394" i="95" s="1"/>
  <c r="L395" i="95"/>
  <c r="M395" i="95" s="1"/>
  <c r="L396" i="95"/>
  <c r="M396" i="95" s="1"/>
  <c r="L397" i="95"/>
  <c r="M397" i="95" s="1"/>
  <c r="L398" i="95"/>
  <c r="M398" i="95" s="1"/>
  <c r="L399" i="95"/>
  <c r="M399" i="95" s="1"/>
  <c r="L400" i="95"/>
  <c r="L401" i="95"/>
  <c r="L402" i="95"/>
  <c r="L403" i="95"/>
  <c r="L404" i="95"/>
  <c r="L405" i="95"/>
  <c r="M405" i="95" s="1"/>
  <c r="L406" i="95"/>
  <c r="L407" i="95"/>
  <c r="L408" i="95"/>
  <c r="M408" i="95" s="1"/>
  <c r="L409" i="95"/>
  <c r="M409" i="95" s="1"/>
  <c r="L410" i="95"/>
  <c r="M410" i="95" s="1"/>
  <c r="L411" i="95"/>
  <c r="M411" i="95" s="1"/>
  <c r="L412" i="95"/>
  <c r="L413" i="95"/>
  <c r="L414" i="95"/>
  <c r="L415" i="95"/>
  <c r="L416" i="95"/>
  <c r="L417" i="95"/>
  <c r="L418" i="95"/>
  <c r="L419" i="95"/>
  <c r="M419" i="95" s="1"/>
  <c r="M2" i="95"/>
  <c r="M3" i="95"/>
  <c r="M4" i="95"/>
  <c r="M8" i="95"/>
  <c r="M9" i="95"/>
  <c r="M10" i="95"/>
  <c r="M11" i="95"/>
  <c r="M16" i="95"/>
  <c r="M17" i="95"/>
  <c r="M22" i="95"/>
  <c r="M23" i="95"/>
  <c r="M40" i="95"/>
  <c r="M41" i="95"/>
  <c r="M42" i="95"/>
  <c r="M43" i="95"/>
  <c r="M48" i="95"/>
  <c r="M49" i="95"/>
  <c r="M50" i="95"/>
  <c r="M54" i="95"/>
  <c r="M55" i="95"/>
  <c r="M60" i="95"/>
  <c r="M61" i="95"/>
  <c r="M62" i="95"/>
  <c r="M63" i="95"/>
  <c r="M80" i="95"/>
  <c r="M81" i="95"/>
  <c r="M82" i="95"/>
  <c r="M83" i="95"/>
  <c r="M84" i="95"/>
  <c r="M86" i="95"/>
  <c r="M87" i="95"/>
  <c r="M92" i="95"/>
  <c r="M93" i="95"/>
  <c r="M94" i="95"/>
  <c r="M95" i="95"/>
  <c r="M104" i="95"/>
  <c r="M105" i="95"/>
  <c r="M112" i="95"/>
  <c r="M113" i="95"/>
  <c r="M118" i="95"/>
  <c r="M119" i="95"/>
  <c r="M136" i="95"/>
  <c r="M137" i="95"/>
  <c r="M144" i="95"/>
  <c r="M145" i="95"/>
  <c r="M146" i="95"/>
  <c r="M147" i="95"/>
  <c r="M148" i="95"/>
  <c r="M150" i="95"/>
  <c r="M168" i="95"/>
  <c r="M176" i="95"/>
  <c r="M177" i="95"/>
  <c r="M178" i="95"/>
  <c r="M179" i="95"/>
  <c r="M180" i="95"/>
  <c r="M182" i="95"/>
  <c r="M183" i="95"/>
  <c r="M189" i="95"/>
  <c r="M190" i="95"/>
  <c r="M191" i="95"/>
  <c r="M192" i="95"/>
  <c r="M193" i="95"/>
  <c r="M194" i="95"/>
  <c r="M195" i="95"/>
  <c r="M200" i="95"/>
  <c r="M201" i="95"/>
  <c r="M208" i="95"/>
  <c r="M209" i="95"/>
  <c r="M210" i="95"/>
  <c r="M214" i="95"/>
  <c r="M215" i="95"/>
  <c r="M220" i="95"/>
  <c r="M221" i="95"/>
  <c r="M222" i="95"/>
  <c r="M223" i="95"/>
  <c r="M224" i="95"/>
  <c r="M225" i="95"/>
  <c r="M226" i="95"/>
  <c r="M227" i="95"/>
  <c r="M232" i="95"/>
  <c r="M233" i="95"/>
  <c r="M234" i="95"/>
  <c r="M235" i="95"/>
  <c r="M240" i="95"/>
  <c r="M246" i="95"/>
  <c r="M247" i="95"/>
  <c r="M264" i="95"/>
  <c r="M265" i="95"/>
  <c r="M266" i="95"/>
  <c r="M267" i="95"/>
  <c r="M272" i="95"/>
  <c r="M273" i="95"/>
  <c r="M274" i="95"/>
  <c r="M275" i="95"/>
  <c r="M276" i="95"/>
  <c r="M278" i="95"/>
  <c r="M279" i="95"/>
  <c r="M284" i="95"/>
  <c r="M285" i="95"/>
  <c r="M286" i="95"/>
  <c r="M304" i="95"/>
  <c r="M305" i="95"/>
  <c r="M306" i="95"/>
  <c r="M307" i="95"/>
  <c r="M308" i="95"/>
  <c r="M310" i="95"/>
  <c r="M311" i="95"/>
  <c r="M316" i="95"/>
  <c r="M317" i="95"/>
  <c r="M318" i="95"/>
  <c r="M326" i="95"/>
  <c r="M328" i="95"/>
  <c r="M336" i="95"/>
  <c r="M342" i="95"/>
  <c r="M343" i="95"/>
  <c r="M357" i="95"/>
  <c r="M360" i="95"/>
  <c r="M368" i="95"/>
  <c r="M369" i="95"/>
  <c r="M370" i="95"/>
  <c r="M371" i="95"/>
  <c r="M372" i="95"/>
  <c r="M374" i="95"/>
  <c r="M375" i="95"/>
  <c r="M382" i="95"/>
  <c r="M392" i="95"/>
  <c r="M393" i="95"/>
  <c r="M400" i="95"/>
  <c r="M401" i="95"/>
  <c r="M402" i="95"/>
  <c r="M403" i="95"/>
  <c r="M404" i="95"/>
  <c r="M406" i="95"/>
  <c r="M407" i="95"/>
  <c r="M412" i="95"/>
  <c r="M413" i="95"/>
  <c r="M414" i="95"/>
  <c r="M415" i="95"/>
  <c r="M416" i="95"/>
  <c r="M417" i="95"/>
  <c r="M418" i="95"/>
  <c r="U56" i="8"/>
  <c r="P56" i="8"/>
  <c r="K210" i="95" l="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S18" i="90" l="1"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P19" i="90" s="1"/>
  <c r="S4" i="90" a="1"/>
  <c r="S4" i="90" s="1"/>
  <c r="R27" i="90" a="1"/>
  <c r="R27" i="90" s="1"/>
  <c r="S30" i="90" a="1"/>
  <c r="S30" i="90" s="1"/>
  <c r="S29" i="90" a="1"/>
  <c r="S29" i="90" s="1"/>
  <c r="R25" i="90" a="1"/>
  <c r="R25" i="90" s="1"/>
  <c r="P25" i="90" s="1"/>
  <c r="R18" i="90" a="1"/>
  <c r="R18" i="90" s="1"/>
  <c r="P18" i="90" s="1"/>
  <c r="S3" i="90" a="1"/>
  <c r="S3" i="90" s="1"/>
  <c r="R17" i="90" a="1"/>
  <c r="R17" i="90" s="1"/>
  <c r="P17" i="90" s="1"/>
  <c r="S2" i="90" a="1"/>
  <c r="S2" i="90" s="1"/>
  <c r="R16" i="90" a="1"/>
  <c r="R16" i="90" s="1"/>
  <c r="P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P37" i="90" s="1"/>
  <c r="R10" i="90" a="1"/>
  <c r="R10" i="90" s="1"/>
  <c r="P10" i="90" s="1"/>
  <c r="R36" i="90" a="1"/>
  <c r="R36" i="90" s="1"/>
  <c r="P36" i="90" s="1"/>
  <c r="S15" i="90" a="1"/>
  <c r="S15" i="90" s="1"/>
  <c r="R9" i="90" a="1"/>
  <c r="R9" i="90" s="1"/>
  <c r="R35" i="90" a="1"/>
  <c r="R35" i="90" s="1"/>
  <c r="P35" i="90" s="1"/>
  <c r="S14" i="90" a="1"/>
  <c r="S14" i="90" s="1"/>
  <c r="R34" i="90" a="1"/>
  <c r="R34" i="90" s="1"/>
  <c r="R8" i="90" a="1"/>
  <c r="R8" i="90" s="1"/>
  <c r="P8" i="90" s="1"/>
  <c r="R7" i="90" a="1"/>
  <c r="R7" i="90" s="1"/>
  <c r="P7" i="90" s="1"/>
  <c r="S13" i="90" a="1"/>
  <c r="S13" i="90" s="1"/>
  <c r="R33" i="90" a="1"/>
  <c r="R33" i="90" s="1"/>
  <c r="P33" i="90" s="1"/>
  <c r="R4" i="90" a="1"/>
  <c r="R4" i="90" s="1"/>
  <c r="P4" i="90" s="1"/>
  <c r="R32" i="90" a="1"/>
  <c r="R32" i="90" s="1"/>
  <c r="P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P23" i="90" s="1"/>
  <c r="S21" i="90" a="1"/>
  <c r="S21" i="90" s="1"/>
  <c r="R24" i="90" a="1"/>
  <c r="R24" i="90" s="1"/>
  <c r="P24" i="90" s="1"/>
  <c r="R2" i="90" a="1"/>
  <c r="R2" i="90" s="1"/>
  <c r="R22" i="90" a="1"/>
  <c r="R22" i="90" s="1"/>
  <c r="P22" i="90" s="1"/>
  <c r="R41" i="90" a="1"/>
  <c r="R41" i="90" s="1"/>
  <c r="R21" i="90" a="1"/>
  <c r="R21" i="90" s="1"/>
  <c r="P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P34" i="90" l="1"/>
  <c r="P27" i="90"/>
  <c r="P11" i="90"/>
  <c r="P26" i="90"/>
  <c r="P38" i="90"/>
  <c r="P9" i="90"/>
  <c r="P29" i="90"/>
  <c r="P39" i="90"/>
  <c r="P6" i="90"/>
  <c r="P12" i="90"/>
  <c r="P20" i="90"/>
  <c r="P40" i="90"/>
  <c r="P41" i="90"/>
  <c r="P2" i="90"/>
  <c r="Q56" i="8" a="1"/>
  <c r="Q56" i="8" s="1"/>
  <c r="P13" i="90"/>
  <c r="P14" i="90"/>
  <c r="P30" i="90"/>
  <c r="P3" i="90"/>
  <c r="P31" i="90"/>
  <c r="P15" i="90"/>
  <c r="V56" i="8" a="1"/>
  <c r="V56" i="8" s="1"/>
  <c r="P28" i="90"/>
  <c r="P5" i="90"/>
  <c r="O4" i="90" a="1"/>
  <c r="O4" i="90" s="1"/>
  <c r="O21" i="90" a="1"/>
  <c r="O21" i="90" s="1"/>
  <c r="O2" i="90" a="1"/>
  <c r="O2" i="90" s="1"/>
  <c r="R63" i="26"/>
  <c r="T63" i="26"/>
  <c r="R65" i="26"/>
  <c r="T65" i="26"/>
  <c r="T66" i="26"/>
  <c r="R66" i="26"/>
  <c r="R67" i="26"/>
  <c r="T67" i="26"/>
  <c r="T64" i="26"/>
  <c r="R64" i="26"/>
  <c r="R68" i="26"/>
  <c r="T68" i="26"/>
  <c r="V23" i="8"/>
  <c r="V22" i="8"/>
  <c r="S5" i="8" l="1"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I2" i="92" a="1"/>
  <c r="I2" i="92" s="1"/>
  <c r="V24" i="8"/>
  <c r="R5" i="8" l="1" a="1"/>
  <c r="R5" i="8" s="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O2" i="95" s="1" a="1"/>
  <c r="G73" i="8" s="1"/>
  <c r="D6" i="8"/>
  <c r="D11" i="8"/>
  <c r="K8" i="90"/>
  <c r="K5" i="90" a="1"/>
  <c r="K5" i="90" s="1"/>
  <c r="G19" i="4"/>
  <c r="J19" i="4"/>
  <c r="M19" i="4"/>
  <c r="D31" i="4"/>
  <c r="A43" i="8"/>
  <c r="J31" i="4" s="1"/>
  <c r="A44" i="8"/>
  <c r="M31" i="4" s="1"/>
  <c r="B11" i="26" a="1"/>
  <c r="B10" i="26" a="1"/>
  <c r="O2" i="95" l="1"/>
  <c r="AM2" i="77" a="1"/>
  <c r="E2" i="96" a="1"/>
  <c r="B10" i="26"/>
  <c r="B11" i="26"/>
  <c r="Q2" i="29"/>
  <c r="D5" i="8" s="1"/>
  <c r="X49" i="8" l="1"/>
  <c r="S49" i="8"/>
  <c r="X48" i="8"/>
  <c r="S48" i="8"/>
  <c r="G74" i="8"/>
  <c r="G75" i="8" s="1"/>
  <c r="D20" i="8" s="1"/>
  <c r="X2" i="95"/>
  <c r="F60" i="8" s="1"/>
  <c r="S6" i="95"/>
  <c r="M6" i="15" s="1"/>
  <c r="AM2" i="77"/>
  <c r="L9" i="26"/>
  <c r="B54" i="26"/>
  <c r="E2" i="96"/>
  <c r="D19" i="8"/>
  <c r="H15" i="26"/>
  <c r="H14" i="26"/>
  <c r="D36" i="8"/>
  <c r="K2" i="90"/>
  <c r="E36" i="8" l="1"/>
  <c r="F36" i="8" s="1"/>
  <c r="G36" i="8" s="1"/>
  <c r="E6" i="4"/>
  <c r="P6" i="95"/>
  <c r="P7" i="95"/>
  <c r="Q7" i="95"/>
  <c r="D30" i="26"/>
  <c r="L60" i="8"/>
  <c r="K61" i="8"/>
  <c r="Q6" i="95"/>
  <c r="M6" i="14"/>
  <c r="M6" i="13"/>
  <c r="E1" i="13"/>
  <c r="E1" i="15"/>
  <c r="C2" i="14"/>
  <c r="E2" i="15"/>
  <c r="C2" i="15"/>
  <c r="E2" i="13"/>
  <c r="E2" i="14"/>
  <c r="C2" i="13"/>
  <c r="K3" i="90"/>
  <c r="M26" i="26" s="1"/>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N39" i="90" s="1" a="1"/>
  <c r="N39" i="90" s="1"/>
  <c r="T41" i="90" a="1"/>
  <c r="T41" i="90" s="1"/>
  <c r="N41" i="90" s="1" a="1"/>
  <c r="N41" i="90" s="1"/>
  <c r="N25" i="90" a="1"/>
  <c r="N25" i="90" s="1"/>
  <c r="N24" i="90" a="1"/>
  <c r="N24" i="90" s="1"/>
  <c r="N40" i="90" a="1"/>
  <c r="N40" i="90" s="1"/>
  <c r="N19" i="90" a="1"/>
  <c r="N19" i="90" s="1"/>
  <c r="N27" i="90" a="1"/>
  <c r="N27" i="90" s="1"/>
  <c r="N26" i="90" a="1"/>
  <c r="N26" i="90" s="1"/>
  <c r="N18" i="90" a="1"/>
  <c r="N18" i="90" s="1"/>
  <c r="N20" i="90" a="1"/>
  <c r="N20" i="90" s="1"/>
  <c r="N24" i="26"/>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<sst xmlns="http://schemas.openxmlformats.org/spreadsheetml/2006/main" count="1938" uniqueCount="972">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</sst>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0" fontId="20" fillId="3" borderId="8" xfId="0" applyNumberFormat="1"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1">
    <dxf>
      <numFmt numFmtId="2" formatCode="0.00"/>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numFmt numFmtId="184" formatCode="[$-F400]h:mm:ss\ AM/PM"/>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4"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0"/>
    <tableColumn id="2" xr3:uid="{D07D770F-21F7-425E-8CCA-AA85FFD513A3}" uniqueName="2" name="serial_number" queryTableFieldId="2" dataDxfId="189"/>
    <tableColumn id="3" xr3:uid="{D963BD5C-EE98-4CDD-ABAE-5315BBDA1135}" uniqueName="3" name="asset_tag" queryTableFieldId="3" dataDxfId="188"/>
    <tableColumn id="4" xr3:uid="{44F03B5B-6C09-4D5C-B2E2-D809B4EDF2B0}" uniqueName="4" name="custom_order_number" queryTableFieldId="4" dataDxfId="187"/>
    <tableColumn id="5" xr3:uid="{412A70E1-7452-417E-A3A9-BD3499EBD33C}" uniqueName="5" name="service_date" queryTableFieldId="5" dataDxfId="71"/>
    <tableColumn id="7" xr3:uid="{297A4F29-F6E9-4BD3-A7A2-5F1039480BAE}" uniqueName="7" name="certificate_number" queryTableFieldId="7" dataDxfId="186"/>
    <tableColumn id="6" xr3:uid="{7231074C-78F5-4F41-8E96-7068B6555E6F}" uniqueName="6" name="traceability_number" queryTableFieldId="61"/>
    <tableColumn id="8" xr3:uid="{7C740CB9-37DA-435E-A87E-AF050E31623C}" uniqueName="8" name="wire_roll_cert_number" queryTableFieldId="8" dataDxfId="185"/>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3">
  <autoFilter ref="A1:C9" xr:uid="{8AF992F3-27EF-4265-960D-70EC6F74FAFA}"/>
  <sortState xmlns:xlrd2="http://schemas.microsoft.com/office/spreadsheetml/2017/richdata2" ref="A2:C9">
    <sortCondition ref="B1:B9"/>
  </sortState>
  <tableColumns count="3">
    <tableColumn id="1" xr3:uid="{1F7D0D09-7152-4679-B25C-65CF0E0AB2D4}" name="Type" dataDxfId="18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0">
      <calculatedColumnFormula>IF(Main!O3="","",Main!N3)</calculatedColumnFormula>
    </tableColumn>
    <tableColumn id="3" xr3:uid="{FCE5D856-7234-4CCA-97EE-22B74741E437}" name="Alert" dataDxfId="179">
      <calculatedColumnFormula array="1">_xlfn.TEXTJOIN("; ", TRUE, IF(Alerts[[#This Row],[Dropped]],"DROPPED",""),
    IF(Alerts[[#This Row],[High]:[Out Of Tolerance]] &lt;&gt; "",
        Alerts[[#Headers],[High]:[Out Of Tolerance]],
        "")
)</calculatedColumnFormula>
    </tableColumn>
    <tableColumn id="4" xr3:uid="{8AD94D64-1483-4168-80EC-0F5FF5FBFB54}" name="Temp" dataDxfId="74">
      <calculatedColumnFormula array="1">_xlfn.XLOOKUP(1,
  (Survey[TestPoint]=Alerts[[#This Row],[TestPoint]])*(Survey[Time]=--Alerts[[#This Row],[Time]]),
  Survey[RawTemp],
  "")</calculatedColumnFormula>
    </tableColumn>
    <tableColumn id="5" xr3:uid="{7F528BD7-7CA6-42E2-8288-BF3DEA461539}" name="Time" dataDxfId="72">
      <calculatedColumnFormula>IFERROR(IF(OR(Alerts[[#This Row],[High]],Alerts[[#This Row],[Low]]),VALUE(Alerts[[#This Row],[High]]&amp;Alerts[[#This Row],[Low]]),Alerts[[#This Row],[Out Of Tolerance]]),"")</calculatedColumnFormula>
    </tableColumn>
    <tableColumn id="6" xr3:uid="{C6C3F45B-0C03-4E9C-9412-DBABE4DA80B3}" name="Dropped" dataDxfId="73">
      <calculatedColumnFormula>IF(
  Main!O5 = "",
  FALSE,
  COUNTIF(Survey[TestPoint], Alerts[[#This Row],[TestPoint]]) = 0
)</calculatedColumnFormula>
    </tableColumn>
    <tableColumn id="8" xr3:uid="{96F3D492-9D35-4D95-988A-C7309D2CB11D}" name="High" dataDxfId="178">
      <calculatedColumnFormula array="1">_xlfn.XLOOKUP(1,
  (Survey[TestPoint]=Alerts[[#This Row],[TestPoint]])*Survey[High],
  Survey[Time],
  "")</calculatedColumnFormula>
    </tableColumn>
    <tableColumn id="9" xr3:uid="{FA598A09-68F3-4996-908B-720C01A5CB36}" name="Low" dataDxfId="177">
      <calculatedColumnFormula array="1">_xlfn.XLOOKUP(1,
  (Survey[TestPoint]=Alerts[[#This Row],[TestPoint]])*Survey[Low],
  Survey[Time],
  "")</calculatedColumnFormula>
    </tableColumn>
    <tableColumn id="10" xr3:uid="{8BF38346-ED30-41C4-A7C5-C5AD74EDAE4E}" name="Out Of Tolerance" dataDxfId="176">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5"/>
    <tableColumn id="40" xr3:uid="{1FD78DD8-6141-4BCC-8B64-71669B160E7A}" uniqueName="40" name="ClientCompanyId" queryTableFieldId="165" dataDxfId="164"/>
    <tableColumn id="41" xr3:uid="{5BCE0CCA-D40E-445A-B69F-BF9E8EC302E6}" uniqueName="41" name="Furnace" queryTableFieldId="166"/>
    <tableColumn id="42" xr3:uid="{FE44BF6E-7160-4F10-BB7C-5C6B8F55C8DB}" uniqueName="42" name="FormNumber" queryTableFieldId="167" dataDxfId="163"/>
    <tableColumn id="43" xr3:uid="{EC576AA5-7F07-4B99-BBD1-C006A3FF4861}" uniqueName="43" name="CalibrationMethod" queryTableFieldId="168" dataDxfId="162"/>
    <tableColumn id="44" xr3:uid="{11784700-CE79-4C3A-B181-67F89C94AC89}" uniqueName="44" name="ToleranceSource" queryTableFieldId="169" dataDxfId="161"/>
    <tableColumn id="45" xr3:uid="{F8D57A3B-9D48-4C00-8E7C-AC29615D88F6}" uniqueName="45" name="Item" queryTableFieldId="170" dataDxfId="16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9"/>
    <tableColumn id="51" xr3:uid="{5B79DBE7-7CAB-41DA-AF62-362ADDE2AED9}" uniqueName="51" name="WorkingZoneSize" queryTableFieldId="176" dataDxfId="15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7"/>
    <tableColumn id="63" xr3:uid="{478884C5-ACFA-42A0-A5A5-3FD7354DF395}" uniqueName="63" name="TestLocation" queryTableFieldId="188" dataDxfId="156"/>
    <tableColumn id="64" xr3:uid="{8742E83A-8953-4A6F-B342-02A544F42A3E}" uniqueName="64" name="OvenLocation" queryTableFieldId="189" dataDxfId="155"/>
    <tableColumn id="65" xr3:uid="{D2C69FD9-EF22-4D46-9BCA-A04DCD92EC4B}" uniqueName="65" name="Condition" queryTableFieldId="190" dataDxfId="15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3"/>
    <tableColumn id="73" xr3:uid="{5C1EA854-4A8F-420A-8A21-EED95DA3A02D}" uniqueName="73" name="LagLimit" queryTableFieldId="198" dataDxfId="152"/>
    <tableColumn id="74" xr3:uid="{E0D578AE-61B1-4F16-BC5A-DF5388800162}" uniqueName="74" name="RecoveryLimit" queryTableFieldId="199" dataDxfId="151"/>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5" tableType="queryTable" totalsRowShown="0">
  <autoFilter ref="A1:C405" xr:uid="{16E5D2D7-E9E1-4F02-84D5-D46A9C6AA57B}"/>
  <tableColumns count="3">
    <tableColumn id="1" xr3:uid="{6F0C3A45-6403-4C94-9E6D-2D9707863D69}" uniqueName="1" name="AssetId" queryTableFieldId="1" dataDxfId="4"/>
    <tableColumn id="2" xr3:uid="{437C4123-EB61-4869-9470-5A1B394BA060}" uniqueName="2" name="Ranges" queryTableFieldId="2" dataDxfId="3"/>
    <tableColumn id="3" xr3:uid="{F2805B69-D38A-4282-80C7-76512A175951}" uniqueName="3" name="Tolerances" queryTableFieldId="3" dataDxf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3"/>
    <tableColumn id="2" xr3:uid="{18C84E6F-0395-44B7-82E8-3E3C3338D295}" name="TUS Tol" dataDxfId="142" totalsRowDxfId="141"/>
    <tableColumn id="5" xr3:uid="{DB50C328-B2A6-44C5-853C-318053CB9F8D}" name="SAT Multiplier" dataDxfId="140" totalsRowDxfId="13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7" dataDxfId="86">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5"/>
    <tableColumn id="3" xr3:uid="{5F5E8FED-27C7-498A-86F2-8DE1BF0A773A}" uniqueName="3" name="Address2" queryTableFieldId="82" dataDxfId="8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3"/>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82" dataDxfId="81">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5"/>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dataDxfId="79"/>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8" dataDxfId="77" headerRowCellStyle="Normal 2" dataCellStyle="Normal 2">
  <autoFilter ref="U11:V25" xr:uid="{DCCFF26E-EC5C-4962-98DB-A7DA1F3C8CE2}"/>
  <tableColumns count="2">
    <tableColumn id="1" xr3:uid="{DFC40837-B092-4826-9847-4A23BE22020F}" name="4" dataDxfId="76" dataCellStyle="Normal 2"/>
    <tableColumn id="2" xr3:uid="{0711DB07-19DA-4D5E-A417-C242A0304453}" name="10" dataDxfId="7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54"/>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964</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2u4ak7AGDqlu2lqjkJ2bR6TuFKFNLHixLkQES7WZqZ3caBWi5TEjDA5QvCOnfXkuTGfAcWmIVLhDBosPTSxdEw==" saltValue="9qtiA1HVHX1Z3ARdGSvud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Wf8O1jzQ+SW1C/sGJaEN0QTQcy4tpLHxQ0R7b/qDJwTYHzLoyhcNXCgygao/yWUDNy7Bigc3YjHDK0A0bU5ZCw==" saltValue="4PysCwosbAU0ZfsVhoZQQ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H23" sqref="H2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1" t="s">
        <v>907</v>
      </c>
      <c r="K1" s="492"/>
      <c r="M1" s="428" t="s">
        <v>902</v>
      </c>
      <c r="N1" s="429" t="s">
        <v>906</v>
      </c>
      <c r="O1" s="429" t="s">
        <v>897</v>
      </c>
      <c r="P1" s="429" t="s">
        <v>14</v>
      </c>
      <c r="Q1" s="487" t="s">
        <v>969</v>
      </c>
      <c r="R1" s="487" t="s">
        <v>266</v>
      </c>
      <c r="S1" s="487" t="s">
        <v>267</v>
      </c>
      <c r="T1" s="487" t="s">
        <v>970</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Row],[Low]]),VALUE(Alerts[[#This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t="e">
        <f>_xlfn.T.INV.2T(1-0.9545, DoF)</f>
        <v>#NUM!</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Row],[Low]]),VALUE(Alerts[[#This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Row],[Low]]),VALUE(Alerts[[#This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Row],[Low]]),VALUE(Alerts[[#This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Row],[Low]]),VALUE(Alerts[[#This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t="e">
        <f>K6*k</f>
        <v>#NUM!</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Row],[Low]]),VALUE(Alerts[[#This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Row],[Low]]),VALUE(Alerts[[#This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t="e">
        <f>MAX(K7,K8)</f>
        <v>#NUM!</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Row],[Low]]),VALUE(Alerts[[#This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Row],[Low]]),VALUE(Alerts[[#This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Row],[Low]]),VALUE(Alerts[[#This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Row],[Low]]),VALUE(Alerts[[#This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Row],[Low]]),VALUE(Alerts[[#This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Row],[Low]]),VALUE(Alerts[[#This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Row],[Low]]),VALUE(Alerts[[#This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Row],[Low]]),VALUE(Alerts[[#This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Row],[Low]]),VALUE(Alerts[[#This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Row],[Low]]),VALUE(Alerts[[#This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Row],[Low]]),VALUE(Alerts[[#This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Row],[Low]]),VALUE(Alerts[[#This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Row],[Low]]),VALUE(Alerts[[#This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Row],[Low]]),VALUE(Alerts[[#This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Row],[Low]]),VALUE(Alerts[[#This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Row],[Low]]),VALUE(Alerts[[#This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Row],[Low]]),VALUE(Alerts[[#This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Row],[Low]]),VALUE(Alerts[[#This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Row],[Low]]),VALUE(Alerts[[#This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Row],[Low]]),VALUE(Alerts[[#This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Row],[Low]]),VALUE(Alerts[[#This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Row],[Low]]),VALUE(Alerts[[#This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Row],[Low]]),VALUE(Alerts[[#This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Row],[Low]]),VALUE(Alerts[[#This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Row],[Low]]),VALUE(Alerts[[#This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Row],[Low]]),VALUE(Alerts[[#This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Row],[Low]]),VALUE(Alerts[[#This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Row],[Low]]),VALUE(Alerts[[#This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Row],[Low]]),VALUE(Alerts[[#This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Row],[Low]]),VALUE(Alerts[[#This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Row],[Low]]),VALUE(Alerts[[#This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Row],[Low]]),VALUE(Alerts[[#This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Row],[Low]]),VALUE(Alerts[[#This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0QQk6mh6fJwhRLXElvmcGYoHtLgIzG6Z4JB5r0T259+fo+CC7jLEriAw24KPpDv/lLU4JgthJaEWXLCJ/EeNww==" saltValue="lWVKkuW39uBRVq2C1np3R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5"/>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957</v>
      </c>
      <c r="G1" t="s">
        <v>958</v>
      </c>
    </row>
    <row r="2" spans="1:7" x14ac:dyDescent="0.2">
      <c r="A2" s="654"/>
      <c r="B2" s="654"/>
      <c r="C2" s="654"/>
      <c r="E2" t="e" cm="1">
        <f t="array" ref="E2">_xlfn.XLOOKUP(AssetId,AggregatedUUTRangeTol[AssetId],AggregatedUUTRangeTol[])</f>
        <v>#N/A</v>
      </c>
    </row>
    <row r="3" spans="1:7" x14ac:dyDescent="0.2">
      <c r="A3" s="654"/>
      <c r="B3" s="654"/>
      <c r="C3" s="654"/>
    </row>
    <row r="4" spans="1:7" x14ac:dyDescent="0.2">
      <c r="A4" s="654"/>
      <c r="B4" s="654"/>
      <c r="C4" s="654"/>
    </row>
    <row r="5" spans="1:7" x14ac:dyDescent="0.2">
      <c r="A5" s="654"/>
      <c r="B5" s="654"/>
      <c r="C5" s="654"/>
    </row>
    <row r="6" spans="1:7" x14ac:dyDescent="0.2">
      <c r="A6" s="654"/>
      <c r="B6" s="654"/>
      <c r="C6" s="654"/>
    </row>
    <row r="7" spans="1:7" x14ac:dyDescent="0.2">
      <c r="A7" s="654"/>
      <c r="B7" s="654"/>
      <c r="C7" s="654"/>
    </row>
    <row r="8" spans="1:7" x14ac:dyDescent="0.2">
      <c r="A8" s="654"/>
      <c r="B8" s="654"/>
      <c r="C8" s="654"/>
    </row>
    <row r="9" spans="1:7" x14ac:dyDescent="0.2">
      <c r="A9" s="654"/>
      <c r="B9" s="654"/>
      <c r="C9" s="654"/>
    </row>
    <row r="10" spans="1:7" x14ac:dyDescent="0.2">
      <c r="A10" s="654"/>
      <c r="B10" s="654"/>
      <c r="C10" s="654"/>
    </row>
    <row r="11" spans="1:7" x14ac:dyDescent="0.2">
      <c r="A11" s="654"/>
      <c r="B11" s="654"/>
      <c r="C11" s="654"/>
    </row>
    <row r="12" spans="1:7" x14ac:dyDescent="0.2">
      <c r="A12" s="654"/>
      <c r="B12" s="654"/>
      <c r="C12" s="654"/>
    </row>
    <row r="13" spans="1:7" x14ac:dyDescent="0.2">
      <c r="A13" s="654"/>
      <c r="B13" s="654"/>
      <c r="C13" s="654"/>
    </row>
    <row r="14" spans="1:7" x14ac:dyDescent="0.2">
      <c r="A14" s="654"/>
      <c r="B14" s="654"/>
      <c r="C14" s="654"/>
    </row>
    <row r="15" spans="1:7" x14ac:dyDescent="0.2">
      <c r="A15" s="654"/>
      <c r="B15" s="654"/>
      <c r="C15" s="654"/>
    </row>
    <row r="16" spans="1:7" x14ac:dyDescent="0.2">
      <c r="A16" s="654"/>
      <c r="B16" s="654"/>
      <c r="C16" s="654"/>
    </row>
    <row r="17" spans="1:3" x14ac:dyDescent="0.2">
      <c r="A17" s="654"/>
      <c r="B17" s="654"/>
      <c r="C17" s="654"/>
    </row>
    <row r="18" spans="1:3" x14ac:dyDescent="0.2">
      <c r="A18" s="654"/>
      <c r="B18" s="654"/>
      <c r="C18" s="654"/>
    </row>
    <row r="19" spans="1:3" x14ac:dyDescent="0.2">
      <c r="A19" s="654"/>
      <c r="B19" s="654"/>
      <c r="C19" s="654"/>
    </row>
    <row r="20" spans="1:3" x14ac:dyDescent="0.2">
      <c r="A20" s="654"/>
      <c r="B20" s="654"/>
      <c r="C20" s="654"/>
    </row>
    <row r="21" spans="1:3" x14ac:dyDescent="0.2">
      <c r="A21" s="654"/>
      <c r="B21" s="654"/>
      <c r="C21" s="654"/>
    </row>
    <row r="22" spans="1:3" x14ac:dyDescent="0.2">
      <c r="A22" s="654"/>
      <c r="B22" s="654"/>
      <c r="C22" s="654"/>
    </row>
    <row r="23" spans="1:3" x14ac:dyDescent="0.2">
      <c r="A23" s="654"/>
      <c r="B23" s="654"/>
      <c r="C23" s="654"/>
    </row>
    <row r="24" spans="1:3" x14ac:dyDescent="0.2">
      <c r="A24" s="654"/>
      <c r="B24" s="654"/>
      <c r="C24" s="654"/>
    </row>
    <row r="25" spans="1:3" x14ac:dyDescent="0.2">
      <c r="A25" s="654"/>
      <c r="B25" s="654"/>
      <c r="C25" s="654"/>
    </row>
    <row r="26" spans="1:3" x14ac:dyDescent="0.2">
      <c r="A26" s="654"/>
      <c r="B26" s="654"/>
      <c r="C26" s="654"/>
    </row>
    <row r="27" spans="1:3" x14ac:dyDescent="0.2">
      <c r="A27" s="654"/>
      <c r="B27" s="654"/>
      <c r="C27" s="654"/>
    </row>
    <row r="28" spans="1:3" x14ac:dyDescent="0.2">
      <c r="A28" s="654"/>
      <c r="B28" s="654"/>
      <c r="C28" s="654"/>
    </row>
    <row r="29" spans="1:3" x14ac:dyDescent="0.2">
      <c r="A29" s="654"/>
      <c r="B29" s="654"/>
      <c r="C29" s="654"/>
    </row>
    <row r="30" spans="1:3" x14ac:dyDescent="0.2">
      <c r="A30" s="654"/>
      <c r="B30" s="654"/>
      <c r="C30" s="654"/>
    </row>
    <row r="31" spans="1:3" x14ac:dyDescent="0.2">
      <c r="A31" s="654"/>
      <c r="B31" s="654"/>
      <c r="C31" s="654"/>
    </row>
    <row r="32" spans="1:3" x14ac:dyDescent="0.2">
      <c r="A32" s="654"/>
      <c r="B32" s="654"/>
      <c r="C32" s="654"/>
    </row>
    <row r="33" spans="1:3" x14ac:dyDescent="0.2">
      <c r="A33" s="654"/>
      <c r="B33" s="654"/>
      <c r="C33" s="654"/>
    </row>
    <row r="34" spans="1:3" x14ac:dyDescent="0.2">
      <c r="A34" s="654"/>
      <c r="B34" s="654"/>
      <c r="C34" s="654"/>
    </row>
    <row r="35" spans="1:3" x14ac:dyDescent="0.2">
      <c r="A35" s="654"/>
      <c r="B35" s="654"/>
      <c r="C35" s="654"/>
    </row>
    <row r="36" spans="1:3" x14ac:dyDescent="0.2">
      <c r="A36" s="654"/>
      <c r="B36" s="654"/>
      <c r="C36" s="654"/>
    </row>
    <row r="37" spans="1:3" x14ac:dyDescent="0.2">
      <c r="A37" s="654"/>
      <c r="B37" s="654"/>
      <c r="C37" s="654"/>
    </row>
    <row r="38" spans="1:3" x14ac:dyDescent="0.2">
      <c r="A38" s="654"/>
      <c r="B38" s="654"/>
      <c r="C38" s="654"/>
    </row>
    <row r="39" spans="1:3" x14ac:dyDescent="0.2">
      <c r="A39" s="654"/>
      <c r="B39" s="654"/>
      <c r="C39" s="654"/>
    </row>
    <row r="40" spans="1:3" x14ac:dyDescent="0.2">
      <c r="A40" s="654"/>
      <c r="B40" s="654"/>
      <c r="C40" s="654"/>
    </row>
    <row r="41" spans="1:3" x14ac:dyDescent="0.2">
      <c r="A41" s="654"/>
      <c r="B41" s="654"/>
      <c r="C41" s="654"/>
    </row>
    <row r="42" spans="1:3" x14ac:dyDescent="0.2">
      <c r="A42" s="654"/>
      <c r="B42" s="654"/>
      <c r="C42" s="654"/>
    </row>
    <row r="43" spans="1:3" x14ac:dyDescent="0.2">
      <c r="A43" s="654"/>
      <c r="B43" s="654"/>
      <c r="C43" s="654"/>
    </row>
    <row r="44" spans="1:3" x14ac:dyDescent="0.2">
      <c r="A44" s="654"/>
      <c r="B44" s="654"/>
      <c r="C44" s="654"/>
    </row>
    <row r="45" spans="1:3" x14ac:dyDescent="0.2">
      <c r="A45" s="654"/>
      <c r="B45" s="654"/>
      <c r="C45" s="654"/>
    </row>
    <row r="46" spans="1:3" x14ac:dyDescent="0.2">
      <c r="A46" s="654"/>
      <c r="B46" s="654"/>
      <c r="C46" s="654"/>
    </row>
    <row r="47" spans="1:3" x14ac:dyDescent="0.2">
      <c r="A47" s="654"/>
      <c r="B47" s="654"/>
      <c r="C47" s="654"/>
    </row>
    <row r="48" spans="1:3" x14ac:dyDescent="0.2">
      <c r="A48" s="654"/>
      <c r="B48" s="654"/>
      <c r="C48" s="654"/>
    </row>
    <row r="49" spans="1:3" x14ac:dyDescent="0.2">
      <c r="A49" s="654"/>
      <c r="B49" s="654"/>
      <c r="C49" s="654"/>
    </row>
    <row r="50" spans="1:3" x14ac:dyDescent="0.2">
      <c r="A50" s="654"/>
      <c r="B50" s="654"/>
      <c r="C50" s="654"/>
    </row>
    <row r="51" spans="1:3" x14ac:dyDescent="0.2">
      <c r="A51" s="654"/>
      <c r="B51" s="654"/>
      <c r="C51" s="654"/>
    </row>
    <row r="52" spans="1:3" x14ac:dyDescent="0.2">
      <c r="A52" s="654"/>
      <c r="B52" s="654"/>
      <c r="C52" s="654"/>
    </row>
    <row r="53" spans="1:3" x14ac:dyDescent="0.2">
      <c r="A53" s="654"/>
      <c r="B53" s="654"/>
      <c r="C53" s="654"/>
    </row>
    <row r="54" spans="1:3" x14ac:dyDescent="0.2">
      <c r="A54" s="654"/>
      <c r="B54" s="654"/>
      <c r="C54" s="654"/>
    </row>
    <row r="55" spans="1:3" x14ac:dyDescent="0.2">
      <c r="A55" s="654"/>
      <c r="B55" s="654"/>
      <c r="C55" s="654"/>
    </row>
    <row r="56" spans="1:3" x14ac:dyDescent="0.2">
      <c r="A56" s="654"/>
      <c r="B56" s="654"/>
      <c r="C56" s="654"/>
    </row>
    <row r="57" spans="1:3" x14ac:dyDescent="0.2">
      <c r="A57" s="654"/>
      <c r="B57" s="654"/>
      <c r="C57" s="654"/>
    </row>
    <row r="58" spans="1:3" x14ac:dyDescent="0.2">
      <c r="A58" s="654"/>
      <c r="B58" s="654"/>
      <c r="C58" s="654"/>
    </row>
    <row r="59" spans="1:3" x14ac:dyDescent="0.2">
      <c r="A59" s="654"/>
      <c r="B59" s="654"/>
      <c r="C59" s="654"/>
    </row>
    <row r="60" spans="1:3" x14ac:dyDescent="0.2">
      <c r="A60" s="654"/>
      <c r="B60" s="654"/>
      <c r="C60" s="654"/>
    </row>
    <row r="61" spans="1:3" x14ac:dyDescent="0.2">
      <c r="A61" s="654"/>
      <c r="B61" s="654"/>
      <c r="C61" s="654"/>
    </row>
    <row r="62" spans="1:3" x14ac:dyDescent="0.2">
      <c r="A62" s="654"/>
      <c r="B62" s="654"/>
      <c r="C62" s="654"/>
    </row>
    <row r="63" spans="1:3" x14ac:dyDescent="0.2">
      <c r="A63" s="654"/>
      <c r="B63" s="654"/>
      <c r="C63" s="654"/>
    </row>
    <row r="64" spans="1:3" x14ac:dyDescent="0.2">
      <c r="A64" s="654"/>
      <c r="B64" s="654"/>
      <c r="C64" s="654"/>
    </row>
    <row r="65" spans="1:3" x14ac:dyDescent="0.2">
      <c r="A65" s="654"/>
      <c r="B65" s="654"/>
      <c r="C65" s="654"/>
    </row>
    <row r="66" spans="1:3" x14ac:dyDescent="0.2">
      <c r="A66" s="654"/>
      <c r="B66" s="654"/>
      <c r="C66" s="654"/>
    </row>
    <row r="67" spans="1:3" x14ac:dyDescent="0.2">
      <c r="A67" s="654"/>
      <c r="B67" s="654"/>
      <c r="C67" s="654"/>
    </row>
    <row r="68" spans="1:3" x14ac:dyDescent="0.2">
      <c r="A68" s="654"/>
      <c r="B68" s="654"/>
      <c r="C68" s="654"/>
    </row>
    <row r="69" spans="1:3" x14ac:dyDescent="0.2">
      <c r="A69" s="654"/>
      <c r="B69" s="654"/>
      <c r="C69" s="654"/>
    </row>
    <row r="70" spans="1:3" x14ac:dyDescent="0.2">
      <c r="A70" s="654"/>
      <c r="B70" s="654"/>
      <c r="C70" s="654"/>
    </row>
    <row r="71" spans="1:3" x14ac:dyDescent="0.2">
      <c r="A71" s="654"/>
      <c r="B71" s="654"/>
      <c r="C71" s="654"/>
    </row>
    <row r="72" spans="1:3" x14ac:dyDescent="0.2">
      <c r="A72" s="654"/>
      <c r="B72" s="654"/>
      <c r="C72" s="654"/>
    </row>
    <row r="73" spans="1:3" x14ac:dyDescent="0.2">
      <c r="A73" s="654"/>
      <c r="B73" s="654"/>
      <c r="C73" s="654"/>
    </row>
    <row r="74" spans="1:3" x14ac:dyDescent="0.2">
      <c r="A74" s="654"/>
      <c r="B74" s="654"/>
      <c r="C74" s="654"/>
    </row>
    <row r="75" spans="1:3" x14ac:dyDescent="0.2">
      <c r="A75" s="654"/>
      <c r="B75" s="654"/>
      <c r="C75" s="654"/>
    </row>
    <row r="76" spans="1:3" x14ac:dyDescent="0.2">
      <c r="A76" s="654"/>
      <c r="B76" s="654"/>
      <c r="C76" s="654"/>
    </row>
    <row r="77" spans="1:3" x14ac:dyDescent="0.2">
      <c r="A77" s="654"/>
      <c r="B77" s="654"/>
      <c r="C77" s="654"/>
    </row>
    <row r="78" spans="1:3" x14ac:dyDescent="0.2">
      <c r="A78" s="654"/>
      <c r="B78" s="654"/>
      <c r="C78" s="654"/>
    </row>
    <row r="79" spans="1:3" x14ac:dyDescent="0.2">
      <c r="A79" s="654"/>
      <c r="B79" s="654"/>
      <c r="C79" s="654"/>
    </row>
    <row r="80" spans="1:3" x14ac:dyDescent="0.2">
      <c r="A80" s="654"/>
      <c r="B80" s="654"/>
      <c r="C80" s="654"/>
    </row>
    <row r="81" spans="1:3" x14ac:dyDescent="0.2">
      <c r="A81" s="654"/>
      <c r="B81" s="654"/>
      <c r="C81" s="654"/>
    </row>
    <row r="82" spans="1:3" x14ac:dyDescent="0.2">
      <c r="A82" s="654"/>
      <c r="B82" s="654"/>
      <c r="C82" s="654"/>
    </row>
    <row r="83" spans="1:3" x14ac:dyDescent="0.2">
      <c r="A83" s="654"/>
      <c r="B83" s="654"/>
      <c r="C83" s="654"/>
    </row>
    <row r="84" spans="1:3" x14ac:dyDescent="0.2">
      <c r="A84" s="654"/>
      <c r="B84" s="654"/>
      <c r="C84" s="654"/>
    </row>
    <row r="85" spans="1:3" x14ac:dyDescent="0.2">
      <c r="A85" s="654"/>
      <c r="B85" s="654"/>
      <c r="C85" s="654"/>
    </row>
    <row r="86" spans="1:3" x14ac:dyDescent="0.2">
      <c r="A86" s="654"/>
      <c r="B86" s="654"/>
      <c r="C86" s="654"/>
    </row>
    <row r="87" spans="1:3" x14ac:dyDescent="0.2">
      <c r="A87" s="654"/>
      <c r="B87" s="654"/>
      <c r="C87" s="654"/>
    </row>
    <row r="88" spans="1:3" x14ac:dyDescent="0.2">
      <c r="A88" s="654"/>
      <c r="B88" s="654"/>
      <c r="C88" s="654"/>
    </row>
    <row r="89" spans="1:3" x14ac:dyDescent="0.2">
      <c r="A89" s="654"/>
      <c r="B89" s="654"/>
      <c r="C89" s="654"/>
    </row>
    <row r="90" spans="1:3" x14ac:dyDescent="0.2">
      <c r="A90" s="654"/>
      <c r="B90" s="654"/>
      <c r="C90" s="654"/>
    </row>
    <row r="91" spans="1:3" x14ac:dyDescent="0.2">
      <c r="A91" s="654"/>
      <c r="B91" s="654"/>
      <c r="C91" s="654"/>
    </row>
    <row r="92" spans="1:3" x14ac:dyDescent="0.2">
      <c r="A92" s="654"/>
      <c r="B92" s="654"/>
      <c r="C92" s="654"/>
    </row>
    <row r="93" spans="1:3" x14ac:dyDescent="0.2">
      <c r="A93" s="654"/>
      <c r="B93" s="654"/>
      <c r="C93" s="654"/>
    </row>
    <row r="94" spans="1:3" x14ac:dyDescent="0.2">
      <c r="A94" s="654"/>
      <c r="B94" s="654"/>
      <c r="C94" s="654"/>
    </row>
    <row r="95" spans="1:3" x14ac:dyDescent="0.2">
      <c r="A95" s="654"/>
      <c r="B95" s="654"/>
      <c r="C95" s="654"/>
    </row>
    <row r="96" spans="1:3" x14ac:dyDescent="0.2">
      <c r="A96" s="654"/>
      <c r="B96" s="654"/>
      <c r="C96" s="654"/>
    </row>
    <row r="97" spans="1:3" x14ac:dyDescent="0.2">
      <c r="A97" s="654"/>
      <c r="B97" s="654"/>
      <c r="C97" s="654"/>
    </row>
    <row r="98" spans="1:3" x14ac:dyDescent="0.2">
      <c r="A98" s="654"/>
      <c r="B98" s="654"/>
      <c r="C98" s="654"/>
    </row>
    <row r="99" spans="1:3" x14ac:dyDescent="0.2">
      <c r="A99" s="654"/>
      <c r="B99" s="654"/>
      <c r="C99" s="654"/>
    </row>
    <row r="100" spans="1:3" x14ac:dyDescent="0.2">
      <c r="A100" s="654"/>
      <c r="B100" s="654"/>
      <c r="C100" s="654"/>
    </row>
    <row r="101" spans="1:3" x14ac:dyDescent="0.2">
      <c r="A101" s="654"/>
      <c r="B101" s="654"/>
      <c r="C101" s="654"/>
    </row>
    <row r="102" spans="1:3" x14ac:dyDescent="0.2">
      <c r="A102" s="654"/>
      <c r="B102" s="654"/>
      <c r="C102" s="654"/>
    </row>
    <row r="103" spans="1:3" x14ac:dyDescent="0.2">
      <c r="A103" s="654"/>
      <c r="B103" s="654"/>
      <c r="C103" s="654"/>
    </row>
    <row r="104" spans="1:3" x14ac:dyDescent="0.2">
      <c r="A104" s="654"/>
      <c r="B104" s="654"/>
      <c r="C104" s="654"/>
    </row>
    <row r="105" spans="1:3" x14ac:dyDescent="0.2">
      <c r="A105" s="654"/>
      <c r="B105" s="654"/>
      <c r="C105" s="654"/>
    </row>
    <row r="106" spans="1:3" x14ac:dyDescent="0.2">
      <c r="A106" s="654"/>
      <c r="B106" s="654"/>
      <c r="C106" s="654"/>
    </row>
    <row r="107" spans="1:3" x14ac:dyDescent="0.2">
      <c r="A107" s="654"/>
      <c r="B107" s="654"/>
      <c r="C107" s="654"/>
    </row>
    <row r="108" spans="1:3" x14ac:dyDescent="0.2">
      <c r="A108" s="654"/>
      <c r="B108" s="654"/>
      <c r="C108" s="654"/>
    </row>
    <row r="109" spans="1:3" x14ac:dyDescent="0.2">
      <c r="A109" s="654"/>
      <c r="B109" s="654"/>
      <c r="C109" s="654"/>
    </row>
    <row r="110" spans="1:3" x14ac:dyDescent="0.2">
      <c r="A110" s="654"/>
      <c r="B110" s="654"/>
      <c r="C110" s="654"/>
    </row>
    <row r="111" spans="1:3" x14ac:dyDescent="0.2">
      <c r="A111" s="654"/>
      <c r="B111" s="654"/>
      <c r="C111" s="654"/>
    </row>
    <row r="112" spans="1:3" x14ac:dyDescent="0.2">
      <c r="A112" s="654"/>
      <c r="B112" s="654"/>
      <c r="C112" s="654"/>
    </row>
    <row r="113" spans="1:3" x14ac:dyDescent="0.2">
      <c r="A113" s="654"/>
      <c r="B113" s="654"/>
      <c r="C113" s="654"/>
    </row>
    <row r="114" spans="1:3" x14ac:dyDescent="0.2">
      <c r="A114" s="654"/>
      <c r="B114" s="654"/>
      <c r="C114" s="654"/>
    </row>
    <row r="115" spans="1:3" x14ac:dyDescent="0.2">
      <c r="A115" s="654"/>
      <c r="B115" s="654"/>
      <c r="C115" s="654"/>
    </row>
    <row r="116" spans="1:3" x14ac:dyDescent="0.2">
      <c r="A116" s="654"/>
      <c r="B116" s="654"/>
      <c r="C116" s="654"/>
    </row>
    <row r="117" spans="1:3" x14ac:dyDescent="0.2">
      <c r="A117" s="654"/>
      <c r="B117" s="654"/>
      <c r="C117" s="654"/>
    </row>
    <row r="118" spans="1:3" x14ac:dyDescent="0.2">
      <c r="A118" s="654"/>
      <c r="B118" s="654"/>
      <c r="C118" s="654"/>
    </row>
    <row r="119" spans="1:3" x14ac:dyDescent="0.2">
      <c r="A119" s="654"/>
      <c r="B119" s="654"/>
      <c r="C119" s="654"/>
    </row>
    <row r="120" spans="1:3" x14ac:dyDescent="0.2">
      <c r="A120" s="654"/>
      <c r="B120" s="654"/>
      <c r="C120" s="654"/>
    </row>
    <row r="121" spans="1:3" x14ac:dyDescent="0.2">
      <c r="A121" s="654"/>
      <c r="B121" s="654"/>
      <c r="C121" s="654"/>
    </row>
    <row r="122" spans="1:3" x14ac:dyDescent="0.2">
      <c r="A122" s="654"/>
      <c r="B122" s="654"/>
      <c r="C122" s="654"/>
    </row>
    <row r="123" spans="1:3" x14ac:dyDescent="0.2">
      <c r="A123" s="654"/>
      <c r="B123" s="654"/>
      <c r="C123" s="654"/>
    </row>
    <row r="124" spans="1:3" x14ac:dyDescent="0.2">
      <c r="A124" s="654"/>
      <c r="B124" s="654"/>
      <c r="C124" s="654"/>
    </row>
    <row r="125" spans="1:3" x14ac:dyDescent="0.2">
      <c r="A125" s="654"/>
      <c r="B125" s="654"/>
      <c r="C125" s="654"/>
    </row>
    <row r="126" spans="1:3" x14ac:dyDescent="0.2">
      <c r="A126" s="654"/>
      <c r="B126" s="654"/>
      <c r="C126" s="654"/>
    </row>
    <row r="127" spans="1:3" x14ac:dyDescent="0.2">
      <c r="A127" s="654"/>
      <c r="B127" s="654"/>
      <c r="C127" s="654"/>
    </row>
    <row r="128" spans="1:3" x14ac:dyDescent="0.2">
      <c r="A128" s="654"/>
      <c r="B128" s="654"/>
      <c r="C128" s="654"/>
    </row>
    <row r="129" spans="1:3" x14ac:dyDescent="0.2">
      <c r="A129" s="654"/>
      <c r="B129" s="654"/>
      <c r="C129" s="654"/>
    </row>
    <row r="130" spans="1:3" x14ac:dyDescent="0.2">
      <c r="A130" s="654"/>
      <c r="B130" s="654"/>
      <c r="C130" s="654"/>
    </row>
    <row r="131" spans="1:3" x14ac:dyDescent="0.2">
      <c r="A131" s="654"/>
      <c r="B131" s="654"/>
      <c r="C131" s="654"/>
    </row>
    <row r="132" spans="1:3" x14ac:dyDescent="0.2">
      <c r="A132" s="654"/>
      <c r="B132" s="654"/>
      <c r="C132" s="654"/>
    </row>
    <row r="133" spans="1:3" x14ac:dyDescent="0.2">
      <c r="A133" s="654"/>
      <c r="B133" s="654"/>
      <c r="C133" s="654"/>
    </row>
    <row r="134" spans="1:3" x14ac:dyDescent="0.2">
      <c r="A134" s="654"/>
      <c r="B134" s="654"/>
      <c r="C134" s="654"/>
    </row>
    <row r="135" spans="1:3" x14ac:dyDescent="0.2">
      <c r="A135" s="654"/>
      <c r="B135" s="654"/>
      <c r="C135" s="654"/>
    </row>
    <row r="136" spans="1:3" x14ac:dyDescent="0.2">
      <c r="A136" s="654"/>
      <c r="B136" s="654"/>
      <c r="C136" s="654"/>
    </row>
    <row r="137" spans="1:3" x14ac:dyDescent="0.2">
      <c r="A137" s="654"/>
      <c r="B137" s="654"/>
      <c r="C137" s="654"/>
    </row>
    <row r="138" spans="1:3" x14ac:dyDescent="0.2">
      <c r="A138" s="654"/>
      <c r="B138" s="654"/>
      <c r="C138" s="654"/>
    </row>
    <row r="139" spans="1:3" x14ac:dyDescent="0.2">
      <c r="A139" s="654"/>
      <c r="B139" s="654"/>
      <c r="C139" s="654"/>
    </row>
    <row r="140" spans="1:3" x14ac:dyDescent="0.2">
      <c r="A140" s="654"/>
      <c r="B140" s="654"/>
      <c r="C140" s="654"/>
    </row>
    <row r="141" spans="1:3" x14ac:dyDescent="0.2">
      <c r="A141" s="654"/>
      <c r="B141" s="654"/>
      <c r="C141" s="654"/>
    </row>
    <row r="142" spans="1:3" x14ac:dyDescent="0.2">
      <c r="A142" s="654"/>
      <c r="B142" s="654"/>
      <c r="C142" s="654"/>
    </row>
    <row r="143" spans="1:3" x14ac:dyDescent="0.2">
      <c r="A143" s="654"/>
      <c r="B143" s="654"/>
      <c r="C143" s="654"/>
    </row>
    <row r="144" spans="1:3" x14ac:dyDescent="0.2">
      <c r="A144" s="654"/>
      <c r="B144" s="654"/>
      <c r="C144" s="654"/>
    </row>
    <row r="145" spans="1:3" x14ac:dyDescent="0.2">
      <c r="A145" s="654"/>
      <c r="B145" s="654"/>
      <c r="C145" s="654"/>
    </row>
    <row r="146" spans="1:3" x14ac:dyDescent="0.2">
      <c r="A146" s="654"/>
      <c r="B146" s="654"/>
      <c r="C146" s="654"/>
    </row>
    <row r="147" spans="1:3" x14ac:dyDescent="0.2">
      <c r="A147" s="654"/>
      <c r="B147" s="654"/>
      <c r="C147" s="654"/>
    </row>
    <row r="148" spans="1:3" x14ac:dyDescent="0.2">
      <c r="A148" s="654"/>
      <c r="B148" s="654"/>
      <c r="C148" s="654"/>
    </row>
    <row r="149" spans="1:3" x14ac:dyDescent="0.2">
      <c r="A149" s="654"/>
      <c r="B149" s="654"/>
      <c r="C149" s="654"/>
    </row>
    <row r="150" spans="1:3" x14ac:dyDescent="0.2">
      <c r="A150" s="654"/>
      <c r="B150" s="654"/>
      <c r="C150" s="654"/>
    </row>
    <row r="151" spans="1:3" x14ac:dyDescent="0.2">
      <c r="A151" s="654"/>
      <c r="B151" s="654"/>
      <c r="C151" s="654"/>
    </row>
    <row r="152" spans="1:3" x14ac:dyDescent="0.2">
      <c r="A152" s="654"/>
      <c r="B152" s="654"/>
      <c r="C152" s="654"/>
    </row>
    <row r="153" spans="1:3" x14ac:dyDescent="0.2">
      <c r="A153" s="654"/>
      <c r="B153" s="654"/>
      <c r="C153" s="654"/>
    </row>
    <row r="154" spans="1:3" x14ac:dyDescent="0.2">
      <c r="A154" s="654"/>
      <c r="B154" s="654"/>
      <c r="C154" s="654"/>
    </row>
    <row r="155" spans="1:3" x14ac:dyDescent="0.2">
      <c r="A155" s="654"/>
      <c r="B155" s="654"/>
      <c r="C155" s="654"/>
    </row>
    <row r="156" spans="1:3" x14ac:dyDescent="0.2">
      <c r="A156" s="654"/>
      <c r="B156" s="654"/>
      <c r="C156" s="654"/>
    </row>
    <row r="157" spans="1:3" x14ac:dyDescent="0.2">
      <c r="A157" s="654"/>
      <c r="B157" s="654"/>
      <c r="C157" s="654"/>
    </row>
    <row r="158" spans="1:3" x14ac:dyDescent="0.2">
      <c r="A158" s="654"/>
      <c r="B158" s="654"/>
      <c r="C158" s="654"/>
    </row>
    <row r="159" spans="1:3" x14ac:dyDescent="0.2">
      <c r="A159" s="654"/>
      <c r="B159" s="654"/>
      <c r="C159" s="654"/>
    </row>
    <row r="160" spans="1:3" x14ac:dyDescent="0.2">
      <c r="A160" s="654"/>
      <c r="B160" s="654"/>
      <c r="C160" s="654"/>
    </row>
    <row r="161" spans="1:3" x14ac:dyDescent="0.2">
      <c r="A161" s="654"/>
      <c r="B161" s="654"/>
      <c r="C161" s="654"/>
    </row>
    <row r="162" spans="1:3" x14ac:dyDescent="0.2">
      <c r="A162" s="654"/>
      <c r="B162" s="654"/>
      <c r="C162" s="654"/>
    </row>
    <row r="163" spans="1:3" x14ac:dyDescent="0.2">
      <c r="A163" s="654"/>
      <c r="B163" s="654"/>
      <c r="C163" s="654"/>
    </row>
    <row r="164" spans="1:3" x14ac:dyDescent="0.2">
      <c r="A164" s="654"/>
      <c r="B164" s="654"/>
      <c r="C164" s="654"/>
    </row>
    <row r="165" spans="1:3" x14ac:dyDescent="0.2">
      <c r="A165" s="654"/>
      <c r="B165" s="654"/>
      <c r="C165" s="654"/>
    </row>
    <row r="166" spans="1:3" x14ac:dyDescent="0.2">
      <c r="A166" s="654"/>
      <c r="B166" s="654"/>
      <c r="C166" s="654"/>
    </row>
    <row r="167" spans="1:3" x14ac:dyDescent="0.2">
      <c r="A167" s="654"/>
      <c r="B167" s="654"/>
      <c r="C167" s="654"/>
    </row>
    <row r="168" spans="1:3" x14ac:dyDescent="0.2">
      <c r="A168" s="654"/>
      <c r="B168" s="654"/>
      <c r="C168" s="654"/>
    </row>
    <row r="169" spans="1:3" x14ac:dyDescent="0.2">
      <c r="A169" s="654"/>
      <c r="B169" s="654"/>
      <c r="C169" s="654"/>
    </row>
    <row r="170" spans="1:3" x14ac:dyDescent="0.2">
      <c r="A170" s="654"/>
      <c r="B170" s="654"/>
      <c r="C170" s="654"/>
    </row>
    <row r="171" spans="1:3" x14ac:dyDescent="0.2">
      <c r="A171" s="654"/>
      <c r="B171" s="654"/>
      <c r="C171" s="654"/>
    </row>
    <row r="172" spans="1:3" x14ac:dyDescent="0.2">
      <c r="A172" s="654"/>
      <c r="B172" s="654"/>
      <c r="C172" s="654"/>
    </row>
    <row r="173" spans="1:3" x14ac:dyDescent="0.2">
      <c r="A173" s="654"/>
      <c r="B173" s="654"/>
      <c r="C173" s="654"/>
    </row>
    <row r="174" spans="1:3" x14ac:dyDescent="0.2">
      <c r="A174" s="654"/>
      <c r="B174" s="654"/>
      <c r="C174" s="654"/>
    </row>
    <row r="175" spans="1:3" x14ac:dyDescent="0.2">
      <c r="A175" s="654"/>
      <c r="B175" s="654"/>
      <c r="C175" s="654"/>
    </row>
    <row r="176" spans="1:3" x14ac:dyDescent="0.2">
      <c r="A176" s="654"/>
      <c r="B176" s="654"/>
      <c r="C176" s="654"/>
    </row>
    <row r="177" spans="1:3" x14ac:dyDescent="0.2">
      <c r="A177" s="654"/>
      <c r="B177" s="654"/>
      <c r="C177" s="654"/>
    </row>
    <row r="178" spans="1:3" x14ac:dyDescent="0.2">
      <c r="A178" s="654"/>
      <c r="B178" s="654"/>
      <c r="C178" s="654"/>
    </row>
    <row r="179" spans="1:3" x14ac:dyDescent="0.2">
      <c r="A179" s="654"/>
      <c r="B179" s="654"/>
      <c r="C179" s="654"/>
    </row>
    <row r="180" spans="1:3" x14ac:dyDescent="0.2">
      <c r="A180" s="654"/>
      <c r="B180" s="654"/>
      <c r="C180" s="654"/>
    </row>
    <row r="181" spans="1:3" x14ac:dyDescent="0.2">
      <c r="A181" s="654"/>
      <c r="B181" s="654"/>
      <c r="C181" s="654"/>
    </row>
    <row r="182" spans="1:3" x14ac:dyDescent="0.2">
      <c r="A182" s="654"/>
      <c r="B182" s="654"/>
      <c r="C182" s="654"/>
    </row>
    <row r="183" spans="1:3" x14ac:dyDescent="0.2">
      <c r="A183" s="654"/>
      <c r="B183" s="654"/>
      <c r="C183" s="654"/>
    </row>
    <row r="184" spans="1:3" x14ac:dyDescent="0.2">
      <c r="A184" s="654"/>
      <c r="B184" s="654"/>
      <c r="C184" s="654"/>
    </row>
    <row r="185" spans="1:3" x14ac:dyDescent="0.2">
      <c r="A185" s="654"/>
      <c r="B185" s="654"/>
      <c r="C185" s="654"/>
    </row>
    <row r="186" spans="1:3" x14ac:dyDescent="0.2">
      <c r="A186" s="654"/>
      <c r="B186" s="654"/>
      <c r="C186" s="654"/>
    </row>
    <row r="187" spans="1:3" x14ac:dyDescent="0.2">
      <c r="A187" s="654"/>
      <c r="B187" s="654"/>
      <c r="C187" s="654"/>
    </row>
    <row r="188" spans="1:3" x14ac:dyDescent="0.2">
      <c r="A188" s="654"/>
      <c r="B188" s="654"/>
      <c r="C188" s="654"/>
    </row>
    <row r="189" spans="1:3" x14ac:dyDescent="0.2">
      <c r="A189" s="654"/>
      <c r="B189" s="654"/>
      <c r="C189" s="654"/>
    </row>
    <row r="190" spans="1:3" x14ac:dyDescent="0.2">
      <c r="A190" s="654"/>
      <c r="B190" s="654"/>
      <c r="C190" s="654"/>
    </row>
    <row r="191" spans="1:3" x14ac:dyDescent="0.2">
      <c r="A191" s="654"/>
      <c r="B191" s="654"/>
      <c r="C191" s="654"/>
    </row>
    <row r="192" spans="1:3" x14ac:dyDescent="0.2">
      <c r="A192" s="654"/>
      <c r="B192" s="654"/>
      <c r="C192" s="654"/>
    </row>
    <row r="193" spans="1:3" x14ac:dyDescent="0.2">
      <c r="A193" s="654"/>
      <c r="B193" s="654"/>
      <c r="C193" s="654"/>
    </row>
    <row r="194" spans="1:3" x14ac:dyDescent="0.2">
      <c r="A194" s="654"/>
      <c r="B194" s="654"/>
      <c r="C194" s="654"/>
    </row>
    <row r="195" spans="1:3" x14ac:dyDescent="0.2">
      <c r="A195" s="654"/>
      <c r="B195" s="654"/>
      <c r="C195" s="654"/>
    </row>
    <row r="196" spans="1:3" x14ac:dyDescent="0.2">
      <c r="A196" s="654"/>
      <c r="B196" s="654"/>
      <c r="C196" s="654"/>
    </row>
    <row r="197" spans="1:3" x14ac:dyDescent="0.2">
      <c r="A197" s="654"/>
      <c r="B197" s="654"/>
      <c r="C197" s="654"/>
    </row>
    <row r="198" spans="1:3" x14ac:dyDescent="0.2">
      <c r="A198" s="654"/>
      <c r="B198" s="654"/>
      <c r="C198" s="654"/>
    </row>
    <row r="199" spans="1:3" x14ac:dyDescent="0.2">
      <c r="A199" s="654"/>
      <c r="B199" s="654"/>
      <c r="C199" s="654"/>
    </row>
    <row r="200" spans="1:3" x14ac:dyDescent="0.2">
      <c r="A200" s="654"/>
      <c r="B200" s="654"/>
      <c r="C200" s="654"/>
    </row>
    <row r="201" spans="1:3" x14ac:dyDescent="0.2">
      <c r="A201" s="654"/>
      <c r="B201" s="654"/>
      <c r="C201" s="654"/>
    </row>
    <row r="202" spans="1:3" x14ac:dyDescent="0.2">
      <c r="A202" s="654"/>
      <c r="B202" s="654"/>
      <c r="C202" s="654"/>
    </row>
    <row r="203" spans="1:3" x14ac:dyDescent="0.2">
      <c r="A203" s="654"/>
      <c r="B203" s="654"/>
      <c r="C203" s="654"/>
    </row>
    <row r="204" spans="1:3" x14ac:dyDescent="0.2">
      <c r="A204" s="654"/>
      <c r="B204" s="654"/>
      <c r="C204" s="654"/>
    </row>
    <row r="205" spans="1:3" x14ac:dyDescent="0.2">
      <c r="A205" s="654"/>
      <c r="B205" s="654"/>
      <c r="C205" s="654"/>
    </row>
    <row r="206" spans="1:3" x14ac:dyDescent="0.2">
      <c r="A206" s="654"/>
      <c r="B206" s="654"/>
      <c r="C206" s="654"/>
    </row>
    <row r="207" spans="1:3" x14ac:dyDescent="0.2">
      <c r="A207" s="654"/>
      <c r="B207" s="654"/>
      <c r="C207" s="654"/>
    </row>
    <row r="208" spans="1:3" x14ac:dyDescent="0.2">
      <c r="A208" s="654"/>
      <c r="B208" s="654"/>
      <c r="C208" s="654"/>
    </row>
    <row r="209" spans="1:3" x14ac:dyDescent="0.2">
      <c r="A209" s="654"/>
      <c r="B209" s="654"/>
      <c r="C209" s="654"/>
    </row>
    <row r="210" spans="1:3" x14ac:dyDescent="0.2">
      <c r="A210" s="654"/>
      <c r="B210" s="654"/>
      <c r="C210" s="654"/>
    </row>
    <row r="211" spans="1:3" x14ac:dyDescent="0.2">
      <c r="A211" s="654"/>
      <c r="B211" s="654"/>
      <c r="C211" s="654"/>
    </row>
    <row r="212" spans="1:3" x14ac:dyDescent="0.2">
      <c r="A212" s="654"/>
      <c r="B212" s="654"/>
      <c r="C212" s="654"/>
    </row>
    <row r="213" spans="1:3" x14ac:dyDescent="0.2">
      <c r="A213" s="654"/>
      <c r="B213" s="654"/>
      <c r="C213" s="654"/>
    </row>
    <row r="214" spans="1:3" x14ac:dyDescent="0.2">
      <c r="A214" s="654"/>
      <c r="B214" s="654"/>
      <c r="C214" s="654"/>
    </row>
    <row r="215" spans="1:3" x14ac:dyDescent="0.2">
      <c r="A215" s="654"/>
      <c r="B215" s="654"/>
      <c r="C215" s="654"/>
    </row>
    <row r="216" spans="1:3" x14ac:dyDescent="0.2">
      <c r="A216" s="654"/>
      <c r="B216" s="654"/>
      <c r="C216" s="654"/>
    </row>
    <row r="217" spans="1:3" x14ac:dyDescent="0.2">
      <c r="A217" s="654"/>
      <c r="B217" s="654"/>
      <c r="C217" s="654"/>
    </row>
    <row r="218" spans="1:3" x14ac:dyDescent="0.2">
      <c r="A218" s="654"/>
      <c r="B218" s="654"/>
      <c r="C218" s="654"/>
    </row>
    <row r="219" spans="1:3" x14ac:dyDescent="0.2">
      <c r="A219" s="654"/>
      <c r="B219" s="654"/>
      <c r="C219" s="654"/>
    </row>
    <row r="220" spans="1:3" x14ac:dyDescent="0.2">
      <c r="A220" s="654"/>
      <c r="B220" s="654"/>
      <c r="C220" s="654"/>
    </row>
    <row r="221" spans="1:3" x14ac:dyDescent="0.2">
      <c r="A221" s="654"/>
      <c r="B221" s="654"/>
      <c r="C221" s="654"/>
    </row>
    <row r="222" spans="1:3" x14ac:dyDescent="0.2">
      <c r="A222" s="654"/>
      <c r="B222" s="654"/>
      <c r="C222" s="654"/>
    </row>
    <row r="223" spans="1:3" x14ac:dyDescent="0.2">
      <c r="A223" s="654"/>
      <c r="B223" s="654"/>
      <c r="C223" s="654"/>
    </row>
    <row r="224" spans="1:3" x14ac:dyDescent="0.2">
      <c r="A224" s="654"/>
      <c r="B224" s="654"/>
      <c r="C224" s="654"/>
    </row>
    <row r="225" spans="1:3" x14ac:dyDescent="0.2">
      <c r="A225" s="654"/>
      <c r="B225" s="654"/>
      <c r="C225" s="654"/>
    </row>
    <row r="226" spans="1:3" x14ac:dyDescent="0.2">
      <c r="A226" s="654"/>
      <c r="B226" s="654"/>
      <c r="C226" s="654"/>
    </row>
    <row r="227" spans="1:3" x14ac:dyDescent="0.2">
      <c r="A227" s="654"/>
      <c r="B227" s="654"/>
      <c r="C227" s="654"/>
    </row>
    <row r="228" spans="1:3" x14ac:dyDescent="0.2">
      <c r="A228" s="654"/>
      <c r="B228" s="654"/>
      <c r="C228" s="654"/>
    </row>
    <row r="229" spans="1:3" x14ac:dyDescent="0.2">
      <c r="A229" s="654"/>
      <c r="B229" s="654"/>
      <c r="C229" s="654"/>
    </row>
    <row r="230" spans="1:3" x14ac:dyDescent="0.2">
      <c r="A230" s="654"/>
      <c r="B230" s="654"/>
      <c r="C230" s="654"/>
    </row>
    <row r="231" spans="1:3" x14ac:dyDescent="0.2">
      <c r="A231" s="654"/>
      <c r="B231" s="654"/>
      <c r="C231" s="654"/>
    </row>
    <row r="232" spans="1:3" x14ac:dyDescent="0.2">
      <c r="A232" s="654"/>
      <c r="B232" s="654"/>
      <c r="C232" s="654"/>
    </row>
    <row r="233" spans="1:3" x14ac:dyDescent="0.2">
      <c r="A233" s="654"/>
      <c r="B233" s="654"/>
      <c r="C233" s="654"/>
    </row>
    <row r="234" spans="1:3" x14ac:dyDescent="0.2">
      <c r="A234" s="654"/>
      <c r="B234" s="654"/>
      <c r="C234" s="654"/>
    </row>
    <row r="235" spans="1:3" x14ac:dyDescent="0.2">
      <c r="A235" s="654"/>
      <c r="B235" s="654"/>
      <c r="C235" s="654"/>
    </row>
    <row r="236" spans="1:3" x14ac:dyDescent="0.2">
      <c r="A236" s="654"/>
      <c r="B236" s="654"/>
      <c r="C236" s="654"/>
    </row>
    <row r="237" spans="1:3" x14ac:dyDescent="0.2">
      <c r="A237" s="654"/>
      <c r="B237" s="654"/>
      <c r="C237" s="654"/>
    </row>
    <row r="238" spans="1:3" x14ac:dyDescent="0.2">
      <c r="A238" s="654"/>
      <c r="B238" s="654"/>
      <c r="C238" s="654"/>
    </row>
    <row r="239" spans="1:3" x14ac:dyDescent="0.2">
      <c r="A239" s="654"/>
      <c r="B239" s="654"/>
      <c r="C239" s="654"/>
    </row>
    <row r="240" spans="1:3" x14ac:dyDescent="0.2">
      <c r="A240" s="654"/>
      <c r="B240" s="654"/>
      <c r="C240" s="654"/>
    </row>
    <row r="241" spans="1:3" x14ac:dyDescent="0.2">
      <c r="A241" s="654"/>
      <c r="B241" s="654"/>
      <c r="C241" s="654"/>
    </row>
    <row r="242" spans="1:3" x14ac:dyDescent="0.2">
      <c r="A242" s="654"/>
      <c r="B242" s="654"/>
      <c r="C242" s="654"/>
    </row>
    <row r="243" spans="1:3" x14ac:dyDescent="0.2">
      <c r="A243" s="654"/>
      <c r="B243" s="654"/>
      <c r="C243" s="654"/>
    </row>
    <row r="244" spans="1:3" x14ac:dyDescent="0.2">
      <c r="A244" s="654"/>
      <c r="B244" s="654"/>
      <c r="C244" s="654"/>
    </row>
    <row r="245" spans="1:3" x14ac:dyDescent="0.2">
      <c r="A245" s="654"/>
      <c r="B245" s="654"/>
      <c r="C245" s="654"/>
    </row>
    <row r="246" spans="1:3" x14ac:dyDescent="0.2">
      <c r="A246" s="654"/>
      <c r="B246" s="654"/>
      <c r="C246" s="654"/>
    </row>
    <row r="247" spans="1:3" x14ac:dyDescent="0.2">
      <c r="A247" s="654"/>
      <c r="B247" s="654"/>
      <c r="C247" s="654"/>
    </row>
    <row r="248" spans="1:3" x14ac:dyDescent="0.2">
      <c r="A248" s="654"/>
      <c r="B248" s="654"/>
      <c r="C248" s="654"/>
    </row>
    <row r="249" spans="1:3" x14ac:dyDescent="0.2">
      <c r="A249" s="654"/>
      <c r="B249" s="654"/>
      <c r="C249" s="654"/>
    </row>
    <row r="250" spans="1:3" x14ac:dyDescent="0.2">
      <c r="A250" s="654"/>
      <c r="B250" s="654"/>
      <c r="C250" s="654"/>
    </row>
    <row r="251" spans="1:3" x14ac:dyDescent="0.2">
      <c r="A251" s="654"/>
      <c r="B251" s="654"/>
      <c r="C251" s="654"/>
    </row>
    <row r="252" spans="1:3" x14ac:dyDescent="0.2">
      <c r="A252" s="654"/>
      <c r="B252" s="654"/>
      <c r="C252" s="654"/>
    </row>
    <row r="253" spans="1:3" x14ac:dyDescent="0.2">
      <c r="A253" s="654"/>
      <c r="B253" s="654"/>
      <c r="C253" s="654"/>
    </row>
    <row r="254" spans="1:3" x14ac:dyDescent="0.2">
      <c r="A254" s="654"/>
      <c r="B254" s="654"/>
      <c r="C254" s="654"/>
    </row>
    <row r="255" spans="1:3" x14ac:dyDescent="0.2">
      <c r="A255" s="654"/>
      <c r="B255" s="654"/>
      <c r="C255" s="654"/>
    </row>
    <row r="256" spans="1:3" x14ac:dyDescent="0.2">
      <c r="A256" s="654"/>
      <c r="B256" s="654"/>
      <c r="C256" s="654"/>
    </row>
    <row r="257" spans="1:3" x14ac:dyDescent="0.2">
      <c r="A257" s="654"/>
      <c r="B257" s="654"/>
      <c r="C257" s="654"/>
    </row>
    <row r="258" spans="1:3" x14ac:dyDescent="0.2">
      <c r="A258" s="654"/>
      <c r="B258" s="654"/>
      <c r="C258" s="654"/>
    </row>
    <row r="259" spans="1:3" x14ac:dyDescent="0.2">
      <c r="A259" s="654"/>
      <c r="B259" s="654"/>
      <c r="C259" s="654"/>
    </row>
    <row r="260" spans="1:3" x14ac:dyDescent="0.2">
      <c r="A260" s="654"/>
      <c r="B260" s="654"/>
      <c r="C260" s="654"/>
    </row>
    <row r="261" spans="1:3" x14ac:dyDescent="0.2">
      <c r="A261" s="654"/>
      <c r="B261" s="654"/>
      <c r="C261" s="654"/>
    </row>
    <row r="262" spans="1:3" x14ac:dyDescent="0.2">
      <c r="A262" s="654"/>
      <c r="B262" s="654"/>
      <c r="C262" s="654"/>
    </row>
    <row r="263" spans="1:3" x14ac:dyDescent="0.2">
      <c r="A263" s="654"/>
      <c r="B263" s="654"/>
      <c r="C263" s="654"/>
    </row>
    <row r="264" spans="1:3" x14ac:dyDescent="0.2">
      <c r="A264" s="654"/>
      <c r="B264" s="654"/>
      <c r="C264" s="654"/>
    </row>
    <row r="265" spans="1:3" x14ac:dyDescent="0.2">
      <c r="A265" s="654"/>
      <c r="B265" s="654"/>
      <c r="C265" s="654"/>
    </row>
    <row r="266" spans="1:3" x14ac:dyDescent="0.2">
      <c r="A266" s="654"/>
      <c r="B266" s="654"/>
      <c r="C266" s="654"/>
    </row>
    <row r="267" spans="1:3" x14ac:dyDescent="0.2">
      <c r="A267" s="654"/>
      <c r="B267" s="654"/>
      <c r="C267" s="654"/>
    </row>
    <row r="268" spans="1:3" x14ac:dyDescent="0.2">
      <c r="A268" s="654"/>
      <c r="B268" s="654"/>
      <c r="C268" s="654"/>
    </row>
    <row r="269" spans="1:3" x14ac:dyDescent="0.2">
      <c r="A269" s="654"/>
      <c r="B269" s="654"/>
      <c r="C269" s="654"/>
    </row>
    <row r="270" spans="1:3" x14ac:dyDescent="0.2">
      <c r="A270" s="654"/>
      <c r="B270" s="654"/>
      <c r="C270" s="654"/>
    </row>
    <row r="271" spans="1:3" x14ac:dyDescent="0.2">
      <c r="A271" s="654"/>
      <c r="B271" s="654"/>
      <c r="C271" s="654"/>
    </row>
    <row r="272" spans="1:3" x14ac:dyDescent="0.2">
      <c r="A272" s="654"/>
      <c r="B272" s="654"/>
      <c r="C272" s="654"/>
    </row>
    <row r="273" spans="1:3" x14ac:dyDescent="0.2">
      <c r="A273" s="654"/>
      <c r="B273" s="654"/>
      <c r="C273" s="654"/>
    </row>
    <row r="274" spans="1:3" x14ac:dyDescent="0.2">
      <c r="A274" s="654"/>
      <c r="B274" s="654"/>
      <c r="C274" s="654"/>
    </row>
    <row r="275" spans="1:3" x14ac:dyDescent="0.2">
      <c r="A275" s="654"/>
      <c r="B275" s="654"/>
      <c r="C275" s="654"/>
    </row>
    <row r="276" spans="1:3" x14ac:dyDescent="0.2">
      <c r="A276" s="654"/>
      <c r="B276" s="654"/>
      <c r="C276" s="654"/>
    </row>
    <row r="277" spans="1:3" x14ac:dyDescent="0.2">
      <c r="A277" s="654"/>
      <c r="B277" s="654"/>
      <c r="C277" s="654"/>
    </row>
    <row r="278" spans="1:3" x14ac:dyDescent="0.2">
      <c r="A278" s="654"/>
      <c r="B278" s="654"/>
      <c r="C278" s="654"/>
    </row>
    <row r="279" spans="1:3" x14ac:dyDescent="0.2">
      <c r="A279" s="654"/>
      <c r="B279" s="654"/>
      <c r="C279" s="654"/>
    </row>
    <row r="280" spans="1:3" x14ac:dyDescent="0.2">
      <c r="A280" s="654"/>
      <c r="B280" s="654"/>
      <c r="C280" s="654"/>
    </row>
    <row r="281" spans="1:3" x14ac:dyDescent="0.2">
      <c r="A281" s="654"/>
      <c r="B281" s="654"/>
      <c r="C281" s="654"/>
    </row>
    <row r="282" spans="1:3" x14ac:dyDescent="0.2">
      <c r="A282" s="654"/>
      <c r="B282" s="654"/>
      <c r="C282" s="654"/>
    </row>
    <row r="283" spans="1:3" x14ac:dyDescent="0.2">
      <c r="A283" s="654"/>
      <c r="B283" s="654"/>
      <c r="C283" s="654"/>
    </row>
    <row r="284" spans="1:3" x14ac:dyDescent="0.2">
      <c r="A284" s="654"/>
      <c r="B284" s="654"/>
      <c r="C284" s="654"/>
    </row>
    <row r="285" spans="1:3" x14ac:dyDescent="0.2">
      <c r="A285" s="654"/>
      <c r="B285" s="654"/>
      <c r="C285" s="654"/>
    </row>
    <row r="286" spans="1:3" x14ac:dyDescent="0.2">
      <c r="A286" s="654"/>
      <c r="B286" s="654"/>
      <c r="C286" s="654"/>
    </row>
    <row r="287" spans="1:3" x14ac:dyDescent="0.2">
      <c r="A287" s="654"/>
      <c r="B287" s="654"/>
      <c r="C287" s="654"/>
    </row>
    <row r="288" spans="1:3" x14ac:dyDescent="0.2">
      <c r="A288" s="654"/>
      <c r="B288" s="654"/>
      <c r="C288" s="654"/>
    </row>
    <row r="289" spans="1:3" x14ac:dyDescent="0.2">
      <c r="A289" s="654"/>
      <c r="B289" s="654"/>
      <c r="C289" s="654"/>
    </row>
    <row r="290" spans="1:3" x14ac:dyDescent="0.2">
      <c r="A290" s="654"/>
      <c r="B290" s="654"/>
      <c r="C290" s="654"/>
    </row>
    <row r="291" spans="1:3" x14ac:dyDescent="0.2">
      <c r="A291" s="654"/>
      <c r="B291" s="654"/>
      <c r="C291" s="654"/>
    </row>
    <row r="292" spans="1:3" x14ac:dyDescent="0.2">
      <c r="A292" s="654"/>
      <c r="B292" s="654"/>
      <c r="C292" s="654"/>
    </row>
    <row r="293" spans="1:3" x14ac:dyDescent="0.2">
      <c r="A293" s="654"/>
      <c r="B293" s="654"/>
      <c r="C293" s="654"/>
    </row>
    <row r="294" spans="1:3" x14ac:dyDescent="0.2">
      <c r="A294" s="654"/>
      <c r="B294" s="654"/>
      <c r="C294" s="654"/>
    </row>
    <row r="295" spans="1:3" x14ac:dyDescent="0.2">
      <c r="A295" s="654"/>
      <c r="B295" s="654"/>
      <c r="C295" s="654"/>
    </row>
    <row r="296" spans="1:3" x14ac:dyDescent="0.2">
      <c r="A296" s="654"/>
      <c r="B296" s="654"/>
      <c r="C296" s="654"/>
    </row>
    <row r="297" spans="1:3" x14ac:dyDescent="0.2">
      <c r="A297" s="654"/>
      <c r="B297" s="654"/>
      <c r="C297" s="654"/>
    </row>
    <row r="298" spans="1:3" x14ac:dyDescent="0.2">
      <c r="A298" s="654"/>
      <c r="B298" s="654"/>
      <c r="C298" s="654"/>
    </row>
    <row r="299" spans="1:3" x14ac:dyDescent="0.2">
      <c r="A299" s="654"/>
      <c r="B299" s="654"/>
      <c r="C299" s="654"/>
    </row>
    <row r="300" spans="1:3" x14ac:dyDescent="0.2">
      <c r="A300" s="654"/>
      <c r="B300" s="654"/>
      <c r="C300" s="654"/>
    </row>
    <row r="301" spans="1:3" x14ac:dyDescent="0.2">
      <c r="A301" s="654"/>
      <c r="B301" s="654"/>
      <c r="C301" s="654"/>
    </row>
    <row r="302" spans="1:3" x14ac:dyDescent="0.2">
      <c r="A302" s="654"/>
      <c r="B302" s="654"/>
      <c r="C302" s="654"/>
    </row>
    <row r="303" spans="1:3" x14ac:dyDescent="0.2">
      <c r="A303" s="654"/>
      <c r="B303" s="654"/>
      <c r="C303" s="654"/>
    </row>
    <row r="304" spans="1:3" x14ac:dyDescent="0.2">
      <c r="A304" s="654"/>
      <c r="B304" s="654"/>
      <c r="C304" s="654"/>
    </row>
    <row r="305" spans="1:3" x14ac:dyDescent="0.2">
      <c r="A305" s="654"/>
      <c r="B305" s="654"/>
      <c r="C305" s="654"/>
    </row>
    <row r="306" spans="1:3" x14ac:dyDescent="0.2">
      <c r="A306" s="654"/>
      <c r="B306" s="654"/>
      <c r="C306" s="654"/>
    </row>
    <row r="307" spans="1:3" x14ac:dyDescent="0.2">
      <c r="A307" s="654"/>
      <c r="B307" s="654"/>
      <c r="C307" s="654"/>
    </row>
    <row r="308" spans="1:3" x14ac:dyDescent="0.2">
      <c r="A308" s="654"/>
      <c r="B308" s="654"/>
      <c r="C308" s="654"/>
    </row>
    <row r="309" spans="1:3" x14ac:dyDescent="0.2">
      <c r="A309" s="654"/>
      <c r="B309" s="654"/>
      <c r="C309" s="654"/>
    </row>
    <row r="310" spans="1:3" x14ac:dyDescent="0.2">
      <c r="A310" s="654"/>
      <c r="B310" s="654"/>
      <c r="C310" s="654"/>
    </row>
    <row r="311" spans="1:3" x14ac:dyDescent="0.2">
      <c r="A311" s="654"/>
      <c r="B311" s="654"/>
      <c r="C311" s="654"/>
    </row>
    <row r="312" spans="1:3" x14ac:dyDescent="0.2">
      <c r="A312" s="654"/>
      <c r="B312" s="654"/>
      <c r="C312" s="654"/>
    </row>
    <row r="313" spans="1:3" x14ac:dyDescent="0.2">
      <c r="A313" s="654"/>
      <c r="B313" s="654"/>
      <c r="C313" s="654"/>
    </row>
    <row r="314" spans="1:3" x14ac:dyDescent="0.2">
      <c r="A314" s="654"/>
      <c r="B314" s="654"/>
      <c r="C314" s="654"/>
    </row>
    <row r="315" spans="1:3" x14ac:dyDescent="0.2">
      <c r="A315" s="654"/>
      <c r="B315" s="654"/>
      <c r="C315" s="654"/>
    </row>
    <row r="316" spans="1:3" x14ac:dyDescent="0.2">
      <c r="A316" s="654"/>
      <c r="B316" s="654"/>
      <c r="C316" s="654"/>
    </row>
    <row r="317" spans="1:3" x14ac:dyDescent="0.2">
      <c r="A317" s="654"/>
      <c r="B317" s="654"/>
      <c r="C317" s="654"/>
    </row>
    <row r="318" spans="1:3" x14ac:dyDescent="0.2">
      <c r="A318" s="654"/>
      <c r="B318" s="654"/>
      <c r="C318" s="654"/>
    </row>
    <row r="319" spans="1:3" x14ac:dyDescent="0.2">
      <c r="A319" s="654"/>
      <c r="B319" s="654"/>
      <c r="C319" s="654"/>
    </row>
    <row r="320" spans="1:3" x14ac:dyDescent="0.2">
      <c r="A320" s="654"/>
      <c r="B320" s="654"/>
      <c r="C320" s="654"/>
    </row>
    <row r="321" spans="1:3" x14ac:dyDescent="0.2">
      <c r="A321" s="654"/>
      <c r="B321" s="654"/>
      <c r="C321" s="654"/>
    </row>
    <row r="322" spans="1:3" x14ac:dyDescent="0.2">
      <c r="A322" s="654"/>
      <c r="B322" s="654"/>
      <c r="C322" s="654"/>
    </row>
    <row r="323" spans="1:3" x14ac:dyDescent="0.2">
      <c r="A323" s="654"/>
      <c r="B323" s="654"/>
      <c r="C323" s="654"/>
    </row>
    <row r="324" spans="1:3" x14ac:dyDescent="0.2">
      <c r="A324" s="654"/>
      <c r="B324" s="654"/>
      <c r="C324" s="654"/>
    </row>
    <row r="325" spans="1:3" x14ac:dyDescent="0.2">
      <c r="A325" s="654"/>
      <c r="B325" s="654"/>
      <c r="C325" s="654"/>
    </row>
    <row r="326" spans="1:3" x14ac:dyDescent="0.2">
      <c r="A326" s="654"/>
      <c r="B326" s="654"/>
      <c r="C326" s="654"/>
    </row>
    <row r="327" spans="1:3" x14ac:dyDescent="0.2">
      <c r="A327" s="654"/>
      <c r="B327" s="654"/>
      <c r="C327" s="654"/>
    </row>
    <row r="328" spans="1:3" x14ac:dyDescent="0.2">
      <c r="A328" s="654"/>
      <c r="B328" s="654"/>
      <c r="C328" s="654"/>
    </row>
    <row r="329" spans="1:3" x14ac:dyDescent="0.2">
      <c r="A329" s="654"/>
      <c r="B329" s="654"/>
      <c r="C329" s="654"/>
    </row>
    <row r="330" spans="1:3" x14ac:dyDescent="0.2">
      <c r="A330" s="654"/>
      <c r="B330" s="654"/>
      <c r="C330" s="654"/>
    </row>
    <row r="331" spans="1:3" x14ac:dyDescent="0.2">
      <c r="A331" s="654"/>
      <c r="B331" s="654"/>
      <c r="C331" s="654"/>
    </row>
    <row r="332" spans="1:3" x14ac:dyDescent="0.2">
      <c r="A332" s="654"/>
      <c r="B332" s="654"/>
      <c r="C332" s="654"/>
    </row>
    <row r="333" spans="1:3" x14ac:dyDescent="0.2">
      <c r="A333" s="654"/>
      <c r="B333" s="654"/>
      <c r="C333" s="654"/>
    </row>
    <row r="334" spans="1:3" x14ac:dyDescent="0.2">
      <c r="A334" s="654"/>
      <c r="B334" s="654"/>
      <c r="C334" s="654"/>
    </row>
    <row r="335" spans="1:3" x14ac:dyDescent="0.2">
      <c r="A335" s="654"/>
      <c r="B335" s="654"/>
      <c r="C335" s="654"/>
    </row>
    <row r="336" spans="1:3" x14ac:dyDescent="0.2">
      <c r="A336" s="654"/>
      <c r="B336" s="654"/>
      <c r="C336" s="654"/>
    </row>
    <row r="337" spans="1:3" x14ac:dyDescent="0.2">
      <c r="A337" s="654"/>
      <c r="B337" s="654"/>
      <c r="C337" s="654"/>
    </row>
    <row r="338" spans="1:3" x14ac:dyDescent="0.2">
      <c r="A338" s="654"/>
      <c r="B338" s="654"/>
      <c r="C338" s="654"/>
    </row>
    <row r="339" spans="1:3" x14ac:dyDescent="0.2">
      <c r="A339" s="654"/>
      <c r="B339" s="654"/>
      <c r="C339" s="654"/>
    </row>
    <row r="340" spans="1:3" x14ac:dyDescent="0.2">
      <c r="A340" s="654"/>
      <c r="B340" s="654"/>
      <c r="C340" s="654"/>
    </row>
    <row r="341" spans="1:3" x14ac:dyDescent="0.2">
      <c r="A341" s="654"/>
      <c r="B341" s="654"/>
      <c r="C341" s="654"/>
    </row>
    <row r="342" spans="1:3" x14ac:dyDescent="0.2">
      <c r="A342" s="654"/>
      <c r="B342" s="654"/>
      <c r="C342" s="654"/>
    </row>
    <row r="343" spans="1:3" x14ac:dyDescent="0.2">
      <c r="A343" s="654"/>
      <c r="B343" s="654"/>
      <c r="C343" s="654"/>
    </row>
    <row r="344" spans="1:3" x14ac:dyDescent="0.2">
      <c r="A344" s="654"/>
      <c r="B344" s="654"/>
      <c r="C344" s="654"/>
    </row>
    <row r="345" spans="1:3" x14ac:dyDescent="0.2">
      <c r="A345" s="654"/>
      <c r="B345" s="654"/>
      <c r="C345" s="654"/>
    </row>
    <row r="346" spans="1:3" x14ac:dyDescent="0.2">
      <c r="A346" s="654"/>
      <c r="B346" s="654"/>
      <c r="C346" s="654"/>
    </row>
    <row r="347" spans="1:3" x14ac:dyDescent="0.2">
      <c r="A347" s="654"/>
      <c r="B347" s="654"/>
      <c r="C347" s="654"/>
    </row>
    <row r="348" spans="1:3" x14ac:dyDescent="0.2">
      <c r="A348" s="654"/>
      <c r="B348" s="654"/>
      <c r="C348" s="654"/>
    </row>
    <row r="349" spans="1:3" x14ac:dyDescent="0.2">
      <c r="A349" s="654"/>
      <c r="B349" s="654"/>
      <c r="C349" s="654"/>
    </row>
    <row r="350" spans="1:3" x14ac:dyDescent="0.2">
      <c r="A350" s="654"/>
      <c r="B350" s="654"/>
      <c r="C350" s="654"/>
    </row>
    <row r="351" spans="1:3" x14ac:dyDescent="0.2">
      <c r="A351" s="654"/>
      <c r="B351" s="654"/>
      <c r="C351" s="654"/>
    </row>
    <row r="352" spans="1:3" x14ac:dyDescent="0.2">
      <c r="A352" s="654"/>
      <c r="B352" s="654"/>
      <c r="C352" s="654"/>
    </row>
    <row r="353" spans="1:3" x14ac:dyDescent="0.2">
      <c r="A353" s="654"/>
      <c r="B353" s="654"/>
      <c r="C353" s="654"/>
    </row>
    <row r="354" spans="1:3" x14ac:dyDescent="0.2">
      <c r="A354" s="654"/>
      <c r="B354" s="654"/>
      <c r="C354" s="654"/>
    </row>
    <row r="355" spans="1:3" x14ac:dyDescent="0.2">
      <c r="A355" s="654"/>
      <c r="B355" s="654"/>
      <c r="C355" s="654"/>
    </row>
    <row r="356" spans="1:3" x14ac:dyDescent="0.2">
      <c r="A356" s="654"/>
      <c r="B356" s="654"/>
      <c r="C356" s="654"/>
    </row>
    <row r="357" spans="1:3" x14ac:dyDescent="0.2">
      <c r="A357" s="654"/>
      <c r="B357" s="654"/>
      <c r="C357" s="654"/>
    </row>
    <row r="358" spans="1:3" x14ac:dyDescent="0.2">
      <c r="A358" s="654"/>
      <c r="B358" s="654"/>
      <c r="C358" s="654"/>
    </row>
    <row r="359" spans="1:3" x14ac:dyDescent="0.2">
      <c r="A359" s="654"/>
      <c r="B359" s="654"/>
      <c r="C359" s="654"/>
    </row>
    <row r="360" spans="1:3" x14ac:dyDescent="0.2">
      <c r="A360" s="654"/>
      <c r="B360" s="654"/>
      <c r="C360" s="654"/>
    </row>
    <row r="361" spans="1:3" x14ac:dyDescent="0.2">
      <c r="A361" s="654"/>
      <c r="B361" s="654"/>
      <c r="C361" s="654"/>
    </row>
    <row r="362" spans="1:3" x14ac:dyDescent="0.2">
      <c r="A362" s="654"/>
      <c r="B362" s="654"/>
      <c r="C362" s="654"/>
    </row>
    <row r="363" spans="1:3" x14ac:dyDescent="0.2">
      <c r="A363" s="654"/>
      <c r="B363" s="654"/>
      <c r="C363" s="654"/>
    </row>
    <row r="364" spans="1:3" x14ac:dyDescent="0.2">
      <c r="A364" s="654"/>
      <c r="B364" s="654"/>
      <c r="C364" s="654"/>
    </row>
    <row r="365" spans="1:3" x14ac:dyDescent="0.2">
      <c r="A365" s="654"/>
      <c r="B365" s="654"/>
      <c r="C365" s="654"/>
    </row>
    <row r="366" spans="1:3" x14ac:dyDescent="0.2">
      <c r="A366" s="654"/>
      <c r="B366" s="654"/>
      <c r="C366" s="654"/>
    </row>
    <row r="367" spans="1:3" x14ac:dyDescent="0.2">
      <c r="A367" s="654"/>
      <c r="B367" s="654"/>
      <c r="C367" s="654"/>
    </row>
    <row r="368" spans="1:3" x14ac:dyDescent="0.2">
      <c r="A368" s="654"/>
      <c r="B368" s="654"/>
      <c r="C368" s="654"/>
    </row>
    <row r="369" spans="1:3" x14ac:dyDescent="0.2">
      <c r="A369" s="654"/>
      <c r="B369" s="654"/>
      <c r="C369" s="654"/>
    </row>
    <row r="370" spans="1:3" x14ac:dyDescent="0.2">
      <c r="A370" s="654"/>
      <c r="B370" s="654"/>
      <c r="C370" s="654"/>
    </row>
    <row r="371" spans="1:3" x14ac:dyDescent="0.2">
      <c r="A371" s="654"/>
      <c r="B371" s="654"/>
      <c r="C371" s="654"/>
    </row>
    <row r="372" spans="1:3" x14ac:dyDescent="0.2">
      <c r="A372" s="654"/>
      <c r="B372" s="654"/>
      <c r="C372" s="654"/>
    </row>
    <row r="373" spans="1:3" x14ac:dyDescent="0.2">
      <c r="A373" s="654"/>
      <c r="B373" s="654"/>
      <c r="C373" s="654"/>
    </row>
    <row r="374" spans="1:3" x14ac:dyDescent="0.2">
      <c r="A374" s="654"/>
      <c r="B374" s="654"/>
      <c r="C374" s="654"/>
    </row>
    <row r="375" spans="1:3" x14ac:dyDescent="0.2">
      <c r="A375" s="654"/>
      <c r="B375" s="654"/>
      <c r="C375" s="654"/>
    </row>
    <row r="376" spans="1:3" x14ac:dyDescent="0.2">
      <c r="A376" s="654"/>
      <c r="B376" s="654"/>
      <c r="C376" s="654"/>
    </row>
    <row r="377" spans="1:3" x14ac:dyDescent="0.2">
      <c r="A377" s="654"/>
      <c r="B377" s="654"/>
      <c r="C377" s="654"/>
    </row>
    <row r="378" spans="1:3" x14ac:dyDescent="0.2">
      <c r="A378" s="654"/>
      <c r="B378" s="654"/>
      <c r="C378" s="654"/>
    </row>
    <row r="379" spans="1:3" x14ac:dyDescent="0.2">
      <c r="A379" s="654"/>
      <c r="B379" s="654"/>
      <c r="C379" s="654"/>
    </row>
    <row r="380" spans="1:3" x14ac:dyDescent="0.2">
      <c r="A380" s="654"/>
      <c r="B380" s="654"/>
      <c r="C380" s="654"/>
    </row>
    <row r="381" spans="1:3" x14ac:dyDescent="0.2">
      <c r="A381" s="654"/>
      <c r="B381" s="654"/>
      <c r="C381" s="654"/>
    </row>
    <row r="382" spans="1:3" x14ac:dyDescent="0.2">
      <c r="A382" s="654"/>
      <c r="B382" s="654"/>
      <c r="C382" s="654"/>
    </row>
    <row r="383" spans="1:3" x14ac:dyDescent="0.2">
      <c r="A383" s="654"/>
      <c r="B383" s="654"/>
      <c r="C383" s="654"/>
    </row>
    <row r="384" spans="1:3" x14ac:dyDescent="0.2">
      <c r="A384" s="654"/>
      <c r="B384" s="654"/>
      <c r="C384" s="654"/>
    </row>
    <row r="385" spans="1:3" x14ac:dyDescent="0.2">
      <c r="A385" s="654"/>
      <c r="B385" s="654"/>
      <c r="C385" s="654"/>
    </row>
    <row r="386" spans="1:3" x14ac:dyDescent="0.2">
      <c r="A386" s="654"/>
      <c r="B386" s="654"/>
      <c r="C386" s="654"/>
    </row>
    <row r="387" spans="1:3" x14ac:dyDescent="0.2">
      <c r="A387" s="654"/>
      <c r="B387" s="654"/>
      <c r="C387" s="654"/>
    </row>
    <row r="388" spans="1:3" x14ac:dyDescent="0.2">
      <c r="A388" s="654"/>
      <c r="B388" s="654"/>
      <c r="C388" s="654"/>
    </row>
    <row r="389" spans="1:3" x14ac:dyDescent="0.2">
      <c r="A389" s="654"/>
      <c r="B389" s="654"/>
      <c r="C389" s="654"/>
    </row>
    <row r="390" spans="1:3" x14ac:dyDescent="0.2">
      <c r="A390" s="654"/>
      <c r="B390" s="654"/>
      <c r="C390" s="654"/>
    </row>
    <row r="391" spans="1:3" x14ac:dyDescent="0.2">
      <c r="A391" s="654"/>
      <c r="B391" s="654"/>
      <c r="C391" s="654"/>
    </row>
    <row r="392" spans="1:3" x14ac:dyDescent="0.2">
      <c r="A392" s="654"/>
      <c r="B392" s="654"/>
      <c r="C392" s="654"/>
    </row>
    <row r="393" spans="1:3" x14ac:dyDescent="0.2">
      <c r="A393" s="654"/>
      <c r="B393" s="654"/>
      <c r="C393" s="654"/>
    </row>
    <row r="394" spans="1:3" x14ac:dyDescent="0.2">
      <c r="A394" s="654"/>
      <c r="B394" s="654"/>
      <c r="C394" s="654"/>
    </row>
    <row r="395" spans="1:3" x14ac:dyDescent="0.2">
      <c r="A395" s="654"/>
      <c r="B395" s="654"/>
      <c r="C395" s="654"/>
    </row>
    <row r="396" spans="1:3" x14ac:dyDescent="0.2">
      <c r="A396" s="654"/>
      <c r="B396" s="654"/>
      <c r="C396" s="654"/>
    </row>
    <row r="397" spans="1:3" x14ac:dyDescent="0.2">
      <c r="A397" s="654"/>
      <c r="B397" s="654"/>
      <c r="C397" s="654"/>
    </row>
    <row r="398" spans="1:3" x14ac:dyDescent="0.2">
      <c r="A398" s="654"/>
      <c r="B398" s="654"/>
      <c r="C398" s="654"/>
    </row>
    <row r="399" spans="1:3" x14ac:dyDescent="0.2">
      <c r="A399" s="654"/>
      <c r="B399" s="654"/>
      <c r="C399" s="654"/>
    </row>
    <row r="400" spans="1:3" x14ac:dyDescent="0.2">
      <c r="A400" s="654"/>
      <c r="B400" s="654"/>
      <c r="C400" s="654"/>
    </row>
    <row r="401" spans="1:3" x14ac:dyDescent="0.2">
      <c r="A401" s="654"/>
      <c r="B401" s="654"/>
      <c r="C401" s="654"/>
    </row>
    <row r="402" spans="1:3" x14ac:dyDescent="0.2">
      <c r="A402" s="654"/>
      <c r="B402" s="654"/>
      <c r="C402" s="654"/>
    </row>
    <row r="403" spans="1:3" x14ac:dyDescent="0.2">
      <c r="A403" s="654"/>
      <c r="B403" s="654"/>
      <c r="C403" s="654"/>
    </row>
    <row r="404" spans="1:3" x14ac:dyDescent="0.2">
      <c r="A404" s="654"/>
      <c r="B404" s="654"/>
      <c r="C404" s="654"/>
    </row>
    <row r="405" spans="1:3" x14ac:dyDescent="0.2">
      <c r="A405" s="654"/>
      <c r="B405" s="654"/>
      <c r="C405" s="654"/>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960</v>
      </c>
      <c r="Q5" s="37" t="s">
        <v>961</v>
      </c>
      <c r="S5" s="37" t="s">
        <v>962</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971</v>
      </c>
      <c r="B1" s="321"/>
      <c r="C1" s="523" t="s">
        <v>50</v>
      </c>
      <c r="D1" s="524"/>
      <c r="E1" s="524"/>
      <c r="F1" s="524"/>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25" t="s">
        <v>102</v>
      </c>
      <c r="K3" s="526"/>
      <c r="L3" s="527"/>
      <c r="M3" s="304"/>
      <c r="N3" s="541" t="s">
        <v>91</v>
      </c>
      <c r="O3" s="541"/>
      <c r="P3" s="541"/>
      <c r="Q3" s="541"/>
      <c r="R3" s="541"/>
      <c r="S3" s="541"/>
      <c r="T3" s="459"/>
    </row>
    <row r="4" spans="1:22" s="279" customFormat="1" x14ac:dyDescent="0.2">
      <c r="A4" s="322"/>
      <c r="B4" s="141"/>
      <c r="C4" s="142" t="s">
        <v>228</v>
      </c>
      <c r="D4" s="286" t="str">
        <f>IF(Condition="","",Condition)</f>
        <v/>
      </c>
      <c r="E4" s="304"/>
      <c r="F4" s="304"/>
      <c r="G4" s="304"/>
      <c r="H4" s="304"/>
      <c r="I4" s="304"/>
      <c r="J4" s="530" t="s">
        <v>1</v>
      </c>
      <c r="K4" s="531"/>
      <c r="L4" s="143">
        <f>MAX(Survey[Deviations])</f>
        <v>0</v>
      </c>
      <c r="M4" s="304"/>
      <c r="N4" s="144" t="s">
        <v>90</v>
      </c>
      <c r="O4" s="145" t="s">
        <v>89</v>
      </c>
      <c r="P4" s="528" t="s">
        <v>100</v>
      </c>
      <c r="Q4" s="529"/>
      <c r="R4" s="144" t="s">
        <v>137</v>
      </c>
      <c r="S4" s="144" t="s">
        <v>141</v>
      </c>
      <c r="T4" s="459"/>
    </row>
    <row r="5" spans="1:22" s="279" customFormat="1" x14ac:dyDescent="0.2">
      <c r="A5" s="322"/>
      <c r="B5" s="141"/>
      <c r="C5" s="142" t="s">
        <v>41</v>
      </c>
      <c r="D5" s="545" t="e">
        <f>companyName</f>
        <v>#N/A</v>
      </c>
      <c r="E5" s="546"/>
      <c r="F5" s="546"/>
      <c r="G5" s="546"/>
      <c r="H5" s="547"/>
      <c r="I5" s="287"/>
      <c r="J5" s="530" t="s">
        <v>2</v>
      </c>
      <c r="K5" s="531"/>
      <c r="L5" s="143">
        <f>MIN(Survey[Deviations])</f>
        <v>0</v>
      </c>
      <c r="M5" s="304"/>
      <c r="N5" s="430">
        <v>1</v>
      </c>
      <c r="O5" s="146"/>
      <c r="P5" s="489" t="str" cm="1">
        <f t="array" ref="P5:P44">Alerts[Alert]</f>
        <v/>
      </c>
      <c r="Q5" s="490"/>
      <c r="R5" s="147" t="e" cm="1">
        <f t="array" ref="R5:R44">Alerts[Temp]</f>
        <v>#VALUE!</v>
      </c>
      <c r="S5" s="147" t="str" cm="1">
        <f t="array" ref="S5:S44">Alerts[Time]</f>
        <v/>
      </c>
      <c r="T5" s="459"/>
    </row>
    <row r="6" spans="1:22" s="279" customFormat="1" x14ac:dyDescent="0.2">
      <c r="A6" s="322"/>
      <c r="B6" s="141"/>
      <c r="C6" s="142" t="s">
        <v>40</v>
      </c>
      <c r="D6" s="542" t="e">
        <f>VLOOKUP("assetName",WorkItemDetails[],2,FALSE)</f>
        <v>#N/A</v>
      </c>
      <c r="E6" s="543"/>
      <c r="F6" s="543"/>
      <c r="G6" s="543"/>
      <c r="H6" s="544"/>
      <c r="J6" s="530" t="s">
        <v>101</v>
      </c>
      <c r="K6" s="531"/>
      <c r="L6" s="143">
        <f>L4-L5</f>
        <v>0</v>
      </c>
      <c r="M6" s="304"/>
      <c r="N6" s="430">
        <v>2</v>
      </c>
      <c r="O6" s="146"/>
      <c r="P6" s="489" t="str">
        <v/>
      </c>
      <c r="Q6" s="490"/>
      <c r="R6" s="488" t="e">
        <v>#VALUE!</v>
      </c>
      <c r="S6" s="147" t="str">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489" t="str">
        <v/>
      </c>
      <c r="Q7" s="490"/>
      <c r="R7" s="488" t="e">
        <v>#VALUE!</v>
      </c>
      <c r="S7" s="147" t="str">
        <v/>
      </c>
      <c r="T7" s="459"/>
    </row>
    <row r="8" spans="1:22" s="279" customFormat="1" x14ac:dyDescent="0.2">
      <c r="A8" s="322"/>
      <c r="B8" s="319"/>
      <c r="C8" s="326"/>
      <c r="D8" s="327"/>
      <c r="E8" s="304"/>
      <c r="F8" s="328" t="str">
        <f>IF(N49="","CHECK TUNING CONSTANTS","")</f>
        <v>CHECK TUNING CONSTANTS</v>
      </c>
      <c r="G8" s="304"/>
      <c r="H8" s="304"/>
      <c r="I8" s="304"/>
      <c r="J8" s="304"/>
      <c r="K8" s="304"/>
      <c r="L8" s="304"/>
      <c r="M8" s="304"/>
      <c r="N8" s="430">
        <v>4</v>
      </c>
      <c r="O8" s="146"/>
      <c r="P8" s="489" t="str">
        <v/>
      </c>
      <c r="Q8" s="490"/>
      <c r="R8" s="488" t="e">
        <v>#VALUE!</v>
      </c>
      <c r="S8" s="147" t="str">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489" t="str">
        <v/>
      </c>
      <c r="Q9" s="490"/>
      <c r="R9" s="488" t="e">
        <v>#VALUE!</v>
      </c>
      <c r="S9" s="147" t="str">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489" t="str">
        <v/>
      </c>
      <c r="Q10" s="490"/>
      <c r="R10" s="488" t="e">
        <v>#VALUE!</v>
      </c>
      <c r="S10" s="147" t="str">
        <v/>
      </c>
      <c r="T10" s="459"/>
    </row>
    <row r="11" spans="1:22" s="279" customFormat="1" x14ac:dyDescent="0.2">
      <c r="A11" s="322"/>
      <c r="B11" s="141"/>
      <c r="C11" s="150" t="s">
        <v>53</v>
      </c>
      <c r="D11" s="458">
        <f>VLOOKUP("serial_number",DaqbookServiceRecord[], 2, FALSE)</f>
        <v>0</v>
      </c>
      <c r="E11" s="304"/>
      <c r="F11" s="304"/>
      <c r="G11" s="305" t="str">
        <f>IF(OR(ISBLANK(D3),ISBLANK(D13)),"",IF(D13&lt;D3,"!!!!! DAQBOOK IS OUT OF CERTIFICATION !!!!!",""))</f>
        <v/>
      </c>
      <c r="H11" s="304"/>
      <c r="I11" s="304"/>
      <c r="J11" s="304"/>
      <c r="K11" s="304"/>
      <c r="L11" s="304"/>
      <c r="M11" s="304"/>
      <c r="N11" s="430">
        <v>7</v>
      </c>
      <c r="O11" s="146"/>
      <c r="P11" s="489" t="str">
        <v/>
      </c>
      <c r="Q11" s="490"/>
      <c r="R11" s="488" t="e">
        <v>#VALUE!</v>
      </c>
      <c r="S11" s="147" t="str">
        <v/>
      </c>
      <c r="T11" s="459"/>
    </row>
    <row r="12" spans="1:22" s="279" customFormat="1" x14ac:dyDescent="0.2">
      <c r="A12" s="322"/>
      <c r="B12" s="141"/>
      <c r="C12" s="150" t="s">
        <v>87</v>
      </c>
      <c r="D12" s="280">
        <f>VLOOKUP("service_date",DaqbookServiceRecord[], 2, FALSE)</f>
        <v>0</v>
      </c>
      <c r="E12" s="304"/>
      <c r="F12" s="304"/>
      <c r="G12" s="305" t="str">
        <f>IF(IF(COUNTIFS(DataForChannels1to14[],"&gt;"&amp;B2,DataForChannels1to14[],"&lt;"&amp;(B2+200))&gt;0,1,0)=1,"!!!!! OVEN OVERSHOT IN POINTS 1-14 !!!!!","")</f>
        <v/>
      </c>
      <c r="H12" s="304"/>
      <c r="I12" s="304"/>
      <c r="J12" s="325"/>
      <c r="K12" s="308"/>
      <c r="L12" s="325"/>
      <c r="M12" s="308"/>
      <c r="N12" s="430">
        <v>8</v>
      </c>
      <c r="O12" s="146"/>
      <c r="P12" s="489" t="str">
        <v/>
      </c>
      <c r="Q12" s="490"/>
      <c r="R12" s="488" t="e">
        <v>#VALUE!</v>
      </c>
      <c r="S12" s="147" t="str">
        <v/>
      </c>
      <c r="T12" s="459"/>
    </row>
    <row r="13" spans="1:22" s="279" customFormat="1" x14ac:dyDescent="0.2">
      <c r="A13" s="322"/>
      <c r="B13" s="151"/>
      <c r="C13" s="152" t="s">
        <v>86</v>
      </c>
      <c r="D13" s="280">
        <f>VLOOKUP("next_service_date",DaqbookServiceRecord[], 2, FALSE)</f>
        <v>0</v>
      </c>
      <c r="E13" s="304"/>
      <c r="F13" s="329"/>
      <c r="G13" s="320" t="str">
        <f>IF(IF(COUNTIFS(DataForChannels15to28[],"&gt;"&amp;B2,DataForChannels15to28[],"&lt;"&amp;(B2+200))&gt;0,1,0)=1,"!!!!! OVEN OVERSHOT IN POINTS 15-28 !!!!!","")</f>
        <v/>
      </c>
      <c r="H13" s="304"/>
      <c r="I13" s="304"/>
      <c r="J13" s="240" t="s">
        <v>321</v>
      </c>
      <c r="K13" s="539" t="str">
        <f>IFERROR(VLOOKUP("PoNumber",WorkItemDetails[],2,FALSE),"")</f>
        <v/>
      </c>
      <c r="L13" s="540"/>
      <c r="M13" s="304"/>
      <c r="N13" s="430">
        <v>9</v>
      </c>
      <c r="O13" s="146"/>
      <c r="P13" s="489" t="str">
        <v/>
      </c>
      <c r="Q13" s="490"/>
      <c r="R13" s="488" t="e">
        <v>#VALUE!</v>
      </c>
      <c r="S13" s="147" t="str">
        <v/>
      </c>
      <c r="T13" s="459"/>
    </row>
    <row r="14" spans="1:22" s="279" customFormat="1" x14ac:dyDescent="0.2">
      <c r="A14" s="322"/>
      <c r="B14" s="141"/>
      <c r="C14" s="150" t="s">
        <v>88</v>
      </c>
      <c r="D14" s="458">
        <f>VLOOKUP("certificate_number",DaqbookServiceRecord[], 2, FALSE)</f>
        <v>0</v>
      </c>
      <c r="E14" s="304"/>
      <c r="F14" s="304"/>
      <c r="G14" s="305" t="str">
        <f>IF(IF(COUNTIFS(DataForChannels29to40[],"&gt;"&amp;B2,DataForChannels29to40[],"&lt;"&amp;(B2+200))&gt;0,1,0)=1,"!!!!! OVEN OVERSHOT IN POINTS 29-40 !!!!!","")</f>
        <v/>
      </c>
      <c r="H14" s="304"/>
      <c r="I14" s="304"/>
      <c r="J14" s="153" t="s">
        <v>136</v>
      </c>
      <c r="K14" s="548"/>
      <c r="L14" s="549"/>
      <c r="M14" s="304"/>
      <c r="N14" s="430">
        <v>10</v>
      </c>
      <c r="O14" s="146"/>
      <c r="P14" s="489" t="str">
        <v/>
      </c>
      <c r="Q14" s="490"/>
      <c r="R14" s="488" t="e">
        <v>#VALUE!</v>
      </c>
      <c r="S14" s="147" t="str">
        <v/>
      </c>
      <c r="T14" s="459"/>
    </row>
    <row r="15" spans="1:22" s="279" customFormat="1" x14ac:dyDescent="0.2">
      <c r="A15" s="322"/>
      <c r="B15" s="188"/>
      <c r="C15" s="186" t="s">
        <v>65</v>
      </c>
      <c r="D15" s="297"/>
      <c r="E15" s="304"/>
      <c r="F15" s="304"/>
      <c r="G15" s="304"/>
      <c r="H15" s="445" t="b">
        <v>1</v>
      </c>
      <c r="I15" s="304"/>
      <c r="J15" s="154" t="s">
        <v>131</v>
      </c>
      <c r="K15" s="534"/>
      <c r="L15" s="535"/>
      <c r="M15" s="304"/>
      <c r="N15" s="430">
        <v>11</v>
      </c>
      <c r="O15" s="146"/>
      <c r="P15" s="489" t="str">
        <v/>
      </c>
      <c r="Q15" s="490"/>
      <c r="R15" s="488" t="e">
        <v>#VALUE!</v>
      </c>
      <c r="S15" s="147" t="str">
        <v/>
      </c>
      <c r="T15" s="459"/>
    </row>
    <row r="16" spans="1:22" s="279" customFormat="1" x14ac:dyDescent="0.2">
      <c r="A16" s="322"/>
      <c r="B16" s="155"/>
      <c r="C16" s="187" t="s">
        <v>262</v>
      </c>
      <c r="D16" s="297"/>
      <c r="E16" s="304"/>
      <c r="F16" s="153" t="s">
        <v>77</v>
      </c>
      <c r="G16" s="418" t="s">
        <v>265</v>
      </c>
      <c r="H16" s="419"/>
      <c r="I16" s="304"/>
      <c r="J16" s="496" t="s">
        <v>161</v>
      </c>
      <c r="K16" s="497"/>
      <c r="L16" s="285"/>
      <c r="M16" s="304"/>
      <c r="N16" s="430">
        <v>12</v>
      </c>
      <c r="O16" s="146"/>
      <c r="P16" s="489" t="str">
        <v/>
      </c>
      <c r="Q16" s="490"/>
      <c r="R16" s="488" t="e">
        <v>#VALUE!</v>
      </c>
      <c r="S16" s="147" t="str">
        <v/>
      </c>
      <c r="T16" s="459"/>
    </row>
    <row r="17" spans="1:22" s="279" customFormat="1" x14ac:dyDescent="0.2">
      <c r="A17" s="322"/>
      <c r="B17" s="141"/>
      <c r="C17" s="142" t="s">
        <v>64</v>
      </c>
      <c r="D17" s="298"/>
      <c r="E17" s="304"/>
      <c r="F17" s="154" t="s">
        <v>96</v>
      </c>
      <c r="G17" s="393" t="str">
        <f>IF(ISBLANK(Load),"",Load)</f>
        <v/>
      </c>
      <c r="H17" s="304"/>
      <c r="I17" s="305"/>
      <c r="J17" s="496" t="s">
        <v>162</v>
      </c>
      <c r="K17" s="497"/>
      <c r="L17" s="157" t="str">
        <f>IF(K15="SIM Load Hot",TEXT(D26,"hh:mm"),"")</f>
        <v/>
      </c>
      <c r="M17" s="304"/>
      <c r="N17" s="430">
        <v>13</v>
      </c>
      <c r="O17" s="146"/>
      <c r="P17" s="489" t="str">
        <v/>
      </c>
      <c r="Q17" s="490"/>
      <c r="R17" s="488" t="e">
        <v>#VALUE!</v>
      </c>
      <c r="S17" s="147" t="str">
        <v/>
      </c>
      <c r="T17" s="459"/>
    </row>
    <row r="18" spans="1:22" s="279" customFormat="1" x14ac:dyDescent="0.2">
      <c r="A18" s="322"/>
      <c r="B18" s="151"/>
      <c r="C18" s="158" t="s">
        <v>67</v>
      </c>
      <c r="D18" s="283"/>
      <c r="E18" s="304"/>
      <c r="F18" s="159" t="s">
        <v>78</v>
      </c>
      <c r="G18" s="550" t="s">
        <v>19</v>
      </c>
      <c r="H18" s="551"/>
      <c r="I18" s="305"/>
      <c r="J18" s="330"/>
      <c r="K18" s="304"/>
      <c r="L18" s="305"/>
      <c r="M18" s="304"/>
      <c r="N18" s="430">
        <v>14</v>
      </c>
      <c r="O18" s="146"/>
      <c r="P18" s="489" t="str">
        <v/>
      </c>
      <c r="Q18" s="490"/>
      <c r="R18" s="488" t="e">
        <v>#VALUE!</v>
      </c>
      <c r="S18" s="147" t="str">
        <v/>
      </c>
      <c r="T18" s="459"/>
    </row>
    <row r="19" spans="1:22" s="279" customFormat="1" x14ac:dyDescent="0.2">
      <c r="A19" s="322"/>
      <c r="B19" s="141"/>
      <c r="C19" s="142" t="s">
        <v>10</v>
      </c>
      <c r="D19" s="466">
        <f>Tolerances</f>
        <v>0</v>
      </c>
      <c r="E19" s="304"/>
      <c r="F19" s="154" t="s">
        <v>79</v>
      </c>
      <c r="G19" s="532" t="str">
        <f>IF(K15="Salt",0, IF(OR(K15="Hot",K15="SIM Load Hot"),IF(OR(D26="",D28=""),"N/A",IF(ISBLANK(D26),"N/A",D28-D26)),"N/A"))</f>
        <v>N/A</v>
      </c>
      <c r="H19" s="533"/>
      <c r="I19" s="331" t="str">
        <f>IF(G19="N/A","N/A",IF(G19=0,"&lt;2",ROUND(IF(LEN(G19)&gt;3,G19*1440,RIGHT(TEXT(G19,"hh:mm"),2)),0))&amp;" MINUTES")</f>
        <v>N/A</v>
      </c>
      <c r="J19" s="461">
        <f>V21</f>
        <v>40</v>
      </c>
      <c r="K19" s="304"/>
      <c r="L19" s="305"/>
      <c r="M19" s="304"/>
      <c r="N19" s="430">
        <v>15</v>
      </c>
      <c r="O19" s="146"/>
      <c r="P19" s="489" t="str">
        <v/>
      </c>
      <c r="Q19" s="490"/>
      <c r="R19" s="488" t="e">
        <v>#VALUE!</v>
      </c>
      <c r="S19" s="147" t="str">
        <v/>
      </c>
      <c r="T19" s="459"/>
      <c r="U19" s="287" t="s">
        <v>945</v>
      </c>
      <c r="V19" s="287">
        <f>L20</f>
        <v>1</v>
      </c>
    </row>
    <row r="20" spans="1:22" s="279" customFormat="1" ht="13.7" customHeight="1" x14ac:dyDescent="0.2">
      <c r="A20" s="185"/>
      <c r="B20" s="536" t="s">
        <v>965</v>
      </c>
      <c r="C20" s="537"/>
      <c r="D20" s="391" t="str">
        <f>"±"&amp;SAT_Tolerance&amp;"°F"</f>
        <v>±0°F</v>
      </c>
      <c r="E20" s="443"/>
      <c r="F20" s="304"/>
      <c r="G20" s="304"/>
      <c r="H20" s="304"/>
      <c r="I20" s="305"/>
      <c r="J20" s="304"/>
      <c r="K20" s="304"/>
      <c r="L20" s="444">
        <v>1</v>
      </c>
      <c r="M20" s="304"/>
      <c r="N20" s="430">
        <v>16</v>
      </c>
      <c r="O20" s="146"/>
      <c r="P20" s="489" t="str">
        <v/>
      </c>
      <c r="Q20" s="490"/>
      <c r="R20" s="488" t="e">
        <v>#VALUE!</v>
      </c>
      <c r="S20" s="147" t="str">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489" t="str">
        <v/>
      </c>
      <c r="Q21" s="490"/>
      <c r="R21" s="488" t="e">
        <v>#VALUE!</v>
      </c>
      <c r="S21" s="147" t="str">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489" t="str">
        <v/>
      </c>
      <c r="Q22" s="490"/>
      <c r="R22" s="488" t="e">
        <v>#VALUE!</v>
      </c>
      <c r="S22" s="147" t="str">
        <v/>
      </c>
      <c r="T22" s="459"/>
      <c r="U22" s="287" t="s">
        <v>942</v>
      </c>
      <c r="V22" s="287">
        <f>V20+1</f>
        <v>1</v>
      </c>
    </row>
    <row r="23" spans="1:22" s="279" customFormat="1" x14ac:dyDescent="0.2">
      <c r="A23" s="322"/>
      <c r="B23" s="141"/>
      <c r="C23" s="421" t="s">
        <v>908</v>
      </c>
      <c r="D23" s="283"/>
      <c r="E23" s="304"/>
      <c r="F23" s="160" t="s">
        <v>97</v>
      </c>
      <c r="G23" s="513" t="s">
        <v>368</v>
      </c>
      <c r="H23" s="514"/>
      <c r="I23" s="514"/>
      <c r="J23" s="514"/>
      <c r="K23" s="515"/>
      <c r="L23" s="305"/>
      <c r="M23" s="304"/>
      <c r="N23" s="430">
        <v>19</v>
      </c>
      <c r="O23" s="146"/>
      <c r="P23" s="489" t="str">
        <v/>
      </c>
      <c r="Q23" s="490"/>
      <c r="R23" s="488" t="e">
        <v>#VALUE!</v>
      </c>
      <c r="S23" s="147" t="str">
        <v/>
      </c>
      <c r="T23" s="459"/>
      <c r="U23" s="287" t="s">
        <v>941</v>
      </c>
      <c r="V23" s="287">
        <f>V20+V21</f>
        <v>40</v>
      </c>
    </row>
    <row r="24" spans="1:22" s="279" customFormat="1" x14ac:dyDescent="0.2">
      <c r="A24" s="322"/>
      <c r="B24" s="536" t="s">
        <v>549</v>
      </c>
      <c r="C24" s="538"/>
      <c r="D24" s="283">
        <v>1</v>
      </c>
      <c r="E24" s="304"/>
      <c r="F24" s="160" t="s">
        <v>98</v>
      </c>
      <c r="G24" s="516"/>
      <c r="H24" s="517"/>
      <c r="I24" s="517"/>
      <c r="J24" s="517"/>
      <c r="K24" s="518"/>
      <c r="L24" s="305"/>
      <c r="M24" s="304"/>
      <c r="N24" s="430">
        <v>20</v>
      </c>
      <c r="O24" s="146"/>
      <c r="P24" s="489" t="str">
        <v/>
      </c>
      <c r="Q24" s="490"/>
      <c r="R24" s="488" t="e">
        <v>#VALUE!</v>
      </c>
      <c r="S24" s="147" t="str">
        <v/>
      </c>
      <c r="T24" s="459"/>
      <c r="U24" s="287" t="s">
        <v>940</v>
      </c>
      <c r="V24" s="287" t="str">
        <f>IF(V19=1,"","DaqBook points "&amp;V22&amp;"-"&amp;V23&amp;" used.")</f>
        <v/>
      </c>
    </row>
    <row r="25" spans="1:22" s="279" customFormat="1" x14ac:dyDescent="0.2">
      <c r="A25" s="322"/>
      <c r="B25" s="319"/>
      <c r="C25" s="320"/>
      <c r="D25" s="327"/>
      <c r="E25" s="304"/>
      <c r="F25" s="160" t="s">
        <v>99</v>
      </c>
      <c r="G25" s="516"/>
      <c r="H25" s="517"/>
      <c r="I25" s="517"/>
      <c r="J25" s="517"/>
      <c r="K25" s="518"/>
      <c r="L25" s="305"/>
      <c r="M25" s="304"/>
      <c r="N25" s="430">
        <v>21</v>
      </c>
      <c r="O25" s="146"/>
      <c r="P25" s="489" t="str">
        <v/>
      </c>
      <c r="Q25" s="490"/>
      <c r="R25" s="488" t="e">
        <v>#VALUE!</v>
      </c>
      <c r="S25" s="147" t="str">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489" t="str">
        <v/>
      </c>
      <c r="Q26" s="490"/>
      <c r="R26" s="488" t="e">
        <v>#VALUE!</v>
      </c>
      <c r="S26" s="147" t="str">
        <v/>
      </c>
      <c r="T26" s="459"/>
    </row>
    <row r="27" spans="1:22" s="279" customFormat="1" x14ac:dyDescent="0.2">
      <c r="A27" s="322"/>
      <c r="B27" s="161">
        <v>10</v>
      </c>
      <c r="C27" s="142" t="s">
        <v>61</v>
      </c>
      <c r="D27" s="293"/>
      <c r="E27" s="306"/>
      <c r="F27" s="240" t="s">
        <v>268</v>
      </c>
      <c r="G27" s="239" t="str">
        <f>G28</f>
        <v/>
      </c>
      <c r="H27" s="511" t="str">
        <f>IF(ISBLANK(D6),"",IF(CheckRec="x","CHECK INSTRUMENT CAL DATES!!!!             CHECK INSTRUMENT CAL DATES!!!!",""))</f>
        <v/>
      </c>
      <c r="I27" s="512"/>
      <c r="J27" s="512"/>
      <c r="K27" s="512"/>
      <c r="L27" s="305"/>
      <c r="M27" s="304"/>
      <c r="N27" s="430">
        <v>23</v>
      </c>
      <c r="O27" s="146"/>
      <c r="P27" s="489" t="str">
        <v/>
      </c>
      <c r="Q27" s="490"/>
      <c r="R27" s="488" t="e">
        <v>#VALUE!</v>
      </c>
      <c r="S27" s="147" t="str">
        <v/>
      </c>
      <c r="T27" s="459"/>
    </row>
    <row r="28" spans="1:22" s="279" customFormat="1" x14ac:dyDescent="0.2">
      <c r="A28" s="322"/>
      <c r="B28" s="162">
        <v>30</v>
      </c>
      <c r="C28" s="158" t="s">
        <v>62</v>
      </c>
      <c r="D28" s="293"/>
      <c r="E28" s="306"/>
      <c r="F28" s="240" t="s">
        <v>269</v>
      </c>
      <c r="G28" s="239" t="str">
        <f>IF(CheckRec="y","Cal by Customer",IF(D$3,D$3,""))</f>
        <v/>
      </c>
      <c r="H28" s="511"/>
      <c r="I28" s="512"/>
      <c r="J28" s="512"/>
      <c r="K28" s="512"/>
      <c r="L28" s="305"/>
      <c r="M28" s="304"/>
      <c r="N28" s="430">
        <v>24</v>
      </c>
      <c r="O28" s="146"/>
      <c r="P28" s="489" t="str">
        <v/>
      </c>
      <c r="Q28" s="490"/>
      <c r="R28" s="488" t="e">
        <v>#VALUE!</v>
      </c>
      <c r="S28" s="147" t="str">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489" t="str">
        <v/>
      </c>
      <c r="Q29" s="490"/>
      <c r="R29" s="488" t="e">
        <v>#VALUE!</v>
      </c>
      <c r="S29" s="147" t="str">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489" t="str">
        <v/>
      </c>
      <c r="Q30" s="490"/>
      <c r="R30" s="488" t="e">
        <v>#VALUE!</v>
      </c>
      <c r="S30" s="147" t="str">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489" t="str">
        <v/>
      </c>
      <c r="Q31" s="490"/>
      <c r="R31" s="488" t="e">
        <v>#VALUE!</v>
      </c>
      <c r="S31" s="147" t="str">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489" t="str">
        <v/>
      </c>
      <c r="Q32" s="490"/>
      <c r="R32" s="488" t="e">
        <v>#VALUE!</v>
      </c>
      <c r="S32" s="147" t="str">
        <v/>
      </c>
      <c r="T32" s="459"/>
    </row>
    <row r="33" spans="1:24" s="279" customFormat="1" x14ac:dyDescent="0.2">
      <c r="A33" s="322"/>
      <c r="B33" s="319"/>
      <c r="C33" s="341"/>
      <c r="D33" s="140"/>
      <c r="E33" s="140"/>
      <c r="F33" s="140"/>
      <c r="G33" s="140"/>
      <c r="H33" s="140"/>
      <c r="I33" s="140"/>
      <c r="J33" s="140"/>
      <c r="K33" s="140"/>
      <c r="L33" s="140"/>
      <c r="M33" s="304"/>
      <c r="N33" s="430">
        <v>29</v>
      </c>
      <c r="O33" s="146"/>
      <c r="P33" s="489" t="str">
        <v/>
      </c>
      <c r="Q33" s="490"/>
      <c r="R33" s="488" t="e">
        <v>#VALUE!</v>
      </c>
      <c r="S33" s="147" t="str">
        <v/>
      </c>
      <c r="T33" s="459"/>
    </row>
    <row r="34" spans="1:24" s="279" customFormat="1" ht="12.75" customHeight="1" x14ac:dyDescent="0.2">
      <c r="A34" s="322"/>
      <c r="B34" s="525" t="s">
        <v>49</v>
      </c>
      <c r="C34" s="526"/>
      <c r="D34" s="526"/>
      <c r="E34" s="526"/>
      <c r="F34" s="526"/>
      <c r="G34" s="526"/>
      <c r="H34" s="526"/>
      <c r="I34" s="526"/>
      <c r="J34" s="526"/>
      <c r="K34" s="526"/>
      <c r="L34" s="527"/>
      <c r="M34" s="304"/>
      <c r="N34" s="430">
        <v>30</v>
      </c>
      <c r="O34" s="146"/>
      <c r="P34" s="489" t="str">
        <v/>
      </c>
      <c r="Q34" s="490"/>
      <c r="R34" s="488" t="e">
        <v>#VALUE!</v>
      </c>
      <c r="S34" s="147" t="str">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489" t="str">
        <v/>
      </c>
      <c r="Q35" s="490"/>
      <c r="R35" s="488" t="e">
        <v>#VALUE!</v>
      </c>
      <c r="S35" s="147" t="str">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489" t="str">
        <v/>
      </c>
      <c r="Q36" s="490"/>
      <c r="R36" s="488" t="e">
        <v>#VALUE!</v>
      </c>
      <c r="S36" s="147" t="str">
        <v/>
      </c>
      <c r="T36" s="460"/>
    </row>
    <row r="37" spans="1:24" s="279" customFormat="1" x14ac:dyDescent="0.2">
      <c r="A37" s="657" t="str">
        <f t="shared" ref="A37:A44" si="0">IF(B37,1,"")</f>
        <v/>
      </c>
      <c r="B37" s="658"/>
      <c r="C37" s="472"/>
      <c r="D37" s="473"/>
      <c r="E37" s="473"/>
      <c r="F37" s="473"/>
      <c r="G37" s="473"/>
      <c r="H37" s="473"/>
      <c r="I37" s="474"/>
      <c r="J37" s="474"/>
      <c r="K37" s="474"/>
      <c r="L37" s="474"/>
      <c r="M37" s="304"/>
      <c r="N37" s="430">
        <v>33</v>
      </c>
      <c r="O37" s="146"/>
      <c r="P37" s="489" t="str">
        <v/>
      </c>
      <c r="Q37" s="490"/>
      <c r="R37" s="488" t="e">
        <v>#VALUE!</v>
      </c>
      <c r="S37" s="147" t="str">
        <v/>
      </c>
      <c r="T37" s="460"/>
    </row>
    <row r="38" spans="1:24" s="279" customFormat="1" x14ac:dyDescent="0.2">
      <c r="A38" s="657" t="str">
        <f t="shared" si="0"/>
        <v/>
      </c>
      <c r="B38" s="659"/>
      <c r="C38" s="475"/>
      <c r="D38" s="473"/>
      <c r="E38" s="473"/>
      <c r="F38" s="473"/>
      <c r="G38" s="473"/>
      <c r="H38" s="473"/>
      <c r="I38" s="474"/>
      <c r="J38" s="474"/>
      <c r="K38" s="474"/>
      <c r="L38" s="474"/>
      <c r="M38" s="304"/>
      <c r="N38" s="430">
        <v>34</v>
      </c>
      <c r="O38" s="146"/>
      <c r="P38" s="489" t="str">
        <v/>
      </c>
      <c r="Q38" s="490"/>
      <c r="R38" s="488" t="e">
        <v>#VALUE!</v>
      </c>
      <c r="S38" s="147" t="str">
        <v/>
      </c>
      <c r="T38" s="460"/>
    </row>
    <row r="39" spans="1:24" s="279" customFormat="1" x14ac:dyDescent="0.2">
      <c r="A39" s="657" t="str">
        <f t="shared" si="0"/>
        <v/>
      </c>
      <c r="B39" s="659"/>
      <c r="C39" s="475"/>
      <c r="D39" s="473"/>
      <c r="E39" s="473"/>
      <c r="F39" s="473"/>
      <c r="G39" s="473"/>
      <c r="H39" s="474"/>
      <c r="I39" s="474"/>
      <c r="J39" s="474"/>
      <c r="K39" s="474"/>
      <c r="L39" s="474"/>
      <c r="M39" s="304"/>
      <c r="N39" s="430">
        <v>35</v>
      </c>
      <c r="O39" s="146"/>
      <c r="P39" s="489" t="str">
        <v/>
      </c>
      <c r="Q39" s="490"/>
      <c r="R39" s="488" t="e">
        <v>#VALUE!</v>
      </c>
      <c r="S39" s="147" t="str">
        <v/>
      </c>
      <c r="T39" s="460"/>
    </row>
    <row r="40" spans="1:24" s="279" customFormat="1" x14ac:dyDescent="0.2">
      <c r="A40" s="657" t="str">
        <f t="shared" si="0"/>
        <v/>
      </c>
      <c r="B40" s="659"/>
      <c r="C40" s="475"/>
      <c r="D40" s="473"/>
      <c r="E40" s="473"/>
      <c r="F40" s="473"/>
      <c r="G40" s="473"/>
      <c r="H40" s="474"/>
      <c r="I40" s="474"/>
      <c r="J40" s="474"/>
      <c r="K40" s="474"/>
      <c r="L40" s="474"/>
      <c r="M40" s="304"/>
      <c r="N40" s="430">
        <v>36</v>
      </c>
      <c r="O40" s="146"/>
      <c r="P40" s="489" t="str">
        <v/>
      </c>
      <c r="Q40" s="490"/>
      <c r="R40" s="488" t="e">
        <v>#VALUE!</v>
      </c>
      <c r="S40" s="147" t="str">
        <v/>
      </c>
      <c r="T40" s="460"/>
    </row>
    <row r="41" spans="1:24" s="279" customFormat="1" x14ac:dyDescent="0.2">
      <c r="A41" s="657" t="str">
        <f t="shared" si="0"/>
        <v/>
      </c>
      <c r="B41" s="660"/>
      <c r="C41" s="476"/>
      <c r="D41" s="477"/>
      <c r="E41" s="477"/>
      <c r="F41" s="477"/>
      <c r="G41" s="477"/>
      <c r="H41" s="477"/>
      <c r="I41" s="477"/>
      <c r="J41" s="477"/>
      <c r="K41" s="477"/>
      <c r="L41" s="477"/>
      <c r="M41" s="304"/>
      <c r="N41" s="430">
        <v>37</v>
      </c>
      <c r="O41" s="146"/>
      <c r="P41" s="489" t="str">
        <v/>
      </c>
      <c r="Q41" s="490"/>
      <c r="R41" s="488" t="e">
        <v>#VALUE!</v>
      </c>
      <c r="S41" s="147" t="str">
        <v/>
      </c>
      <c r="T41" s="460"/>
    </row>
    <row r="42" spans="1:24" s="279" customFormat="1" x14ac:dyDescent="0.2">
      <c r="A42" s="657" t="str">
        <f t="shared" si="0"/>
        <v/>
      </c>
      <c r="B42" s="660"/>
      <c r="C42" s="476"/>
      <c r="D42" s="477"/>
      <c r="E42" s="477"/>
      <c r="F42" s="477"/>
      <c r="G42" s="477"/>
      <c r="H42" s="477"/>
      <c r="I42" s="477"/>
      <c r="J42" s="477"/>
      <c r="K42" s="477"/>
      <c r="L42" s="477"/>
      <c r="M42" s="304"/>
      <c r="N42" s="430">
        <v>38</v>
      </c>
      <c r="O42" s="146"/>
      <c r="P42" s="489" t="str">
        <v/>
      </c>
      <c r="Q42" s="490"/>
      <c r="R42" s="488" t="e">
        <v>#VALUE!</v>
      </c>
      <c r="S42" s="147" t="str">
        <v/>
      </c>
      <c r="T42" s="460"/>
    </row>
    <row r="43" spans="1:24" s="279" customFormat="1" x14ac:dyDescent="0.2">
      <c r="A43" s="657" t="str">
        <f t="shared" si="0"/>
        <v/>
      </c>
      <c r="B43" s="660"/>
      <c r="C43" s="476"/>
      <c r="D43" s="477"/>
      <c r="E43" s="477"/>
      <c r="F43" s="477"/>
      <c r="G43" s="477"/>
      <c r="H43" s="477"/>
      <c r="I43" s="477"/>
      <c r="J43" s="477"/>
      <c r="K43" s="477"/>
      <c r="L43" s="477"/>
      <c r="M43" s="304"/>
      <c r="N43" s="430">
        <v>39</v>
      </c>
      <c r="O43" s="146"/>
      <c r="P43" s="489" t="str">
        <v/>
      </c>
      <c r="Q43" s="490"/>
      <c r="R43" s="488" t="e">
        <v>#VALUE!</v>
      </c>
      <c r="S43" s="147" t="str">
        <v/>
      </c>
      <c r="T43" s="460"/>
    </row>
    <row r="44" spans="1:24" s="279" customFormat="1" x14ac:dyDescent="0.2">
      <c r="A44" s="657" t="str">
        <f t="shared" si="0"/>
        <v/>
      </c>
      <c r="B44" s="660"/>
      <c r="C44" s="476"/>
      <c r="D44" s="477"/>
      <c r="E44" s="477"/>
      <c r="F44" s="477"/>
      <c r="G44" s="477"/>
      <c r="H44" s="477"/>
      <c r="I44" s="477"/>
      <c r="J44" s="477"/>
      <c r="K44" s="477"/>
      <c r="L44" s="477"/>
      <c r="M44" s="304"/>
      <c r="N44" s="430">
        <v>40</v>
      </c>
      <c r="O44" s="146"/>
      <c r="P44" s="489" t="str">
        <v/>
      </c>
      <c r="Q44" s="490"/>
      <c r="R44" s="488" t="e">
        <v>#VALUE!</v>
      </c>
      <c r="S44" s="147" t="str">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2"/>
      <c r="T45" s="306"/>
      <c r="X45" s="482"/>
    </row>
    <row r="46" spans="1:24" x14ac:dyDescent="0.2">
      <c r="A46" s="326"/>
      <c r="B46" s="346"/>
      <c r="C46" s="347"/>
      <c r="D46" s="493" t="s">
        <v>33</v>
      </c>
      <c r="E46" s="494"/>
      <c r="F46" s="494"/>
      <c r="G46" s="494"/>
      <c r="H46" s="494"/>
      <c r="I46" s="495"/>
      <c r="J46" s="348"/>
      <c r="K46" s="348"/>
      <c r="L46" s="348"/>
      <c r="M46" s="519" t="s">
        <v>326</v>
      </c>
      <c r="N46" s="520"/>
      <c r="O46" s="521"/>
      <c r="P46" s="522"/>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0" t="s">
        <v>329</v>
      </c>
      <c r="Q47" s="500"/>
      <c r="R47" s="410" t="s">
        <v>330</v>
      </c>
      <c r="T47" s="308"/>
      <c r="U47" s="308"/>
    </row>
    <row r="48" spans="1:24" x14ac:dyDescent="0.2">
      <c r="A48" s="322"/>
      <c r="B48" s="346"/>
      <c r="C48" s="408" t="s">
        <v>34</v>
      </c>
      <c r="D48" s="291"/>
      <c r="E48" s="291"/>
      <c r="F48" s="291"/>
      <c r="G48" s="291"/>
      <c r="H48" s="291"/>
      <c r="I48" s="291"/>
      <c r="J48" s="348"/>
      <c r="K48" s="348"/>
      <c r="L48" s="348"/>
      <c r="M48" s="501" t="s">
        <v>331</v>
      </c>
      <c r="N48" s="501"/>
      <c r="O48" s="350"/>
      <c r="P48" s="502" t="s">
        <v>377</v>
      </c>
      <c r="Q48" s="503"/>
      <c r="R48" s="504"/>
      <c r="S48" s="481" t="b">
        <f>_xlfn.REGEXTEST(TRIM(Class),"^[0-9][AC]",1)</f>
        <v>0</v>
      </c>
      <c r="T48" s="309"/>
      <c r="U48" s="502" t="s">
        <v>380</v>
      </c>
      <c r="V48" s="503"/>
      <c r="W48" s="504"/>
      <c r="X48" s="481" t="b">
        <f>_xlfn.REGEXTEST(TRIM(Class),"^[0-9][AC]",1)</f>
        <v>0</v>
      </c>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05" t="s">
        <v>382</v>
      </c>
      <c r="Q49" s="506"/>
      <c r="R49" s="507"/>
      <c r="S49" s="411" t="str">
        <f>IF(_xlfn.REGEXTEST(TRIM(Class),"^[0-9][AC]",1),
  IF(L4&lt;=HalfTolMax,"Yes","No"),
"N/A")</f>
        <v>N/A</v>
      </c>
      <c r="T49" s="310"/>
      <c r="U49" s="505" t="s">
        <v>381</v>
      </c>
      <c r="V49" s="506"/>
      <c r="W49" s="507"/>
      <c r="X49" s="411" t="str">
        <f>IF(_xlfn.REGEXTEST(TRIM(Class),"^[0-9][AC]",1),
  IF(L5&gt;=HalfTolMin,"Yes","No"),
"N/A")</f>
        <v>N/A</v>
      </c>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08" t="s">
        <v>334</v>
      </c>
      <c r="Q50" s="509"/>
      <c r="R50" s="510"/>
      <c r="S50" s="353"/>
      <c r="T50" s="311"/>
      <c r="U50" s="508" t="s">
        <v>334</v>
      </c>
      <c r="V50" s="509"/>
      <c r="W50" s="510"/>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05" t="s">
        <v>378</v>
      </c>
      <c r="Q51" s="506"/>
      <c r="R51" s="507"/>
      <c r="S51" s="411"/>
      <c r="T51" s="312"/>
      <c r="U51" s="505" t="s">
        <v>383</v>
      </c>
      <c r="V51" s="506"/>
      <c r="W51" s="507"/>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508" t="s">
        <v>334</v>
      </c>
      <c r="Q52" s="509"/>
      <c r="R52" s="510"/>
      <c r="S52" s="353"/>
      <c r="T52" s="313"/>
      <c r="U52" s="508" t="s">
        <v>334</v>
      </c>
      <c r="V52" s="509"/>
      <c r="W52" s="510"/>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52" t="s">
        <v>379</v>
      </c>
      <c r="Q53" s="553"/>
      <c r="R53" s="554"/>
      <c r="S53" s="411"/>
      <c r="T53" s="314"/>
      <c r="U53" s="552" t="s">
        <v>384</v>
      </c>
      <c r="V53" s="553"/>
      <c r="W53" s="554"/>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55"/>
      <c r="Q54" s="556"/>
      <c r="R54" s="557"/>
      <c r="S54" s="358"/>
      <c r="T54" s="315"/>
      <c r="U54" s="555"/>
      <c r="V54" s="556"/>
      <c r="W54" s="557"/>
    </row>
    <row r="55" spans="1:24" x14ac:dyDescent="0.2">
      <c r="A55" s="322"/>
      <c r="B55" s="346"/>
      <c r="C55" s="409" t="s">
        <v>150</v>
      </c>
      <c r="D55" s="453" t="str">
        <f>_xlfn.XLOOKUP(D$48,WireSets[serial_number],WireSets[wire_roll_cert_number],"",0)</f>
        <v/>
      </c>
      <c r="E55" s="453" t="str">
        <f>_xlfn.XLOOKUP(E$48,WireSets[serial_number],WireSets[wire_roll_cert_number],"",0)</f>
        <v/>
      </c>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f>MAX(Survey[RawTemp])</f>
        <v>0</v>
      </c>
      <c r="Q56" s="413" t="str" cm="1">
        <f t="array" ref="Q56">_xlfn.TEXTJOIN(", ",TRUE, _xlfn.UNIQUE(TEXT(Alerts[High],"h:mm am/pm")))</f>
        <v/>
      </c>
      <c r="R56" s="414"/>
      <c r="S56" s="363"/>
      <c r="T56" s="317"/>
      <c r="U56" s="415">
        <f>MIN(Survey[RawTemp])</f>
        <v>0</v>
      </c>
      <c r="V56" s="413" t="str" cm="1">
        <f t="array" ref="V56">_xlfn.TEXTJOIN(", ",TRUE, _xlfn.UNIQUE(TEXT(Alerts[Low],"h:mm am/pm")))</f>
        <v/>
      </c>
      <c r="W56" s="412"/>
    </row>
    <row r="57" spans="1:24" x14ac:dyDescent="0.2">
      <c r="A57" s="322"/>
      <c r="B57" s="343"/>
      <c r="C57" s="240" t="s">
        <v>342</v>
      </c>
      <c r="D57" s="292"/>
      <c r="E57" s="292"/>
      <c r="F57" s="292"/>
      <c r="G57" s="292"/>
      <c r="H57" s="292"/>
      <c r="I57" s="292"/>
      <c r="J57" s="304"/>
      <c r="K57" s="404"/>
      <c r="L57" s="405"/>
      <c r="M57" s="406" t="s">
        <v>366</v>
      </c>
      <c r="N57" s="300">
        <v>0</v>
      </c>
      <c r="O57" s="306"/>
      <c r="P57" s="304"/>
      <c r="Q57" s="483"/>
      <c r="S57" s="304"/>
      <c r="V57" s="483"/>
    </row>
    <row r="58" spans="1:24" x14ac:dyDescent="0.2">
      <c r="A58" s="322"/>
      <c r="B58" s="343"/>
      <c r="C58" s="493" t="s">
        <v>156</v>
      </c>
      <c r="D58" s="494"/>
      <c r="E58" s="494"/>
      <c r="F58" s="494"/>
      <c r="G58" s="494"/>
      <c r="H58" s="494"/>
      <c r="I58" s="494"/>
      <c r="J58" s="494"/>
      <c r="K58" s="498"/>
      <c r="L58" s="499"/>
      <c r="M58" s="308"/>
      <c r="N58" s="308"/>
      <c r="O58" s="308"/>
      <c r="P58" s="304"/>
      <c r="Q58" s="485"/>
      <c r="S58" s="308"/>
      <c r="T58" s="308"/>
      <c r="U58" s="308"/>
      <c r="V58" s="483"/>
    </row>
    <row r="59" spans="1:24" x14ac:dyDescent="0.2">
      <c r="A59" s="322"/>
      <c r="B59" s="343"/>
      <c r="C59" s="493" t="s">
        <v>159</v>
      </c>
      <c r="D59" s="494"/>
      <c r="E59" s="494"/>
      <c r="F59" s="494"/>
      <c r="G59" s="494"/>
      <c r="H59" s="494"/>
      <c r="I59" s="494"/>
      <c r="J59" s="494"/>
      <c r="K59" s="494"/>
      <c r="L59" s="495"/>
      <c r="M59" s="308"/>
      <c r="N59" s="318" t="str">
        <f>"DOORS OPENED FOR " &amp;L16&amp; " SECONDS TO SIMULATE LOAD ENTRY AT " &amp;L17&amp; "."</f>
        <v>DOORS OPENED FOR  SECONDS TO SIMULATE LOAD ENTRY AT .</v>
      </c>
      <c r="O59" s="318"/>
      <c r="P59" s="318"/>
      <c r="Q59" s="484"/>
      <c r="R59" s="318"/>
      <c r="S59" s="318"/>
      <c r="T59" s="318"/>
      <c r="U59" s="318"/>
      <c r="V59" s="484"/>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4"/>
      <c r="R60" s="318"/>
      <c r="S60" s="318"/>
      <c r="T60" s="318"/>
      <c r="U60" s="318"/>
      <c r="V60" s="484"/>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4"/>
      <c r="R61" s="318"/>
      <c r="S61" s="318"/>
      <c r="T61" s="318"/>
      <c r="U61" s="318"/>
      <c r="V61" s="484"/>
    </row>
    <row r="62" spans="1:24" x14ac:dyDescent="0.2">
      <c r="A62" s="326"/>
      <c r="B62" s="319"/>
      <c r="C62" s="320"/>
      <c r="D62" s="304"/>
      <c r="E62" s="304"/>
      <c r="F62" s="308" t="s">
        <v>361</v>
      </c>
      <c r="G62" s="342"/>
      <c r="H62" s="342"/>
      <c r="I62" s="342"/>
      <c r="J62" s="304"/>
      <c r="K62" s="304"/>
      <c r="L62" s="304"/>
      <c r="M62" s="367"/>
      <c r="N62" s="366"/>
      <c r="O62" s="366"/>
      <c r="P62" s="318"/>
      <c r="Q62" s="484"/>
      <c r="R62" s="318"/>
      <c r="S62" s="318"/>
      <c r="T62" s="318"/>
      <c r="U62" s="318"/>
      <c r="V62" s="484"/>
    </row>
    <row r="63" spans="1:24" x14ac:dyDescent="0.2">
      <c r="A63" s="326"/>
      <c r="B63" s="319"/>
      <c r="C63" s="341"/>
      <c r="D63" s="342"/>
      <c r="E63" s="342"/>
      <c r="F63" s="342"/>
      <c r="G63" s="342"/>
      <c r="H63" s="342"/>
      <c r="I63" s="342"/>
      <c r="J63" s="304"/>
      <c r="K63" s="304"/>
      <c r="L63" s="304"/>
      <c r="M63" s="308"/>
      <c r="N63" s="348"/>
      <c r="O63" s="348"/>
      <c r="P63" s="308"/>
      <c r="Q63" s="485"/>
      <c r="R63" s="308"/>
      <c r="S63" s="308"/>
      <c r="T63" s="308"/>
      <c r="U63" s="308"/>
      <c r="V63" s="483"/>
    </row>
    <row r="64" spans="1:24" x14ac:dyDescent="0.2">
      <c r="A64" s="368"/>
      <c r="B64" s="369"/>
      <c r="C64" s="370"/>
      <c r="D64" s="371"/>
      <c r="E64" s="377"/>
      <c r="F64" s="378"/>
      <c r="G64" s="379"/>
      <c r="H64" s="380"/>
      <c r="I64" s="381"/>
      <c r="J64" s="374"/>
      <c r="K64" s="375"/>
      <c r="L64" s="376"/>
      <c r="M64" s="371"/>
      <c r="N64" s="372"/>
      <c r="O64" s="372"/>
      <c r="P64" s="372"/>
      <c r="Q64" s="486"/>
      <c r="R64" s="304"/>
      <c r="S64" s="304"/>
      <c r="V64" s="483"/>
    </row>
    <row r="65" spans="1:26" x14ac:dyDescent="0.2">
      <c r="A65" s="368"/>
      <c r="B65" s="369"/>
      <c r="C65" s="370"/>
      <c r="D65" s="371"/>
      <c r="E65" s="68" t="s">
        <v>900</v>
      </c>
      <c r="F65" t="s">
        <v>149</v>
      </c>
      <c r="G65" s="37" t="s">
        <v>901</v>
      </c>
      <c r="I65" s="375"/>
      <c r="J65" s="376"/>
      <c r="K65" s="371"/>
      <c r="L65" s="372"/>
      <c r="M65" s="372"/>
      <c r="N65" s="372"/>
      <c r="O65" s="371"/>
      <c r="P65" s="304"/>
      <c r="Q65" s="483"/>
      <c r="R65" s="308"/>
      <c r="S65" s="304"/>
      <c r="V65" s="483"/>
    </row>
    <row r="66" spans="1:26" x14ac:dyDescent="0.2">
      <c r="A66" s="368"/>
      <c r="B66" s="369"/>
      <c r="C66" s="370"/>
      <c r="D66" s="371"/>
      <c r="E66">
        <v>1</v>
      </c>
      <c r="F66" s="389">
        <v>5</v>
      </c>
      <c r="G66" s="389">
        <v>2</v>
      </c>
      <c r="I66" s="375"/>
      <c r="J66" s="376"/>
      <c r="K66" s="371"/>
      <c r="L66" s="372"/>
      <c r="M66" s="372"/>
      <c r="N66" s="372"/>
      <c r="O66" s="371"/>
      <c r="P66" s="304"/>
      <c r="Q66" s="483"/>
      <c r="R66" s="304"/>
      <c r="S66" s="304"/>
      <c r="V66" s="483"/>
    </row>
    <row r="67" spans="1:26" x14ac:dyDescent="0.2">
      <c r="A67" s="368"/>
      <c r="B67" s="369"/>
      <c r="C67" s="370"/>
      <c r="D67" s="371"/>
      <c r="E67">
        <v>2</v>
      </c>
      <c r="F67" s="389">
        <v>10</v>
      </c>
      <c r="G67" s="389">
        <v>3</v>
      </c>
      <c r="I67" s="375"/>
      <c r="J67" s="376"/>
      <c r="K67" s="371"/>
      <c r="L67" s="372"/>
      <c r="M67" s="372"/>
      <c r="N67" s="372"/>
      <c r="O67" s="371"/>
      <c r="P67" s="304"/>
      <c r="Q67" s="483"/>
      <c r="R67" s="304"/>
      <c r="S67" s="304"/>
      <c r="V67" s="483"/>
    </row>
    <row r="68" spans="1:26" x14ac:dyDescent="0.2">
      <c r="A68" s="368"/>
      <c r="B68" s="369"/>
      <c r="C68" s="370"/>
      <c r="D68" s="371"/>
      <c r="E68">
        <v>3</v>
      </c>
      <c r="F68" s="389">
        <v>15</v>
      </c>
      <c r="G68" s="389">
        <v>4</v>
      </c>
      <c r="I68" s="375"/>
      <c r="J68" s="376"/>
      <c r="K68" s="371"/>
      <c r="L68" s="372"/>
      <c r="M68" s="372"/>
      <c r="N68" s="372"/>
      <c r="O68" s="371"/>
      <c r="P68" s="304"/>
      <c r="Q68" s="483"/>
      <c r="R68" s="304"/>
      <c r="S68" s="304"/>
      <c r="V68" s="483"/>
    </row>
    <row r="69" spans="1:26" x14ac:dyDescent="0.2">
      <c r="A69" s="368"/>
      <c r="B69" s="369"/>
      <c r="C69" s="370"/>
      <c r="D69" s="371"/>
      <c r="E69">
        <v>4</v>
      </c>
      <c r="F69" s="389">
        <v>20</v>
      </c>
      <c r="G69" s="389">
        <v>4</v>
      </c>
      <c r="I69" s="375"/>
      <c r="J69" s="376"/>
      <c r="K69" s="371"/>
      <c r="L69" s="372"/>
      <c r="M69" s="372"/>
      <c r="N69" s="372"/>
      <c r="O69" s="371"/>
      <c r="P69" s="304"/>
      <c r="Q69" s="483"/>
      <c r="R69" s="304"/>
      <c r="S69" s="304"/>
      <c r="V69" s="483"/>
    </row>
    <row r="70" spans="1:26" x14ac:dyDescent="0.2">
      <c r="A70" s="368"/>
      <c r="B70" s="369"/>
      <c r="C70" s="370"/>
      <c r="D70" s="371"/>
      <c r="E70">
        <v>5</v>
      </c>
      <c r="F70" s="389">
        <v>25</v>
      </c>
      <c r="G70" s="389">
        <v>5</v>
      </c>
      <c r="I70" s="375"/>
      <c r="J70" s="376"/>
      <c r="K70" s="371"/>
      <c r="L70" s="372"/>
      <c r="M70" s="372"/>
      <c r="N70" s="372"/>
      <c r="O70" s="371"/>
      <c r="P70" s="304"/>
      <c r="Q70" s="483"/>
      <c r="R70" s="304"/>
      <c r="S70" s="304"/>
      <c r="V70" s="483"/>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966</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967</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968</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jnQGhDUvlUc+0hp+4x1H9+NhK3un+1ryLC2XIcVDGhYQkBZ6ZUwxmiAmB8pdovuyWZmWSrrxdA0U0uKFysE0HQ==" saltValue="7n42/lEMHbatYUjxZGmQi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7ZVVdzPviXiRTOOkDX35pvxj2j+ZbPCsidqYSB5mOZyrgX443KJZedN4b7N8oifywoG7EoghZg/ztbwwqSFoAQ==" saltValue="JVRinnyZNC67dwWQddWVhQ=="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55"/>
      <c r="B3" s="656"/>
      <c r="C3" s="656"/>
      <c r="D3" s="656"/>
      <c r="E3" s="656"/>
      <c r="F3" s="656"/>
      <c r="G3" s="656"/>
      <c r="H3" s="656"/>
      <c r="I3" s="656"/>
      <c r="J3" s="656"/>
      <c r="K3" s="656"/>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hDY5ovXPrRUuq0gIxHKwAYUhETr2iPRcRDoLlkFf71jgRs0xNEZpkwpWpU3meY7VyzoQ+QQ53Z0/9FaKRGwhdA==" saltValue="wUhQ5Jj3uzwj9oSacIb2A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0">
        <f>Main!D3</f>
        <v>0</v>
      </c>
      <c r="E10" s="560"/>
      <c r="F10" s="560"/>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59" t="s">
        <v>370</v>
      </c>
      <c r="F15" s="559"/>
      <c r="G15" s="559"/>
      <c r="H15" s="559"/>
    </row>
    <row r="16" spans="3:8" ht="15" x14ac:dyDescent="0.2">
      <c r="C16" s="130"/>
      <c r="D16" s="73"/>
      <c r="E16" s="288" t="s">
        <v>124</v>
      </c>
      <c r="F16" s="288"/>
      <c r="G16" s="288"/>
      <c r="H16" s="288"/>
    </row>
    <row r="17" spans="3:8" ht="15" x14ac:dyDescent="0.2">
      <c r="C17" s="130"/>
      <c r="D17" s="73"/>
      <c r="E17" s="558" t="s">
        <v>125</v>
      </c>
      <c r="F17" s="558"/>
      <c r="G17" s="558"/>
      <c r="H17" s="558"/>
    </row>
    <row r="18" spans="3:8" ht="15" x14ac:dyDescent="0.2">
      <c r="C18" s="130"/>
      <c r="D18" s="73"/>
      <c r="E18" s="558" t="s">
        <v>6</v>
      </c>
      <c r="F18" s="558"/>
      <c r="G18" s="558"/>
      <c r="H18" s="558"/>
    </row>
    <row r="19" spans="3:8" ht="15" x14ac:dyDescent="0.2">
      <c r="C19" s="130"/>
      <c r="D19" s="73"/>
      <c r="E19" s="558" t="s">
        <v>130</v>
      </c>
      <c r="F19" s="558"/>
      <c r="G19" s="558"/>
      <c r="H19" s="558"/>
    </row>
    <row r="20" spans="3:8" ht="15" x14ac:dyDescent="0.2">
      <c r="C20" s="130"/>
      <c r="D20" s="73"/>
      <c r="E20" s="558" t="s">
        <v>127</v>
      </c>
      <c r="F20" s="558"/>
      <c r="G20" s="558"/>
      <c r="H20" s="558"/>
    </row>
    <row r="21" spans="3:8" ht="15" x14ac:dyDescent="0.2">
      <c r="C21" s="130"/>
      <c r="D21" s="73"/>
      <c r="E21" s="558" t="s">
        <v>128</v>
      </c>
      <c r="F21" s="558"/>
      <c r="G21" s="558"/>
      <c r="H21" s="558"/>
    </row>
    <row r="22" spans="3:8" ht="15" x14ac:dyDescent="0.2">
      <c r="C22" s="130"/>
      <c r="D22" s="73"/>
      <c r="E22" s="558" t="s">
        <v>106</v>
      </c>
      <c r="F22" s="558"/>
      <c r="G22" s="558"/>
      <c r="H22" s="558"/>
    </row>
    <row r="23" spans="3:8" ht="15" x14ac:dyDescent="0.2">
      <c r="C23" s="130"/>
      <c r="D23" s="73"/>
      <c r="E23" s="558" t="s">
        <v>129</v>
      </c>
      <c r="F23" s="558"/>
      <c r="G23" s="558"/>
      <c r="H23" s="558"/>
    </row>
    <row r="24" spans="3:8" ht="15" x14ac:dyDescent="0.2">
      <c r="C24" s="82"/>
      <c r="D24" s="73"/>
      <c r="E24" s="558" t="s">
        <v>148</v>
      </c>
      <c r="F24" s="558"/>
      <c r="G24" s="558"/>
      <c r="H24" s="558"/>
    </row>
    <row r="25" spans="3:8" ht="15" x14ac:dyDescent="0.2">
      <c r="C25" s="82"/>
      <c r="D25" s="73"/>
      <c r="E25" s="558"/>
      <c r="F25" s="558"/>
      <c r="G25" s="558"/>
      <c r="H25" s="558"/>
    </row>
    <row r="26" spans="3:8" ht="15" x14ac:dyDescent="0.2">
      <c r="C26" s="82"/>
      <c r="D26" s="73"/>
      <c r="E26" s="558"/>
      <c r="F26" s="558"/>
      <c r="G26" s="558"/>
      <c r="H26" s="558"/>
    </row>
    <row r="27" spans="3:8" ht="15" x14ac:dyDescent="0.2">
      <c r="C27" s="82"/>
      <c r="D27" s="73"/>
      <c r="E27" s="558"/>
      <c r="F27" s="558"/>
      <c r="G27" s="558"/>
      <c r="H27" s="558"/>
    </row>
    <row r="28" spans="3:8" ht="15" x14ac:dyDescent="0.2">
      <c r="C28" s="82"/>
      <c r="D28" s="73"/>
      <c r="E28" s="558"/>
      <c r="F28" s="558"/>
      <c r="G28" s="558"/>
      <c r="H28" s="558"/>
    </row>
    <row r="29" spans="3:8" ht="15" x14ac:dyDescent="0.2">
      <c r="C29" s="82"/>
      <c r="D29" s="73"/>
      <c r="E29" s="558"/>
      <c r="F29" s="558"/>
      <c r="G29" s="558"/>
      <c r="H29" s="558"/>
    </row>
    <row r="30" spans="3:8" ht="15" x14ac:dyDescent="0.2">
      <c r="C30" s="82"/>
      <c r="D30" s="73"/>
      <c r="E30" s="558"/>
      <c r="F30" s="558"/>
      <c r="G30" s="558"/>
      <c r="H30" s="558"/>
    </row>
    <row r="31" spans="3:8" ht="15" x14ac:dyDescent="0.2">
      <c r="C31" s="248" t="s">
        <v>371</v>
      </c>
      <c r="E31" s="558"/>
      <c r="F31" s="558"/>
      <c r="G31" s="558"/>
      <c r="H31" s="558"/>
    </row>
    <row r="32" spans="3:8" ht="15" x14ac:dyDescent="0.2">
      <c r="C32" s="82"/>
      <c r="D32" s="73"/>
      <c r="E32" s="558"/>
      <c r="F32" s="558"/>
      <c r="G32" s="558"/>
      <c r="H32" s="558"/>
    </row>
    <row r="33" spans="3:8" ht="15" x14ac:dyDescent="0.2">
      <c r="C33" s="82"/>
      <c r="D33" s="73"/>
      <c r="E33" s="558"/>
      <c r="F33" s="558"/>
      <c r="G33" s="558"/>
      <c r="H33" s="558"/>
    </row>
    <row r="34" spans="3:8" ht="15" x14ac:dyDescent="0.2">
      <c r="C34" s="82"/>
      <c r="D34" s="73"/>
      <c r="E34" s="558"/>
      <c r="F34" s="558"/>
      <c r="G34" s="558"/>
      <c r="H34" s="558"/>
    </row>
    <row r="35" spans="3:8" ht="15" x14ac:dyDescent="0.2">
      <c r="C35" s="82"/>
      <c r="D35" s="73"/>
      <c r="E35" s="558"/>
      <c r="F35" s="558"/>
      <c r="G35" s="558"/>
      <c r="H35" s="558"/>
    </row>
    <row r="36" spans="3:8" ht="15" x14ac:dyDescent="0.2">
      <c r="C36" s="73"/>
      <c r="D36" s="73"/>
      <c r="E36" s="558"/>
      <c r="F36" s="558"/>
      <c r="G36" s="558"/>
      <c r="H36" s="558"/>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H2KSbv/5Q1teCvZEI5xvNes3utCgume9OkQYw2apSMY++FL2a8Q3IzsA+CfHEW/NfBAwRs5+F/KPg1R5RRosQQ==" saltValue="5FO7ITOkMetjCOwEpxeqS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7"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0" t="s">
        <v>116</v>
      </c>
      <c r="E1" s="580"/>
      <c r="F1" s="580"/>
      <c r="G1" s="580"/>
      <c r="H1" s="580"/>
      <c r="I1" s="580"/>
      <c r="J1" s="580"/>
      <c r="K1" s="580"/>
      <c r="L1" s="580"/>
      <c r="M1" s="580"/>
    </row>
    <row r="2" spans="1:18" ht="23.25" customHeight="1" x14ac:dyDescent="0.3">
      <c r="C2" s="230"/>
      <c r="D2" s="230" t="s">
        <v>319</v>
      </c>
      <c r="E2" s="230"/>
      <c r="F2" s="230"/>
      <c r="G2" s="230"/>
      <c r="H2" s="230"/>
      <c r="I2" s="230"/>
      <c r="J2" s="230"/>
      <c r="K2" s="230"/>
      <c r="L2" s="230"/>
      <c r="M2" s="230"/>
    </row>
    <row r="3" spans="1:18" ht="23.25" x14ac:dyDescent="0.35">
      <c r="C3" s="581"/>
      <c r="D3" s="581"/>
      <c r="E3" s="581"/>
      <c r="F3" s="581"/>
      <c r="G3" s="581"/>
      <c r="H3" s="581"/>
      <c r="I3" s="581"/>
      <c r="J3" s="581"/>
      <c r="K3" s="581"/>
      <c r="L3" s="581"/>
      <c r="M3" s="581"/>
    </row>
    <row r="4" spans="1:18" ht="23.25" x14ac:dyDescent="0.35">
      <c r="C4" s="214"/>
      <c r="D4" s="214"/>
      <c r="E4" s="214"/>
      <c r="F4" s="214"/>
      <c r="G4" s="214"/>
      <c r="H4" s="214"/>
      <c r="I4" s="214"/>
      <c r="J4" s="214"/>
      <c r="K4" s="214"/>
      <c r="L4" s="214"/>
      <c r="M4" s="214"/>
    </row>
    <row r="5" spans="1:18" ht="23.25" x14ac:dyDescent="0.35">
      <c r="C5" s="577" t="s">
        <v>6</v>
      </c>
      <c r="D5" s="577"/>
      <c r="E5" s="577"/>
      <c r="F5" s="577"/>
      <c r="G5" s="577"/>
      <c r="H5" s="577"/>
      <c r="I5" s="577"/>
      <c r="J5" s="577"/>
      <c r="K5" s="577"/>
      <c r="L5" s="577"/>
      <c r="M5" s="577"/>
    </row>
    <row r="6" spans="1:18" ht="23.25" x14ac:dyDescent="0.35">
      <c r="C6" s="215"/>
      <c r="D6" s="215"/>
      <c r="E6" s="597" t="str">
        <f>IFERROR(CONCATENATE("Report Number: ", WorkItemNumber),"")</f>
        <v/>
      </c>
      <c r="F6" s="597"/>
      <c r="G6" s="597"/>
      <c r="H6" s="597"/>
      <c r="I6" s="597"/>
      <c r="J6" s="597"/>
      <c r="K6" s="597"/>
      <c r="L6" s="215"/>
      <c r="M6" s="215"/>
    </row>
    <row r="7" spans="1:18" ht="18.75" customHeight="1" x14ac:dyDescent="0.3">
      <c r="G7" s="578"/>
      <c r="H7" s="578"/>
      <c r="I7" s="192"/>
      <c r="R7" t="str">
        <f>CONCATENATE("Page ",Main!L9," of ",Main!L10)</f>
        <v xml:space="preserve">Page  of </v>
      </c>
    </row>
    <row r="8" spans="1:18" ht="18" customHeight="1" x14ac:dyDescent="0.25">
      <c r="G8" s="590"/>
      <c r="H8" s="590"/>
      <c r="J8" s="79"/>
      <c r="K8" s="216" t="s">
        <v>316</v>
      </c>
      <c r="L8" s="601">
        <f>FormNumber</f>
        <v>0</v>
      </c>
      <c r="M8" s="601"/>
      <c r="N8" s="601"/>
      <c r="O8" s="601"/>
    </row>
    <row r="9" spans="1:18" ht="18" customHeight="1" x14ac:dyDescent="0.25">
      <c r="A9" s="216" t="s">
        <v>273</v>
      </c>
      <c r="B9" s="33" t="e">
        <f>Main!D5</f>
        <v>#N/A</v>
      </c>
      <c r="J9" s="79"/>
      <c r="K9" s="216" t="s">
        <v>317</v>
      </c>
      <c r="L9" s="592" t="str">
        <f>"JGI WP4100, "&amp;CalMethod</f>
        <v xml:space="preserve">JGI WP4100, </v>
      </c>
      <c r="M9" s="592"/>
      <c r="N9" s="592"/>
      <c r="O9" s="592"/>
    </row>
    <row r="10" spans="1:18" ht="18" customHeight="1" x14ac:dyDescent="0.25">
      <c r="A10" s="87"/>
      <c r="B10" s="211" t="str" cm="1">
        <f t="array" ref="B10">IFZERO('Customer Table'!R2,"")</f>
        <v/>
      </c>
      <c r="J10" s="79"/>
      <c r="K10" s="216"/>
      <c r="L10" s="592"/>
      <c r="M10" s="592"/>
      <c r="N10" s="592"/>
      <c r="O10" s="592"/>
    </row>
    <row r="11" spans="1:18" ht="18" customHeight="1" x14ac:dyDescent="0.25">
      <c r="A11" s="87"/>
      <c r="B11" s="211" t="str" cm="1">
        <f t="array" ref="B11">IFZERO('Customer Table'!S2,"")</f>
        <v/>
      </c>
      <c r="J11" s="79"/>
      <c r="K11" s="216" t="s">
        <v>318</v>
      </c>
      <c r="L11" s="601">
        <f>TolSource</f>
        <v>0</v>
      </c>
      <c r="M11" s="601"/>
      <c r="N11" s="601"/>
      <c r="O11" s="601"/>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f>Ranges</f>
        <v>0</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f>Tolerances</f>
        <v>0</v>
      </c>
      <c r="M15" s="216" t="s">
        <v>285</v>
      </c>
      <c r="N15" s="224">
        <f>Main!D3</f>
        <v>0</v>
      </c>
      <c r="O15" s="195"/>
    </row>
    <row r="16" spans="1:18" ht="18" customHeight="1" x14ac:dyDescent="0.25">
      <c r="A16" s="222" t="s">
        <v>276</v>
      </c>
      <c r="B16" s="593">
        <f>SerialNumber</f>
        <v>0</v>
      </c>
      <c r="C16" s="593"/>
      <c r="D16" s="593"/>
      <c r="E16" s="593"/>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4">
        <f>Class</f>
        <v>0</v>
      </c>
      <c r="C18" s="584"/>
      <c r="D18" s="584"/>
      <c r="E18" s="584"/>
      <c r="G18" s="216" t="s">
        <v>283</v>
      </c>
      <c r="H18" s="220">
        <f>CubicFeet</f>
        <v>0</v>
      </c>
      <c r="M18" s="216" t="s">
        <v>287</v>
      </c>
      <c r="N18" s="220" t="str">
        <f>Main!G18</f>
        <v>ACCEPTED</v>
      </c>
      <c r="O18" s="195"/>
    </row>
    <row r="19" spans="1:19" ht="18" customHeight="1" x14ac:dyDescent="0.25">
      <c r="A19" s="206"/>
      <c r="B19" s="585"/>
      <c r="C19" s="585"/>
      <c r="D19" s="585"/>
      <c r="E19" s="585"/>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4">
        <f>Controller</f>
        <v>0</v>
      </c>
      <c r="C21" s="594"/>
      <c r="D21" s="594"/>
      <c r="E21" s="594"/>
      <c r="F21" s="207" t="s">
        <v>290</v>
      </c>
      <c r="G21" s="594">
        <f>ContSN</f>
        <v>0</v>
      </c>
      <c r="H21" s="594"/>
      <c r="I21" s="594"/>
      <c r="J21" s="207" t="s">
        <v>291</v>
      </c>
      <c r="K21" s="219">
        <f>ContTol</f>
        <v>0</v>
      </c>
      <c r="L21" s="193"/>
      <c r="M21" s="207" t="s">
        <v>292</v>
      </c>
      <c r="N21" s="232" t="str">
        <f>Main!G27</f>
        <v/>
      </c>
      <c r="O21" s="194"/>
    </row>
    <row r="22" spans="1:19" ht="18" customHeight="1" x14ac:dyDescent="0.25">
      <c r="A22" s="225" t="s">
        <v>289</v>
      </c>
      <c r="B22" s="595">
        <f>_xlnm.Recorder</f>
        <v>0</v>
      </c>
      <c r="C22" s="595"/>
      <c r="D22" s="595"/>
      <c r="E22" s="595"/>
      <c r="F22" s="208" t="s">
        <v>290</v>
      </c>
      <c r="G22" s="595">
        <f>RecSN</f>
        <v>0</v>
      </c>
      <c r="H22" s="595"/>
      <c r="I22" s="595"/>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e">
        <f>TEXT(Survey!#REF!,"0.0") &amp; Unit &amp; " / " &amp; TEXT(Survey!#REF!,"0.0") &amp; Unit</f>
        <v>#REF!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TEXT(Survey!K9,"0.0") &amp; Unit</f>
        <v>#NUM!</v>
      </c>
      <c r="O26" s="195"/>
    </row>
    <row r="27" spans="1:19" ht="18" customHeight="1" x14ac:dyDescent="0.2">
      <c r="A27" s="226"/>
      <c r="B27" s="196"/>
      <c r="C27" s="591" t="s">
        <v>301</v>
      </c>
      <c r="D27" s="591"/>
      <c r="E27" s="591"/>
      <c r="F27" s="591"/>
      <c r="G27" s="591"/>
      <c r="H27" s="591"/>
      <c r="I27" s="591"/>
      <c r="J27" s="591"/>
      <c r="K27" s="591"/>
      <c r="L27" s="591"/>
      <c r="M27" s="591"/>
      <c r="N27" s="196"/>
      <c r="O27" s="197"/>
    </row>
    <row r="28" spans="1:19" ht="8.1" customHeight="1" x14ac:dyDescent="0.2"/>
    <row r="29" spans="1:19" ht="18" customHeight="1" x14ac:dyDescent="0.2">
      <c r="A29" s="587" t="s">
        <v>271</v>
      </c>
      <c r="B29" s="588"/>
      <c r="C29" s="589"/>
      <c r="D29" s="587" t="s">
        <v>302</v>
      </c>
      <c r="E29" s="588"/>
      <c r="F29" s="588"/>
      <c r="G29" s="589"/>
      <c r="H29" s="587" t="s">
        <v>272</v>
      </c>
      <c r="I29" s="588"/>
      <c r="J29" s="588"/>
      <c r="K29" s="589"/>
      <c r="L29" s="587" t="s">
        <v>255</v>
      </c>
      <c r="M29" s="588"/>
      <c r="N29" s="588"/>
      <c r="O29" s="589"/>
    </row>
    <row r="30" spans="1:19" ht="18" customHeight="1" x14ac:dyDescent="0.2">
      <c r="A30" s="212"/>
      <c r="B30" s="202" t="s">
        <v>959</v>
      </c>
      <c r="C30" s="213"/>
      <c r="D30" s="570" t="str">
        <f>CONCATENATE(Main!D22,Unit," / ",Main!D23,"% RH")</f>
        <v>°F / % RH</v>
      </c>
      <c r="E30" s="571"/>
      <c r="F30" s="571"/>
      <c r="G30" s="572"/>
      <c r="H30" s="570">
        <f>OvenLocation</f>
        <v>0</v>
      </c>
      <c r="I30" s="571"/>
      <c r="J30" s="571"/>
      <c r="K30" s="572"/>
      <c r="L30" s="570">
        <f>Condition</f>
        <v>0</v>
      </c>
      <c r="M30" s="571"/>
      <c r="N30" s="571"/>
      <c r="O30" s="572"/>
    </row>
    <row r="31" spans="1:19" ht="18" customHeight="1" x14ac:dyDescent="0.2"/>
    <row r="32" spans="1:19" ht="18" customHeight="1" x14ac:dyDescent="0.25">
      <c r="A32" s="235" t="s">
        <v>303</v>
      </c>
      <c r="B32" s="579" t="s">
        <v>304</v>
      </c>
      <c r="C32" s="579"/>
      <c r="D32" s="235" t="s">
        <v>267</v>
      </c>
      <c r="E32" s="235" t="s">
        <v>266</v>
      </c>
      <c r="F32" s="235" t="s">
        <v>305</v>
      </c>
      <c r="G32" s="79"/>
      <c r="H32" s="79"/>
      <c r="I32" s="235" t="s">
        <v>303</v>
      </c>
      <c r="J32" s="579" t="s">
        <v>304</v>
      </c>
      <c r="K32" s="579"/>
      <c r="L32" s="235" t="s">
        <v>267</v>
      </c>
      <c r="M32" s="235" t="s">
        <v>266</v>
      </c>
      <c r="N32" s="235" t="s">
        <v>305</v>
      </c>
    </row>
    <row r="33" spans="1:14" ht="18" customHeight="1" x14ac:dyDescent="0.2">
      <c r="A33" s="236" t="str">
        <f>IF(B33="","",1)</f>
        <v/>
      </c>
      <c r="B33" s="578" t="str">
        <f>IF(Main!O5="","",Main!O5)</f>
        <v/>
      </c>
      <c r="C33" s="578"/>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78" t="str">
        <f>IF(Main!O25="","",Main!O25)</f>
        <v/>
      </c>
      <c r="K33" s="578"/>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78" t="str">
        <f>IF(Main!O6="","",Main!O6)</f>
        <v/>
      </c>
      <c r="C34" s="578"/>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78" t="str">
        <f>IF(Main!O26="","",Main!O26)</f>
        <v/>
      </c>
      <c r="K34" s="578"/>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78" t="str">
        <f>IF(Main!O7="","",Main!O7)</f>
        <v/>
      </c>
      <c r="C35" s="578"/>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78" t="str">
        <f>IF(Main!O27="","",Main!O27)</f>
        <v/>
      </c>
      <c r="K35" s="578"/>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78" t="str">
        <f>IF(Main!O8="","",Main!O8)</f>
        <v/>
      </c>
      <c r="C36" s="578"/>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78" t="str">
        <f>IF(Main!O28="","",Main!O28)</f>
        <v/>
      </c>
      <c r="K36" s="578"/>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78" t="str">
        <f>IF(Main!O9="","",Main!O9)</f>
        <v/>
      </c>
      <c r="C37" s="578"/>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78" t="str">
        <f>IF(Main!O29="","",Main!O29)</f>
        <v/>
      </c>
      <c r="K37" s="578"/>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78" t="str">
        <f>IF(Main!O10="","",Main!O10)</f>
        <v/>
      </c>
      <c r="C38" s="578"/>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78" t="str">
        <f>IF(Main!O30="","",Main!O30)</f>
        <v/>
      </c>
      <c r="K38" s="578"/>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78" t="str">
        <f>IF(Main!O11="","",Main!O11)</f>
        <v/>
      </c>
      <c r="C39" s="578"/>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78" t="str">
        <f>IF(Main!O31="","",Main!O31)</f>
        <v/>
      </c>
      <c r="K39" s="578"/>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78" t="str">
        <f>IF(Main!O12="","",Main!O12)</f>
        <v/>
      </c>
      <c r="C40" s="578"/>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78" t="str">
        <f>IF(Main!O32="","",Main!O32)</f>
        <v/>
      </c>
      <c r="K40" s="578"/>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78" t="str">
        <f>IF(Main!O13="","",Main!O13)</f>
        <v/>
      </c>
      <c r="C41" s="578"/>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78" t="str">
        <f>IF(Main!O33="","",Main!O33)</f>
        <v/>
      </c>
      <c r="K41" s="578"/>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78" t="str">
        <f>IF(Main!O14="","",Main!O14)</f>
        <v/>
      </c>
      <c r="C42" s="578"/>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78" t="str">
        <f>IF(Main!O34="","",Main!O34)</f>
        <v/>
      </c>
      <c r="K42" s="578"/>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78" t="str">
        <f>IF(Main!O15="","",Main!O15)</f>
        <v/>
      </c>
      <c r="C43" s="578"/>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78" t="str">
        <f>IF(Main!O35="","",Main!O35)</f>
        <v/>
      </c>
      <c r="K43" s="578"/>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78" t="str">
        <f>IF(Main!O16="","",Main!O16)</f>
        <v/>
      </c>
      <c r="C44" s="578"/>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78" t="str">
        <f>IF(Main!O36="","",Main!O36)</f>
        <v/>
      </c>
      <c r="K44" s="578"/>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78" t="str">
        <f>IF(Main!O17="","",Main!O17)</f>
        <v/>
      </c>
      <c r="C45" s="578"/>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78" t="str">
        <f>IF(Main!O37="","",Main!O37)</f>
        <v/>
      </c>
      <c r="K45" s="578"/>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78" t="str">
        <f>IF(Main!O18="","",Main!O18)</f>
        <v/>
      </c>
      <c r="C46" s="578"/>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78" t="str">
        <f>IF(Main!O38="","",Main!O38)</f>
        <v/>
      </c>
      <c r="K46" s="578"/>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78" t="str">
        <f>IF(Main!O19="","",Main!O19)</f>
        <v/>
      </c>
      <c r="C47" s="578"/>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78" t="str">
        <f>IF(Main!O39="","",Main!O39)</f>
        <v/>
      </c>
      <c r="K47" s="578"/>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78" t="str">
        <f>IF(Main!O20="","",Main!O20)</f>
        <v/>
      </c>
      <c r="C48" s="578"/>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78" t="str">
        <f>IF(Main!O40="","",Main!O40)</f>
        <v/>
      </c>
      <c r="K48" s="578"/>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78" t="str">
        <f>IF(Main!O21="","",Main!O21)</f>
        <v/>
      </c>
      <c r="C49" s="578"/>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78" t="str">
        <f>IF(Main!O41="","",Main!O41)</f>
        <v/>
      </c>
      <c r="K49" s="578"/>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78" t="str">
        <f>IF(Main!O22="","",Main!O22)</f>
        <v/>
      </c>
      <c r="C50" s="578"/>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78" t="str">
        <f>IF(Main!O42="","",Main!O42)</f>
        <v/>
      </c>
      <c r="K50" s="578"/>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78" t="str">
        <f>IF(Main!O23="","",Main!O23)</f>
        <v/>
      </c>
      <c r="C51" s="578"/>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78" t="str">
        <f>IF(Main!O43="","",Main!O43)</f>
        <v/>
      </c>
      <c r="K51" s="578"/>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78" t="str">
        <f>IF(Main!O24="","",Main!O24)</f>
        <v/>
      </c>
      <c r="C52" s="578"/>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78" t="str">
        <f>IF(Main!O44="","",Main!O44)</f>
        <v/>
      </c>
      <c r="K52" s="578"/>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3" t="s">
        <v>306</v>
      </c>
      <c r="C53" s="583"/>
      <c r="D53" s="583"/>
      <c r="E53" s="583"/>
      <c r="F53" s="583"/>
      <c r="G53" s="583"/>
      <c r="H53" s="583"/>
      <c r="I53" s="583"/>
      <c r="J53" s="583"/>
      <c r="K53" s="583"/>
      <c r="L53" s="583"/>
      <c r="M53" s="583"/>
      <c r="N53" s="583"/>
    </row>
    <row r="54" spans="1:21" ht="18" customHeight="1" x14ac:dyDescent="0.25">
      <c r="A54" s="238" t="s">
        <v>307</v>
      </c>
      <c r="B54" s="592" t="str">
        <f>CONCATENATE(Main!G23,"  ",FurnaceSpecificComments,Main!V24)</f>
        <v xml:space="preserve">Found in tolerance.  No adjustment required.  </v>
      </c>
      <c r="C54" s="592"/>
      <c r="D54" s="592"/>
      <c r="E54" s="592"/>
      <c r="F54" s="592"/>
      <c r="G54" s="592"/>
      <c r="H54" s="592"/>
      <c r="I54" s="592"/>
      <c r="J54" s="592"/>
      <c r="K54" s="592"/>
      <c r="L54" s="592"/>
      <c r="M54" s="592"/>
      <c r="N54" s="592"/>
      <c r="O54" s="592"/>
    </row>
    <row r="55" spans="1:21" ht="18" customHeight="1" x14ac:dyDescent="0.25">
      <c r="A55" s="76"/>
      <c r="B55" s="592"/>
      <c r="C55" s="592"/>
      <c r="D55" s="592"/>
      <c r="E55" s="592"/>
      <c r="F55" s="592"/>
      <c r="G55" s="592"/>
      <c r="H55" s="592"/>
      <c r="I55" s="592"/>
      <c r="J55" s="592"/>
      <c r="K55" s="592"/>
      <c r="L55" s="592"/>
      <c r="M55" s="592"/>
      <c r="N55" s="592"/>
      <c r="O55" s="592"/>
    </row>
    <row r="56" spans="1:21" ht="18" customHeight="1" x14ac:dyDescent="0.25">
      <c r="A56" s="76"/>
      <c r="B56" s="592"/>
      <c r="C56" s="592"/>
      <c r="D56" s="592"/>
      <c r="E56" s="592"/>
      <c r="F56" s="592"/>
      <c r="G56" s="592"/>
      <c r="H56" s="592"/>
      <c r="I56" s="592"/>
      <c r="J56" s="592"/>
      <c r="K56" s="592"/>
      <c r="L56" s="592"/>
      <c r="M56" s="592"/>
      <c r="N56" s="592"/>
      <c r="O56" s="592"/>
    </row>
    <row r="57" spans="1:21" ht="18" customHeight="1" x14ac:dyDescent="0.25">
      <c r="A57" s="76"/>
      <c r="B57" s="592"/>
      <c r="C57" s="592"/>
      <c r="D57" s="592"/>
      <c r="E57" s="592"/>
      <c r="F57" s="592"/>
      <c r="G57" s="592"/>
      <c r="H57" s="592"/>
      <c r="I57" s="592"/>
      <c r="J57" s="592"/>
      <c r="K57" s="592"/>
      <c r="L57" s="592"/>
      <c r="M57" s="592"/>
      <c r="N57" s="592"/>
      <c r="O57" s="592"/>
    </row>
    <row r="58" spans="1:21" ht="18" customHeight="1" x14ac:dyDescent="0.25">
      <c r="A58" s="76"/>
      <c r="B58" s="592"/>
      <c r="C58" s="592"/>
      <c r="D58" s="592"/>
      <c r="E58" s="592"/>
      <c r="F58" s="592"/>
      <c r="G58" s="592"/>
      <c r="H58" s="592"/>
      <c r="I58" s="592"/>
      <c r="J58" s="592"/>
      <c r="K58" s="592"/>
      <c r="L58" s="592"/>
      <c r="M58" s="592"/>
      <c r="N58" s="592"/>
      <c r="O58" s="592"/>
    </row>
    <row r="59" spans="1:21" ht="18" customHeight="1" x14ac:dyDescent="0.25">
      <c r="A59" s="76"/>
      <c r="B59" s="592"/>
      <c r="C59" s="592"/>
      <c r="D59" s="592"/>
      <c r="E59" s="592"/>
      <c r="F59" s="592"/>
      <c r="G59" s="592"/>
      <c r="H59" s="592"/>
      <c r="I59" s="592"/>
      <c r="J59" s="592"/>
      <c r="K59" s="592"/>
      <c r="L59" s="592"/>
      <c r="M59" s="592"/>
      <c r="N59" s="592"/>
      <c r="O59" s="592"/>
    </row>
    <row r="60" spans="1:21" ht="18" customHeight="1" x14ac:dyDescent="0.2">
      <c r="A60" s="582" t="s">
        <v>315</v>
      </c>
      <c r="B60" s="582"/>
      <c r="C60" s="582"/>
      <c r="D60" s="582"/>
      <c r="E60" s="582"/>
      <c r="F60" s="582"/>
      <c r="G60" s="582"/>
      <c r="H60" s="582"/>
      <c r="I60" s="582"/>
      <c r="J60" s="582"/>
      <c r="K60" s="582"/>
      <c r="L60" s="582"/>
      <c r="M60" s="582"/>
      <c r="N60" s="582"/>
      <c r="O60" s="582"/>
    </row>
    <row r="61" spans="1:21" ht="18" customHeight="1" x14ac:dyDescent="0.2">
      <c r="A61" s="586" t="s">
        <v>308</v>
      </c>
      <c r="B61" s="586"/>
      <c r="C61" s="586"/>
      <c r="D61" s="586"/>
      <c r="E61" s="586"/>
      <c r="F61" s="600" t="s">
        <v>309</v>
      </c>
      <c r="G61" s="600"/>
      <c r="H61" s="600"/>
      <c r="I61" s="600" t="s">
        <v>310</v>
      </c>
      <c r="J61" s="600"/>
      <c r="K61" s="600" t="s">
        <v>311</v>
      </c>
      <c r="L61" s="600"/>
      <c r="M61" s="600" t="s">
        <v>312</v>
      </c>
      <c r="N61" s="600"/>
      <c r="O61" s="600"/>
      <c r="R61" s="37" t="s">
        <v>852</v>
      </c>
      <c r="T61" s="37" t="s">
        <v>853</v>
      </c>
      <c r="U61" s="37" t="s">
        <v>68</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98" t="str">
        <f>IF(F62="","",Main!D12)</f>
        <v/>
      </c>
      <c r="J62" s="599"/>
      <c r="K62" s="598" t="str">
        <f>IF(F62="","",Main!D13)</f>
        <v/>
      </c>
      <c r="L62" s="599"/>
      <c r="M62" s="564" t="str">
        <f>IF(F62="","",Main!D14)</f>
        <v/>
      </c>
      <c r="N62" s="565"/>
      <c r="O62" s="566"/>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1" t="str">
        <f>IF(Q63="","",CONCATENATE("Type """,U63,""" Thermocouple"))</f>
        <v/>
      </c>
      <c r="B63" s="562"/>
      <c r="C63" s="562"/>
      <c r="D63" s="562"/>
      <c r="E63" s="563"/>
      <c r="F63" s="561" t="str">
        <f>IF(Main!D48="","",Main!D48)</f>
        <v/>
      </c>
      <c r="G63" s="562"/>
      <c r="H63" s="563"/>
      <c r="I63" s="575" t="str">
        <f>IF(Q63="","",Main!D49)</f>
        <v/>
      </c>
      <c r="J63" s="576"/>
      <c r="K63" s="575" t="str">
        <f>IF(Q63="","",Main!D50)</f>
        <v/>
      </c>
      <c r="L63" s="576"/>
      <c r="M63" s="561" t="str">
        <f>IF(Q63="","",Main!D54)</f>
        <v/>
      </c>
      <c r="N63" s="562"/>
      <c r="O63" s="563"/>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1" t="str">
        <f t="shared" ref="A64:A69" si="0">IF(Q64="","",CONCATENATE("Type """,U64,""" Thermocouple"))</f>
        <v/>
      </c>
      <c r="B64" s="562"/>
      <c r="C64" s="562"/>
      <c r="D64" s="562"/>
      <c r="E64" s="563"/>
      <c r="F64" s="561" t="str">
        <f>IF(Main!E48="","",Main!E48)</f>
        <v/>
      </c>
      <c r="G64" s="562"/>
      <c r="H64" s="563"/>
      <c r="I64" s="575" t="str">
        <f>IF(Q64="","",Main!E49)</f>
        <v/>
      </c>
      <c r="J64" s="576"/>
      <c r="K64" s="575" t="str">
        <f>IF(Q64="","",Main!E50)</f>
        <v/>
      </c>
      <c r="L64" s="576"/>
      <c r="M64" s="561" t="str">
        <f>IF(Q64="","",Main!E54)</f>
        <v/>
      </c>
      <c r="N64" s="562"/>
      <c r="O64" s="563"/>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1" t="str">
        <f t="shared" si="0"/>
        <v/>
      </c>
      <c r="B65" s="562"/>
      <c r="C65" s="562"/>
      <c r="D65" s="562"/>
      <c r="E65" s="563"/>
      <c r="F65" s="561" t="str">
        <f>IF(Main!F48="","",Main!F48)</f>
        <v/>
      </c>
      <c r="G65" s="562"/>
      <c r="H65" s="563"/>
      <c r="I65" s="575" t="str">
        <f>IF(Q65="","",Main!F49)</f>
        <v/>
      </c>
      <c r="J65" s="576"/>
      <c r="K65" s="575" t="str">
        <f>IF(Q65="","",Main!F50)</f>
        <v/>
      </c>
      <c r="L65" s="576"/>
      <c r="M65" s="561" t="str">
        <f>IF(Q65="","",Main!F54)</f>
        <v/>
      </c>
      <c r="N65" s="562"/>
      <c r="O65" s="563"/>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1" t="str">
        <f t="shared" si="0"/>
        <v/>
      </c>
      <c r="B66" s="562"/>
      <c r="C66" s="562"/>
      <c r="D66" s="562"/>
      <c r="E66" s="563"/>
      <c r="F66" s="561" t="str">
        <f>IF(Main!G48="","",Main!G48)</f>
        <v/>
      </c>
      <c r="G66" s="562"/>
      <c r="H66" s="563"/>
      <c r="I66" s="575" t="str">
        <f>IF(Q66="","",Main!G49)</f>
        <v/>
      </c>
      <c r="J66" s="576"/>
      <c r="K66" s="575" t="str">
        <f>IF(Q66="","",Main!G50)</f>
        <v/>
      </c>
      <c r="L66" s="576"/>
      <c r="M66" s="561" t="str">
        <f>IF(Q66="","",Main!G54)</f>
        <v/>
      </c>
      <c r="N66" s="562"/>
      <c r="O66" s="563"/>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1" t="str">
        <f t="shared" si="0"/>
        <v/>
      </c>
      <c r="B67" s="562"/>
      <c r="C67" s="562"/>
      <c r="D67" s="562"/>
      <c r="E67" s="563"/>
      <c r="F67" s="561" t="str">
        <f>IF(Main!H48="","",Main!H48)</f>
        <v/>
      </c>
      <c r="G67" s="562"/>
      <c r="H67" s="563"/>
      <c r="I67" s="575" t="str">
        <f>IF(Q67="","",Main!H49)</f>
        <v/>
      </c>
      <c r="J67" s="576"/>
      <c r="K67" s="575" t="str">
        <f>IF(Q67="","",Main!H50)</f>
        <v/>
      </c>
      <c r="L67" s="576"/>
      <c r="M67" s="561" t="str">
        <f>IF(Q67="","",Main!H54)</f>
        <v/>
      </c>
      <c r="N67" s="562"/>
      <c r="O67" s="563"/>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1" t="str">
        <f t="shared" si="0"/>
        <v/>
      </c>
      <c r="B68" s="562"/>
      <c r="C68" s="562"/>
      <c r="D68" s="562"/>
      <c r="E68" s="563"/>
      <c r="F68" s="561" t="str">
        <f>IF(Main!I48="","",Main!I48)</f>
        <v/>
      </c>
      <c r="G68" s="562"/>
      <c r="H68" s="563"/>
      <c r="I68" s="575" t="str">
        <f>IF(Q68="","",Main!I49)</f>
        <v/>
      </c>
      <c r="J68" s="576"/>
      <c r="K68" s="575" t="str">
        <f>IF(Q68="","",Main!I50)</f>
        <v/>
      </c>
      <c r="L68" s="576"/>
      <c r="M68" s="561" t="str">
        <f>IF(Q68="","",Main!I54)</f>
        <v/>
      </c>
      <c r="N68" s="562"/>
      <c r="O68" s="563"/>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70" t="str">
        <f>IF(Main!J48="","",Main!J48)</f>
        <v/>
      </c>
      <c r="G69" s="571"/>
      <c r="H69" s="572"/>
      <c r="I69" s="573" t="str">
        <f>IF(Q69="","",Main!J49)</f>
        <v/>
      </c>
      <c r="J69" s="574"/>
      <c r="K69" s="573" t="str">
        <f>IF(Q69="","",Main!J50)</f>
        <v/>
      </c>
      <c r="L69" s="574"/>
      <c r="M69" s="570" t="str">
        <f>IF(Q69="","",Main!J54)</f>
        <v/>
      </c>
      <c r="N69" s="571"/>
      <c r="O69" s="572"/>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96" t="s">
        <v>963</v>
      </c>
      <c r="B71" s="596"/>
      <c r="C71" s="596"/>
      <c r="D71" s="596"/>
      <c r="E71" s="596"/>
      <c r="F71" s="596"/>
      <c r="G71" s="596"/>
      <c r="H71" s="596"/>
      <c r="I71" s="596"/>
      <c r="J71" s="596"/>
      <c r="K71" s="596"/>
      <c r="L71" s="596"/>
      <c r="M71" s="596"/>
      <c r="N71" s="596"/>
      <c r="O71" s="596"/>
    </row>
    <row r="72" spans="1:21" ht="18" customHeight="1" x14ac:dyDescent="0.2">
      <c r="A72" s="596"/>
      <c r="B72" s="596"/>
      <c r="C72" s="596"/>
      <c r="D72" s="596"/>
      <c r="E72" s="596"/>
      <c r="F72" s="596"/>
      <c r="G72" s="596"/>
      <c r="H72" s="596"/>
      <c r="I72" s="596"/>
      <c r="J72" s="596"/>
      <c r="K72" s="596"/>
      <c r="L72" s="596"/>
      <c r="M72" s="596"/>
      <c r="N72" s="596"/>
      <c r="O72" s="596"/>
    </row>
    <row r="73" spans="1:21" ht="18" customHeight="1" x14ac:dyDescent="0.2">
      <c r="A73" s="596"/>
      <c r="B73" s="596"/>
      <c r="C73" s="596"/>
      <c r="D73" s="596"/>
      <c r="E73" s="596"/>
      <c r="F73" s="596"/>
      <c r="G73" s="596"/>
      <c r="H73" s="596"/>
      <c r="I73" s="596"/>
      <c r="J73" s="596"/>
      <c r="K73" s="596"/>
      <c r="L73" s="596"/>
      <c r="M73" s="596"/>
      <c r="N73" s="596"/>
      <c r="O73" s="596"/>
    </row>
    <row r="74" spans="1:21" ht="18" customHeight="1" x14ac:dyDescent="0.2">
      <c r="A74" s="596"/>
      <c r="B74" s="596"/>
      <c r="C74" s="596"/>
      <c r="D74" s="596"/>
      <c r="E74" s="596"/>
      <c r="F74" s="596"/>
      <c r="G74" s="596"/>
      <c r="H74" s="596"/>
      <c r="I74" s="596"/>
      <c r="J74" s="596"/>
      <c r="K74" s="596"/>
      <c r="L74" s="596"/>
      <c r="M74" s="596"/>
      <c r="N74" s="596"/>
      <c r="O74" s="596"/>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92VU0zzRJXN7zo//AoM8GULpJ4hsbAWzbt3qEvDa7EpM9aQubw5ZZNzbuERrBYmeN5fAvrwmf3r978Gov1PW/w==" saltValue="LDadxsWQEk84PQkLHIkV9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4"/>
    </row>
    <row r="3" spans="1:2" x14ac:dyDescent="0.2">
      <c r="A3" s="654"/>
    </row>
    <row r="4" spans="1:2" x14ac:dyDescent="0.2">
      <c r="A4" s="654"/>
    </row>
    <row r="5" spans="1:2" x14ac:dyDescent="0.2">
      <c r="A5" s="654"/>
    </row>
    <row r="6" spans="1:2" x14ac:dyDescent="0.2">
      <c r="A6" s="654"/>
    </row>
    <row r="7" spans="1:2" x14ac:dyDescent="0.2">
      <c r="A7" s="654"/>
    </row>
    <row r="8" spans="1:2" x14ac:dyDescent="0.2">
      <c r="A8" s="654"/>
    </row>
    <row r="9" spans="1:2" x14ac:dyDescent="0.2">
      <c r="A9" s="654"/>
    </row>
    <row r="10" spans="1:2" x14ac:dyDescent="0.2">
      <c r="A10" s="654"/>
    </row>
    <row r="11" spans="1:2" x14ac:dyDescent="0.2">
      <c r="A11" s="654"/>
    </row>
    <row r="12" spans="1:2" x14ac:dyDescent="0.2">
      <c r="A12" s="654"/>
    </row>
    <row r="13" spans="1:2" x14ac:dyDescent="0.2">
      <c r="A13" s="654"/>
    </row>
    <row r="14" spans="1:2" x14ac:dyDescent="0.2">
      <c r="A14" s="654"/>
    </row>
    <row r="15" spans="1:2" x14ac:dyDescent="0.2">
      <c r="A15" s="654"/>
    </row>
    <row r="16" spans="1:2" x14ac:dyDescent="0.2">
      <c r="A16" s="654"/>
    </row>
    <row r="17" spans="1:1" x14ac:dyDescent="0.2">
      <c r="A17" s="654"/>
    </row>
    <row r="18" spans="1:1" x14ac:dyDescent="0.2">
      <c r="A18" s="654"/>
    </row>
    <row r="19" spans="1:1" x14ac:dyDescent="0.2">
      <c r="A19" s="654"/>
    </row>
    <row r="20" spans="1:1" x14ac:dyDescent="0.2">
      <c r="A20" s="654"/>
    </row>
    <row r="21" spans="1:1" x14ac:dyDescent="0.2">
      <c r="A21" s="654"/>
    </row>
    <row r="22" spans="1:1" x14ac:dyDescent="0.2">
      <c r="A22" s="654"/>
    </row>
    <row r="23" spans="1:1" x14ac:dyDescent="0.2">
      <c r="A23" s="654"/>
    </row>
    <row r="24" spans="1:1" x14ac:dyDescent="0.2">
      <c r="A24" s="654"/>
    </row>
    <row r="25" spans="1:1" x14ac:dyDescent="0.2">
      <c r="A25" s="654"/>
    </row>
    <row r="26" spans="1:1" x14ac:dyDescent="0.2">
      <c r="A26" s="654"/>
    </row>
    <row r="27" spans="1:1" x14ac:dyDescent="0.2">
      <c r="A27" s="654"/>
    </row>
    <row r="28" spans="1:1" x14ac:dyDescent="0.2">
      <c r="A28" s="654"/>
    </row>
    <row r="29" spans="1:1" x14ac:dyDescent="0.2">
      <c r="A29" s="654"/>
    </row>
    <row r="30" spans="1:1" x14ac:dyDescent="0.2">
      <c r="A30" s="654"/>
    </row>
    <row r="31" spans="1:1" x14ac:dyDescent="0.2">
      <c r="A31" s="654"/>
    </row>
    <row r="32" spans="1:1" x14ac:dyDescent="0.2">
      <c r="A32" s="654"/>
    </row>
    <row r="33" spans="1:1" x14ac:dyDescent="0.2">
      <c r="A33" s="654"/>
    </row>
    <row r="34" spans="1:1" x14ac:dyDescent="0.2">
      <c r="A34" s="654"/>
    </row>
    <row r="35" spans="1:1" x14ac:dyDescent="0.2">
      <c r="A35" s="654"/>
    </row>
    <row r="36" spans="1:1" x14ac:dyDescent="0.2">
      <c r="A36" s="654"/>
    </row>
    <row r="37" spans="1:1" x14ac:dyDescent="0.2">
      <c r="A37" s="654"/>
    </row>
    <row r="38" spans="1:1" x14ac:dyDescent="0.2">
      <c r="A38" s="654"/>
    </row>
    <row r="39" spans="1:1" x14ac:dyDescent="0.2">
      <c r="A39" s="654"/>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5" t="s">
        <v>103</v>
      </c>
      <c r="N2" s="605"/>
      <c r="O2" s="605"/>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06" t="s">
        <v>104</v>
      </c>
      <c r="N3" s="607"/>
      <c r="O3" s="608"/>
      <c r="P3" s="103"/>
      <c r="Q3" s="103"/>
    </row>
    <row r="4" spans="1:18" ht="15" x14ac:dyDescent="0.25">
      <c r="B4" s="113" t="s">
        <v>25</v>
      </c>
      <c r="C4" s="60"/>
      <c r="D4" s="37"/>
      <c r="E4" s="37"/>
      <c r="F4" s="37"/>
      <c r="G4" s="37"/>
      <c r="H4" s="37"/>
      <c r="I4" s="37"/>
      <c r="J4" s="37"/>
      <c r="K4" s="37"/>
      <c r="L4" s="37"/>
      <c r="M4" s="609" t="s">
        <v>144</v>
      </c>
      <c r="N4" s="610"/>
      <c r="O4" s="611"/>
      <c r="P4" s="85"/>
    </row>
    <row r="5" spans="1:18" x14ac:dyDescent="0.2">
      <c r="B5" s="114" t="s">
        <v>26</v>
      </c>
      <c r="C5" s="54">
        <f>Main!D3</f>
        <v>0</v>
      </c>
      <c r="D5" s="37"/>
      <c r="E5" s="37"/>
      <c r="F5" s="37"/>
      <c r="G5" s="37"/>
      <c r="H5" s="37"/>
      <c r="I5" s="52" t="s">
        <v>4</v>
      </c>
      <c r="J5" s="37" t="e">
        <f>Main!D5</f>
        <v>#N/A</v>
      </c>
      <c r="L5" s="37"/>
      <c r="M5" s="612" t="s">
        <v>143</v>
      </c>
      <c r="N5" s="613"/>
      <c r="O5" s="614"/>
      <c r="P5" s="129"/>
    </row>
    <row r="6" spans="1:18" ht="13.5" thickBot="1" x14ac:dyDescent="0.25">
      <c r="B6" s="114" t="s">
        <v>3</v>
      </c>
      <c r="C6" s="55" t="e">
        <f>Main!D6</f>
        <v>#N/A</v>
      </c>
      <c r="D6" s="37"/>
      <c r="E6" s="37"/>
      <c r="F6" s="37"/>
      <c r="G6" s="37"/>
      <c r="H6" s="37"/>
      <c r="I6" s="52" t="s">
        <v>5</v>
      </c>
      <c r="J6" s="51">
        <f>Main!D16</f>
        <v>0</v>
      </c>
      <c r="L6" s="37"/>
      <c r="M6" s="615" t="str">
        <f>IF(MaxMode,"","In 1/2 Tolerance")</f>
        <v>In 1/2 Tolerance</v>
      </c>
      <c r="N6" s="616"/>
      <c r="O6" s="617"/>
      <c r="P6" s="86"/>
    </row>
    <row r="7" spans="1:18" ht="13.5" thickBot="1" x14ac:dyDescent="0.25">
      <c r="B7" s="114" t="s">
        <v>27</v>
      </c>
      <c r="C7" s="55" t="str">
        <f>Main!D7</f>
        <v>Jeff Hall</v>
      </c>
      <c r="D7" s="37"/>
      <c r="E7" s="37"/>
      <c r="F7" s="37"/>
      <c r="G7" s="37"/>
      <c r="H7" s="37"/>
      <c r="I7" s="57" t="s">
        <v>165</v>
      </c>
      <c r="J7" s="603">
        <f>Main!$D$30</f>
        <v>0</v>
      </c>
      <c r="K7" s="604"/>
      <c r="L7" s="100"/>
      <c r="M7" s="602" t="s">
        <v>142</v>
      </c>
      <c r="N7" s="602"/>
      <c r="O7" s="602"/>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1F5QI9/34BYAIMRmPHBtKS0KtUbeM/ou8pBdXCTvi+WNOJXvYde9qzPOMAgogw/WERkjODH27uItxUWGNmIpKQ==" saltValue="2PxbI6x1cJdPNjDE73Oz8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18" t="s">
        <v>103</v>
      </c>
      <c r="N2" s="618"/>
      <c r="O2" s="618"/>
      <c r="P2" s="294" t="str">
        <f>IF(Main!$E$30="","A10",ADDRESS(13+Standards_Info!W2+(MATCH(Main!$E$30,Data_Sheet!$A$14:$A$903,0)),1,4))</f>
        <v>A10</v>
      </c>
      <c r="Q2" s="294">
        <f>VALUE(MID(P2, 2, LEN(P2)-1))</f>
        <v>10</v>
      </c>
    </row>
    <row r="3" spans="1:17" ht="15" x14ac:dyDescent="0.25">
      <c r="B3" s="126" t="s">
        <v>0</v>
      </c>
      <c r="C3" s="3"/>
      <c r="M3" s="606" t="s">
        <v>104</v>
      </c>
      <c r="N3" s="607"/>
      <c r="O3" s="608"/>
      <c r="P3" s="40"/>
    </row>
    <row r="4" spans="1:17" ht="15" x14ac:dyDescent="0.25">
      <c r="B4" s="113" t="s">
        <v>25</v>
      </c>
      <c r="C4" s="4"/>
      <c r="M4" s="609" t="s">
        <v>144</v>
      </c>
      <c r="N4" s="610"/>
      <c r="O4" s="611"/>
    </row>
    <row r="5" spans="1:17" x14ac:dyDescent="0.2">
      <c r="B5" s="114" t="s">
        <v>26</v>
      </c>
      <c r="C5" s="54">
        <f>Main!D3</f>
        <v>0</v>
      </c>
      <c r="D5" s="37"/>
      <c r="E5" s="37"/>
      <c r="F5" s="37"/>
      <c r="G5" s="37"/>
      <c r="H5" s="37"/>
      <c r="I5" s="52" t="s">
        <v>4</v>
      </c>
      <c r="J5" t="e">
        <f>Main!D5</f>
        <v>#N/A</v>
      </c>
      <c r="M5" s="619" t="s">
        <v>143</v>
      </c>
      <c r="N5" s="620"/>
      <c r="O5" s="621"/>
    </row>
    <row r="6" spans="1:17" ht="13.5" thickBot="1" x14ac:dyDescent="0.25">
      <c r="B6" s="114" t="s">
        <v>3</v>
      </c>
      <c r="C6" s="55" t="e">
        <f>Main!D6</f>
        <v>#N/A</v>
      </c>
      <c r="D6" s="37"/>
      <c r="E6" s="37"/>
      <c r="F6" s="37"/>
      <c r="G6" s="37"/>
      <c r="H6" s="37"/>
      <c r="I6" s="52" t="s">
        <v>5</v>
      </c>
      <c r="J6" s="39">
        <f>Main!D16</f>
        <v>0</v>
      </c>
      <c r="M6" s="615" t="str">
        <f>IF(MaxMode,"","In 1/2 Tolerance")</f>
        <v>In 1/2 Tolerance</v>
      </c>
      <c r="N6" s="616"/>
      <c r="O6" s="617"/>
    </row>
    <row r="7" spans="1:17" ht="13.5" thickBot="1" x14ac:dyDescent="0.25">
      <c r="B7" s="114" t="s">
        <v>27</v>
      </c>
      <c r="C7" s="55" t="str">
        <f>Main!D7</f>
        <v>Jeff Hall</v>
      </c>
      <c r="D7" s="37"/>
      <c r="E7" s="37"/>
      <c r="F7" s="37"/>
      <c r="G7" s="37"/>
      <c r="H7" s="37"/>
      <c r="I7" s="57" t="s">
        <v>165</v>
      </c>
      <c r="J7" s="603">
        <f>Main!$D$30</f>
        <v>0</v>
      </c>
      <c r="K7" s="604"/>
      <c r="L7" s="100"/>
      <c r="M7" s="602" t="s">
        <v>142</v>
      </c>
      <c r="N7" s="602"/>
      <c r="O7" s="602"/>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MDUxDzBRbvfAibOJJAVHNo8HENDvGsAo7sqvqY6DFnFTL9HdBH0JXMCJThgnZnybP/Z0bIsBu11/vTCOmHWWzw==" saltValue="DfGE5oTJHSiB6QWqgPbRC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18" t="s">
        <v>103</v>
      </c>
      <c r="N2" s="618"/>
      <c r="O2" s="618"/>
      <c r="P2" s="294" t="str">
        <f>IF(Main!$E$30="","A10",ADDRESS(13+Standards_Info!W2+(MATCH(Main!$E$30,Data_Sheet!$A$14:$A$903,0)),1,4))</f>
        <v>A10</v>
      </c>
      <c r="Q2" s="294">
        <f>VALUE(MID(P2, 2, LEN(P2)-1))</f>
        <v>10</v>
      </c>
    </row>
    <row r="3" spans="1:17" ht="15" x14ac:dyDescent="0.25">
      <c r="B3" s="126" t="s">
        <v>0</v>
      </c>
      <c r="C3" s="3"/>
      <c r="M3" s="606" t="s">
        <v>104</v>
      </c>
      <c r="N3" s="607"/>
      <c r="O3" s="608"/>
      <c r="P3" s="40"/>
    </row>
    <row r="4" spans="1:17" ht="15" x14ac:dyDescent="0.25">
      <c r="B4" s="113" t="s">
        <v>25</v>
      </c>
      <c r="C4" s="4"/>
      <c r="M4" s="609" t="s">
        <v>144</v>
      </c>
      <c r="N4" s="610"/>
      <c r="O4" s="611"/>
    </row>
    <row r="5" spans="1:17" x14ac:dyDescent="0.2">
      <c r="B5" s="114" t="s">
        <v>26</v>
      </c>
      <c r="C5" s="54">
        <f>Main!D3</f>
        <v>0</v>
      </c>
      <c r="D5" s="37"/>
      <c r="E5" s="37"/>
      <c r="F5" s="37"/>
      <c r="G5" s="37"/>
      <c r="H5" s="37"/>
      <c r="I5" s="52" t="s">
        <v>4</v>
      </c>
      <c r="J5" s="37" t="e">
        <f>Main!D5</f>
        <v>#N/A</v>
      </c>
      <c r="L5" s="37"/>
      <c r="M5" s="612" t="s">
        <v>143</v>
      </c>
      <c r="N5" s="613"/>
      <c r="O5" s="614"/>
    </row>
    <row r="6" spans="1:17" ht="13.5" thickBot="1" x14ac:dyDescent="0.25">
      <c r="B6" s="114" t="s">
        <v>3</v>
      </c>
      <c r="C6" s="55" t="e">
        <f>Main!D6</f>
        <v>#N/A</v>
      </c>
      <c r="D6" s="37"/>
      <c r="E6" s="37"/>
      <c r="F6" s="37"/>
      <c r="G6" s="37"/>
      <c r="H6" s="37"/>
      <c r="I6" s="52" t="s">
        <v>5</v>
      </c>
      <c r="J6" s="51">
        <f>Main!D16</f>
        <v>0</v>
      </c>
      <c r="L6" s="37"/>
      <c r="M6" s="615" t="str">
        <f>IF(MaxMode,"","In 1/2 Tolerance")</f>
        <v>In 1/2 Tolerance</v>
      </c>
      <c r="N6" s="616"/>
      <c r="O6" s="617"/>
    </row>
    <row r="7" spans="1:17" ht="13.5" thickBot="1" x14ac:dyDescent="0.25">
      <c r="B7" s="114" t="s">
        <v>27</v>
      </c>
      <c r="C7" s="55" t="str">
        <f>Main!D7</f>
        <v>Jeff Hall</v>
      </c>
      <c r="D7" s="37"/>
      <c r="E7" s="37"/>
      <c r="F7" s="37"/>
      <c r="G7" s="37"/>
      <c r="H7" s="37"/>
      <c r="I7" s="57" t="s">
        <v>165</v>
      </c>
      <c r="J7" s="603">
        <f>Main!$D$30</f>
        <v>0</v>
      </c>
      <c r="K7" s="604"/>
      <c r="L7" s="100"/>
      <c r="M7" s="602" t="s">
        <v>142</v>
      </c>
      <c r="N7" s="602"/>
      <c r="O7" s="602"/>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HHo9+o+LqgbHzWVxnPbo9WbCN0TNdiEmBsBSh3n21gZsjVpKQuJeX69yWDdSTm2OyQDmtI6u9wygAukq/1ar1A==" saltValue="Ls6zkk68914w+7YkG8kG+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79" t="s">
        <v>14</v>
      </c>
      <c r="B9" s="16"/>
      <c r="C9" s="480" t="str" cm="1">
        <f t="array" ref="C9">IFERROR(_xlfn._TRO_TRAILING(Main!$B37:$C37),"")</f>
        <v/>
      </c>
      <c r="D9" s="17"/>
      <c r="E9" s="17" t="s">
        <v>15</v>
      </c>
      <c r="F9" s="480" t="str" cm="1">
        <f t="array" ref="F9">IFERROR(_xlfn._TRO_TRAILING(Main!B38:C38),"")</f>
        <v/>
      </c>
      <c r="G9" s="17"/>
      <c r="H9" s="17" t="s">
        <v>15</v>
      </c>
      <c r="I9" s="480" t="str" cm="1">
        <f t="array" ref="I9">IFERROR(_xlfn._TRO_TRAILING(Main!$B39:$C39),"")</f>
        <v/>
      </c>
      <c r="J9" s="17"/>
      <c r="K9" s="17" t="s">
        <v>15</v>
      </c>
      <c r="L9" s="480"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8"/>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8"/>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8"/>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79" t="s">
        <v>14</v>
      </c>
      <c r="B21" s="16"/>
      <c r="C21" s="480" t="str" cm="1">
        <f t="array" ref="C21">IFERROR(_xlfn._TRO_TRAILING(Main!$B41:$C41),"")</f>
        <v/>
      </c>
      <c r="D21" s="17"/>
      <c r="E21" s="17" t="s">
        <v>15</v>
      </c>
      <c r="F21" s="480" t="str" cm="1">
        <f t="array" ref="F21">IFERROR(_xlfn._TRO_TRAILING(Main!$B42:$C42),"")</f>
        <v/>
      </c>
      <c r="G21" s="17"/>
      <c r="H21" s="17" t="s">
        <v>15</v>
      </c>
      <c r="I21" s="480" t="str" cm="1">
        <f t="array" ref="I21">IFERROR(_xlfn._TRO_TRAILING(Main!$B43:$C43),"")</f>
        <v/>
      </c>
      <c r="J21" s="17"/>
      <c r="K21" s="17" t="s">
        <v>15</v>
      </c>
      <c r="L21" s="480"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3"/>
    </row>
    <row r="34" spans="1:14" x14ac:dyDescent="0.25">
      <c r="A34" s="18"/>
      <c r="B34" s="18"/>
      <c r="D34" s="623"/>
      <c r="E34" s="623"/>
      <c r="F34" s="623"/>
      <c r="G34" s="623"/>
      <c r="H34" s="623"/>
      <c r="I34" s="623"/>
      <c r="J34" s="623"/>
      <c r="K34" s="623"/>
      <c r="L34" s="623"/>
      <c r="M34" s="623"/>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4" t="s">
        <v>20</v>
      </c>
      <c r="D37" s="624"/>
      <c r="E37" s="624"/>
      <c r="F37" s="624"/>
      <c r="G37" s="624"/>
      <c r="H37" s="624"/>
      <c r="I37" s="624"/>
      <c r="J37" s="624"/>
      <c r="K37" s="624"/>
      <c r="L37" s="624"/>
      <c r="M37" s="624"/>
    </row>
    <row r="38" spans="1:14" x14ac:dyDescent="0.25">
      <c r="A38" s="18"/>
      <c r="B38" s="18"/>
      <c r="C38" s="624"/>
      <c r="D38" s="624"/>
      <c r="E38" s="624"/>
      <c r="F38" s="624"/>
      <c r="G38" s="624"/>
      <c r="H38" s="624"/>
      <c r="I38" s="624"/>
      <c r="J38" s="624"/>
      <c r="K38" s="624"/>
      <c r="L38" s="624"/>
      <c r="M38" s="624"/>
    </row>
    <row r="39" spans="1:14" x14ac:dyDescent="0.25">
      <c r="A39" s="18"/>
      <c r="B39" s="18"/>
      <c r="C39" s="624"/>
      <c r="D39" s="624"/>
      <c r="E39" s="624"/>
      <c r="F39" s="624"/>
      <c r="G39" s="624"/>
      <c r="H39" s="624"/>
      <c r="I39" s="624"/>
      <c r="J39" s="624"/>
      <c r="K39" s="624"/>
      <c r="L39" s="624"/>
      <c r="M39" s="624"/>
    </row>
    <row r="40" spans="1:14" x14ac:dyDescent="0.25">
      <c r="A40" s="18"/>
      <c r="B40" s="18"/>
      <c r="C40" s="624"/>
      <c r="D40" s="624"/>
      <c r="E40" s="624"/>
      <c r="F40" s="624"/>
      <c r="G40" s="624"/>
      <c r="H40" s="624"/>
      <c r="I40" s="624"/>
      <c r="J40" s="624"/>
      <c r="K40" s="624"/>
      <c r="L40" s="624"/>
      <c r="M40" s="624"/>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tt3MOXAqNJ5xIhCzAbSyODZNQmWzBxedC8xdEh0Nil9wvBdaDgOiQ3SS0XDSZarZXd1AHoGZ9O3vsFfXtN/MQ==" saltValue="g8GnXlDhjfLxIF2RJb6pxA=="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31" t="s">
        <v>34</v>
      </c>
      <c r="B29" s="632"/>
      <c r="C29" s="47" t="str">
        <f>IF(Main!D48="","",Main!D48)</f>
        <v/>
      </c>
      <c r="D29" s="47" t="str">
        <f>IF(Main!E48="","",Main!E48)</f>
        <v/>
      </c>
      <c r="E29" s="47" t="str">
        <f>IF(Main!F48="","",Main!F48)</f>
        <v/>
      </c>
      <c r="F29" s="47" t="str">
        <f>IF(Main!G48="","",Main!G48)</f>
        <v/>
      </c>
      <c r="G29" s="260"/>
      <c r="H29" s="257" t="s">
        <v>344</v>
      </c>
      <c r="I29" s="112" t="str">
        <f>IF(Main!N47="","",Main!N47)</f>
        <v>Periodic</v>
      </c>
      <c r="J29" s="633" t="s">
        <v>345</v>
      </c>
      <c r="K29" s="634"/>
      <c r="L29" s="112" t="str">
        <f>IF(Main!R47="","",Main!R47)</f>
        <v>Air</v>
      </c>
    </row>
    <row r="30" spans="1:20" x14ac:dyDescent="0.2">
      <c r="A30" s="631" t="s">
        <v>35</v>
      </c>
      <c r="B30" s="632"/>
      <c r="C30" s="48" t="str">
        <f>IF(Main!D49="","",Main!D49)</f>
        <v/>
      </c>
      <c r="D30" s="48" t="str">
        <f>IF(Main!E49="","",Main!E49)</f>
        <v/>
      </c>
      <c r="E30" s="48" t="str">
        <f>IF(Main!F49="","",Main!F49)</f>
        <v/>
      </c>
      <c r="F30" s="48" t="str">
        <f>IF(Main!G49="","",Main!G49)</f>
        <v/>
      </c>
      <c r="G30" s="262"/>
      <c r="H30" s="626" t="s">
        <v>331</v>
      </c>
      <c r="I30" s="626"/>
      <c r="J30" s="635" t="s">
        <v>377</v>
      </c>
      <c r="K30" s="636"/>
      <c r="L30" s="637"/>
      <c r="M30" s="254"/>
      <c r="O30" s="627" t="s">
        <v>380</v>
      </c>
      <c r="P30" s="628"/>
      <c r="Q30" s="629"/>
      <c r="T30" s="37"/>
    </row>
    <row r="31" spans="1:20" x14ac:dyDescent="0.2">
      <c r="A31" s="631" t="s">
        <v>36</v>
      </c>
      <c r="B31" s="632"/>
      <c r="C31" s="48" t="str">
        <f>IF(Main!D50="","",Main!D50)</f>
        <v/>
      </c>
      <c r="D31" s="48" t="str">
        <f>IF(Main!E50="","",Main!E50)</f>
        <v/>
      </c>
      <c r="E31" s="48" t="str">
        <f>IF(Main!F50="","",Main!F50)</f>
        <v/>
      </c>
      <c r="F31" s="48" t="str">
        <f>IF(Main!G50="","",Main!G50)</f>
        <v/>
      </c>
      <c r="G31" s="262"/>
      <c r="H31" s="242" t="s">
        <v>346</v>
      </c>
      <c r="I31" s="244" t="str">
        <f>IF(Main!N49="","",Main!N49)</f>
        <v/>
      </c>
      <c r="J31" s="650" t="s">
        <v>385</v>
      </c>
      <c r="K31" s="651"/>
      <c r="L31" s="652"/>
      <c r="M31" s="255" t="str">
        <f>IF(Main!S49="","",Main!S49)</f>
        <v>N/A</v>
      </c>
      <c r="O31" s="519" t="s">
        <v>387</v>
      </c>
      <c r="P31" s="520"/>
      <c r="Q31" s="630"/>
      <c r="R31" s="56" t="str">
        <f>IF(Main!X49="","",Main!X49)</f>
        <v>N/A</v>
      </c>
      <c r="T31" s="37"/>
    </row>
    <row r="32" spans="1:20" ht="12.75" customHeight="1" x14ac:dyDescent="0.2">
      <c r="A32" s="631" t="s">
        <v>37</v>
      </c>
      <c r="B32" s="632"/>
      <c r="C32" s="47" t="str">
        <f>IF(Main!D51="","",Main!D51)</f>
        <v/>
      </c>
      <c r="D32" s="47" t="str">
        <f>IF(Main!E51="","",Main!E51)</f>
        <v/>
      </c>
      <c r="E32" s="47" t="str">
        <f>IF(Main!F51="","",Main!F51)</f>
        <v/>
      </c>
      <c r="F32" s="47" t="str">
        <f>IF(Main!G51="","",Main!G51)</f>
        <v/>
      </c>
      <c r="G32" s="260"/>
      <c r="H32" s="242" t="s">
        <v>362</v>
      </c>
      <c r="I32" s="244" t="str">
        <f>IF(Main!N50="","",Main!N50)</f>
        <v/>
      </c>
      <c r="J32" s="641" t="s">
        <v>334</v>
      </c>
      <c r="K32" s="642"/>
      <c r="L32" s="643"/>
      <c r="M32" s="250"/>
      <c r="O32" s="641" t="s">
        <v>334</v>
      </c>
      <c r="P32" s="642"/>
      <c r="Q32" s="643"/>
      <c r="T32" s="37"/>
    </row>
    <row r="33" spans="1:20" ht="12.75" customHeight="1" x14ac:dyDescent="0.2">
      <c r="A33" s="631" t="s">
        <v>347</v>
      </c>
      <c r="B33" s="632"/>
      <c r="C33" s="47" t="str">
        <f>IF(Main!D52="","",Main!D52)</f>
        <v/>
      </c>
      <c r="D33" s="47" t="str">
        <f>IF(Main!E52="","",Main!E52)</f>
        <v/>
      </c>
      <c r="E33" s="47" t="str">
        <f>IF(Main!F52="","",Main!F52)</f>
        <v/>
      </c>
      <c r="F33" s="47" t="str">
        <f>IF(Main!G52="","",Main!G52)</f>
        <v/>
      </c>
      <c r="G33" s="260"/>
      <c r="H33" s="242" t="s">
        <v>348</v>
      </c>
      <c r="I33" s="244" t="str">
        <f>IF(Main!N51="","",Main!N51)</f>
        <v/>
      </c>
      <c r="J33" s="638" t="s">
        <v>386</v>
      </c>
      <c r="K33" s="639"/>
      <c r="L33" s="640"/>
      <c r="M33" s="249" t="str">
        <f>IF(Main!S51="","",Main!S51)</f>
        <v/>
      </c>
      <c r="O33" s="638" t="s">
        <v>388</v>
      </c>
      <c r="P33" s="639"/>
      <c r="Q33" s="640"/>
      <c r="R33" s="56" t="str">
        <f>IF(Main!X51="","",Main!X51)</f>
        <v/>
      </c>
      <c r="T33" s="37"/>
    </row>
    <row r="34" spans="1:20" ht="12.75" customHeight="1" x14ac:dyDescent="0.2">
      <c r="A34" s="631" t="s">
        <v>38</v>
      </c>
      <c r="B34" s="632"/>
      <c r="C34" s="49" t="str">
        <f>IF(Main!D53="","",Main!D53)</f>
        <v/>
      </c>
      <c r="D34" s="49" t="str">
        <f>IF(Main!E53="","",Main!E53)</f>
        <v/>
      </c>
      <c r="E34" s="49" t="str">
        <f>IF(Main!F53="","",Main!F53)</f>
        <v/>
      </c>
      <c r="F34" s="49" t="str">
        <f>IF(Main!G53="","",Main!G53)</f>
        <v/>
      </c>
      <c r="G34" s="263"/>
      <c r="H34" s="242" t="s">
        <v>349</v>
      </c>
      <c r="I34" s="241" t="str">
        <f>IF(Main!N52="","",Main!N52)</f>
        <v/>
      </c>
      <c r="J34" s="641" t="s">
        <v>334</v>
      </c>
      <c r="K34" s="642"/>
      <c r="L34" s="643"/>
      <c r="O34" s="641" t="s">
        <v>334</v>
      </c>
      <c r="P34" s="642"/>
      <c r="Q34" s="643"/>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44" t="s">
        <v>389</v>
      </c>
      <c r="K35" s="645"/>
      <c r="L35" s="646"/>
      <c r="M35" s="258" t="str">
        <f>IF(Main!S53="","",Main!S53)</f>
        <v/>
      </c>
      <c r="O35" s="644" t="s">
        <v>390</v>
      </c>
      <c r="P35" s="645"/>
      <c r="Q35" s="646"/>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47"/>
      <c r="K36" s="648"/>
      <c r="L36" s="649"/>
      <c r="M36" s="253"/>
      <c r="O36" s="647"/>
      <c r="P36" s="648"/>
      <c r="Q36" s="649"/>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f>IF(Main!P56="","",Main!P56)</f>
        <v>0</v>
      </c>
      <c r="K38" s="266" t="str">
        <f>IF(Main!Q56="","",Main!Q56)</f>
        <v/>
      </c>
      <c r="L38" s="267" t="str">
        <f>IF(Main!R56="","",Main!R56)</f>
        <v/>
      </c>
      <c r="O38" s="265">
        <f>IF(Main!U56="","",Main!U56)</f>
        <v>0</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lAkxrRTykg1kfGB56LPuccgVkACT/aRUNwVaRZa0Q5xkxge1yocgfTFaPcMKm9FvvdKYH8hMflt5YphrLuac1g==" saltValue="1AFznCgtcconicf/AldzK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eKRxNmdFP9O/bQsm9RhvGRAbVxCOHTlMWqDQ3vntyiRxXsO/cInl7SxcXEPsQl934noe4hqq+MO8Qnuxx+E8Ng==" saltValue="tYBiQG16XfEAOE3QxD+bM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3" t="s">
        <v>56</v>
      </c>
      <c r="B1" s="590"/>
      <c r="C1" s="590"/>
      <c r="D1" s="590"/>
      <c r="E1" s="34" t="s">
        <v>154</v>
      </c>
      <c r="G1" s="590" t="s">
        <v>68</v>
      </c>
      <c r="H1" s="590"/>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XGAQeVypr/0l28CPBvmUs4TWn6ovYeV4vRHqrT+Vx8/RT4mZO58VC8xFpp/gcj0cf3yDQOFyDURcoC7R5v+d8Q==" saltValue="H9iBYAzzvgOx9cDAjL5NW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87</vt:i4>
      </vt:variant>
    </vt:vector>
  </HeadingPairs>
  <TitlesOfParts>
    <vt:vector size="116"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2025-11-07T20:27:07Z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