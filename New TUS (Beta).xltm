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9864513-5BFA-4F20-BF28-B2AAD5A7FAFB}"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_of_Test_Points">Main!$D$17</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V21" i="8"/>
  <c r="M69" i="26"/>
  <c r="K69" i="26"/>
  <c r="I69" i="26"/>
  <c r="F69" i="26"/>
  <c r="F68" i="26"/>
  <c r="F67" i="26"/>
  <c r="F66" i="26"/>
  <c r="F65" i="26"/>
  <c r="F64" i="26"/>
  <c r="F63" i="26"/>
  <c r="J19" i="8"/>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9" i="5" s="1"/>
  <c r="N11" i="5"/>
  <c r="N23" i="5"/>
  <c r="F18" i="5"/>
  <c r="H11" i="5"/>
  <c r="G24" i="5"/>
  <c r="M17" i="5"/>
  <c r="D18" i="5"/>
  <c r="M23" i="5"/>
  <c r="K11" i="5"/>
  <c r="G11" i="5"/>
  <c r="P17" i="5"/>
  <c r="L17" i="5"/>
  <c r="O17" i="5"/>
  <c r="O19" i="5" s="1"/>
  <c r="L23" i="5"/>
  <c r="J23" i="5"/>
  <c r="F11" i="5"/>
  <c r="D11" i="5"/>
  <c r="K17" i="5"/>
  <c r="I17" i="5"/>
  <c r="K23" i="5"/>
  <c r="H23" i="5"/>
  <c r="E11" i="5"/>
  <c r="E13" i="5" s="1"/>
  <c r="C17" i="5"/>
  <c r="J17" i="5"/>
  <c r="G17" i="5"/>
  <c r="C12" i="5"/>
  <c r="C18" i="5"/>
  <c r="I23" i="5"/>
  <c r="F17" i="5"/>
  <c r="C11" i="5"/>
  <c r="C23" i="5"/>
  <c r="H17" i="5"/>
  <c r="E17" i="5"/>
  <c r="G23" i="5"/>
  <c r="E23" i="5"/>
  <c r="F23" i="5"/>
  <c r="I18" i="5"/>
  <c r="C24" i="5"/>
  <c r="P11" i="5"/>
  <c r="H18" i="5"/>
  <c r="I24" i="5"/>
  <c r="D17" i="5"/>
  <c r="J13" i="5" l="1"/>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A37" i="8"/>
  <c r="D19" i="4" s="1"/>
  <c r="D7" i="8" a="1"/>
  <c r="D7" i="8" s="1"/>
  <c r="E2" i="71" l="1"/>
  <c r="Q2" i="29" s="1" a="1"/>
  <c r="D2" i="71"/>
  <c r="AQ2" i="77"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AQ2" i="77" l="1"/>
  <c r="B54" i="26"/>
  <c r="B10" i="26"/>
  <c r="B11" i="26"/>
  <c r="Q2" i="29"/>
  <c r="D5" i="8" s="1"/>
  <c r="G97" i="8"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25" i="5" l="1"/>
  <c r="L4" i="8"/>
  <c r="L5" i="8"/>
  <c r="S29" i="8" a="1"/>
  <c r="S29" i="8" l="1"/>
  <c r="L6" i="8"/>
  <c r="N24" i="26"/>
  <c r="S20" i="8" a="1"/>
  <c r="S18" i="8" a="1"/>
  <c r="R24" i="8" a="1"/>
  <c r="R19" i="8" a="1"/>
  <c r="R34" i="8" a="1"/>
  <c r="R15" i="8" a="1"/>
  <c r="S7" i="8" a="1"/>
  <c r="R20" i="8" a="1"/>
  <c r="S28" i="8" a="1"/>
  <c r="R37" i="8" a="1"/>
  <c r="S32" i="8" a="1"/>
  <c r="R7" i="8" a="1"/>
  <c r="R13" i="8" a="1"/>
  <c r="S38" i="8" a="1"/>
  <c r="R11" i="8" a="1"/>
  <c r="S34" i="8" a="1"/>
  <c r="S33" i="8" a="1"/>
  <c r="S11" i="8" a="1"/>
  <c r="R42" i="8" a="1"/>
  <c r="R38" i="8" a="1"/>
  <c r="R21" i="8" a="1"/>
  <c r="R26" i="8" a="1"/>
  <c r="R28" i="8" a="1"/>
  <c r="S35" i="8" a="1"/>
  <c r="S5" i="8" a="1"/>
  <c r="S21" i="8" a="1"/>
  <c r="S9" i="8" a="1"/>
  <c r="R40" i="8" a="1"/>
  <c r="S25" i="8" a="1"/>
  <c r="S26" i="8" a="1"/>
  <c r="S36" i="8" a="1"/>
  <c r="S30" i="8" a="1"/>
  <c r="R6" i="8" a="1"/>
  <c r="S41" i="8" a="1"/>
  <c r="R17" i="8" a="1"/>
  <c r="R18" i="8" a="1"/>
  <c r="R39" i="8" a="1"/>
  <c r="R30" i="8" a="1"/>
  <c r="S40" i="8" a="1"/>
  <c r="S37" i="8" a="1"/>
  <c r="R23" i="8" a="1"/>
  <c r="R8" i="8" a="1"/>
  <c r="R35" i="8" a="1"/>
  <c r="S19" i="8" a="1"/>
  <c r="S39" i="8" a="1"/>
  <c r="S22" i="8" a="1"/>
  <c r="S42" i="8" a="1"/>
  <c r="S24" i="8" a="1"/>
  <c r="S23" i="8" a="1"/>
  <c r="R16" i="8" a="1"/>
  <c r="R32" i="8" a="1"/>
  <c r="S31" i="8" a="1"/>
  <c r="R31" i="8" a="1"/>
  <c r="S44" i="8" a="1"/>
  <c r="R12" i="8" a="1"/>
  <c r="R41" i="8" a="1"/>
  <c r="R43" i="8" a="1"/>
  <c r="R44" i="8" a="1"/>
  <c r="S8" i="8" a="1"/>
  <c r="S6" i="8" a="1"/>
  <c r="S15" i="8" a="1"/>
  <c r="R36" i="8" a="1"/>
  <c r="R25" i="8" a="1"/>
  <c r="S13" i="8" a="1"/>
  <c r="R22" i="8" a="1"/>
  <c r="S27" i="8" a="1"/>
  <c r="R5" i="8" a="1"/>
  <c r="R9" i="8" a="1"/>
  <c r="S43" i="8" a="1"/>
  <c r="R29" i="8" a="1"/>
  <c r="S12" i="8" a="1"/>
  <c r="S14" i="8" a="1"/>
  <c r="S10" i="8" a="1"/>
  <c r="S16" i="8" a="1"/>
  <c r="R10" i="8" a="1"/>
  <c r="R27" i="8" a="1"/>
  <c r="R33" i="8" a="1"/>
  <c r="S17" i="8" a="1"/>
  <c r="R1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I68" i="26" s="1"/>
  <c r="Q67" i="26"/>
  <c r="I67" i="26" s="1"/>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<sst xmlns="http://schemas.openxmlformats.org/spreadsheetml/2006/main" count="1921" uniqueCount="957">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</sst>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0">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79"/>
    <tableColumn id="7" xr3:uid="{297A4F29-F6E9-4BD3-A7A2-5F1039480BAE}" uniqueName="7" name="certificate_number" queryTableFieldId="7" dataDxfId="178"/>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77"/>
    <tableColumn id="3" xr3:uid="{D963BD5C-EE98-4CDD-ABAE-5315BBDA1135}" uniqueName="3" name="asset_tag" queryTableFieldId="3" dataDxfId="176"/>
    <tableColumn id="2" xr3:uid="{D07D770F-21F7-425E-8CCA-AA85FFD513A3}" uniqueName="2" name="serial_number" queryTableFieldId="2" dataDxfId="175"/>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4"/>
    <tableColumn id="2" xr3:uid="{44100894-4C9D-4514-95AC-618BC19E5917}" uniqueName="2" name="Temp" queryTableFieldId="4" dataDxfId="173"/>
    <tableColumn id="3" xr3:uid="{ECB904AC-F679-49D7-806F-647089E4822A}" uniqueName="3" name="Offset" queryTableFieldId="5" dataDxfId="17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1"/>
    <tableColumn id="3" xr3:uid="{5A7694DA-28F6-45C3-AA3A-8F5C42BC36CB}" uniqueName="3" name="login_email" queryTableFieldId="12"/>
    <tableColumn id="4" xr3:uid="{E8A7333A-3221-4D58-96FF-11D069828831}" uniqueName="4" name="IsPyro" queryTableFieldId="13" dataDxfId="17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9">
  <autoFilter ref="A1:C9" xr:uid="{8AF992F3-27EF-4265-960D-70EC6F74FAFA}"/>
  <sortState xmlns:xlrd2="http://schemas.microsoft.com/office/spreadsheetml/2017/richdata2" ref="A2:C9">
    <sortCondition ref="B1:B9"/>
  </sortState>
  <tableColumns count="3">
    <tableColumn id="1" xr3:uid="{1F7D0D09-7152-4679-B25C-65CF0E0AB2D4}" name="Type" dataDxfId="16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Row],[Deviations]])&gt;Main!$G$97</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5"/>
    <tableColumn id="3" xr3:uid="{2724CA85-C781-4E38-A0DA-097BFEEFE8B1}" uniqueName="3" name="Temp" queryTableFieldId="3" dataDxfId="164"/>
    <tableColumn id="6" xr3:uid="{12D5EB84-2052-49F7-A25B-127266D7FB89}" uniqueName="6" name="traceability_no" queryTableFieldId="6" dataDxfId="163"/>
    <tableColumn id="5" xr3:uid="{D8FBA668-C3CE-41DC-B112-B2663A4558F7}" uniqueName="5" name="Offset" queryTableFieldId="5" dataDxfId="16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1"/>
    <tableColumn id="5" xr3:uid="{27363C9A-3D85-416E-8BCC-52B2C8D77A72}" uniqueName="5" name="Uncert Units" queryTableFieldId="5" dataDxfId="16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9">
  <autoFilter ref="A3:C8" xr:uid="{5AC13131-9A1C-4C12-B4F9-A393708ED370}"/>
  <tableColumns count="3">
    <tableColumn id="1" xr3:uid="{97181276-3609-45C8-AD82-B2880A7AEDE4}" name="Min" dataDxfId="158"/>
    <tableColumn id="2" xr3:uid="{FCA9B2A8-03BC-4152-9483-74D5E30011E8}" name="Max" dataDxfId="157"/>
    <tableColumn id="3" xr3:uid="{53EFB432-094F-4AB8-B706-DACB84CFAD58}" name="CMC" dataDxfId="156"/>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5"/>
    <tableColumn id="7" xr3:uid="{3E130632-D63E-485B-AA7F-FF01BB115CD8}" uniqueName="7" name="AddressLine2" queryTableFieldId="7" dataDxfId="154"/>
    <tableColumn id="8" xr3:uid="{B07B805E-B475-4FEF-A83E-C870164F0C1C}" uniqueName="8" name="AddressLine3" queryTableFieldId="8" dataDxfId="153"/>
    <tableColumn id="9" xr3:uid="{3603DEDD-08A6-4233-A5D5-79D5A1A0055E}" uniqueName="9" name="FormNumber" queryTableFieldId="9" dataDxfId="152"/>
    <tableColumn id="10" xr3:uid="{B63B6E05-D199-4BCD-9A28-28B5F5832CE0}" uniqueName="10" name="CalibrationMethod" queryTableFieldId="10" dataDxfId="151"/>
    <tableColumn id="11" xr3:uid="{EC51B02C-FD97-492B-BF24-15D683C6ED4C}" uniqueName="11" name="ToleranceSource" queryTableFieldId="11" dataDxfId="150"/>
    <tableColumn id="12" xr3:uid="{706BF144-B069-4B3F-AFB9-7848E93D758C}" uniqueName="12" name="Item" queryTableFieldId="12" dataDxfId="14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8"/>
    <tableColumn id="18" xr3:uid="{2B4941C4-9755-4A0D-86C3-2C668815DEF2}" uniqueName="18" name="Tolerance" queryTableFieldId="18" dataDxfId="147"/>
    <tableColumn id="19" xr3:uid="{756D3CB6-E1A4-4B24-93A7-8AB4732E9BE6}" uniqueName="19" name="HeatingMethod" queryTableFieldId="19" dataDxfId="146"/>
    <tableColumn id="20" xr3:uid="{A46E5597-E3E9-444B-8D64-D35898DCC2B4}" uniqueName="20" name="WorkingZoneSize" queryTableFieldId="20" dataDxfId="14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4"/>
    <tableColumn id="32" xr3:uid="{1852EB3E-F034-42EA-8A35-98DDD1845F7B}" uniqueName="32" name="TestLocation" queryTableFieldId="32" dataDxfId="143"/>
    <tableColumn id="33" xr3:uid="{15129CDA-47B3-4B02-8524-3F9672DC4216}" uniqueName="33" name="OvenLocation" queryTableFieldId="33" dataDxfId="142"/>
    <tableColumn id="34" xr3:uid="{F4A9D00F-E54E-4736-976C-15166BF81AEF}" uniqueName="34" name="Condition" queryTableFieldId="34" dataDxfId="14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6" dataDxfId="85">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4"/>
    <tableColumn id="3" xr3:uid="{5F5E8FED-27C7-498A-86F2-8DE1BF0A773A}" uniqueName="3" name="Address2" queryTableFieldId="82" dataDxfId="8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2"/>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1" dataDxfId="80">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9"/>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5.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905</v>
      </c>
      <c r="E1" s="36" t="s">
        <v>906</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403</v>
      </c>
      <c r="B1" t="s">
        <v>544</v>
      </c>
      <c r="C1" t="s">
        <v>545</v>
      </c>
      <c r="D1" t="s">
        <v>546</v>
      </c>
      <c r="E1" t="s">
        <v>547</v>
      </c>
      <c r="F1" t="s">
        <v>542</v>
      </c>
      <c r="G1" t="s">
        <v>532</v>
      </c>
      <c r="H1" t="s">
        <v>513</v>
      </c>
      <c r="I1" t="s">
        <v>533</v>
      </c>
      <c r="J1" t="s">
        <v>518</v>
      </c>
      <c r="K1" t="s">
        <v>519</v>
      </c>
      <c r="L1" t="s">
        <v>520</v>
      </c>
      <c r="M1" t="s">
        <v>534</v>
      </c>
      <c r="N1" t="s">
        <v>401</v>
      </c>
      <c r="O1" t="s">
        <v>402</v>
      </c>
      <c r="P1" t="s">
        <v>404</v>
      </c>
      <c r="Q1" t="s">
        <v>522</v>
      </c>
      <c r="R1" t="s">
        <v>523</v>
      </c>
      <c r="S1" t="s">
        <v>524</v>
      </c>
      <c r="T1" t="s">
        <v>521</v>
      </c>
      <c r="U1" t="s">
        <v>535</v>
      </c>
      <c r="V1" t="s">
        <v>536</v>
      </c>
      <c r="W1" t="s">
        <v>525</v>
      </c>
      <c r="X1" t="s">
        <v>526</v>
      </c>
      <c r="Y1" t="s">
        <v>527</v>
      </c>
      <c r="Z1" t="s">
        <v>514</v>
      </c>
      <c r="AA1" t="s">
        <v>515</v>
      </c>
      <c r="AB1" t="s">
        <v>516</v>
      </c>
      <c r="AC1" t="s">
        <v>517</v>
      </c>
      <c r="AD1" t="s">
        <v>405</v>
      </c>
      <c r="AE1" t="s">
        <v>406</v>
      </c>
      <c r="AF1" t="s">
        <v>530</v>
      </c>
      <c r="AG1" t="s">
        <v>531</v>
      </c>
      <c r="AH1" t="s">
        <v>528</v>
      </c>
      <c r="AI1" t="s">
        <v>529</v>
      </c>
      <c r="AJ1" t="s">
        <v>543</v>
      </c>
      <c r="AK1" t="s">
        <v>548</v>
      </c>
      <c r="AL1" t="s">
        <v>549</v>
      </c>
    </row>
    <row r="2" spans="1:38" x14ac:dyDescent="0.2">
      <c r="A2">
        <v>1235344</v>
      </c>
      <c r="B2">
        <v>6864835</v>
      </c>
      <c r="C2">
        <v>7653243</v>
      </c>
      <c r="E2" t="b">
        <v>0</v>
      </c>
      <c r="G2" t="s">
        <v>572</v>
      </c>
      <c r="I2" t="s">
        <v>573</v>
      </c>
      <c r="J2" t="s">
        <v>537</v>
      </c>
      <c r="K2" t="s">
        <v>537</v>
      </c>
      <c r="L2" t="s">
        <v>537</v>
      </c>
      <c r="M2" t="s">
        <v>574</v>
      </c>
      <c r="N2" t="s">
        <v>407</v>
      </c>
      <c r="O2" t="s">
        <v>329</v>
      </c>
      <c r="P2" t="s">
        <v>115</v>
      </c>
      <c r="V2" t="s">
        <v>575</v>
      </c>
      <c r="Y2" t="s">
        <v>576</v>
      </c>
      <c r="AD2" t="s">
        <v>328</v>
      </c>
      <c r="AE2" t="s">
        <v>408</v>
      </c>
      <c r="AJ2" t="s">
        <v>577</v>
      </c>
      <c r="AK2" t="s">
        <v>578</v>
      </c>
      <c r="AL2" t="s">
        <v>579</v>
      </c>
    </row>
    <row r="3" spans="1:38" x14ac:dyDescent="0.2">
      <c r="A3">
        <v>1235555</v>
      </c>
      <c r="B3">
        <v>8036587</v>
      </c>
      <c r="C3">
        <v>7589603</v>
      </c>
      <c r="E3" t="b">
        <v>0</v>
      </c>
      <c r="F3">
        <v>72040</v>
      </c>
      <c r="G3" t="s">
        <v>580</v>
      </c>
      <c r="H3">
        <v>1</v>
      </c>
      <c r="I3" t="s">
        <v>581</v>
      </c>
      <c r="J3" t="s">
        <v>538</v>
      </c>
      <c r="K3" t="s">
        <v>537</v>
      </c>
      <c r="L3" t="s">
        <v>539</v>
      </c>
      <c r="M3" t="s">
        <v>582</v>
      </c>
      <c r="N3" t="s">
        <v>451</v>
      </c>
      <c r="O3" t="s">
        <v>221</v>
      </c>
      <c r="P3" t="s">
        <v>429</v>
      </c>
      <c r="S3" t="s">
        <v>583</v>
      </c>
      <c r="U3" t="s">
        <v>584</v>
      </c>
      <c r="V3" t="s">
        <v>585</v>
      </c>
      <c r="W3" t="s">
        <v>446</v>
      </c>
      <c r="X3" t="s">
        <v>540</v>
      </c>
      <c r="Y3" t="s">
        <v>586</v>
      </c>
      <c r="Z3" t="s">
        <v>552</v>
      </c>
      <c r="AB3" t="s">
        <v>578</v>
      </c>
      <c r="AD3" t="s">
        <v>541</v>
      </c>
      <c r="AE3" t="s">
        <v>541</v>
      </c>
      <c r="AF3">
        <v>0</v>
      </c>
      <c r="AG3">
        <v>0</v>
      </c>
      <c r="AH3">
        <v>46</v>
      </c>
      <c r="AI3">
        <v>0</v>
      </c>
      <c r="AJ3" t="s">
        <v>554</v>
      </c>
      <c r="AK3" t="s">
        <v>578</v>
      </c>
      <c r="AL3" t="s">
        <v>587</v>
      </c>
    </row>
    <row r="4" spans="1:38" x14ac:dyDescent="0.2">
      <c r="A4">
        <v>1235388</v>
      </c>
      <c r="B4">
        <v>7537859</v>
      </c>
      <c r="C4">
        <v>187510</v>
      </c>
      <c r="E4" t="b">
        <v>0</v>
      </c>
      <c r="F4">
        <v>62285</v>
      </c>
      <c r="G4" t="s">
        <v>588</v>
      </c>
      <c r="H4">
        <v>1</v>
      </c>
      <c r="I4" t="s">
        <v>589</v>
      </c>
      <c r="J4" t="s">
        <v>538</v>
      </c>
      <c r="K4" t="s">
        <v>537</v>
      </c>
      <c r="L4" t="s">
        <v>539</v>
      </c>
      <c r="M4" t="s">
        <v>590</v>
      </c>
      <c r="N4" t="s">
        <v>411</v>
      </c>
      <c r="O4" t="s">
        <v>229</v>
      </c>
      <c r="P4" t="s">
        <v>412</v>
      </c>
      <c r="S4" t="s">
        <v>591</v>
      </c>
      <c r="U4" t="s">
        <v>592</v>
      </c>
      <c r="V4" t="s">
        <v>593</v>
      </c>
      <c r="W4" t="s">
        <v>594</v>
      </c>
      <c r="X4" t="s">
        <v>540</v>
      </c>
      <c r="Y4" t="s">
        <v>586</v>
      </c>
      <c r="Z4" t="s">
        <v>552</v>
      </c>
      <c r="AA4" t="s">
        <v>22</v>
      </c>
      <c r="AB4" t="s">
        <v>595</v>
      </c>
      <c r="AD4" t="s">
        <v>228</v>
      </c>
      <c r="AE4" t="s">
        <v>413</v>
      </c>
      <c r="AF4">
        <v>0</v>
      </c>
      <c r="AG4">
        <v>0</v>
      </c>
      <c r="AH4">
        <v>70</v>
      </c>
      <c r="AI4">
        <v>0</v>
      </c>
      <c r="AJ4" t="s">
        <v>554</v>
      </c>
      <c r="AK4" t="s">
        <v>595</v>
      </c>
      <c r="AL4" t="s">
        <v>555</v>
      </c>
    </row>
    <row r="5" spans="1:38" x14ac:dyDescent="0.2">
      <c r="A5">
        <v>1235682</v>
      </c>
      <c r="B5">
        <v>7943647</v>
      </c>
      <c r="C5">
        <v>187508</v>
      </c>
      <c r="E5" t="b">
        <v>0</v>
      </c>
      <c r="F5">
        <v>69999</v>
      </c>
      <c r="G5" t="s">
        <v>596</v>
      </c>
      <c r="H5">
        <v>1</v>
      </c>
      <c r="I5" t="s">
        <v>597</v>
      </c>
      <c r="J5" t="s">
        <v>538</v>
      </c>
      <c r="K5" t="s">
        <v>539</v>
      </c>
      <c r="L5" t="s">
        <v>539</v>
      </c>
      <c r="M5" t="s">
        <v>598</v>
      </c>
      <c r="N5" t="s">
        <v>480</v>
      </c>
      <c r="O5" t="s">
        <v>47</v>
      </c>
      <c r="S5" t="s">
        <v>550</v>
      </c>
      <c r="U5" t="s">
        <v>599</v>
      </c>
      <c r="V5" t="s">
        <v>600</v>
      </c>
      <c r="W5" t="s">
        <v>446</v>
      </c>
      <c r="X5" t="s">
        <v>540</v>
      </c>
      <c r="Y5" t="s">
        <v>551</v>
      </c>
      <c r="Z5" t="s">
        <v>552</v>
      </c>
      <c r="AA5" t="s">
        <v>22</v>
      </c>
      <c r="AB5" t="s">
        <v>553</v>
      </c>
      <c r="AD5" t="s">
        <v>481</v>
      </c>
      <c r="AE5" t="s">
        <v>426</v>
      </c>
      <c r="AF5">
        <v>0</v>
      </c>
      <c r="AG5">
        <v>0</v>
      </c>
      <c r="AH5">
        <v>392.75</v>
      </c>
      <c r="AI5">
        <v>0</v>
      </c>
      <c r="AJ5" t="s">
        <v>554</v>
      </c>
      <c r="AK5" t="s">
        <v>553</v>
      </c>
      <c r="AL5" t="s">
        <v>555</v>
      </c>
    </row>
    <row r="6" spans="1:38" x14ac:dyDescent="0.2">
      <c r="A6">
        <v>1235426</v>
      </c>
      <c r="B6">
        <v>8035840</v>
      </c>
      <c r="C6">
        <v>187508</v>
      </c>
      <c r="E6" t="b">
        <v>0</v>
      </c>
      <c r="F6">
        <v>72024</v>
      </c>
      <c r="G6" t="s">
        <v>559</v>
      </c>
      <c r="H6">
        <v>1</v>
      </c>
      <c r="I6" t="s">
        <v>560</v>
      </c>
      <c r="J6" t="s">
        <v>538</v>
      </c>
      <c r="K6" t="s">
        <v>539</v>
      </c>
      <c r="L6" t="s">
        <v>539</v>
      </c>
      <c r="M6" t="s">
        <v>601</v>
      </c>
      <c r="N6" t="s">
        <v>424</v>
      </c>
      <c r="O6" t="s">
        <v>54</v>
      </c>
      <c r="S6" t="s">
        <v>550</v>
      </c>
      <c r="U6" t="s">
        <v>602</v>
      </c>
      <c r="V6" t="s">
        <v>603</v>
      </c>
      <c r="W6" t="s">
        <v>446</v>
      </c>
      <c r="X6" t="s">
        <v>540</v>
      </c>
      <c r="Y6" t="s">
        <v>551</v>
      </c>
      <c r="Z6" t="s">
        <v>552</v>
      </c>
      <c r="AA6" t="s">
        <v>22</v>
      </c>
      <c r="AB6" t="s">
        <v>553</v>
      </c>
      <c r="AD6" t="s">
        <v>425</v>
      </c>
      <c r="AE6" t="s">
        <v>426</v>
      </c>
      <c r="AF6">
        <v>0</v>
      </c>
      <c r="AG6">
        <v>0</v>
      </c>
      <c r="AH6">
        <v>392.75</v>
      </c>
      <c r="AI6">
        <v>0</v>
      </c>
      <c r="AJ6" t="s">
        <v>554</v>
      </c>
      <c r="AK6" t="s">
        <v>553</v>
      </c>
      <c r="AL6" t="s">
        <v>555</v>
      </c>
    </row>
    <row r="7" spans="1:38" x14ac:dyDescent="0.2">
      <c r="A7">
        <v>1235686</v>
      </c>
      <c r="B7">
        <v>8143520</v>
      </c>
      <c r="C7">
        <v>187508</v>
      </c>
      <c r="E7" t="b">
        <v>0</v>
      </c>
      <c r="F7">
        <v>73531</v>
      </c>
      <c r="G7" t="s">
        <v>557</v>
      </c>
      <c r="H7">
        <v>1</v>
      </c>
      <c r="I7" t="s">
        <v>558</v>
      </c>
      <c r="J7" t="s">
        <v>538</v>
      </c>
      <c r="K7" t="s">
        <v>539</v>
      </c>
      <c r="L7" t="s">
        <v>539</v>
      </c>
      <c r="M7" t="s">
        <v>604</v>
      </c>
      <c r="N7" t="s">
        <v>482</v>
      </c>
      <c r="O7" t="s">
        <v>55</v>
      </c>
      <c r="S7" t="s">
        <v>550</v>
      </c>
      <c r="U7" t="s">
        <v>605</v>
      </c>
      <c r="V7" t="s">
        <v>606</v>
      </c>
      <c r="W7" t="s">
        <v>446</v>
      </c>
      <c r="X7" t="s">
        <v>540</v>
      </c>
      <c r="Y7" t="s">
        <v>551</v>
      </c>
      <c r="Z7" t="s">
        <v>552</v>
      </c>
      <c r="AA7" t="s">
        <v>22</v>
      </c>
      <c r="AB7" t="s">
        <v>553</v>
      </c>
      <c r="AD7" t="s">
        <v>483</v>
      </c>
      <c r="AE7" t="s">
        <v>484</v>
      </c>
      <c r="AF7">
        <v>0</v>
      </c>
      <c r="AG7">
        <v>0</v>
      </c>
      <c r="AH7">
        <v>392.75</v>
      </c>
      <c r="AI7">
        <v>0</v>
      </c>
      <c r="AJ7" t="s">
        <v>554</v>
      </c>
      <c r="AK7" t="s">
        <v>553</v>
      </c>
      <c r="AL7" t="s">
        <v>555</v>
      </c>
    </row>
    <row r="8" spans="1:38" x14ac:dyDescent="0.2">
      <c r="A8">
        <v>1235630</v>
      </c>
      <c r="B8">
        <v>7925909</v>
      </c>
      <c r="C8">
        <v>187508</v>
      </c>
      <c r="E8" t="b">
        <v>0</v>
      </c>
      <c r="F8">
        <v>69663</v>
      </c>
      <c r="G8" t="s">
        <v>607</v>
      </c>
      <c r="H8">
        <v>1</v>
      </c>
      <c r="I8" t="s">
        <v>608</v>
      </c>
      <c r="J8" t="s">
        <v>538</v>
      </c>
      <c r="K8" t="s">
        <v>539</v>
      </c>
      <c r="L8" t="s">
        <v>539</v>
      </c>
      <c r="M8" t="s">
        <v>609</v>
      </c>
      <c r="N8" t="s">
        <v>469</v>
      </c>
      <c r="O8" t="s">
        <v>109</v>
      </c>
      <c r="S8" t="s">
        <v>550</v>
      </c>
      <c r="U8" t="s">
        <v>610</v>
      </c>
      <c r="V8" t="s">
        <v>611</v>
      </c>
      <c r="W8" t="s">
        <v>446</v>
      </c>
      <c r="X8" t="s">
        <v>540</v>
      </c>
      <c r="Y8" t="s">
        <v>551</v>
      </c>
      <c r="Z8" t="s">
        <v>552</v>
      </c>
      <c r="AA8" t="s">
        <v>22</v>
      </c>
      <c r="AB8" t="s">
        <v>553</v>
      </c>
      <c r="AD8" t="s">
        <v>470</v>
      </c>
      <c r="AE8" t="s">
        <v>426</v>
      </c>
      <c r="AF8">
        <v>0</v>
      </c>
      <c r="AG8">
        <v>0</v>
      </c>
      <c r="AH8">
        <v>392.75</v>
      </c>
      <c r="AI8">
        <v>0</v>
      </c>
      <c r="AJ8" t="s">
        <v>554</v>
      </c>
      <c r="AK8" t="s">
        <v>553</v>
      </c>
      <c r="AL8" t="s">
        <v>555</v>
      </c>
    </row>
    <row r="9" spans="1:38" x14ac:dyDescent="0.2">
      <c r="A9">
        <v>1235561</v>
      </c>
      <c r="B9">
        <v>7925915</v>
      </c>
      <c r="C9">
        <v>187508</v>
      </c>
      <c r="E9" t="b">
        <v>0</v>
      </c>
      <c r="F9">
        <v>69665</v>
      </c>
      <c r="G9" t="s">
        <v>612</v>
      </c>
      <c r="H9">
        <v>1</v>
      </c>
      <c r="I9" t="s">
        <v>613</v>
      </c>
      <c r="J9" t="s">
        <v>538</v>
      </c>
      <c r="K9" t="s">
        <v>539</v>
      </c>
      <c r="L9" t="s">
        <v>539</v>
      </c>
      <c r="M9" t="s">
        <v>614</v>
      </c>
      <c r="N9" t="s">
        <v>452</v>
      </c>
      <c r="O9" t="s">
        <v>113</v>
      </c>
      <c r="S9" t="s">
        <v>550</v>
      </c>
      <c r="U9" t="s">
        <v>610</v>
      </c>
      <c r="V9" t="s">
        <v>615</v>
      </c>
      <c r="W9" t="s">
        <v>446</v>
      </c>
      <c r="X9" t="s">
        <v>540</v>
      </c>
      <c r="Y9" t="s">
        <v>551</v>
      </c>
      <c r="Z9" t="s">
        <v>552</v>
      </c>
      <c r="AA9" t="s">
        <v>22</v>
      </c>
      <c r="AB9" t="s">
        <v>553</v>
      </c>
      <c r="AD9" t="s">
        <v>453</v>
      </c>
      <c r="AE9" t="s">
        <v>454</v>
      </c>
      <c r="AF9">
        <v>0</v>
      </c>
      <c r="AG9">
        <v>0</v>
      </c>
      <c r="AH9">
        <v>392.75</v>
      </c>
      <c r="AI9">
        <v>0</v>
      </c>
      <c r="AJ9" t="s">
        <v>554</v>
      </c>
      <c r="AK9" t="s">
        <v>553</v>
      </c>
      <c r="AL9" t="s">
        <v>555</v>
      </c>
    </row>
    <row r="10" spans="1:38" x14ac:dyDescent="0.2">
      <c r="A10">
        <v>1235543</v>
      </c>
      <c r="B10">
        <v>8075187</v>
      </c>
      <c r="C10">
        <v>187508</v>
      </c>
      <c r="E10" t="b">
        <v>0</v>
      </c>
      <c r="F10">
        <v>72822</v>
      </c>
      <c r="G10" t="s">
        <v>616</v>
      </c>
      <c r="H10">
        <v>1</v>
      </c>
      <c r="I10" t="s">
        <v>617</v>
      </c>
      <c r="J10" t="s">
        <v>538</v>
      </c>
      <c r="K10" t="s">
        <v>539</v>
      </c>
      <c r="L10" t="s">
        <v>539</v>
      </c>
      <c r="M10" t="s">
        <v>618</v>
      </c>
      <c r="N10" t="s">
        <v>449</v>
      </c>
      <c r="O10" t="s">
        <v>112</v>
      </c>
      <c r="S10" t="s">
        <v>550</v>
      </c>
      <c r="U10" t="s">
        <v>619</v>
      </c>
      <c r="V10" t="s">
        <v>620</v>
      </c>
      <c r="W10" t="s">
        <v>446</v>
      </c>
      <c r="X10" t="s">
        <v>540</v>
      </c>
      <c r="Y10" t="s">
        <v>551</v>
      </c>
      <c r="Z10" t="s">
        <v>552</v>
      </c>
      <c r="AA10" t="s">
        <v>22</v>
      </c>
      <c r="AB10" t="s">
        <v>553</v>
      </c>
      <c r="AD10" t="s">
        <v>425</v>
      </c>
      <c r="AE10" t="s">
        <v>450</v>
      </c>
      <c r="AF10">
        <v>0</v>
      </c>
      <c r="AG10">
        <v>0</v>
      </c>
      <c r="AH10">
        <v>392.75</v>
      </c>
      <c r="AI10">
        <v>0</v>
      </c>
      <c r="AJ10" t="s">
        <v>554</v>
      </c>
      <c r="AK10" t="s">
        <v>553</v>
      </c>
      <c r="AL10" t="s">
        <v>555</v>
      </c>
    </row>
    <row r="11" spans="1:38" x14ac:dyDescent="0.2">
      <c r="A11">
        <v>1235622</v>
      </c>
      <c r="B11">
        <v>7925914</v>
      </c>
      <c r="C11">
        <v>187508</v>
      </c>
      <c r="E11" t="b">
        <v>0</v>
      </c>
      <c r="F11">
        <v>69664</v>
      </c>
      <c r="G11" t="s">
        <v>621</v>
      </c>
      <c r="H11">
        <v>1</v>
      </c>
      <c r="I11" t="s">
        <v>622</v>
      </c>
      <c r="J11" t="s">
        <v>538</v>
      </c>
      <c r="K11" t="s">
        <v>539</v>
      </c>
      <c r="L11" t="s">
        <v>539</v>
      </c>
      <c r="M11" t="s">
        <v>623</v>
      </c>
      <c r="N11" t="s">
        <v>464</v>
      </c>
      <c r="O11" t="s">
        <v>157</v>
      </c>
      <c r="S11" t="s">
        <v>550</v>
      </c>
      <c r="U11" t="s">
        <v>610</v>
      </c>
      <c r="V11" t="s">
        <v>624</v>
      </c>
      <c r="W11" t="s">
        <v>446</v>
      </c>
      <c r="X11" t="s">
        <v>540</v>
      </c>
      <c r="Y11" t="s">
        <v>551</v>
      </c>
      <c r="Z11" t="s">
        <v>552</v>
      </c>
      <c r="AA11" t="s">
        <v>22</v>
      </c>
      <c r="AB11" t="s">
        <v>553</v>
      </c>
      <c r="AD11" t="s">
        <v>465</v>
      </c>
      <c r="AE11" t="s">
        <v>466</v>
      </c>
      <c r="AF11">
        <v>0</v>
      </c>
      <c r="AG11">
        <v>0</v>
      </c>
      <c r="AH11">
        <v>392.75</v>
      </c>
      <c r="AI11">
        <v>0</v>
      </c>
      <c r="AJ11" t="s">
        <v>554</v>
      </c>
      <c r="AK11" t="s">
        <v>553</v>
      </c>
      <c r="AL11" t="s">
        <v>555</v>
      </c>
    </row>
    <row r="12" spans="1:38" x14ac:dyDescent="0.2">
      <c r="A12">
        <v>1235403</v>
      </c>
      <c r="B12">
        <v>7975239</v>
      </c>
      <c r="C12">
        <v>187508</v>
      </c>
      <c r="E12" t="b">
        <v>0</v>
      </c>
      <c r="F12">
        <v>70613</v>
      </c>
      <c r="G12" t="s">
        <v>625</v>
      </c>
      <c r="H12">
        <v>3</v>
      </c>
      <c r="I12" t="s">
        <v>626</v>
      </c>
      <c r="J12" t="s">
        <v>538</v>
      </c>
      <c r="K12" t="s">
        <v>539</v>
      </c>
      <c r="L12" t="s">
        <v>539</v>
      </c>
      <c r="M12" t="s">
        <v>627</v>
      </c>
      <c r="N12" t="s">
        <v>419</v>
      </c>
      <c r="O12" t="s">
        <v>178</v>
      </c>
      <c r="P12" t="s">
        <v>107</v>
      </c>
      <c r="S12" t="s">
        <v>628</v>
      </c>
      <c r="U12" t="s">
        <v>629</v>
      </c>
      <c r="V12" t="s">
        <v>630</v>
      </c>
      <c r="W12" t="s">
        <v>446</v>
      </c>
      <c r="X12" t="s">
        <v>540</v>
      </c>
      <c r="Y12" t="s">
        <v>551</v>
      </c>
      <c r="Z12" t="s">
        <v>552</v>
      </c>
      <c r="AA12" t="s">
        <v>22</v>
      </c>
      <c r="AB12" t="s">
        <v>553</v>
      </c>
      <c r="AD12" t="s">
        <v>177</v>
      </c>
      <c r="AE12" t="s">
        <v>420</v>
      </c>
      <c r="AF12">
        <v>0</v>
      </c>
      <c r="AG12">
        <v>0</v>
      </c>
      <c r="AH12">
        <v>418.5</v>
      </c>
      <c r="AI12">
        <v>0</v>
      </c>
      <c r="AJ12" t="s">
        <v>554</v>
      </c>
      <c r="AK12" t="s">
        <v>553</v>
      </c>
      <c r="AL12" t="s">
        <v>555</v>
      </c>
    </row>
    <row r="13" spans="1:38" x14ac:dyDescent="0.2">
      <c r="A13">
        <v>1235569</v>
      </c>
      <c r="B13">
        <v>7975237</v>
      </c>
      <c r="C13">
        <v>187508</v>
      </c>
      <c r="E13" t="b">
        <v>0</v>
      </c>
      <c r="F13">
        <v>70613</v>
      </c>
      <c r="G13" t="s">
        <v>625</v>
      </c>
      <c r="H13">
        <v>1</v>
      </c>
      <c r="I13" t="s">
        <v>631</v>
      </c>
      <c r="J13" t="s">
        <v>538</v>
      </c>
      <c r="K13" t="s">
        <v>539</v>
      </c>
      <c r="L13" t="s">
        <v>539</v>
      </c>
      <c r="M13" t="s">
        <v>632</v>
      </c>
      <c r="N13" t="s">
        <v>459</v>
      </c>
      <c r="O13" t="s">
        <v>180</v>
      </c>
      <c r="P13" t="s">
        <v>460</v>
      </c>
      <c r="S13" t="s">
        <v>628</v>
      </c>
      <c r="U13" t="s">
        <v>629</v>
      </c>
      <c r="V13" t="s">
        <v>633</v>
      </c>
      <c r="W13" t="s">
        <v>446</v>
      </c>
      <c r="X13" t="s">
        <v>540</v>
      </c>
      <c r="Y13" t="s">
        <v>551</v>
      </c>
      <c r="Z13" t="s">
        <v>552</v>
      </c>
      <c r="AA13" t="s">
        <v>22</v>
      </c>
      <c r="AB13" t="s">
        <v>553</v>
      </c>
      <c r="AD13" t="s">
        <v>179</v>
      </c>
      <c r="AE13" t="s">
        <v>420</v>
      </c>
      <c r="AF13">
        <v>0</v>
      </c>
      <c r="AG13">
        <v>0</v>
      </c>
      <c r="AH13">
        <v>418.5</v>
      </c>
      <c r="AI13">
        <v>0</v>
      </c>
      <c r="AJ13" t="s">
        <v>554</v>
      </c>
      <c r="AK13" t="s">
        <v>553</v>
      </c>
      <c r="AL13" t="s">
        <v>555</v>
      </c>
    </row>
    <row r="14" spans="1:38" x14ac:dyDescent="0.2">
      <c r="A14">
        <v>1235743</v>
      </c>
      <c r="B14">
        <v>7975241</v>
      </c>
      <c r="C14">
        <v>187508</v>
      </c>
      <c r="E14" t="b">
        <v>0</v>
      </c>
      <c r="F14">
        <v>70613</v>
      </c>
      <c r="G14" t="s">
        <v>625</v>
      </c>
      <c r="H14">
        <v>5</v>
      </c>
      <c r="I14" t="s">
        <v>634</v>
      </c>
      <c r="J14" t="s">
        <v>538</v>
      </c>
      <c r="K14" t="s">
        <v>539</v>
      </c>
      <c r="L14" t="s">
        <v>539</v>
      </c>
      <c r="M14" t="s">
        <v>635</v>
      </c>
      <c r="N14" t="s">
        <v>486</v>
      </c>
      <c r="O14" t="s">
        <v>488</v>
      </c>
      <c r="P14" t="s">
        <v>487</v>
      </c>
      <c r="S14" t="s">
        <v>628</v>
      </c>
      <c r="U14" t="s">
        <v>629</v>
      </c>
      <c r="V14" t="s">
        <v>636</v>
      </c>
      <c r="W14" t="s">
        <v>446</v>
      </c>
      <c r="X14" t="s">
        <v>540</v>
      </c>
      <c r="Y14" t="s">
        <v>551</v>
      </c>
      <c r="Z14" t="s">
        <v>552</v>
      </c>
      <c r="AA14" t="s">
        <v>22</v>
      </c>
      <c r="AB14" t="s">
        <v>553</v>
      </c>
      <c r="AD14" t="s">
        <v>489</v>
      </c>
      <c r="AE14" t="s">
        <v>420</v>
      </c>
      <c r="AF14">
        <v>0</v>
      </c>
      <c r="AG14">
        <v>0</v>
      </c>
      <c r="AH14">
        <v>418.5</v>
      </c>
      <c r="AI14">
        <v>0</v>
      </c>
      <c r="AJ14" t="s">
        <v>554</v>
      </c>
      <c r="AK14" t="s">
        <v>553</v>
      </c>
      <c r="AL14" t="s">
        <v>555</v>
      </c>
    </row>
    <row r="15" spans="1:38" x14ac:dyDescent="0.2">
      <c r="A15">
        <v>2550412</v>
      </c>
      <c r="B15">
        <v>7975245</v>
      </c>
      <c r="C15">
        <v>187508</v>
      </c>
      <c r="E15" t="b">
        <v>0</v>
      </c>
      <c r="F15">
        <v>70613</v>
      </c>
      <c r="G15" t="s">
        <v>625</v>
      </c>
      <c r="H15">
        <v>9</v>
      </c>
      <c r="I15" t="s">
        <v>637</v>
      </c>
      <c r="J15" t="s">
        <v>538</v>
      </c>
      <c r="K15" t="s">
        <v>539</v>
      </c>
      <c r="L15" t="s">
        <v>539</v>
      </c>
      <c r="M15" t="s">
        <v>638</v>
      </c>
      <c r="N15" t="s">
        <v>503</v>
      </c>
      <c r="O15" t="s">
        <v>504</v>
      </c>
      <c r="P15" t="s">
        <v>379</v>
      </c>
      <c r="S15" t="s">
        <v>628</v>
      </c>
      <c r="U15" t="s">
        <v>629</v>
      </c>
      <c r="V15" t="s">
        <v>639</v>
      </c>
      <c r="W15" t="s">
        <v>446</v>
      </c>
      <c r="X15" t="s">
        <v>540</v>
      </c>
      <c r="Y15" t="s">
        <v>551</v>
      </c>
      <c r="Z15" t="s">
        <v>552</v>
      </c>
      <c r="AA15" t="s">
        <v>22</v>
      </c>
      <c r="AB15" t="s">
        <v>553</v>
      </c>
      <c r="AD15" t="s">
        <v>505</v>
      </c>
      <c r="AE15" t="s">
        <v>506</v>
      </c>
      <c r="AF15">
        <v>0</v>
      </c>
      <c r="AG15">
        <v>0</v>
      </c>
      <c r="AH15">
        <v>418.5</v>
      </c>
      <c r="AI15">
        <v>0</v>
      </c>
      <c r="AJ15" t="s">
        <v>554</v>
      </c>
      <c r="AK15" t="s">
        <v>553</v>
      </c>
      <c r="AL15" t="s">
        <v>555</v>
      </c>
    </row>
    <row r="16" spans="1:38" x14ac:dyDescent="0.2">
      <c r="A16">
        <v>1446161</v>
      </c>
      <c r="B16">
        <v>7975243</v>
      </c>
      <c r="C16">
        <v>187508</v>
      </c>
      <c r="E16" t="b">
        <v>0</v>
      </c>
      <c r="F16">
        <v>70613</v>
      </c>
      <c r="G16" t="s">
        <v>625</v>
      </c>
      <c r="H16">
        <v>7</v>
      </c>
      <c r="I16" t="s">
        <v>640</v>
      </c>
      <c r="J16" t="s">
        <v>538</v>
      </c>
      <c r="K16" t="s">
        <v>539</v>
      </c>
      <c r="L16" t="s">
        <v>539</v>
      </c>
      <c r="M16" t="s">
        <v>641</v>
      </c>
      <c r="N16" t="s">
        <v>495</v>
      </c>
      <c r="O16" t="s">
        <v>497</v>
      </c>
      <c r="P16" t="s">
        <v>496</v>
      </c>
      <c r="S16" t="s">
        <v>628</v>
      </c>
      <c r="U16" t="s">
        <v>629</v>
      </c>
      <c r="V16" t="s">
        <v>642</v>
      </c>
      <c r="W16" t="s">
        <v>446</v>
      </c>
      <c r="X16" t="s">
        <v>540</v>
      </c>
      <c r="Y16" t="s">
        <v>551</v>
      </c>
      <c r="Z16" t="s">
        <v>552</v>
      </c>
      <c r="AA16" t="s">
        <v>22</v>
      </c>
      <c r="AB16" t="s">
        <v>553</v>
      </c>
      <c r="AD16" t="s">
        <v>498</v>
      </c>
      <c r="AE16" t="s">
        <v>420</v>
      </c>
      <c r="AF16">
        <v>0</v>
      </c>
      <c r="AG16">
        <v>0</v>
      </c>
      <c r="AH16">
        <v>418.5</v>
      </c>
      <c r="AI16">
        <v>0</v>
      </c>
      <c r="AJ16" t="s">
        <v>554</v>
      </c>
      <c r="AK16" t="s">
        <v>553</v>
      </c>
      <c r="AL16" t="s">
        <v>555</v>
      </c>
    </row>
    <row r="17" spans="1:38" x14ac:dyDescent="0.2">
      <c r="A17">
        <v>2701517</v>
      </c>
      <c r="B17">
        <v>7975246</v>
      </c>
      <c r="C17">
        <v>187508</v>
      </c>
      <c r="E17" t="b">
        <v>0</v>
      </c>
      <c r="F17">
        <v>70613</v>
      </c>
      <c r="G17" t="s">
        <v>625</v>
      </c>
      <c r="H17">
        <v>10</v>
      </c>
      <c r="I17" t="s">
        <v>643</v>
      </c>
      <c r="J17" t="s">
        <v>538</v>
      </c>
      <c r="K17" t="s">
        <v>539</v>
      </c>
      <c r="L17" t="s">
        <v>539</v>
      </c>
      <c r="M17" t="s">
        <v>644</v>
      </c>
      <c r="N17" t="s">
        <v>508</v>
      </c>
      <c r="O17" t="s">
        <v>510</v>
      </c>
      <c r="P17" t="s">
        <v>509</v>
      </c>
      <c r="S17" t="s">
        <v>628</v>
      </c>
      <c r="U17" t="s">
        <v>629</v>
      </c>
      <c r="V17" t="s">
        <v>645</v>
      </c>
      <c r="W17" t="s">
        <v>446</v>
      </c>
      <c r="X17" t="s">
        <v>540</v>
      </c>
      <c r="Y17" t="s">
        <v>551</v>
      </c>
      <c r="Z17" t="s">
        <v>552</v>
      </c>
      <c r="AA17" t="s">
        <v>22</v>
      </c>
      <c r="AB17" t="s">
        <v>553</v>
      </c>
      <c r="AD17" t="s">
        <v>181</v>
      </c>
      <c r="AE17" t="s">
        <v>420</v>
      </c>
      <c r="AF17">
        <v>0</v>
      </c>
      <c r="AG17">
        <v>0</v>
      </c>
      <c r="AH17">
        <v>418.5</v>
      </c>
      <c r="AI17">
        <v>0</v>
      </c>
      <c r="AJ17" t="s">
        <v>554</v>
      </c>
      <c r="AK17" t="s">
        <v>553</v>
      </c>
      <c r="AL17" t="s">
        <v>555</v>
      </c>
    </row>
    <row r="18" spans="1:38" x14ac:dyDescent="0.2">
      <c r="A18">
        <v>2336905</v>
      </c>
      <c r="B18">
        <v>7975244</v>
      </c>
      <c r="C18">
        <v>187508</v>
      </c>
      <c r="E18" t="b">
        <v>0</v>
      </c>
      <c r="F18">
        <v>70613</v>
      </c>
      <c r="G18" t="s">
        <v>625</v>
      </c>
      <c r="H18">
        <v>8</v>
      </c>
      <c r="I18" t="s">
        <v>646</v>
      </c>
      <c r="J18" t="s">
        <v>538</v>
      </c>
      <c r="K18" t="s">
        <v>539</v>
      </c>
      <c r="L18" t="s">
        <v>539</v>
      </c>
      <c r="M18" t="s">
        <v>647</v>
      </c>
      <c r="N18" t="s">
        <v>499</v>
      </c>
      <c r="O18" t="s">
        <v>501</v>
      </c>
      <c r="P18" t="s">
        <v>500</v>
      </c>
      <c r="S18" t="s">
        <v>628</v>
      </c>
      <c r="U18" t="s">
        <v>629</v>
      </c>
      <c r="V18" t="s">
        <v>648</v>
      </c>
      <c r="W18" t="s">
        <v>446</v>
      </c>
      <c r="X18" t="s">
        <v>540</v>
      </c>
      <c r="Y18" t="s">
        <v>551</v>
      </c>
      <c r="Z18" t="s">
        <v>552</v>
      </c>
      <c r="AA18" t="s">
        <v>22</v>
      </c>
      <c r="AB18" t="s">
        <v>553</v>
      </c>
      <c r="AD18" t="s">
        <v>502</v>
      </c>
      <c r="AE18" t="s">
        <v>420</v>
      </c>
      <c r="AF18">
        <v>0</v>
      </c>
      <c r="AG18">
        <v>0</v>
      </c>
      <c r="AH18">
        <v>418.5</v>
      </c>
      <c r="AI18">
        <v>0</v>
      </c>
      <c r="AJ18" t="s">
        <v>554</v>
      </c>
      <c r="AK18" t="s">
        <v>553</v>
      </c>
      <c r="AL18" t="s">
        <v>555</v>
      </c>
    </row>
    <row r="19" spans="1:38" x14ac:dyDescent="0.2">
      <c r="A19">
        <v>1235639</v>
      </c>
      <c r="B19">
        <v>7975242</v>
      </c>
      <c r="C19">
        <v>187508</v>
      </c>
      <c r="E19" t="b">
        <v>0</v>
      </c>
      <c r="F19">
        <v>70613</v>
      </c>
      <c r="G19" t="s">
        <v>625</v>
      </c>
      <c r="H19">
        <v>6</v>
      </c>
      <c r="I19" t="s">
        <v>649</v>
      </c>
      <c r="J19" t="s">
        <v>538</v>
      </c>
      <c r="K19" t="s">
        <v>539</v>
      </c>
      <c r="L19" t="s">
        <v>539</v>
      </c>
      <c r="M19" t="s">
        <v>650</v>
      </c>
      <c r="N19" t="s">
        <v>471</v>
      </c>
      <c r="O19" t="s">
        <v>176</v>
      </c>
      <c r="P19" t="s">
        <v>472</v>
      </c>
      <c r="S19" t="s">
        <v>628</v>
      </c>
      <c r="U19" t="s">
        <v>629</v>
      </c>
      <c r="V19" t="s">
        <v>651</v>
      </c>
      <c r="W19" t="s">
        <v>446</v>
      </c>
      <c r="X19" t="s">
        <v>540</v>
      </c>
      <c r="Y19" t="s">
        <v>551</v>
      </c>
      <c r="Z19" t="s">
        <v>552</v>
      </c>
      <c r="AA19" t="s">
        <v>22</v>
      </c>
      <c r="AB19" t="s">
        <v>553</v>
      </c>
      <c r="AD19" t="s">
        <v>175</v>
      </c>
      <c r="AE19" t="s">
        <v>420</v>
      </c>
      <c r="AF19">
        <v>0</v>
      </c>
      <c r="AG19">
        <v>0</v>
      </c>
      <c r="AH19">
        <v>418.5</v>
      </c>
      <c r="AI19">
        <v>0</v>
      </c>
      <c r="AJ19" t="s">
        <v>554</v>
      </c>
      <c r="AK19" t="s">
        <v>553</v>
      </c>
      <c r="AL19" t="s">
        <v>555</v>
      </c>
    </row>
    <row r="20" spans="1:38" x14ac:dyDescent="0.2">
      <c r="A20">
        <v>1235626</v>
      </c>
      <c r="B20">
        <v>7975238</v>
      </c>
      <c r="C20">
        <v>187508</v>
      </c>
      <c r="E20" t="b">
        <v>0</v>
      </c>
      <c r="F20">
        <v>70613</v>
      </c>
      <c r="G20" t="s">
        <v>625</v>
      </c>
      <c r="H20">
        <v>2</v>
      </c>
      <c r="I20" t="s">
        <v>652</v>
      </c>
      <c r="J20" t="s">
        <v>538</v>
      </c>
      <c r="K20" t="s">
        <v>539</v>
      </c>
      <c r="L20" t="s">
        <v>539</v>
      </c>
      <c r="M20" t="s">
        <v>653</v>
      </c>
      <c r="N20" t="s">
        <v>467</v>
      </c>
      <c r="O20" t="s">
        <v>184</v>
      </c>
      <c r="P20" t="s">
        <v>468</v>
      </c>
      <c r="S20" t="s">
        <v>628</v>
      </c>
      <c r="U20" t="s">
        <v>629</v>
      </c>
      <c r="V20" t="s">
        <v>654</v>
      </c>
      <c r="W20" t="s">
        <v>446</v>
      </c>
      <c r="X20" t="s">
        <v>540</v>
      </c>
      <c r="Y20" t="s">
        <v>551</v>
      </c>
      <c r="Z20" t="s">
        <v>552</v>
      </c>
      <c r="AA20" t="s">
        <v>22</v>
      </c>
      <c r="AB20" t="s">
        <v>553</v>
      </c>
      <c r="AD20" t="s">
        <v>183</v>
      </c>
      <c r="AE20" t="s">
        <v>420</v>
      </c>
      <c r="AF20">
        <v>0</v>
      </c>
      <c r="AG20">
        <v>0</v>
      </c>
      <c r="AH20">
        <v>418.5</v>
      </c>
      <c r="AI20">
        <v>0</v>
      </c>
      <c r="AJ20" t="s">
        <v>554</v>
      </c>
      <c r="AK20" t="s">
        <v>553</v>
      </c>
      <c r="AL20" t="s">
        <v>555</v>
      </c>
    </row>
    <row r="21" spans="1:38" x14ac:dyDescent="0.2">
      <c r="A21">
        <v>1235522</v>
      </c>
      <c r="B21">
        <v>7975240</v>
      </c>
      <c r="C21">
        <v>187508</v>
      </c>
      <c r="E21" t="b">
        <v>0</v>
      </c>
      <c r="F21">
        <v>70613</v>
      </c>
      <c r="G21" t="s">
        <v>625</v>
      </c>
      <c r="H21">
        <v>4</v>
      </c>
      <c r="I21" t="s">
        <v>655</v>
      </c>
      <c r="J21" t="s">
        <v>538</v>
      </c>
      <c r="K21" t="s">
        <v>539</v>
      </c>
      <c r="L21" t="s">
        <v>539</v>
      </c>
      <c r="M21" t="s">
        <v>656</v>
      </c>
      <c r="N21" t="s">
        <v>445</v>
      </c>
      <c r="O21" t="s">
        <v>182</v>
      </c>
      <c r="P21" t="s">
        <v>446</v>
      </c>
      <c r="S21" t="s">
        <v>628</v>
      </c>
      <c r="U21" t="s">
        <v>629</v>
      </c>
      <c r="V21" t="s">
        <v>657</v>
      </c>
      <c r="W21" t="s">
        <v>446</v>
      </c>
      <c r="X21" t="s">
        <v>540</v>
      </c>
      <c r="Y21" t="s">
        <v>551</v>
      </c>
      <c r="Z21" t="s">
        <v>552</v>
      </c>
      <c r="AA21" t="s">
        <v>22</v>
      </c>
      <c r="AB21" t="s">
        <v>553</v>
      </c>
      <c r="AD21" t="s">
        <v>181</v>
      </c>
      <c r="AE21" t="s">
        <v>420</v>
      </c>
      <c r="AF21">
        <v>0</v>
      </c>
      <c r="AG21">
        <v>0</v>
      </c>
      <c r="AH21">
        <v>418.5</v>
      </c>
      <c r="AI21">
        <v>0</v>
      </c>
      <c r="AJ21" t="s">
        <v>554</v>
      </c>
      <c r="AK21" t="s">
        <v>553</v>
      </c>
      <c r="AL21" t="s">
        <v>555</v>
      </c>
    </row>
    <row r="23" spans="1:38" x14ac:dyDescent="0.2">
      <c r="A23">
        <v>1235770</v>
      </c>
      <c r="B23">
        <v>8030104</v>
      </c>
      <c r="C23">
        <v>187514</v>
      </c>
      <c r="E23" t="b">
        <v>0</v>
      </c>
      <c r="F23">
        <v>71864</v>
      </c>
      <c r="G23" t="s">
        <v>658</v>
      </c>
      <c r="H23">
        <v>1</v>
      </c>
      <c r="I23" t="s">
        <v>659</v>
      </c>
      <c r="J23" t="s">
        <v>538</v>
      </c>
      <c r="K23" t="s">
        <v>539</v>
      </c>
      <c r="L23" t="s">
        <v>539</v>
      </c>
      <c r="M23" t="s">
        <v>660</v>
      </c>
      <c r="N23" t="s">
        <v>490</v>
      </c>
      <c r="O23" t="s">
        <v>491</v>
      </c>
      <c r="U23" t="s">
        <v>661</v>
      </c>
      <c r="V23" t="s">
        <v>662</v>
      </c>
      <c r="W23" t="s">
        <v>496</v>
      </c>
      <c r="X23" t="s">
        <v>540</v>
      </c>
      <c r="Y23" t="s">
        <v>417</v>
      </c>
      <c r="Z23" t="s">
        <v>552</v>
      </c>
      <c r="AB23" t="s">
        <v>663</v>
      </c>
      <c r="AD23" t="s">
        <v>234</v>
      </c>
      <c r="AE23" t="s">
        <v>492</v>
      </c>
      <c r="AF23">
        <v>0</v>
      </c>
      <c r="AG23">
        <v>0</v>
      </c>
      <c r="AH23">
        <v>0</v>
      </c>
      <c r="AI23">
        <v>0</v>
      </c>
      <c r="AJ23" t="s">
        <v>554</v>
      </c>
      <c r="AK23" t="s">
        <v>663</v>
      </c>
      <c r="AL23" t="s">
        <v>555</v>
      </c>
    </row>
    <row r="24" spans="1:38" x14ac:dyDescent="0.2">
      <c r="A24">
        <v>1235767</v>
      </c>
    </row>
    <row r="25" spans="1:38" x14ac:dyDescent="0.2">
      <c r="A25">
        <v>1235772</v>
      </c>
    </row>
    <row r="26" spans="1:38" x14ac:dyDescent="0.2">
      <c r="A26">
        <v>1235660</v>
      </c>
      <c r="B26">
        <v>7612900</v>
      </c>
      <c r="C26">
        <v>187509</v>
      </c>
      <c r="E26" t="b">
        <v>0</v>
      </c>
      <c r="F26">
        <v>64197</v>
      </c>
      <c r="G26" t="s">
        <v>664</v>
      </c>
      <c r="H26">
        <v>1</v>
      </c>
      <c r="I26" t="s">
        <v>665</v>
      </c>
      <c r="J26" t="s">
        <v>538</v>
      </c>
      <c r="K26" t="s">
        <v>539</v>
      </c>
      <c r="L26" t="s">
        <v>539</v>
      </c>
      <c r="M26" t="s">
        <v>666</v>
      </c>
      <c r="N26" t="s">
        <v>200</v>
      </c>
      <c r="O26" t="s">
        <v>477</v>
      </c>
      <c r="U26" t="s">
        <v>667</v>
      </c>
      <c r="V26" t="s">
        <v>668</v>
      </c>
      <c r="W26" t="s">
        <v>107</v>
      </c>
      <c r="X26" t="s">
        <v>540</v>
      </c>
      <c r="Y26" t="s">
        <v>116</v>
      </c>
      <c r="AB26" t="s">
        <v>663</v>
      </c>
      <c r="AD26" t="s">
        <v>236</v>
      </c>
      <c r="AE26" t="s">
        <v>436</v>
      </c>
      <c r="AF26">
        <v>0</v>
      </c>
      <c r="AG26">
        <v>0</v>
      </c>
      <c r="AI26">
        <v>0</v>
      </c>
      <c r="AJ26" t="s">
        <v>554</v>
      </c>
      <c r="AK26" t="s">
        <v>663</v>
      </c>
      <c r="AL26" t="s">
        <v>587</v>
      </c>
    </row>
    <row r="27" spans="1:38" x14ac:dyDescent="0.2">
      <c r="A27">
        <v>1235502</v>
      </c>
      <c r="B27">
        <v>6008756</v>
      </c>
      <c r="C27">
        <v>187514</v>
      </c>
      <c r="E27" t="b">
        <v>0</v>
      </c>
      <c r="F27">
        <v>41783</v>
      </c>
      <c r="G27" t="s">
        <v>669</v>
      </c>
      <c r="H27">
        <v>1</v>
      </c>
      <c r="I27" t="s">
        <v>670</v>
      </c>
      <c r="J27" t="s">
        <v>538</v>
      </c>
      <c r="K27" t="s">
        <v>539</v>
      </c>
      <c r="L27" t="s">
        <v>539</v>
      </c>
      <c r="M27" t="s">
        <v>671</v>
      </c>
      <c r="N27" t="s">
        <v>201</v>
      </c>
      <c r="O27" t="s">
        <v>435</v>
      </c>
      <c r="U27" t="s">
        <v>672</v>
      </c>
      <c r="V27" t="s">
        <v>673</v>
      </c>
      <c r="W27" t="s">
        <v>168</v>
      </c>
      <c r="X27" t="s">
        <v>540</v>
      </c>
      <c r="Y27" t="s">
        <v>116</v>
      </c>
      <c r="Z27" t="s">
        <v>552</v>
      </c>
      <c r="AB27" t="s">
        <v>663</v>
      </c>
      <c r="AD27" t="s">
        <v>237</v>
      </c>
      <c r="AE27" t="s">
        <v>436</v>
      </c>
      <c r="AF27">
        <v>0</v>
      </c>
      <c r="AG27">
        <v>0</v>
      </c>
      <c r="AH27">
        <v>27.5</v>
      </c>
      <c r="AI27">
        <v>0</v>
      </c>
      <c r="AJ27" t="s">
        <v>554</v>
      </c>
      <c r="AK27" t="s">
        <v>663</v>
      </c>
      <c r="AL27" t="s">
        <v>555</v>
      </c>
    </row>
    <row r="28" spans="1:38" x14ac:dyDescent="0.2">
      <c r="A28">
        <v>1235505</v>
      </c>
      <c r="B28">
        <v>7971837</v>
      </c>
      <c r="C28">
        <v>187514</v>
      </c>
      <c r="E28" t="b">
        <v>0</v>
      </c>
      <c r="F28">
        <v>70496</v>
      </c>
      <c r="G28" t="s">
        <v>674</v>
      </c>
      <c r="H28">
        <v>1</v>
      </c>
      <c r="I28" t="s">
        <v>675</v>
      </c>
      <c r="J28" t="s">
        <v>538</v>
      </c>
      <c r="K28" t="s">
        <v>539</v>
      </c>
      <c r="L28" t="s">
        <v>539</v>
      </c>
      <c r="M28" t="s">
        <v>676</v>
      </c>
      <c r="N28" t="s">
        <v>202</v>
      </c>
      <c r="O28" t="s">
        <v>439</v>
      </c>
      <c r="S28" t="s">
        <v>677</v>
      </c>
      <c r="U28" t="s">
        <v>678</v>
      </c>
      <c r="V28" t="s">
        <v>679</v>
      </c>
      <c r="W28" t="s">
        <v>509</v>
      </c>
      <c r="X28" t="s">
        <v>540</v>
      </c>
      <c r="Y28" t="s">
        <v>417</v>
      </c>
      <c r="Z28" t="s">
        <v>552</v>
      </c>
      <c r="AB28" t="s">
        <v>663</v>
      </c>
      <c r="AD28" t="s">
        <v>238</v>
      </c>
      <c r="AE28" t="s">
        <v>436</v>
      </c>
      <c r="AF28">
        <v>0</v>
      </c>
      <c r="AG28">
        <v>0</v>
      </c>
      <c r="AH28">
        <v>75</v>
      </c>
      <c r="AI28">
        <v>0</v>
      </c>
      <c r="AJ28" t="s">
        <v>554</v>
      </c>
      <c r="AK28" t="s">
        <v>663</v>
      </c>
      <c r="AL28" t="s">
        <v>555</v>
      </c>
    </row>
    <row r="29" spans="1:38" x14ac:dyDescent="0.2">
      <c r="A29">
        <v>1235646</v>
      </c>
      <c r="B29">
        <v>6249107</v>
      </c>
      <c r="C29">
        <v>187514</v>
      </c>
      <c r="E29" t="b">
        <v>0</v>
      </c>
      <c r="F29">
        <v>46530</v>
      </c>
      <c r="G29" t="s">
        <v>680</v>
      </c>
      <c r="H29">
        <v>1</v>
      </c>
      <c r="I29" t="s">
        <v>681</v>
      </c>
      <c r="J29" t="s">
        <v>538</v>
      </c>
      <c r="K29" t="s">
        <v>539</v>
      </c>
      <c r="L29" t="s">
        <v>539</v>
      </c>
      <c r="M29" t="s">
        <v>682</v>
      </c>
      <c r="N29" t="s">
        <v>203</v>
      </c>
      <c r="O29" t="s">
        <v>473</v>
      </c>
      <c r="U29" t="s">
        <v>683</v>
      </c>
      <c r="V29" t="s">
        <v>684</v>
      </c>
      <c r="W29" t="s">
        <v>168</v>
      </c>
      <c r="X29" t="s">
        <v>540</v>
      </c>
      <c r="Y29" t="s">
        <v>551</v>
      </c>
      <c r="AB29" t="s">
        <v>663</v>
      </c>
      <c r="AD29" t="s">
        <v>239</v>
      </c>
      <c r="AE29" t="s">
        <v>474</v>
      </c>
      <c r="AF29">
        <v>0</v>
      </c>
      <c r="AG29">
        <v>0</v>
      </c>
      <c r="AI29">
        <v>0</v>
      </c>
      <c r="AJ29" t="s">
        <v>554</v>
      </c>
      <c r="AK29" t="s">
        <v>663</v>
      </c>
      <c r="AL29" t="s">
        <v>555</v>
      </c>
    </row>
    <row r="30" spans="1:38" x14ac:dyDescent="0.2">
      <c r="A30">
        <v>1235659</v>
      </c>
      <c r="B30">
        <v>8065644</v>
      </c>
      <c r="C30">
        <v>187514</v>
      </c>
      <c r="E30" t="b">
        <v>0</v>
      </c>
      <c r="F30">
        <v>72594</v>
      </c>
      <c r="G30" t="s">
        <v>685</v>
      </c>
      <c r="H30">
        <v>1</v>
      </c>
      <c r="I30" t="s">
        <v>686</v>
      </c>
      <c r="J30" t="s">
        <v>538</v>
      </c>
      <c r="K30" t="s">
        <v>539</v>
      </c>
      <c r="L30" t="s">
        <v>539</v>
      </c>
      <c r="M30" t="s">
        <v>687</v>
      </c>
      <c r="N30" t="s">
        <v>204</v>
      </c>
      <c r="O30" t="s">
        <v>475</v>
      </c>
      <c r="U30" t="s">
        <v>688</v>
      </c>
      <c r="V30" t="s">
        <v>689</v>
      </c>
      <c r="W30" t="s">
        <v>460</v>
      </c>
      <c r="X30" t="s">
        <v>540</v>
      </c>
      <c r="Y30" t="s">
        <v>417</v>
      </c>
      <c r="Z30" t="s">
        <v>552</v>
      </c>
      <c r="AB30" t="s">
        <v>663</v>
      </c>
      <c r="AD30" t="s">
        <v>240</v>
      </c>
      <c r="AE30" t="s">
        <v>476</v>
      </c>
      <c r="AF30">
        <v>0</v>
      </c>
      <c r="AG30">
        <v>0</v>
      </c>
      <c r="AH30">
        <v>0</v>
      </c>
      <c r="AI30">
        <v>0</v>
      </c>
      <c r="AJ30" t="s">
        <v>554</v>
      </c>
      <c r="AK30" t="s">
        <v>663</v>
      </c>
      <c r="AL30" t="s">
        <v>555</v>
      </c>
    </row>
    <row r="31" spans="1:38" x14ac:dyDescent="0.2">
      <c r="A31">
        <v>1235504</v>
      </c>
      <c r="B31">
        <v>6820976</v>
      </c>
      <c r="C31">
        <v>187514</v>
      </c>
      <c r="E31" t="b">
        <v>0</v>
      </c>
      <c r="F31">
        <v>50724</v>
      </c>
      <c r="G31" t="s">
        <v>690</v>
      </c>
      <c r="H31">
        <v>1</v>
      </c>
      <c r="I31" t="s">
        <v>691</v>
      </c>
      <c r="J31" t="s">
        <v>538</v>
      </c>
      <c r="K31" t="s">
        <v>539</v>
      </c>
      <c r="L31" t="s">
        <v>539</v>
      </c>
      <c r="M31" t="s">
        <v>692</v>
      </c>
      <c r="N31" t="s">
        <v>205</v>
      </c>
      <c r="O31" t="s">
        <v>438</v>
      </c>
      <c r="U31" t="s">
        <v>693</v>
      </c>
      <c r="V31" t="s">
        <v>694</v>
      </c>
      <c r="W31" t="s">
        <v>487</v>
      </c>
      <c r="X31" t="s">
        <v>540</v>
      </c>
      <c r="Y31" t="s">
        <v>551</v>
      </c>
      <c r="Z31" t="s">
        <v>552</v>
      </c>
      <c r="AB31" t="s">
        <v>663</v>
      </c>
      <c r="AD31" t="s">
        <v>241</v>
      </c>
      <c r="AE31" t="s">
        <v>436</v>
      </c>
      <c r="AF31">
        <v>0</v>
      </c>
      <c r="AG31">
        <v>0</v>
      </c>
      <c r="AH31">
        <v>27.5</v>
      </c>
      <c r="AI31">
        <v>0</v>
      </c>
      <c r="AJ31" t="s">
        <v>554</v>
      </c>
      <c r="AK31" t="s">
        <v>663</v>
      </c>
      <c r="AL31" t="s">
        <v>555</v>
      </c>
    </row>
    <row r="32" spans="1:38" x14ac:dyDescent="0.2">
      <c r="A32">
        <v>1235506</v>
      </c>
      <c r="B32">
        <v>7162110</v>
      </c>
      <c r="C32">
        <v>187514</v>
      </c>
      <c r="E32" t="b">
        <v>0</v>
      </c>
      <c r="F32">
        <v>57050</v>
      </c>
      <c r="G32" t="s">
        <v>695</v>
      </c>
      <c r="H32">
        <v>1</v>
      </c>
      <c r="I32" t="s">
        <v>696</v>
      </c>
      <c r="J32" t="s">
        <v>538</v>
      </c>
      <c r="K32" t="s">
        <v>539</v>
      </c>
      <c r="L32" t="s">
        <v>539</v>
      </c>
      <c r="M32" t="s">
        <v>697</v>
      </c>
      <c r="N32" t="s">
        <v>206</v>
      </c>
      <c r="O32" t="s">
        <v>440</v>
      </c>
      <c r="U32" t="s">
        <v>698</v>
      </c>
      <c r="V32" t="s">
        <v>699</v>
      </c>
      <c r="W32" t="s">
        <v>107</v>
      </c>
      <c r="X32" t="s">
        <v>540</v>
      </c>
      <c r="Y32" t="s">
        <v>551</v>
      </c>
      <c r="AB32" t="s">
        <v>663</v>
      </c>
      <c r="AD32" t="s">
        <v>242</v>
      </c>
      <c r="AE32" t="s">
        <v>436</v>
      </c>
      <c r="AF32">
        <v>0</v>
      </c>
      <c r="AG32">
        <v>0</v>
      </c>
      <c r="AI32">
        <v>0</v>
      </c>
      <c r="AJ32" t="s">
        <v>554</v>
      </c>
      <c r="AK32" t="s">
        <v>663</v>
      </c>
      <c r="AL32" t="s">
        <v>555</v>
      </c>
    </row>
    <row r="33" spans="1:38" x14ac:dyDescent="0.2">
      <c r="A33">
        <v>1235510</v>
      </c>
      <c r="B33">
        <v>6129692</v>
      </c>
      <c r="C33">
        <v>187514</v>
      </c>
      <c r="E33" t="b">
        <v>0</v>
      </c>
      <c r="F33">
        <v>44349</v>
      </c>
      <c r="G33" t="s">
        <v>700</v>
      </c>
      <c r="H33">
        <v>1</v>
      </c>
      <c r="I33" t="s">
        <v>701</v>
      </c>
      <c r="J33" t="s">
        <v>538</v>
      </c>
      <c r="K33" t="s">
        <v>539</v>
      </c>
      <c r="L33" t="s">
        <v>539</v>
      </c>
      <c r="M33" t="s">
        <v>702</v>
      </c>
      <c r="N33" t="s">
        <v>207</v>
      </c>
      <c r="O33" t="s">
        <v>444</v>
      </c>
      <c r="U33" t="s">
        <v>703</v>
      </c>
      <c r="V33" t="s">
        <v>704</v>
      </c>
      <c r="W33" t="s">
        <v>705</v>
      </c>
      <c r="X33" t="s">
        <v>540</v>
      </c>
      <c r="Y33" t="s">
        <v>551</v>
      </c>
      <c r="AB33" t="s">
        <v>663</v>
      </c>
      <c r="AD33" t="s">
        <v>243</v>
      </c>
      <c r="AE33" t="s">
        <v>436</v>
      </c>
      <c r="AF33">
        <v>0</v>
      </c>
      <c r="AG33">
        <v>0</v>
      </c>
      <c r="AI33">
        <v>0</v>
      </c>
      <c r="AJ33" t="s">
        <v>554</v>
      </c>
      <c r="AK33" t="s">
        <v>663</v>
      </c>
      <c r="AL33" t="s">
        <v>555</v>
      </c>
    </row>
    <row r="34" spans="1:38" x14ac:dyDescent="0.2">
      <c r="A34">
        <v>1235590</v>
      </c>
      <c r="B34">
        <v>7948956</v>
      </c>
      <c r="C34">
        <v>187514</v>
      </c>
      <c r="E34" t="b">
        <v>0</v>
      </c>
      <c r="F34">
        <v>70164</v>
      </c>
      <c r="G34" t="s">
        <v>706</v>
      </c>
      <c r="H34">
        <v>1</v>
      </c>
      <c r="I34" t="s">
        <v>707</v>
      </c>
      <c r="J34" t="s">
        <v>708</v>
      </c>
      <c r="K34" t="s">
        <v>539</v>
      </c>
      <c r="L34" t="s">
        <v>539</v>
      </c>
      <c r="M34" t="s">
        <v>709</v>
      </c>
      <c r="N34" t="s">
        <v>209</v>
      </c>
      <c r="O34" t="s">
        <v>208</v>
      </c>
      <c r="U34" t="s">
        <v>710</v>
      </c>
      <c r="X34" t="s">
        <v>540</v>
      </c>
      <c r="Y34" t="s">
        <v>116</v>
      </c>
      <c r="Z34" t="s">
        <v>552</v>
      </c>
      <c r="AD34" t="s">
        <v>244</v>
      </c>
      <c r="AE34" t="s">
        <v>436</v>
      </c>
      <c r="AJ34" t="s">
        <v>554</v>
      </c>
      <c r="AK34" t="s">
        <v>663</v>
      </c>
      <c r="AL34" t="s">
        <v>555</v>
      </c>
    </row>
    <row r="35" spans="1:38" x14ac:dyDescent="0.2">
      <c r="A35">
        <v>1235489</v>
      </c>
      <c r="B35">
        <v>7008912</v>
      </c>
      <c r="C35">
        <v>187510</v>
      </c>
      <c r="E35" t="b">
        <v>0</v>
      </c>
      <c r="F35">
        <v>53750</v>
      </c>
      <c r="G35" t="s">
        <v>711</v>
      </c>
      <c r="H35">
        <v>1</v>
      </c>
      <c r="I35" t="s">
        <v>712</v>
      </c>
      <c r="J35" t="s">
        <v>538</v>
      </c>
      <c r="K35" t="s">
        <v>537</v>
      </c>
      <c r="L35" t="s">
        <v>539</v>
      </c>
      <c r="M35" t="s">
        <v>713</v>
      </c>
      <c r="N35" t="s">
        <v>428</v>
      </c>
      <c r="O35" t="s">
        <v>430</v>
      </c>
      <c r="S35" t="s">
        <v>591</v>
      </c>
      <c r="U35" t="s">
        <v>714</v>
      </c>
      <c r="V35" t="s">
        <v>715</v>
      </c>
      <c r="W35" t="s">
        <v>446</v>
      </c>
      <c r="X35" t="s">
        <v>540</v>
      </c>
      <c r="Y35" t="s">
        <v>116</v>
      </c>
      <c r="Z35" t="s">
        <v>552</v>
      </c>
      <c r="AA35" t="s">
        <v>22</v>
      </c>
      <c r="AB35" t="s">
        <v>595</v>
      </c>
      <c r="AD35" t="s">
        <v>431</v>
      </c>
      <c r="AE35" t="s">
        <v>431</v>
      </c>
      <c r="AF35">
        <v>0</v>
      </c>
      <c r="AG35">
        <v>0</v>
      </c>
      <c r="AH35">
        <v>76.25</v>
      </c>
      <c r="AI35">
        <v>0</v>
      </c>
      <c r="AJ35" t="s">
        <v>554</v>
      </c>
      <c r="AK35" t="s">
        <v>595</v>
      </c>
      <c r="AL35" t="s">
        <v>555</v>
      </c>
    </row>
    <row r="36" spans="1:38" x14ac:dyDescent="0.2">
      <c r="A36">
        <v>1235508</v>
      </c>
      <c r="B36">
        <v>4996970</v>
      </c>
      <c r="C36">
        <v>187508</v>
      </c>
      <c r="E36" t="b">
        <v>0</v>
      </c>
      <c r="F36">
        <v>28336</v>
      </c>
      <c r="G36" t="s">
        <v>716</v>
      </c>
      <c r="H36">
        <v>1</v>
      </c>
      <c r="I36" t="s">
        <v>717</v>
      </c>
      <c r="J36" t="s">
        <v>538</v>
      </c>
      <c r="K36" t="s">
        <v>539</v>
      </c>
      <c r="L36" t="s">
        <v>539</v>
      </c>
      <c r="M36" t="s">
        <v>718</v>
      </c>
      <c r="N36" t="s">
        <v>719</v>
      </c>
      <c r="O36" t="s">
        <v>442</v>
      </c>
      <c r="U36" t="s">
        <v>720</v>
      </c>
      <c r="X36" t="s">
        <v>540</v>
      </c>
      <c r="Y36" t="s">
        <v>116</v>
      </c>
      <c r="Z36" t="s">
        <v>552</v>
      </c>
      <c r="AD36" t="s">
        <v>721</v>
      </c>
      <c r="AE36" t="s">
        <v>415</v>
      </c>
      <c r="AJ36" t="s">
        <v>554</v>
      </c>
      <c r="AK36" t="s">
        <v>553</v>
      </c>
      <c r="AL36" t="s">
        <v>555</v>
      </c>
    </row>
    <row r="37" spans="1:38" x14ac:dyDescent="0.2">
      <c r="A37">
        <v>1235777</v>
      </c>
      <c r="B37">
        <v>5034456</v>
      </c>
      <c r="C37">
        <v>187514</v>
      </c>
      <c r="E37" t="b">
        <v>0</v>
      </c>
      <c r="F37">
        <v>29273</v>
      </c>
      <c r="G37" t="s">
        <v>722</v>
      </c>
      <c r="H37">
        <v>1</v>
      </c>
      <c r="I37" t="s">
        <v>723</v>
      </c>
      <c r="J37" t="s">
        <v>538</v>
      </c>
      <c r="K37" t="s">
        <v>539</v>
      </c>
      <c r="L37" t="s">
        <v>539</v>
      </c>
      <c r="M37" t="s">
        <v>724</v>
      </c>
      <c r="N37" t="s">
        <v>210</v>
      </c>
      <c r="O37" t="s">
        <v>493</v>
      </c>
      <c r="S37" t="s">
        <v>677</v>
      </c>
      <c r="V37" t="s">
        <v>725</v>
      </c>
      <c r="W37" t="s">
        <v>726</v>
      </c>
      <c r="X37" t="s">
        <v>540</v>
      </c>
      <c r="Y37" t="s">
        <v>116</v>
      </c>
      <c r="Z37" t="s">
        <v>552</v>
      </c>
      <c r="AB37" t="s">
        <v>663</v>
      </c>
      <c r="AD37" t="s">
        <v>246</v>
      </c>
      <c r="AE37" t="s">
        <v>494</v>
      </c>
      <c r="AF37">
        <v>0</v>
      </c>
      <c r="AG37">
        <v>0</v>
      </c>
      <c r="AH37">
        <v>27.5</v>
      </c>
      <c r="AI37">
        <v>0</v>
      </c>
      <c r="AJ37" t="s">
        <v>554</v>
      </c>
      <c r="AK37" t="s">
        <v>663</v>
      </c>
      <c r="AL37" t="s">
        <v>555</v>
      </c>
    </row>
    <row r="38" spans="1:38" x14ac:dyDescent="0.2">
      <c r="A38">
        <v>1235400</v>
      </c>
      <c r="B38">
        <v>6119636</v>
      </c>
      <c r="C38">
        <v>187514</v>
      </c>
      <c r="E38" t="b">
        <v>0</v>
      </c>
      <c r="F38">
        <v>44172</v>
      </c>
      <c r="G38" t="s">
        <v>727</v>
      </c>
      <c r="H38">
        <v>1</v>
      </c>
      <c r="I38" t="s">
        <v>728</v>
      </c>
      <c r="J38" t="s">
        <v>538</v>
      </c>
      <c r="K38" t="s">
        <v>539</v>
      </c>
      <c r="L38" t="s">
        <v>539</v>
      </c>
      <c r="M38" t="s">
        <v>729</v>
      </c>
      <c r="N38" t="s">
        <v>211</v>
      </c>
      <c r="O38" t="s">
        <v>414</v>
      </c>
      <c r="U38" t="s">
        <v>730</v>
      </c>
      <c r="V38" t="s">
        <v>731</v>
      </c>
      <c r="W38" t="s">
        <v>705</v>
      </c>
      <c r="X38" t="s">
        <v>540</v>
      </c>
      <c r="Y38" t="s">
        <v>551</v>
      </c>
      <c r="AB38" t="s">
        <v>663</v>
      </c>
      <c r="AD38" t="s">
        <v>247</v>
      </c>
      <c r="AE38" t="s">
        <v>415</v>
      </c>
      <c r="AF38">
        <v>0</v>
      </c>
      <c r="AG38">
        <v>0</v>
      </c>
      <c r="AI38">
        <v>0</v>
      </c>
      <c r="AJ38" t="s">
        <v>554</v>
      </c>
      <c r="AK38" t="s">
        <v>663</v>
      </c>
      <c r="AL38" t="s">
        <v>555</v>
      </c>
    </row>
    <row r="39" spans="1:38" x14ac:dyDescent="0.2">
      <c r="A39">
        <v>1235661</v>
      </c>
      <c r="B39">
        <v>8074219</v>
      </c>
      <c r="C39">
        <v>187514</v>
      </c>
      <c r="E39" t="b">
        <v>0</v>
      </c>
      <c r="F39">
        <v>72769</v>
      </c>
      <c r="G39" t="s">
        <v>732</v>
      </c>
      <c r="H39">
        <v>1</v>
      </c>
      <c r="I39" t="s">
        <v>733</v>
      </c>
      <c r="J39" t="s">
        <v>538</v>
      </c>
      <c r="K39" t="s">
        <v>539</v>
      </c>
      <c r="L39" t="s">
        <v>539</v>
      </c>
      <c r="M39" t="s">
        <v>734</v>
      </c>
      <c r="N39" t="s">
        <v>212</v>
      </c>
      <c r="O39" t="s">
        <v>478</v>
      </c>
      <c r="S39" t="s">
        <v>677</v>
      </c>
      <c r="U39" t="s">
        <v>735</v>
      </c>
      <c r="V39" t="s">
        <v>736</v>
      </c>
      <c r="W39" t="s">
        <v>509</v>
      </c>
      <c r="X39" t="s">
        <v>540</v>
      </c>
      <c r="Y39" t="s">
        <v>551</v>
      </c>
      <c r="Z39" t="s">
        <v>552</v>
      </c>
      <c r="AB39" t="s">
        <v>663</v>
      </c>
      <c r="AD39" t="s">
        <v>248</v>
      </c>
      <c r="AE39" t="s">
        <v>415</v>
      </c>
      <c r="AF39">
        <v>0</v>
      </c>
      <c r="AG39">
        <v>0</v>
      </c>
      <c r="AH39">
        <v>0</v>
      </c>
      <c r="AI39">
        <v>0</v>
      </c>
      <c r="AJ39" t="s">
        <v>554</v>
      </c>
      <c r="AK39" t="s">
        <v>663</v>
      </c>
      <c r="AL39" t="s">
        <v>555</v>
      </c>
    </row>
    <row r="40" spans="1:38" x14ac:dyDescent="0.2">
      <c r="A40">
        <v>1235507</v>
      </c>
      <c r="B40">
        <v>8085736</v>
      </c>
      <c r="C40">
        <v>187514</v>
      </c>
      <c r="E40" t="b">
        <v>0</v>
      </c>
      <c r="F40">
        <v>72935</v>
      </c>
      <c r="G40" t="s">
        <v>737</v>
      </c>
      <c r="H40">
        <v>1</v>
      </c>
      <c r="I40" t="s">
        <v>738</v>
      </c>
      <c r="J40" t="s">
        <v>537</v>
      </c>
      <c r="K40" t="s">
        <v>537</v>
      </c>
      <c r="L40" t="s">
        <v>537</v>
      </c>
      <c r="M40" t="s">
        <v>739</v>
      </c>
      <c r="N40" t="s">
        <v>213</v>
      </c>
      <c r="O40" t="s">
        <v>441</v>
      </c>
      <c r="U40" t="s">
        <v>740</v>
      </c>
      <c r="V40" t="s">
        <v>741</v>
      </c>
      <c r="W40" t="s">
        <v>472</v>
      </c>
      <c r="X40" t="s">
        <v>540</v>
      </c>
      <c r="Y40" t="s">
        <v>551</v>
      </c>
      <c r="AB40" t="s">
        <v>663</v>
      </c>
      <c r="AD40" t="s">
        <v>249</v>
      </c>
      <c r="AE40" t="s">
        <v>415</v>
      </c>
      <c r="AF40">
        <v>0</v>
      </c>
      <c r="AG40">
        <v>0</v>
      </c>
      <c r="AI40">
        <v>0</v>
      </c>
      <c r="AJ40" t="s">
        <v>554</v>
      </c>
      <c r="AK40" t="s">
        <v>663</v>
      </c>
      <c r="AL40" t="s">
        <v>555</v>
      </c>
    </row>
    <row r="42" spans="1:38" x14ac:dyDescent="0.2">
      <c r="A42">
        <v>1235500</v>
      </c>
      <c r="B42">
        <v>8128420</v>
      </c>
      <c r="C42">
        <v>187514</v>
      </c>
      <c r="E42" t="b">
        <v>0</v>
      </c>
      <c r="F42">
        <v>73271</v>
      </c>
      <c r="G42" t="s">
        <v>742</v>
      </c>
      <c r="H42">
        <v>1</v>
      </c>
      <c r="I42" t="s">
        <v>743</v>
      </c>
      <c r="J42" t="s">
        <v>538</v>
      </c>
      <c r="K42" t="s">
        <v>537</v>
      </c>
      <c r="L42" t="s">
        <v>539</v>
      </c>
      <c r="M42" t="s">
        <v>744</v>
      </c>
      <c r="N42" t="s">
        <v>214</v>
      </c>
      <c r="O42" t="s">
        <v>433</v>
      </c>
      <c r="U42" t="s">
        <v>745</v>
      </c>
      <c r="V42" t="s">
        <v>746</v>
      </c>
      <c r="W42" t="s">
        <v>107</v>
      </c>
      <c r="X42" t="s">
        <v>540</v>
      </c>
      <c r="Y42" t="s">
        <v>116</v>
      </c>
      <c r="Z42" t="s">
        <v>552</v>
      </c>
      <c r="AB42" t="s">
        <v>663</v>
      </c>
      <c r="AD42" t="s">
        <v>250</v>
      </c>
      <c r="AE42" t="s">
        <v>415</v>
      </c>
      <c r="AF42">
        <v>0</v>
      </c>
      <c r="AG42">
        <v>0</v>
      </c>
      <c r="AH42">
        <v>0</v>
      </c>
      <c r="AI42">
        <v>0</v>
      </c>
      <c r="AJ42" t="s">
        <v>554</v>
      </c>
      <c r="AK42" t="s">
        <v>663</v>
      </c>
      <c r="AL42" t="s">
        <v>555</v>
      </c>
    </row>
    <row r="43" spans="1:38" x14ac:dyDescent="0.2">
      <c r="A43">
        <v>1235509</v>
      </c>
      <c r="B43">
        <v>6206718</v>
      </c>
      <c r="C43">
        <v>187514</v>
      </c>
      <c r="E43" t="b">
        <v>0</v>
      </c>
      <c r="F43">
        <v>46040</v>
      </c>
      <c r="G43" t="s">
        <v>747</v>
      </c>
      <c r="H43">
        <v>2</v>
      </c>
      <c r="I43" t="s">
        <v>748</v>
      </c>
      <c r="J43" t="s">
        <v>538</v>
      </c>
      <c r="K43" t="s">
        <v>539</v>
      </c>
      <c r="L43" t="s">
        <v>539</v>
      </c>
      <c r="M43" t="s">
        <v>749</v>
      </c>
      <c r="N43" t="s">
        <v>215</v>
      </c>
      <c r="O43" t="s">
        <v>443</v>
      </c>
      <c r="U43" t="s">
        <v>750</v>
      </c>
      <c r="V43" t="s">
        <v>751</v>
      </c>
      <c r="W43" t="s">
        <v>726</v>
      </c>
      <c r="X43" t="s">
        <v>540</v>
      </c>
      <c r="Y43" t="s">
        <v>551</v>
      </c>
      <c r="AB43" t="s">
        <v>663</v>
      </c>
      <c r="AD43" t="s">
        <v>251</v>
      </c>
      <c r="AE43" t="s">
        <v>415</v>
      </c>
      <c r="AF43">
        <v>0</v>
      </c>
      <c r="AG43">
        <v>0</v>
      </c>
      <c r="AI43">
        <v>0</v>
      </c>
      <c r="AJ43" t="s">
        <v>554</v>
      </c>
      <c r="AK43" t="s">
        <v>663</v>
      </c>
      <c r="AL43" t="s">
        <v>555</v>
      </c>
    </row>
    <row r="44" spans="1:38" x14ac:dyDescent="0.2">
      <c r="A44">
        <v>1235498</v>
      </c>
      <c r="B44">
        <v>4234901</v>
      </c>
      <c r="C44">
        <v>187508</v>
      </c>
      <c r="E44" t="b">
        <v>0</v>
      </c>
      <c r="F44">
        <v>24455</v>
      </c>
      <c r="G44" t="s">
        <v>752</v>
      </c>
      <c r="H44">
        <v>1</v>
      </c>
      <c r="I44" t="s">
        <v>753</v>
      </c>
      <c r="J44" t="s">
        <v>538</v>
      </c>
      <c r="K44" t="s">
        <v>539</v>
      </c>
      <c r="L44" t="s">
        <v>539</v>
      </c>
      <c r="M44" t="s">
        <v>754</v>
      </c>
      <c r="N44" t="s">
        <v>216</v>
      </c>
      <c r="O44" t="s">
        <v>432</v>
      </c>
      <c r="S44" t="s">
        <v>755</v>
      </c>
      <c r="U44" t="s">
        <v>756</v>
      </c>
      <c r="V44" t="s">
        <v>757</v>
      </c>
      <c r="W44" t="s">
        <v>758</v>
      </c>
      <c r="X44" t="s">
        <v>540</v>
      </c>
      <c r="Y44" t="s">
        <v>116</v>
      </c>
      <c r="Z44" t="s">
        <v>552</v>
      </c>
      <c r="AB44" t="s">
        <v>553</v>
      </c>
      <c r="AD44" t="s">
        <v>252</v>
      </c>
      <c r="AE44" t="s">
        <v>415</v>
      </c>
      <c r="AF44">
        <v>0</v>
      </c>
      <c r="AG44">
        <v>0</v>
      </c>
      <c r="AH44">
        <v>68</v>
      </c>
      <c r="AI44">
        <v>0</v>
      </c>
      <c r="AJ44" t="s">
        <v>554</v>
      </c>
      <c r="AK44" t="s">
        <v>553</v>
      </c>
      <c r="AL44" t="s">
        <v>555</v>
      </c>
    </row>
    <row r="45" spans="1:38" x14ac:dyDescent="0.2">
      <c r="A45">
        <v>1235401</v>
      </c>
      <c r="B45">
        <v>6140648</v>
      </c>
      <c r="C45">
        <v>187514</v>
      </c>
      <c r="E45" t="b">
        <v>0</v>
      </c>
      <c r="F45">
        <v>44618</v>
      </c>
      <c r="G45" t="s">
        <v>759</v>
      </c>
      <c r="H45">
        <v>1</v>
      </c>
      <c r="I45" t="s">
        <v>760</v>
      </c>
      <c r="J45" t="s">
        <v>538</v>
      </c>
      <c r="K45" t="s">
        <v>539</v>
      </c>
      <c r="L45" t="s">
        <v>539</v>
      </c>
      <c r="M45" t="s">
        <v>761</v>
      </c>
      <c r="N45" t="s">
        <v>217</v>
      </c>
      <c r="O45" t="s">
        <v>416</v>
      </c>
      <c r="P45" t="s">
        <v>115</v>
      </c>
      <c r="U45" t="s">
        <v>762</v>
      </c>
      <c r="V45" t="s">
        <v>763</v>
      </c>
      <c r="W45" t="s">
        <v>168</v>
      </c>
      <c r="X45" t="s">
        <v>540</v>
      </c>
      <c r="Y45" t="s">
        <v>116</v>
      </c>
      <c r="AB45" t="s">
        <v>663</v>
      </c>
      <c r="AD45" t="s">
        <v>253</v>
      </c>
      <c r="AE45" t="s">
        <v>415</v>
      </c>
      <c r="AF45">
        <v>0</v>
      </c>
      <c r="AG45">
        <v>0</v>
      </c>
      <c r="AI45">
        <v>0</v>
      </c>
      <c r="AJ45" t="s">
        <v>554</v>
      </c>
      <c r="AK45" t="s">
        <v>663</v>
      </c>
      <c r="AL45" t="s">
        <v>555</v>
      </c>
    </row>
    <row r="46" spans="1:38" x14ac:dyDescent="0.2">
      <c r="A46">
        <v>1235402</v>
      </c>
      <c r="B46">
        <v>8128495</v>
      </c>
      <c r="C46">
        <v>187514</v>
      </c>
      <c r="E46" t="b">
        <v>0</v>
      </c>
      <c r="F46">
        <v>73279</v>
      </c>
      <c r="G46" t="s">
        <v>764</v>
      </c>
      <c r="H46">
        <v>1</v>
      </c>
      <c r="I46" t="s">
        <v>765</v>
      </c>
      <c r="J46" t="s">
        <v>538</v>
      </c>
      <c r="K46" t="s">
        <v>539</v>
      </c>
      <c r="L46" t="s">
        <v>539</v>
      </c>
      <c r="M46" t="s">
        <v>766</v>
      </c>
      <c r="N46" t="s">
        <v>218</v>
      </c>
      <c r="O46" t="s">
        <v>418</v>
      </c>
      <c r="P46" t="s">
        <v>115</v>
      </c>
      <c r="U46" t="s">
        <v>767</v>
      </c>
      <c r="V46" t="s">
        <v>768</v>
      </c>
      <c r="W46" t="s">
        <v>107</v>
      </c>
      <c r="X46" t="s">
        <v>540</v>
      </c>
      <c r="Y46" t="s">
        <v>116</v>
      </c>
      <c r="Z46" t="s">
        <v>552</v>
      </c>
      <c r="AB46" t="s">
        <v>663</v>
      </c>
      <c r="AD46" t="s">
        <v>254</v>
      </c>
      <c r="AE46" t="s">
        <v>415</v>
      </c>
      <c r="AF46">
        <v>0</v>
      </c>
      <c r="AG46">
        <v>0</v>
      </c>
      <c r="AH46">
        <v>0</v>
      </c>
      <c r="AI46">
        <v>0</v>
      </c>
      <c r="AJ46" t="s">
        <v>554</v>
      </c>
      <c r="AK46" t="s">
        <v>663</v>
      </c>
      <c r="AL46" t="s">
        <v>555</v>
      </c>
    </row>
    <row r="47" spans="1:38" x14ac:dyDescent="0.2">
      <c r="A47">
        <v>1235610</v>
      </c>
      <c r="B47">
        <v>3518992</v>
      </c>
      <c r="E47" t="b">
        <v>0</v>
      </c>
      <c r="F47">
        <v>7771</v>
      </c>
      <c r="G47" t="s">
        <v>769</v>
      </c>
      <c r="H47">
        <v>1</v>
      </c>
      <c r="I47" t="s">
        <v>770</v>
      </c>
      <c r="J47" t="s">
        <v>538</v>
      </c>
      <c r="K47" t="s">
        <v>537</v>
      </c>
      <c r="L47" t="s">
        <v>539</v>
      </c>
      <c r="M47" t="s">
        <v>771</v>
      </c>
      <c r="N47" t="s">
        <v>224</v>
      </c>
      <c r="O47" t="s">
        <v>223</v>
      </c>
      <c r="P47" t="s">
        <v>462</v>
      </c>
      <c r="S47" t="s">
        <v>583</v>
      </c>
      <c r="V47" t="s">
        <v>772</v>
      </c>
      <c r="W47" t="s">
        <v>446</v>
      </c>
      <c r="X47" t="s">
        <v>540</v>
      </c>
      <c r="Y47" t="s">
        <v>116</v>
      </c>
      <c r="Z47" t="s">
        <v>552</v>
      </c>
      <c r="AD47" t="s">
        <v>222</v>
      </c>
      <c r="AE47" t="s">
        <v>463</v>
      </c>
      <c r="AF47">
        <v>0</v>
      </c>
      <c r="AG47">
        <v>0</v>
      </c>
      <c r="AH47">
        <v>41</v>
      </c>
      <c r="AI47">
        <v>0</v>
      </c>
      <c r="AJ47" t="s">
        <v>773</v>
      </c>
    </row>
    <row r="49" spans="1:38" x14ac:dyDescent="0.2">
      <c r="A49">
        <v>1235673</v>
      </c>
      <c r="B49">
        <v>7098933</v>
      </c>
      <c r="C49">
        <v>187514</v>
      </c>
      <c r="E49" t="b">
        <v>0</v>
      </c>
      <c r="F49">
        <v>55608</v>
      </c>
      <c r="G49" t="s">
        <v>774</v>
      </c>
      <c r="H49">
        <v>1</v>
      </c>
      <c r="I49" t="s">
        <v>775</v>
      </c>
      <c r="J49" t="s">
        <v>538</v>
      </c>
      <c r="K49" t="s">
        <v>539</v>
      </c>
      <c r="L49" t="s">
        <v>539</v>
      </c>
      <c r="M49" t="s">
        <v>776</v>
      </c>
      <c r="N49" t="s">
        <v>331</v>
      </c>
      <c r="O49" t="s">
        <v>479</v>
      </c>
      <c r="U49" t="s">
        <v>777</v>
      </c>
      <c r="V49" t="s">
        <v>778</v>
      </c>
      <c r="W49" t="s">
        <v>107</v>
      </c>
      <c r="X49" t="s">
        <v>540</v>
      </c>
      <c r="Y49" t="s">
        <v>551</v>
      </c>
      <c r="Z49" t="s">
        <v>552</v>
      </c>
      <c r="AB49" t="s">
        <v>663</v>
      </c>
      <c r="AD49" t="s">
        <v>330</v>
      </c>
      <c r="AE49" t="s">
        <v>448</v>
      </c>
      <c r="AF49">
        <v>0</v>
      </c>
      <c r="AG49">
        <v>0</v>
      </c>
      <c r="AH49">
        <v>27.5</v>
      </c>
      <c r="AI49">
        <v>0</v>
      </c>
      <c r="AJ49" t="s">
        <v>554</v>
      </c>
      <c r="AK49" t="s">
        <v>663</v>
      </c>
      <c r="AL49" t="s">
        <v>555</v>
      </c>
    </row>
    <row r="50" spans="1:38" x14ac:dyDescent="0.2">
      <c r="A50">
        <v>1235526</v>
      </c>
      <c r="B50">
        <v>6917566</v>
      </c>
      <c r="C50">
        <v>187514</v>
      </c>
      <c r="E50" t="b">
        <v>0</v>
      </c>
      <c r="F50">
        <v>51875</v>
      </c>
      <c r="G50" t="s">
        <v>779</v>
      </c>
      <c r="H50">
        <v>1</v>
      </c>
      <c r="I50" t="s">
        <v>780</v>
      </c>
      <c r="J50" t="s">
        <v>538</v>
      </c>
      <c r="K50" t="s">
        <v>539</v>
      </c>
      <c r="L50" t="s">
        <v>539</v>
      </c>
      <c r="M50" t="s">
        <v>781</v>
      </c>
      <c r="N50" t="s">
        <v>219</v>
      </c>
      <c r="O50" t="s">
        <v>447</v>
      </c>
      <c r="U50" t="s">
        <v>782</v>
      </c>
      <c r="V50" t="s">
        <v>783</v>
      </c>
      <c r="W50" t="s">
        <v>460</v>
      </c>
      <c r="X50" t="s">
        <v>540</v>
      </c>
      <c r="Y50" t="s">
        <v>551</v>
      </c>
      <c r="AB50" t="s">
        <v>663</v>
      </c>
      <c r="AD50" t="s">
        <v>255</v>
      </c>
      <c r="AE50" t="s">
        <v>448</v>
      </c>
      <c r="AF50">
        <v>0</v>
      </c>
      <c r="AG50">
        <v>0</v>
      </c>
      <c r="AI50">
        <v>0</v>
      </c>
      <c r="AJ50" t="s">
        <v>554</v>
      </c>
      <c r="AK50" t="s">
        <v>663</v>
      </c>
      <c r="AL50" t="s">
        <v>555</v>
      </c>
    </row>
    <row r="51" spans="1:38" x14ac:dyDescent="0.2">
      <c r="A51">
        <v>2635568</v>
      </c>
      <c r="B51">
        <v>7621062</v>
      </c>
      <c r="C51">
        <v>187514</v>
      </c>
      <c r="E51" t="b">
        <v>0</v>
      </c>
      <c r="F51">
        <v>64450</v>
      </c>
      <c r="G51" t="s">
        <v>784</v>
      </c>
      <c r="H51">
        <v>1</v>
      </c>
      <c r="I51" t="s">
        <v>785</v>
      </c>
      <c r="J51" t="s">
        <v>537</v>
      </c>
      <c r="K51" t="s">
        <v>537</v>
      </c>
      <c r="L51" t="s">
        <v>537</v>
      </c>
      <c r="M51" t="s">
        <v>786</v>
      </c>
      <c r="N51" t="s">
        <v>220</v>
      </c>
      <c r="O51" t="s">
        <v>507</v>
      </c>
      <c r="U51" t="s">
        <v>787</v>
      </c>
      <c r="V51" t="s">
        <v>788</v>
      </c>
      <c r="W51" t="s">
        <v>500</v>
      </c>
      <c r="X51" t="s">
        <v>540</v>
      </c>
      <c r="Y51" t="s">
        <v>417</v>
      </c>
      <c r="Z51" t="s">
        <v>552</v>
      </c>
      <c r="AB51" t="s">
        <v>663</v>
      </c>
      <c r="AD51" t="s">
        <v>256</v>
      </c>
      <c r="AE51" t="s">
        <v>448</v>
      </c>
      <c r="AF51">
        <v>0</v>
      </c>
      <c r="AG51">
        <v>0</v>
      </c>
      <c r="AH51">
        <v>27.5</v>
      </c>
      <c r="AI51">
        <v>0</v>
      </c>
      <c r="AJ51" t="s">
        <v>554</v>
      </c>
      <c r="AK51" t="s">
        <v>663</v>
      </c>
      <c r="AL51" t="s">
        <v>555</v>
      </c>
    </row>
    <row r="52" spans="1:38" x14ac:dyDescent="0.2">
      <c r="A52">
        <v>1235345</v>
      </c>
      <c r="B52">
        <v>7865996</v>
      </c>
      <c r="C52">
        <v>7654931</v>
      </c>
      <c r="E52" t="b">
        <v>0</v>
      </c>
      <c r="F52">
        <v>68489</v>
      </c>
      <c r="G52" t="s">
        <v>789</v>
      </c>
      <c r="H52">
        <v>1</v>
      </c>
      <c r="I52" t="s">
        <v>790</v>
      </c>
      <c r="J52" t="s">
        <v>538</v>
      </c>
      <c r="K52" t="s">
        <v>539</v>
      </c>
      <c r="L52" t="s">
        <v>539</v>
      </c>
      <c r="M52" t="s">
        <v>791</v>
      </c>
      <c r="N52" t="s">
        <v>186</v>
      </c>
      <c r="O52" t="s">
        <v>186</v>
      </c>
      <c r="P52" t="s">
        <v>409</v>
      </c>
      <c r="S52" t="s">
        <v>792</v>
      </c>
      <c r="U52" t="s">
        <v>793</v>
      </c>
      <c r="V52" t="s">
        <v>794</v>
      </c>
      <c r="W52" t="s">
        <v>795</v>
      </c>
      <c r="X52" t="s">
        <v>540</v>
      </c>
      <c r="Y52" t="s">
        <v>116</v>
      </c>
      <c r="Z52" t="s">
        <v>796</v>
      </c>
      <c r="AB52" t="s">
        <v>578</v>
      </c>
      <c r="AD52" t="s">
        <v>185</v>
      </c>
      <c r="AE52" t="s">
        <v>410</v>
      </c>
      <c r="AF52">
        <v>0</v>
      </c>
      <c r="AG52">
        <v>0</v>
      </c>
      <c r="AH52">
        <v>117.75</v>
      </c>
      <c r="AI52">
        <v>0</v>
      </c>
      <c r="AJ52" t="s">
        <v>554</v>
      </c>
      <c r="AK52" t="s">
        <v>578</v>
      </c>
      <c r="AL52" t="s">
        <v>797</v>
      </c>
    </row>
    <row r="53" spans="1:38" x14ac:dyDescent="0.2">
      <c r="A53">
        <v>1235444</v>
      </c>
      <c r="B53">
        <v>7855800</v>
      </c>
      <c r="C53">
        <v>187508</v>
      </c>
      <c r="E53" t="b">
        <v>0</v>
      </c>
      <c r="F53">
        <v>68290</v>
      </c>
      <c r="G53" t="s">
        <v>798</v>
      </c>
      <c r="H53">
        <v>1</v>
      </c>
      <c r="I53" t="s">
        <v>799</v>
      </c>
      <c r="J53" t="s">
        <v>538</v>
      </c>
      <c r="K53" t="s">
        <v>537</v>
      </c>
      <c r="L53" t="s">
        <v>539</v>
      </c>
      <c r="M53" t="s">
        <v>800</v>
      </c>
      <c r="N53" t="s">
        <v>190</v>
      </c>
      <c r="O53" t="s">
        <v>189</v>
      </c>
      <c r="P53" t="s">
        <v>115</v>
      </c>
      <c r="S53" t="s">
        <v>591</v>
      </c>
      <c r="U53" t="s">
        <v>801</v>
      </c>
      <c r="V53" t="s">
        <v>802</v>
      </c>
      <c r="W53" t="s">
        <v>446</v>
      </c>
      <c r="X53" t="s">
        <v>540</v>
      </c>
      <c r="Y53" t="s">
        <v>551</v>
      </c>
      <c r="Z53" t="s">
        <v>552</v>
      </c>
      <c r="AB53" t="s">
        <v>553</v>
      </c>
      <c r="AD53" t="s">
        <v>427</v>
      </c>
      <c r="AE53" t="s">
        <v>803</v>
      </c>
      <c r="AF53">
        <v>0</v>
      </c>
      <c r="AG53">
        <v>0</v>
      </c>
      <c r="AH53">
        <v>102</v>
      </c>
      <c r="AI53">
        <v>0</v>
      </c>
      <c r="AJ53" t="s">
        <v>554</v>
      </c>
      <c r="AK53" t="s">
        <v>553</v>
      </c>
      <c r="AL53" t="s">
        <v>555</v>
      </c>
    </row>
    <row r="54" spans="1:38" x14ac:dyDescent="0.2">
      <c r="A54">
        <v>1235564</v>
      </c>
      <c r="B54">
        <v>7890061</v>
      </c>
      <c r="C54">
        <v>187508</v>
      </c>
      <c r="E54" t="b">
        <v>0</v>
      </c>
      <c r="F54">
        <v>69031</v>
      </c>
      <c r="G54" t="s">
        <v>804</v>
      </c>
      <c r="H54">
        <v>1</v>
      </c>
      <c r="I54" t="s">
        <v>805</v>
      </c>
      <c r="J54" t="s">
        <v>538</v>
      </c>
      <c r="K54" t="s">
        <v>537</v>
      </c>
      <c r="L54" t="s">
        <v>539</v>
      </c>
      <c r="M54" t="s">
        <v>806</v>
      </c>
      <c r="N54" t="s">
        <v>195</v>
      </c>
      <c r="O54" t="s">
        <v>194</v>
      </c>
      <c r="S54" t="s">
        <v>807</v>
      </c>
      <c r="U54" t="s">
        <v>808</v>
      </c>
      <c r="V54" t="s">
        <v>809</v>
      </c>
      <c r="W54" t="s">
        <v>446</v>
      </c>
      <c r="X54" t="s">
        <v>540</v>
      </c>
      <c r="Y54" t="s">
        <v>551</v>
      </c>
      <c r="Z54" t="s">
        <v>552</v>
      </c>
      <c r="AB54" t="s">
        <v>553</v>
      </c>
      <c r="AD54" t="s">
        <v>193</v>
      </c>
      <c r="AE54" t="s">
        <v>458</v>
      </c>
      <c r="AF54">
        <v>0</v>
      </c>
      <c r="AG54">
        <v>0</v>
      </c>
      <c r="AH54">
        <v>75</v>
      </c>
      <c r="AI54">
        <v>0</v>
      </c>
      <c r="AJ54" t="s">
        <v>554</v>
      </c>
      <c r="AK54" t="s">
        <v>553</v>
      </c>
      <c r="AL54" t="s">
        <v>555</v>
      </c>
    </row>
    <row r="55" spans="1:38" x14ac:dyDescent="0.2">
      <c r="A55">
        <v>1235501</v>
      </c>
      <c r="B55">
        <v>8010165</v>
      </c>
      <c r="C55">
        <v>187508</v>
      </c>
      <c r="E55" t="b">
        <v>0</v>
      </c>
      <c r="F55">
        <v>71410</v>
      </c>
      <c r="G55" t="s">
        <v>810</v>
      </c>
      <c r="H55">
        <v>1</v>
      </c>
      <c r="I55" t="s">
        <v>811</v>
      </c>
      <c r="J55" t="s">
        <v>538</v>
      </c>
      <c r="K55" t="s">
        <v>537</v>
      </c>
      <c r="L55" t="s">
        <v>539</v>
      </c>
      <c r="M55" t="s">
        <v>812</v>
      </c>
      <c r="N55" t="s">
        <v>198</v>
      </c>
      <c r="O55" t="s">
        <v>197</v>
      </c>
      <c r="P55" t="s">
        <v>417</v>
      </c>
      <c r="S55" t="s">
        <v>591</v>
      </c>
      <c r="U55" t="s">
        <v>629</v>
      </c>
      <c r="V55" t="s">
        <v>813</v>
      </c>
      <c r="W55" t="s">
        <v>446</v>
      </c>
      <c r="X55" t="s">
        <v>540</v>
      </c>
      <c r="Y55" t="s">
        <v>551</v>
      </c>
      <c r="Z55" t="s">
        <v>552</v>
      </c>
      <c r="AB55" t="s">
        <v>553</v>
      </c>
      <c r="AD55" t="s">
        <v>196</v>
      </c>
      <c r="AE55" t="s">
        <v>434</v>
      </c>
      <c r="AF55">
        <v>0</v>
      </c>
      <c r="AG55">
        <v>0</v>
      </c>
      <c r="AH55">
        <v>75</v>
      </c>
      <c r="AI55">
        <v>0</v>
      </c>
      <c r="AJ55" t="s">
        <v>554</v>
      </c>
      <c r="AK55" t="s">
        <v>553</v>
      </c>
      <c r="AL55" t="s">
        <v>555</v>
      </c>
    </row>
    <row r="56" spans="1:38" x14ac:dyDescent="0.2">
      <c r="A56">
        <v>1235704</v>
      </c>
      <c r="B56">
        <v>8031653</v>
      </c>
      <c r="C56">
        <v>187514</v>
      </c>
      <c r="E56" t="b">
        <v>0</v>
      </c>
      <c r="F56">
        <v>71907</v>
      </c>
      <c r="G56" t="s">
        <v>814</v>
      </c>
      <c r="H56">
        <v>1</v>
      </c>
      <c r="I56" t="s">
        <v>815</v>
      </c>
      <c r="J56" t="s">
        <v>538</v>
      </c>
      <c r="K56" t="s">
        <v>539</v>
      </c>
      <c r="L56" t="s">
        <v>539</v>
      </c>
      <c r="M56" t="s">
        <v>816</v>
      </c>
      <c r="N56" t="s">
        <v>264</v>
      </c>
      <c r="O56" t="s">
        <v>485</v>
      </c>
      <c r="S56" t="s">
        <v>677</v>
      </c>
      <c r="U56" t="s">
        <v>817</v>
      </c>
      <c r="V56" t="s">
        <v>818</v>
      </c>
      <c r="W56" t="s">
        <v>379</v>
      </c>
      <c r="X56" t="s">
        <v>540</v>
      </c>
      <c r="Y56" t="s">
        <v>417</v>
      </c>
      <c r="Z56" t="s">
        <v>552</v>
      </c>
      <c r="AB56" t="s">
        <v>663</v>
      </c>
      <c r="AD56" t="s">
        <v>263</v>
      </c>
      <c r="AE56" t="s">
        <v>263</v>
      </c>
      <c r="AF56">
        <v>0</v>
      </c>
      <c r="AG56">
        <v>0</v>
      </c>
      <c r="AH56">
        <v>27.5</v>
      </c>
      <c r="AI56">
        <v>0</v>
      </c>
      <c r="AJ56" t="s">
        <v>554</v>
      </c>
      <c r="AK56" t="s">
        <v>663</v>
      </c>
      <c r="AL56" t="s">
        <v>555</v>
      </c>
    </row>
    <row r="57" spans="1:38" x14ac:dyDescent="0.2">
      <c r="A57">
        <v>1235563</v>
      </c>
      <c r="B57">
        <v>7009411</v>
      </c>
      <c r="C57">
        <v>7589603</v>
      </c>
      <c r="E57" t="b">
        <v>0</v>
      </c>
      <c r="F57">
        <v>53782</v>
      </c>
      <c r="G57" t="s">
        <v>819</v>
      </c>
      <c r="H57">
        <v>1</v>
      </c>
      <c r="I57" t="s">
        <v>820</v>
      </c>
      <c r="J57" t="s">
        <v>538</v>
      </c>
      <c r="K57" t="s">
        <v>537</v>
      </c>
      <c r="L57" t="s">
        <v>539</v>
      </c>
      <c r="M57" t="s">
        <v>821</v>
      </c>
      <c r="N57" t="s">
        <v>230</v>
      </c>
      <c r="O57" t="s">
        <v>230</v>
      </c>
      <c r="P57" t="s">
        <v>455</v>
      </c>
      <c r="S57" t="s">
        <v>583</v>
      </c>
      <c r="U57" t="s">
        <v>822</v>
      </c>
      <c r="V57" t="s">
        <v>823</v>
      </c>
      <c r="W57" t="s">
        <v>446</v>
      </c>
      <c r="X57" t="s">
        <v>540</v>
      </c>
      <c r="Y57" t="s">
        <v>116</v>
      </c>
      <c r="Z57" t="s">
        <v>552</v>
      </c>
      <c r="AB57" t="s">
        <v>578</v>
      </c>
      <c r="AD57" t="s">
        <v>456</v>
      </c>
      <c r="AE57" t="s">
        <v>457</v>
      </c>
      <c r="AF57">
        <v>0</v>
      </c>
      <c r="AG57">
        <v>0</v>
      </c>
      <c r="AH57">
        <v>46</v>
      </c>
      <c r="AI57">
        <v>0</v>
      </c>
      <c r="AJ57" t="s">
        <v>554</v>
      </c>
      <c r="AK57" t="s">
        <v>578</v>
      </c>
      <c r="AL57" t="s">
        <v>587</v>
      </c>
    </row>
    <row r="58" spans="1:38" x14ac:dyDescent="0.2">
      <c r="A58">
        <v>1235428</v>
      </c>
      <c r="B58">
        <v>3934094</v>
      </c>
      <c r="C58">
        <v>7589603</v>
      </c>
      <c r="E58" t="b">
        <v>0</v>
      </c>
      <c r="F58">
        <v>17702</v>
      </c>
      <c r="G58" t="s">
        <v>824</v>
      </c>
      <c r="H58">
        <v>1</v>
      </c>
      <c r="I58" t="s">
        <v>825</v>
      </c>
      <c r="J58" t="s">
        <v>538</v>
      </c>
      <c r="K58" t="s">
        <v>539</v>
      </c>
      <c r="L58" t="s">
        <v>539</v>
      </c>
      <c r="M58" t="s">
        <v>826</v>
      </c>
      <c r="N58" t="s">
        <v>231</v>
      </c>
      <c r="O58" t="s">
        <v>231</v>
      </c>
      <c r="P58" t="s">
        <v>758</v>
      </c>
      <c r="S58" t="s">
        <v>583</v>
      </c>
      <c r="V58" t="s">
        <v>827</v>
      </c>
      <c r="W58" t="s">
        <v>446</v>
      </c>
      <c r="X58" t="s">
        <v>540</v>
      </c>
      <c r="Y58" t="s">
        <v>116</v>
      </c>
      <c r="Z58" t="s">
        <v>552</v>
      </c>
      <c r="AB58" t="s">
        <v>578</v>
      </c>
      <c r="AD58" t="s">
        <v>828</v>
      </c>
      <c r="AE58" t="s">
        <v>829</v>
      </c>
      <c r="AF58">
        <v>0</v>
      </c>
      <c r="AG58">
        <v>0</v>
      </c>
      <c r="AH58">
        <v>41</v>
      </c>
      <c r="AI58">
        <v>0</v>
      </c>
      <c r="AJ58" t="s">
        <v>554</v>
      </c>
      <c r="AK58" t="s">
        <v>578</v>
      </c>
      <c r="AL58" t="s">
        <v>587</v>
      </c>
    </row>
    <row r="59" spans="1:38" x14ac:dyDescent="0.2">
      <c r="A59">
        <v>2822437</v>
      </c>
    </row>
    <row r="60" spans="1:38" x14ac:dyDescent="0.2">
      <c r="A60">
        <v>1235598</v>
      </c>
      <c r="B60">
        <v>7490110</v>
      </c>
      <c r="C60">
        <v>7589602</v>
      </c>
      <c r="E60" t="b">
        <v>0</v>
      </c>
      <c r="F60">
        <v>61175</v>
      </c>
      <c r="G60" t="s">
        <v>830</v>
      </c>
      <c r="H60">
        <v>1</v>
      </c>
      <c r="I60" t="s">
        <v>831</v>
      </c>
      <c r="J60" t="s">
        <v>538</v>
      </c>
      <c r="K60" t="s">
        <v>537</v>
      </c>
      <c r="L60" t="s">
        <v>539</v>
      </c>
      <c r="M60" t="s">
        <v>832</v>
      </c>
      <c r="N60" t="s">
        <v>187</v>
      </c>
      <c r="O60" t="s">
        <v>187</v>
      </c>
      <c r="P60" t="s">
        <v>446</v>
      </c>
      <c r="S60" t="s">
        <v>591</v>
      </c>
      <c r="U60" t="s">
        <v>833</v>
      </c>
      <c r="V60" t="s">
        <v>834</v>
      </c>
      <c r="W60" t="s">
        <v>446</v>
      </c>
      <c r="X60" t="s">
        <v>540</v>
      </c>
      <c r="Y60" t="s">
        <v>116</v>
      </c>
      <c r="Z60" t="s">
        <v>552</v>
      </c>
      <c r="AA60" t="s">
        <v>22</v>
      </c>
      <c r="AB60" t="s">
        <v>595</v>
      </c>
      <c r="AD60" t="s">
        <v>461</v>
      </c>
      <c r="AE60" t="s">
        <v>461</v>
      </c>
      <c r="AF60">
        <v>0</v>
      </c>
      <c r="AG60">
        <v>0</v>
      </c>
      <c r="AH60">
        <v>76.25</v>
      </c>
      <c r="AI60">
        <v>0</v>
      </c>
      <c r="AJ60" t="s">
        <v>554</v>
      </c>
      <c r="AK60" t="s">
        <v>595</v>
      </c>
      <c r="AL60" t="s">
        <v>587</v>
      </c>
    </row>
    <row r="61" spans="1:38" x14ac:dyDescent="0.2">
      <c r="A61">
        <v>1235517</v>
      </c>
      <c r="B61">
        <v>6829128</v>
      </c>
      <c r="C61">
        <v>187510</v>
      </c>
      <c r="E61" t="b">
        <v>0</v>
      </c>
      <c r="F61">
        <v>50907</v>
      </c>
      <c r="G61" t="s">
        <v>835</v>
      </c>
      <c r="H61">
        <v>1</v>
      </c>
      <c r="I61" t="s">
        <v>836</v>
      </c>
      <c r="J61" t="s">
        <v>538</v>
      </c>
      <c r="K61" t="s">
        <v>537</v>
      </c>
      <c r="L61" t="s">
        <v>539</v>
      </c>
      <c r="M61" t="s">
        <v>837</v>
      </c>
      <c r="N61" t="s">
        <v>188</v>
      </c>
      <c r="O61" t="s">
        <v>188</v>
      </c>
      <c r="P61" t="s">
        <v>107</v>
      </c>
      <c r="S61" t="s">
        <v>591</v>
      </c>
      <c r="U61" t="s">
        <v>838</v>
      </c>
      <c r="V61" t="s">
        <v>839</v>
      </c>
      <c r="W61" t="s">
        <v>446</v>
      </c>
      <c r="X61" t="s">
        <v>540</v>
      </c>
      <c r="Y61" t="s">
        <v>116</v>
      </c>
      <c r="Z61" t="s">
        <v>552</v>
      </c>
      <c r="AA61" t="s">
        <v>22</v>
      </c>
      <c r="AB61" t="s">
        <v>595</v>
      </c>
      <c r="AD61" t="s">
        <v>840</v>
      </c>
      <c r="AE61" t="s">
        <v>840</v>
      </c>
      <c r="AF61">
        <v>0</v>
      </c>
      <c r="AG61">
        <v>0</v>
      </c>
      <c r="AH61">
        <v>74.75</v>
      </c>
      <c r="AI61">
        <v>0</v>
      </c>
      <c r="AJ61" t="s">
        <v>554</v>
      </c>
      <c r="AK61" t="s">
        <v>595</v>
      </c>
      <c r="AL61" t="s">
        <v>555</v>
      </c>
    </row>
    <row r="62" spans="1:38" x14ac:dyDescent="0.2">
      <c r="A62">
        <v>2822784</v>
      </c>
      <c r="B62">
        <v>8069275</v>
      </c>
      <c r="E62" t="b">
        <v>0</v>
      </c>
      <c r="F62">
        <v>72690</v>
      </c>
      <c r="G62" t="s">
        <v>841</v>
      </c>
      <c r="H62">
        <v>1</v>
      </c>
      <c r="I62" t="s">
        <v>842</v>
      </c>
      <c r="J62" t="s">
        <v>538</v>
      </c>
      <c r="K62" t="s">
        <v>539</v>
      </c>
      <c r="L62" t="s">
        <v>539</v>
      </c>
      <c r="M62" t="s">
        <v>843</v>
      </c>
      <c r="N62" t="s">
        <v>511</v>
      </c>
      <c r="O62" t="s">
        <v>511</v>
      </c>
      <c r="P62" t="s">
        <v>148</v>
      </c>
      <c r="S62" t="s">
        <v>844</v>
      </c>
      <c r="V62" t="s">
        <v>845</v>
      </c>
      <c r="W62" t="s">
        <v>446</v>
      </c>
      <c r="X62" t="s">
        <v>540</v>
      </c>
      <c r="Y62" t="s">
        <v>586</v>
      </c>
      <c r="Z62" t="s">
        <v>552</v>
      </c>
      <c r="AA62" t="s">
        <v>22</v>
      </c>
      <c r="AD62" t="s">
        <v>512</v>
      </c>
      <c r="AE62" t="s">
        <v>512</v>
      </c>
      <c r="AF62">
        <v>0</v>
      </c>
      <c r="AG62">
        <v>0</v>
      </c>
      <c r="AH62">
        <v>76.25</v>
      </c>
      <c r="AI62">
        <v>0</v>
      </c>
      <c r="AJ62" t="s">
        <v>554</v>
      </c>
    </row>
    <row r="63" spans="1:38" x14ac:dyDescent="0.2">
      <c r="A63">
        <v>1235416</v>
      </c>
      <c r="B63">
        <v>7618351</v>
      </c>
      <c r="C63">
        <v>187510</v>
      </c>
      <c r="E63" t="b">
        <v>0</v>
      </c>
      <c r="F63">
        <v>64375</v>
      </c>
      <c r="G63" t="s">
        <v>846</v>
      </c>
      <c r="H63">
        <v>1</v>
      </c>
      <c r="I63" t="s">
        <v>847</v>
      </c>
      <c r="J63" t="s">
        <v>538</v>
      </c>
      <c r="K63" t="s">
        <v>848</v>
      </c>
      <c r="L63" t="s">
        <v>539</v>
      </c>
      <c r="M63" t="s">
        <v>849</v>
      </c>
      <c r="N63" t="s">
        <v>421</v>
      </c>
      <c r="O63" t="s">
        <v>421</v>
      </c>
      <c r="P63" t="s">
        <v>422</v>
      </c>
      <c r="S63" t="s">
        <v>850</v>
      </c>
      <c r="U63" t="s">
        <v>851</v>
      </c>
      <c r="V63" t="s">
        <v>852</v>
      </c>
      <c r="W63" t="s">
        <v>446</v>
      </c>
      <c r="X63" t="s">
        <v>540</v>
      </c>
      <c r="Y63" t="s">
        <v>116</v>
      </c>
      <c r="Z63" t="s">
        <v>552</v>
      </c>
      <c r="AA63" t="s">
        <v>22</v>
      </c>
      <c r="AB63" t="s">
        <v>595</v>
      </c>
      <c r="AD63" t="s">
        <v>423</v>
      </c>
      <c r="AE63" t="s">
        <v>423</v>
      </c>
      <c r="AF63">
        <v>0</v>
      </c>
      <c r="AG63">
        <v>0</v>
      </c>
      <c r="AH63">
        <v>76.25</v>
      </c>
      <c r="AI63">
        <v>0</v>
      </c>
      <c r="AJ63" t="s">
        <v>554</v>
      </c>
      <c r="AK63" t="s">
        <v>595</v>
      </c>
      <c r="AL63" t="s">
        <v>555</v>
      </c>
    </row>
    <row r="64" spans="1:38" x14ac:dyDescent="0.2">
      <c r="A64">
        <v>1235503</v>
      </c>
      <c r="B64">
        <v>8035837</v>
      </c>
      <c r="C64">
        <v>187508</v>
      </c>
      <c r="E64" t="b">
        <v>0</v>
      </c>
      <c r="F64">
        <v>72022</v>
      </c>
      <c r="G64" t="s">
        <v>853</v>
      </c>
      <c r="H64">
        <v>1</v>
      </c>
      <c r="I64" t="s">
        <v>854</v>
      </c>
      <c r="J64" t="s">
        <v>538</v>
      </c>
      <c r="K64" t="s">
        <v>537</v>
      </c>
      <c r="L64" t="s">
        <v>539</v>
      </c>
      <c r="M64" t="s">
        <v>855</v>
      </c>
      <c r="N64" t="s">
        <v>269</v>
      </c>
      <c r="O64" t="s">
        <v>191</v>
      </c>
      <c r="P64" t="s">
        <v>417</v>
      </c>
      <c r="S64" t="s">
        <v>856</v>
      </c>
      <c r="U64" t="s">
        <v>857</v>
      </c>
      <c r="V64" t="s">
        <v>858</v>
      </c>
      <c r="W64" t="s">
        <v>446</v>
      </c>
      <c r="X64" t="s">
        <v>540</v>
      </c>
      <c r="Y64" t="s">
        <v>551</v>
      </c>
      <c r="Z64" t="s">
        <v>552</v>
      </c>
      <c r="AB64" t="s">
        <v>553</v>
      </c>
      <c r="AD64" t="s">
        <v>270</v>
      </c>
      <c r="AE64" t="s">
        <v>437</v>
      </c>
      <c r="AF64">
        <v>0</v>
      </c>
      <c r="AG64">
        <v>0</v>
      </c>
      <c r="AH64">
        <v>97</v>
      </c>
      <c r="AI64">
        <v>0</v>
      </c>
      <c r="AJ64" t="s">
        <v>554</v>
      </c>
      <c r="AK64" t="s">
        <v>553</v>
      </c>
      <c r="AL64" t="s">
        <v>555</v>
      </c>
    </row>
    <row r="65" spans="1:1" x14ac:dyDescent="0.2">
      <c r="A65">
        <v>1235768</v>
      </c>
    </row>
    <row r="66" spans="1:1" x14ac:dyDescent="0.2">
      <c r="A66">
        <v>1235769</v>
      </c>
    </row>
    <row r="67" spans="1:1" x14ac:dyDescent="0.2">
      <c r="A67">
        <v>1235540</v>
      </c>
    </row>
  </sheetData>
  <sheetProtection algorithmName="SHA-512" hashValue="6SE++vT5QoGratT0XDdCUy6wD7QDi5B4/7E8R3gEqfUBYVNr44DFB6WFwBpf2kdW6LTLnsskUPtBHN6OD61uMQ==" saltValue="rxDaFWPi/pjIoJoLCuP6g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571</v>
      </c>
      <c r="B1" s="39" t="s">
        <v>569</v>
      </c>
      <c r="C1" s="39" t="s">
        <v>570</v>
      </c>
    </row>
    <row r="2" spans="1:3" x14ac:dyDescent="0.2">
      <c r="A2" s="39" t="s">
        <v>568</v>
      </c>
      <c r="B2">
        <v>-100</v>
      </c>
      <c r="C2">
        <v>450</v>
      </c>
    </row>
    <row r="3" spans="1:3" x14ac:dyDescent="0.2">
      <c r="A3" s="39" t="s">
        <v>562</v>
      </c>
      <c r="B3">
        <v>-50</v>
      </c>
      <c r="C3">
        <v>450</v>
      </c>
    </row>
    <row r="4" spans="1:3" x14ac:dyDescent="0.2">
      <c r="A4" s="39" t="s">
        <v>561</v>
      </c>
      <c r="B4">
        <v>70</v>
      </c>
      <c r="C4">
        <v>500</v>
      </c>
    </row>
    <row r="5" spans="1:3" x14ac:dyDescent="0.2">
      <c r="A5" s="39" t="s">
        <v>563</v>
      </c>
      <c r="B5">
        <v>70</v>
      </c>
      <c r="C5">
        <v>450</v>
      </c>
    </row>
    <row r="6" spans="1:3" x14ac:dyDescent="0.2">
      <c r="A6" s="39" t="s">
        <v>565</v>
      </c>
      <c r="B6">
        <v>70</v>
      </c>
      <c r="C6">
        <v>1000</v>
      </c>
    </row>
    <row r="7" spans="1:3" x14ac:dyDescent="0.2">
      <c r="A7" s="39" t="s">
        <v>566</v>
      </c>
      <c r="B7">
        <v>200</v>
      </c>
      <c r="C7">
        <v>1850</v>
      </c>
    </row>
    <row r="8" spans="1:3" x14ac:dyDescent="0.2">
      <c r="A8" s="39" t="s">
        <v>564</v>
      </c>
      <c r="B8">
        <v>700</v>
      </c>
      <c r="C8">
        <v>2200</v>
      </c>
    </row>
    <row r="9" spans="1:3" x14ac:dyDescent="0.2">
      <c r="A9" s="39" t="s">
        <v>567</v>
      </c>
      <c r="B9">
        <v>700</v>
      </c>
      <c r="C9">
        <v>2200</v>
      </c>
    </row>
  </sheetData>
  <sheetProtection algorithmName="SHA-512" hashValue="m07/wCAy/1pzGXMt2DZTVRpHEj5MUeWRcVVeYTrqI3l/x1rLxzLhoSOBIhLLl12mYfsRhHfTKxX4gZ664A0fKw==" saltValue="0oibQPvlHzwlVIbHACn4/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918</v>
      </c>
      <c r="G1" s="39" t="s">
        <v>921</v>
      </c>
      <c r="I1" s="502" t="s">
        <v>915</v>
      </c>
      <c r="J1" s="503"/>
      <c r="L1" s="36"/>
      <c r="M1" s="453" t="s">
        <v>910</v>
      </c>
      <c r="N1" s="454" t="s">
        <v>15</v>
      </c>
      <c r="O1" s="454" t="s">
        <v>914</v>
      </c>
      <c r="P1" s="454" t="s">
        <v>904</v>
      </c>
      <c r="Q1" s="454" t="s">
        <v>14</v>
      </c>
    </row>
    <row r="2" spans="1:17" ht="13.5" thickTop="1" x14ac:dyDescent="0.2">
      <c r="A2" s="440"/>
      <c r="I2" s="464" t="s">
        <v>911</v>
      </c>
      <c r="J2" s="465">
        <f>COUNTIF(Survey[TestPoint],"&lt;=5")-1</f>
        <v>-1</v>
      </c>
      <c r="L2" s="476" t="s">
        <v>1</v>
      </c>
      <c r="M2" s="460" t="e">
        <f>_xlfn.XLOOKUP(P2,Survey[CorrectedTemp],Survey[TestPoint])</f>
        <v>#N/A</v>
      </c>
      <c r="N2" s="455">
        <f>P2-NominalTemp</f>
        <v>0</v>
      </c>
      <c r="O2" s="456" t="s">
        <v>272</v>
      </c>
      <c r="P2" s="455">
        <f>MAX(Survey[CorrectedTemp])</f>
        <v>0</v>
      </c>
      <c r="Q2" s="457" t="e">
        <f>_xlfn.XLOOKUP(P2,Survey[CorrectedTemp],Survey[Time])</f>
        <v>#N/A</v>
      </c>
    </row>
    <row r="3" spans="1:17" x14ac:dyDescent="0.2">
      <c r="I3" s="470" t="s">
        <v>919</v>
      </c>
      <c r="J3" s="471" t="e">
        <f>_xlfn.T.INV.2T(1-0.9545, DoF)</f>
        <v>#NUM!</v>
      </c>
      <c r="L3" s="476" t="s">
        <v>2</v>
      </c>
      <c r="M3" s="461" t="e">
        <f>_xlfn.XLOOKUP(P3,Survey[CorrectedTemp],Survey[TestPoint])</f>
        <v>#N/A</v>
      </c>
      <c r="N3" s="458">
        <f>P3-NominalTemp</f>
        <v>0</v>
      </c>
      <c r="O3" s="447" t="s">
        <v>273</v>
      </c>
      <c r="P3" s="458">
        <f>MIN(Survey[CorrectedTemp])</f>
        <v>0</v>
      </c>
      <c r="Q3" s="459" t="e">
        <f>_xlfn.XLOOKUP(P3,Survey[CorrectedTemp],Survey[Time])</f>
        <v>#N/A</v>
      </c>
    </row>
    <row r="4" spans="1:17" x14ac:dyDescent="0.2">
      <c r="I4" s="466" t="s">
        <v>923</v>
      </c>
      <c r="J4" s="467" cm="1">
        <f t="array" ref="J4">SUM(_xlfn._xlws.FILTER(Survey[Deviations],Survey[TestPoint]&lt;=5)^2)/DoF</f>
        <v>0</v>
      </c>
      <c r="L4" s="504" t="s">
        <v>916</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924</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922</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912</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913</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920</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945</v>
      </c>
      <c r="I2" t="str" cm="1">
        <f t="array" ref="I2">TRANSPOSE(_xlfn._xlws.FILTER(CorrectionFactors[], (CorrectionFactors[point]&gt;=Main!V22) * (CorrectionFactors[point]&lt;=Main!V23), ""))</f>
        <v/>
      </c>
    </row>
    <row r="3" spans="1:9" x14ac:dyDescent="0.2">
      <c r="H3" t="s">
        <v>310</v>
      </c>
    </row>
    <row r="4" spans="1:9" x14ac:dyDescent="0.2">
      <c r="H4" t="s">
        <v>946</v>
      </c>
    </row>
    <row r="5" spans="1:9" x14ac:dyDescent="0.2">
      <c r="H5" t="s">
        <v>947</v>
      </c>
    </row>
    <row r="6" spans="1:9" x14ac:dyDescent="0.2">
      <c r="H6" t="s">
        <v>948</v>
      </c>
    </row>
    <row r="7" spans="1:9" x14ac:dyDescent="0.2">
      <c r="H7" t="s">
        <v>949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862</v>
      </c>
      <c r="B1" s="411" t="s">
        <v>863</v>
      </c>
    </row>
    <row r="2" spans="1:3" x14ac:dyDescent="0.2">
      <c r="A2" s="39"/>
      <c r="B2" s="39"/>
    </row>
    <row r="3" spans="1:3" x14ac:dyDescent="0.2">
      <c r="A3" s="39" t="s">
        <v>569</v>
      </c>
      <c r="B3" s="39" t="s">
        <v>570</v>
      </c>
      <c r="C3" s="39" t="s">
        <v>864</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PujaMXNPveGz3FJ3L/ujp6JuovCqtZNyTgf5gLMDeUyEgZ0Ocr315uqjnbD7CWOfoi3/EG+bPJEg18xvspTQDA==" saltValue="jTaaoJnrtFNrekX2jln6J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9" t="s">
        <v>956</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5"/>
    </row>
    <row r="4" spans="1:22" s="291" customFormat="1" x14ac:dyDescent="0.2">
      <c r="A4" s="334"/>
      <c r="B4" s="144"/>
      <c r="C4" s="145" t="s">
        <v>232</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5"/>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5"/>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5"/>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5"/>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5"/>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5"/>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5"/>
    </row>
    <row r="11" spans="1:22" s="291" customFormat="1" x14ac:dyDescent="0.2">
      <c r="A11" s="334"/>
      <c r="B11" s="144"/>
      <c r="C11" s="153" t="s">
        <v>53</v>
      </c>
      <c r="D11" s="493"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5"/>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5"/>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327</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5"/>
    </row>
    <row r="14" spans="1:22" s="291" customFormat="1" x14ac:dyDescent="0.2">
      <c r="A14" s="334"/>
      <c r="B14" s="144"/>
      <c r="C14" s="153" t="s">
        <v>88</v>
      </c>
      <c r="D14" s="493" t="e">
        <f>VLOOKUP("certificate_number",DaqbookServiceRecord[], 2, FALSE)</f>
        <v>#N/A</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5"/>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5"/>
    </row>
    <row r="16" spans="1:22" s="291" customFormat="1" x14ac:dyDescent="0.2">
      <c r="A16" s="334"/>
      <c r="B16" s="158"/>
      <c r="C16" s="196" t="s">
        <v>266</v>
      </c>
      <c r="D16" s="309"/>
      <c r="E16" s="316"/>
      <c r="F16" s="156" t="s">
        <v>77</v>
      </c>
      <c r="G16" s="441" t="s">
        <v>271</v>
      </c>
      <c r="H16" s="442"/>
      <c r="I16" s="316"/>
      <c r="J16" s="555" t="s">
        <v>165</v>
      </c>
      <c r="K16" s="556"/>
      <c r="L16" s="297"/>
      <c r="M16" s="316"/>
      <c r="N16" s="462">
        <v>12</v>
      </c>
      <c r="O16" s="149"/>
      <c r="P16" s="505" t="str">
        <f>VLOOKUP(N16,Alerts[],3,FALSE)</f>
        <v/>
      </c>
      <c r="Q16" s="506"/>
      <c r="R16" s="463" t="str" cm="1">
        <f t="array" ref="R16">IFZERO(VLOOKUP(N16,Alerts[],4,FALSE),"")</f>
        <v/>
      </c>
      <c r="S16" s="150" t="str" cm="1">
        <f t="array" ref="S16">IFZERO(VLOOKUP(N16,Alerts[],5,FALSE),"")</f>
        <v/>
      </c>
      <c r="T16" s="495"/>
    </row>
    <row r="17" spans="1:22" s="291" customFormat="1" x14ac:dyDescent="0.2">
      <c r="A17" s="334"/>
      <c r="B17" s="144"/>
      <c r="C17" s="145" t="s">
        <v>64</v>
      </c>
      <c r="D17" s="310"/>
      <c r="E17" s="316"/>
      <c r="F17" s="157" t="s">
        <v>96</v>
      </c>
      <c r="G17" s="414" t="str">
        <f>IF(ISBLANK(Load),"",Load)</f>
        <v/>
      </c>
      <c r="H17" s="316"/>
      <c r="I17" s="317"/>
      <c r="J17" s="555" t="s">
        <v>166</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5"/>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5"/>
    </row>
    <row r="19" spans="1:22" s="291" customFormat="1" x14ac:dyDescent="0.2">
      <c r="A19" s="334"/>
      <c r="B19" s="144"/>
      <c r="C19" s="145" t="s">
        <v>10</v>
      </c>
      <c r="D19" s="485">
        <v>10</v>
      </c>
      <c r="E19" s="316"/>
      <c r="F19" s="157" t="s">
        <v>79</v>
      </c>
      <c r="G19" s="533" t="str">
        <f>IF(K15="Salt",0, IF(OR(K15="Hot",K15="SIM Load Hot"),IF(OR(D26="",D28=""),"N/A",IF(ISBLANK(D26),"N/A",D28-D26)),"N/A"))</f>
        <v>N/A</v>
      </c>
      <c r="H19" s="534"/>
      <c r="I19" s="343" t="str">
        <f>IF(G19="N/A","N/A",IF(G19=0,"&lt;2",ROUND(IF(LEN(G19)&gt;3,G19*1440,RIGHT(TEXT(G19,"hh:mm"),2)),0))&amp;" MINUTES")</f>
        <v>N/A</v>
      </c>
      <c r="J19" s="497">
        <f>D17</f>
        <v>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5"/>
      <c r="U19" s="299" t="s">
        <v>955</v>
      </c>
      <c r="V19" s="299">
        <f>L20</f>
        <v>1</v>
      </c>
    </row>
    <row r="20" spans="1:22" s="291" customFormat="1" ht="13.7" customHeight="1" x14ac:dyDescent="0.2">
      <c r="A20" s="192"/>
      <c r="B20" s="537" t="str">
        <f>IF(E20=TRUE,"SAT Tolerance (per AMS2750):","SAT Tolerance (per BAC5621):")</f>
        <v>SAT Tolerance (per BAC5621):</v>
      </c>
      <c r="C20" s="538"/>
      <c r="D20" s="412" t="str">
        <f>G94</f>
        <v>±3°F</v>
      </c>
      <c r="E20" s="477" t="b">
        <v>0</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5"/>
      <c r="U20" s="299" t="s">
        <v>954</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5"/>
      <c r="U21" s="299" t="s">
        <v>953</v>
      </c>
      <c r="V21" s="498">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5"/>
      <c r="U22" s="299" t="s">
        <v>952</v>
      </c>
      <c r="V22" s="299">
        <f>V20+1</f>
        <v>1</v>
      </c>
    </row>
    <row r="23" spans="1:22" s="291" customFormat="1" x14ac:dyDescent="0.2">
      <c r="A23" s="334"/>
      <c r="B23" s="144"/>
      <c r="C23" s="444" t="s">
        <v>917</v>
      </c>
      <c r="D23" s="295"/>
      <c r="E23" s="316"/>
      <c r="F23" s="163" t="s">
        <v>97</v>
      </c>
      <c r="G23" s="563" t="s">
        <v>375</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5"/>
      <c r="U23" s="299" t="s">
        <v>951</v>
      </c>
      <c r="V23" s="299">
        <f>V20+V21</f>
        <v>40</v>
      </c>
    </row>
    <row r="24" spans="1:22" s="291" customFormat="1" x14ac:dyDescent="0.2">
      <c r="A24" s="334"/>
      <c r="B24" s="539" t="s">
        <v>556</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5"/>
      <c r="U24" s="299" t="s">
        <v>950</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5"/>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5"/>
    </row>
    <row r="27" spans="1:22" s="291" customFormat="1" x14ac:dyDescent="0.2">
      <c r="A27" s="334"/>
      <c r="B27" s="164">
        <v>10</v>
      </c>
      <c r="C27" s="145" t="s">
        <v>61</v>
      </c>
      <c r="D27" s="305"/>
      <c r="E27" s="318"/>
      <c r="F27" s="252" t="s">
        <v>274</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5"/>
    </row>
    <row r="28" spans="1:22" s="291" customFormat="1" x14ac:dyDescent="0.2">
      <c r="A28" s="334"/>
      <c r="B28" s="165">
        <v>30</v>
      </c>
      <c r="C28" s="161" t="s">
        <v>62</v>
      </c>
      <c r="D28" s="305"/>
      <c r="E28" s="318"/>
      <c r="F28" s="252" t="s">
        <v>275</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5"/>
    </row>
    <row r="29" spans="1:22" s="291" customFormat="1" x14ac:dyDescent="0.2">
      <c r="A29" s="334"/>
      <c r="B29" s="164">
        <v>40</v>
      </c>
      <c r="C29" s="145" t="s">
        <v>73</v>
      </c>
      <c r="D29" s="166" t="str">
        <f>(IF(OR(D27="",D28=""),"",IF(ISBLANK(D27),"",D28-D27)))</f>
        <v/>
      </c>
      <c r="E29" s="346" t="str">
        <f>IFERROR(IF(D29=0,"&lt;2",ROUND(IF(LEN(D29)&gt;3,D29*1440,TEXT(D29,"hh:mm")),0)) &amp;" MINUTES","")</f>
        <v/>
      </c>
      <c r="F29" s="320" t="s">
        <v>276</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5"/>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5"/>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5"/>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5"/>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5"/>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6"/>
    </row>
    <row r="35" spans="1:23" s="291" customFormat="1" ht="12.75" customHeight="1" thickBot="1" x14ac:dyDescent="0.25">
      <c r="A35" s="500"/>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6"/>
    </row>
    <row r="36" spans="1:23" s="291" customFormat="1" ht="13.5" thickBot="1" x14ac:dyDescent="0.25">
      <c r="A36" s="501" t="s">
        <v>926</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6"/>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6"/>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6"/>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6"/>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6"/>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6"/>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6"/>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6"/>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6"/>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332</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333</v>
      </c>
      <c r="N47" s="314" t="s">
        <v>334</v>
      </c>
      <c r="O47" s="361"/>
      <c r="P47" s="559" t="s">
        <v>335</v>
      </c>
      <c r="Q47" s="559"/>
      <c r="R47" s="432" t="s">
        <v>336</v>
      </c>
      <c r="S47" s="320"/>
      <c r="T47" s="320"/>
      <c r="U47" s="320"/>
    </row>
    <row r="48" spans="1:23" x14ac:dyDescent="0.2">
      <c r="A48" s="334"/>
      <c r="B48" s="358"/>
      <c r="C48" s="430" t="s">
        <v>34</v>
      </c>
      <c r="D48" s="303"/>
      <c r="E48" s="303"/>
      <c r="F48" s="303"/>
      <c r="G48" s="303"/>
      <c r="H48" s="303"/>
      <c r="I48" s="303"/>
      <c r="J48" s="360"/>
      <c r="K48" s="360"/>
      <c r="L48" s="360"/>
      <c r="M48" s="560" t="s">
        <v>337</v>
      </c>
      <c r="N48" s="560"/>
      <c r="O48" s="362"/>
      <c r="P48" s="518" t="s">
        <v>384</v>
      </c>
      <c r="Q48" s="519"/>
      <c r="R48" s="520"/>
      <c r="S48" s="363"/>
      <c r="T48" s="321"/>
      <c r="U48" s="518" t="s">
        <v>387</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861</v>
      </c>
      <c r="L49" s="360"/>
      <c r="M49" s="252" t="s">
        <v>338</v>
      </c>
      <c r="N49" s="313" t="str">
        <f>IF(PB="","",PB)</f>
        <v/>
      </c>
      <c r="O49" s="330"/>
      <c r="P49" s="521" t="s">
        <v>389</v>
      </c>
      <c r="Q49" s="522"/>
      <c r="R49" s="523"/>
      <c r="S49" s="433"/>
      <c r="T49" s="322"/>
      <c r="U49" s="521" t="s">
        <v>388</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339</v>
      </c>
      <c r="N50" s="313" t="str">
        <f>IF(Integral="","",Integral)</f>
        <v/>
      </c>
      <c r="O50" s="330"/>
      <c r="P50" s="509" t="s">
        <v>340</v>
      </c>
      <c r="Q50" s="510"/>
      <c r="R50" s="511"/>
      <c r="S50" s="366"/>
      <c r="T50" s="323"/>
      <c r="U50" s="509" t="s">
        <v>340</v>
      </c>
      <c r="V50" s="510"/>
      <c r="W50" s="511"/>
      <c r="X50" s="320"/>
    </row>
    <row r="51" spans="1:24" x14ac:dyDescent="0.2">
      <c r="A51" s="334"/>
      <c r="B51" s="367"/>
      <c r="C51" s="429" t="s">
        <v>57</v>
      </c>
      <c r="D51" s="303"/>
      <c r="E51" s="303"/>
      <c r="F51" s="303"/>
      <c r="G51" s="303"/>
      <c r="H51" s="303"/>
      <c r="I51" s="303"/>
      <c r="J51" s="360"/>
      <c r="K51" s="368"/>
      <c r="L51" s="360"/>
      <c r="M51" s="416" t="s">
        <v>341</v>
      </c>
      <c r="N51" s="313" t="str">
        <f>IF(Derivative="","",Derivative)</f>
        <v/>
      </c>
      <c r="O51" s="316"/>
      <c r="P51" s="521" t="s">
        <v>385</v>
      </c>
      <c r="Q51" s="522"/>
      <c r="R51" s="523"/>
      <c r="S51" s="433"/>
      <c r="T51" s="324"/>
      <c r="U51" s="521" t="s">
        <v>390</v>
      </c>
      <c r="V51" s="522"/>
      <c r="W51" s="523"/>
      <c r="X51" s="304"/>
    </row>
    <row r="52" spans="1:24" x14ac:dyDescent="0.2">
      <c r="A52" s="334"/>
      <c r="B52" s="358"/>
      <c r="C52" s="429" t="s">
        <v>347</v>
      </c>
      <c r="D52" s="303"/>
      <c r="E52" s="303"/>
      <c r="F52" s="303"/>
      <c r="G52" s="303"/>
      <c r="H52" s="303"/>
      <c r="I52" s="303"/>
      <c r="J52" s="360"/>
      <c r="K52" s="368"/>
      <c r="L52" s="360"/>
      <c r="M52" s="416" t="s">
        <v>342</v>
      </c>
      <c r="N52" s="313" t="str">
        <f>IF(Other1="","",Other1)</f>
        <v/>
      </c>
      <c r="O52" s="330"/>
      <c r="P52" s="509" t="s">
        <v>340</v>
      </c>
      <c r="Q52" s="510"/>
      <c r="R52" s="511"/>
      <c r="S52" s="366"/>
      <c r="T52" s="325"/>
      <c r="U52" s="509" t="s">
        <v>340</v>
      </c>
      <c r="V52" s="510"/>
      <c r="W52" s="511"/>
      <c r="X52" s="320"/>
    </row>
    <row r="53" spans="1:24" ht="12.75" customHeight="1" x14ac:dyDescent="0.2">
      <c r="A53" s="334"/>
      <c r="B53" s="358"/>
      <c r="C53" s="429" t="s">
        <v>58</v>
      </c>
      <c r="D53" s="308"/>
      <c r="E53" s="308"/>
      <c r="F53" s="308"/>
      <c r="G53" s="308"/>
      <c r="H53" s="308"/>
      <c r="I53" s="308"/>
      <c r="J53" s="360"/>
      <c r="K53" s="369"/>
      <c r="L53" s="369"/>
      <c r="M53" s="417" t="s">
        <v>342</v>
      </c>
      <c r="N53" s="313" t="str">
        <f>IF(Other2="","",Other2)</f>
        <v/>
      </c>
      <c r="O53" s="330"/>
      <c r="P53" s="512" t="s">
        <v>386</v>
      </c>
      <c r="Q53" s="513"/>
      <c r="R53" s="514"/>
      <c r="S53" s="434"/>
      <c r="T53" s="326"/>
      <c r="U53" s="512" t="s">
        <v>391</v>
      </c>
      <c r="V53" s="513"/>
      <c r="W53" s="514"/>
      <c r="X53" s="415"/>
    </row>
    <row r="54" spans="1:24" x14ac:dyDescent="0.2">
      <c r="A54" s="334"/>
      <c r="B54" s="358"/>
      <c r="C54" s="431" t="s">
        <v>82</v>
      </c>
      <c r="D54" s="487" t="str">
        <f>_xlfn.XLOOKUP(D$48,WireSets[serial_number],WireSets[certificate_number],"",0)</f>
        <v/>
      </c>
      <c r="E54" s="487" t="str">
        <f>_xlfn.XLOOKUP(E$48,WireSets[serial_number],WireSets[certificate_number],"",0)</f>
        <v/>
      </c>
      <c r="F54" s="487" t="str">
        <f>_xlfn.XLOOKUP(F$48,WireSets[serial_number],WireSets[certificate_number],"",0)</f>
        <v/>
      </c>
      <c r="G54" s="487" t="str">
        <f>_xlfn.XLOOKUP(G$48,WireSets[serial_number],WireSets[certificate_number],"",0)</f>
        <v/>
      </c>
      <c r="H54" s="487" t="str">
        <f>_xlfn.XLOOKUP(H$48,WireSets[serial_number],WireSets[certificate_number],"",0)</f>
        <v/>
      </c>
      <c r="I54" s="487" t="str">
        <f>_xlfn.XLOOKUP(I$48,WireSets[serial_number],WireSets[certificate_number],"",0)</f>
        <v/>
      </c>
      <c r="J54" s="370"/>
      <c r="K54" s="418"/>
      <c r="L54" s="419"/>
      <c r="M54" s="420" t="s">
        <v>369</v>
      </c>
      <c r="N54" s="312">
        <v>0</v>
      </c>
      <c r="O54" s="318"/>
      <c r="P54" s="515"/>
      <c r="Q54" s="516"/>
      <c r="R54" s="517"/>
      <c r="S54" s="371"/>
      <c r="T54" s="327"/>
      <c r="U54" s="515"/>
      <c r="V54" s="516"/>
      <c r="W54" s="517"/>
    </row>
    <row r="55" spans="1:24" x14ac:dyDescent="0.2">
      <c r="A55" s="334"/>
      <c r="B55" s="358"/>
      <c r="C55" s="431" t="s">
        <v>152</v>
      </c>
      <c r="D55" s="488" t="str">
        <f>_xlfn.XLOOKUP(D$48,WireSets[serial_number],WireSets[wire_roll_cert_number],"",0)</f>
        <v/>
      </c>
      <c r="E55" s="488" t="str">
        <f>_xlfn.XLOOKUP(E$48,WireSets[serial_number],WireSets[wire_roll_cert_number],"",0)</f>
        <v/>
      </c>
      <c r="F55" s="488" t="str">
        <f>_xlfn.XLOOKUP(F$48,WireSets[serial_number],WireSets[wire_roll_cert_number],"",0)</f>
        <v/>
      </c>
      <c r="G55" s="488" t="str">
        <f>_xlfn.XLOOKUP(G$48,WireSets[serial_number],WireSets[wire_roll_cert_number],"",0)</f>
        <v/>
      </c>
      <c r="H55" s="488" t="str">
        <f>_xlfn.XLOOKUP(H$48,WireSets[serial_number],WireSets[wire_roll_cert_number],"",0)</f>
        <v/>
      </c>
      <c r="I55" s="488" t="str">
        <f>_xlfn.XLOOKUP(I$48,WireSets[serial_number],WireSets[wire_roll_cert_number],"",0)</f>
        <v/>
      </c>
      <c r="J55" s="372"/>
      <c r="K55" s="421"/>
      <c r="L55" s="422"/>
      <c r="M55" s="423" t="s">
        <v>370</v>
      </c>
      <c r="N55" s="312">
        <v>0</v>
      </c>
      <c r="O55" s="318"/>
      <c r="P55" s="255" t="s">
        <v>343</v>
      </c>
      <c r="Q55" s="255" t="s">
        <v>14</v>
      </c>
      <c r="R55" s="263" t="s">
        <v>344</v>
      </c>
      <c r="S55" s="373"/>
      <c r="T55" s="328"/>
      <c r="U55" s="315" t="s">
        <v>345</v>
      </c>
      <c r="V55" s="255" t="s">
        <v>14</v>
      </c>
      <c r="W55" s="255" t="s">
        <v>346</v>
      </c>
    </row>
    <row r="56" spans="1:24" x14ac:dyDescent="0.2">
      <c r="A56" s="334"/>
      <c r="B56" s="374"/>
      <c r="C56" s="431" t="s">
        <v>153</v>
      </c>
      <c r="D56" s="303"/>
      <c r="E56" s="303"/>
      <c r="F56" s="303"/>
      <c r="G56" s="303"/>
      <c r="H56" s="303"/>
      <c r="I56" s="303"/>
      <c r="J56" s="375"/>
      <c r="K56" s="424"/>
      <c r="L56" s="425"/>
      <c r="M56" s="423" t="s">
        <v>371</v>
      </c>
      <c r="N56" s="312">
        <v>0</v>
      </c>
      <c r="O56" s="318"/>
      <c r="P56" s="435"/>
      <c r="Q56" s="436"/>
      <c r="R56" s="437"/>
      <c r="S56" s="376"/>
      <c r="T56" s="329"/>
      <c r="U56" s="438"/>
      <c r="V56" s="436"/>
      <c r="W56" s="435"/>
    </row>
    <row r="57" spans="1:24" x14ac:dyDescent="0.2">
      <c r="A57" s="334"/>
      <c r="B57" s="355"/>
      <c r="C57" s="252" t="s">
        <v>348</v>
      </c>
      <c r="D57" s="304"/>
      <c r="E57" s="304"/>
      <c r="F57" s="304"/>
      <c r="G57" s="304"/>
      <c r="H57" s="304"/>
      <c r="I57" s="304"/>
      <c r="J57" s="316"/>
      <c r="K57" s="426"/>
      <c r="L57" s="427"/>
      <c r="M57" s="428" t="s">
        <v>372</v>
      </c>
      <c r="N57" s="312">
        <v>0</v>
      </c>
      <c r="O57" s="318"/>
      <c r="P57" s="316"/>
      <c r="Q57" s="316"/>
      <c r="R57" s="316"/>
      <c r="S57" s="316"/>
    </row>
    <row r="58" spans="1:24" x14ac:dyDescent="0.2">
      <c r="A58" s="334"/>
      <c r="B58" s="355"/>
      <c r="C58" s="552" t="s">
        <v>158</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163</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161</v>
      </c>
      <c r="E60" s="311"/>
      <c r="F60" s="182" t="s">
        <v>159</v>
      </c>
      <c r="G60" s="183"/>
      <c r="H60" s="183"/>
      <c r="I60" s="183"/>
      <c r="J60" s="184"/>
      <c r="K60" s="311"/>
      <c r="L60" s="185" t="s">
        <v>160</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162</v>
      </c>
      <c r="E61" s="311"/>
      <c r="F61" s="187" t="s">
        <v>164</v>
      </c>
      <c r="G61" s="188"/>
      <c r="H61" s="188"/>
      <c r="I61" s="189"/>
      <c r="J61" s="311"/>
      <c r="K61" s="190" t="s">
        <v>160</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367</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4"/>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909</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907</v>
      </c>
      <c r="G85" t="s">
        <v>151</v>
      </c>
      <c r="H85" t="s">
        <v>150</v>
      </c>
      <c r="I85" s="39" t="s">
        <v>908</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267</v>
      </c>
      <c r="G93" s="398">
        <f>VLOOKUP(G97,G86:H91,2,FALSE)</f>
        <v>3</v>
      </c>
      <c r="H93" s="399" t="s">
        <v>268</v>
      </c>
      <c r="I93" s="400"/>
      <c r="J93" s="393"/>
      <c r="K93" s="394"/>
      <c r="L93" s="395"/>
      <c r="M93" s="390"/>
      <c r="N93" s="391"/>
      <c r="O93" s="391"/>
      <c r="P93" s="391"/>
      <c r="Q93" s="390"/>
      <c r="R93" s="316"/>
      <c r="S93" s="316"/>
    </row>
    <row r="94" spans="1:19" x14ac:dyDescent="0.2">
      <c r="A94" s="387"/>
      <c r="B94" s="388"/>
      <c r="C94" s="389"/>
      <c r="D94" s="390"/>
      <c r="E94" s="396"/>
      <c r="F94" s="401"/>
      <c r="G94" s="402" t="str">
        <f>F93&amp;G93&amp;H93</f>
        <v>±3°F</v>
      </c>
      <c r="H94" s="403"/>
      <c r="J94" s="393"/>
      <c r="K94" s="394"/>
      <c r="L94" s="395"/>
      <c r="M94" s="390"/>
      <c r="N94" s="391"/>
      <c r="O94" s="391"/>
      <c r="P94" s="391"/>
      <c r="Q94" s="390"/>
      <c r="R94" s="316"/>
      <c r="S94" s="316"/>
    </row>
    <row r="95" spans="1:19" x14ac:dyDescent="0.2">
      <c r="A95" s="387"/>
      <c r="B95" s="388"/>
      <c r="C95" s="389"/>
      <c r="D95" s="390"/>
      <c r="E95" s="392"/>
      <c r="F95" s="393"/>
      <c r="G95" s="394">
        <f>ROUNDDOWN(G93,2-(1+INT(LOG10(ABS(G93)))))</f>
        <v>3</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925</v>
      </c>
      <c r="G97" s="389"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10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JEvLIXNCaJCraHpVbq8ho9GgAfCFGGX+irsL+qOedTpX/SE1z7D+cIF5ErNTrOosXOkJFi1ZxrjwFky0NsU3BQ==" saltValue="XvL+AE5OmRsJQH5DkmLk7w=="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943</v>
      </c>
      <c r="B1" s="1" t="s">
        <v>942</v>
      </c>
    </row>
    <row r="2" spans="1:2" x14ac:dyDescent="0.2">
      <c r="A2" t="s">
        <v>944</v>
      </c>
      <c r="B2" t="b">
        <v>1</v>
      </c>
    </row>
  </sheetData>
  <sheetProtection algorithmName="SHA-512" hashValue="HtQVM3KaMEqBIFSSXRUjj4S2gBdy526s4kkGLNLda+EpZEnHO7ce+iCCbt+hBuzX8ZNXOP4Z2tiXD1GOWRK03g==" saltValue="e7D9EMARA9ndzXho9g63JA=="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9"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892</v>
      </c>
      <c r="C2" s="48" t="s">
        <v>893</v>
      </c>
      <c r="D2" s="48" t="s">
        <v>894</v>
      </c>
      <c r="E2" s="48" t="s">
        <v>399</v>
      </c>
      <c r="F2" s="48" t="s">
        <v>895</v>
      </c>
      <c r="G2" s="48" t="s">
        <v>896</v>
      </c>
      <c r="H2" s="48" t="s">
        <v>897</v>
      </c>
      <c r="I2" s="48" t="s">
        <v>898</v>
      </c>
      <c r="J2" s="48" t="s">
        <v>899</v>
      </c>
      <c r="K2" s="48" t="s">
        <v>400</v>
      </c>
      <c r="L2" s="48" t="s">
        <v>900</v>
      </c>
      <c r="M2" s="48" t="s">
        <v>901</v>
      </c>
      <c r="N2" s="48" t="s">
        <v>902</v>
      </c>
      <c r="O2" s="48" t="s">
        <v>903</v>
      </c>
      <c r="P2" s="52"/>
      <c r="Q2" s="443" t="s">
        <v>14</v>
      </c>
      <c r="R2" s="48" t="s">
        <v>878</v>
      </c>
      <c r="S2" s="48" t="s">
        <v>879</v>
      </c>
      <c r="T2" s="48" t="s">
        <v>880</v>
      </c>
      <c r="U2" s="48" t="s">
        <v>881</v>
      </c>
      <c r="V2" s="48" t="s">
        <v>882</v>
      </c>
      <c r="W2" s="48" t="s">
        <v>883</v>
      </c>
      <c r="X2" s="48" t="s">
        <v>884</v>
      </c>
      <c r="Y2" s="48" t="s">
        <v>885</v>
      </c>
      <c r="Z2" s="48" t="s">
        <v>886</v>
      </c>
      <c r="AA2" s="48" t="s">
        <v>887</v>
      </c>
      <c r="AB2" s="48" t="s">
        <v>888</v>
      </c>
      <c r="AC2" s="48" t="s">
        <v>889</v>
      </c>
      <c r="AD2" s="48" t="s">
        <v>890</v>
      </c>
      <c r="AE2" s="48" t="s">
        <v>891</v>
      </c>
      <c r="AF2" s="52"/>
      <c r="AG2" s="443" t="s">
        <v>14</v>
      </c>
      <c r="AH2" s="87" t="s">
        <v>866</v>
      </c>
      <c r="AI2" s="87" t="s">
        <v>867</v>
      </c>
      <c r="AJ2" s="87" t="s">
        <v>868</v>
      </c>
      <c r="AK2" s="87" t="s">
        <v>869</v>
      </c>
      <c r="AL2" s="87" t="s">
        <v>870</v>
      </c>
      <c r="AM2" s="87" t="s">
        <v>871</v>
      </c>
      <c r="AN2" s="87" t="s">
        <v>872</v>
      </c>
      <c r="AO2" s="87" t="s">
        <v>873</v>
      </c>
      <c r="AP2" s="87" t="s">
        <v>874</v>
      </c>
      <c r="AQ2" s="87" t="s">
        <v>875</v>
      </c>
      <c r="AR2" s="87" t="s">
        <v>876</v>
      </c>
      <c r="AS2" s="87" t="s">
        <v>877</v>
      </c>
    </row>
    <row r="3" spans="1:45" x14ac:dyDescent="0.2">
      <c r="B3" s="490"/>
      <c r="C3" s="490"/>
      <c r="D3" s="490"/>
      <c r="E3" s="490"/>
      <c r="F3" s="490"/>
      <c r="G3" s="490"/>
      <c r="H3" s="490"/>
      <c r="I3" s="490"/>
      <c r="J3" s="490"/>
      <c r="K3" s="490"/>
      <c r="L3" s="491"/>
      <c r="M3" s="491"/>
      <c r="N3" s="491"/>
      <c r="O3" s="486"/>
      <c r="Q3" s="489"/>
      <c r="R3" s="490"/>
      <c r="S3" s="490"/>
      <c r="T3" s="490"/>
      <c r="U3" s="490"/>
      <c r="V3" s="490"/>
      <c r="W3" s="490"/>
      <c r="X3" s="490"/>
      <c r="Y3" s="490"/>
      <c r="Z3" s="490"/>
      <c r="AA3" s="490"/>
      <c r="AD3" s="492"/>
      <c r="AE3" s="486"/>
      <c r="AG3" s="489"/>
      <c r="AH3" s="490"/>
      <c r="AI3" s="490"/>
      <c r="AJ3" s="490"/>
      <c r="AK3" s="490"/>
      <c r="AL3" s="490"/>
      <c r="AM3" s="490"/>
      <c r="AN3" s="490"/>
      <c r="AO3" s="490"/>
      <c r="AP3" s="490"/>
      <c r="AQ3" s="490"/>
    </row>
    <row r="4" spans="1:45" x14ac:dyDescent="0.2">
      <c r="Q4" s="489"/>
      <c r="AG4" s="489"/>
    </row>
    <row r="5" spans="1:45" x14ac:dyDescent="0.2">
      <c r="Q5" s="489"/>
      <c r="AG5" s="489"/>
    </row>
    <row r="6" spans="1:45" x14ac:dyDescent="0.2">
      <c r="Q6" s="489"/>
      <c r="AG6" s="489"/>
    </row>
    <row r="7" spans="1:45" x14ac:dyDescent="0.2">
      <c r="Q7" s="489"/>
      <c r="AG7" s="489"/>
    </row>
    <row r="8" spans="1:45" x14ac:dyDescent="0.2">
      <c r="Q8" s="489"/>
      <c r="AG8" s="489"/>
    </row>
    <row r="9" spans="1:45" x14ac:dyDescent="0.2">
      <c r="Q9" s="489"/>
      <c r="AG9" s="489"/>
    </row>
    <row r="10" spans="1:45" x14ac:dyDescent="0.2">
      <c r="Q10" s="489"/>
      <c r="AG10" s="489"/>
    </row>
    <row r="11" spans="1:45" x14ac:dyDescent="0.2">
      <c r="Q11" s="489"/>
      <c r="AG11" s="489"/>
    </row>
    <row r="12" spans="1:45" x14ac:dyDescent="0.2">
      <c r="Q12" s="489"/>
      <c r="AG12" s="489"/>
    </row>
    <row r="13" spans="1:45" x14ac:dyDescent="0.2">
      <c r="Q13" s="489"/>
      <c r="AG13" s="489"/>
    </row>
    <row r="14" spans="1:45" x14ac:dyDescent="0.2">
      <c r="Q14" s="489"/>
      <c r="AG14" s="489"/>
    </row>
    <row r="15" spans="1:45" x14ac:dyDescent="0.2">
      <c r="Q15" s="489"/>
      <c r="AG15" s="489"/>
    </row>
    <row r="16" spans="1:45" x14ac:dyDescent="0.2">
      <c r="Q16" s="489"/>
      <c r="AG16" s="489"/>
    </row>
    <row r="17" spans="17:33" x14ac:dyDescent="0.2">
      <c r="Q17" s="489"/>
      <c r="AG17" s="489"/>
    </row>
    <row r="18" spans="17:33" x14ac:dyDescent="0.2">
      <c r="Q18" s="489"/>
      <c r="AG18" s="489"/>
    </row>
    <row r="19" spans="17:33" x14ac:dyDescent="0.2">
      <c r="Q19" s="489"/>
      <c r="AG19" s="489"/>
    </row>
    <row r="20" spans="17:33" x14ac:dyDescent="0.2">
      <c r="Q20" s="489"/>
      <c r="AG20" s="489"/>
    </row>
    <row r="21" spans="17:33" x14ac:dyDescent="0.2">
      <c r="Q21" s="489"/>
      <c r="AG21" s="489"/>
    </row>
    <row r="22" spans="17:33" x14ac:dyDescent="0.2">
      <c r="Q22" s="489"/>
      <c r="AG22" s="489"/>
    </row>
    <row r="23" spans="17:33" x14ac:dyDescent="0.2">
      <c r="Q23" s="489"/>
      <c r="AG23" s="489"/>
    </row>
    <row r="24" spans="17:33" x14ac:dyDescent="0.2">
      <c r="Q24" s="489"/>
      <c r="AG24" s="489"/>
    </row>
    <row r="25" spans="17:33" x14ac:dyDescent="0.2">
      <c r="Q25" s="489"/>
      <c r="AG25" s="489"/>
    </row>
    <row r="26" spans="17:33" x14ac:dyDescent="0.2">
      <c r="Q26" s="489"/>
      <c r="AG26" s="489"/>
    </row>
    <row r="27" spans="17:33" x14ac:dyDescent="0.2">
      <c r="Q27" s="489"/>
      <c r="AG27" s="489"/>
    </row>
    <row r="28" spans="17:33" x14ac:dyDescent="0.2">
      <c r="Q28" s="489"/>
      <c r="AG28" s="489"/>
    </row>
    <row r="29" spans="17:33" x14ac:dyDescent="0.2">
      <c r="Q29" s="489"/>
      <c r="AG29" s="489"/>
    </row>
    <row r="30" spans="17:33" x14ac:dyDescent="0.2">
      <c r="Q30" s="489"/>
      <c r="AG30" s="489"/>
    </row>
    <row r="31" spans="17:33" x14ac:dyDescent="0.2">
      <c r="Q31" s="489"/>
      <c r="AG31" s="489"/>
    </row>
    <row r="32" spans="17:33" x14ac:dyDescent="0.2">
      <c r="Q32" s="489"/>
      <c r="AG32" s="489"/>
    </row>
    <row r="33" spans="17:33" x14ac:dyDescent="0.2">
      <c r="Q33" s="489"/>
      <c r="AG33" s="489"/>
    </row>
    <row r="34" spans="17:33" x14ac:dyDescent="0.2">
      <c r="Q34" s="489"/>
      <c r="AG34" s="489"/>
    </row>
    <row r="35" spans="17:33" x14ac:dyDescent="0.2">
      <c r="Q35" s="489"/>
      <c r="AG35" s="489"/>
    </row>
    <row r="36" spans="17:33" x14ac:dyDescent="0.2">
      <c r="Q36" s="489"/>
      <c r="AG36" s="489"/>
    </row>
    <row r="37" spans="17:33" x14ac:dyDescent="0.2">
      <c r="Q37" s="489"/>
      <c r="AG37" s="489"/>
    </row>
    <row r="38" spans="17:33" x14ac:dyDescent="0.2">
      <c r="Q38" s="489"/>
      <c r="AG38" s="489"/>
    </row>
    <row r="39" spans="17:33" x14ac:dyDescent="0.2">
      <c r="Q39" s="489"/>
      <c r="AG39" s="489"/>
    </row>
    <row r="40" spans="17:33" x14ac:dyDescent="0.2">
      <c r="Q40" s="489"/>
      <c r="AG40" s="489"/>
    </row>
    <row r="41" spans="17:33" x14ac:dyDescent="0.2">
      <c r="Q41" s="489"/>
      <c r="AG41" s="489"/>
    </row>
    <row r="42" spans="17:33" x14ac:dyDescent="0.2">
      <c r="Q42" s="489"/>
      <c r="AG42" s="489"/>
    </row>
    <row r="43" spans="17:33" x14ac:dyDescent="0.2">
      <c r="Q43" s="489"/>
      <c r="AG43" s="489"/>
    </row>
    <row r="44" spans="17:33" x14ac:dyDescent="0.2">
      <c r="Q44" s="489"/>
      <c r="AG44" s="489"/>
    </row>
    <row r="45" spans="17:33" x14ac:dyDescent="0.2">
      <c r="Q45" s="489"/>
      <c r="AG45" s="489"/>
    </row>
    <row r="46" spans="17:33" x14ac:dyDescent="0.2">
      <c r="Q46" s="489"/>
      <c r="AG46" s="489"/>
    </row>
    <row r="47" spans="17:33" x14ac:dyDescent="0.2">
      <c r="Q47" s="489"/>
      <c r="AG47" s="489"/>
    </row>
    <row r="48" spans="17:33" x14ac:dyDescent="0.2">
      <c r="Q48" s="489"/>
      <c r="AG48" s="489"/>
    </row>
    <row r="49" spans="17:33" x14ac:dyDescent="0.2">
      <c r="Q49" s="489"/>
      <c r="AG49" s="489"/>
    </row>
    <row r="50" spans="17:33" x14ac:dyDescent="0.2">
      <c r="Q50" s="489"/>
      <c r="AG50" s="489"/>
    </row>
    <row r="51" spans="17:33" x14ac:dyDescent="0.2">
      <c r="Q51" s="489"/>
      <c r="AG51" s="489"/>
    </row>
    <row r="52" spans="17:33" x14ac:dyDescent="0.2">
      <c r="Q52" s="489"/>
      <c r="AG52" s="489"/>
    </row>
    <row r="53" spans="17:33" x14ac:dyDescent="0.2">
      <c r="Q53" s="489"/>
      <c r="AG53" s="489"/>
    </row>
    <row r="54" spans="17:33" x14ac:dyDescent="0.2">
      <c r="Q54" s="489"/>
      <c r="AG54" s="489"/>
    </row>
    <row r="55" spans="17:33" x14ac:dyDescent="0.2">
      <c r="Q55" s="489"/>
      <c r="AG55" s="489"/>
    </row>
    <row r="56" spans="17:33" x14ac:dyDescent="0.2">
      <c r="Q56" s="489"/>
      <c r="AG56" s="489"/>
    </row>
    <row r="57" spans="17:33" x14ac:dyDescent="0.2">
      <c r="Q57" s="489"/>
      <c r="AG57" s="489"/>
    </row>
    <row r="58" spans="17:33" x14ac:dyDescent="0.2">
      <c r="Q58" s="489"/>
      <c r="AG58" s="489"/>
    </row>
    <row r="59" spans="17:33" x14ac:dyDescent="0.2">
      <c r="Q59" s="489"/>
      <c r="AG59" s="489"/>
    </row>
    <row r="60" spans="17:33" x14ac:dyDescent="0.2">
      <c r="Q60" s="489"/>
      <c r="AG60" s="489"/>
    </row>
    <row r="61" spans="17:33" x14ac:dyDescent="0.2">
      <c r="Q61" s="489"/>
      <c r="AG61" s="489"/>
    </row>
    <row r="62" spans="17:33" x14ac:dyDescent="0.2">
      <c r="Q62" s="489"/>
      <c r="AG62" s="489"/>
    </row>
    <row r="63" spans="17:33" x14ac:dyDescent="0.2">
      <c r="Q63" s="489"/>
      <c r="AG63" s="489"/>
    </row>
    <row r="64" spans="17:33" x14ac:dyDescent="0.2">
      <c r="Q64" s="489"/>
      <c r="AG64" s="489"/>
    </row>
    <row r="65" spans="17:33" x14ac:dyDescent="0.2">
      <c r="Q65" s="489"/>
      <c r="AG65" s="489"/>
    </row>
    <row r="66" spans="17:33" x14ac:dyDescent="0.2">
      <c r="Q66" s="489"/>
      <c r="AG66" s="489"/>
    </row>
    <row r="67" spans="17:33" x14ac:dyDescent="0.2">
      <c r="Q67" s="489"/>
      <c r="AG67" s="489"/>
    </row>
    <row r="68" spans="17:33" x14ac:dyDescent="0.2">
      <c r="Q68" s="489"/>
      <c r="AG68" s="489"/>
    </row>
    <row r="69" spans="17:33" x14ac:dyDescent="0.2">
      <c r="Q69" s="489"/>
      <c r="AG69" s="489"/>
    </row>
    <row r="70" spans="17:33" x14ac:dyDescent="0.2">
      <c r="Q70" s="489"/>
      <c r="AG70" s="489"/>
    </row>
    <row r="71" spans="17:33" x14ac:dyDescent="0.2">
      <c r="Q71" s="489"/>
      <c r="AG71" s="489"/>
    </row>
    <row r="72" spans="17:33" x14ac:dyDescent="0.2">
      <c r="Q72" s="489"/>
      <c r="AG72" s="489"/>
    </row>
    <row r="73" spans="17:33" x14ac:dyDescent="0.2">
      <c r="Q73" s="489"/>
      <c r="AG73" s="489"/>
    </row>
    <row r="74" spans="17:33" x14ac:dyDescent="0.2">
      <c r="Q74" s="489"/>
      <c r="AG74" s="489"/>
    </row>
    <row r="75" spans="17:33" x14ac:dyDescent="0.2">
      <c r="Q75" s="489"/>
      <c r="AG75" s="489"/>
    </row>
    <row r="76" spans="17:33" x14ac:dyDescent="0.2">
      <c r="Q76" s="489"/>
      <c r="AG76" s="489"/>
    </row>
    <row r="77" spans="17:33" x14ac:dyDescent="0.2">
      <c r="Q77" s="489"/>
      <c r="AG77" s="489"/>
    </row>
    <row r="78" spans="17:33" x14ac:dyDescent="0.2">
      <c r="Q78" s="489"/>
      <c r="AG78" s="489"/>
    </row>
    <row r="79" spans="17:33" x14ac:dyDescent="0.2">
      <c r="Q79" s="489"/>
      <c r="AG79" s="489"/>
    </row>
    <row r="80" spans="17:33" x14ac:dyDescent="0.2">
      <c r="Q80" s="489"/>
      <c r="AG80" s="489"/>
    </row>
    <row r="81" spans="17:33" x14ac:dyDescent="0.2">
      <c r="Q81" s="489"/>
      <c r="AG81" s="489"/>
    </row>
    <row r="82" spans="17:33" x14ac:dyDescent="0.2">
      <c r="Q82" s="489"/>
      <c r="AG82" s="489"/>
    </row>
    <row r="83" spans="17:33" x14ac:dyDescent="0.2">
      <c r="Q83" s="489"/>
      <c r="AG83" s="489"/>
    </row>
    <row r="84" spans="17:33" x14ac:dyDescent="0.2">
      <c r="Q84" s="489"/>
      <c r="AG84" s="489"/>
    </row>
    <row r="85" spans="17:33" x14ac:dyDescent="0.2">
      <c r="Q85" s="489"/>
      <c r="AG85" s="489"/>
    </row>
    <row r="86" spans="17:33" x14ac:dyDescent="0.2">
      <c r="Q86" s="489"/>
      <c r="AG86" s="489"/>
    </row>
    <row r="87" spans="17:33" x14ac:dyDescent="0.2">
      <c r="Q87" s="489"/>
      <c r="AG87" s="489"/>
    </row>
    <row r="88" spans="17:33" x14ac:dyDescent="0.2">
      <c r="Q88" s="489"/>
      <c r="AG88" s="489"/>
    </row>
    <row r="89" spans="17:33" x14ac:dyDescent="0.2">
      <c r="Q89" s="489"/>
      <c r="AG89" s="489"/>
    </row>
    <row r="90" spans="17:33" x14ac:dyDescent="0.2">
      <c r="Q90" s="489"/>
      <c r="AG90" s="489"/>
    </row>
    <row r="91" spans="17:33" x14ac:dyDescent="0.2">
      <c r="Q91" s="489"/>
      <c r="AG91" s="489"/>
    </row>
    <row r="92" spans="17:33" x14ac:dyDescent="0.2">
      <c r="Q92" s="489"/>
      <c r="AG92" s="489"/>
    </row>
    <row r="93" spans="17:33" x14ac:dyDescent="0.2">
      <c r="Q93" s="489"/>
      <c r="AG93" s="489"/>
    </row>
    <row r="94" spans="17:33" x14ac:dyDescent="0.2">
      <c r="Q94" s="489"/>
      <c r="AG94" s="489"/>
    </row>
    <row r="95" spans="17:33" x14ac:dyDescent="0.2">
      <c r="Q95" s="489"/>
      <c r="AG95" s="489"/>
    </row>
    <row r="96" spans="17:33" x14ac:dyDescent="0.2">
      <c r="Q96" s="489"/>
      <c r="AG96" s="489"/>
    </row>
    <row r="97" spans="17:33" x14ac:dyDescent="0.2">
      <c r="Q97" s="489"/>
      <c r="AG97" s="489"/>
    </row>
    <row r="98" spans="17:33" x14ac:dyDescent="0.2">
      <c r="Q98" s="489"/>
      <c r="AG98" s="489"/>
    </row>
    <row r="99" spans="17:33" x14ac:dyDescent="0.2">
      <c r="Q99" s="489"/>
      <c r="AG99" s="489"/>
    </row>
    <row r="100" spans="17:33" x14ac:dyDescent="0.2">
      <c r="Q100" s="489"/>
      <c r="AG100" s="489"/>
    </row>
    <row r="101" spans="17:33" x14ac:dyDescent="0.2">
      <c r="Q101" s="489"/>
      <c r="AG101" s="489"/>
    </row>
    <row r="102" spans="17:33" x14ac:dyDescent="0.2">
      <c r="Q102" s="489"/>
      <c r="AG102" s="489"/>
    </row>
    <row r="103" spans="17:33" x14ac:dyDescent="0.2">
      <c r="Q103" s="489"/>
      <c r="AG103" s="489"/>
    </row>
    <row r="104" spans="17:33" x14ac:dyDescent="0.2">
      <c r="Q104" s="489"/>
      <c r="AG104" s="489"/>
    </row>
    <row r="105" spans="17:33" x14ac:dyDescent="0.2">
      <c r="Q105" s="489"/>
      <c r="AG105" s="489"/>
    </row>
    <row r="106" spans="17:33" x14ac:dyDescent="0.2">
      <c r="Q106" s="489"/>
      <c r="AG106" s="489"/>
    </row>
    <row r="107" spans="17:33" x14ac:dyDescent="0.2">
      <c r="Q107" s="489"/>
      <c r="AG107" s="489"/>
    </row>
    <row r="108" spans="17:33" x14ac:dyDescent="0.2">
      <c r="Q108" s="489"/>
      <c r="AG108" s="489"/>
    </row>
    <row r="109" spans="17:33" x14ac:dyDescent="0.2">
      <c r="Q109" s="489"/>
      <c r="AG109" s="489"/>
    </row>
    <row r="110" spans="17:33" x14ac:dyDescent="0.2">
      <c r="Q110" s="489"/>
      <c r="AG110" s="489"/>
    </row>
    <row r="111" spans="17:33" x14ac:dyDescent="0.2">
      <c r="Q111" s="489"/>
      <c r="AG111" s="489"/>
    </row>
    <row r="112" spans="17:33" x14ac:dyDescent="0.2">
      <c r="Q112" s="489"/>
      <c r="AG112" s="489"/>
    </row>
    <row r="113" spans="17:33" x14ac:dyDescent="0.2">
      <c r="Q113" s="489"/>
      <c r="AG113" s="489"/>
    </row>
    <row r="114" spans="17:33" x14ac:dyDescent="0.2">
      <c r="Q114" s="489"/>
      <c r="AG114" s="489"/>
    </row>
    <row r="115" spans="17:33" x14ac:dyDescent="0.2">
      <c r="Q115" s="489"/>
      <c r="AG115" s="489"/>
    </row>
    <row r="116" spans="17:33" x14ac:dyDescent="0.2">
      <c r="Q116" s="489"/>
      <c r="AG116" s="489"/>
    </row>
    <row r="117" spans="17:33" x14ac:dyDescent="0.2">
      <c r="Q117" s="489"/>
      <c r="AG117" s="489"/>
    </row>
    <row r="118" spans="17:33" x14ac:dyDescent="0.2">
      <c r="Q118" s="489"/>
      <c r="AG118" s="489"/>
    </row>
    <row r="119" spans="17:33" x14ac:dyDescent="0.2">
      <c r="Q119" s="489"/>
      <c r="AG119" s="489"/>
    </row>
    <row r="120" spans="17:33" x14ac:dyDescent="0.2">
      <c r="Q120" s="489"/>
      <c r="AG120" s="489"/>
    </row>
    <row r="121" spans="17:33" x14ac:dyDescent="0.2">
      <c r="Q121" s="489"/>
      <c r="AG121" s="489"/>
    </row>
    <row r="122" spans="17:33" x14ac:dyDescent="0.2">
      <c r="Q122" s="489"/>
      <c r="AG122" s="489"/>
    </row>
    <row r="123" spans="17:33" x14ac:dyDescent="0.2">
      <c r="Q123" s="489"/>
      <c r="AG123" s="489"/>
    </row>
    <row r="124" spans="17:33" x14ac:dyDescent="0.2">
      <c r="Q124" s="489"/>
      <c r="AG124" s="489"/>
    </row>
    <row r="125" spans="17:33" x14ac:dyDescent="0.2">
      <c r="Q125" s="489"/>
      <c r="AG125" s="489"/>
    </row>
    <row r="126" spans="17:33" x14ac:dyDescent="0.2">
      <c r="Q126" s="489"/>
      <c r="AG126" s="489"/>
    </row>
    <row r="127" spans="17:33" x14ac:dyDescent="0.2">
      <c r="Q127" s="489"/>
      <c r="AG127" s="489"/>
    </row>
    <row r="128" spans="17:33" x14ac:dyDescent="0.2">
      <c r="Q128" s="489"/>
      <c r="AG128" s="489"/>
    </row>
    <row r="129" spans="17:33" x14ac:dyDescent="0.2">
      <c r="Q129" s="489"/>
      <c r="AG129" s="489"/>
    </row>
    <row r="130" spans="17:33" x14ac:dyDescent="0.2">
      <c r="Q130" s="489"/>
      <c r="AG130" s="489"/>
    </row>
    <row r="131" spans="17:33" x14ac:dyDescent="0.2">
      <c r="Q131" s="489"/>
      <c r="AG131" s="489"/>
    </row>
    <row r="132" spans="17:33" x14ac:dyDescent="0.2">
      <c r="Q132" s="489"/>
      <c r="AG132" s="489"/>
    </row>
    <row r="133" spans="17:33" x14ac:dyDescent="0.2">
      <c r="Q133" s="489"/>
      <c r="AG133" s="489"/>
    </row>
    <row r="134" spans="17:33" x14ac:dyDescent="0.2">
      <c r="Q134" s="489"/>
      <c r="AG134" s="489"/>
    </row>
    <row r="135" spans="17:33" x14ac:dyDescent="0.2">
      <c r="Q135" s="489"/>
      <c r="AG135" s="489"/>
    </row>
    <row r="136" spans="17:33" x14ac:dyDescent="0.2">
      <c r="Q136" s="489"/>
      <c r="AG136" s="489"/>
    </row>
    <row r="137" spans="17:33" x14ac:dyDescent="0.2">
      <c r="Q137" s="489"/>
      <c r="AG137" s="489"/>
    </row>
    <row r="138" spans="17:33" x14ac:dyDescent="0.2">
      <c r="Q138" s="489"/>
      <c r="AG138" s="489"/>
    </row>
    <row r="139" spans="17:33" x14ac:dyDescent="0.2">
      <c r="Q139" s="489"/>
      <c r="AG139" s="489"/>
    </row>
    <row r="140" spans="17:33" x14ac:dyDescent="0.2">
      <c r="Q140" s="489"/>
      <c r="AG140" s="489"/>
    </row>
    <row r="141" spans="17:33" x14ac:dyDescent="0.2">
      <c r="Q141" s="489"/>
      <c r="AG141" s="489"/>
    </row>
    <row r="142" spans="17:33" x14ac:dyDescent="0.2">
      <c r="Q142" s="489"/>
      <c r="AG142" s="489"/>
    </row>
    <row r="143" spans="17:33" x14ac:dyDescent="0.2">
      <c r="Q143" s="489"/>
      <c r="AG143" s="489"/>
    </row>
    <row r="144" spans="17:33" x14ac:dyDescent="0.2">
      <c r="Q144" s="489"/>
      <c r="AG144" s="489"/>
    </row>
    <row r="145" spans="17:33" x14ac:dyDescent="0.2">
      <c r="Q145" s="489"/>
      <c r="AG145" s="489"/>
    </row>
    <row r="146" spans="17:33" x14ac:dyDescent="0.2">
      <c r="Q146" s="489"/>
      <c r="AG146" s="489"/>
    </row>
    <row r="147" spans="17:33" x14ac:dyDescent="0.2">
      <c r="Q147" s="489"/>
      <c r="AG147" s="489"/>
    </row>
    <row r="148" spans="17:33" x14ac:dyDescent="0.2">
      <c r="Q148" s="489"/>
      <c r="AG148" s="489"/>
    </row>
    <row r="149" spans="17:33" x14ac:dyDescent="0.2">
      <c r="Q149" s="489"/>
      <c r="AG149" s="489"/>
    </row>
    <row r="150" spans="17:33" x14ac:dyDescent="0.2">
      <c r="Q150" s="489"/>
      <c r="AG150" s="489"/>
    </row>
    <row r="151" spans="17:33" x14ac:dyDescent="0.2">
      <c r="Q151" s="489"/>
      <c r="AG151" s="489"/>
    </row>
    <row r="152" spans="17:33" x14ac:dyDescent="0.2">
      <c r="Q152" s="489"/>
      <c r="AG152" s="489"/>
    </row>
    <row r="153" spans="17:33" x14ac:dyDescent="0.2">
      <c r="Q153" s="489"/>
      <c r="AG153" s="489"/>
    </row>
    <row r="154" spans="17:33" x14ac:dyDescent="0.2">
      <c r="Q154" s="489"/>
      <c r="AG154" s="489"/>
    </row>
    <row r="155" spans="17:33" x14ac:dyDescent="0.2">
      <c r="Q155" s="489"/>
      <c r="AG155" s="489"/>
    </row>
    <row r="156" spans="17:33" x14ac:dyDescent="0.2">
      <c r="Q156" s="489"/>
      <c r="AG156" s="489"/>
    </row>
    <row r="157" spans="17:33" x14ac:dyDescent="0.2">
      <c r="Q157" s="489"/>
      <c r="AG157" s="489"/>
    </row>
    <row r="158" spans="17:33" x14ac:dyDescent="0.2">
      <c r="Q158" s="489"/>
      <c r="AG158" s="489"/>
    </row>
    <row r="159" spans="17:33" x14ac:dyDescent="0.2">
      <c r="Q159" s="489"/>
      <c r="AG159" s="489"/>
    </row>
    <row r="160" spans="17:33" x14ac:dyDescent="0.2">
      <c r="Q160" s="489"/>
      <c r="AG160" s="489"/>
    </row>
    <row r="161" spans="17:33" x14ac:dyDescent="0.2">
      <c r="Q161" s="489"/>
      <c r="AG161" s="489"/>
    </row>
    <row r="162" spans="17:33" x14ac:dyDescent="0.2">
      <c r="Q162" s="489"/>
      <c r="AG162" s="489"/>
    </row>
    <row r="163" spans="17:33" x14ac:dyDescent="0.2">
      <c r="Q163" s="489"/>
      <c r="AG163" s="489"/>
    </row>
    <row r="164" spans="17:33" x14ac:dyDescent="0.2">
      <c r="Q164" s="489"/>
      <c r="AG164" s="489"/>
    </row>
    <row r="165" spans="17:33" x14ac:dyDescent="0.2">
      <c r="Q165" s="489"/>
      <c r="AG165" s="489"/>
    </row>
    <row r="166" spans="17:33" x14ac:dyDescent="0.2">
      <c r="Q166" s="489"/>
      <c r="AG166" s="489"/>
    </row>
    <row r="167" spans="17:33" x14ac:dyDescent="0.2">
      <c r="Q167" s="489"/>
      <c r="AG167" s="489"/>
    </row>
    <row r="168" spans="17:33" x14ac:dyDescent="0.2">
      <c r="Q168" s="489"/>
      <c r="AG168" s="489"/>
    </row>
    <row r="169" spans="17:33" x14ac:dyDescent="0.2">
      <c r="Q169" s="489"/>
      <c r="AG169" s="489"/>
    </row>
    <row r="170" spans="17:33" x14ac:dyDescent="0.2">
      <c r="Q170" s="489"/>
      <c r="AG170" s="489"/>
    </row>
    <row r="171" spans="17:33" x14ac:dyDescent="0.2">
      <c r="Q171" s="489"/>
      <c r="AG171" s="489"/>
    </row>
    <row r="172" spans="17:33" x14ac:dyDescent="0.2">
      <c r="Q172" s="489"/>
      <c r="AG172" s="489"/>
    </row>
    <row r="173" spans="17:33" x14ac:dyDescent="0.2">
      <c r="Q173" s="489"/>
      <c r="AG173" s="489"/>
    </row>
    <row r="174" spans="17:33" x14ac:dyDescent="0.2">
      <c r="Q174" s="489"/>
      <c r="AG174" s="489"/>
    </row>
    <row r="175" spans="17:33" x14ac:dyDescent="0.2">
      <c r="Q175" s="489"/>
      <c r="AG175" s="489"/>
    </row>
    <row r="176" spans="17:33" x14ac:dyDescent="0.2">
      <c r="Q176" s="489"/>
      <c r="AG176" s="489"/>
    </row>
    <row r="177" spans="17:33" x14ac:dyDescent="0.2">
      <c r="Q177" s="489"/>
      <c r="AG177" s="489"/>
    </row>
    <row r="178" spans="17:33" x14ac:dyDescent="0.2">
      <c r="Q178" s="489"/>
      <c r="AG178" s="489"/>
    </row>
    <row r="179" spans="17:33" x14ac:dyDescent="0.2">
      <c r="Q179" s="489"/>
      <c r="AG179" s="489"/>
    </row>
    <row r="180" spans="17:33" x14ac:dyDescent="0.2">
      <c r="Q180" s="489"/>
      <c r="AG180" s="489"/>
    </row>
    <row r="181" spans="17:33" x14ac:dyDescent="0.2">
      <c r="Q181" s="489"/>
      <c r="AG181" s="489"/>
    </row>
    <row r="182" spans="17:33" x14ac:dyDescent="0.2">
      <c r="Q182" s="489"/>
      <c r="AG182" s="489"/>
    </row>
    <row r="183" spans="17:33" x14ac:dyDescent="0.2">
      <c r="Q183" s="489"/>
      <c r="AG183" s="489"/>
    </row>
    <row r="184" spans="17:33" x14ac:dyDescent="0.2">
      <c r="Q184" s="489"/>
      <c r="AG184" s="489"/>
    </row>
    <row r="185" spans="17:33" x14ac:dyDescent="0.2">
      <c r="Q185" s="489"/>
      <c r="AG185" s="489"/>
    </row>
    <row r="186" spans="17:33" x14ac:dyDescent="0.2">
      <c r="Q186" s="489"/>
      <c r="AG186" s="489"/>
    </row>
    <row r="187" spans="17:33" x14ac:dyDescent="0.2">
      <c r="Q187" s="489"/>
      <c r="AG187" s="489"/>
    </row>
    <row r="188" spans="17:33" x14ac:dyDescent="0.2">
      <c r="Q188" s="489"/>
      <c r="AG188" s="489"/>
    </row>
    <row r="189" spans="17:33" x14ac:dyDescent="0.2">
      <c r="Q189" s="489"/>
      <c r="AG189" s="489"/>
    </row>
    <row r="190" spans="17:33" x14ac:dyDescent="0.2">
      <c r="Q190" s="489"/>
      <c r="AG190" s="489"/>
    </row>
    <row r="191" spans="17:33" x14ac:dyDescent="0.2">
      <c r="Q191" s="489"/>
      <c r="AG191" s="489"/>
    </row>
    <row r="192" spans="17:33" x14ac:dyDescent="0.2">
      <c r="Q192" s="489"/>
      <c r="AG192" s="489"/>
    </row>
    <row r="193" spans="17:33" x14ac:dyDescent="0.2">
      <c r="Q193" s="489"/>
      <c r="AG193" s="489"/>
    </row>
    <row r="194" spans="17:33" x14ac:dyDescent="0.2">
      <c r="Q194" s="489"/>
      <c r="AG194" s="489"/>
    </row>
    <row r="195" spans="17:33" x14ac:dyDescent="0.2">
      <c r="Q195" s="489"/>
      <c r="AG195" s="489"/>
    </row>
    <row r="196" spans="17:33" x14ac:dyDescent="0.2">
      <c r="Q196" s="489"/>
      <c r="AG196" s="489"/>
    </row>
    <row r="197" spans="17:33" x14ac:dyDescent="0.2">
      <c r="Q197" s="489"/>
      <c r="AG197" s="489"/>
    </row>
    <row r="198" spans="17:33" x14ac:dyDescent="0.2">
      <c r="Q198" s="489"/>
      <c r="AG198" s="489"/>
    </row>
    <row r="199" spans="17:33" x14ac:dyDescent="0.2">
      <c r="Q199" s="489"/>
      <c r="AG199" s="489"/>
    </row>
    <row r="200" spans="17:33" x14ac:dyDescent="0.2">
      <c r="Q200" s="489"/>
      <c r="AG200" s="489"/>
    </row>
    <row r="201" spans="17:33" x14ac:dyDescent="0.2">
      <c r="Q201" s="489"/>
      <c r="AG201" s="489"/>
    </row>
    <row r="202" spans="17:33" x14ac:dyDescent="0.2">
      <c r="Q202" s="489"/>
      <c r="AG202" s="489"/>
    </row>
    <row r="203" spans="17:33" x14ac:dyDescent="0.2">
      <c r="Q203" s="489"/>
      <c r="AG203" s="489"/>
    </row>
    <row r="204" spans="17:33" x14ac:dyDescent="0.2">
      <c r="Q204" s="489"/>
      <c r="AG204" s="489"/>
    </row>
    <row r="205" spans="17:33" x14ac:dyDescent="0.2">
      <c r="Q205" s="489"/>
      <c r="AG205" s="489"/>
    </row>
    <row r="206" spans="17:33" x14ac:dyDescent="0.2">
      <c r="Q206" s="489"/>
      <c r="AG206" s="489"/>
    </row>
    <row r="207" spans="17:33" x14ac:dyDescent="0.2">
      <c r="Q207" s="489"/>
      <c r="AG207" s="489"/>
    </row>
    <row r="208" spans="17:33" x14ac:dyDescent="0.2">
      <c r="Q208" s="489"/>
      <c r="AG208" s="489"/>
    </row>
    <row r="209" spans="17:33" x14ac:dyDescent="0.2">
      <c r="Q209" s="489"/>
      <c r="AG209" s="489"/>
    </row>
    <row r="210" spans="17:33" x14ac:dyDescent="0.2">
      <c r="Q210" s="489"/>
      <c r="AG210" s="489"/>
    </row>
    <row r="211" spans="17:33" x14ac:dyDescent="0.2">
      <c r="Q211" s="489"/>
      <c r="AG211" s="489"/>
    </row>
    <row r="212" spans="17:33" x14ac:dyDescent="0.2">
      <c r="Q212" s="489"/>
      <c r="AG212" s="489"/>
    </row>
    <row r="213" spans="17:33" x14ac:dyDescent="0.2">
      <c r="Q213" s="489"/>
      <c r="AG213" s="489"/>
    </row>
    <row r="214" spans="17:33" x14ac:dyDescent="0.2">
      <c r="Q214" s="489"/>
      <c r="AG214" s="489"/>
    </row>
    <row r="215" spans="17:33" x14ac:dyDescent="0.2">
      <c r="Q215" s="489"/>
      <c r="AG215" s="489"/>
    </row>
    <row r="216" spans="17:33" x14ac:dyDescent="0.2">
      <c r="Q216" s="489"/>
      <c r="AG216" s="489"/>
    </row>
    <row r="217" spans="17:33" x14ac:dyDescent="0.2">
      <c r="Q217" s="489"/>
      <c r="AG217" s="489"/>
    </row>
    <row r="218" spans="17:33" x14ac:dyDescent="0.2">
      <c r="Q218" s="489"/>
      <c r="AG218" s="489"/>
    </row>
    <row r="219" spans="17:33" x14ac:dyDescent="0.2">
      <c r="Q219" s="489"/>
      <c r="AG219" s="489"/>
    </row>
    <row r="220" spans="17:33" x14ac:dyDescent="0.2">
      <c r="Q220" s="489"/>
      <c r="AG220" s="489"/>
    </row>
    <row r="221" spans="17:33" x14ac:dyDescent="0.2">
      <c r="Q221" s="489"/>
      <c r="AG221" s="489"/>
    </row>
    <row r="222" spans="17:33" x14ac:dyDescent="0.2">
      <c r="Q222" s="489"/>
      <c r="AG222" s="489"/>
    </row>
    <row r="223" spans="17:33" x14ac:dyDescent="0.2">
      <c r="Q223" s="489"/>
      <c r="AG223" s="489"/>
    </row>
    <row r="224" spans="17:33" x14ac:dyDescent="0.2">
      <c r="Q224" s="489"/>
      <c r="AG224" s="489"/>
    </row>
    <row r="225" spans="17:33" x14ac:dyDescent="0.2">
      <c r="Q225" s="489"/>
      <c r="AG225" s="489"/>
    </row>
    <row r="226" spans="17:33" x14ac:dyDescent="0.2">
      <c r="Q226" s="489"/>
      <c r="AG226" s="489"/>
    </row>
    <row r="227" spans="17:33" x14ac:dyDescent="0.2">
      <c r="Q227" s="489"/>
      <c r="AG227" s="489"/>
    </row>
    <row r="228" spans="17:33" x14ac:dyDescent="0.2">
      <c r="Q228" s="489"/>
      <c r="AG228" s="489"/>
    </row>
    <row r="229" spans="17:33" x14ac:dyDescent="0.2">
      <c r="Q229" s="489"/>
      <c r="AG229" s="489"/>
    </row>
    <row r="230" spans="17:33" x14ac:dyDescent="0.2">
      <c r="Q230" s="489"/>
      <c r="AG230" s="489"/>
    </row>
    <row r="231" spans="17:33" x14ac:dyDescent="0.2">
      <c r="Q231" s="489"/>
      <c r="AG231" s="489"/>
    </row>
    <row r="232" spans="17:33" x14ac:dyDescent="0.2">
      <c r="Q232" s="489"/>
      <c r="AG232" s="489"/>
    </row>
    <row r="233" spans="17:33" x14ac:dyDescent="0.2">
      <c r="Q233" s="489"/>
      <c r="AG233" s="489"/>
    </row>
    <row r="234" spans="17:33" x14ac:dyDescent="0.2">
      <c r="Q234" s="489"/>
      <c r="AG234" s="489"/>
    </row>
    <row r="235" spans="17:33" x14ac:dyDescent="0.2">
      <c r="Q235" s="489"/>
      <c r="AG235" s="489"/>
    </row>
    <row r="236" spans="17:33" x14ac:dyDescent="0.2">
      <c r="Q236" s="489"/>
      <c r="AG236" s="489"/>
    </row>
    <row r="237" spans="17:33" x14ac:dyDescent="0.2">
      <c r="Q237" s="489"/>
      <c r="AG237" s="489"/>
    </row>
    <row r="238" spans="17:33" x14ac:dyDescent="0.2">
      <c r="Q238" s="489"/>
      <c r="AG238" s="489"/>
    </row>
    <row r="239" spans="17:33" x14ac:dyDescent="0.2">
      <c r="Q239" s="489"/>
      <c r="AG239" s="489"/>
    </row>
    <row r="240" spans="17:33" x14ac:dyDescent="0.2">
      <c r="Q240" s="489"/>
      <c r="AG240" s="489"/>
    </row>
    <row r="241" spans="17:33" x14ac:dyDescent="0.2">
      <c r="Q241" s="489"/>
      <c r="AG241" s="489"/>
    </row>
    <row r="242" spans="17:33" x14ac:dyDescent="0.2">
      <c r="Q242" s="489"/>
      <c r="AG242" s="489"/>
    </row>
    <row r="243" spans="17:33" x14ac:dyDescent="0.2">
      <c r="Q243" s="489"/>
      <c r="AG243" s="489"/>
    </row>
    <row r="244" spans="17:33" x14ac:dyDescent="0.2">
      <c r="Q244" s="489"/>
      <c r="AG244" s="489"/>
    </row>
    <row r="245" spans="17:33" x14ac:dyDescent="0.2">
      <c r="Q245" s="489"/>
      <c r="AG245" s="489"/>
    </row>
    <row r="246" spans="17:33" x14ac:dyDescent="0.2">
      <c r="Q246" s="489"/>
      <c r="AG246" s="489"/>
    </row>
    <row r="247" spans="17:33" x14ac:dyDescent="0.2">
      <c r="Q247" s="489"/>
      <c r="AG247" s="489"/>
    </row>
    <row r="248" spans="17:33" x14ac:dyDescent="0.2">
      <c r="Q248" s="489"/>
      <c r="AG248" s="489"/>
    </row>
    <row r="249" spans="17:33" x14ac:dyDescent="0.2">
      <c r="Q249" s="489"/>
      <c r="AG249" s="489"/>
    </row>
    <row r="250" spans="17:33" x14ac:dyDescent="0.2">
      <c r="Q250" s="489"/>
      <c r="AG250" s="489"/>
    </row>
    <row r="251" spans="17:33" x14ac:dyDescent="0.2">
      <c r="Q251" s="489"/>
      <c r="AG251" s="489"/>
    </row>
    <row r="252" spans="17:33" x14ac:dyDescent="0.2">
      <c r="Q252" s="489"/>
      <c r="AG252" s="489"/>
    </row>
    <row r="253" spans="17:33" x14ac:dyDescent="0.2">
      <c r="Q253" s="489"/>
      <c r="AG253" s="489"/>
    </row>
    <row r="254" spans="17:33" x14ac:dyDescent="0.2">
      <c r="Q254" s="489"/>
      <c r="AG254" s="489"/>
    </row>
    <row r="255" spans="17:33" x14ac:dyDescent="0.2">
      <c r="Q255" s="489"/>
      <c r="AG255" s="489"/>
    </row>
    <row r="256" spans="17:33" x14ac:dyDescent="0.2">
      <c r="Q256" s="489"/>
      <c r="AG256" s="489"/>
    </row>
    <row r="257" spans="17:33" x14ac:dyDescent="0.2">
      <c r="Q257" s="489"/>
      <c r="AG257" s="489"/>
    </row>
    <row r="258" spans="17:33" x14ac:dyDescent="0.2">
      <c r="Q258" s="489"/>
      <c r="AG258" s="489"/>
    </row>
    <row r="259" spans="17:33" x14ac:dyDescent="0.2">
      <c r="Q259" s="489"/>
      <c r="AG259" s="489"/>
    </row>
    <row r="260" spans="17:33" x14ac:dyDescent="0.2">
      <c r="Q260" s="489"/>
      <c r="AG260" s="489"/>
    </row>
    <row r="261" spans="17:33" x14ac:dyDescent="0.2">
      <c r="Q261" s="489"/>
      <c r="AG261" s="489"/>
    </row>
    <row r="262" spans="17:33" x14ac:dyDescent="0.2">
      <c r="Q262" s="489"/>
      <c r="AG262" s="489"/>
    </row>
    <row r="263" spans="17:33" x14ac:dyDescent="0.2">
      <c r="Q263" s="489"/>
      <c r="AG263" s="489"/>
    </row>
    <row r="264" spans="17:33" x14ac:dyDescent="0.2">
      <c r="Q264" s="489"/>
      <c r="AG264" s="489"/>
    </row>
    <row r="265" spans="17:33" x14ac:dyDescent="0.2">
      <c r="Q265" s="489"/>
      <c r="AG265" s="489"/>
    </row>
    <row r="266" spans="17:33" x14ac:dyDescent="0.2">
      <c r="Q266" s="489"/>
      <c r="AG266" s="489"/>
    </row>
    <row r="267" spans="17:33" x14ac:dyDescent="0.2">
      <c r="Q267" s="489"/>
      <c r="AG267" s="489"/>
    </row>
    <row r="268" spans="17:33" x14ac:dyDescent="0.2">
      <c r="Q268" s="489"/>
      <c r="AG268" s="489"/>
    </row>
    <row r="269" spans="17:33" x14ac:dyDescent="0.2">
      <c r="Q269" s="489"/>
      <c r="AG269" s="489"/>
    </row>
    <row r="270" spans="17:33" x14ac:dyDescent="0.2">
      <c r="Q270" s="489"/>
      <c r="AG270" s="489"/>
    </row>
    <row r="271" spans="17:33" x14ac:dyDescent="0.2">
      <c r="Q271" s="489"/>
      <c r="AG271" s="489"/>
    </row>
    <row r="272" spans="17:33" x14ac:dyDescent="0.2">
      <c r="Q272" s="489"/>
      <c r="AG272" s="489"/>
    </row>
    <row r="273" spans="17:33" x14ac:dyDescent="0.2">
      <c r="Q273" s="489"/>
      <c r="AG273" s="489"/>
    </row>
    <row r="274" spans="17:33" x14ac:dyDescent="0.2">
      <c r="Q274" s="489"/>
      <c r="AG274" s="489"/>
    </row>
    <row r="275" spans="17:33" x14ac:dyDescent="0.2">
      <c r="Q275" s="489"/>
      <c r="AG275" s="489"/>
    </row>
    <row r="276" spans="17:33" x14ac:dyDescent="0.2">
      <c r="Q276" s="489"/>
      <c r="AG276" s="489"/>
    </row>
    <row r="277" spans="17:33" x14ac:dyDescent="0.2">
      <c r="Q277" s="489"/>
      <c r="AG277" s="489"/>
    </row>
    <row r="278" spans="17:33" x14ac:dyDescent="0.2">
      <c r="Q278" s="489"/>
      <c r="AG278" s="489"/>
    </row>
    <row r="279" spans="17:33" x14ac:dyDescent="0.2">
      <c r="Q279" s="489"/>
      <c r="AG279" s="489"/>
    </row>
    <row r="280" spans="17:33" x14ac:dyDescent="0.2">
      <c r="Q280" s="489"/>
      <c r="AG280" s="489"/>
    </row>
    <row r="281" spans="17:33" x14ac:dyDescent="0.2">
      <c r="Q281" s="489"/>
      <c r="AG281" s="489"/>
    </row>
    <row r="282" spans="17:33" x14ac:dyDescent="0.2">
      <c r="Q282" s="489"/>
      <c r="AG282" s="489"/>
    </row>
    <row r="283" spans="17:33" x14ac:dyDescent="0.2">
      <c r="Q283" s="489"/>
      <c r="AG283" s="489"/>
    </row>
    <row r="284" spans="17:33" x14ac:dyDescent="0.2">
      <c r="Q284" s="489"/>
      <c r="AG284" s="489"/>
    </row>
    <row r="285" spans="17:33" x14ac:dyDescent="0.2">
      <c r="Q285" s="489"/>
      <c r="AG285" s="489"/>
    </row>
    <row r="286" spans="17:33" x14ac:dyDescent="0.2">
      <c r="Q286" s="489"/>
      <c r="AG286" s="489"/>
    </row>
    <row r="287" spans="17:33" x14ac:dyDescent="0.2">
      <c r="Q287" s="489"/>
      <c r="AG287" s="489"/>
    </row>
    <row r="288" spans="17:33" x14ac:dyDescent="0.2">
      <c r="Q288" s="489"/>
      <c r="AG288" s="489"/>
    </row>
    <row r="289" spans="17:33" x14ac:dyDescent="0.2">
      <c r="Q289" s="489"/>
      <c r="AG289" s="489"/>
    </row>
    <row r="290" spans="17:33" x14ac:dyDescent="0.2">
      <c r="Q290" s="489"/>
      <c r="AG290" s="489"/>
    </row>
    <row r="291" spans="17:33" x14ac:dyDescent="0.2">
      <c r="Q291" s="489"/>
      <c r="AG291" s="489"/>
    </row>
    <row r="292" spans="17:33" x14ac:dyDescent="0.2">
      <c r="Q292" s="489"/>
      <c r="AG292" s="489"/>
    </row>
    <row r="293" spans="17:33" x14ac:dyDescent="0.2">
      <c r="Q293" s="489"/>
      <c r="AG293" s="489"/>
    </row>
    <row r="294" spans="17:33" x14ac:dyDescent="0.2">
      <c r="Q294" s="489"/>
      <c r="AG294" s="489"/>
    </row>
    <row r="295" spans="17:33" x14ac:dyDescent="0.2">
      <c r="Q295" s="489"/>
      <c r="AG295" s="489"/>
    </row>
    <row r="296" spans="17:33" x14ac:dyDescent="0.2">
      <c r="Q296" s="489"/>
      <c r="AG296" s="489"/>
    </row>
    <row r="297" spans="17:33" x14ac:dyDescent="0.2">
      <c r="Q297" s="489"/>
      <c r="AG297" s="489"/>
    </row>
    <row r="298" spans="17:33" x14ac:dyDescent="0.2">
      <c r="Q298" s="489"/>
      <c r="AG298" s="489"/>
    </row>
    <row r="299" spans="17:33" x14ac:dyDescent="0.2">
      <c r="Q299" s="489"/>
      <c r="AG299" s="489"/>
    </row>
    <row r="300" spans="17:33" x14ac:dyDescent="0.2">
      <c r="Q300" s="489"/>
      <c r="AG300" s="489"/>
    </row>
    <row r="301" spans="17:33" x14ac:dyDescent="0.2">
      <c r="Q301" s="489"/>
      <c r="AG301" s="489"/>
    </row>
    <row r="302" spans="17:33" x14ac:dyDescent="0.2">
      <c r="Q302" s="489"/>
      <c r="AG302" s="489"/>
    </row>
    <row r="303" spans="17:33" x14ac:dyDescent="0.2">
      <c r="Q303" s="489"/>
      <c r="AG303" s="489"/>
    </row>
    <row r="304" spans="17:33" x14ac:dyDescent="0.2">
      <c r="Q304" s="489"/>
      <c r="AG304" s="489"/>
    </row>
    <row r="305" spans="17:33" x14ac:dyDescent="0.2">
      <c r="Q305" s="489"/>
      <c r="AG305" s="489"/>
    </row>
    <row r="306" spans="17:33" x14ac:dyDescent="0.2">
      <c r="Q306" s="489"/>
      <c r="AG306" s="489"/>
    </row>
    <row r="307" spans="17:33" x14ac:dyDescent="0.2">
      <c r="Q307" s="489"/>
      <c r="AG307" s="489"/>
    </row>
    <row r="308" spans="17:33" x14ac:dyDescent="0.2">
      <c r="Q308" s="489"/>
      <c r="AG308" s="489"/>
    </row>
    <row r="309" spans="17:33" x14ac:dyDescent="0.2">
      <c r="Q309" s="489"/>
      <c r="AG309" s="489"/>
    </row>
    <row r="310" spans="17:33" x14ac:dyDescent="0.2">
      <c r="Q310" s="489"/>
      <c r="AG310" s="489"/>
    </row>
    <row r="311" spans="17:33" x14ac:dyDescent="0.2">
      <c r="Q311" s="489"/>
      <c r="AG311" s="489"/>
    </row>
    <row r="312" spans="17:33" x14ac:dyDescent="0.2">
      <c r="Q312" s="489"/>
      <c r="AG312" s="489"/>
    </row>
    <row r="313" spans="17:33" x14ac:dyDescent="0.2">
      <c r="Q313" s="489"/>
      <c r="AG313" s="489"/>
    </row>
    <row r="314" spans="17:33" x14ac:dyDescent="0.2">
      <c r="Q314" s="489"/>
      <c r="AG314" s="489"/>
    </row>
    <row r="315" spans="17:33" x14ac:dyDescent="0.2">
      <c r="Q315" s="489"/>
      <c r="AG315" s="489"/>
    </row>
    <row r="316" spans="17:33" x14ac:dyDescent="0.2">
      <c r="Q316" s="489"/>
      <c r="AG316" s="489"/>
    </row>
    <row r="317" spans="17:33" x14ac:dyDescent="0.2">
      <c r="Q317" s="489"/>
      <c r="AG317" s="489"/>
    </row>
    <row r="318" spans="17:33" x14ac:dyDescent="0.2">
      <c r="Q318" s="489"/>
      <c r="AG318" s="489"/>
    </row>
    <row r="319" spans="17:33" x14ac:dyDescent="0.2">
      <c r="Q319" s="489"/>
      <c r="AG319" s="489"/>
    </row>
    <row r="320" spans="17:33" x14ac:dyDescent="0.2">
      <c r="Q320" s="489"/>
      <c r="AG320" s="489"/>
    </row>
    <row r="321" spans="17:33" x14ac:dyDescent="0.2">
      <c r="Q321" s="489"/>
      <c r="AG321" s="489"/>
    </row>
    <row r="322" spans="17:33" x14ac:dyDescent="0.2">
      <c r="Q322" s="489"/>
      <c r="AG322" s="489"/>
    </row>
    <row r="323" spans="17:33" x14ac:dyDescent="0.2">
      <c r="Q323" s="489"/>
      <c r="AG323" s="489"/>
    </row>
    <row r="324" spans="17:33" x14ac:dyDescent="0.2">
      <c r="Q324" s="489"/>
      <c r="AG324" s="489"/>
    </row>
    <row r="325" spans="17:33" x14ac:dyDescent="0.2">
      <c r="Q325" s="489"/>
      <c r="AG325" s="489"/>
    </row>
    <row r="326" spans="17:33" x14ac:dyDescent="0.2">
      <c r="Q326" s="489"/>
      <c r="AG326" s="489"/>
    </row>
    <row r="327" spans="17:33" x14ac:dyDescent="0.2">
      <c r="Q327" s="489"/>
      <c r="AG327" s="489"/>
    </row>
    <row r="328" spans="17:33" x14ac:dyDescent="0.2">
      <c r="Q328" s="489"/>
      <c r="AG328" s="489"/>
    </row>
    <row r="329" spans="17:33" x14ac:dyDescent="0.2">
      <c r="Q329" s="489"/>
      <c r="AG329" s="489"/>
    </row>
    <row r="330" spans="17:33" x14ac:dyDescent="0.2">
      <c r="Q330" s="489"/>
      <c r="AG330" s="489"/>
    </row>
    <row r="331" spans="17:33" x14ac:dyDescent="0.2">
      <c r="Q331" s="489"/>
      <c r="AG331" s="489"/>
    </row>
    <row r="332" spans="17:33" x14ac:dyDescent="0.2">
      <c r="Q332" s="489"/>
      <c r="AG332" s="489"/>
    </row>
    <row r="333" spans="17:33" x14ac:dyDescent="0.2">
      <c r="Q333" s="489"/>
      <c r="AG333" s="489"/>
    </row>
    <row r="334" spans="17:33" x14ac:dyDescent="0.2">
      <c r="Q334" s="489"/>
      <c r="AG334" s="489"/>
    </row>
    <row r="335" spans="17:33" x14ac:dyDescent="0.2">
      <c r="Q335" s="489"/>
      <c r="AG335" s="489"/>
    </row>
    <row r="336" spans="17:33" x14ac:dyDescent="0.2">
      <c r="Q336" s="489"/>
      <c r="AG336" s="489"/>
    </row>
    <row r="337" spans="17:33" x14ac:dyDescent="0.2">
      <c r="Q337" s="489"/>
      <c r="AG337" s="489"/>
    </row>
    <row r="338" spans="17:33" x14ac:dyDescent="0.2">
      <c r="Q338" s="489"/>
      <c r="AG338" s="489"/>
    </row>
    <row r="339" spans="17:33" x14ac:dyDescent="0.2">
      <c r="Q339" s="489"/>
      <c r="AG339" s="489"/>
    </row>
    <row r="340" spans="17:33" x14ac:dyDescent="0.2">
      <c r="Q340" s="489"/>
      <c r="AG340" s="489"/>
    </row>
    <row r="341" spans="17:33" x14ac:dyDescent="0.2">
      <c r="Q341" s="489"/>
      <c r="AG341" s="489"/>
    </row>
    <row r="342" spans="17:33" x14ac:dyDescent="0.2">
      <c r="Q342" s="489"/>
      <c r="AG342" s="489"/>
    </row>
    <row r="343" spans="17:33" x14ac:dyDescent="0.2">
      <c r="Q343" s="489"/>
      <c r="AG343" s="489"/>
    </row>
    <row r="344" spans="17:33" x14ac:dyDescent="0.2">
      <c r="Q344" s="489"/>
      <c r="AG344" s="489"/>
    </row>
    <row r="345" spans="17:33" x14ac:dyDescent="0.2">
      <c r="Q345" s="489"/>
      <c r="AG345" s="489"/>
    </row>
    <row r="346" spans="17:33" x14ac:dyDescent="0.2">
      <c r="Q346" s="489"/>
      <c r="AG346" s="489"/>
    </row>
    <row r="347" spans="17:33" x14ac:dyDescent="0.2">
      <c r="Q347" s="489"/>
      <c r="AG347" s="489"/>
    </row>
    <row r="348" spans="17:33" x14ac:dyDescent="0.2">
      <c r="Q348" s="489"/>
      <c r="AG348" s="489"/>
    </row>
    <row r="349" spans="17:33" x14ac:dyDescent="0.2">
      <c r="Q349" s="489"/>
      <c r="AG349" s="489"/>
    </row>
    <row r="350" spans="17:33" x14ac:dyDescent="0.2">
      <c r="Q350" s="489"/>
      <c r="AG350" s="489"/>
    </row>
    <row r="351" spans="17:33" x14ac:dyDescent="0.2">
      <c r="Q351" s="489"/>
      <c r="AG351" s="489"/>
    </row>
    <row r="352" spans="17:33" x14ac:dyDescent="0.2">
      <c r="Q352" s="489"/>
      <c r="AG352" s="489"/>
    </row>
    <row r="353" spans="17:33" x14ac:dyDescent="0.2">
      <c r="Q353" s="489"/>
      <c r="AG353" s="489"/>
    </row>
    <row r="354" spans="17:33" x14ac:dyDescent="0.2">
      <c r="Q354" s="489"/>
      <c r="AG354" s="489"/>
    </row>
    <row r="355" spans="17:33" x14ac:dyDescent="0.2">
      <c r="Q355" s="489"/>
      <c r="AG355" s="489"/>
    </row>
    <row r="356" spans="17:33" x14ac:dyDescent="0.2">
      <c r="Q356" s="489"/>
      <c r="AG356" s="489"/>
    </row>
    <row r="357" spans="17:33" x14ac:dyDescent="0.2">
      <c r="Q357" s="489"/>
      <c r="AG357" s="489"/>
    </row>
    <row r="358" spans="17:33" x14ac:dyDescent="0.2">
      <c r="Q358" s="489"/>
      <c r="AG358" s="489"/>
    </row>
    <row r="359" spans="17:33" x14ac:dyDescent="0.2">
      <c r="Q359" s="489"/>
      <c r="AG359" s="489"/>
    </row>
    <row r="360" spans="17:33" x14ac:dyDescent="0.2">
      <c r="Q360" s="489"/>
      <c r="AG360" s="489"/>
    </row>
    <row r="361" spans="17:33" x14ac:dyDescent="0.2">
      <c r="Q361" s="489"/>
      <c r="AG361" s="489"/>
    </row>
    <row r="362" spans="17:33" x14ac:dyDescent="0.2">
      <c r="Q362" s="489"/>
      <c r="AG362" s="489"/>
    </row>
    <row r="363" spans="17:33" x14ac:dyDescent="0.2">
      <c r="Q363" s="489"/>
      <c r="AG363" s="489"/>
    </row>
    <row r="364" spans="17:33" x14ac:dyDescent="0.2">
      <c r="Q364" s="489"/>
      <c r="AG364" s="489"/>
    </row>
    <row r="365" spans="17:33" x14ac:dyDescent="0.2">
      <c r="Q365" s="489"/>
      <c r="AG365" s="489"/>
    </row>
    <row r="366" spans="17:33" x14ac:dyDescent="0.2">
      <c r="Q366" s="489"/>
      <c r="AG366" s="489"/>
    </row>
    <row r="367" spans="17:33" x14ac:dyDescent="0.2">
      <c r="Q367" s="489"/>
      <c r="AG367" s="489"/>
    </row>
    <row r="368" spans="17:33" x14ac:dyDescent="0.2">
      <c r="Q368" s="489"/>
      <c r="AG368" s="489"/>
    </row>
    <row r="369" spans="17:33" x14ac:dyDescent="0.2">
      <c r="Q369" s="489"/>
      <c r="AG369" s="489"/>
    </row>
    <row r="370" spans="17:33" x14ac:dyDescent="0.2">
      <c r="Q370" s="489"/>
      <c r="AG370" s="489"/>
    </row>
    <row r="371" spans="17:33" x14ac:dyDescent="0.2">
      <c r="Q371" s="489"/>
      <c r="AG371" s="489"/>
    </row>
    <row r="372" spans="17:33" x14ac:dyDescent="0.2">
      <c r="Q372" s="489"/>
      <c r="AG372" s="489"/>
    </row>
    <row r="373" spans="17:33" x14ac:dyDescent="0.2">
      <c r="Q373" s="489"/>
      <c r="AG373" s="489"/>
    </row>
    <row r="374" spans="17:33" x14ac:dyDescent="0.2">
      <c r="Q374" s="489"/>
      <c r="AG374" s="489"/>
    </row>
    <row r="375" spans="17:33" x14ac:dyDescent="0.2">
      <c r="Q375" s="489"/>
      <c r="AG375" s="489"/>
    </row>
    <row r="376" spans="17:33" x14ac:dyDescent="0.2">
      <c r="Q376" s="489"/>
      <c r="AG376" s="489"/>
    </row>
    <row r="377" spans="17:33" x14ac:dyDescent="0.2">
      <c r="Q377" s="489"/>
      <c r="AG377" s="489"/>
    </row>
    <row r="378" spans="17:33" x14ac:dyDescent="0.2">
      <c r="Q378" s="489"/>
      <c r="AG378" s="489"/>
    </row>
    <row r="379" spans="17:33" x14ac:dyDescent="0.2">
      <c r="Q379" s="489"/>
      <c r="AG379" s="489"/>
    </row>
    <row r="380" spans="17:33" x14ac:dyDescent="0.2">
      <c r="Q380" s="489"/>
      <c r="AG380" s="489"/>
    </row>
    <row r="381" spans="17:33" x14ac:dyDescent="0.2">
      <c r="Q381" s="489"/>
      <c r="AG381" s="489"/>
    </row>
    <row r="382" spans="17:33" x14ac:dyDescent="0.2">
      <c r="Q382" s="489"/>
      <c r="AG382" s="489"/>
    </row>
    <row r="383" spans="17:33" x14ac:dyDescent="0.2">
      <c r="Q383" s="489"/>
      <c r="AG383" s="489"/>
    </row>
    <row r="384" spans="17:33" x14ac:dyDescent="0.2">
      <c r="Q384" s="489"/>
      <c r="AG384" s="489"/>
    </row>
    <row r="385" spans="17:33" x14ac:dyDescent="0.2">
      <c r="Q385" s="489"/>
      <c r="AG385" s="489"/>
    </row>
    <row r="386" spans="17:33" x14ac:dyDescent="0.2">
      <c r="Q386" s="489"/>
      <c r="AG386" s="489"/>
    </row>
    <row r="387" spans="17:33" x14ac:dyDescent="0.2">
      <c r="Q387" s="489"/>
      <c r="AG387" s="489"/>
    </row>
    <row r="388" spans="17:33" x14ac:dyDescent="0.2">
      <c r="Q388" s="489"/>
      <c r="AG388" s="489"/>
    </row>
    <row r="389" spans="17:33" x14ac:dyDescent="0.2">
      <c r="Q389" s="489"/>
      <c r="AG389" s="489"/>
    </row>
    <row r="390" spans="17:33" x14ac:dyDescent="0.2">
      <c r="Q390" s="489"/>
      <c r="AG390" s="489"/>
    </row>
    <row r="391" spans="17:33" x14ac:dyDescent="0.2">
      <c r="Q391" s="489"/>
      <c r="AG391" s="489"/>
    </row>
    <row r="392" spans="17:33" x14ac:dyDescent="0.2">
      <c r="Q392" s="489"/>
      <c r="AG392" s="489"/>
    </row>
    <row r="393" spans="17:33" x14ac:dyDescent="0.2">
      <c r="Q393" s="489"/>
      <c r="AG393" s="489"/>
    </row>
    <row r="394" spans="17:33" x14ac:dyDescent="0.2">
      <c r="Q394" s="489"/>
      <c r="AG394" s="489"/>
    </row>
    <row r="395" spans="17:33" x14ac:dyDescent="0.2">
      <c r="Q395" s="489"/>
      <c r="AG395" s="489"/>
    </row>
    <row r="396" spans="17:33" x14ac:dyDescent="0.2">
      <c r="Q396" s="489"/>
      <c r="AG396" s="489"/>
    </row>
    <row r="397" spans="17:33" x14ac:dyDescent="0.2">
      <c r="Q397" s="489"/>
      <c r="AG397" s="489"/>
    </row>
    <row r="398" spans="17:33" x14ac:dyDescent="0.2">
      <c r="Q398" s="489"/>
      <c r="AG398" s="489"/>
    </row>
    <row r="399" spans="17:33" x14ac:dyDescent="0.2">
      <c r="Q399" s="489"/>
      <c r="AG399" s="489"/>
    </row>
    <row r="400" spans="17:33" x14ac:dyDescent="0.2">
      <c r="Q400" s="489"/>
      <c r="AG400" s="489"/>
    </row>
    <row r="401" spans="17:33" x14ac:dyDescent="0.2">
      <c r="Q401" s="489"/>
      <c r="AG401" s="489"/>
    </row>
    <row r="402" spans="17:33" x14ac:dyDescent="0.2">
      <c r="Q402" s="489"/>
      <c r="AG402" s="489"/>
    </row>
    <row r="403" spans="17:33" x14ac:dyDescent="0.2">
      <c r="Q403" s="489"/>
      <c r="AG403" s="489"/>
    </row>
    <row r="404" spans="17:33" x14ac:dyDescent="0.2">
      <c r="Q404" s="489"/>
      <c r="AG404" s="489"/>
    </row>
    <row r="405" spans="17:33" x14ac:dyDescent="0.2">
      <c r="Q405" s="489"/>
      <c r="AG405" s="489"/>
    </row>
    <row r="406" spans="17:33" x14ac:dyDescent="0.2">
      <c r="Q406" s="489"/>
      <c r="AG406" s="489"/>
    </row>
    <row r="407" spans="17:33" x14ac:dyDescent="0.2">
      <c r="Q407" s="489"/>
      <c r="AG407" s="489"/>
    </row>
    <row r="408" spans="17:33" x14ac:dyDescent="0.2">
      <c r="Q408" s="489"/>
      <c r="AG408" s="489"/>
    </row>
    <row r="409" spans="17:33" x14ac:dyDescent="0.2">
      <c r="Q409" s="489"/>
      <c r="AG409" s="489"/>
    </row>
    <row r="410" spans="17:33" x14ac:dyDescent="0.2">
      <c r="Q410" s="489"/>
      <c r="AG410" s="489"/>
    </row>
    <row r="411" spans="17:33" x14ac:dyDescent="0.2">
      <c r="Q411" s="489"/>
      <c r="AG411" s="489"/>
    </row>
    <row r="412" spans="17:33" x14ac:dyDescent="0.2">
      <c r="Q412" s="489"/>
      <c r="AG412" s="489"/>
    </row>
    <row r="413" spans="17:33" x14ac:dyDescent="0.2">
      <c r="Q413" s="489"/>
      <c r="AG413" s="489"/>
    </row>
    <row r="414" spans="17:33" x14ac:dyDescent="0.2">
      <c r="Q414" s="489"/>
      <c r="AG414" s="489"/>
    </row>
    <row r="415" spans="17:33" x14ac:dyDescent="0.2">
      <c r="Q415" s="489"/>
      <c r="AG415" s="489"/>
    </row>
    <row r="416" spans="17:33" x14ac:dyDescent="0.2">
      <c r="Q416" s="489"/>
      <c r="AG416" s="489"/>
    </row>
    <row r="417" spans="17:33" x14ac:dyDescent="0.2">
      <c r="Q417" s="489"/>
      <c r="AG417" s="489"/>
    </row>
    <row r="418" spans="17:33" x14ac:dyDescent="0.2">
      <c r="Q418" s="489"/>
      <c r="AG418" s="489"/>
    </row>
    <row r="419" spans="17:33" x14ac:dyDescent="0.2">
      <c r="Q419" s="489"/>
      <c r="AG419" s="489"/>
    </row>
    <row r="420" spans="17:33" x14ac:dyDescent="0.2">
      <c r="Q420" s="489"/>
      <c r="AG420" s="489"/>
    </row>
    <row r="421" spans="17:33" x14ac:dyDescent="0.2">
      <c r="Q421" s="489"/>
      <c r="AG421" s="489"/>
    </row>
    <row r="422" spans="17:33" x14ac:dyDescent="0.2">
      <c r="Q422" s="489"/>
      <c r="AG422" s="489"/>
    </row>
    <row r="423" spans="17:33" x14ac:dyDescent="0.2">
      <c r="Q423" s="489"/>
      <c r="AG423" s="489"/>
    </row>
    <row r="424" spans="17:33" x14ac:dyDescent="0.2">
      <c r="Q424" s="489"/>
      <c r="AG424" s="489"/>
    </row>
    <row r="425" spans="17:33" x14ac:dyDescent="0.2">
      <c r="Q425" s="489"/>
      <c r="AG425" s="489"/>
    </row>
    <row r="426" spans="17:33" x14ac:dyDescent="0.2">
      <c r="Q426" s="489"/>
      <c r="AG426" s="489"/>
    </row>
    <row r="427" spans="17:33" x14ac:dyDescent="0.2">
      <c r="Q427" s="489"/>
      <c r="AG427" s="489"/>
    </row>
    <row r="428" spans="17:33" x14ac:dyDescent="0.2">
      <c r="Q428" s="489"/>
      <c r="AG428" s="489"/>
    </row>
    <row r="429" spans="17:33" x14ac:dyDescent="0.2">
      <c r="Q429" s="489"/>
      <c r="AG429" s="489"/>
    </row>
    <row r="430" spans="17:33" x14ac:dyDescent="0.2">
      <c r="Q430" s="489"/>
      <c r="AG430" s="489"/>
    </row>
    <row r="431" spans="17:33" x14ac:dyDescent="0.2">
      <c r="Q431" s="489"/>
      <c r="AG431" s="489"/>
    </row>
    <row r="432" spans="17:33" x14ac:dyDescent="0.2">
      <c r="Q432" s="489"/>
      <c r="AG432" s="489"/>
    </row>
    <row r="433" spans="17:33" x14ac:dyDescent="0.2">
      <c r="Q433" s="489"/>
      <c r="AG433" s="489"/>
    </row>
    <row r="434" spans="17:33" x14ac:dyDescent="0.2">
      <c r="Q434" s="489"/>
      <c r="AG434" s="489"/>
    </row>
    <row r="435" spans="17:33" x14ac:dyDescent="0.2">
      <c r="Q435" s="489"/>
      <c r="AG435" s="489"/>
    </row>
    <row r="436" spans="17:33" x14ac:dyDescent="0.2">
      <c r="Q436" s="489"/>
      <c r="AG436" s="489"/>
    </row>
    <row r="437" spans="17:33" x14ac:dyDescent="0.2">
      <c r="Q437" s="489"/>
      <c r="AG437" s="489"/>
    </row>
    <row r="438" spans="17:33" x14ac:dyDescent="0.2">
      <c r="Q438" s="489"/>
      <c r="AG438" s="489"/>
    </row>
    <row r="439" spans="17:33" x14ac:dyDescent="0.2">
      <c r="Q439" s="489"/>
      <c r="AG439" s="489"/>
    </row>
    <row r="440" spans="17:33" x14ac:dyDescent="0.2">
      <c r="Q440" s="489"/>
      <c r="AG440" s="489"/>
    </row>
    <row r="441" spans="17:33" x14ac:dyDescent="0.2">
      <c r="Q441" s="489"/>
      <c r="AG441" s="489"/>
    </row>
    <row r="442" spans="17:33" x14ac:dyDescent="0.2">
      <c r="Q442" s="489"/>
      <c r="AG442" s="489"/>
    </row>
    <row r="443" spans="17:33" x14ac:dyDescent="0.2">
      <c r="Q443" s="489"/>
      <c r="AG443" s="489"/>
    </row>
    <row r="444" spans="17:33" x14ac:dyDescent="0.2">
      <c r="Q444" s="489"/>
      <c r="AG444" s="489"/>
    </row>
    <row r="445" spans="17:33" x14ac:dyDescent="0.2">
      <c r="Q445" s="489"/>
      <c r="AG445" s="489"/>
    </row>
    <row r="446" spans="17:33" x14ac:dyDescent="0.2">
      <c r="Q446" s="489"/>
      <c r="AG446" s="489"/>
    </row>
    <row r="447" spans="17:33" x14ac:dyDescent="0.2">
      <c r="Q447" s="489"/>
      <c r="AG447" s="489"/>
    </row>
    <row r="448" spans="17:33" x14ac:dyDescent="0.2">
      <c r="Q448" s="489"/>
      <c r="AG448" s="489"/>
    </row>
    <row r="449" spans="17:33" x14ac:dyDescent="0.2">
      <c r="Q449" s="489"/>
      <c r="AG449" s="489"/>
    </row>
    <row r="450" spans="17:33" x14ac:dyDescent="0.2">
      <c r="Q450" s="489"/>
      <c r="AG450" s="489"/>
    </row>
    <row r="451" spans="17:33" x14ac:dyDescent="0.2">
      <c r="Q451" s="489"/>
      <c r="AG451" s="489"/>
    </row>
    <row r="452" spans="17:33" x14ac:dyDescent="0.2">
      <c r="Q452" s="489"/>
      <c r="AG452" s="489"/>
    </row>
    <row r="453" spans="17:33" x14ac:dyDescent="0.2">
      <c r="Q453" s="489"/>
      <c r="AG453" s="489"/>
    </row>
    <row r="454" spans="17:33" x14ac:dyDescent="0.2">
      <c r="Q454" s="489"/>
      <c r="AG454" s="489"/>
    </row>
    <row r="455" spans="17:33" x14ac:dyDescent="0.2">
      <c r="Q455" s="489"/>
      <c r="AG455" s="489"/>
    </row>
    <row r="456" spans="17:33" x14ac:dyDescent="0.2">
      <c r="Q456" s="489"/>
      <c r="AG456" s="489"/>
    </row>
    <row r="457" spans="17:33" x14ac:dyDescent="0.2">
      <c r="Q457" s="489"/>
      <c r="AG457" s="489"/>
    </row>
    <row r="458" spans="17:33" x14ac:dyDescent="0.2">
      <c r="Q458" s="489"/>
      <c r="AG458" s="489"/>
    </row>
    <row r="459" spans="17:33" x14ac:dyDescent="0.2">
      <c r="Q459" s="489"/>
      <c r="AG459" s="489"/>
    </row>
    <row r="460" spans="17:33" x14ac:dyDescent="0.2">
      <c r="Q460" s="489"/>
      <c r="AG460" s="489"/>
    </row>
    <row r="461" spans="17:33" x14ac:dyDescent="0.2">
      <c r="Q461" s="489"/>
      <c r="AG461" s="489"/>
    </row>
    <row r="462" spans="17:33" x14ac:dyDescent="0.2">
      <c r="Q462" s="489"/>
      <c r="AG462" s="489"/>
    </row>
    <row r="463" spans="17:33" x14ac:dyDescent="0.2">
      <c r="Q463" s="489"/>
      <c r="AG463" s="489"/>
    </row>
    <row r="464" spans="17:33" x14ac:dyDescent="0.2">
      <c r="Q464" s="489"/>
      <c r="AG464" s="489"/>
    </row>
    <row r="465" spans="17:33" x14ac:dyDescent="0.2">
      <c r="Q465" s="489"/>
      <c r="AG465" s="489"/>
    </row>
    <row r="466" spans="17:33" x14ac:dyDescent="0.2">
      <c r="Q466" s="489"/>
      <c r="AG466" s="489"/>
    </row>
    <row r="467" spans="17:33" x14ac:dyDescent="0.2">
      <c r="Q467" s="489"/>
      <c r="AG467" s="489"/>
    </row>
    <row r="468" spans="17:33" x14ac:dyDescent="0.2">
      <c r="Q468" s="489"/>
      <c r="AG468" s="489"/>
    </row>
    <row r="469" spans="17:33" x14ac:dyDescent="0.2">
      <c r="Q469" s="489"/>
      <c r="AG469" s="489"/>
    </row>
    <row r="470" spans="17:33" x14ac:dyDescent="0.2">
      <c r="Q470" s="489"/>
      <c r="AG470" s="489"/>
    </row>
    <row r="471" spans="17:33" x14ac:dyDescent="0.2">
      <c r="Q471" s="489"/>
      <c r="AG471" s="489"/>
    </row>
    <row r="472" spans="17:33" x14ac:dyDescent="0.2">
      <c r="Q472" s="489"/>
      <c r="AG472" s="489"/>
    </row>
    <row r="473" spans="17:33" x14ac:dyDescent="0.2">
      <c r="Q473" s="489"/>
      <c r="AG473" s="489"/>
    </row>
    <row r="474" spans="17:33" x14ac:dyDescent="0.2">
      <c r="Q474" s="489"/>
      <c r="AG474" s="489"/>
    </row>
    <row r="475" spans="17:33" x14ac:dyDescent="0.2">
      <c r="Q475" s="489"/>
      <c r="AG475" s="489"/>
    </row>
    <row r="476" spans="17:33" x14ac:dyDescent="0.2">
      <c r="Q476" s="489"/>
      <c r="AG476" s="489"/>
    </row>
    <row r="477" spans="17:33" x14ac:dyDescent="0.2">
      <c r="Q477" s="489"/>
      <c r="AG477" s="489"/>
    </row>
    <row r="478" spans="17:33" x14ac:dyDescent="0.2">
      <c r="Q478" s="489"/>
      <c r="AG478" s="489"/>
    </row>
    <row r="479" spans="17:33" x14ac:dyDescent="0.2">
      <c r="Q479" s="489"/>
      <c r="AG479" s="489"/>
    </row>
    <row r="480" spans="17:33" x14ac:dyDescent="0.2">
      <c r="Q480" s="489"/>
      <c r="AG480" s="489"/>
    </row>
    <row r="481" spans="17:33" x14ac:dyDescent="0.2">
      <c r="Q481" s="489"/>
      <c r="AG481" s="489"/>
    </row>
    <row r="482" spans="17:33" x14ac:dyDescent="0.2">
      <c r="Q482" s="489"/>
      <c r="AG482" s="489"/>
    </row>
    <row r="483" spans="17:33" x14ac:dyDescent="0.2">
      <c r="Q483" s="489"/>
      <c r="AG483" s="489"/>
    </row>
    <row r="484" spans="17:33" x14ac:dyDescent="0.2">
      <c r="Q484" s="489"/>
      <c r="AG484" s="489"/>
    </row>
    <row r="485" spans="17:33" x14ac:dyDescent="0.2">
      <c r="Q485" s="489"/>
      <c r="AG485" s="489"/>
    </row>
    <row r="486" spans="17:33" x14ac:dyDescent="0.2">
      <c r="Q486" s="489"/>
      <c r="AG486" s="489"/>
    </row>
    <row r="487" spans="17:33" x14ac:dyDescent="0.2">
      <c r="Q487" s="489"/>
      <c r="AG487" s="489"/>
    </row>
    <row r="488" spans="17:33" x14ac:dyDescent="0.2">
      <c r="Q488" s="489"/>
      <c r="AG488" s="489"/>
    </row>
    <row r="489" spans="17:33" x14ac:dyDescent="0.2">
      <c r="Q489" s="489"/>
      <c r="AG489" s="489"/>
    </row>
    <row r="490" spans="17:33" x14ac:dyDescent="0.2">
      <c r="Q490" s="489"/>
      <c r="AG490" s="489"/>
    </row>
    <row r="491" spans="17:33" x14ac:dyDescent="0.2">
      <c r="Q491" s="489"/>
      <c r="AG491" s="489"/>
    </row>
    <row r="492" spans="17:33" x14ac:dyDescent="0.2">
      <c r="Q492" s="489"/>
      <c r="AG492" s="489"/>
    </row>
    <row r="493" spans="17:33" x14ac:dyDescent="0.2">
      <c r="Q493" s="489"/>
      <c r="AG493" s="489"/>
    </row>
    <row r="494" spans="17:33" x14ac:dyDescent="0.2">
      <c r="Q494" s="489"/>
      <c r="AG494" s="489"/>
    </row>
    <row r="495" spans="17:33" x14ac:dyDescent="0.2">
      <c r="Q495" s="489"/>
      <c r="AG495" s="489"/>
    </row>
    <row r="496" spans="17:33" x14ac:dyDescent="0.2">
      <c r="Q496" s="489"/>
      <c r="AG496" s="489"/>
    </row>
    <row r="497" spans="17:33" x14ac:dyDescent="0.2">
      <c r="Q497" s="489"/>
      <c r="AG497" s="489"/>
    </row>
    <row r="498" spans="17:33" x14ac:dyDescent="0.2">
      <c r="Q498" s="489"/>
      <c r="AG498" s="489"/>
    </row>
    <row r="499" spans="17:33" x14ac:dyDescent="0.2">
      <c r="Q499" s="489"/>
      <c r="AG499" s="489"/>
    </row>
    <row r="500" spans="17:33" x14ac:dyDescent="0.2">
      <c r="Q500" s="489"/>
      <c r="AG500" s="489"/>
    </row>
    <row r="501" spans="17:33" x14ac:dyDescent="0.2">
      <c r="Q501" s="489"/>
      <c r="AG501" s="489"/>
    </row>
    <row r="502" spans="17:33" x14ac:dyDescent="0.2">
      <c r="Q502" s="489"/>
      <c r="AG502" s="489"/>
    </row>
    <row r="503" spans="17:33" x14ac:dyDescent="0.2">
      <c r="Q503" s="489"/>
      <c r="AG503" s="489"/>
    </row>
    <row r="504" spans="17:33" x14ac:dyDescent="0.2">
      <c r="Q504" s="489"/>
      <c r="AG504" s="489"/>
    </row>
    <row r="505" spans="17:33" x14ac:dyDescent="0.2">
      <c r="Q505" s="489"/>
      <c r="AG505" s="489"/>
    </row>
    <row r="506" spans="17:33" x14ac:dyDescent="0.2">
      <c r="Q506" s="489"/>
      <c r="AG506" s="489"/>
    </row>
    <row r="507" spans="17:33" x14ac:dyDescent="0.2">
      <c r="Q507" s="489"/>
      <c r="AG507" s="489"/>
    </row>
    <row r="508" spans="17:33" x14ac:dyDescent="0.2">
      <c r="Q508" s="489"/>
      <c r="AG508" s="489"/>
    </row>
    <row r="509" spans="17:33" x14ac:dyDescent="0.2">
      <c r="Q509" s="489"/>
      <c r="AG509" s="489"/>
    </row>
    <row r="510" spans="17:33" x14ac:dyDescent="0.2">
      <c r="Q510" s="489"/>
      <c r="AG510" s="489"/>
    </row>
    <row r="511" spans="17:33" x14ac:dyDescent="0.2">
      <c r="Q511" s="489"/>
      <c r="AG511" s="489"/>
    </row>
    <row r="512" spans="17:33" x14ac:dyDescent="0.2">
      <c r="Q512" s="489"/>
      <c r="AG512" s="489"/>
    </row>
    <row r="513" spans="17:33" x14ac:dyDescent="0.2">
      <c r="Q513" s="489"/>
      <c r="AG513" s="489"/>
    </row>
    <row r="514" spans="17:33" x14ac:dyDescent="0.2">
      <c r="Q514" s="489"/>
      <c r="AG514" s="489"/>
    </row>
    <row r="515" spans="17:33" x14ac:dyDescent="0.2">
      <c r="Q515" s="489"/>
      <c r="AG515" s="489"/>
    </row>
    <row r="516" spans="17:33" x14ac:dyDescent="0.2">
      <c r="Q516" s="489"/>
      <c r="AG516" s="489"/>
    </row>
    <row r="517" spans="17:33" x14ac:dyDescent="0.2">
      <c r="Q517" s="489"/>
      <c r="AG517" s="489"/>
    </row>
    <row r="518" spans="17:33" x14ac:dyDescent="0.2">
      <c r="Q518" s="489"/>
      <c r="AG518" s="489"/>
    </row>
    <row r="519" spans="17:33" x14ac:dyDescent="0.2">
      <c r="Q519" s="489"/>
      <c r="AG519" s="489"/>
    </row>
    <row r="520" spans="17:33" x14ac:dyDescent="0.2">
      <c r="Q520" s="489"/>
      <c r="AG520" s="489"/>
    </row>
    <row r="521" spans="17:33" x14ac:dyDescent="0.2">
      <c r="Q521" s="489"/>
      <c r="AG521" s="489"/>
    </row>
    <row r="522" spans="17:33" x14ac:dyDescent="0.2">
      <c r="Q522" s="489"/>
      <c r="AG522" s="489"/>
    </row>
    <row r="523" spans="17:33" x14ac:dyDescent="0.2">
      <c r="Q523" s="489"/>
      <c r="AG523" s="489"/>
    </row>
    <row r="524" spans="17:33" x14ac:dyDescent="0.2">
      <c r="Q524" s="489"/>
      <c r="AG524" s="489"/>
    </row>
    <row r="525" spans="17:33" x14ac:dyDescent="0.2">
      <c r="Q525" s="489"/>
      <c r="AG525" s="489"/>
    </row>
    <row r="526" spans="17:33" x14ac:dyDescent="0.2">
      <c r="Q526" s="489"/>
      <c r="AG526" s="489"/>
    </row>
    <row r="527" spans="17:33" x14ac:dyDescent="0.2">
      <c r="Q527" s="489"/>
      <c r="AG527" s="489"/>
    </row>
    <row r="528" spans="17:33" x14ac:dyDescent="0.2">
      <c r="Q528" s="489"/>
      <c r="AG528" s="489"/>
    </row>
    <row r="529" spans="17:33" x14ac:dyDescent="0.2">
      <c r="Q529" s="489"/>
      <c r="AG529" s="489"/>
    </row>
    <row r="530" spans="17:33" x14ac:dyDescent="0.2">
      <c r="Q530" s="489"/>
      <c r="AG530" s="489"/>
    </row>
    <row r="531" spans="17:33" x14ac:dyDescent="0.2">
      <c r="Q531" s="489"/>
      <c r="AG531" s="489"/>
    </row>
    <row r="532" spans="17:33" x14ac:dyDescent="0.2">
      <c r="Q532" s="489"/>
      <c r="AG532" s="489"/>
    </row>
    <row r="533" spans="17:33" x14ac:dyDescent="0.2">
      <c r="Q533" s="489"/>
      <c r="AG533" s="489"/>
    </row>
    <row r="534" spans="17:33" x14ac:dyDescent="0.2">
      <c r="Q534" s="489"/>
      <c r="AG534" s="489"/>
    </row>
    <row r="535" spans="17:33" x14ac:dyDescent="0.2">
      <c r="Q535" s="489"/>
      <c r="AG535" s="489"/>
    </row>
    <row r="536" spans="17:33" x14ac:dyDescent="0.2">
      <c r="Q536" s="489"/>
      <c r="AG536" s="489"/>
    </row>
    <row r="537" spans="17:33" x14ac:dyDescent="0.2">
      <c r="Q537" s="489"/>
      <c r="AG537" s="489"/>
    </row>
    <row r="538" spans="17:33" x14ac:dyDescent="0.2">
      <c r="Q538" s="489"/>
      <c r="AG538" s="489"/>
    </row>
    <row r="539" spans="17:33" x14ac:dyDescent="0.2">
      <c r="Q539" s="489"/>
      <c r="AG539" s="489"/>
    </row>
    <row r="540" spans="17:33" x14ac:dyDescent="0.2">
      <c r="Q540" s="489"/>
      <c r="AG540" s="489"/>
    </row>
    <row r="541" spans="17:33" x14ac:dyDescent="0.2">
      <c r="Q541" s="489"/>
      <c r="AG541" s="489"/>
    </row>
    <row r="542" spans="17:33" x14ac:dyDescent="0.2">
      <c r="Q542" s="489"/>
      <c r="AG542" s="489"/>
    </row>
    <row r="543" spans="17:33" x14ac:dyDescent="0.2">
      <c r="Q543" s="489"/>
      <c r="AG543" s="489"/>
    </row>
    <row r="544" spans="17:33" x14ac:dyDescent="0.2">
      <c r="Q544" s="489"/>
      <c r="AG544" s="489"/>
    </row>
    <row r="545" spans="17:33" x14ac:dyDescent="0.2">
      <c r="Q545" s="489"/>
      <c r="AG545" s="489"/>
    </row>
    <row r="546" spans="17:33" x14ac:dyDescent="0.2">
      <c r="Q546" s="489"/>
      <c r="AG546" s="489"/>
    </row>
    <row r="547" spans="17:33" x14ac:dyDescent="0.2">
      <c r="Q547" s="489"/>
      <c r="AG547" s="489"/>
    </row>
    <row r="548" spans="17:33" x14ac:dyDescent="0.2">
      <c r="Q548" s="489"/>
      <c r="AG548" s="489"/>
    </row>
    <row r="549" spans="17:33" x14ac:dyDescent="0.2">
      <c r="Q549" s="489"/>
      <c r="AG549" s="489"/>
    </row>
    <row r="550" spans="17:33" x14ac:dyDescent="0.2">
      <c r="Q550" s="489"/>
      <c r="AG550" s="489"/>
    </row>
    <row r="551" spans="17:33" x14ac:dyDescent="0.2">
      <c r="Q551" s="489"/>
      <c r="AG551" s="489"/>
    </row>
    <row r="552" spans="17:33" x14ac:dyDescent="0.2">
      <c r="Q552" s="489"/>
      <c r="AG552" s="489"/>
    </row>
    <row r="553" spans="17:33" x14ac:dyDescent="0.2">
      <c r="Q553" s="489"/>
      <c r="AG553" s="489"/>
    </row>
    <row r="554" spans="17:33" x14ac:dyDescent="0.2">
      <c r="Q554" s="489"/>
      <c r="AG554" s="489"/>
    </row>
    <row r="555" spans="17:33" x14ac:dyDescent="0.2">
      <c r="Q555" s="489"/>
      <c r="AG555" s="489"/>
    </row>
    <row r="556" spans="17:33" x14ac:dyDescent="0.2">
      <c r="Q556" s="489"/>
      <c r="AG556" s="489"/>
    </row>
    <row r="557" spans="17:33" x14ac:dyDescent="0.2">
      <c r="Q557" s="489"/>
      <c r="AG557" s="489"/>
    </row>
    <row r="558" spans="17:33" x14ac:dyDescent="0.2">
      <c r="Q558" s="489"/>
      <c r="AG558" s="489"/>
    </row>
    <row r="559" spans="17:33" x14ac:dyDescent="0.2">
      <c r="Q559" s="489"/>
      <c r="AG559" s="489"/>
    </row>
    <row r="560" spans="17:33" x14ac:dyDescent="0.2">
      <c r="AG560" s="489"/>
    </row>
    <row r="561" spans="33:33" x14ac:dyDescent="0.2">
      <c r="AG561" s="489"/>
    </row>
    <row r="562" spans="33:33" x14ac:dyDescent="0.2">
      <c r="AG562" s="489"/>
    </row>
    <row r="563" spans="33:33" x14ac:dyDescent="0.2">
      <c r="AG563" s="489"/>
    </row>
    <row r="564" spans="33:33" x14ac:dyDescent="0.2">
      <c r="AG564" s="489"/>
    </row>
    <row r="565" spans="33:33" x14ac:dyDescent="0.2">
      <c r="AG565" s="489"/>
    </row>
    <row r="566" spans="33:33" x14ac:dyDescent="0.2">
      <c r="AG566" s="489"/>
    </row>
    <row r="567" spans="33:33" x14ac:dyDescent="0.2">
      <c r="AG567" s="489"/>
    </row>
    <row r="568" spans="33:33" x14ac:dyDescent="0.2">
      <c r="AG568" s="489"/>
    </row>
    <row r="569" spans="33:33" x14ac:dyDescent="0.2">
      <c r="AG569" s="489"/>
    </row>
    <row r="570" spans="33:33" x14ac:dyDescent="0.2">
      <c r="AG570" s="489"/>
    </row>
    <row r="571" spans="33:33" x14ac:dyDescent="0.2">
      <c r="AG571" s="489"/>
    </row>
    <row r="572" spans="33:33" x14ac:dyDescent="0.2">
      <c r="AG572" s="489"/>
    </row>
    <row r="573" spans="33:33" x14ac:dyDescent="0.2">
      <c r="AG573" s="489"/>
    </row>
    <row r="574" spans="33:33" x14ac:dyDescent="0.2">
      <c r="AG574" s="489"/>
    </row>
    <row r="575" spans="33:33" x14ac:dyDescent="0.2">
      <c r="AG575" s="489"/>
    </row>
    <row r="576" spans="33:33" x14ac:dyDescent="0.2">
      <c r="AG576" s="489"/>
    </row>
    <row r="577" spans="33:33" x14ac:dyDescent="0.2">
      <c r="AG577" s="489"/>
    </row>
    <row r="578" spans="33:33" x14ac:dyDescent="0.2">
      <c r="AG578" s="489"/>
    </row>
    <row r="579" spans="33:33" x14ac:dyDescent="0.2">
      <c r="AG579" s="489"/>
    </row>
    <row r="580" spans="33:33" x14ac:dyDescent="0.2">
      <c r="AG580" s="489"/>
    </row>
    <row r="581" spans="33:33" x14ac:dyDescent="0.2">
      <c r="AG581" s="489"/>
    </row>
    <row r="582" spans="33:33" x14ac:dyDescent="0.2">
      <c r="AG582" s="489"/>
    </row>
    <row r="583" spans="33:33" x14ac:dyDescent="0.2">
      <c r="AG583" s="489"/>
    </row>
    <row r="584" spans="33:33" x14ac:dyDescent="0.2">
      <c r="AG584" s="489"/>
    </row>
    <row r="585" spans="33:33" x14ac:dyDescent="0.2">
      <c r="AG585" s="489"/>
    </row>
    <row r="586" spans="33:33" x14ac:dyDescent="0.2">
      <c r="AG586" s="489"/>
    </row>
    <row r="587" spans="33:33" x14ac:dyDescent="0.2">
      <c r="AG587" s="489"/>
    </row>
    <row r="588" spans="33:33" x14ac:dyDescent="0.2">
      <c r="AG588" s="489"/>
    </row>
    <row r="589" spans="33:33" x14ac:dyDescent="0.2">
      <c r="AG589" s="489"/>
    </row>
    <row r="590" spans="33:33" x14ac:dyDescent="0.2">
      <c r="AG590" s="489"/>
    </row>
    <row r="591" spans="33:33" x14ac:dyDescent="0.2">
      <c r="AG591" s="489"/>
    </row>
    <row r="592" spans="33:33" x14ac:dyDescent="0.2">
      <c r="AG592" s="489"/>
    </row>
    <row r="593" spans="33:33" x14ac:dyDescent="0.2">
      <c r="AG593" s="489"/>
    </row>
    <row r="594" spans="33:33" x14ac:dyDescent="0.2">
      <c r="AG594" s="489"/>
    </row>
    <row r="595" spans="33:33" x14ac:dyDescent="0.2">
      <c r="AG595" s="489"/>
    </row>
    <row r="596" spans="33:33" x14ac:dyDescent="0.2">
      <c r="AG596" s="489"/>
    </row>
    <row r="597" spans="33:33" x14ac:dyDescent="0.2">
      <c r="AG597" s="489"/>
    </row>
    <row r="598" spans="33:33" x14ac:dyDescent="0.2">
      <c r="AG598" s="489"/>
    </row>
    <row r="599" spans="33:33" x14ac:dyDescent="0.2">
      <c r="AG599" s="489"/>
    </row>
    <row r="600" spans="33:33" x14ac:dyDescent="0.2">
      <c r="AG600" s="489"/>
    </row>
    <row r="601" spans="33:33" x14ac:dyDescent="0.2">
      <c r="AG601" s="489"/>
    </row>
    <row r="602" spans="33:33" x14ac:dyDescent="0.2">
      <c r="AG602" s="489"/>
    </row>
    <row r="603" spans="33:33" x14ac:dyDescent="0.2">
      <c r="AG603" s="489"/>
    </row>
    <row r="604" spans="33:33" x14ac:dyDescent="0.2">
      <c r="AG604" s="489"/>
    </row>
    <row r="605" spans="33:33" x14ac:dyDescent="0.2">
      <c r="AG605" s="489"/>
    </row>
    <row r="606" spans="33:33" x14ac:dyDescent="0.2">
      <c r="AG606" s="489"/>
    </row>
    <row r="607" spans="33:33" x14ac:dyDescent="0.2">
      <c r="AG607" s="489"/>
    </row>
    <row r="608" spans="33:33" x14ac:dyDescent="0.2">
      <c r="AG608" s="489"/>
    </row>
    <row r="609" spans="33:33" x14ac:dyDescent="0.2">
      <c r="AG609" s="489"/>
    </row>
    <row r="610" spans="33:33" x14ac:dyDescent="0.2">
      <c r="AG610" s="489"/>
    </row>
    <row r="611" spans="33:33" x14ac:dyDescent="0.2">
      <c r="AG611" s="489"/>
    </row>
    <row r="612" spans="33:33" x14ac:dyDescent="0.2">
      <c r="AG612" s="489"/>
    </row>
    <row r="613" spans="33:33" x14ac:dyDescent="0.2">
      <c r="AG613" s="489"/>
    </row>
    <row r="614" spans="33:33" x14ac:dyDescent="0.2">
      <c r="AG614" s="489"/>
    </row>
    <row r="615" spans="33:33" x14ac:dyDescent="0.2">
      <c r="AG615" s="489"/>
    </row>
    <row r="616" spans="33:33" x14ac:dyDescent="0.2">
      <c r="AG616" s="489"/>
    </row>
    <row r="617" spans="33:33" x14ac:dyDescent="0.2">
      <c r="AG617" s="489"/>
    </row>
    <row r="618" spans="33:33" x14ac:dyDescent="0.2">
      <c r="AG618" s="489"/>
    </row>
    <row r="619" spans="33:33" x14ac:dyDescent="0.2">
      <c r="AG619" s="489"/>
    </row>
    <row r="620" spans="33:33" x14ac:dyDescent="0.2">
      <c r="AG620" s="489"/>
    </row>
    <row r="621" spans="33:33" x14ac:dyDescent="0.2">
      <c r="AG621" s="489"/>
    </row>
    <row r="622" spans="33:33" x14ac:dyDescent="0.2">
      <c r="AG622" s="489"/>
    </row>
    <row r="623" spans="33:33" x14ac:dyDescent="0.2">
      <c r="AG623" s="489"/>
    </row>
    <row r="624" spans="33:33" x14ac:dyDescent="0.2">
      <c r="AG624" s="489"/>
    </row>
    <row r="625" spans="33:33" x14ac:dyDescent="0.2">
      <c r="AG625" s="489"/>
    </row>
    <row r="626" spans="33:33" x14ac:dyDescent="0.2">
      <c r="AG626" s="489"/>
    </row>
    <row r="627" spans="33:33" x14ac:dyDescent="0.2">
      <c r="AG627" s="489"/>
    </row>
    <row r="628" spans="33:33" x14ac:dyDescent="0.2">
      <c r="AG628" s="489"/>
    </row>
    <row r="629" spans="33:33" x14ac:dyDescent="0.2">
      <c r="AG629" s="489"/>
    </row>
    <row r="630" spans="33:33" x14ac:dyDescent="0.2">
      <c r="AG630" s="489"/>
    </row>
    <row r="631" spans="33:33" x14ac:dyDescent="0.2">
      <c r="AG631" s="489"/>
    </row>
    <row r="632" spans="33:33" x14ac:dyDescent="0.2">
      <c r="AG632" s="489"/>
    </row>
    <row r="633" spans="33:33" x14ac:dyDescent="0.2">
      <c r="AG633" s="489"/>
    </row>
    <row r="634" spans="33:33" x14ac:dyDescent="0.2">
      <c r="AG634" s="489"/>
    </row>
    <row r="635" spans="33:33" x14ac:dyDescent="0.2">
      <c r="AG635" s="489"/>
    </row>
    <row r="636" spans="33:33" x14ac:dyDescent="0.2">
      <c r="AG636" s="489"/>
    </row>
    <row r="637" spans="33:33" x14ac:dyDescent="0.2">
      <c r="AG637" s="489"/>
    </row>
    <row r="638" spans="33:33" x14ac:dyDescent="0.2">
      <c r="AG638" s="489"/>
    </row>
    <row r="639" spans="33:33" x14ac:dyDescent="0.2">
      <c r="AG639" s="489"/>
    </row>
    <row r="640" spans="33:33" x14ac:dyDescent="0.2">
      <c r="AG640" s="489"/>
    </row>
    <row r="641" spans="33:33" x14ac:dyDescent="0.2">
      <c r="AG641" s="489"/>
    </row>
    <row r="642" spans="33:33" x14ac:dyDescent="0.2">
      <c r="AG642" s="489"/>
    </row>
    <row r="643" spans="33:33" x14ac:dyDescent="0.2">
      <c r="AG643" s="489"/>
    </row>
    <row r="644" spans="33:33" x14ac:dyDescent="0.2">
      <c r="AG644" s="489"/>
    </row>
    <row r="645" spans="33:33" x14ac:dyDescent="0.2">
      <c r="AG645" s="489"/>
    </row>
    <row r="646" spans="33:33" x14ac:dyDescent="0.2">
      <c r="AG646" s="489"/>
    </row>
    <row r="647" spans="33:33" x14ac:dyDescent="0.2">
      <c r="AG647" s="489"/>
    </row>
    <row r="648" spans="33:33" x14ac:dyDescent="0.2">
      <c r="AG648" s="489"/>
    </row>
    <row r="649" spans="33:33" x14ac:dyDescent="0.2">
      <c r="AG649" s="489"/>
    </row>
    <row r="650" spans="33:33" x14ac:dyDescent="0.2">
      <c r="AG650" s="489"/>
    </row>
    <row r="651" spans="33:33" x14ac:dyDescent="0.2">
      <c r="AG651" s="489"/>
    </row>
    <row r="652" spans="33:33" x14ac:dyDescent="0.2">
      <c r="AG652" s="489"/>
    </row>
    <row r="653" spans="33:33" x14ac:dyDescent="0.2">
      <c r="AG653" s="489"/>
    </row>
    <row r="654" spans="33:33" x14ac:dyDescent="0.2">
      <c r="AG654" s="489"/>
    </row>
    <row r="655" spans="33:33" x14ac:dyDescent="0.2">
      <c r="AG655" s="489"/>
    </row>
    <row r="656" spans="33:33" x14ac:dyDescent="0.2">
      <c r="AG656" s="489"/>
    </row>
    <row r="657" spans="33:33" x14ac:dyDescent="0.2">
      <c r="AG657" s="489"/>
    </row>
    <row r="658" spans="33:33" x14ac:dyDescent="0.2">
      <c r="AG658" s="489"/>
    </row>
    <row r="659" spans="33:33" x14ac:dyDescent="0.2">
      <c r="AG659" s="489"/>
    </row>
    <row r="660" spans="33:33" x14ac:dyDescent="0.2">
      <c r="AG660" s="489"/>
    </row>
    <row r="661" spans="33:33" x14ac:dyDescent="0.2">
      <c r="AG661" s="489"/>
    </row>
    <row r="662" spans="33:33" x14ac:dyDescent="0.2">
      <c r="AG662" s="489"/>
    </row>
    <row r="663" spans="33:33" x14ac:dyDescent="0.2">
      <c r="AG663" s="489"/>
    </row>
    <row r="664" spans="33:33" x14ac:dyDescent="0.2">
      <c r="AG664" s="489"/>
    </row>
    <row r="665" spans="33:33" x14ac:dyDescent="0.2">
      <c r="AG665" s="489"/>
    </row>
    <row r="666" spans="33:33" x14ac:dyDescent="0.2">
      <c r="AG666" s="489"/>
    </row>
    <row r="667" spans="33:33" x14ac:dyDescent="0.2">
      <c r="AG667" s="489"/>
    </row>
    <row r="668" spans="33:33" x14ac:dyDescent="0.2">
      <c r="AG668" s="489"/>
    </row>
    <row r="669" spans="33:33" x14ac:dyDescent="0.2">
      <c r="AG669" s="489"/>
    </row>
    <row r="670" spans="33:33" x14ac:dyDescent="0.2">
      <c r="AG670" s="489"/>
    </row>
    <row r="671" spans="33:33" x14ac:dyDescent="0.2">
      <c r="AG671" s="489"/>
    </row>
    <row r="672" spans="33:33" x14ac:dyDescent="0.2">
      <c r="AG672" s="489"/>
    </row>
    <row r="673" spans="33:33" x14ac:dyDescent="0.2">
      <c r="AG673" s="489"/>
    </row>
    <row r="674" spans="33:33" x14ac:dyDescent="0.2">
      <c r="AG674" s="489"/>
    </row>
    <row r="675" spans="33:33" x14ac:dyDescent="0.2">
      <c r="AG675" s="489"/>
    </row>
    <row r="676" spans="33:33" x14ac:dyDescent="0.2">
      <c r="AG676" s="489"/>
    </row>
    <row r="677" spans="33:33" x14ac:dyDescent="0.2">
      <c r="AG677" s="489"/>
    </row>
    <row r="678" spans="33:33" x14ac:dyDescent="0.2">
      <c r="AG678" s="489"/>
    </row>
    <row r="679" spans="33:33" x14ac:dyDescent="0.2">
      <c r="AG679" s="489"/>
    </row>
    <row r="680" spans="33:33" x14ac:dyDescent="0.2">
      <c r="AG680" s="489"/>
    </row>
    <row r="681" spans="33:33" x14ac:dyDescent="0.2">
      <c r="AG681" s="489"/>
    </row>
    <row r="682" spans="33:33" x14ac:dyDescent="0.2">
      <c r="AG682" s="489"/>
    </row>
    <row r="683" spans="33:33" x14ac:dyDescent="0.2">
      <c r="AG683" s="489"/>
    </row>
    <row r="684" spans="33:33" x14ac:dyDescent="0.2">
      <c r="AG684" s="489"/>
    </row>
    <row r="685" spans="33:33" x14ac:dyDescent="0.2">
      <c r="AG685" s="489"/>
    </row>
    <row r="686" spans="33:33" x14ac:dyDescent="0.2">
      <c r="AG686" s="489"/>
    </row>
    <row r="687" spans="33:33" x14ac:dyDescent="0.2">
      <c r="AG687" s="489"/>
    </row>
    <row r="688" spans="33:33" x14ac:dyDescent="0.2">
      <c r="AG688" s="489"/>
    </row>
    <row r="689" spans="33:33" x14ac:dyDescent="0.2">
      <c r="AG689" s="489"/>
    </row>
    <row r="690" spans="33:33" x14ac:dyDescent="0.2">
      <c r="AG690" s="489"/>
    </row>
    <row r="691" spans="33:33" x14ac:dyDescent="0.2">
      <c r="AG691" s="489"/>
    </row>
    <row r="692" spans="33:33" x14ac:dyDescent="0.2">
      <c r="AG692" s="489"/>
    </row>
    <row r="693" spans="33:33" x14ac:dyDescent="0.2">
      <c r="AG693" s="489"/>
    </row>
    <row r="694" spans="33:33" x14ac:dyDescent="0.2">
      <c r="AG694" s="489"/>
    </row>
    <row r="695" spans="33:33" x14ac:dyDescent="0.2">
      <c r="AG695" s="489"/>
    </row>
    <row r="696" spans="33:33" x14ac:dyDescent="0.2">
      <c r="AG696" s="489"/>
    </row>
    <row r="697" spans="33:33" x14ac:dyDescent="0.2">
      <c r="AG697" s="489"/>
    </row>
    <row r="698" spans="33:33" x14ac:dyDescent="0.2">
      <c r="AG698" s="489"/>
    </row>
    <row r="699" spans="33:33" x14ac:dyDescent="0.2">
      <c r="AG699" s="489"/>
    </row>
    <row r="700" spans="33:33" x14ac:dyDescent="0.2">
      <c r="AG700" s="489"/>
    </row>
    <row r="701" spans="33:33" x14ac:dyDescent="0.2">
      <c r="AG701" s="489"/>
    </row>
    <row r="702" spans="33:33" x14ac:dyDescent="0.2">
      <c r="AG702" s="489"/>
    </row>
    <row r="703" spans="33:33" x14ac:dyDescent="0.2">
      <c r="AG703" s="489"/>
    </row>
    <row r="704" spans="33:33" x14ac:dyDescent="0.2">
      <c r="AG704" s="489"/>
    </row>
    <row r="705" spans="33:33" x14ac:dyDescent="0.2">
      <c r="AG705" s="489"/>
    </row>
    <row r="706" spans="33:33" x14ac:dyDescent="0.2">
      <c r="AG706" s="489"/>
    </row>
    <row r="707" spans="33:33" x14ac:dyDescent="0.2">
      <c r="AG707" s="489"/>
    </row>
    <row r="708" spans="33:33" x14ac:dyDescent="0.2">
      <c r="AG708" s="489"/>
    </row>
    <row r="709" spans="33:33" x14ac:dyDescent="0.2">
      <c r="AG709" s="489"/>
    </row>
    <row r="710" spans="33:33" x14ac:dyDescent="0.2">
      <c r="AG710" s="489"/>
    </row>
    <row r="711" spans="33:33" x14ac:dyDescent="0.2">
      <c r="AG711" s="489"/>
    </row>
    <row r="712" spans="33:33" x14ac:dyDescent="0.2">
      <c r="AG712" s="489"/>
    </row>
    <row r="713" spans="33:33" x14ac:dyDescent="0.2">
      <c r="AG713" s="489"/>
    </row>
    <row r="714" spans="33:33" x14ac:dyDescent="0.2">
      <c r="AG714" s="489"/>
    </row>
    <row r="715" spans="33:33" x14ac:dyDescent="0.2">
      <c r="AG715" s="489"/>
    </row>
    <row r="716" spans="33:33" x14ac:dyDescent="0.2">
      <c r="AG716" s="489"/>
    </row>
    <row r="717" spans="33:33" x14ac:dyDescent="0.2">
      <c r="AG717" s="489"/>
    </row>
    <row r="718" spans="33:33" x14ac:dyDescent="0.2">
      <c r="AG718" s="489"/>
    </row>
    <row r="719" spans="33:33" x14ac:dyDescent="0.2">
      <c r="AG719" s="489"/>
    </row>
    <row r="720" spans="33:33" x14ac:dyDescent="0.2">
      <c r="AG720" s="489"/>
    </row>
    <row r="721" spans="33:33" x14ac:dyDescent="0.2">
      <c r="AG721" s="489"/>
    </row>
    <row r="722" spans="33:33" x14ac:dyDescent="0.2">
      <c r="AG722" s="489"/>
    </row>
    <row r="723" spans="33:33" x14ac:dyDescent="0.2">
      <c r="AG723" s="489"/>
    </row>
    <row r="724" spans="33:33" x14ac:dyDescent="0.2">
      <c r="AG724" s="489"/>
    </row>
    <row r="725" spans="33:33" x14ac:dyDescent="0.2">
      <c r="AG725" s="489"/>
    </row>
    <row r="726" spans="33:33" x14ac:dyDescent="0.2">
      <c r="AG726" s="489"/>
    </row>
    <row r="727" spans="33:33" x14ac:dyDescent="0.2">
      <c r="AG727" s="489"/>
    </row>
    <row r="728" spans="33:33" x14ac:dyDescent="0.2">
      <c r="AG728" s="489"/>
    </row>
    <row r="729" spans="33:33" x14ac:dyDescent="0.2">
      <c r="AG729" s="489"/>
    </row>
    <row r="730" spans="33:33" x14ac:dyDescent="0.2">
      <c r="AG730" s="489"/>
    </row>
    <row r="731" spans="33:33" x14ac:dyDescent="0.2">
      <c r="AG731" s="489"/>
    </row>
    <row r="732" spans="33:33" x14ac:dyDescent="0.2">
      <c r="AG732" s="489"/>
    </row>
    <row r="733" spans="33:33" x14ac:dyDescent="0.2">
      <c r="AG733" s="489"/>
    </row>
    <row r="734" spans="33:33" x14ac:dyDescent="0.2">
      <c r="AG734" s="489"/>
    </row>
    <row r="735" spans="33:33" x14ac:dyDescent="0.2">
      <c r="AG735" s="489"/>
    </row>
    <row r="736" spans="33:33" x14ac:dyDescent="0.2">
      <c r="AG736" s="489"/>
    </row>
    <row r="737" spans="33:33" x14ac:dyDescent="0.2">
      <c r="AG737" s="489"/>
    </row>
    <row r="738" spans="33:33" x14ac:dyDescent="0.2">
      <c r="AG738" s="489"/>
    </row>
    <row r="739" spans="33:33" x14ac:dyDescent="0.2">
      <c r="AG739" s="489"/>
    </row>
    <row r="740" spans="33:33" x14ac:dyDescent="0.2">
      <c r="AG740" s="489"/>
    </row>
    <row r="741" spans="33:33" x14ac:dyDescent="0.2">
      <c r="AG741" s="489"/>
    </row>
    <row r="742" spans="33:33" x14ac:dyDescent="0.2">
      <c r="AG742" s="489"/>
    </row>
    <row r="743" spans="33:33" x14ac:dyDescent="0.2">
      <c r="AG743" s="489"/>
    </row>
    <row r="744" spans="33:33" x14ac:dyDescent="0.2">
      <c r="AG744" s="489"/>
    </row>
    <row r="745" spans="33:33" x14ac:dyDescent="0.2">
      <c r="AG745" s="489"/>
    </row>
    <row r="746" spans="33:33" x14ac:dyDescent="0.2">
      <c r="AG746" s="489"/>
    </row>
    <row r="747" spans="33:33" x14ac:dyDescent="0.2">
      <c r="AG747" s="489"/>
    </row>
    <row r="748" spans="33:33" x14ac:dyDescent="0.2">
      <c r="AG748" s="489"/>
    </row>
    <row r="749" spans="33:33" x14ac:dyDescent="0.2">
      <c r="AG749" s="489"/>
    </row>
    <row r="750" spans="33:33" x14ac:dyDescent="0.2">
      <c r="AG750" s="489"/>
    </row>
    <row r="751" spans="33:33" x14ac:dyDescent="0.2">
      <c r="AG751" s="489"/>
    </row>
    <row r="752" spans="33:33" x14ac:dyDescent="0.2">
      <c r="AG752" s="489"/>
    </row>
    <row r="753" spans="33:33" x14ac:dyDescent="0.2">
      <c r="AG753" s="489"/>
    </row>
    <row r="754" spans="33:33" x14ac:dyDescent="0.2">
      <c r="AG754" s="489"/>
    </row>
    <row r="755" spans="33:33" x14ac:dyDescent="0.2">
      <c r="AG755" s="489"/>
    </row>
    <row r="756" spans="33:33" x14ac:dyDescent="0.2">
      <c r="AG756" s="489"/>
    </row>
    <row r="757" spans="33:33" x14ac:dyDescent="0.2">
      <c r="AG757" s="489"/>
    </row>
    <row r="758" spans="33:33" x14ac:dyDescent="0.2">
      <c r="AG758" s="489"/>
    </row>
    <row r="759" spans="33:33" x14ac:dyDescent="0.2">
      <c r="AG759" s="489"/>
    </row>
    <row r="760" spans="33:33" x14ac:dyDescent="0.2">
      <c r="AG760" s="489"/>
    </row>
    <row r="761" spans="33:33" x14ac:dyDescent="0.2">
      <c r="AG761" s="489"/>
    </row>
    <row r="762" spans="33:33" x14ac:dyDescent="0.2">
      <c r="AG762" s="489"/>
    </row>
    <row r="763" spans="33:33" x14ac:dyDescent="0.2">
      <c r="AG763" s="489"/>
    </row>
    <row r="764" spans="33:33" x14ac:dyDescent="0.2">
      <c r="AG764" s="489"/>
    </row>
    <row r="765" spans="33:33" x14ac:dyDescent="0.2">
      <c r="AG765" s="489"/>
    </row>
    <row r="766" spans="33:33" x14ac:dyDescent="0.2">
      <c r="AG766" s="489"/>
    </row>
    <row r="767" spans="33:33" x14ac:dyDescent="0.2">
      <c r="AG767" s="489"/>
    </row>
    <row r="768" spans="33:33" x14ac:dyDescent="0.2">
      <c r="AG768" s="489"/>
    </row>
    <row r="769" spans="33:33" x14ac:dyDescent="0.2">
      <c r="AG769" s="489"/>
    </row>
    <row r="770" spans="33:33" x14ac:dyDescent="0.2">
      <c r="AG770" s="489"/>
    </row>
    <row r="771" spans="33:33" x14ac:dyDescent="0.2">
      <c r="AG771" s="489"/>
    </row>
    <row r="772" spans="33:33" x14ac:dyDescent="0.2">
      <c r="AG772" s="489"/>
    </row>
    <row r="773" spans="33:33" x14ac:dyDescent="0.2">
      <c r="AG773" s="489"/>
    </row>
    <row r="774" spans="33:33" x14ac:dyDescent="0.2">
      <c r="AG774" s="489"/>
    </row>
    <row r="775" spans="33:33" x14ac:dyDescent="0.2">
      <c r="AG775" s="489"/>
    </row>
    <row r="776" spans="33:33" x14ac:dyDescent="0.2">
      <c r="AG776" s="489"/>
    </row>
    <row r="777" spans="33:33" x14ac:dyDescent="0.2">
      <c r="AG777" s="489"/>
    </row>
    <row r="778" spans="33:33" x14ac:dyDescent="0.2">
      <c r="AG778" s="489"/>
    </row>
    <row r="779" spans="33:33" x14ac:dyDescent="0.2">
      <c r="AG779" s="489"/>
    </row>
    <row r="780" spans="33:33" x14ac:dyDescent="0.2">
      <c r="AG780" s="489"/>
    </row>
    <row r="781" spans="33:33" x14ac:dyDescent="0.2">
      <c r="AG781" s="489"/>
    </row>
    <row r="782" spans="33:33" x14ac:dyDescent="0.2">
      <c r="AG782" s="489"/>
    </row>
    <row r="783" spans="33:33" x14ac:dyDescent="0.2">
      <c r="AG783" s="489"/>
    </row>
    <row r="784" spans="33:33" x14ac:dyDescent="0.2">
      <c r="AG784" s="489"/>
    </row>
    <row r="785" spans="33:33" x14ac:dyDescent="0.2">
      <c r="AG785" s="489"/>
    </row>
    <row r="786" spans="33:33" x14ac:dyDescent="0.2">
      <c r="AG786" s="489"/>
    </row>
    <row r="787" spans="33:33" x14ac:dyDescent="0.2">
      <c r="AG787" s="489"/>
    </row>
    <row r="788" spans="33:33" x14ac:dyDescent="0.2">
      <c r="AG788" s="489"/>
    </row>
    <row r="789" spans="33:33" x14ac:dyDescent="0.2">
      <c r="AG789" s="489"/>
    </row>
    <row r="790" spans="33:33" x14ac:dyDescent="0.2">
      <c r="AG790" s="489"/>
    </row>
    <row r="791" spans="33:33" x14ac:dyDescent="0.2">
      <c r="AG791" s="489"/>
    </row>
    <row r="792" spans="33:33" x14ac:dyDescent="0.2">
      <c r="AG792" s="489"/>
    </row>
    <row r="793" spans="33:33" x14ac:dyDescent="0.2">
      <c r="AG793" s="489"/>
    </row>
    <row r="794" spans="33:33" x14ac:dyDescent="0.2">
      <c r="AG794" s="489"/>
    </row>
    <row r="795" spans="33:33" x14ac:dyDescent="0.2">
      <c r="AG795" s="489"/>
    </row>
    <row r="796" spans="33:33" x14ac:dyDescent="0.2">
      <c r="AG796" s="489"/>
    </row>
    <row r="797" spans="33:33" x14ac:dyDescent="0.2">
      <c r="AG797" s="489"/>
    </row>
    <row r="798" spans="33:33" x14ac:dyDescent="0.2">
      <c r="AG798" s="489"/>
    </row>
    <row r="799" spans="33:33" x14ac:dyDescent="0.2">
      <c r="AG799" s="489"/>
    </row>
    <row r="800" spans="33:33" x14ac:dyDescent="0.2">
      <c r="AG800" s="489"/>
    </row>
    <row r="801" spans="33:33" x14ac:dyDescent="0.2">
      <c r="AG801" s="489"/>
    </row>
    <row r="802" spans="33:33" x14ac:dyDescent="0.2">
      <c r="AG802" s="489"/>
    </row>
    <row r="803" spans="33:33" x14ac:dyDescent="0.2">
      <c r="AG803" s="489"/>
    </row>
    <row r="804" spans="33:33" x14ac:dyDescent="0.2">
      <c r="AG804" s="489"/>
    </row>
    <row r="805" spans="33:33" x14ac:dyDescent="0.2">
      <c r="AG805" s="489"/>
    </row>
    <row r="806" spans="33:33" x14ac:dyDescent="0.2">
      <c r="AG806" s="489"/>
    </row>
    <row r="807" spans="33:33" x14ac:dyDescent="0.2">
      <c r="AG807" s="489"/>
    </row>
    <row r="808" spans="33:33" x14ac:dyDescent="0.2">
      <c r="AG808" s="489"/>
    </row>
    <row r="809" spans="33:33" x14ac:dyDescent="0.2">
      <c r="AG809" s="489"/>
    </row>
    <row r="810" spans="33:33" x14ac:dyDescent="0.2">
      <c r="AG810" s="489"/>
    </row>
    <row r="811" spans="33:33" x14ac:dyDescent="0.2">
      <c r="AG811" s="489"/>
    </row>
    <row r="812" spans="33:33" x14ac:dyDescent="0.2">
      <c r="AG812" s="489"/>
    </row>
    <row r="813" spans="33:33" x14ac:dyDescent="0.2">
      <c r="AG813" s="489"/>
    </row>
    <row r="814" spans="33:33" x14ac:dyDescent="0.2">
      <c r="AG814" s="489"/>
    </row>
    <row r="815" spans="33:33" x14ac:dyDescent="0.2">
      <c r="AG815" s="489"/>
    </row>
    <row r="816" spans="33:33" x14ac:dyDescent="0.2">
      <c r="AG816" s="489"/>
    </row>
    <row r="817" spans="33:33" x14ac:dyDescent="0.2">
      <c r="AG817" s="489"/>
    </row>
    <row r="818" spans="33:33" x14ac:dyDescent="0.2">
      <c r="AG818" s="489"/>
    </row>
    <row r="819" spans="33:33" x14ac:dyDescent="0.2">
      <c r="AG819" s="489"/>
    </row>
    <row r="820" spans="33:33" x14ac:dyDescent="0.2">
      <c r="AG820" s="489"/>
    </row>
    <row r="821" spans="33:33" x14ac:dyDescent="0.2">
      <c r="AG821" s="489"/>
    </row>
    <row r="822" spans="33:33" x14ac:dyDescent="0.2">
      <c r="AG822" s="489"/>
    </row>
    <row r="823" spans="33:33" x14ac:dyDescent="0.2">
      <c r="AG823" s="489"/>
    </row>
    <row r="824" spans="33:33" x14ac:dyDescent="0.2">
      <c r="AG824" s="489"/>
    </row>
    <row r="825" spans="33:33" x14ac:dyDescent="0.2">
      <c r="AG825" s="489"/>
    </row>
    <row r="826" spans="33:33" x14ac:dyDescent="0.2">
      <c r="AG826" s="489"/>
    </row>
    <row r="827" spans="33:33" x14ac:dyDescent="0.2">
      <c r="AG827" s="489"/>
    </row>
    <row r="828" spans="33:33" x14ac:dyDescent="0.2">
      <c r="AG828" s="489"/>
    </row>
    <row r="829" spans="33:33" x14ac:dyDescent="0.2">
      <c r="AG829" s="489"/>
    </row>
    <row r="830" spans="33:33" x14ac:dyDescent="0.2">
      <c r="AG830" s="489"/>
    </row>
    <row r="831" spans="33:33" x14ac:dyDescent="0.2">
      <c r="AG831" s="489"/>
    </row>
    <row r="832" spans="33:33" x14ac:dyDescent="0.2">
      <c r="AG832" s="489"/>
    </row>
    <row r="833" spans="33:33" x14ac:dyDescent="0.2">
      <c r="AG833" s="489"/>
    </row>
    <row r="834" spans="33:33" x14ac:dyDescent="0.2">
      <c r="AG834" s="489"/>
    </row>
    <row r="835" spans="33:33" x14ac:dyDescent="0.2">
      <c r="AG835" s="489"/>
    </row>
    <row r="836" spans="33:33" x14ac:dyDescent="0.2">
      <c r="AG836" s="489"/>
    </row>
    <row r="837" spans="33:33" x14ac:dyDescent="0.2">
      <c r="AG837" s="489"/>
    </row>
    <row r="838" spans="33:33" x14ac:dyDescent="0.2">
      <c r="AG838" s="489"/>
    </row>
    <row r="839" spans="33:33" x14ac:dyDescent="0.2">
      <c r="AG839" s="489"/>
    </row>
    <row r="840" spans="33:33" x14ac:dyDescent="0.2">
      <c r="AG840" s="489"/>
    </row>
    <row r="841" spans="33:33" x14ac:dyDescent="0.2">
      <c r="AG841" s="489"/>
    </row>
    <row r="842" spans="33:33" x14ac:dyDescent="0.2">
      <c r="AG842" s="489"/>
    </row>
    <row r="843" spans="33:33" x14ac:dyDescent="0.2">
      <c r="AG843" s="489"/>
    </row>
    <row r="844" spans="33:33" x14ac:dyDescent="0.2">
      <c r="AG844" s="489"/>
    </row>
    <row r="845" spans="33:33" x14ac:dyDescent="0.2">
      <c r="AG845" s="489"/>
    </row>
    <row r="846" spans="33:33" x14ac:dyDescent="0.2">
      <c r="AG846" s="489"/>
    </row>
    <row r="847" spans="33:33" x14ac:dyDescent="0.2">
      <c r="AG847" s="489"/>
    </row>
    <row r="848" spans="33:33" x14ac:dyDescent="0.2">
      <c r="AG848" s="489"/>
    </row>
    <row r="849" spans="33:33" x14ac:dyDescent="0.2">
      <c r="AG849" s="489"/>
    </row>
    <row r="850" spans="33:33" x14ac:dyDescent="0.2">
      <c r="AG850" s="489"/>
    </row>
    <row r="851" spans="33:33" x14ac:dyDescent="0.2">
      <c r="AG851" s="489"/>
    </row>
    <row r="852" spans="33:33" x14ac:dyDescent="0.2">
      <c r="AG852" s="489"/>
    </row>
    <row r="853" spans="33:33" x14ac:dyDescent="0.2">
      <c r="AG853" s="489"/>
    </row>
    <row r="854" spans="33:33" x14ac:dyDescent="0.2">
      <c r="AG854" s="489"/>
    </row>
    <row r="855" spans="33:33" x14ac:dyDescent="0.2">
      <c r="AG855" s="489"/>
    </row>
    <row r="856" spans="33:33" x14ac:dyDescent="0.2">
      <c r="AG856" s="489"/>
    </row>
    <row r="857" spans="33:33" x14ac:dyDescent="0.2">
      <c r="AG857" s="489"/>
    </row>
    <row r="858" spans="33:33" x14ac:dyDescent="0.2">
      <c r="AG858" s="489"/>
    </row>
    <row r="859" spans="33:33" x14ac:dyDescent="0.2">
      <c r="AG859" s="489"/>
    </row>
    <row r="860" spans="33:33" x14ac:dyDescent="0.2">
      <c r="AG860" s="489"/>
    </row>
    <row r="861" spans="33:33" x14ac:dyDescent="0.2">
      <c r="AG861" s="489"/>
    </row>
    <row r="862" spans="33:33" x14ac:dyDescent="0.2">
      <c r="AG862" s="489"/>
    </row>
    <row r="863" spans="33:33" x14ac:dyDescent="0.2">
      <c r="AG863" s="489"/>
    </row>
    <row r="864" spans="33:33" x14ac:dyDescent="0.2">
      <c r="AG864" s="489"/>
    </row>
    <row r="865" spans="33:33" x14ac:dyDescent="0.2">
      <c r="AG865" s="489"/>
    </row>
    <row r="866" spans="33:33" x14ac:dyDescent="0.2">
      <c r="AG866" s="489"/>
    </row>
    <row r="867" spans="33:33" x14ac:dyDescent="0.2">
      <c r="AG867" s="489"/>
    </row>
    <row r="868" spans="33:33" x14ac:dyDescent="0.2">
      <c r="AG868" s="489"/>
    </row>
    <row r="869" spans="33:33" x14ac:dyDescent="0.2">
      <c r="AG869" s="489"/>
    </row>
    <row r="870" spans="33:33" x14ac:dyDescent="0.2">
      <c r="AG870" s="489"/>
    </row>
    <row r="871" spans="33:33" x14ac:dyDescent="0.2">
      <c r="AG871" s="489"/>
    </row>
    <row r="872" spans="33:33" x14ac:dyDescent="0.2">
      <c r="AG872" s="489"/>
    </row>
    <row r="873" spans="33:33" x14ac:dyDescent="0.2">
      <c r="AG873" s="489"/>
    </row>
    <row r="874" spans="33:33" x14ac:dyDescent="0.2">
      <c r="AG874" s="489"/>
    </row>
    <row r="875" spans="33:33" x14ac:dyDescent="0.2">
      <c r="AG875" s="489"/>
    </row>
    <row r="876" spans="33:33" x14ac:dyDescent="0.2">
      <c r="AG876" s="489"/>
    </row>
    <row r="877" spans="33:33" x14ac:dyDescent="0.2">
      <c r="AG877" s="489"/>
    </row>
    <row r="878" spans="33:33" x14ac:dyDescent="0.2">
      <c r="AG878" s="489"/>
    </row>
    <row r="879" spans="33:33" x14ac:dyDescent="0.2">
      <c r="AG879" s="489"/>
    </row>
    <row r="880" spans="33:33" x14ac:dyDescent="0.2">
      <c r="AG880" s="489"/>
    </row>
    <row r="881" spans="33:33" x14ac:dyDescent="0.2">
      <c r="AG881" s="489"/>
    </row>
    <row r="882" spans="33:33" x14ac:dyDescent="0.2">
      <c r="AG882" s="489"/>
    </row>
    <row r="883" spans="33:33" x14ac:dyDescent="0.2">
      <c r="AG883" s="489"/>
    </row>
    <row r="884" spans="33:33" x14ac:dyDescent="0.2">
      <c r="AG884" s="489"/>
    </row>
    <row r="885" spans="33:33" x14ac:dyDescent="0.2">
      <c r="AG885" s="489"/>
    </row>
    <row r="886" spans="33:33" x14ac:dyDescent="0.2">
      <c r="AG886" s="489"/>
    </row>
    <row r="887" spans="33:33" x14ac:dyDescent="0.2">
      <c r="AG887" s="489"/>
    </row>
    <row r="888" spans="33:33" x14ac:dyDescent="0.2">
      <c r="AG888" s="489"/>
    </row>
    <row r="889" spans="33:33" x14ac:dyDescent="0.2">
      <c r="AG889" s="489"/>
    </row>
    <row r="890" spans="33:33" x14ac:dyDescent="0.2">
      <c r="AG890" s="489"/>
    </row>
    <row r="891" spans="33:33" x14ac:dyDescent="0.2">
      <c r="AG891" s="489"/>
    </row>
    <row r="892" spans="33:33" x14ac:dyDescent="0.2">
      <c r="AG892" s="489"/>
    </row>
    <row r="893" spans="33:33" x14ac:dyDescent="0.2">
      <c r="AG893" s="489"/>
    </row>
    <row r="894" spans="33:33" x14ac:dyDescent="0.2">
      <c r="AG894" s="489"/>
    </row>
    <row r="895" spans="33:33" x14ac:dyDescent="0.2">
      <c r="AG895" s="489"/>
    </row>
    <row r="896" spans="33:33" x14ac:dyDescent="0.2">
      <c r="AG896" s="489"/>
    </row>
    <row r="897" spans="33:33" x14ac:dyDescent="0.2">
      <c r="AG897" s="489"/>
    </row>
    <row r="898" spans="33:33" x14ac:dyDescent="0.2">
      <c r="AG898" s="489"/>
    </row>
    <row r="899" spans="33:33" x14ac:dyDescent="0.2">
      <c r="AG899" s="489"/>
    </row>
    <row r="900" spans="33:33" x14ac:dyDescent="0.2">
      <c r="AG900" s="489"/>
    </row>
    <row r="901" spans="33:33" x14ac:dyDescent="0.2">
      <c r="AG901" s="489"/>
    </row>
    <row r="902" spans="33:33" x14ac:dyDescent="0.2">
      <c r="AG902" s="489"/>
    </row>
    <row r="903" spans="33:33" x14ac:dyDescent="0.2">
      <c r="AG903" s="489"/>
    </row>
    <row r="904" spans="33:33" x14ac:dyDescent="0.2">
      <c r="AG904" s="489"/>
    </row>
    <row r="905" spans="33:33" x14ac:dyDescent="0.2">
      <c r="AG905" s="489"/>
    </row>
    <row r="906" spans="33:33" x14ac:dyDescent="0.2">
      <c r="AG906" s="489"/>
    </row>
    <row r="907" spans="33:33" x14ac:dyDescent="0.2">
      <c r="AG907" s="489"/>
    </row>
    <row r="908" spans="33:33" x14ac:dyDescent="0.2">
      <c r="AG908" s="489"/>
    </row>
    <row r="909" spans="33:33" x14ac:dyDescent="0.2">
      <c r="AG909" s="489"/>
    </row>
    <row r="910" spans="33:33" x14ac:dyDescent="0.2">
      <c r="AG910" s="489"/>
    </row>
    <row r="911" spans="33:33" x14ac:dyDescent="0.2">
      <c r="AG911" s="489"/>
    </row>
    <row r="912" spans="33:33" x14ac:dyDescent="0.2">
      <c r="AG912" s="489"/>
    </row>
    <row r="913" spans="33:33" x14ac:dyDescent="0.2">
      <c r="AG913" s="489"/>
    </row>
    <row r="914" spans="33:33" x14ac:dyDescent="0.2">
      <c r="AG914" s="489"/>
    </row>
    <row r="915" spans="33:33" x14ac:dyDescent="0.2">
      <c r="AG915" s="489"/>
    </row>
    <row r="916" spans="33:33" x14ac:dyDescent="0.2">
      <c r="AG916" s="489"/>
    </row>
    <row r="917" spans="33:33" x14ac:dyDescent="0.2">
      <c r="AG917" s="489"/>
    </row>
    <row r="918" spans="33:33" x14ac:dyDescent="0.2">
      <c r="AG918" s="489"/>
    </row>
    <row r="919" spans="33:33" x14ac:dyDescent="0.2">
      <c r="AG919" s="489"/>
    </row>
    <row r="920" spans="33:33" x14ac:dyDescent="0.2">
      <c r="AG920" s="489"/>
    </row>
    <row r="921" spans="33:33" x14ac:dyDescent="0.2">
      <c r="AG921" s="489"/>
    </row>
    <row r="922" spans="33:33" x14ac:dyDescent="0.2">
      <c r="AG922" s="489"/>
    </row>
    <row r="923" spans="33:33" x14ac:dyDescent="0.2">
      <c r="AG923" s="489"/>
    </row>
    <row r="924" spans="33:33" x14ac:dyDescent="0.2">
      <c r="AG924" s="489"/>
    </row>
    <row r="925" spans="33:33" x14ac:dyDescent="0.2">
      <c r="AG925" s="489"/>
    </row>
    <row r="926" spans="33:33" x14ac:dyDescent="0.2">
      <c r="AG926" s="489"/>
    </row>
    <row r="927" spans="33:33" x14ac:dyDescent="0.2">
      <c r="AG927" s="489"/>
    </row>
  </sheetData>
  <sheetProtection algorithmName="SHA-512" hashValue="k5PtabXrCBf8/j7xilAyVLaGdzUlOyDTEUSv/AXup7HZjtQN/xA+I2aohSKV/BKbllnqBP/i3FW1wIlnFy7bJQ==" saltValue="vOVvVAi/wGVQT4UFApepg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74" t="s">
        <v>377</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378</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3CDfGD3jCaHHNDtRaKEuYCtHt1fpRJ5V3ewmYoWfhJpAV3gI28+3wkjbUCc/dKWlQxDowTMnmgNV3cOW0Xd8OQ==" saltValue="p2J7dYCKlnt5WH3te5FgL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B9" sqref="B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325</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322</v>
      </c>
      <c r="L8" s="589">
        <f>FormNumber</f>
        <v>0</v>
      </c>
      <c r="M8" s="589"/>
      <c r="N8" s="589"/>
      <c r="O8" s="589"/>
    </row>
    <row r="9" spans="1:18" ht="18" customHeight="1" x14ac:dyDescent="0.25">
      <c r="A9" s="228" t="s">
        <v>279</v>
      </c>
      <c r="B9" s="34" t="e">
        <f>Main!D5</f>
        <v>#N/A</v>
      </c>
      <c r="J9" s="81"/>
      <c r="K9" s="228" t="s">
        <v>323</v>
      </c>
      <c r="L9" s="590">
        <f>CalMethod</f>
        <v>0</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324</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10</v>
      </c>
      <c r="M15" s="228" t="s">
        <v>291</v>
      </c>
      <c r="N15" s="236">
        <f>Main!D3</f>
        <v>0</v>
      </c>
      <c r="O15" s="207"/>
    </row>
    <row r="16" spans="1:18" ht="18" customHeight="1" x14ac:dyDescent="0.25">
      <c r="A16" s="234" t="s">
        <v>282</v>
      </c>
      <c r="B16" s="607">
        <f>SerialNumber</f>
        <v>0</v>
      </c>
      <c r="C16" s="607"/>
      <c r="D16" s="607"/>
      <c r="E16" s="607"/>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6">
        <f>Class</f>
        <v>0</v>
      </c>
      <c r="C18" s="596"/>
      <c r="D18" s="596"/>
      <c r="E18" s="596"/>
      <c r="G18" s="228" t="s">
        <v>289</v>
      </c>
      <c r="H18" s="232">
        <f>CubicFeet</f>
        <v>0</v>
      </c>
      <c r="M18" s="228" t="s">
        <v>293</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8">
        <f>Controller</f>
        <v>0</v>
      </c>
      <c r="C21" s="608"/>
      <c r="D21" s="608"/>
      <c r="E21" s="608"/>
      <c r="F21" s="219" t="s">
        <v>296</v>
      </c>
      <c r="G21" s="608">
        <f>ContSN</f>
        <v>0</v>
      </c>
      <c r="H21" s="608"/>
      <c r="I21" s="608"/>
      <c r="J21" s="219" t="s">
        <v>297</v>
      </c>
      <c r="K21" s="231">
        <f>ContTol</f>
        <v>0</v>
      </c>
      <c r="L21" s="205"/>
      <c r="M21" s="219" t="s">
        <v>298</v>
      </c>
      <c r="N21" s="244" t="str">
        <f>Main!G27</f>
        <v/>
      </c>
      <c r="O21" s="206"/>
    </row>
    <row r="22" spans="1:19" ht="18" customHeight="1" x14ac:dyDescent="0.25">
      <c r="A22" s="237" t="s">
        <v>295</v>
      </c>
      <c r="B22" s="609">
        <f>_xlnm.Recorder</f>
        <v>0</v>
      </c>
      <c r="C22" s="609"/>
      <c r="D22" s="609"/>
      <c r="E22" s="609"/>
      <c r="F22" s="220" t="s">
        <v>296</v>
      </c>
      <c r="G22" s="609">
        <f>RecSN</f>
        <v>0</v>
      </c>
      <c r="H22" s="609"/>
      <c r="I22" s="609"/>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6" t="s">
        <v>307</v>
      </c>
      <c r="D27" s="606"/>
      <c r="E27" s="606"/>
      <c r="F27" s="606"/>
      <c r="G27" s="606"/>
      <c r="H27" s="606"/>
      <c r="I27" s="606"/>
      <c r="J27" s="606"/>
      <c r="K27" s="606"/>
      <c r="L27" s="606"/>
      <c r="M27" s="606"/>
      <c r="N27" s="208"/>
      <c r="O27" s="209"/>
    </row>
    <row r="28" spans="1:19" ht="8.1" customHeight="1" x14ac:dyDescent="0.2"/>
    <row r="29" spans="1:19" ht="18" customHeight="1" x14ac:dyDescent="0.2">
      <c r="A29" s="602" t="s">
        <v>277</v>
      </c>
      <c r="B29" s="603"/>
      <c r="C29" s="604"/>
      <c r="D29" s="602" t="s">
        <v>308</v>
      </c>
      <c r="E29" s="603"/>
      <c r="F29" s="603"/>
      <c r="G29" s="604"/>
      <c r="H29" s="602" t="s">
        <v>278</v>
      </c>
      <c r="I29" s="603"/>
      <c r="J29" s="603"/>
      <c r="K29" s="604"/>
      <c r="L29" s="602" t="s">
        <v>259</v>
      </c>
      <c r="M29" s="603"/>
      <c r="N29" s="603"/>
      <c r="O29" s="604"/>
    </row>
    <row r="30" spans="1:19" ht="18" customHeight="1" x14ac:dyDescent="0.2">
      <c r="A30" s="224"/>
      <c r="B30" s="214">
        <f>TestLocation</f>
        <v>0</v>
      </c>
      <c r="C30" s="225"/>
      <c r="D30" s="599" t="str">
        <f>CONCATENATE(Main!D22,"°F","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309</v>
      </c>
      <c r="B32" s="591" t="s">
        <v>310</v>
      </c>
      <c r="C32" s="591"/>
      <c r="D32" s="247" t="s">
        <v>273</v>
      </c>
      <c r="E32" s="247" t="s">
        <v>272</v>
      </c>
      <c r="F32" s="247" t="s">
        <v>311</v>
      </c>
      <c r="G32" s="81"/>
      <c r="H32" s="81"/>
      <c r="I32" s="247" t="s">
        <v>309</v>
      </c>
      <c r="J32" s="591" t="s">
        <v>310</v>
      </c>
      <c r="K32" s="591"/>
      <c r="L32" s="247" t="s">
        <v>273</v>
      </c>
      <c r="M32" s="247" t="s">
        <v>272</v>
      </c>
      <c r="N32" s="247" t="s">
        <v>311</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0" t="s">
        <v>313</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587" t="s">
        <v>315</v>
      </c>
      <c r="G61" s="587"/>
      <c r="H61" s="587"/>
      <c r="I61" s="587" t="s">
        <v>316</v>
      </c>
      <c r="J61" s="587"/>
      <c r="K61" s="587" t="s">
        <v>317</v>
      </c>
      <c r="L61" s="587"/>
      <c r="M61" s="587" t="s">
        <v>318</v>
      </c>
      <c r="N61" s="587"/>
      <c r="O61" s="587"/>
      <c r="R61" s="39" t="s">
        <v>859</v>
      </c>
      <c r="T61" s="39" t="s">
        <v>860</v>
      </c>
    </row>
    <row r="62" spans="1:20" ht="18" customHeight="1" x14ac:dyDescent="0.2">
      <c r="A62" s="577" t="str">
        <f>IF(F62="","",CONCATENATE(T62," - ",R62))</f>
        <v/>
      </c>
      <c r="B62" s="578"/>
      <c r="C62" s="578"/>
      <c r="D62" s="578"/>
      <c r="E62" s="579"/>
      <c r="F62" s="577" t="str" cm="1">
        <f t="array" ref="F62">IFERROR(
  _xlfn.XLOOKUP(
    Main!D9,
    _xlfn._xlws.FILTER(AssetPool[asset_tag], AssetPool[root_category_name]="DAQ Modules"),
    _xlfn._xlws.FILTER(AssetPool[serial_number], AssetPool[root_category_name]="DAQ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373</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i5VdmFEI+7vLG0Rp4lNJu4njSZK64v6daawhJHhh70UIPRqrWlJXMcrELpc8U8cJc/OG1KNuZkmxmizJ7ch1Aw==" saltValue="8e2FatV1EvBc5T28xf0s5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927</v>
      </c>
      <c r="R1" t="s">
        <v>928</v>
      </c>
      <c r="S1" t="s">
        <v>929</v>
      </c>
      <c r="T1" t="s">
        <v>930</v>
      </c>
      <c r="U1" t="s">
        <v>931</v>
      </c>
      <c r="V1" t="s">
        <v>932</v>
      </c>
      <c r="W1" t="s">
        <v>933</v>
      </c>
      <c r="X1" t="s">
        <v>934</v>
      </c>
      <c r="Y1" t="s">
        <v>935</v>
      </c>
      <c r="Z1" t="s">
        <v>936</v>
      </c>
      <c r="AA1" t="s">
        <v>937</v>
      </c>
      <c r="AB1" t="s">
        <v>938</v>
      </c>
      <c r="AC1" t="s">
        <v>939</v>
      </c>
      <c r="AD1" t="s">
        <v>940</v>
      </c>
      <c r="AE1" t="s">
        <v>941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-10</v>
      </c>
      <c r="D1" s="114"/>
      <c r="E1" s="114">
        <f>B1-D2</f>
        <v>-5</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10</v>
      </c>
      <c r="C2" s="114">
        <f>$B$1+$B$2</f>
        <v>10</v>
      </c>
      <c r="D2" s="114">
        <f>(Main!$D$19)/2</f>
        <v>5</v>
      </c>
      <c r="E2" s="114">
        <f>B1+D2</f>
        <v>5</v>
      </c>
      <c r="F2" s="121"/>
      <c r="G2" s="121"/>
      <c r="H2" s="121"/>
      <c r="I2" s="139" t="s">
        <v>227</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169</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un9Xe+1CboLtN/8sZCQe7H4q81Ubbo3aCEvRNVAHPHLxvQxR7p0nXGcgKpWMrPvngPK5SfpQv2mK91XJKk8UNQ==" saltValue="8NmdDtJX+PgRpRaID3fh3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-10</v>
      </c>
      <c r="D1" s="114"/>
      <c r="E1" s="120">
        <f>B1-D2</f>
        <v>-5</v>
      </c>
      <c r="F1" s="34" t="s">
        <v>75</v>
      </c>
      <c r="P1" s="306" t="str">
        <f>IF(Main!$E$30="","A10",ADDRESS(13+(MATCH(Main!$E$30,Data_Sheet!$A$14:$A$903,0)),1,4))</f>
        <v>A10</v>
      </c>
      <c r="Q1" s="306">
        <f>VALUE(MID(P1, 2, LEN(P1)-1))</f>
        <v>10</v>
      </c>
    </row>
    <row r="2" spans="1:17" x14ac:dyDescent="0.2">
      <c r="B2" s="120">
        <f>Main!$D$19</f>
        <v>10</v>
      </c>
      <c r="C2" s="114">
        <f>$B$1+$B$2</f>
        <v>10</v>
      </c>
      <c r="D2" s="114">
        <f>(Main!$D$19)/2</f>
        <v>5</v>
      </c>
      <c r="E2" s="120">
        <f>B1+D2</f>
        <v>5</v>
      </c>
      <c r="I2" s="74" t="s">
        <v>227</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169</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crJRzHbfq+6SXw6Qc9J8KNy/AqGq6RxYLp5bf+olN0c9WIz/E+5EDEgyjQtMs1lYrj7jEetnZJES05r7Uq6ZaA==" saltValue="Vh3SrjKzak6nrVQ+PIfzI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-10</v>
      </c>
      <c r="D1" s="114"/>
      <c r="E1" s="120">
        <f>B1-D2</f>
        <v>-5</v>
      </c>
      <c r="F1" s="34" t="s">
        <v>74</v>
      </c>
      <c r="P1" s="306" t="str">
        <f>IF(Main!$E$30="","A10",ADDRESS(13+(MATCH(Main!$E$30,Data_Sheet!$A$14:$A$903,0)),1,4))</f>
        <v>A10</v>
      </c>
      <c r="Q1" s="306">
        <f>VALUE(MID(P1, 2, LEN(P1)-1))</f>
        <v>10</v>
      </c>
    </row>
    <row r="2" spans="1:17" x14ac:dyDescent="0.2">
      <c r="A2" s="113"/>
      <c r="B2" s="120">
        <f>Main!$D$19</f>
        <v>10</v>
      </c>
      <c r="C2" s="114">
        <f>$B$1+$B$2</f>
        <v>10</v>
      </c>
      <c r="D2" s="114">
        <f>(Main!$D$19)/2</f>
        <v>5</v>
      </c>
      <c r="E2" s="120">
        <f>B1+D2</f>
        <v>5</v>
      </c>
      <c r="F2" s="106"/>
      <c r="I2" s="74" t="s">
        <v>227</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169</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wthYQNbhBI/35OSYbVCmAiMbu4AQvRYgcKc91NMWnm8K5BWVMtuyHuy+jhRFzx7yeJ78jNa7sK0YNj+YEio2zQ==" saltValue="P3ccxIMEiFBcxtV051MPj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f>IF(ISBLANK(Main!G95),"",Main!G95)</f>
        <v>3</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398</v>
      </c>
      <c r="U11" s="290" t="s">
        <v>399</v>
      </c>
      <c r="V11" s="290" t="s">
        <v>400</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nm7rT54dVgpy5FDb4gTJsBXfmBZu9nz/1W38x0FWvSCV4GTxmYSMGkS6wTY+3gG19wckQYyifHhH4PL9HeEJvg==" saltValue="5ZySw57Wjz2mtWB1vB8Xig=="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865</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349</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350</v>
      </c>
      <c r="I29" s="115" t="str">
        <f>IF(Main!N47="","",Main!N47)</f>
        <v>Periodic</v>
      </c>
      <c r="J29" s="663" t="s">
        <v>351</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337</v>
      </c>
      <c r="I30" s="658"/>
      <c r="J30" s="665" t="s">
        <v>384</v>
      </c>
      <c r="K30" s="666"/>
      <c r="L30" s="667"/>
      <c r="M30" s="266"/>
      <c r="O30" s="659" t="s">
        <v>387</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352</v>
      </c>
      <c r="I31" s="256" t="str">
        <f>IF(Main!N49="","",Main!N49)</f>
        <v/>
      </c>
      <c r="J31" s="648" t="s">
        <v>392</v>
      </c>
      <c r="K31" s="649"/>
      <c r="L31" s="650"/>
      <c r="M31" s="267" t="str">
        <f>IF(Main!S49="","",Main!S49)</f>
        <v/>
      </c>
      <c r="O31" s="569" t="s">
        <v>394</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368</v>
      </c>
      <c r="I32" s="256" t="str">
        <f>IF(Main!N50="","",Main!N50)</f>
        <v/>
      </c>
      <c r="J32" s="651" t="s">
        <v>340</v>
      </c>
      <c r="K32" s="652"/>
      <c r="L32" s="653"/>
      <c r="M32" s="262"/>
      <c r="O32" s="651" t="s">
        <v>340</v>
      </c>
      <c r="P32" s="652"/>
      <c r="Q32" s="653"/>
      <c r="T32" s="39"/>
    </row>
    <row r="33" spans="1:20" ht="12.75" customHeight="1" x14ac:dyDescent="0.2">
      <c r="A33" s="646" t="s">
        <v>353</v>
      </c>
      <c r="B33" s="647"/>
      <c r="C33" s="49" t="str">
        <f>IF(Main!D52="","",Main!D52)</f>
        <v/>
      </c>
      <c r="D33" s="49" t="str">
        <f>IF(Main!E52="","",Main!E52)</f>
        <v/>
      </c>
      <c r="E33" s="49" t="str">
        <f>IF(Main!F52="","",Main!F52)</f>
        <v/>
      </c>
      <c r="F33" s="49" t="str">
        <f>IF(Main!G52="","",Main!G52)</f>
        <v/>
      </c>
      <c r="G33" s="272"/>
      <c r="H33" s="254" t="s">
        <v>354</v>
      </c>
      <c r="I33" s="256" t="str">
        <f>IF(Main!N51="","",Main!N51)</f>
        <v/>
      </c>
      <c r="J33" s="654" t="s">
        <v>393</v>
      </c>
      <c r="K33" s="655"/>
      <c r="L33" s="656"/>
      <c r="M33" s="261" t="str">
        <f>IF(Main!S51="","",Main!S51)</f>
        <v/>
      </c>
      <c r="O33" s="654" t="s">
        <v>395</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355</v>
      </c>
      <c r="I34" s="253" t="str">
        <f>IF(Main!N52="","",Main!N52)</f>
        <v/>
      </c>
      <c r="J34" s="651" t="s">
        <v>340</v>
      </c>
      <c r="K34" s="652"/>
      <c r="L34" s="653"/>
      <c r="O34" s="651" t="s">
        <v>340</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40" t="s">
        <v>396</v>
      </c>
      <c r="K35" s="641"/>
      <c r="L35" s="642"/>
      <c r="M35" s="270" t="str">
        <f>IF(Main!S53="","",Main!S53)</f>
        <v/>
      </c>
      <c r="O35" s="640" t="s">
        <v>397</v>
      </c>
      <c r="P35" s="641"/>
      <c r="Q35" s="642"/>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Ey3MYsdAVbG2q2brcK2V6FUgNPqpa9qhqXH0lSgqc44D32kPjxVnXkTWuTt7hvnZ8FXCc1oMQIhUw+pbx9YPGg==" saltValue="Vkk+TXaalYgo0iv9taX1n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gWBowYqJtU0F6Sh2Gwgl5s0MmbxDi+ORj28JI1WB8/TfEGJ8ERyS1HlYCyQrzCUpYIl5KItZ4Cbd4czFaUiqfg==" saltValue="zFTXMeYjHVi7rsAVS0bPp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156</v>
      </c>
      <c r="G1" s="605" t="s">
        <v>68</v>
      </c>
      <c r="H1" s="605"/>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562</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563</v>
      </c>
      <c r="H3" t="s">
        <v>69</v>
      </c>
      <c r="K3" t="s">
        <v>84</v>
      </c>
      <c r="M3" t="s">
        <v>95</v>
      </c>
      <c r="O3" t="s">
        <v>124</v>
      </c>
      <c r="Q3" s="39" t="s">
        <v>167</v>
      </c>
      <c r="S3" t="s">
        <v>140</v>
      </c>
      <c r="U3" s="39" t="s">
        <v>326</v>
      </c>
      <c r="Y3" t="s">
        <v>201</v>
      </c>
      <c r="AC3" s="39" t="s">
        <v>260</v>
      </c>
      <c r="AE3" s="39" t="s">
        <v>383</v>
      </c>
      <c r="AG3" s="39" t="str">
        <v>James Haven</v>
      </c>
      <c r="AH3" s="39"/>
    </row>
    <row r="4" spans="1:34" x14ac:dyDescent="0.2">
      <c r="A4" s="35" t="str">
        <v>J3</v>
      </c>
      <c r="B4" s="35" t="str">
        <v>DaqBook/2005</v>
      </c>
      <c r="C4" s="35" t="str">
        <v>807705</v>
      </c>
      <c r="D4" s="35" t="str">
        <f t="shared" si="0"/>
        <v>"J" IRON-CONSTANTAN</v>
      </c>
      <c r="E4" s="35">
        <v>28</v>
      </c>
      <c r="G4" s="39" t="s">
        <v>561</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380</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381</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382</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377</v>
      </c>
      <c r="Y13" t="s">
        <v>210</v>
      </c>
      <c r="AE13" s="39" t="s">
        <v>363</v>
      </c>
    </row>
    <row r="14" spans="1:34" x14ac:dyDescent="0.2">
      <c r="Y14" t="s">
        <v>211</v>
      </c>
      <c r="AE14" s="39" t="s">
        <v>364</v>
      </c>
    </row>
    <row r="15" spans="1:34" x14ac:dyDescent="0.2">
      <c r="Y15" t="s">
        <v>212</v>
      </c>
      <c r="AE15" s="39" t="s">
        <v>376</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W5SQ3rNGTyUffPRNzuVJTcecjp7n9zbspwPggdI7d5cFynEwTI5SVhbrR/ghH4KfYXf65WjAkAQ1f5lAH1eXzg==" saltValue="Y9+SaSaeNQgghlVLhJGTL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75</vt:i4>
      </vt:variant>
    </vt:vector>
  </HeadingPairs>
  <TitlesOfParts>
    <vt:vector size="10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2025-07-16T23:49:11Z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