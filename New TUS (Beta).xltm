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FED1428-C771-43DA-99C1-3F10C45FB3B9}"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9"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20" hidden="1">DaqbookServiceRecords!$A$1:$B$2</definedName>
    <definedName name="ExternalData_1" localSheetId="3" hidden="1">Employee!$A$1:$D$2</definedName>
    <definedName name="ExternalData_1" localSheetId="21"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Query___customers" localSheetId="18" hidden="1">'Customer Table'!$A$1:$O$1658</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T62" i="26"/>
  <c r="R62" i="26"/>
  <c r="F62" i="26" a="1"/>
  <c r="F62" i="26" s="1"/>
  <c r="C2" i="12" a="1"/>
  <c r="C2" i="12" s="1"/>
  <c r="B2" i="12" a="1"/>
  <c r="B2" i="12" s="1"/>
  <c r="A2" i="12" a="1"/>
  <c r="A2" i="12" s="1"/>
  <c r="E9" i="8" a="1"/>
  <c r="E9" i="8" s="1"/>
  <c r="A37" i="8"/>
  <c r="D19" i="4" s="1"/>
  <c r="D7" i="8" a="1"/>
  <c r="D7" i="8" s="1"/>
  <c r="E2" i="71" l="1"/>
  <c r="Q2" i="29" s="1" a="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B10" i="26" l="1"/>
  <c r="B11" i="26"/>
  <c r="Q2" i="29"/>
  <c r="D5" i="8" s="1"/>
  <c r="D19" i="8"/>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43" i="8" a="1"/>
  <c r="S17" i="8" a="1"/>
  <c r="S37" i="8" a="1"/>
  <c r="R15" i="8" a="1"/>
  <c r="R41" i="8" a="1"/>
  <c r="R33" i="8" a="1"/>
  <c r="S40" i="8" a="1"/>
  <c r="R7" i="8" a="1"/>
  <c r="R28" i="8" a="1"/>
  <c r="R29" i="8" a="1"/>
  <c r="R12" i="8" a="1"/>
  <c r="R16" i="8" a="1"/>
  <c r="R39" i="8" a="1"/>
  <c r="R25" i="8" a="1"/>
  <c r="S28" i="8" a="1"/>
  <c r="S44" i="8" a="1"/>
  <c r="R37" i="8" a="1"/>
  <c r="R22" i="8" a="1"/>
  <c r="S6" i="8" a="1"/>
  <c r="R8" i="8" a="1"/>
  <c r="R20" i="8" a="1"/>
  <c r="R44" i="8" a="1"/>
  <c r="S31" i="8" a="1"/>
  <c r="S33" i="8" a="1"/>
  <c r="R9" i="8" a="1"/>
  <c r="S26" i="8" a="1"/>
  <c r="S39" i="8" a="1"/>
  <c r="S36" i="8" a="1"/>
  <c r="S42" i="8" a="1"/>
  <c r="S21" i="8" a="1"/>
  <c r="R11" i="8" a="1"/>
  <c r="S35" i="8" a="1"/>
  <c r="S20" i="8" a="1"/>
  <c r="R6" i="8" a="1"/>
  <c r="R42" i="8" a="1"/>
  <c r="R21" i="8" a="1"/>
  <c r="S41" i="8" a="1"/>
  <c r="S27" i="8" a="1"/>
  <c r="R36" i="8" a="1"/>
  <c r="S13" i="8" a="1"/>
  <c r="S7" i="8" a="1"/>
  <c r="S14" i="8" a="1"/>
  <c r="S9" i="8" a="1"/>
  <c r="R26" i="8" a="1"/>
  <c r="S15" i="8" a="1"/>
  <c r="S30" i="8" a="1"/>
  <c r="S18" i="8" a="1"/>
  <c r="S25" i="8" a="1"/>
  <c r="S8" i="8" a="1"/>
  <c r="R10" i="8" a="1"/>
  <c r="S38" i="8" a="1"/>
  <c r="S11" i="8" a="1"/>
  <c r="R32" i="8" a="1"/>
  <c r="R23" i="8" a="1"/>
  <c r="S34" i="8" a="1"/>
  <c r="S5" i="8" a="1"/>
  <c r="R31" i="8" a="1"/>
  <c r="S16" i="8" a="1"/>
  <c r="R43" i="8" a="1"/>
  <c r="R40" i="8" a="1"/>
  <c r="R18" i="8" a="1"/>
  <c r="R35" i="8" a="1"/>
  <c r="S12" i="8" a="1"/>
  <c r="R27" i="8" a="1"/>
  <c r="R34" i="8" a="1"/>
  <c r="R13" i="8" a="1"/>
  <c r="S24" i="8" a="1"/>
  <c r="R14" i="8" a="1"/>
  <c r="R17" i="8" a="1"/>
  <c r="S22" i="8" a="1"/>
  <c r="R5" i="8" a="1"/>
  <c r="R38" i="8" a="1"/>
  <c r="S10" i="8" a="1"/>
  <c r="R30" i="8" a="1"/>
  <c r="S32" i="8" a="1"/>
  <c r="R24" i="8" a="1"/>
  <c r="S19" i="8" a="1"/>
  <c r="S23" i="8" a="1"/>
  <c r="R19"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B54" i="26"/>
  <c r="J6" i="5"/>
  <c r="B7" i="5"/>
  <c r="B5" i="5"/>
  <c r="K13"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<sst xmlns="http://schemas.openxmlformats.org/spreadsheetml/2006/main" count="1917" uniqueCount="954">
  <si>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</si>
  <si>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</si>
  <si>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</si>
  <si>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</si>
  <si>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</si>
  <si>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</si>
  <si>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</si>
  <si>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</si>
  <si>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</si>
  <si>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</si>
  <si>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</si>
  <si>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</si>
  <si>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</si>
  <si>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</si>
  <si>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</si>
  <si>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</si>
  <si>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</si>
  <si>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</si>
  <si>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</si>
  <si>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</si>
  <si>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</si>
  <si>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</si>
  <si>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</si>
  <si>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</si>
  <si>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</si>
  <si>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</si>
  <si>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</si>
  <si>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</si>
  <si>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</si>
  <si>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</si>
  <si>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</si>
  <si>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</si>
  <si>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</si>
  <si>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</si>
  <si>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</si>
  <si>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</si>
  <si>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</si>
  <si>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</si>
  <si>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</si>
  <si>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</si>
  <si>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</si>
  <si>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</si>
  <si>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</si>
  <si>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</si>
  <si>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</si>
  <si>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</si>
  <si>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</si>
  <si>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</si>
  <si>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</si>
  <si>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</si>
  <si>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</si>
  <si>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</si>
  <si>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</si>
  <si>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</si>
  <si>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</si>
  <si>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</si>
  <si>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</si>
  <si>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</si>
  <si>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</si>
  <si>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</si>
  <si>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</si>
  <si>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</si>
  <si>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</si>
  <si>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</si>
  <si>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</si>
  <si>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</si>
  <si>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</si>
  <si>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</si>
  <si>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</si>
  <si>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</si>
  <si>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</si>
  <si>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</si>
  <si>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</si>
  <si>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</si>
  <si>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</si>
  <si>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</si>
  <si>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</si>
  <si>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</si>
  <si>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</si>
  <si>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</si>
  <si>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</si>
  <si>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</si>
  <si>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</si>
  <si>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</si>
  <si>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</si>
  <si>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</si>
  <si>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</si>
  <si>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</si>
  <si>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</si>
  <si>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</si>
  <si>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</si>
  <si>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</si>
  <si>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</si>
  <si>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</si>
  <si>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</si>
  <si>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</si>
  <si>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</si>
  <si>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</si>
  <si>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</si>
  <si>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</si>
  <si>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</si>
  <si>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</si>
  <si>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</si>
  <si>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</si>
  <si>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</si>
  <si>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</si>
  <si>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</si>
  <si>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</si>
  <si>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</si>
  <si>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</si>
  <si>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</si>
  <si>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</si>
  <si>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</si>
  <si>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</si>
  <si>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</si>
  <si>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</si>
  <si>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</si>
  <si>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</si>
  <si>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</si>
  <si>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</si>
  <si>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</si>
  <si>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</si>
  <si>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</si>
  <si>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</si>
  <si>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</si>
  <si>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</si>
  <si>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</si>
  <si>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</si>
  <si>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</si>
  <si>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</si>
  <si>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</si>
  <si>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</si>
  <si>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</si>
  <si>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</si>
  <si>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</si>
  <si>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</si>
  <si>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</si>
  <si>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</si>
  <si>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</si>
  <si>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</si>
  <si>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</si>
  <si>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</si>
  <si>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</si>
  <si>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</si>
  <si>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</si>
  <si>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</si>
  <si>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</si>
  <si>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</si>
  <si>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</si>
  <si>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</si>
  <si>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</si>
  <si>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</si>
  <si>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</si>
  <si>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</si>
  <si>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</si>
  <si>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</si>
  <si>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</si>
  <si>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</si>
  <si>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</si>
  <si>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</si>
  <si>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</si>
  <si>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</si>
  <si>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</si>
  <si>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</si>
  <si>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</si>
  <si>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</si>
  <si>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</si>
  <si>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</si>
  <si>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</si>
  <si>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</si>
  <si>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</si>
  <si>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</si>
  <si>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</si>
  <si>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</si>
  <si>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</si>
  <si>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</si>
  <si>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</si>
  <si>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</si>
  <si>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</si>
  <si>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</si>
  <si>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</si>
  <si>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</si>
  <si>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</si>
  <si>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</si>
  <si>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</si>
  <si>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</si>
  <si>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</si>
  <si>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</si>
  <si>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</si>
  <si>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</si>
  <si>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</si>
  <si>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</si>
  <si>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</si>
  <si>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</si>
  <si>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</si>
  <si>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</si>
  <si>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</si>
  <si>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</si>
  <si>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</si>
  <si>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</si>
  <si>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</si>
  <si>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</si>
  <si>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</si>
  <si>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</si>
  <si>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</si>
  <si>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</si>
  <si>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</si>
  <si>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</si>
  <si>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</si>
  <si>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</si>
  <si>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</si>
  <si>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</si>
  <si>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</si>
  <si>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</si>
  <si>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</si>
  <si>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</si>
  <si>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</si>
  <si>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</si>
  <si>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</si>
  <si>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</si>
  <si>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</si>
  <si>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</si>
  <si>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</si>
  <si>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</si>
  <si>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</si>
  <si>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</si>
  <si>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</si>
  <si>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</si>
  <si>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</si>
  <si>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</si>
  <si>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</si>
  <si>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</si>
  <si>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</si>
  <si>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</si>
  <si>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</si>
  <si>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</si>
  <si>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</si>
  <si>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</si>
  <si>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</si>
  <si>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</si>
  <si>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</si>
  <si>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</si>
  <si>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</si>
  <si>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</si>
  <si>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</si>
  <si>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</si>
  <si>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</si>
  <si>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</si>
  <si>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</si>
  <si>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</si>
  <si>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</si>
  <si>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</si>
  <si>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</si>
  <si>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</si>
  <si>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</si>
  <si>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</si>
  <si>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</si>
  <si>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</si>
  <si>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</si>
  <si>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</si>
  <si>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</si>
  <si>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</si>
  <si>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</si>
  <si>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</si>
  <si>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</si>
  <si>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</si>
  <si>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</si>
  <si>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</si>
  <si>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</si>
  <si>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</si>
  <si>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</si>
  <si>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</si>
  <si>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</si>
  <si>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</si>
  <si>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</si>
  <si>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</si>
  <si>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</si>
  <si>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</si>
  <si>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</si>
  <si>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</si>
  <si>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</si>
  <si>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</si>
  <si>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</si>
  <si>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</si>
  <si>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</si>
  <si>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</si>
  <si>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</si>
  <si>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</si>
  <si>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</si>
  <si>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</si>
  <si>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</si>
  <si>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</si>
  <si>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</si>
  <si>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</si>
  <si>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</si>
  <si>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</si>
  <si>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</si>
  <si>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</si>
  <si>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</si>
  <si>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</si>
  <si>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</si>
  <si>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</si>
  <si>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</si>
  <si>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</si>
  <si>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</si>
  <si>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</si>
  <si>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</si>
  <si>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</si>
  <si>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</si>
  <si>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</si>
  <si>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</si>
  <si>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</si>
  <si>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</si>
  <si>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</si>
  <si>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</si>
  <si>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</si>
  <si>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</si>
  <si>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</si>
  <si>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</si>
  <si>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</si>
  <si>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</si>
  <si>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</si>
  <si>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</si>
  <si>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</si>
  <si>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</si>
  <si>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</si>
  <si>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</si>
  <si>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</si>
  <si>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</si>
  <si>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</si>
  <si>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</si>
  <si>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</si>
  <si>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</si>
  <si>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</si>
  <si>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</si>
  <si>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</si>
  <si>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</si>
  <si>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</si>
  <si>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</si>
  <si>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</si>
  <si>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</si>
  <si>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</si>
  <si>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</si>
  <si>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</si>
  <si>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</si>
  <si>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</si>
  <si>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</si>
  <si>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</si>
  <si>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</si>
  <si>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</si>
  <si>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</si>
  <si>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</si>
  <si>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</si>
  <si>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</si>
  <si>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</si>
  <si>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</si>
  <si>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</si>
  <si>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</si>
  <si>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</si>
  <si>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</si>
  <si>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</si>
  <si>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</si>
  <si>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</si>
  <si>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</si>
  <si>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</si>
  <si>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</si>
  <si>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</si>
  <si>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</si>
  <si>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</si>
  <si>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</si>
  <si>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</si>
  <si>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</si>
  <si>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</si>
  <si>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</si>
  <si>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</si>
  <si>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</si>
  <si>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</si>
  <si>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</si>
  <si>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</si>
  <si>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</si>
  <si>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</si>
  <si>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</si>
  <si>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</si>
  <si>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</si>
  <si>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</si>
  <si>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</si>
  <si>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</si>
  <si>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</si>
  <si>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</si>
  <si>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</si>
  <si>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</si>
  <si>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</si>
  <si>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</si>
  <si>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</si>
  <si>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</si>
  <si>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</si>
  <si>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</si>
  <si>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</si>
  <si>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</si>
  <si>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</si>
  <si>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</si>
  <si>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</si>
  <si>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</si>
  <si>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</si>
  <si>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</si>
  <si>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</si>
  <si>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</si>
  <si>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</si>
  <si>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</si>
  <si>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</si>
  <si>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</si>
  <si>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</si>
  <si>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</si>
  <si>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</si>
  <si>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</si>
  <si>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</si>
  <si>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</si>
  <si>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</si>
  <si>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</si>
  <si>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</si>
  <si>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</si>
  <si>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</si>
  <si>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</si>
  <si>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</si>
  <si>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</si>
  <si>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</si>
  <si>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</si>
  <si>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</si>
  <si>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</si>
  <si>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</si>
  <si>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</si>
  <si>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</si>
  <si>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</si>
  <si>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</si>
  <si>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</si>
  <si>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</si>
  <si>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</si>
  <si>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</si>
  <si>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</si>
  <si>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</si>
  <si>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</si>
  <si>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</si>
  <si>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</si>
  <si>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</si>
  <si>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</si>
  <si>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</si>
  <si>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</si>
  <si>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</si>
  <si>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</si>
  <si>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</si>
  <si>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</si>
  <si>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</si>
  <si>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</si>
  <si>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</si>
  <si>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</si>
  <si>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</si>
  <si>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</si>
  <si>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</si>
  <si>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</si>
  <si>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</si>
  <si>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</si>
  <si>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</si>
  <si>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</si>
  <si>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</si>
  <si>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</si>
  <si>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</si>
  <si>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</si>
  <si>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</si>
  <si>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</si>
  <si>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</si>
  <si>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</si>
  <si>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</si>
  <si>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</si>
  <si>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</si>
  <si>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</si>
  <si>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</si>
  <si>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</si>
  <si>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</si>
  <si>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</si>
  <si>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</si>
  <si>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</si>
  <si>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</si>
  <si>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</si>
  <si>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</si>
  <si>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</si>
  <si>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</si>
  <si>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</si>
  <si>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</si>
  <si>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</si>
  <si>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</si>
  <si>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</si>
  <si>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</si>
  <si>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</si>
  <si>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</si>
  <si>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</si>
  <si>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</si>
  <si>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</si>
  <si>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</si>
  <si>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</si>
  <si>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</si>
  <si>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</si>
  <si>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</si>
  <si>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</si>
  <si>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</si>
  <si>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</si>
  <si>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</si>
  <si>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</si>
  <si>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</si>
  <si>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</si>
  <si>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</si>
  <si>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</si>
  <si>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</si>
  <si>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</si>
  <si>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</si>
  <si>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</si>
  <si>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</si>
  <si>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</si>
  <si>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</si>
  <si>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</si>
  <si>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</si>
  <si>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</si>
  <si>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</si>
  <si>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</si>
  <si>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</si>
  <si>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</si>
  <si>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</si>
  <si>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</si>
  <si>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</si>
  <si>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</si>
  <si>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</si>
  <si>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</si>
  <si>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</si>
  <si>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</si>
  <si>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</si>
  <si>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</si>
  <si>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</si>
  <si>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</si>
  <si>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</si>
  <si>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</si>
  <si>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</si>
  <si>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</si>
  <si>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</si>
  <si>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</si>
  <si>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</si>
  <si>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</si>
  <si>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</si>
  <si>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</si>
  <si>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</si>
  <si>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</si>
  <si>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</si>
  <si>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</si>
  <si>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</si>
  <si>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</si>
  <si>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</si>
  <si>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</si>
  <si>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</si>
  <si>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</si>
  <si>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</si>
  <si>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</si>
  <si>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</si>
  <si>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</si>
  <si>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</si>
  <si>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</si>
  <si>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</si>
  <si>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</si>
  <si>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</si>
  <si>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</si>
  <si>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</si>
  <si>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</si>
  <si>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</si>
  <si>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</si>
  <si>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</si>
  <si>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</si>
  <si>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</si>
  <si>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</si>
  <si>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</si>
  <si>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</si>
  <si>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</si>
  <si>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</si>
  <si>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</si>
  <si>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</si>
  <si>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</si>
  <si>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</si>
  <si>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</si>
  <si>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</si>
  <si>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</si>
  <si>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</si>
  <si>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</si>
  <si>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</si>
  <si>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</si>
  <si>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</si>
  <si>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</si>
  <si>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</si>
  <si>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</si>
  <si>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</si>
  <si>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</si>
  <si>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</si>
  <si>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</si>
  <si>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</si>
  <si>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</si>
  <si>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</si>
  <si>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</si>
  <si>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</si>
  <si>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</si>
  <si>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</si>
  <si>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</si>
  <si>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</si>
  <si>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</si>
  <si>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</si>
  <si>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</si>
  <si>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</si>
  <si>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</si>
  <si>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</si>
  <si>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</si>
  <si>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</si>
  <si>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</si>
  <si>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</si>
  <si>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</si>
  <si>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</si>
  <si>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</si>
  <si>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</si>
  <si>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</si>
  <si>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</si>
  <si>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</si>
  <si>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</si>
  <si>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</si>
  <si>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</si>
  <si>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</si>
  <si>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</si>
  <si>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</si>
  <si>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</si>
  <si>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</si>
  <si>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</si>
  <si>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</si>
  <si>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</si>
  <si>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</si>
  <si>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</si>
  <si>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</si>
  <si>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</si>
  <si>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</si>
  <si>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</si>
  <si>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</si>
  <si>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</si>
  <si>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</si>
  <si>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</si>
  <si>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</si>
  <si>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</si>
  <si>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</si>
  <si>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</si>
  <si>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</si>
  <si>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</si>
  <si>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</si>
  <si>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</si>
  <si>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</si>
  <si>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</si>
  <si>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</si>
  <si>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</si>
  <si>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</si>
  <si>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</si>
  <si>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</si>
  <si>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</si>
  <si>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</si>
  <si>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</si>
  <si>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</si>
  <si>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</si>
  <si>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</si>
  <si>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</si>
  <si>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</si>
  <si>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</si>
  <si>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</si>
  <si>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</si>
  <si>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</si>
  <si>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</si>
  <si>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</si>
  <si>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</si>
  <si>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</si>
  <si>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</si>
  <si>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</si>
  <si>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</si>
  <si>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</si>
  <si>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</si>
  <si>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</si>
  <si>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</si>
  <si>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</si>
  <si>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</si>
  <si>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</si>
  <si>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</si>
  <si>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</si>
  <si>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</si>
  <si>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</si>
  <si>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</si>
  <si>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</si>
  <si>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</si>
  <si>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</si>
  <si>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</si>
  <si>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</si>
  <si>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</si>
  <si>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</si>
  <si>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</si>
  <si>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</si>
  <si>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</si>
  <si>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</si>
  <si>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</si>
  <si>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</si>
  <si>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</si>
  <si>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</si>
  <si>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</si>
  <si>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</si>
  <si>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</si>
  <si>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</si>
  <si>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</si>
  <si>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</si>
  <si>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</si>
  <si>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</si>
  <si>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</si>
  <si>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</si>
  <si>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</si>
  <si>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</si>
  <si>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</si>
  <si>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</si>
  <si>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</si>
  <si>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</si>
  <si>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</si>
  <si>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</si>
  <si>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</si>
  <si>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</si>
  <si>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</si>
  <si>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</si>
  <si>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</si>
  <si>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</si>
  <si>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</si>
  <si>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</si>
  <si>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</si>
  <si>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</si>
  <si>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</si>
  <si>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</si>
  <si>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</si>
  <si>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</si>
  <si>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</si>
  <si>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</si>
  <si>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</si>
  <si>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</si>
  <si>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</si>
  <si>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</si>
  <si>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</si>
  <si>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</si>
  <si>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</si>
  <si>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</si>
  <si>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</si>
  <si>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</si>
  <si>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</si>
  <si>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</si>
  <si>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</si>
  <si>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</si>
  <si>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</si>
  <si>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</si>
  <si>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</si>
  <si>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</si>
  <si>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</si>
  <si>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</si>
  <si>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</si>
  <si>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</si>
  <si>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</si>
  <si>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</si>
  <si>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</si>
  <si>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</si>
  <si>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</si>
  <si>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</si>
  <si>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</si>
  <si>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</si>
  <si>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</si>
  <si>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</si>
  <si>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</si>
  <si>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</si>
  <si>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</si>
  <si>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</si>
  <si>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</si>
  <si>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</si>
  <si>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</si>
  <si>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</si>
  <si>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</si>
  <si>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</si>
  <si>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</si>
  <si>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</si>
  <si>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</si>
  <si>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</si>
  <si>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</si>
  <si>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</si>
  <si>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</si>
  <si>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</si>
  <si>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</si>
  <si>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</si>
  <si>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</si>
  <si>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</si>
  <si>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</si>
  <si>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</si>
  <si>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</si>
  <si>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</si>
  <si>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</si>
  <si>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</si>
  <si>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</si>
  <si>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</si>
  <si>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</si>
  <si>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</si>
  <si>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</si>
  <si>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</si>
  <si>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</si>
  <si>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</si>
  <si>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</si>
  <si>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</si>
  <si>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</si>
  <si>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</si>
  <si>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</si>
  <si>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</si>
  <si>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</si>
  <si>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</si>
  <si>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</si>
  <si>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</si>
  <si>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</si>
  <si>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</si>
  <si>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</si>
  <si>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</si>
  <si>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</si>
  <si>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</si>
  <si>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</si>
  <si>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</si>
  <si>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</si>
  <si>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</si>
  <si>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</si>
  <si>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</si>
  <si>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</si>
  <si>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</si>
  <si>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</si>
  <si>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</si>
  <si>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</si>
  <si>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</si>
  <si>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</si>
  <si>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</si>
  <si>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</si>
  <si>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</si>
  <si>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</si>
  <si>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</si>
  <si>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</si>
  <si>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</si>
  <si>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</si>
  <si>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</si>
  <si>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</si>
  <si>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</si>
  <si>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</si>
  <si>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</si>
  <si>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</si>
  <si>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</si>
  <si>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</si>
  <si>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</si>
  <si>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</si>
  <si>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</si>
  <si>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</si>
  <si>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</si>
  <si>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</si>
  <si>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</si>
  <si>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</si>
  <si>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</si>
  <si>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</si>
  <si>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</si>
  <si>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</si>
  <si>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</si>
  <si>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</si>
  <si>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</si>
  <si>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</si>
  <si>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</si>
  <si>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</si>
  <si>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</si>
  <si>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</si>
  <si>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</si>
  <si>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</si>
  <si>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</si>
  <si>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</si>
  <si>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</si>
  <si>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</si>
  <si>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</si>
  <si>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</si>
  <si>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</si>
  <si>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</si>
  <si>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</si>
  <si>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</si>
  <si>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</si>
  <si>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</si>
  <si>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</si>
  <si>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</si>
  <si>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</si>
  <si>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</si>
  <si>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</si>
  <si>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</si>
  <si>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</si>
  <si>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</si>
  <si>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</si>
  <si>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</si>
  <si>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</si>
  <si>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</si>
  <si>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</si>
  <si>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</si>
  <si>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</si>
  <si>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</si>
  <si>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</si>
  <si>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</si>
  <si>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</si>
  <si>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</si>
  <si>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</si>
  <si>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</si>
  <si>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</si>
  <si>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</si>
  <si>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</si>
  <si>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</si>
  <si>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</si>
  <si>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</si>
  <si>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</si>
  <si>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</si>
  <si>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</si>
  <si>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</si>
  <si>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</si>
  <si>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</si>
  <si>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</si>
  <si>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</si>
  <si>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</si>
  <si>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</si>
  <si>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</si>
  <si>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</si>
  <si>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</si>
  <si>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</si>
  <si>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</si>
  <si>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</si>
  <si>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</si>
  <si>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</si>
  <si>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</si>
  <si>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</si>
  <si>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</si>
  <si>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</si>
  <si>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</si>
  <si>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</si>
  <si>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</si>
  <si>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</si>
  <si>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</si>
  <si>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</si>
  <si>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</si>
  <si>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</si>
  <si>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</si>
  <si>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</si>
  <si>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</si>
  <si>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</si>
  <si>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</si>
  <si>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</si>
  <si>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</si>
  <si>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</si>
  <si>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Ver. 07.15.25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</si>
</sst>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7">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5"/>
    <tableColumn id="8" xr3:uid="{7C740CB9-37DA-435E-A87E-AF050E31623C}" uniqueName="8" name="wire_roll_cert_number" queryTableFieldId="8" dataDxfId="176"/>
    <tableColumn id="7" xr3:uid="{297A4F29-F6E9-4BD3-A7A2-5F1039480BAE}" uniqueName="7" name="certificate_number" queryTableFieldId="7" dataDxfId="175"/>
    <tableColumn id="6" xr3:uid="{B359FFDA-2633-4F67-9E7E-BA0BB88ADA64}" uniqueName="6" name="next_service_date" queryTableFieldId="6" dataDxfId="4"/>
    <tableColumn id="5" xr3:uid="{412A70E1-7452-417E-A3A9-BD3499EBD33C}" uniqueName="5" name="service_date" queryTableFieldId="5" dataDxfId="3"/>
    <tableColumn id="4" xr3:uid="{44F03B5B-6C09-4D5C-B2E2-D809B4EDF2B0}" uniqueName="4" name="custom_order_number" queryTableFieldId="4" dataDxfId="174"/>
    <tableColumn id="3" xr3:uid="{D963BD5C-EE98-4CDD-ABAE-5315BBDA1135}" uniqueName="3" name="asset_tag" queryTableFieldId="3" dataDxfId="173"/>
    <tableColumn id="2" xr3:uid="{D07D770F-21F7-425E-8CCA-AA85FFD513A3}" uniqueName="2" name="serial_number" queryTableFieldId="2" dataDxfId="172"/>
    <tableColumn id="1" xr3:uid="{4CB1C976-73DA-4579-B7F8-9D891581EA5A}" uniqueName="1" name="asset_id" queryTableFieldId="1" dataDxf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1"/>
    <tableColumn id="2" xr3:uid="{44100894-4C9D-4514-95AC-618BC19E5917}" uniqueName="2" name="Temp" queryTableFieldId="4" dataDxfId="170"/>
    <tableColumn id="3" xr3:uid="{ECB904AC-F679-49D7-806F-647089E4822A}" uniqueName="3" name="Offset" queryTableFieldId="5" dataDxfId="169"/>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68"/>
    <tableColumn id="3" xr3:uid="{5A7694DA-28F6-45C3-AA3A-8F5C42BC36CB}" uniqueName="3" name="login_email" queryTableFieldId="12"/>
    <tableColumn id="4" xr3:uid="{E8A7333A-3221-4D58-96FF-11D069828831}" uniqueName="4" name="IsPyro" queryTableFieldId="13" dataDxfId="16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6">
  <autoFilter ref="A1:C9" xr:uid="{8AF992F3-27EF-4265-960D-70EC6F74FAFA}"/>
  <sortState xmlns:xlrd2="http://schemas.microsoft.com/office/spreadsheetml/2017/richdata2" ref="A2:C9">
    <sortCondition ref="B1:B9"/>
  </sortState>
  <tableColumns count="3">
    <tableColumn id="1" xr3:uid="{1F7D0D09-7152-4679-B25C-65CF0E0AB2D4}" name="Type" dataDxfId="165"/>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4">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3">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2"/>
    <tableColumn id="3" xr3:uid="{2724CA85-C781-4E38-A0DA-097BFEEFE8B1}" uniqueName="3" name="Temp" queryTableFieldId="3" dataDxfId="161"/>
    <tableColumn id="6" xr3:uid="{12D5EB84-2052-49F7-A25B-127266D7FB89}" uniqueName="6" name="traceability_no" queryTableFieldId="6" dataDxfId="160"/>
    <tableColumn id="5" xr3:uid="{D8FBA668-C3CE-41DC-B112-B2663A4558F7}" uniqueName="5" name="Offset" queryTableFieldId="5" dataDxfId="15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58"/>
    <tableColumn id="5" xr3:uid="{27363C9A-3D85-416E-8BCC-52B2C8D77A72}" uniqueName="5" name="Uncert Units" queryTableFieldId="5" dataDxfId="15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6">
  <autoFilter ref="A3:C8" xr:uid="{5AC13131-9A1C-4C12-B4F9-A393708ED370}"/>
  <tableColumns count="3">
    <tableColumn id="1" xr3:uid="{97181276-3609-45C8-AD82-B2880A7AEDE4}" name="Min" dataDxfId="155"/>
    <tableColumn id="2" xr3:uid="{FCA9B2A8-03BC-4152-9483-74D5E30011E8}" name="Max" dataDxfId="154"/>
    <tableColumn id="3" xr3:uid="{53EFB432-094F-4AB8-B706-DACB84CFAD58}" name="CMC" dataDxfId="15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2"/>
    <tableColumn id="7" xr3:uid="{3E130632-D63E-485B-AA7F-FF01BB115CD8}" uniqueName="7" name="AddressLine2" queryTableFieldId="7" dataDxfId="151"/>
    <tableColumn id="8" xr3:uid="{B07B805E-B475-4FEF-A83E-C870164F0C1C}" uniqueName="8" name="AddressLine3" queryTableFieldId="8" dataDxfId="150"/>
    <tableColumn id="9" xr3:uid="{3603DEDD-08A6-4233-A5D5-79D5A1A0055E}" uniqueName="9" name="FormNumber" queryTableFieldId="9" dataDxfId="149"/>
    <tableColumn id="10" xr3:uid="{B63B6E05-D199-4BCD-9A28-28B5F5832CE0}" uniqueName="10" name="CalibrationMethod" queryTableFieldId="10" dataDxfId="148"/>
    <tableColumn id="11" xr3:uid="{EC51B02C-FD97-492B-BF24-15D683C6ED4C}" uniqueName="11" name="ToleranceSource" queryTableFieldId="11" dataDxfId="147"/>
    <tableColumn id="12" xr3:uid="{706BF144-B069-4B3F-AFB9-7848E93D758C}" uniqueName="12" name="Item" queryTableFieldId="12" dataDxfId="146"/>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5"/>
    <tableColumn id="18" xr3:uid="{2B4941C4-9755-4A0D-86C3-2C668815DEF2}" uniqueName="18" name="Tolerance" queryTableFieldId="18" dataDxfId="144"/>
    <tableColumn id="19" xr3:uid="{756D3CB6-E1A4-4B24-93A7-8AB4732E9BE6}" uniqueName="19" name="HeatingMethod" queryTableFieldId="19" dataDxfId="143"/>
    <tableColumn id="20" xr3:uid="{A46E5597-E3E9-444B-8D64-D35898DCC2B4}" uniqueName="20" name="WorkingZoneSize" queryTableFieldId="20" dataDxfId="142"/>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1"/>
    <tableColumn id="32" xr3:uid="{1852EB3E-F034-42EA-8A35-98DDD1845F7B}" uniqueName="32" name="TestLocation" queryTableFieldId="32" dataDxfId="140"/>
    <tableColumn id="33" xr3:uid="{15129CDA-47B3-4B02-8524-3F9672DC4216}" uniqueName="33" name="OvenLocation" queryTableFieldId="33" dataDxfId="139"/>
    <tableColumn id="34" xr3:uid="{F4A9D00F-E54E-4736-976C-15166BF81AEF}" uniqueName="34" name="Condition" queryTableFieldId="34" dataDxfId="138"/>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7"/>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6"/>
    <tableColumn id="3" xr3:uid="{E88E0260-3227-45C4-8780-42D2D8D460DF}" name="SAT TOL" dataDxfId="135">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4" dataDxfId="133" tableBorderDxfId="132">
  <autoFilter ref="AG2:AS3" xr:uid="{B114758F-16E1-4C54-AA0B-E7F64DE85242}"/>
  <tableColumns count="13">
    <tableColumn id="1" xr3:uid="{0D0312AF-C987-4CC8-97F8-A45434AD138A}" name="Time" dataDxfId="131" dataCellStyle="Normal 3"/>
    <tableColumn id="2" xr3:uid="{E5CD88A1-1988-41C9-8D07-30908E60C0B6}" name="29" dataDxfId="130" dataCellStyle="Normal 3"/>
    <tableColumn id="3" xr3:uid="{52334E52-C590-4A01-82BC-CCC9DA2C2817}" name="30" dataDxfId="129" dataCellStyle="Normal 3"/>
    <tableColumn id="4" xr3:uid="{145DAD22-055B-47E2-958D-C0E0B68ECCC8}" name="31" dataDxfId="128" dataCellStyle="Normal 3"/>
    <tableColumn id="5" xr3:uid="{09C3BF4E-C2AE-4497-AAA2-CF5A8A70B030}" name="32" dataDxfId="127" dataCellStyle="Normal 3"/>
    <tableColumn id="6" xr3:uid="{E9F444F5-7F75-4B80-BC2D-E9E92BB7C32D}" name="33" dataDxfId="126" dataCellStyle="Normal 3"/>
    <tableColumn id="7" xr3:uid="{C42F56B6-C38E-41DC-811A-50AF69D04B80}" name="34" dataDxfId="125" dataCellStyle="Normal 3"/>
    <tableColumn id="8" xr3:uid="{1930235F-D2C0-482D-8CC0-6B3AC765E7EA}" name="35" dataDxfId="124" dataCellStyle="Normal 3"/>
    <tableColumn id="9" xr3:uid="{6FCF613B-A86F-4DC6-9CC5-0A1E44E3DFE0}" name="36" dataDxfId="123" dataCellStyle="Normal 3"/>
    <tableColumn id="10" xr3:uid="{19EA3429-FD7E-4BA0-96B7-70F520D9FE0F}" name="37" dataDxfId="122" dataCellStyle="Normal 3"/>
    <tableColumn id="11" xr3:uid="{A5D0DAE1-1017-4DE3-AEA6-1BAF97E0FBDC}" name="38" dataDxfId="121" dataCellStyle="Normal 3"/>
    <tableColumn id="12" xr3:uid="{ABC8E507-1120-436F-9E9F-E3A8852E2E1A}" name="39" dataDxfId="120"/>
    <tableColumn id="13" xr3:uid="{C69AC669-10C2-4E64-9F60-B4AA135FB3DF}" name="40" dataDxfId="119"/>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8" tableBorderDxfId="117">
  <autoFilter ref="Q2:AE3" xr:uid="{6D9D14EA-1966-4240-9028-DABDD72BB7BC}"/>
  <tableColumns count="15">
    <tableColumn id="1" xr3:uid="{F199066A-0899-4173-8784-FC618D5EFA3C}" name="Time" dataDxfId="116" dataCellStyle="Normal 3"/>
    <tableColumn id="2" xr3:uid="{DB040280-BEC7-49AA-A925-A050027B33E3}" name="15" dataDxfId="115" dataCellStyle="Normal 3"/>
    <tableColumn id="3" xr3:uid="{5D74EEBF-1FB4-4DF9-8EDD-C656F929ADA2}" name="16" dataDxfId="114" dataCellStyle="Normal 3"/>
    <tableColumn id="4" xr3:uid="{B1176DF8-22B4-4741-A534-22D0C72EF1F0}" name="17" dataDxfId="113" dataCellStyle="Normal 3"/>
    <tableColumn id="5" xr3:uid="{1E29EA65-5182-4B3E-817F-0D30B2884EC7}" name="18" dataDxfId="112" dataCellStyle="Normal 3"/>
    <tableColumn id="6" xr3:uid="{AF53AEFB-F310-4F08-91BC-82FB0F484ECA}" name="19" dataDxfId="111" dataCellStyle="Normal 3"/>
    <tableColumn id="7" xr3:uid="{EE472F61-D1B5-43CF-A661-FA1D47001C17}" name="20" dataDxfId="110" dataCellStyle="Normal 3"/>
    <tableColumn id="8" xr3:uid="{841D54C1-AB74-4CB1-8C7F-C38D11EFAD3F}" name="21" dataDxfId="109" dataCellStyle="Normal 3"/>
    <tableColumn id="9" xr3:uid="{F1FB485B-DEAA-4958-8C40-80934EA1437F}" name="22" dataDxfId="108" dataCellStyle="Normal 3"/>
    <tableColumn id="10" xr3:uid="{5C552A76-BD54-46C5-93AD-8F25289FA051}" name="23" dataDxfId="107" dataCellStyle="Normal 3"/>
    <tableColumn id="11" xr3:uid="{B20FA5F1-0522-49D0-9B5A-34570A8AE6EA}" name="24" dataDxfId="106" dataCellStyle="Normal 3"/>
    <tableColumn id="12" xr3:uid="{0BC87A98-B9AC-4CD6-9F9B-D04190073E2A}" name="25" dataDxfId="105"/>
    <tableColumn id="13" xr3:uid="{D62EA80B-BBE3-4A29-89AB-EE04C6E03547}" name="26" dataDxfId="104"/>
    <tableColumn id="14" xr3:uid="{6D7DE537-763F-40F1-AC16-33F228CBC8D1}" name="27" dataDxfId="103"/>
    <tableColumn id="15" xr3:uid="{F8FA9620-DB21-4BAE-8D97-FF38B70679C9}" name="28" dataDxfId="10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1" dataDxfId="100" tableBorderDxfId="99">
  <autoFilter ref="A2:O3" xr:uid="{73A9D9BA-FF58-4A3F-98F7-9A835492E25D}"/>
  <tableColumns count="15">
    <tableColumn id="1" xr3:uid="{73B888B4-4146-4E26-9B39-0FC537A113C8}" name="Time" dataDxfId="98" dataCellStyle="Normal 3"/>
    <tableColumn id="2" xr3:uid="{6F1EF879-7C87-4A56-A394-30C6E5BDB32A}" name="1" dataDxfId="97" dataCellStyle="Normal 3"/>
    <tableColumn id="3" xr3:uid="{B2FA8A6A-D50A-41E8-942A-379C757B6A2B}" name="2" dataDxfId="96" dataCellStyle="Normal 3"/>
    <tableColumn id="4" xr3:uid="{F92FE975-D84B-4B73-B49D-3B746FAA3D21}" name="3" dataDxfId="95" dataCellStyle="Normal 3"/>
    <tableColumn id="5" xr3:uid="{7820E0E9-F621-4361-A572-234B3CB7F864}" name="4" dataDxfId="94" dataCellStyle="Normal 3"/>
    <tableColumn id="6" xr3:uid="{A46C0BCA-2139-4CD3-B02F-C4D3F8E65309}" name="5" dataDxfId="93" dataCellStyle="Normal 3"/>
    <tableColumn id="7" xr3:uid="{334BDF50-1D79-41BC-BA09-7B69018332AE}" name="6" dataDxfId="92" dataCellStyle="Normal 3"/>
    <tableColumn id="8" xr3:uid="{6C11BC6A-3E21-4CDE-9CD4-C8EBCF50B6DB}" name="7" dataDxfId="91" dataCellStyle="Normal 3"/>
    <tableColumn id="9" xr3:uid="{1EEEA607-5177-4C19-A1BC-B12D19FF055B}" name="8" dataDxfId="90" dataCellStyle="Normal 3"/>
    <tableColumn id="10" xr3:uid="{ACF909CE-C221-4157-9298-18F2C140C147}" name="9" dataDxfId="89" dataCellStyle="Normal 3"/>
    <tableColumn id="11" xr3:uid="{182688D3-AD0D-4518-A7FE-0C281ABCDF76}" name="10" dataDxfId="88" dataCellStyle="Normal 3"/>
    <tableColumn id="12" xr3:uid="{54AFFA30-00C2-440A-92A2-139F62F751BE}" name="11" dataDxfId="87"/>
    <tableColumn id="13" xr3:uid="{DCF0B43C-F320-4031-91C6-8514285AF6CA}" name="12" dataDxfId="86"/>
    <tableColumn id="14" xr3:uid="{53A56FC8-0536-4D94-A335-FFCBCBEAF45E}" name="13" dataDxfId="85"/>
    <tableColumn id="15" xr3:uid="{F49FEB6E-05C2-4E90-A6CE-A0C9C694642A}" name="14" dataDxfId="84"/>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3" dataDxfId="82">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1"/>
    <tableColumn id="3" xr3:uid="{5F5E8FED-27C7-498A-86F2-8DE1BF0A773A}" uniqueName="3" name="Address2" queryTableFieldId="82" dataDxfId="80"/>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9"/>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78" dataDxfId="77">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6"/>
    <tableColumn id="3" xr3:uid="{A4F2902A-51C9-47F2-ABB5-33476BF6B798}" uniqueName="3" name="login_email" queryTableFieldId="5"/>
    <tableColumn id="4" xr3:uid="{93F361AC-D356-4A7B-A6F2-34FB0F71E2F6}" uniqueName="4" name="IsPyro" queryTableFieldId="7" dataDxfId="7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 dataDxfId="8" headerRowCellStyle="Normal 2" dataCellStyle="Normal 2">
  <autoFilter ref="U11:V25" xr:uid="{DCCFF26E-EC5C-4962-98DB-A7DA1F3C8CE2}"/>
  <tableColumns count="2">
    <tableColumn id="1" xr3:uid="{DFC40837-B092-4826-9847-4A23BE22020F}" name="4" dataDxfId="7" dataCellStyle="Normal 2"/>
    <tableColumn id="2" xr3:uid="{0711DB07-19DA-4D5E-A417-C242A0304453}" name="10" dataDxfId="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913</v>
      </c>
      <c r="E1" s="36" t="s">
        <v>914</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I5X7W/zI74hDtoZA6vH18Os0rFIOx3/cor05kU0EhzCbs2pFq6rrU6JBrst0KweyKOwN2jEp9ZetMSXgh/B2hA==" saltValue="4+9bhdCEPIpUW/r0wV2Nj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6w1OagXbMyXi/434jU4FYXekSFdJF8QXYkpu2olaYPRXzIku4Q2qS2wXCc4pSvMCbQ6fpIpQAjxkF7Lvwj1IhA==" saltValue="rMYpyPIVlg4PLq8w4Cvre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926</v>
      </c>
      <c r="G1" s="39" t="s">
        <v>929</v>
      </c>
      <c r="I1" s="495" t="s">
        <v>923</v>
      </c>
      <c r="J1" s="496"/>
      <c r="L1" s="36"/>
      <c r="M1" s="454" t="s">
        <v>918</v>
      </c>
      <c r="N1" s="455" t="s">
        <v>15</v>
      </c>
      <c r="O1" s="455" t="s">
        <v>922</v>
      </c>
      <c r="P1" s="455" t="s">
        <v>912</v>
      </c>
      <c r="Q1" s="455" t="s">
        <v>14</v>
      </c>
    </row>
    <row r="2" spans="1:17" ht="13.5" thickTop="1" x14ac:dyDescent="0.2">
      <c r="I2" s="465" t="s">
        <v>919</v>
      </c>
      <c r="J2" s="466">
        <f>COUNTIF(Survey[TestPoint],"&lt;=5")-1</f>
        <v>-1</v>
      </c>
      <c r="L2" s="477" t="s">
        <v>1</v>
      </c>
      <c r="M2" s="461" t="e">
        <f>_xlfn.XLOOKUP(P2,Survey[CorrectedTemp],Survey[TestPoint])</f>
        <v>#N/A</v>
      </c>
      <c r="N2" s="456">
        <f>P2-NominalTemp</f>
        <v>0</v>
      </c>
      <c r="O2" s="457" t="s">
        <v>272</v>
      </c>
      <c r="P2" s="456">
        <f>MAX(Survey[CorrectedTemp])</f>
        <v>0</v>
      </c>
      <c r="Q2" s="458" t="e">
        <f>_xlfn.XLOOKUP(P2,Survey[CorrectedTemp],Survey[Time])</f>
        <v>#N/A</v>
      </c>
    </row>
    <row r="3" spans="1:17" x14ac:dyDescent="0.2">
      <c r="I3" s="471" t="s">
        <v>927</v>
      </c>
      <c r="J3" s="472" t="e">
        <f>_xlfn.T.INV.2T(1-0.9545, DoF)</f>
        <v>#NUM!</v>
      </c>
      <c r="L3" s="477" t="s">
        <v>2</v>
      </c>
      <c r="M3" s="462" t="e">
        <f>_xlfn.XLOOKUP(P3,Survey[CorrectedTemp],Survey[TestPoint])</f>
        <v>#N/A</v>
      </c>
      <c r="N3" s="459">
        <f>P3-NominalTemp</f>
        <v>0</v>
      </c>
      <c r="O3" s="448" t="s">
        <v>273</v>
      </c>
      <c r="P3" s="459">
        <f>MIN(Survey[CorrectedTemp])</f>
        <v>0</v>
      </c>
      <c r="Q3" s="460" t="e">
        <f>_xlfn.XLOOKUP(P3,Survey[CorrectedTemp],Survey[Time])</f>
        <v>#N/A</v>
      </c>
    </row>
    <row r="4" spans="1:17" x14ac:dyDescent="0.2">
      <c r="I4" s="467" t="s">
        <v>931</v>
      </c>
      <c r="J4" s="468" cm="1">
        <f t="array" ref="J4">SUM(_xlfn._xlws.FILTER(Survey[Deviations],Survey[TestPoint]&lt;=5)^2)/DoF</f>
        <v>0</v>
      </c>
      <c r="L4" s="497" t="s">
        <v>924</v>
      </c>
      <c r="M4" s="140">
        <v>1</v>
      </c>
      <c r="O4" t="str" cm="1">
        <f t="array" ref="O4">IF(
  Main!O5 = "",
  "",
  IF(
    COUNTIF(Survey[TestPoint], Alerts[[#This Row],[TestPoint]]) = 0,
    "DROPPED",
    IF(
      OR(
        _xlfn._xlws.FILTER(
          Survey[OutOfTolerance],
          Survey[TestPoint] = Alerts[[#This Row],[TestPoint]]
        )
      ),
      "Out of Tol",
      ""
    )
  )
)</f>
        <v/>
      </c>
    </row>
    <row r="5" spans="1:17" x14ac:dyDescent="0.2">
      <c r="I5" s="471" t="s">
        <v>932</v>
      </c>
      <c r="J5" s="473" cm="1">
        <f t="array" ref="J5">VLOOKUP(NominalTemp,_xlfn._xlws.FILTER(MUG[],MUG[Meas Units]="°F"),8,TRUE)</f>
        <v>0.66776102980616914</v>
      </c>
      <c r="L5" s="497"/>
      <c r="M5" s="140">
        <v>2</v>
      </c>
      <c r="O5" t="str" cm="1">
        <f t="array" ref="O5">IF(
  Main!O6 = "",
  "",
  IF(
    COUNTIF(Survey[TestPoint], Alerts[[#This Row],[TestPoint]]) = 0,
    "DROPPED",
    IF(
      OR(
        _xlfn._xlws.FILTER(
          Survey[OutOfTolerance],
          Survey[TestPoint] = Alerts[[#This Row],[TestPoint]]
        )
      ),
      "Out of Tol",
      ""
    )
  )
)</f>
        <v/>
      </c>
    </row>
    <row r="6" spans="1:17" x14ac:dyDescent="0.2">
      <c r="I6" s="467" t="s">
        <v>930</v>
      </c>
      <c r="J6" s="468">
        <f>SQRT(Base₂^2+sp²)</f>
        <v>0.66776102980616914</v>
      </c>
      <c r="L6" s="497"/>
      <c r="M6" s="140">
        <v>3</v>
      </c>
      <c r="O6" t="str" cm="1">
        <f t="array" ref="O6">IF(
  Main!O7 = "",
  "",
  IF(
    COUNTIF(Survey[TestPoint], Alerts[[#This Row],[TestPoint]]) = 0,
    "DROPPED",
    IF(
      OR(
        _xlfn._xlws.FILTER(
          Survey[OutOfTolerance],
          Survey[TestPoint] = Alerts[[#This Row],[TestPoint]]
        )
      ),
      "Out of Tol",
      ""
    )
  )
)</f>
        <v/>
      </c>
    </row>
    <row r="7" spans="1:17" x14ac:dyDescent="0.2">
      <c r="I7" s="471" t="s">
        <v>920</v>
      </c>
      <c r="J7" s="474" t="e">
        <f>J6*k</f>
        <v>#NUM!</v>
      </c>
      <c r="L7" s="497"/>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9" t="s">
        <v>921</v>
      </c>
      <c r="J8" s="470">
        <f>VLOOKUP(NominalTemp,CMCs[],3,TRUE)</f>
        <v>1.6</v>
      </c>
      <c r="L8" s="497"/>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5" t="s">
        <v>928</v>
      </c>
      <c r="J9" s="476" t="e">
        <f>MAX(J7,J8)</f>
        <v>#NUM!</v>
      </c>
      <c r="L9" s="497"/>
      <c r="M9" s="140">
        <v>6</v>
      </c>
      <c r="O9" t="str" cm="1">
        <f t="array" ref="O9">IF(
  Main!O10 = "",
  "",
  IF(
    COUNTIF(Survey[TestPoint], Alerts[[#This Row],[TestPoint]]) = 0,
    "DROPPED",
    IF(
      OR(
        _xlfn._xlws.FILTER(
          Survey[OutOfTolerance],
          Survey[TestPoint] = Alerts[[#This Row],[TestPoint]]
        )
      ),
      "Out of Tol",
      ""
    )
  )
)</f>
        <v/>
      </c>
    </row>
    <row r="10" spans="1:17" x14ac:dyDescent="0.2">
      <c r="L10" s="497"/>
      <c r="M10" s="140">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0">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0">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0">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0">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0">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0"/>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870</v>
      </c>
      <c r="B1" s="412" t="s">
        <v>871</v>
      </c>
    </row>
    <row r="2" spans="1:3" x14ac:dyDescent="0.2">
      <c r="A2" s="39"/>
      <c r="B2" s="39"/>
    </row>
    <row r="3" spans="1:3" x14ac:dyDescent="0.2">
      <c r="A3" s="39" t="s">
        <v>577</v>
      </c>
      <c r="B3" s="39" t="s">
        <v>578</v>
      </c>
      <c r="C3" s="39" t="s">
        <v>872</v>
      </c>
    </row>
    <row r="4" spans="1:3" x14ac:dyDescent="0.2">
      <c r="A4" s="411">
        <v>-100</v>
      </c>
      <c r="B4" s="411">
        <v>392</v>
      </c>
      <c r="C4" s="410">
        <v>1.6</v>
      </c>
    </row>
    <row r="5" spans="1:3" x14ac:dyDescent="0.2">
      <c r="A5" s="411">
        <v>392</v>
      </c>
      <c r="B5" s="411">
        <v>752</v>
      </c>
      <c r="C5" s="410">
        <v>4</v>
      </c>
    </row>
    <row r="6" spans="1:3" x14ac:dyDescent="0.2">
      <c r="A6" s="411">
        <v>752</v>
      </c>
      <c r="B6" s="411">
        <v>1200</v>
      </c>
      <c r="C6" s="410">
        <v>3</v>
      </c>
    </row>
    <row r="7" spans="1:3" x14ac:dyDescent="0.2">
      <c r="A7" s="411">
        <v>1200</v>
      </c>
      <c r="B7" s="411">
        <v>2000</v>
      </c>
      <c r="C7" s="410">
        <v>4.0999999999999996</v>
      </c>
    </row>
    <row r="8" spans="1:3" x14ac:dyDescent="0.2">
      <c r="A8" s="411">
        <v>1800</v>
      </c>
      <c r="B8" s="411">
        <v>2200</v>
      </c>
      <c r="C8" s="410">
        <v>4.0999999999999996</v>
      </c>
    </row>
  </sheetData>
  <sheetProtection algorithmName="SHA-512" hashValue="T+aqtEwx4k40qlpehrqjvKwk//jrSKmsJTkaaIf9R5tPV9Byq0Y0OF+Rrm4cY8m7PAe53VgUjAsMEMAQMUCX6Q==" saltValue="sgA690irJ8RoAHRgkGiJC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1"/>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6" ht="23.25" x14ac:dyDescent="0.35">
      <c r="A1" s="333" t="s">
        <v>953</v>
      </c>
      <c r="B1" s="334"/>
      <c r="C1" s="528" t="s">
        <v>50</v>
      </c>
      <c r="D1" s="529"/>
      <c r="E1" s="529"/>
      <c r="F1" s="529"/>
      <c r="G1" s="141" t="e" cm="1">
        <f t="array" ref="G1">GetFormattedWorkItemNumber(K14, D24)</f>
        <v>#VALUE!</v>
      </c>
      <c r="H1" s="141"/>
      <c r="I1" s="142"/>
      <c r="J1" s="316"/>
      <c r="K1" s="316"/>
      <c r="L1" s="316"/>
      <c r="M1" s="316"/>
      <c r="N1" s="316"/>
      <c r="O1" s="316"/>
      <c r="P1" s="316"/>
      <c r="Q1" s="316"/>
      <c r="R1" s="316"/>
      <c r="S1" s="316"/>
    </row>
    <row r="2" spans="1:26" ht="12.75" customHeight="1" x14ac:dyDescent="0.2">
      <c r="A2" s="335"/>
      <c r="B2" s="336"/>
      <c r="C2" s="316"/>
      <c r="D2" s="316"/>
      <c r="E2" s="337"/>
      <c r="F2" s="337"/>
      <c r="G2" s="336"/>
      <c r="H2" s="316"/>
      <c r="I2" s="316"/>
      <c r="J2" s="316"/>
      <c r="K2" s="316"/>
      <c r="L2" s="317"/>
      <c r="M2" s="317"/>
      <c r="N2" s="317"/>
      <c r="O2" s="317"/>
      <c r="P2" s="317"/>
      <c r="Q2" s="317"/>
      <c r="R2" s="317"/>
      <c r="S2" s="317"/>
      <c r="T2" s="317"/>
      <c r="U2" s="317"/>
      <c r="V2" s="317"/>
    </row>
    <row r="3" spans="1:26" x14ac:dyDescent="0.2">
      <c r="A3" s="335"/>
      <c r="B3" s="144"/>
      <c r="C3" s="145" t="s">
        <v>72</v>
      </c>
      <c r="D3" s="293"/>
      <c r="E3" s="316"/>
      <c r="F3" s="316"/>
      <c r="G3" s="316"/>
      <c r="H3" s="316"/>
      <c r="I3" s="316"/>
      <c r="J3" s="530" t="s">
        <v>102</v>
      </c>
      <c r="K3" s="531"/>
      <c r="L3" s="532"/>
      <c r="M3" s="316"/>
      <c r="N3" s="547" t="s">
        <v>91</v>
      </c>
      <c r="O3" s="547"/>
      <c r="P3" s="547"/>
      <c r="Q3" s="547"/>
      <c r="R3" s="547"/>
      <c r="S3" s="547"/>
      <c r="T3" s="317"/>
      <c r="U3" s="317"/>
      <c r="V3" s="317"/>
      <c r="W3" s="318"/>
      <c r="X3" s="318"/>
      <c r="Y3" s="318"/>
      <c r="Z3" s="318"/>
    </row>
    <row r="4" spans="1:26" x14ac:dyDescent="0.2">
      <c r="A4" s="335"/>
      <c r="B4" s="144"/>
      <c r="C4" s="145" t="s">
        <v>232</v>
      </c>
      <c r="D4" s="298" t="str">
        <f>IF(Condition="","",Condition)</f>
        <v/>
      </c>
      <c r="E4" s="316"/>
      <c r="F4" s="316"/>
      <c r="G4" s="316"/>
      <c r="H4" s="316"/>
      <c r="I4" s="316"/>
      <c r="J4" s="535" t="s">
        <v>1</v>
      </c>
      <c r="K4" s="536"/>
      <c r="L4" s="146">
        <f>IFERROR(Survey!N2,0)</f>
        <v>0</v>
      </c>
      <c r="M4" s="316"/>
      <c r="N4" s="147" t="s">
        <v>90</v>
      </c>
      <c r="O4" s="148" t="s">
        <v>89</v>
      </c>
      <c r="P4" s="533" t="s">
        <v>100</v>
      </c>
      <c r="Q4" s="534"/>
      <c r="R4" s="147" t="s">
        <v>137</v>
      </c>
      <c r="S4" s="147" t="s">
        <v>141</v>
      </c>
      <c r="T4" s="317"/>
      <c r="U4" s="319"/>
      <c r="V4" s="319"/>
      <c r="W4" s="319"/>
      <c r="X4" s="319"/>
      <c r="Y4" s="319"/>
      <c r="Z4" s="319"/>
    </row>
    <row r="5" spans="1:26" x14ac:dyDescent="0.2">
      <c r="A5" s="335"/>
      <c r="B5" s="144"/>
      <c r="C5" s="145" t="s">
        <v>41</v>
      </c>
      <c r="D5" s="551" t="e">
        <f>companyName</f>
        <v>#N/A</v>
      </c>
      <c r="E5" s="552"/>
      <c r="F5" s="552"/>
      <c r="G5" s="552"/>
      <c r="H5" s="553"/>
      <c r="I5" s="299"/>
      <c r="J5" s="535" t="s">
        <v>2</v>
      </c>
      <c r="K5" s="536"/>
      <c r="L5" s="146">
        <f>IFERROR(Survey!N3,0)</f>
        <v>0</v>
      </c>
      <c r="M5" s="316"/>
      <c r="N5" s="463">
        <v>1</v>
      </c>
      <c r="O5" s="149"/>
      <c r="P5" s="564" t="str">
        <f>VLOOKUP(N5,Alerts[],3,FALSE)</f>
        <v/>
      </c>
      <c r="Q5" s="565"/>
      <c r="R5" s="464" t="str" cm="1">
        <f t="array" ref="R5">IFZERO(VLOOKUP(N5,Alerts[],4,FALSE),"")</f>
        <v/>
      </c>
      <c r="S5" s="150" t="str" cm="1">
        <f t="array" ref="S5">IFZERO(VLOOKUP(N5,Alerts[],5,FALSE),"")</f>
        <v/>
      </c>
      <c r="T5" s="317"/>
      <c r="U5" s="319"/>
      <c r="V5" s="319"/>
      <c r="W5" s="319"/>
      <c r="X5" s="319" t="str">
        <f>IF(O5,1,"")</f>
        <v/>
      </c>
      <c r="Y5" s="319"/>
      <c r="Z5" s="319"/>
    </row>
    <row r="6" spans="1:26" x14ac:dyDescent="0.2">
      <c r="A6" s="335"/>
      <c r="B6" s="144"/>
      <c r="C6" s="145" t="s">
        <v>40</v>
      </c>
      <c r="D6" s="548" t="e">
        <f>VLOOKUP("assetName",WorkItemDetails[],2,FALSE)</f>
        <v>#N/A</v>
      </c>
      <c r="E6" s="549"/>
      <c r="F6" s="549"/>
      <c r="G6" s="549"/>
      <c r="H6" s="550"/>
      <c r="I6" s="291"/>
      <c r="J6" s="535" t="s">
        <v>101</v>
      </c>
      <c r="K6" s="536"/>
      <c r="L6" s="146">
        <f>L4-L5</f>
        <v>0</v>
      </c>
      <c r="M6" s="316"/>
      <c r="N6" s="463">
        <v>2</v>
      </c>
      <c r="O6" s="149"/>
      <c r="P6" s="564" t="str">
        <f>VLOOKUP(N6,Alerts[],3,FALSE)</f>
        <v/>
      </c>
      <c r="Q6" s="565"/>
      <c r="R6" s="464" t="str" cm="1">
        <f t="array" ref="R6">IFZERO(VLOOKUP(N6,Alerts[],4,FALSE),"")</f>
        <v/>
      </c>
      <c r="S6" s="150" t="str" cm="1">
        <f t="array" ref="S6">IFZERO(VLOOKUP(N6,Alerts[],5,FALSE),"")</f>
        <v/>
      </c>
      <c r="T6" s="317"/>
      <c r="U6" s="319"/>
      <c r="V6" s="319"/>
      <c r="W6" s="319"/>
      <c r="X6" s="319" t="str">
        <f t="shared" ref="X6:X44" si="0">IF(O6,1,"")</f>
        <v/>
      </c>
      <c r="Y6" s="319"/>
      <c r="Z6" s="319"/>
    </row>
    <row r="7" spans="1:26" x14ac:dyDescent="0.2">
      <c r="A7" s="335"/>
      <c r="B7" s="151"/>
      <c r="C7" s="152" t="s">
        <v>27</v>
      </c>
      <c r="D7" s="414" t="str" cm="1">
        <f t="array" ref="D7">Employee[Name]</f>
        <v>Jeff Hall</v>
      </c>
      <c r="E7" s="316"/>
      <c r="F7" s="316"/>
      <c r="G7" s="316"/>
      <c r="H7" s="316"/>
      <c r="I7" s="316"/>
      <c r="J7" s="338"/>
      <c r="K7" s="338"/>
      <c r="L7" s="338"/>
      <c r="M7" s="316"/>
      <c r="N7" s="463">
        <v>3</v>
      </c>
      <c r="O7" s="149"/>
      <c r="P7" s="564" t="str">
        <f>VLOOKUP(N7,Alerts[],3,FALSE)</f>
        <v/>
      </c>
      <c r="Q7" s="565"/>
      <c r="R7" s="464" t="str" cm="1">
        <f t="array" ref="R7">IFZERO(VLOOKUP(N7,Alerts[],4,FALSE),"")</f>
        <v/>
      </c>
      <c r="S7" s="150" t="str" cm="1">
        <f t="array" ref="S7">IFZERO(VLOOKUP(N7,Alerts[],5,FALSE),"")</f>
        <v/>
      </c>
      <c r="T7" s="317"/>
      <c r="U7" s="319"/>
      <c r="V7" s="319"/>
      <c r="W7" s="319"/>
      <c r="X7" s="319" t="str">
        <f t="shared" si="0"/>
        <v/>
      </c>
      <c r="Y7" s="319"/>
      <c r="Z7" s="319"/>
    </row>
    <row r="8" spans="1:26" x14ac:dyDescent="0.2">
      <c r="A8" s="335"/>
      <c r="B8" s="331"/>
      <c r="C8" s="339"/>
      <c r="D8" s="340"/>
      <c r="E8" s="316"/>
      <c r="F8" s="341" t="str">
        <f>IF(N49="","CHECK TUNING CONSTANTS","")</f>
        <v>CHECK TUNING CONSTANTS</v>
      </c>
      <c r="G8" s="316"/>
      <c r="H8" s="316"/>
      <c r="I8" s="316"/>
      <c r="J8" s="316"/>
      <c r="K8" s="316"/>
      <c r="L8" s="316"/>
      <c r="M8" s="316"/>
      <c r="N8" s="463">
        <v>4</v>
      </c>
      <c r="O8" s="149"/>
      <c r="P8" s="564" t="str">
        <f>VLOOKUP(N8,Alerts[],3,FALSE)</f>
        <v/>
      </c>
      <c r="Q8" s="565"/>
      <c r="R8" s="464" t="str" cm="1">
        <f t="array" ref="R8">IFZERO(VLOOKUP(N8,Alerts[],4,FALSE),"")</f>
        <v/>
      </c>
      <c r="S8" s="150" t="str" cm="1">
        <f t="array" ref="S8">IFZERO(VLOOKUP(N8,Alerts[],5,FALSE),"")</f>
        <v/>
      </c>
      <c r="T8" s="317"/>
      <c r="U8" s="319"/>
      <c r="V8" s="319"/>
      <c r="W8" s="319"/>
      <c r="X8" s="319" t="str">
        <f t="shared" si="0"/>
        <v/>
      </c>
      <c r="Y8" s="319"/>
      <c r="Z8" s="319"/>
    </row>
    <row r="9" spans="1:26" ht="12.75" customHeight="1" x14ac:dyDescent="0.2">
      <c r="A9" s="335"/>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3">
        <v>5</v>
      </c>
      <c r="O9" s="149"/>
      <c r="P9" s="564" t="str">
        <f>VLOOKUP(N9,Alerts[],3,FALSE)</f>
        <v/>
      </c>
      <c r="Q9" s="565"/>
      <c r="R9" s="464" t="str" cm="1">
        <f t="array" ref="R9">IFZERO(VLOOKUP(N9,Alerts[],4,FALSE),"")</f>
        <v/>
      </c>
      <c r="S9" s="150" t="str" cm="1">
        <f t="array" ref="S9">IFZERO(VLOOKUP(N9,Alerts[],5,FALSE),"")</f>
        <v/>
      </c>
      <c r="T9" s="317"/>
      <c r="U9" s="319"/>
      <c r="V9" s="319"/>
      <c r="W9" s="319"/>
      <c r="X9" s="319" t="str">
        <f t="shared" si="0"/>
        <v/>
      </c>
      <c r="Y9" s="319"/>
      <c r="Z9" s="319"/>
    </row>
    <row r="10" spans="1:26" x14ac:dyDescent="0.2">
      <c r="A10" s="335"/>
      <c r="B10" s="331"/>
      <c r="C10" s="332"/>
      <c r="D10" s="316"/>
      <c r="E10" s="316"/>
      <c r="F10" s="316"/>
      <c r="G10" s="317" t="str">
        <f>IFERROR(IF(OR(Survey[OutOfTolerance]),"!!!!! OVEN IS OOT !!!!!",""),"")</f>
        <v/>
      </c>
      <c r="H10" s="316"/>
      <c r="I10" s="316"/>
      <c r="J10" s="316"/>
      <c r="K10" s="316"/>
      <c r="L10" s="316"/>
      <c r="M10" s="316"/>
      <c r="N10" s="463">
        <v>6</v>
      </c>
      <c r="O10" s="149"/>
      <c r="P10" s="564" t="str">
        <f>VLOOKUP(N10,Alerts[],3,FALSE)</f>
        <v/>
      </c>
      <c r="Q10" s="565"/>
      <c r="R10" s="464" t="str" cm="1">
        <f t="array" ref="R10">IFZERO(VLOOKUP(N10,Alerts[],4,FALSE),"")</f>
        <v/>
      </c>
      <c r="S10" s="150" t="str" cm="1">
        <f t="array" ref="S10">IFZERO(VLOOKUP(N10,Alerts[],5,FALSE),"")</f>
        <v/>
      </c>
      <c r="T10" s="317"/>
      <c r="U10" s="319"/>
      <c r="V10" s="319"/>
      <c r="W10" s="319"/>
      <c r="X10" s="319" t="str">
        <f t="shared" si="0"/>
        <v/>
      </c>
      <c r="Y10" s="319"/>
      <c r="Z10" s="319"/>
    </row>
    <row r="11" spans="1:26" x14ac:dyDescent="0.2">
      <c r="A11" s="335"/>
      <c r="B11" s="144"/>
      <c r="C11" s="153" t="s">
        <v>53</v>
      </c>
      <c r="D11" s="494" t="e">
        <f>VLOOKUP("serial_number",DaqbookServiceRecord[], 2, FALSE)</f>
        <v>#N/A</v>
      </c>
      <c r="E11" s="316"/>
      <c r="F11" s="316"/>
      <c r="G11" s="317" t="str">
        <f>IF(OR(ISBLANK(D3),ISBLANK(D13)),"",IF(D13&lt;D3,"!!!!! DAQBOOK IS OUT OF CERTIFICATION !!!!!",""))</f>
        <v/>
      </c>
      <c r="H11" s="316"/>
      <c r="I11" s="316"/>
      <c r="J11" s="316"/>
      <c r="K11" s="316"/>
      <c r="L11" s="316"/>
      <c r="M11" s="316"/>
      <c r="N11" s="463">
        <v>7</v>
      </c>
      <c r="O11" s="149"/>
      <c r="P11" s="564" t="str">
        <f>VLOOKUP(N11,Alerts[],3,FALSE)</f>
        <v/>
      </c>
      <c r="Q11" s="565"/>
      <c r="R11" s="464" t="str" cm="1">
        <f t="array" ref="R11">IFZERO(VLOOKUP(N11,Alerts[],4,FALSE),"")</f>
        <v/>
      </c>
      <c r="S11" s="150" t="str" cm="1">
        <f t="array" ref="S11">IFZERO(VLOOKUP(N11,Alerts[],5,FALSE),"")</f>
        <v/>
      </c>
      <c r="T11" s="317"/>
      <c r="U11" s="319"/>
      <c r="V11" s="319"/>
      <c r="W11" s="319"/>
      <c r="X11" s="319" t="str">
        <f t="shared" si="0"/>
        <v/>
      </c>
      <c r="Y11" s="319"/>
      <c r="Z11" s="319"/>
    </row>
    <row r="12" spans="1:26" x14ac:dyDescent="0.2">
      <c r="A12" s="335"/>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8"/>
      <c r="K12" s="320"/>
      <c r="L12" s="338"/>
      <c r="M12" s="320"/>
      <c r="N12" s="463">
        <v>8</v>
      </c>
      <c r="O12" s="149"/>
      <c r="P12" s="564" t="str">
        <f>VLOOKUP(N12,Alerts[],3,FALSE)</f>
        <v/>
      </c>
      <c r="Q12" s="565"/>
      <c r="R12" s="464" t="str" cm="1">
        <f t="array" ref="R12">IFZERO(VLOOKUP(N12,Alerts[],4,FALSE),"")</f>
        <v/>
      </c>
      <c r="S12" s="150" t="str" cm="1">
        <f t="array" ref="S12">IFZERO(VLOOKUP(N12,Alerts[],5,FALSE),"")</f>
        <v/>
      </c>
      <c r="T12" s="317"/>
      <c r="U12" s="319"/>
      <c r="V12" s="319"/>
      <c r="W12" s="319"/>
      <c r="X12" s="319" t="str">
        <f t="shared" si="0"/>
        <v/>
      </c>
      <c r="Y12" s="319"/>
      <c r="Z12" s="319"/>
    </row>
    <row r="13" spans="1:26" x14ac:dyDescent="0.2">
      <c r="A13" s="335"/>
      <c r="B13" s="154"/>
      <c r="C13" s="155" t="s">
        <v>86</v>
      </c>
      <c r="D13" s="292" t="e">
        <f>VLOOKUP("next_service_date",DaqbookServiceRecord[], 2, FALSE)</f>
        <v>#N/A</v>
      </c>
      <c r="E13" s="316"/>
      <c r="F13" s="342"/>
      <c r="G13" s="332" t="str">
        <f>IF(IF(COUNTIFS(DataForChannels15to28[],"&gt;"&amp;B2,DataForChannels15to28[],"&lt;"&amp;(B2+200))&gt;0,1,0)=1,"!!!!! OVEN OVERSHOT IN POINTS 15-28 !!!!!","")</f>
        <v/>
      </c>
      <c r="H13" s="316"/>
      <c r="I13" s="316"/>
      <c r="J13" s="252" t="s">
        <v>327</v>
      </c>
      <c r="K13" s="545" t="str">
        <f>IFERROR(VLOOKUP("PoNumber",WorkItemDetails[],2,FALSE),"")</f>
        <v/>
      </c>
      <c r="L13" s="546"/>
      <c r="M13" s="316"/>
      <c r="N13" s="463">
        <v>9</v>
      </c>
      <c r="O13" s="149"/>
      <c r="P13" s="564" t="str">
        <f>VLOOKUP(N13,Alerts[],3,FALSE)</f>
        <v/>
      </c>
      <c r="Q13" s="565"/>
      <c r="R13" s="464" t="str" cm="1">
        <f t="array" ref="R13">IFZERO(VLOOKUP(N13,Alerts[],4,FALSE),"")</f>
        <v/>
      </c>
      <c r="S13" s="150" t="str" cm="1">
        <f t="array" ref="S13">IFZERO(VLOOKUP(N13,Alerts[],5,FALSE),"")</f>
        <v/>
      </c>
      <c r="T13" s="317"/>
      <c r="U13" s="319"/>
      <c r="V13" s="319"/>
      <c r="W13" s="319"/>
      <c r="X13" s="319" t="str">
        <f t="shared" si="0"/>
        <v/>
      </c>
      <c r="Y13" s="319"/>
      <c r="Z13" s="319"/>
    </row>
    <row r="14" spans="1:26" x14ac:dyDescent="0.2">
      <c r="A14" s="335"/>
      <c r="B14" s="144"/>
      <c r="C14" s="153" t="s">
        <v>88</v>
      </c>
      <c r="D14" s="494" t="e">
        <f>VLOOKUP("certificate_number",DaqbookServiceRecord[], 2, FALSE)</f>
        <v>#N/A</v>
      </c>
      <c r="E14" s="316"/>
      <c r="F14" s="316"/>
      <c r="G14" s="317" t="str">
        <f>IF(IF(COUNTIFS(DataForChannels29to40[],"&gt;"&amp;B2,DataForChannels29to40[],"&lt;"&amp;(B2+200))&gt;0,1,0)=1,"!!!!! OVEN OVERSHOT IN POINTS 29-40 !!!!!","")</f>
        <v/>
      </c>
      <c r="H14" s="316"/>
      <c r="I14" s="316"/>
      <c r="J14" s="156" t="s">
        <v>136</v>
      </c>
      <c r="K14" s="554"/>
      <c r="L14" s="555"/>
      <c r="M14" s="316"/>
      <c r="N14" s="463">
        <v>10</v>
      </c>
      <c r="O14" s="149"/>
      <c r="P14" s="564" t="str">
        <f>VLOOKUP(N14,Alerts[],3,FALSE)</f>
        <v/>
      </c>
      <c r="Q14" s="565"/>
      <c r="R14" s="464" t="str" cm="1">
        <f t="array" ref="R14">IFZERO(VLOOKUP(N14,Alerts[],4,FALSE),"")</f>
        <v/>
      </c>
      <c r="S14" s="150" t="str" cm="1">
        <f t="array" ref="S14">IFZERO(VLOOKUP(N14,Alerts[],5,FALSE),"")</f>
        <v/>
      </c>
      <c r="T14" s="317"/>
      <c r="U14" s="319"/>
      <c r="V14" s="319"/>
      <c r="W14" s="319"/>
      <c r="X14" s="319" t="str">
        <f t="shared" si="0"/>
        <v/>
      </c>
      <c r="Y14" s="319"/>
      <c r="Z14" s="319"/>
    </row>
    <row r="15" spans="1:26" x14ac:dyDescent="0.2">
      <c r="A15" s="335"/>
      <c r="B15" s="197"/>
      <c r="C15" s="195" t="s">
        <v>65</v>
      </c>
      <c r="D15" s="309"/>
      <c r="E15" s="316"/>
      <c r="F15" s="316"/>
      <c r="G15" s="316"/>
      <c r="H15" s="480" t="b">
        <v>1</v>
      </c>
      <c r="I15" s="316"/>
      <c r="J15" s="157" t="s">
        <v>131</v>
      </c>
      <c r="K15" s="539"/>
      <c r="L15" s="540"/>
      <c r="M15" s="316"/>
      <c r="N15" s="463">
        <v>11</v>
      </c>
      <c r="O15" s="149"/>
      <c r="P15" s="564" t="str">
        <f>VLOOKUP(N15,Alerts[],3,FALSE)</f>
        <v/>
      </c>
      <c r="Q15" s="565"/>
      <c r="R15" s="464" t="str" cm="1">
        <f t="array" ref="R15">IFZERO(VLOOKUP(N15,Alerts[],4,FALSE),"")</f>
        <v/>
      </c>
      <c r="S15" s="150" t="str" cm="1">
        <f t="array" ref="S15">IFZERO(VLOOKUP(N15,Alerts[],5,FALSE),"")</f>
        <v/>
      </c>
      <c r="T15" s="317"/>
      <c r="U15" s="319"/>
      <c r="V15" s="319"/>
      <c r="W15" s="319"/>
      <c r="X15" s="319" t="str">
        <f t="shared" si="0"/>
        <v/>
      </c>
      <c r="Y15" s="319"/>
      <c r="Z15" s="319"/>
    </row>
    <row r="16" spans="1:26" x14ac:dyDescent="0.2">
      <c r="A16" s="335"/>
      <c r="B16" s="158"/>
      <c r="C16" s="196" t="s">
        <v>266</v>
      </c>
      <c r="D16" s="309"/>
      <c r="E16" s="316"/>
      <c r="F16" s="156" t="s">
        <v>77</v>
      </c>
      <c r="G16" s="442" t="s">
        <v>271</v>
      </c>
      <c r="H16" s="443"/>
      <c r="I16" s="316"/>
      <c r="J16" s="501" t="s">
        <v>165</v>
      </c>
      <c r="K16" s="502"/>
      <c r="L16" s="297"/>
      <c r="M16" s="316"/>
      <c r="N16" s="463">
        <v>12</v>
      </c>
      <c r="O16" s="149"/>
      <c r="P16" s="564" t="str">
        <f>VLOOKUP(N16,Alerts[],3,FALSE)</f>
        <v/>
      </c>
      <c r="Q16" s="565"/>
      <c r="R16" s="464" t="str" cm="1">
        <f t="array" ref="R16">IFZERO(VLOOKUP(N16,Alerts[],4,FALSE),"")</f>
        <v/>
      </c>
      <c r="S16" s="150" t="str" cm="1">
        <f t="array" ref="S16">IFZERO(VLOOKUP(N16,Alerts[],5,FALSE),"")</f>
        <v/>
      </c>
      <c r="T16" s="317"/>
      <c r="U16" s="319"/>
      <c r="V16" s="319"/>
      <c r="W16" s="319"/>
      <c r="X16" s="319" t="str">
        <f t="shared" si="0"/>
        <v/>
      </c>
      <c r="Y16" s="319"/>
      <c r="Z16" s="319"/>
    </row>
    <row r="17" spans="1:26" x14ac:dyDescent="0.2">
      <c r="A17" s="335"/>
      <c r="B17" s="144"/>
      <c r="C17" s="145" t="s">
        <v>64</v>
      </c>
      <c r="D17" s="310"/>
      <c r="E17" s="316"/>
      <c r="F17" s="157" t="s">
        <v>96</v>
      </c>
      <c r="G17" s="415" t="str">
        <f>IF(ISBLANK(Load),"",Load)</f>
        <v/>
      </c>
      <c r="H17" s="316"/>
      <c r="I17" s="317"/>
      <c r="J17" s="501" t="s">
        <v>166</v>
      </c>
      <c r="K17" s="502"/>
      <c r="L17" s="160" t="str">
        <f>IF(K15="SIM Load Hot",TEXT(D26,"hh:mm"),"")</f>
        <v/>
      </c>
      <c r="M17" s="316"/>
      <c r="N17" s="463">
        <v>13</v>
      </c>
      <c r="O17" s="149"/>
      <c r="P17" s="564" t="str">
        <f>VLOOKUP(N17,Alerts[],3,FALSE)</f>
        <v/>
      </c>
      <c r="Q17" s="565"/>
      <c r="R17" s="464" t="str" cm="1">
        <f t="array" ref="R17">IFZERO(VLOOKUP(N17,Alerts[],4,FALSE),"")</f>
        <v/>
      </c>
      <c r="S17" s="150" t="str" cm="1">
        <f t="array" ref="S17">IFZERO(VLOOKUP(N17,Alerts[],5,FALSE),"")</f>
        <v/>
      </c>
      <c r="T17" s="317"/>
      <c r="U17" s="319"/>
      <c r="V17" s="319"/>
      <c r="W17" s="319"/>
      <c r="X17" s="319" t="str">
        <f t="shared" si="0"/>
        <v/>
      </c>
      <c r="Y17" s="319"/>
      <c r="Z17" s="319"/>
    </row>
    <row r="18" spans="1:26" x14ac:dyDescent="0.2">
      <c r="A18" s="335"/>
      <c r="B18" s="154"/>
      <c r="C18" s="161" t="s">
        <v>67</v>
      </c>
      <c r="D18" s="295"/>
      <c r="E18" s="316"/>
      <c r="F18" s="162" t="s">
        <v>78</v>
      </c>
      <c r="G18" s="556" t="s">
        <v>19</v>
      </c>
      <c r="H18" s="557"/>
      <c r="I18" s="317"/>
      <c r="J18" s="343"/>
      <c r="K18" s="316"/>
      <c r="L18" s="317"/>
      <c r="M18" s="316"/>
      <c r="N18" s="463">
        <v>14</v>
      </c>
      <c r="O18" s="149"/>
      <c r="P18" s="564" t="str">
        <f>VLOOKUP(N18,Alerts[],3,FALSE)</f>
        <v/>
      </c>
      <c r="Q18" s="565"/>
      <c r="R18" s="464" t="str" cm="1">
        <f t="array" ref="R18">IFZERO(VLOOKUP(N18,Alerts[],4,FALSE),"")</f>
        <v/>
      </c>
      <c r="S18" s="150" t="str" cm="1">
        <f t="array" ref="S18">IFZERO(VLOOKUP(N18,Alerts[],5,FALSE),"")</f>
        <v/>
      </c>
      <c r="T18" s="317"/>
      <c r="U18" s="319"/>
      <c r="V18" s="319"/>
      <c r="W18" s="319"/>
      <c r="X18" s="319" t="str">
        <f t="shared" si="0"/>
        <v/>
      </c>
      <c r="Y18" s="319"/>
      <c r="Z18" s="319"/>
    </row>
    <row r="19" spans="1:26" x14ac:dyDescent="0.2">
      <c r="A19" s="335"/>
      <c r="B19" s="144"/>
      <c r="C19" s="145" t="s">
        <v>10</v>
      </c>
      <c r="D19" s="486">
        <f>Header_Info!$BF$2</f>
        <v>0</v>
      </c>
      <c r="E19" s="316"/>
      <c r="F19" s="157" t="s">
        <v>79</v>
      </c>
      <c r="G19" s="537" t="str">
        <f>IF(K15="Salt",0, IF(OR(K15="Hot",K15="SIM Load Hot"),IF(OR(D26="",D28=""),"N/A",IF(ISBLANK(D26),"N/A",D28-D26)),"N/A"))</f>
        <v>N/A</v>
      </c>
      <c r="H19" s="538"/>
      <c r="I19" s="344" t="str">
        <f>IF(G19="N/A","N/A",IF(G19=0,"&lt;2",ROUND(IF(LEN(G19)&gt;3,G19*1440,RIGHT(TEXT(G19,"hh:mm"),2)),0))&amp;" MINUTES")</f>
        <v>N/A</v>
      </c>
      <c r="J19" s="343"/>
      <c r="K19" s="316"/>
      <c r="L19" s="317"/>
      <c r="M19" s="316"/>
      <c r="N19" s="463">
        <v>15</v>
      </c>
      <c r="O19" s="149"/>
      <c r="P19" s="564" t="str">
        <f>VLOOKUP(N19,Alerts[],3,FALSE)</f>
        <v/>
      </c>
      <c r="Q19" s="565"/>
      <c r="R19" s="464" t="str" cm="1">
        <f t="array" ref="R19">IFZERO(VLOOKUP(N19,Alerts[],4,FALSE),"")</f>
        <v/>
      </c>
      <c r="S19" s="150" t="str" cm="1">
        <f t="array" ref="S19">IFZERO(VLOOKUP(N19,Alerts[],5,FALSE),"")</f>
        <v/>
      </c>
      <c r="T19" s="317"/>
      <c r="U19" s="319"/>
      <c r="V19" s="319"/>
      <c r="W19" s="319"/>
      <c r="X19" s="319" t="str">
        <f t="shared" si="0"/>
        <v/>
      </c>
      <c r="Y19" s="319"/>
      <c r="Z19" s="319"/>
    </row>
    <row r="20" spans="1:26" ht="13.7" customHeight="1" x14ac:dyDescent="0.2">
      <c r="B20" s="541" t="str">
        <f>IF(E20=TRUE,"SAT Tolerance (per AMS2750):","SAT Tolerance (per BAC5621):")</f>
        <v>SAT Tolerance (per BAC5621):</v>
      </c>
      <c r="C20" s="542"/>
      <c r="D20" s="413" t="e">
        <f>G94</f>
        <v>#N/A</v>
      </c>
      <c r="E20" s="478" t="b">
        <v>0</v>
      </c>
      <c r="F20" s="316"/>
      <c r="G20" s="316"/>
      <c r="H20" s="316"/>
      <c r="I20" s="317"/>
      <c r="J20" s="316"/>
      <c r="K20" s="316"/>
      <c r="L20" s="317"/>
      <c r="M20" s="316"/>
      <c r="N20" s="463">
        <v>16</v>
      </c>
      <c r="O20" s="149"/>
      <c r="P20" s="564" t="str">
        <f>VLOOKUP(N20,Alerts[],3,FALSE)</f>
        <v/>
      </c>
      <c r="Q20" s="565"/>
      <c r="R20" s="464" t="str" cm="1">
        <f t="array" ref="R20">IFZERO(VLOOKUP(N20,Alerts[],4,FALSE),"")</f>
        <v/>
      </c>
      <c r="S20" s="150" t="str" cm="1">
        <f t="array" ref="S20">IFZERO(VLOOKUP(N20,Alerts[],5,FALSE),"")</f>
        <v/>
      </c>
      <c r="T20" s="317"/>
      <c r="U20" s="319"/>
      <c r="V20" s="319"/>
      <c r="W20" s="319"/>
      <c r="X20" s="319" t="str">
        <f t="shared" si="0"/>
        <v/>
      </c>
      <c r="Y20" s="319"/>
      <c r="Z20" s="319"/>
    </row>
    <row r="21" spans="1:26" x14ac:dyDescent="0.2">
      <c r="A21" s="335"/>
      <c r="B21" s="331"/>
      <c r="C21" s="345"/>
      <c r="D21" s="340"/>
      <c r="E21" s="316"/>
      <c r="F21" s="316"/>
      <c r="G21" s="316"/>
      <c r="H21" s="316"/>
      <c r="I21" s="317"/>
      <c r="J21" s="316"/>
      <c r="K21" s="316"/>
      <c r="L21" s="317"/>
      <c r="M21" s="316"/>
      <c r="N21" s="463">
        <v>17</v>
      </c>
      <c r="O21" s="149"/>
      <c r="P21" s="564" t="str">
        <f>VLOOKUP(N21,Alerts[],3,FALSE)</f>
        <v/>
      </c>
      <c r="Q21" s="565"/>
      <c r="R21" s="464" t="str" cm="1">
        <f t="array" ref="R21">IFZERO(VLOOKUP(N21,Alerts[],4,FALSE),"")</f>
        <v/>
      </c>
      <c r="S21" s="150" t="str" cm="1">
        <f t="array" ref="S21">IFZERO(VLOOKUP(N21,Alerts[],5,FALSE),"")</f>
        <v/>
      </c>
      <c r="T21" s="317"/>
      <c r="U21" s="319"/>
      <c r="V21" s="319"/>
      <c r="W21" s="319"/>
      <c r="X21" s="319" t="str">
        <f t="shared" si="0"/>
        <v/>
      </c>
      <c r="Y21" s="319"/>
      <c r="Z21" s="319"/>
    </row>
    <row r="22" spans="1:26" x14ac:dyDescent="0.2">
      <c r="A22" s="335"/>
      <c r="B22" s="158"/>
      <c r="C22" s="159" t="s">
        <v>42</v>
      </c>
      <c r="D22" s="294"/>
      <c r="E22" s="316"/>
      <c r="F22" s="346"/>
      <c r="G22" s="316"/>
      <c r="H22" s="316"/>
      <c r="I22" s="317"/>
      <c r="J22" s="316"/>
      <c r="K22" s="316"/>
      <c r="L22" s="317"/>
      <c r="M22" s="316"/>
      <c r="N22" s="463">
        <v>18</v>
      </c>
      <c r="O22" s="149"/>
      <c r="P22" s="564" t="str">
        <f>VLOOKUP(N22,Alerts[],3,FALSE)</f>
        <v/>
      </c>
      <c r="Q22" s="565"/>
      <c r="R22" s="464" t="str" cm="1">
        <f t="array" ref="R22">IFZERO(VLOOKUP(N22,Alerts[],4,FALSE),"")</f>
        <v/>
      </c>
      <c r="S22" s="150" t="str" cm="1">
        <f t="array" ref="S22">IFZERO(VLOOKUP(N22,Alerts[],5,FALSE),"")</f>
        <v/>
      </c>
      <c r="T22" s="317"/>
      <c r="U22" s="319"/>
      <c r="V22" s="319"/>
      <c r="W22" s="319"/>
      <c r="X22" s="319" t="str">
        <f t="shared" si="0"/>
        <v/>
      </c>
      <c r="Y22" s="319"/>
      <c r="Z22" s="319"/>
    </row>
    <row r="23" spans="1:26" x14ac:dyDescent="0.2">
      <c r="A23" s="335"/>
      <c r="B23" s="144"/>
      <c r="C23" s="445" t="s">
        <v>925</v>
      </c>
      <c r="D23" s="295"/>
      <c r="E23" s="316"/>
      <c r="F23" s="163" t="s">
        <v>97</v>
      </c>
      <c r="G23" s="518" t="s">
        <v>380</v>
      </c>
      <c r="H23" s="519"/>
      <c r="I23" s="519"/>
      <c r="J23" s="519"/>
      <c r="K23" s="520"/>
      <c r="L23" s="317"/>
      <c r="M23" s="316"/>
      <c r="N23" s="463">
        <v>19</v>
      </c>
      <c r="O23" s="149"/>
      <c r="P23" s="564" t="str">
        <f>VLOOKUP(N23,Alerts[],3,FALSE)</f>
        <v/>
      </c>
      <c r="Q23" s="565"/>
      <c r="R23" s="464" t="str" cm="1">
        <f t="array" ref="R23">IFZERO(VLOOKUP(N23,Alerts[],4,FALSE),"")</f>
        <v/>
      </c>
      <c r="S23" s="150" t="str" cm="1">
        <f t="array" ref="S23">IFZERO(VLOOKUP(N23,Alerts[],5,FALSE),"")</f>
        <v/>
      </c>
      <c r="T23" s="317"/>
      <c r="U23" s="319"/>
      <c r="V23" s="319"/>
      <c r="W23" s="319"/>
      <c r="X23" s="319" t="str">
        <f t="shared" si="0"/>
        <v/>
      </c>
      <c r="Y23" s="319">
        <v>10</v>
      </c>
      <c r="Z23" s="319" t="s">
        <v>375</v>
      </c>
    </row>
    <row r="24" spans="1:26" x14ac:dyDescent="0.2">
      <c r="A24" s="335"/>
      <c r="B24" s="543" t="s">
        <v>564</v>
      </c>
      <c r="C24" s="544"/>
      <c r="D24" s="295">
        <v>1</v>
      </c>
      <c r="E24" s="316"/>
      <c r="F24" s="163" t="s">
        <v>98</v>
      </c>
      <c r="G24" s="521"/>
      <c r="H24" s="522"/>
      <c r="I24" s="522"/>
      <c r="J24" s="522"/>
      <c r="K24" s="523"/>
      <c r="L24" s="317"/>
      <c r="M24" s="316"/>
      <c r="N24" s="463">
        <v>20</v>
      </c>
      <c r="O24" s="149"/>
      <c r="P24" s="564" t="str">
        <f>VLOOKUP(N24,Alerts[],3,FALSE)</f>
        <v/>
      </c>
      <c r="Q24" s="565"/>
      <c r="R24" s="464" t="str" cm="1">
        <f t="array" ref="R24">IFZERO(VLOOKUP(N24,Alerts[],4,FALSE),"")</f>
        <v/>
      </c>
      <c r="S24" s="150" t="str" cm="1">
        <f t="array" ref="S24">IFZERO(VLOOKUP(N24,Alerts[],5,FALSE),"")</f>
        <v/>
      </c>
      <c r="T24" s="317"/>
      <c r="U24" s="479" t="b">
        <v>0</v>
      </c>
      <c r="V24" s="319"/>
      <c r="W24" s="319"/>
      <c r="X24" s="319" t="str">
        <f t="shared" si="0"/>
        <v/>
      </c>
      <c r="Y24" s="319">
        <v>11</v>
      </c>
      <c r="Z24" s="319" t="s">
        <v>376</v>
      </c>
    </row>
    <row r="25" spans="1:26" x14ac:dyDescent="0.2">
      <c r="A25" s="335"/>
      <c r="B25" s="331"/>
      <c r="C25" s="332"/>
      <c r="D25" s="340"/>
      <c r="E25" s="316"/>
      <c r="F25" s="163" t="s">
        <v>99</v>
      </c>
      <c r="G25" s="521"/>
      <c r="H25" s="522"/>
      <c r="I25" s="522"/>
      <c r="J25" s="522"/>
      <c r="K25" s="523"/>
      <c r="L25" s="317"/>
      <c r="M25" s="316"/>
      <c r="N25" s="463">
        <v>21</v>
      </c>
      <c r="O25" s="149"/>
      <c r="P25" s="564" t="str">
        <f>VLOOKUP(N25,Alerts[],3,FALSE)</f>
        <v/>
      </c>
      <c r="Q25" s="565"/>
      <c r="R25" s="464" t="str" cm="1">
        <f t="array" ref="R25">IFZERO(VLOOKUP(N25,Alerts[],4,FALSE),"")</f>
        <v/>
      </c>
      <c r="S25" s="150" t="str" cm="1">
        <f t="array" ref="S25">IFZERO(VLOOKUP(N25,Alerts[],5,FALSE),"")</f>
        <v/>
      </c>
      <c r="T25" s="317"/>
      <c r="U25" s="319"/>
      <c r="V25" s="319"/>
      <c r="W25" s="319"/>
      <c r="X25" s="319" t="str">
        <f t="shared" si="0"/>
        <v/>
      </c>
      <c r="Y25" s="319">
        <v>12</v>
      </c>
      <c r="Z25" s="319" t="s">
        <v>377</v>
      </c>
    </row>
    <row r="26" spans="1:26" x14ac:dyDescent="0.2">
      <c r="A26" s="335"/>
      <c r="B26" s="158"/>
      <c r="C26" s="159" t="s">
        <v>60</v>
      </c>
      <c r="D26" s="305"/>
      <c r="E26" s="318" t="str">
        <f>TEXT(D26,"hh:mm")</f>
        <v>00:00</v>
      </c>
      <c r="F26" s="317"/>
      <c r="G26" s="317"/>
      <c r="H26" s="317"/>
      <c r="I26" s="317"/>
      <c r="J26" s="317"/>
      <c r="K26" s="317"/>
      <c r="L26" s="317"/>
      <c r="M26" s="316"/>
      <c r="N26" s="463">
        <v>22</v>
      </c>
      <c r="O26" s="149"/>
      <c r="P26" s="564" t="str">
        <f>VLOOKUP(N26,Alerts[],3,FALSE)</f>
        <v/>
      </c>
      <c r="Q26" s="565"/>
      <c r="R26" s="464" t="str" cm="1">
        <f t="array" ref="R26">IFZERO(VLOOKUP(N26,Alerts[],4,FALSE),"")</f>
        <v/>
      </c>
      <c r="S26" s="150" t="str" cm="1">
        <f t="array" ref="S26">IFZERO(VLOOKUP(N26,Alerts[],5,FALSE),"")</f>
        <v/>
      </c>
      <c r="T26" s="317"/>
      <c r="U26" s="319"/>
      <c r="V26" s="319"/>
      <c r="W26" s="319"/>
      <c r="X26" s="319" t="str">
        <f t="shared" si="0"/>
        <v/>
      </c>
      <c r="Y26" s="319">
        <v>13</v>
      </c>
      <c r="Z26" s="319" t="s">
        <v>378</v>
      </c>
    </row>
    <row r="27" spans="1:26" x14ac:dyDescent="0.2">
      <c r="A27" s="335"/>
      <c r="B27" s="164">
        <v>10</v>
      </c>
      <c r="C27" s="145" t="s">
        <v>61</v>
      </c>
      <c r="D27" s="305"/>
      <c r="E27" s="318"/>
      <c r="F27" s="252" t="s">
        <v>274</v>
      </c>
      <c r="G27" s="251" t="str">
        <f>G28</f>
        <v/>
      </c>
      <c r="H27" s="516" t="str">
        <f>IF(ISBLANK(D6),"",IF(CheckRec="x","CHECK INSTRUMENT CAL DATES!!!!             CHECK INSTRUMENT CAL DATES!!!!",""))</f>
        <v/>
      </c>
      <c r="I27" s="517"/>
      <c r="J27" s="517"/>
      <c r="K27" s="517"/>
      <c r="L27" s="317"/>
      <c r="M27" s="316"/>
      <c r="N27" s="463">
        <v>23</v>
      </c>
      <c r="O27" s="149"/>
      <c r="P27" s="564" t="str">
        <f>VLOOKUP(N27,Alerts[],3,FALSE)</f>
        <v/>
      </c>
      <c r="Q27" s="565"/>
      <c r="R27" s="464" t="str" cm="1">
        <f t="array" ref="R27">IFZERO(VLOOKUP(N27,Alerts[],4,FALSE),"")</f>
        <v/>
      </c>
      <c r="S27" s="150" t="str" cm="1">
        <f t="array" ref="S27">IFZERO(VLOOKUP(N27,Alerts[],5,FALSE),"")</f>
        <v/>
      </c>
      <c r="T27" s="317"/>
      <c r="U27" s="319"/>
      <c r="V27" s="319"/>
      <c r="W27" s="319"/>
      <c r="X27" s="319" t="str">
        <f t="shared" si="0"/>
        <v/>
      </c>
      <c r="Y27" s="319">
        <v>14</v>
      </c>
      <c r="Z27" s="319" t="s">
        <v>379</v>
      </c>
    </row>
    <row r="28" spans="1:26" x14ac:dyDescent="0.2">
      <c r="A28" s="335"/>
      <c r="B28" s="165">
        <v>30</v>
      </c>
      <c r="C28" s="161" t="s">
        <v>62</v>
      </c>
      <c r="D28" s="305"/>
      <c r="E28" s="318"/>
      <c r="F28" s="252" t="s">
        <v>275</v>
      </c>
      <c r="G28" s="251" t="str">
        <f>IF(CheckRec="y","Cal by Customer",IF(D$3,D$3,""))</f>
        <v/>
      </c>
      <c r="H28" s="516"/>
      <c r="I28" s="517"/>
      <c r="J28" s="517"/>
      <c r="K28" s="517"/>
      <c r="L28" s="317"/>
      <c r="M28" s="316"/>
      <c r="N28" s="463">
        <v>24</v>
      </c>
      <c r="O28" s="149"/>
      <c r="P28" s="564" t="str">
        <f>VLOOKUP(N28,Alerts[],3,FALSE)</f>
        <v/>
      </c>
      <c r="Q28" s="565"/>
      <c r="R28" s="464" t="str" cm="1">
        <f t="array" ref="R28">IFZERO(VLOOKUP(N28,Alerts[],4,FALSE),"")</f>
        <v/>
      </c>
      <c r="S28" s="150" t="str" cm="1">
        <f t="array" ref="S28">IFZERO(VLOOKUP(N28,Alerts[],5,FALSE),"")</f>
        <v/>
      </c>
      <c r="T28" s="317"/>
      <c r="U28" s="319"/>
      <c r="V28" s="319"/>
      <c r="W28" s="319"/>
      <c r="X28" s="319" t="str">
        <f t="shared" si="0"/>
        <v/>
      </c>
      <c r="Y28" s="319"/>
      <c r="Z28" s="319"/>
    </row>
    <row r="29" spans="1:26" x14ac:dyDescent="0.2">
      <c r="A29" s="335"/>
      <c r="B29" s="164">
        <v>40</v>
      </c>
      <c r="C29" s="145" t="s">
        <v>73</v>
      </c>
      <c r="D29" s="166" t="str">
        <f>(IF(OR(D27="",D28=""),"",IF(ISBLANK(D27),"",D28-D27)))</f>
        <v/>
      </c>
      <c r="E29" s="347" t="str">
        <f>IFERROR(IF(D29=0,"&lt;2",ROUND(IF(LEN(D29)&gt;3,D29*1440,TEXT(D29,"hh:mm")),0)) &amp;" MINUTES","")</f>
        <v/>
      </c>
      <c r="F29" s="320" t="s">
        <v>276</v>
      </c>
      <c r="G29" s="317"/>
      <c r="H29" s="317"/>
      <c r="I29" s="317"/>
      <c r="J29" s="317"/>
      <c r="K29" s="317"/>
      <c r="L29" s="317"/>
      <c r="M29" s="316"/>
      <c r="N29" s="463">
        <v>25</v>
      </c>
      <c r="O29" s="149"/>
      <c r="P29" s="564" t="str">
        <f>VLOOKUP(N29,Alerts[],3,FALSE)</f>
        <v/>
      </c>
      <c r="Q29" s="565"/>
      <c r="R29" s="464" t="str" cm="1">
        <f t="array" ref="R29">IFZERO(VLOOKUP(N29,Alerts[],4,FALSE),"")</f>
        <v/>
      </c>
      <c r="S29" s="150" t="str" cm="1">
        <f t="array" ref="S29">IFZERO(VLOOKUP(N29,Alerts[],5,FALSE),"")</f>
        <v/>
      </c>
      <c r="T29" s="317"/>
      <c r="U29" s="319"/>
      <c r="V29" s="319"/>
      <c r="W29" s="319"/>
      <c r="X29" s="319" t="str">
        <f t="shared" si="0"/>
        <v/>
      </c>
      <c r="Y29" s="319">
        <v>10</v>
      </c>
      <c r="Z29" s="319" t="s">
        <v>381</v>
      </c>
    </row>
    <row r="30" spans="1:26" x14ac:dyDescent="0.2">
      <c r="A30" s="335"/>
      <c r="B30" s="259">
        <v>45</v>
      </c>
      <c r="C30" s="161" t="s">
        <v>63</v>
      </c>
      <c r="D30" s="409"/>
      <c r="E30" s="348" t="str">
        <f>IF(ISBLANK(D30), "", TEXT(D30, "H:mm"))</f>
        <v/>
      </c>
      <c r="F30" s="316"/>
      <c r="G30" s="319">
        <f>IF(D29="",0,D29)</f>
        <v>0</v>
      </c>
      <c r="H30" s="349">
        <f>D28-D26</f>
        <v>0</v>
      </c>
      <c r="I30" s="317"/>
      <c r="J30" s="317"/>
      <c r="K30" s="317"/>
      <c r="L30" s="350"/>
      <c r="M30" s="316"/>
      <c r="N30" s="463">
        <v>26</v>
      </c>
      <c r="O30" s="149"/>
      <c r="P30" s="564" t="str">
        <f>VLOOKUP(N30,Alerts[],3,FALSE)</f>
        <v/>
      </c>
      <c r="Q30" s="565"/>
      <c r="R30" s="464" t="str" cm="1">
        <f t="array" ref="R30">IFZERO(VLOOKUP(N30,Alerts[],4,FALSE),"")</f>
        <v/>
      </c>
      <c r="S30" s="150" t="str" cm="1">
        <f t="array" ref="S30">IFZERO(VLOOKUP(N30,Alerts[],5,FALSE),"")</f>
        <v/>
      </c>
      <c r="T30" s="317"/>
      <c r="U30" s="479" t="b">
        <v>0</v>
      </c>
      <c r="V30" s="319"/>
      <c r="W30" s="319"/>
      <c r="X30" s="319" t="str">
        <f t="shared" si="0"/>
        <v/>
      </c>
      <c r="Y30" s="319">
        <v>11</v>
      </c>
      <c r="Z30" s="319" t="s">
        <v>382</v>
      </c>
    </row>
    <row r="31" spans="1:26" x14ac:dyDescent="0.2">
      <c r="A31" s="335"/>
      <c r="B31" s="144"/>
      <c r="C31" s="145" t="s">
        <v>52</v>
      </c>
      <c r="D31" s="289">
        <f>D30+TIME(0,D32,0)</f>
        <v>0</v>
      </c>
      <c r="E31" s="316"/>
      <c r="F31" s="351" t="str">
        <f>IF(AND(LagLimit&gt;0,G30&gt;LagLimit),"LAG TIME TOO HIGH!!!","")</f>
        <v/>
      </c>
      <c r="G31" s="317"/>
      <c r="H31" s="352" t="str">
        <f>IF(AND(RecoveryLimit&gt;0,H30&gt;RecoveryLimit),"RECOVERY TIME TOO HIGH!!!!","")</f>
        <v/>
      </c>
      <c r="I31" s="317"/>
      <c r="J31" s="317"/>
      <c r="K31" s="317"/>
      <c r="L31" s="353"/>
      <c r="M31" s="353"/>
      <c r="N31" s="463">
        <v>27</v>
      </c>
      <c r="O31" s="149"/>
      <c r="P31" s="564" t="str">
        <f>VLOOKUP(N31,Alerts[],3,FALSE)</f>
        <v/>
      </c>
      <c r="Q31" s="565"/>
      <c r="R31" s="464" t="str" cm="1">
        <f t="array" ref="R31">IFZERO(VLOOKUP(N31,Alerts[],4,FALSE),"")</f>
        <v/>
      </c>
      <c r="S31" s="150" t="str" cm="1">
        <f t="array" ref="S31">IFZERO(VLOOKUP(N31,Alerts[],5,FALSE),"")</f>
        <v/>
      </c>
      <c r="T31" s="317"/>
      <c r="U31" s="319"/>
      <c r="V31" s="319"/>
      <c r="W31" s="319"/>
      <c r="X31" s="319" t="str">
        <f t="shared" si="0"/>
        <v/>
      </c>
      <c r="Y31" s="319">
        <v>12</v>
      </c>
      <c r="Z31" s="319" t="s">
        <v>383</v>
      </c>
    </row>
    <row r="32" spans="1:26" x14ac:dyDescent="0.2">
      <c r="A32" s="345"/>
      <c r="B32" s="167"/>
      <c r="C32" s="168" t="s">
        <v>81</v>
      </c>
      <c r="D32" s="296"/>
      <c r="E32" s="316"/>
      <c r="F32" s="317" t="str">
        <f>IF(COUNTIF(Comparison_Report!R1:R8, 1) &gt; 0, "CHECK COMPARISON REPORT!!!", "")</f>
        <v/>
      </c>
      <c r="G32" s="317"/>
      <c r="H32" s="317"/>
      <c r="I32" s="317"/>
      <c r="J32" s="317"/>
      <c r="K32" s="317"/>
      <c r="L32" s="317"/>
      <c r="M32" s="316"/>
      <c r="N32" s="463">
        <v>28</v>
      </c>
      <c r="O32" s="149"/>
      <c r="P32" s="564" t="str">
        <f>VLOOKUP(N32,Alerts[],3,FALSE)</f>
        <v/>
      </c>
      <c r="Q32" s="565"/>
      <c r="R32" s="464" t="str" cm="1">
        <f t="array" ref="R32">IFZERO(VLOOKUP(N32,Alerts[],4,FALSE),"")</f>
        <v/>
      </c>
      <c r="S32" s="150" t="str" cm="1">
        <f t="array" ref="S32">IFZERO(VLOOKUP(N32,Alerts[],5,FALSE),"")</f>
        <v/>
      </c>
      <c r="T32" s="317"/>
      <c r="U32" s="319"/>
      <c r="V32" s="319"/>
      <c r="W32" s="319"/>
      <c r="X32" s="319" t="str">
        <f t="shared" si="0"/>
        <v/>
      </c>
      <c r="Y32" s="319"/>
      <c r="Z32" s="319"/>
    </row>
    <row r="33" spans="1:26" x14ac:dyDescent="0.2">
      <c r="A33" s="335"/>
      <c r="B33" s="331"/>
      <c r="C33" s="354"/>
      <c r="M33" s="316"/>
      <c r="N33" s="463">
        <v>29</v>
      </c>
      <c r="O33" s="149"/>
      <c r="P33" s="564" t="str">
        <f>VLOOKUP(N33,Alerts[],3,FALSE)</f>
        <v/>
      </c>
      <c r="Q33" s="565"/>
      <c r="R33" s="464" t="str" cm="1">
        <f t="array" ref="R33">IFZERO(VLOOKUP(N33,Alerts[],4,FALSE),"")</f>
        <v/>
      </c>
      <c r="S33" s="150" t="str" cm="1">
        <f t="array" ref="S33">IFZERO(VLOOKUP(N33,Alerts[],5,FALSE),"")</f>
        <v/>
      </c>
      <c r="T33" s="317"/>
      <c r="U33" s="319"/>
      <c r="V33" s="319"/>
      <c r="W33" s="319"/>
      <c r="X33" s="319" t="str">
        <f t="shared" si="0"/>
        <v/>
      </c>
      <c r="Y33" s="319"/>
      <c r="Z33" s="319"/>
    </row>
    <row r="34" spans="1:26" ht="12.75" customHeight="1" x14ac:dyDescent="0.2">
      <c r="A34" s="335"/>
      <c r="B34" s="530" t="s">
        <v>49</v>
      </c>
      <c r="C34" s="531"/>
      <c r="D34" s="531"/>
      <c r="E34" s="531"/>
      <c r="F34" s="531"/>
      <c r="G34" s="531"/>
      <c r="H34" s="531"/>
      <c r="I34" s="531"/>
      <c r="J34" s="531"/>
      <c r="K34" s="531"/>
      <c r="L34" s="532"/>
      <c r="M34" s="316"/>
      <c r="N34" s="463">
        <v>30</v>
      </c>
      <c r="O34" s="149"/>
      <c r="P34" s="564" t="str">
        <f>VLOOKUP(N34,Alerts[],3,FALSE)</f>
        <v/>
      </c>
      <c r="Q34" s="565"/>
      <c r="R34" s="464" t="str" cm="1">
        <f t="array" ref="R34">IFZERO(VLOOKUP(N34,Alerts[],4,FALSE),"")</f>
        <v/>
      </c>
      <c r="S34" s="150" t="str" cm="1">
        <f t="array" ref="S34">IFZERO(VLOOKUP(N34,Alerts[],5,FALSE),"")</f>
        <v/>
      </c>
      <c r="T34" s="318"/>
      <c r="U34" s="319"/>
      <c r="V34" s="319"/>
      <c r="W34" s="319"/>
      <c r="X34" s="319" t="str">
        <f t="shared" si="0"/>
        <v/>
      </c>
      <c r="Y34" s="319"/>
      <c r="Z34" s="319"/>
    </row>
    <row r="35" spans="1:26" ht="12.75" customHeight="1" thickBot="1" x14ac:dyDescent="0.25">
      <c r="A35" s="335"/>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3">
        <v>31</v>
      </c>
      <c r="O35" s="149"/>
      <c r="P35" s="564" t="str">
        <f>VLOOKUP(N35,Alerts[],3,FALSE)</f>
        <v/>
      </c>
      <c r="Q35" s="565"/>
      <c r="R35" s="464" t="str" cm="1">
        <f t="array" ref="R35">IFZERO(VLOOKUP(N35,Alerts[],4,FALSE),"")</f>
        <v/>
      </c>
      <c r="S35" s="150" t="str" cm="1">
        <f t="array" ref="S35">IFZERO(VLOOKUP(N35,Alerts[],5,FALSE),"")</f>
        <v/>
      </c>
      <c r="T35" s="318"/>
      <c r="U35" s="319"/>
      <c r="V35" s="319"/>
      <c r="W35" s="319"/>
      <c r="X35" s="319" t="str">
        <f t="shared" si="0"/>
        <v/>
      </c>
      <c r="Y35" s="319"/>
      <c r="Z35" s="319"/>
    </row>
    <row r="36" spans="1:26" ht="13.5" thickBot="1" x14ac:dyDescent="0.25">
      <c r="A36" s="173" t="s">
        <v>934</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3">
        <v>32</v>
      </c>
      <c r="O36" s="149"/>
      <c r="P36" s="564" t="str">
        <f>VLOOKUP(N36,Alerts[],3,FALSE)</f>
        <v/>
      </c>
      <c r="Q36" s="565"/>
      <c r="R36" s="464" t="str" cm="1">
        <f t="array" ref="R36">IFZERO(VLOOKUP(N36,Alerts[],4,FALSE),"")</f>
        <v/>
      </c>
      <c r="S36" s="150" t="str" cm="1">
        <f t="array" ref="S36">IFZERO(VLOOKUP(N36,Alerts[],5,FALSE),"")</f>
        <v/>
      </c>
      <c r="T36" s="318"/>
      <c r="U36" s="319"/>
      <c r="V36" s="319"/>
      <c r="W36" s="319"/>
      <c r="X36" s="319" t="str">
        <f t="shared" si="0"/>
        <v/>
      </c>
      <c r="Y36" s="319"/>
      <c r="Z36" s="319"/>
    </row>
    <row r="37" spans="1:26" x14ac:dyDescent="0.2">
      <c r="A37" s="202" t="str">
        <f t="shared" ref="A37:A44" si="1">IF(B37,1,"")</f>
        <v/>
      </c>
      <c r="B37" s="202"/>
      <c r="C37" s="193"/>
      <c r="D37" s="203"/>
      <c r="E37" s="203"/>
      <c r="F37" s="203"/>
      <c r="G37" s="203"/>
      <c r="H37" s="203"/>
      <c r="I37" s="176"/>
      <c r="J37" s="176"/>
      <c r="K37" s="176"/>
      <c r="L37" s="176"/>
      <c r="M37" s="316"/>
      <c r="N37" s="463">
        <v>33</v>
      </c>
      <c r="O37" s="149"/>
      <c r="P37" s="564" t="str">
        <f>VLOOKUP(N37,Alerts[],3,FALSE)</f>
        <v/>
      </c>
      <c r="Q37" s="565"/>
      <c r="R37" s="464" t="str" cm="1">
        <f t="array" ref="R37">IFZERO(VLOOKUP(N37,Alerts[],4,FALSE),"")</f>
        <v/>
      </c>
      <c r="S37" s="150" t="str" cm="1">
        <f t="array" ref="S37">IFZERO(VLOOKUP(N37,Alerts[],5,FALSE),"")</f>
        <v/>
      </c>
      <c r="T37" s="318"/>
      <c r="U37" s="319"/>
      <c r="V37" s="319"/>
      <c r="W37" s="319"/>
      <c r="X37" s="319" t="str">
        <f t="shared" si="0"/>
        <v/>
      </c>
      <c r="Y37" s="319"/>
      <c r="Z37" s="319"/>
    </row>
    <row r="38" spans="1:26" x14ac:dyDescent="0.2">
      <c r="A38" s="202" t="str">
        <f t="shared" si="1"/>
        <v/>
      </c>
      <c r="B38" s="204"/>
      <c r="C38" s="194"/>
      <c r="D38" s="203"/>
      <c r="E38" s="203"/>
      <c r="F38" s="203"/>
      <c r="G38" s="203"/>
      <c r="H38" s="203"/>
      <c r="I38" s="176"/>
      <c r="J38" s="176"/>
      <c r="K38" s="176"/>
      <c r="L38" s="176"/>
      <c r="M38" s="316"/>
      <c r="N38" s="463">
        <v>34</v>
      </c>
      <c r="O38" s="149"/>
      <c r="P38" s="564" t="str">
        <f>VLOOKUP(N38,Alerts[],3,FALSE)</f>
        <v/>
      </c>
      <c r="Q38" s="565"/>
      <c r="R38" s="464" t="str" cm="1">
        <f t="array" ref="R38">IFZERO(VLOOKUP(N38,Alerts[],4,FALSE),"")</f>
        <v/>
      </c>
      <c r="S38" s="150" t="str" cm="1">
        <f t="array" ref="S38">IFZERO(VLOOKUP(N38,Alerts[],5,FALSE),"")</f>
        <v/>
      </c>
      <c r="T38" s="318"/>
      <c r="U38" s="319"/>
      <c r="V38" s="319"/>
      <c r="W38" s="319"/>
      <c r="X38" s="319" t="str">
        <f t="shared" si="0"/>
        <v/>
      </c>
      <c r="Y38" s="319"/>
      <c r="Z38" s="319"/>
    </row>
    <row r="39" spans="1:26" x14ac:dyDescent="0.2">
      <c r="A39" s="202" t="str">
        <f t="shared" si="1"/>
        <v/>
      </c>
      <c r="B39" s="204"/>
      <c r="C39" s="194"/>
      <c r="D39" s="203"/>
      <c r="E39" s="203"/>
      <c r="F39" s="203"/>
      <c r="G39" s="203"/>
      <c r="H39" s="176"/>
      <c r="I39" s="176"/>
      <c r="J39" s="176"/>
      <c r="K39" s="176"/>
      <c r="L39" s="176"/>
      <c r="M39" s="316"/>
      <c r="N39" s="463">
        <v>35</v>
      </c>
      <c r="O39" s="149"/>
      <c r="P39" s="564" t="str">
        <f>VLOOKUP(N39,Alerts[],3,FALSE)</f>
        <v/>
      </c>
      <c r="Q39" s="565"/>
      <c r="R39" s="464" t="str" cm="1">
        <f t="array" ref="R39">IFZERO(VLOOKUP(N39,Alerts[],4,FALSE),"")</f>
        <v/>
      </c>
      <c r="S39" s="150" t="str" cm="1">
        <f t="array" ref="S39">IFZERO(VLOOKUP(N39,Alerts[],5,FALSE),"")</f>
        <v/>
      </c>
      <c r="T39" s="318"/>
      <c r="U39" s="319"/>
      <c r="V39" s="319"/>
      <c r="W39" s="319"/>
      <c r="X39" s="319" t="str">
        <f t="shared" si="0"/>
        <v/>
      </c>
      <c r="Y39" s="319"/>
      <c r="Z39" s="319"/>
    </row>
    <row r="40" spans="1:26" x14ac:dyDescent="0.2">
      <c r="A40" s="202" t="str">
        <f t="shared" si="1"/>
        <v/>
      </c>
      <c r="B40" s="204"/>
      <c r="C40" s="194"/>
      <c r="D40" s="203"/>
      <c r="E40" s="203"/>
      <c r="F40" s="203"/>
      <c r="G40" s="203"/>
      <c r="H40" s="176"/>
      <c r="I40" s="176"/>
      <c r="J40" s="176"/>
      <c r="K40" s="176"/>
      <c r="L40" s="176"/>
      <c r="M40" s="316"/>
      <c r="N40" s="463">
        <v>36</v>
      </c>
      <c r="O40" s="149"/>
      <c r="P40" s="564" t="str">
        <f>VLOOKUP(N40,Alerts[],3,FALSE)</f>
        <v/>
      </c>
      <c r="Q40" s="565"/>
      <c r="R40" s="464" t="str" cm="1">
        <f t="array" ref="R40">IFZERO(VLOOKUP(N40,Alerts[],4,FALSE),"")</f>
        <v/>
      </c>
      <c r="S40" s="150" t="str" cm="1">
        <f t="array" ref="S40">IFZERO(VLOOKUP(N40,Alerts[],5,FALSE),"")</f>
        <v/>
      </c>
      <c r="T40" s="318"/>
      <c r="U40" s="319"/>
      <c r="V40" s="319"/>
      <c r="W40" s="319"/>
      <c r="X40" s="319" t="str">
        <f t="shared" si="0"/>
        <v/>
      </c>
      <c r="Y40" s="319"/>
      <c r="Z40" s="319"/>
    </row>
    <row r="41" spans="1:26" x14ac:dyDescent="0.2">
      <c r="A41" s="202" t="str">
        <f t="shared" si="1"/>
        <v/>
      </c>
      <c r="B41" s="177"/>
      <c r="C41" s="178"/>
      <c r="D41" s="179"/>
      <c r="E41" s="179"/>
      <c r="F41" s="179"/>
      <c r="G41" s="179"/>
      <c r="H41" s="179"/>
      <c r="I41" s="179"/>
      <c r="J41" s="179"/>
      <c r="K41" s="179"/>
      <c r="L41" s="179"/>
      <c r="M41" s="316"/>
      <c r="N41" s="463">
        <v>37</v>
      </c>
      <c r="O41" s="149"/>
      <c r="P41" s="564" t="str">
        <f>VLOOKUP(N41,Alerts[],3,FALSE)</f>
        <v/>
      </c>
      <c r="Q41" s="565"/>
      <c r="R41" s="464" t="str" cm="1">
        <f t="array" ref="R41">IFZERO(VLOOKUP(N41,Alerts[],4,FALSE),"")</f>
        <v/>
      </c>
      <c r="S41" s="150" t="str" cm="1">
        <f t="array" ref="S41">IFZERO(VLOOKUP(N41,Alerts[],5,FALSE),"")</f>
        <v/>
      </c>
      <c r="T41" s="318"/>
      <c r="U41" s="319"/>
      <c r="V41" s="319"/>
      <c r="W41" s="319"/>
      <c r="X41" s="319" t="str">
        <f t="shared" si="0"/>
        <v/>
      </c>
      <c r="Y41" s="319"/>
      <c r="Z41" s="319"/>
    </row>
    <row r="42" spans="1:26" x14ac:dyDescent="0.2">
      <c r="A42" s="202" t="str">
        <f t="shared" si="1"/>
        <v/>
      </c>
      <c r="B42" s="177"/>
      <c r="C42" s="178"/>
      <c r="D42" s="179"/>
      <c r="E42" s="179"/>
      <c r="F42" s="179"/>
      <c r="G42" s="179"/>
      <c r="H42" s="179"/>
      <c r="I42" s="179"/>
      <c r="J42" s="179"/>
      <c r="K42" s="179"/>
      <c r="L42" s="179"/>
      <c r="M42" s="316"/>
      <c r="N42" s="463">
        <v>38</v>
      </c>
      <c r="O42" s="149"/>
      <c r="P42" s="564" t="str">
        <f>VLOOKUP(N42,Alerts[],3,FALSE)</f>
        <v/>
      </c>
      <c r="Q42" s="565"/>
      <c r="R42" s="464" t="str" cm="1">
        <f t="array" ref="R42">IFZERO(VLOOKUP(N42,Alerts[],4,FALSE),"")</f>
        <v/>
      </c>
      <c r="S42" s="150" t="str" cm="1">
        <f t="array" ref="S42">IFZERO(VLOOKUP(N42,Alerts[],5,FALSE),"")</f>
        <v/>
      </c>
      <c r="T42" s="318"/>
      <c r="U42" s="319"/>
      <c r="V42" s="319"/>
      <c r="W42" s="319"/>
      <c r="X42" s="319" t="str">
        <f t="shared" si="0"/>
        <v/>
      </c>
      <c r="Y42" s="319"/>
      <c r="Z42" s="319"/>
    </row>
    <row r="43" spans="1:26" x14ac:dyDescent="0.2">
      <c r="A43" s="202" t="str">
        <f t="shared" si="1"/>
        <v/>
      </c>
      <c r="B43" s="177"/>
      <c r="C43" s="178"/>
      <c r="D43" s="179"/>
      <c r="E43" s="179"/>
      <c r="F43" s="179"/>
      <c r="G43" s="179"/>
      <c r="H43" s="179"/>
      <c r="I43" s="179"/>
      <c r="J43" s="179"/>
      <c r="K43" s="179"/>
      <c r="L43" s="179"/>
      <c r="M43" s="316"/>
      <c r="N43" s="463">
        <v>39</v>
      </c>
      <c r="O43" s="149"/>
      <c r="P43" s="564" t="str">
        <f>VLOOKUP(N43,Alerts[],3,FALSE)</f>
        <v/>
      </c>
      <c r="Q43" s="565"/>
      <c r="R43" s="464" t="str" cm="1">
        <f t="array" ref="R43">IFZERO(VLOOKUP(N43,Alerts[],4,FALSE),"")</f>
        <v/>
      </c>
      <c r="S43" s="150" t="str" cm="1">
        <f t="array" ref="S43">IFZERO(VLOOKUP(N43,Alerts[],5,FALSE),"")</f>
        <v/>
      </c>
      <c r="T43" s="318"/>
      <c r="U43" s="319"/>
      <c r="V43" s="319"/>
      <c r="W43" s="319"/>
      <c r="X43" s="319" t="str">
        <f t="shared" si="0"/>
        <v/>
      </c>
      <c r="Y43" s="319"/>
      <c r="Z43" s="319"/>
    </row>
    <row r="44" spans="1:26" x14ac:dyDescent="0.2">
      <c r="A44" s="202" t="str">
        <f t="shared" si="1"/>
        <v/>
      </c>
      <c r="B44" s="177"/>
      <c r="C44" s="178"/>
      <c r="D44" s="179"/>
      <c r="E44" s="179"/>
      <c r="F44" s="179"/>
      <c r="G44" s="179"/>
      <c r="H44" s="179"/>
      <c r="I44" s="179"/>
      <c r="J44" s="179"/>
      <c r="K44" s="179"/>
      <c r="L44" s="179"/>
      <c r="M44" s="316"/>
      <c r="N44" s="463">
        <v>40</v>
      </c>
      <c r="O44" s="149"/>
      <c r="P44" s="564" t="str">
        <f>VLOOKUP(N44,Alerts[],3,FALSE)</f>
        <v/>
      </c>
      <c r="Q44" s="565"/>
      <c r="R44" s="464" t="str" cm="1">
        <f t="array" ref="R44">IFZERO(VLOOKUP(N44,Alerts[],4,FALSE),"")</f>
        <v/>
      </c>
      <c r="S44" s="150" t="str" cm="1">
        <f t="array" ref="S44">IFZERO(VLOOKUP(N44,Alerts[],5,FALSE),"")</f>
        <v/>
      </c>
      <c r="T44" s="318"/>
      <c r="U44" s="319"/>
      <c r="V44" s="319"/>
      <c r="W44" s="319"/>
      <c r="X44" s="319" t="str">
        <f t="shared" si="0"/>
        <v/>
      </c>
      <c r="Y44" s="319"/>
      <c r="Z44" s="319"/>
    </row>
    <row r="45" spans="1:26" x14ac:dyDescent="0.2">
      <c r="A45" s="335"/>
      <c r="B45" s="356"/>
      <c r="C45" s="357"/>
      <c r="D45" s="316"/>
      <c r="E45" s="316"/>
      <c r="F45" s="316"/>
      <c r="G45" s="316"/>
      <c r="H45" s="316"/>
      <c r="I45" s="316"/>
      <c r="J45" s="316"/>
      <c r="K45" s="358"/>
      <c r="L45" s="316"/>
      <c r="M45" s="316"/>
      <c r="N45" s="318"/>
      <c r="O45" s="318"/>
      <c r="P45" s="318"/>
      <c r="Q45" s="318"/>
      <c r="R45" s="318"/>
      <c r="S45" s="318"/>
      <c r="T45" s="318"/>
      <c r="U45" s="319"/>
      <c r="V45" s="319"/>
      <c r="W45" s="319"/>
      <c r="X45" s="319" t="str">
        <f>IF(O45,1,"")</f>
        <v/>
      </c>
      <c r="Y45" s="319"/>
      <c r="Z45" s="319"/>
    </row>
    <row r="46" spans="1:26" x14ac:dyDescent="0.2">
      <c r="A46" s="339"/>
      <c r="B46" s="359"/>
      <c r="C46" s="360"/>
      <c r="D46" s="498" t="s">
        <v>33</v>
      </c>
      <c r="E46" s="499"/>
      <c r="F46" s="499"/>
      <c r="G46" s="499"/>
      <c r="H46" s="499"/>
      <c r="I46" s="500"/>
      <c r="J46" s="361"/>
      <c r="K46" s="361"/>
      <c r="L46" s="361"/>
      <c r="M46" s="524" t="s">
        <v>332</v>
      </c>
      <c r="N46" s="525"/>
      <c r="O46" s="526"/>
      <c r="P46" s="527"/>
      <c r="Q46" s="320"/>
      <c r="R46" s="320"/>
      <c r="S46" s="320"/>
      <c r="T46" s="320"/>
      <c r="U46" s="320"/>
    </row>
    <row r="47" spans="1:26" x14ac:dyDescent="0.2">
      <c r="A47" s="339"/>
      <c r="B47" s="359"/>
      <c r="C47" s="430"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1"/>
      <c r="K47" s="361"/>
      <c r="L47" s="316"/>
      <c r="M47" s="252" t="s">
        <v>333</v>
      </c>
      <c r="N47" s="314" t="s">
        <v>334</v>
      </c>
      <c r="O47" s="362"/>
      <c r="P47" s="505" t="s">
        <v>335</v>
      </c>
      <c r="Q47" s="505"/>
      <c r="R47" s="433" t="s">
        <v>336</v>
      </c>
      <c r="S47" s="320"/>
      <c r="T47" s="320"/>
      <c r="U47" s="320"/>
    </row>
    <row r="48" spans="1:26" x14ac:dyDescent="0.2">
      <c r="A48" s="335"/>
      <c r="B48" s="359"/>
      <c r="C48" s="431" t="s">
        <v>34</v>
      </c>
      <c r="D48" s="303"/>
      <c r="E48" s="303"/>
      <c r="F48" s="303"/>
      <c r="G48" s="303"/>
      <c r="H48" s="303"/>
      <c r="I48" s="303"/>
      <c r="J48" s="361"/>
      <c r="K48" s="361"/>
      <c r="L48" s="361"/>
      <c r="M48" s="506" t="s">
        <v>337</v>
      </c>
      <c r="N48" s="506"/>
      <c r="O48" s="363"/>
      <c r="P48" s="507" t="s">
        <v>392</v>
      </c>
      <c r="Q48" s="508"/>
      <c r="R48" s="509"/>
      <c r="S48" s="364"/>
      <c r="T48" s="321"/>
      <c r="U48" s="507" t="s">
        <v>395</v>
      </c>
      <c r="V48" s="508"/>
      <c r="W48" s="509"/>
    </row>
    <row r="49" spans="1:24" x14ac:dyDescent="0.2">
      <c r="A49" s="335"/>
      <c r="B49" s="365"/>
      <c r="C49" s="430"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1"/>
      <c r="K49" s="361" t="s">
        <v>869</v>
      </c>
      <c r="L49" s="361"/>
      <c r="M49" s="252" t="s">
        <v>338</v>
      </c>
      <c r="N49" s="313" t="str">
        <f>IF(PB="","",PB)</f>
        <v/>
      </c>
      <c r="O49" s="330"/>
      <c r="P49" s="510" t="s">
        <v>397</v>
      </c>
      <c r="Q49" s="511"/>
      <c r="R49" s="512"/>
      <c r="S49" s="434"/>
      <c r="T49" s="322"/>
      <c r="U49" s="510" t="s">
        <v>396</v>
      </c>
      <c r="V49" s="511"/>
      <c r="W49" s="512"/>
      <c r="X49" s="304"/>
    </row>
    <row r="50" spans="1:24" x14ac:dyDescent="0.2">
      <c r="A50" s="335"/>
      <c r="B50" s="366"/>
      <c r="C50" s="430"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1"/>
      <c r="K50" s="361"/>
      <c r="L50" s="361"/>
      <c r="M50" s="252" t="s">
        <v>339</v>
      </c>
      <c r="N50" s="313" t="str">
        <f>IF(Integral="","",Integral)</f>
        <v/>
      </c>
      <c r="O50" s="330"/>
      <c r="P50" s="513" t="s">
        <v>340</v>
      </c>
      <c r="Q50" s="514"/>
      <c r="R50" s="515"/>
      <c r="S50" s="367"/>
      <c r="T50" s="323"/>
      <c r="U50" s="513" t="s">
        <v>340</v>
      </c>
      <c r="V50" s="514"/>
      <c r="W50" s="515"/>
      <c r="X50" s="320"/>
    </row>
    <row r="51" spans="1:24" x14ac:dyDescent="0.2">
      <c r="A51" s="335"/>
      <c r="B51" s="368"/>
      <c r="C51" s="430" t="s">
        <v>57</v>
      </c>
      <c r="D51" s="303"/>
      <c r="E51" s="303"/>
      <c r="F51" s="303"/>
      <c r="G51" s="303"/>
      <c r="H51" s="303"/>
      <c r="I51" s="303"/>
      <c r="J51" s="361"/>
      <c r="K51" s="369"/>
      <c r="L51" s="361"/>
      <c r="M51" s="417" t="s">
        <v>341</v>
      </c>
      <c r="N51" s="313" t="str">
        <f>IF(Derivative="","",Derivative)</f>
        <v/>
      </c>
      <c r="O51" s="316"/>
      <c r="P51" s="510" t="s">
        <v>393</v>
      </c>
      <c r="Q51" s="511"/>
      <c r="R51" s="512"/>
      <c r="S51" s="434"/>
      <c r="T51" s="324"/>
      <c r="U51" s="510" t="s">
        <v>398</v>
      </c>
      <c r="V51" s="511"/>
      <c r="W51" s="512"/>
      <c r="X51" s="304"/>
    </row>
    <row r="52" spans="1:24" x14ac:dyDescent="0.2">
      <c r="A52" s="335"/>
      <c r="B52" s="359"/>
      <c r="C52" s="430" t="s">
        <v>347</v>
      </c>
      <c r="D52" s="303"/>
      <c r="E52" s="303"/>
      <c r="F52" s="303"/>
      <c r="G52" s="303"/>
      <c r="H52" s="303"/>
      <c r="I52" s="303"/>
      <c r="J52" s="361"/>
      <c r="K52" s="369"/>
      <c r="L52" s="361"/>
      <c r="M52" s="417" t="s">
        <v>342</v>
      </c>
      <c r="N52" s="313" t="str">
        <f>IF(Other1="","",Other1)</f>
        <v/>
      </c>
      <c r="O52" s="330"/>
      <c r="P52" s="513" t="s">
        <v>340</v>
      </c>
      <c r="Q52" s="514"/>
      <c r="R52" s="515"/>
      <c r="S52" s="367"/>
      <c r="T52" s="325"/>
      <c r="U52" s="513" t="s">
        <v>340</v>
      </c>
      <c r="V52" s="514"/>
      <c r="W52" s="515"/>
      <c r="X52" s="320"/>
    </row>
    <row r="53" spans="1:24" ht="12.75" customHeight="1" x14ac:dyDescent="0.2">
      <c r="A53" s="335"/>
      <c r="B53" s="359"/>
      <c r="C53" s="430" t="s">
        <v>58</v>
      </c>
      <c r="D53" s="308"/>
      <c r="E53" s="308"/>
      <c r="F53" s="308"/>
      <c r="G53" s="308"/>
      <c r="H53" s="308"/>
      <c r="I53" s="308"/>
      <c r="J53" s="361"/>
      <c r="K53" s="370"/>
      <c r="L53" s="370"/>
      <c r="M53" s="418" t="s">
        <v>342</v>
      </c>
      <c r="N53" s="313" t="str">
        <f>IF(Other2="","",Other2)</f>
        <v/>
      </c>
      <c r="O53" s="330"/>
      <c r="P53" s="558" t="s">
        <v>394</v>
      </c>
      <c r="Q53" s="559"/>
      <c r="R53" s="560"/>
      <c r="S53" s="435"/>
      <c r="T53" s="326"/>
      <c r="U53" s="558" t="s">
        <v>399</v>
      </c>
      <c r="V53" s="559"/>
      <c r="W53" s="560"/>
      <c r="X53" s="416"/>
    </row>
    <row r="54" spans="1:24" x14ac:dyDescent="0.2">
      <c r="A54" s="335"/>
      <c r="B54" s="359"/>
      <c r="C54" s="432" t="s">
        <v>82</v>
      </c>
      <c r="D54" s="488" t="str">
        <f>_xlfn.XLOOKUP(D$48,WireSets[serial_number],WireSets[certificate_number],"",0)</f>
        <v/>
      </c>
      <c r="E54" s="488" t="str">
        <f>_xlfn.XLOOKUP(E$48,WireSets[serial_number],WireSets[certificate_number],"",0)</f>
        <v/>
      </c>
      <c r="F54" s="488" t="str">
        <f>_xlfn.XLOOKUP(F$48,WireSets[serial_number],WireSets[certificate_number],"",0)</f>
        <v/>
      </c>
      <c r="G54" s="488" t="str">
        <f>_xlfn.XLOOKUP(G$48,WireSets[serial_number],WireSets[certificate_number],"",0)</f>
        <v/>
      </c>
      <c r="H54" s="488" t="str">
        <f>_xlfn.XLOOKUP(H$48,WireSets[serial_number],WireSets[certificate_number],"",0)</f>
        <v/>
      </c>
      <c r="I54" s="488" t="str">
        <f>_xlfn.XLOOKUP(I$48,WireSets[serial_number],WireSets[certificate_number],"",0)</f>
        <v/>
      </c>
      <c r="J54" s="371"/>
      <c r="K54" s="419"/>
      <c r="L54" s="420"/>
      <c r="M54" s="421" t="s">
        <v>369</v>
      </c>
      <c r="N54" s="312">
        <v>0</v>
      </c>
      <c r="O54" s="318"/>
      <c r="P54" s="561"/>
      <c r="Q54" s="562"/>
      <c r="R54" s="563"/>
      <c r="S54" s="372"/>
      <c r="T54" s="327"/>
      <c r="U54" s="561"/>
      <c r="V54" s="562"/>
      <c r="W54" s="563"/>
    </row>
    <row r="55" spans="1:24" x14ac:dyDescent="0.2">
      <c r="A55" s="335"/>
      <c r="B55" s="359"/>
      <c r="C55" s="432" t="s">
        <v>152</v>
      </c>
      <c r="D55" s="489" t="str">
        <f>_xlfn.XLOOKUP(D$48,WireSets[serial_number],WireSets[wire_roll_cert_number],"",0)</f>
        <v/>
      </c>
      <c r="E55" s="489" t="str">
        <f>_xlfn.XLOOKUP(E$48,WireSets[serial_number],WireSets[wire_roll_cert_number],"",0)</f>
        <v/>
      </c>
      <c r="F55" s="489" t="str">
        <f>_xlfn.XLOOKUP(F$48,WireSets[serial_number],WireSets[wire_roll_cert_number],"",0)</f>
        <v/>
      </c>
      <c r="G55" s="489" t="str">
        <f>_xlfn.XLOOKUP(G$48,WireSets[serial_number],WireSets[wire_roll_cert_number],"",0)</f>
        <v/>
      </c>
      <c r="H55" s="489" t="str">
        <f>_xlfn.XLOOKUP(H$48,WireSets[serial_number],WireSets[wire_roll_cert_number],"",0)</f>
        <v/>
      </c>
      <c r="I55" s="489" t="str">
        <f>_xlfn.XLOOKUP(I$48,WireSets[serial_number],WireSets[wire_roll_cert_number],"",0)</f>
        <v/>
      </c>
      <c r="J55" s="373"/>
      <c r="K55" s="422"/>
      <c r="L55" s="423"/>
      <c r="M55" s="424" t="s">
        <v>370</v>
      </c>
      <c r="N55" s="312">
        <v>0</v>
      </c>
      <c r="O55" s="318"/>
      <c r="P55" s="255" t="s">
        <v>343</v>
      </c>
      <c r="Q55" s="255" t="s">
        <v>14</v>
      </c>
      <c r="R55" s="263" t="s">
        <v>344</v>
      </c>
      <c r="S55" s="374"/>
      <c r="T55" s="328"/>
      <c r="U55" s="315" t="s">
        <v>345</v>
      </c>
      <c r="V55" s="255" t="s">
        <v>14</v>
      </c>
      <c r="W55" s="255" t="s">
        <v>346</v>
      </c>
    </row>
    <row r="56" spans="1:24" x14ac:dyDescent="0.2">
      <c r="A56" s="335"/>
      <c r="B56" s="375"/>
      <c r="C56" s="432" t="s">
        <v>153</v>
      </c>
      <c r="D56" s="303"/>
      <c r="E56" s="303"/>
      <c r="F56" s="303"/>
      <c r="G56" s="303"/>
      <c r="H56" s="303"/>
      <c r="I56" s="303"/>
      <c r="J56" s="376"/>
      <c r="K56" s="425"/>
      <c r="L56" s="426"/>
      <c r="M56" s="424" t="s">
        <v>371</v>
      </c>
      <c r="N56" s="312">
        <v>0</v>
      </c>
      <c r="O56" s="318"/>
      <c r="P56" s="436"/>
      <c r="Q56" s="437"/>
      <c r="R56" s="438"/>
      <c r="S56" s="377"/>
      <c r="T56" s="329"/>
      <c r="U56" s="439"/>
      <c r="V56" s="437"/>
      <c r="W56" s="436"/>
    </row>
    <row r="57" spans="1:24" x14ac:dyDescent="0.2">
      <c r="A57" s="335"/>
      <c r="B57" s="356"/>
      <c r="C57" s="252" t="s">
        <v>348</v>
      </c>
      <c r="D57" s="304"/>
      <c r="E57" s="304"/>
      <c r="F57" s="304"/>
      <c r="G57" s="304"/>
      <c r="H57" s="304"/>
      <c r="I57" s="304"/>
      <c r="J57" s="316"/>
      <c r="K57" s="427"/>
      <c r="L57" s="428"/>
      <c r="M57" s="429" t="s">
        <v>372</v>
      </c>
      <c r="N57" s="312">
        <v>0</v>
      </c>
      <c r="O57" s="318"/>
      <c r="P57" s="316"/>
      <c r="Q57" s="316"/>
      <c r="R57" s="316"/>
      <c r="S57" s="316"/>
    </row>
    <row r="58" spans="1:24" x14ac:dyDescent="0.2">
      <c r="A58" s="335"/>
      <c r="B58" s="356"/>
      <c r="C58" s="498" t="s">
        <v>158</v>
      </c>
      <c r="D58" s="499"/>
      <c r="E58" s="499"/>
      <c r="F58" s="499"/>
      <c r="G58" s="499"/>
      <c r="H58" s="499"/>
      <c r="I58" s="499"/>
      <c r="J58" s="499"/>
      <c r="K58" s="503"/>
      <c r="L58" s="504"/>
      <c r="M58" s="320"/>
      <c r="N58" s="320"/>
      <c r="O58" s="320"/>
      <c r="P58" s="320"/>
      <c r="Q58" s="320"/>
      <c r="R58" s="320"/>
      <c r="S58" s="320"/>
      <c r="T58" s="320"/>
      <c r="U58" s="320"/>
    </row>
    <row r="59" spans="1:24" x14ac:dyDescent="0.2">
      <c r="A59" s="335"/>
      <c r="B59" s="356"/>
      <c r="C59" s="498" t="s">
        <v>163</v>
      </c>
      <c r="D59" s="499"/>
      <c r="E59" s="499"/>
      <c r="F59" s="499"/>
      <c r="G59" s="499"/>
      <c r="H59" s="499"/>
      <c r="I59" s="499"/>
      <c r="J59" s="499"/>
      <c r="K59" s="499"/>
      <c r="L59" s="500"/>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8"/>
      <c r="B60" s="365"/>
      <c r="C60" s="180"/>
      <c r="D60" s="181" t="s">
        <v>161</v>
      </c>
      <c r="E60" s="311"/>
      <c r="F60" s="182" t="s">
        <v>159</v>
      </c>
      <c r="G60" s="183"/>
      <c r="H60" s="183"/>
      <c r="I60" s="183"/>
      <c r="J60" s="184"/>
      <c r="K60" s="311"/>
      <c r="L60" s="185" t="s">
        <v>160</v>
      </c>
      <c r="M60" s="361"/>
      <c r="N60" s="379" t="str">
        <f>"AFTER TUS, HIGH LIMIT SET AT " &amp;E60&amp; "°F AND OVEN SETPOINT RAISED UNTIL HIGH LIMIT SYSTEM ACTIVATED AT " &amp;K60&amp; "°F."</f>
        <v>AFTER TUS, HIGH LIMIT SET AT °F AND OVEN SETPOINT RAISED UNTIL HIGH LIMIT SYSTEM ACTIVATED AT °F.</v>
      </c>
      <c r="O60" s="379"/>
      <c r="P60" s="330"/>
      <c r="Q60" s="330"/>
      <c r="R60" s="330"/>
      <c r="S60" s="330"/>
      <c r="T60" s="330"/>
      <c r="U60" s="330"/>
      <c r="V60" s="330"/>
    </row>
    <row r="61" spans="1:24" x14ac:dyDescent="0.2">
      <c r="A61" s="339"/>
      <c r="B61" s="331"/>
      <c r="C61" s="181"/>
      <c r="D61" s="181" t="s">
        <v>162</v>
      </c>
      <c r="E61" s="311"/>
      <c r="F61" s="187" t="s">
        <v>164</v>
      </c>
      <c r="G61" s="188"/>
      <c r="H61" s="188"/>
      <c r="I61" s="189"/>
      <c r="J61" s="311"/>
      <c r="K61" s="190" t="s">
        <v>160</v>
      </c>
      <c r="L61" s="316"/>
      <c r="M61" s="320"/>
      <c r="N61" s="379" t="str">
        <f>"AFTER TUS, HIGH LIMIT READING " &amp;E61&amp; "°F AND HIGH LIMIT SETPOINT LOWERED UNTIL ACTIVATION AT " &amp;J61&amp; "°F."</f>
        <v>AFTER TUS, HIGH LIMIT READING °F AND HIGH LIMIT SETPOINT LOWERED UNTIL ACTIVATION AT °F.</v>
      </c>
      <c r="O61" s="380"/>
      <c r="P61" s="330"/>
      <c r="Q61" s="330"/>
      <c r="R61" s="330"/>
      <c r="S61" s="330"/>
      <c r="T61" s="330"/>
      <c r="U61" s="330"/>
      <c r="V61" s="330"/>
    </row>
    <row r="62" spans="1:24" x14ac:dyDescent="0.2">
      <c r="A62" s="339"/>
      <c r="B62" s="331"/>
      <c r="C62" s="332"/>
      <c r="D62" s="316"/>
      <c r="E62" s="316"/>
      <c r="F62" s="320" t="s">
        <v>367</v>
      </c>
      <c r="G62" s="355"/>
      <c r="H62" s="355"/>
      <c r="I62" s="355"/>
      <c r="J62" s="316"/>
      <c r="K62" s="316"/>
      <c r="L62" s="316"/>
      <c r="M62" s="381"/>
      <c r="N62" s="380"/>
      <c r="O62" s="380"/>
      <c r="P62" s="330"/>
      <c r="Q62" s="330"/>
      <c r="R62" s="330"/>
      <c r="S62" s="330"/>
      <c r="T62" s="330"/>
      <c r="U62" s="330"/>
      <c r="V62" s="330"/>
    </row>
    <row r="63" spans="1:24" x14ac:dyDescent="0.2">
      <c r="A63" s="339"/>
      <c r="B63" s="331"/>
      <c r="C63" s="354"/>
      <c r="D63" s="355"/>
      <c r="E63" s="355"/>
      <c r="F63" s="355"/>
      <c r="G63" s="355"/>
      <c r="H63" s="355"/>
      <c r="I63" s="355"/>
      <c r="J63" s="316"/>
      <c r="K63" s="316"/>
      <c r="L63" s="316"/>
      <c r="M63" s="320"/>
      <c r="N63" s="361"/>
      <c r="O63" s="361"/>
      <c r="P63" s="320"/>
      <c r="Q63" s="320"/>
      <c r="R63" s="320"/>
      <c r="S63" s="320"/>
      <c r="T63" s="320"/>
      <c r="U63" s="320"/>
    </row>
    <row r="64" spans="1:24" x14ac:dyDescent="0.2">
      <c r="A64" s="382"/>
      <c r="B64" s="331"/>
      <c r="C64" s="354"/>
      <c r="D64" s="355"/>
      <c r="E64" s="355"/>
      <c r="F64" s="355"/>
      <c r="G64" s="355"/>
      <c r="H64" s="355"/>
      <c r="I64" s="355"/>
      <c r="J64" s="316"/>
      <c r="K64" s="316"/>
      <c r="L64" s="316"/>
      <c r="M64" s="320"/>
      <c r="N64" s="361"/>
      <c r="O64" s="361"/>
      <c r="P64" s="320"/>
      <c r="Q64" s="320"/>
      <c r="R64" s="320"/>
      <c r="S64" s="320"/>
      <c r="T64" s="320"/>
      <c r="U64" s="320"/>
    </row>
    <row r="65" spans="1:19" x14ac:dyDescent="0.2">
      <c r="A65" s="383"/>
      <c r="B65" s="331"/>
      <c r="C65" s="354"/>
      <c r="D65" s="355"/>
      <c r="E65" s="355"/>
      <c r="F65" s="355"/>
      <c r="G65" s="355"/>
      <c r="H65" s="355"/>
      <c r="I65" s="355"/>
      <c r="J65" s="316"/>
      <c r="K65" s="316"/>
      <c r="L65" s="316"/>
      <c r="M65" s="316"/>
      <c r="N65" s="384"/>
      <c r="O65" s="384"/>
      <c r="P65" s="316"/>
      <c r="Q65" s="316"/>
      <c r="R65" s="316"/>
      <c r="S65" s="316"/>
    </row>
    <row r="66" spans="1:19" x14ac:dyDescent="0.2">
      <c r="A66" s="385"/>
      <c r="B66" s="331"/>
      <c r="C66" s="354"/>
      <c r="D66" s="355"/>
      <c r="E66" s="355"/>
      <c r="F66" s="355"/>
      <c r="G66" s="355"/>
      <c r="H66" s="355"/>
      <c r="I66" s="355"/>
      <c r="J66" s="316"/>
      <c r="K66" s="316"/>
      <c r="L66" s="316"/>
      <c r="M66" s="316"/>
      <c r="N66" s="386"/>
      <c r="O66" s="386"/>
      <c r="P66" s="316"/>
      <c r="Q66" s="316"/>
      <c r="R66" s="316"/>
      <c r="S66" s="316"/>
    </row>
    <row r="67" spans="1:19" x14ac:dyDescent="0.2">
      <c r="A67" s="339"/>
      <c r="B67" s="331"/>
      <c r="C67" s="354"/>
      <c r="D67" s="355"/>
      <c r="E67" s="355"/>
      <c r="F67" s="355"/>
      <c r="G67" s="355"/>
      <c r="H67" s="355"/>
      <c r="I67" s="355"/>
      <c r="J67" s="316"/>
      <c r="K67" s="316"/>
      <c r="L67" s="316"/>
      <c r="M67" s="316"/>
      <c r="N67" s="386"/>
      <c r="O67" s="386"/>
      <c r="P67" s="316"/>
      <c r="Q67" s="316"/>
      <c r="R67" s="316"/>
      <c r="S67" s="316"/>
    </row>
    <row r="68" spans="1:19" x14ac:dyDescent="0.2">
      <c r="A68" s="339"/>
      <c r="B68" s="331"/>
      <c r="C68" s="354"/>
      <c r="D68" s="355"/>
      <c r="E68" s="355"/>
      <c r="F68" s="355"/>
      <c r="G68" s="355"/>
      <c r="H68" s="355"/>
      <c r="I68" s="355"/>
      <c r="J68" s="316"/>
      <c r="K68" s="316"/>
      <c r="L68" s="316"/>
      <c r="M68" s="316"/>
      <c r="N68" s="386"/>
      <c r="O68" s="386"/>
      <c r="P68" s="316"/>
      <c r="Q68" s="316"/>
      <c r="R68" s="316"/>
      <c r="S68" s="316"/>
    </row>
    <row r="69" spans="1:19" ht="24.75" customHeight="1" x14ac:dyDescent="0.2">
      <c r="A69" s="339"/>
      <c r="B69" s="331"/>
      <c r="C69" s="354"/>
      <c r="D69" s="355"/>
      <c r="E69" s="355"/>
      <c r="F69" s="355"/>
      <c r="G69" s="355"/>
      <c r="H69" s="355"/>
      <c r="I69" s="355"/>
      <c r="J69" s="316"/>
      <c r="K69" s="316"/>
      <c r="L69" s="316"/>
      <c r="M69" s="316"/>
      <c r="N69" s="386"/>
      <c r="O69" s="386"/>
      <c r="P69" s="316"/>
      <c r="Q69" s="316"/>
      <c r="R69" s="316"/>
      <c r="S69" s="316"/>
    </row>
    <row r="70" spans="1:19" x14ac:dyDescent="0.2">
      <c r="A70" s="339"/>
      <c r="B70" s="331"/>
      <c r="C70" s="332"/>
      <c r="D70" s="316"/>
      <c r="E70" s="316"/>
      <c r="F70" s="316"/>
      <c r="G70" s="316"/>
      <c r="H70" s="316"/>
      <c r="I70" s="316"/>
      <c r="J70" s="316"/>
      <c r="K70" s="316"/>
      <c r="L70" s="316"/>
      <c r="M70" s="316"/>
      <c r="N70" s="360"/>
      <c r="O70" s="360"/>
      <c r="P70" s="316"/>
      <c r="Q70" s="316"/>
      <c r="R70" s="316"/>
      <c r="S70" s="316"/>
    </row>
    <row r="71" spans="1:19" x14ac:dyDescent="0.2">
      <c r="A71" s="387"/>
      <c r="B71" s="331"/>
      <c r="C71" s="332"/>
      <c r="D71" s="316"/>
      <c r="E71" s="316"/>
      <c r="F71" s="316"/>
      <c r="G71" s="316"/>
      <c r="H71" s="316"/>
      <c r="I71" s="316"/>
      <c r="J71" s="316"/>
      <c r="K71" s="316"/>
      <c r="L71" s="316"/>
      <c r="M71" s="316"/>
      <c r="N71" s="316"/>
      <c r="O71" s="360"/>
      <c r="P71" s="316"/>
      <c r="Q71" s="316"/>
      <c r="R71" s="316"/>
      <c r="S71" s="316"/>
    </row>
    <row r="72" spans="1:19" x14ac:dyDescent="0.2">
      <c r="A72" s="388"/>
      <c r="B72" s="389"/>
      <c r="C72" s="390"/>
      <c r="D72" s="391"/>
      <c r="E72" s="391"/>
      <c r="F72" s="391"/>
      <c r="G72" s="391"/>
      <c r="H72" s="391"/>
      <c r="I72" s="391"/>
      <c r="J72" s="391"/>
      <c r="K72" s="391"/>
      <c r="L72" s="391"/>
      <c r="M72" s="391"/>
      <c r="N72" s="392"/>
      <c r="O72" s="392"/>
      <c r="P72" s="392"/>
      <c r="Q72" s="391"/>
      <c r="R72" s="316"/>
      <c r="S72" s="316"/>
    </row>
    <row r="73" spans="1:19" x14ac:dyDescent="0.2">
      <c r="A73" s="388"/>
      <c r="B73" s="389"/>
      <c r="C73" s="390"/>
      <c r="D73" s="391"/>
      <c r="E73" s="391"/>
      <c r="F73" s="391"/>
      <c r="G73" s="391"/>
      <c r="H73" s="391"/>
      <c r="I73" s="391"/>
      <c r="J73" s="391"/>
      <c r="K73" s="391"/>
      <c r="L73" s="391"/>
      <c r="M73" s="391"/>
      <c r="N73" s="392"/>
      <c r="O73" s="392"/>
      <c r="P73" s="392"/>
      <c r="Q73" s="391"/>
      <c r="R73" s="316"/>
      <c r="S73" s="316"/>
    </row>
    <row r="74" spans="1:19" x14ac:dyDescent="0.2">
      <c r="A74" s="388"/>
      <c r="B74" s="389"/>
      <c r="C74" s="390"/>
      <c r="D74" s="391"/>
      <c r="E74" s="391"/>
      <c r="F74" s="391"/>
      <c r="G74" s="391"/>
      <c r="H74" s="391"/>
      <c r="I74" s="391"/>
      <c r="J74" s="391"/>
      <c r="K74" s="391"/>
      <c r="L74" s="391"/>
      <c r="M74" s="391"/>
      <c r="N74" s="392"/>
      <c r="O74" s="392"/>
      <c r="P74" s="392"/>
      <c r="Q74" s="391"/>
      <c r="R74" s="316"/>
      <c r="S74" s="316"/>
    </row>
    <row r="75" spans="1:19" x14ac:dyDescent="0.2">
      <c r="A75" s="388"/>
      <c r="B75" s="389"/>
      <c r="C75" s="390"/>
      <c r="D75" s="391"/>
      <c r="E75" s="391"/>
      <c r="F75" s="391"/>
      <c r="G75" s="391"/>
      <c r="H75" s="391"/>
      <c r="I75" s="391"/>
      <c r="J75" s="391"/>
      <c r="K75" s="391"/>
      <c r="L75" s="391"/>
      <c r="M75" s="391"/>
      <c r="N75" s="392"/>
      <c r="O75" s="392"/>
      <c r="P75" s="392"/>
      <c r="Q75" s="391"/>
      <c r="R75" s="316"/>
      <c r="S75" s="316"/>
    </row>
    <row r="76" spans="1:19" x14ac:dyDescent="0.2">
      <c r="A76" s="388"/>
      <c r="B76" s="389"/>
      <c r="C76" s="390"/>
      <c r="D76" s="391"/>
      <c r="E76" s="391"/>
      <c r="F76" s="391"/>
      <c r="G76" s="391"/>
      <c r="H76" s="391"/>
      <c r="I76" s="391"/>
      <c r="J76" s="391"/>
      <c r="K76" s="391"/>
      <c r="L76" s="391"/>
      <c r="M76" s="391"/>
      <c r="N76" s="392"/>
      <c r="O76" s="392"/>
      <c r="P76" s="392"/>
      <c r="Q76" s="391"/>
      <c r="R76" s="316"/>
      <c r="S76" s="316"/>
    </row>
    <row r="77" spans="1:19" x14ac:dyDescent="0.2">
      <c r="A77" s="388"/>
      <c r="B77" s="389"/>
      <c r="C77" s="390"/>
      <c r="D77" s="391"/>
      <c r="E77" s="391"/>
      <c r="F77" s="391"/>
      <c r="G77" s="391"/>
      <c r="H77" s="391"/>
      <c r="I77" s="391"/>
      <c r="J77" s="391"/>
      <c r="K77" s="391"/>
      <c r="L77" s="391"/>
      <c r="M77" s="391"/>
      <c r="N77" s="392"/>
      <c r="O77" s="392"/>
      <c r="P77" s="392"/>
      <c r="Q77" s="391"/>
      <c r="R77" s="316"/>
      <c r="S77" s="316"/>
    </row>
    <row r="78" spans="1:19" x14ac:dyDescent="0.2">
      <c r="A78" s="388"/>
      <c r="B78" s="389"/>
      <c r="C78" s="390"/>
      <c r="D78" s="391"/>
      <c r="E78" s="391"/>
      <c r="F78" s="391"/>
      <c r="G78" s="391"/>
      <c r="H78" s="391"/>
      <c r="I78" s="391"/>
      <c r="J78" s="391"/>
      <c r="K78" s="391"/>
      <c r="L78" s="391"/>
      <c r="M78" s="391"/>
      <c r="N78" s="392"/>
      <c r="O78" s="392"/>
      <c r="P78" s="392"/>
      <c r="Q78" s="391"/>
      <c r="R78" s="316"/>
      <c r="S78" s="316"/>
    </row>
    <row r="79" spans="1:19" x14ac:dyDescent="0.2">
      <c r="A79" s="388"/>
      <c r="B79" s="389"/>
      <c r="C79" s="390"/>
      <c r="D79" s="391"/>
      <c r="E79" s="391"/>
      <c r="F79" s="391"/>
      <c r="G79" s="391"/>
      <c r="H79" s="391"/>
      <c r="I79" s="391"/>
      <c r="J79" s="391"/>
      <c r="K79" s="391"/>
      <c r="L79" s="391"/>
      <c r="M79" s="391"/>
      <c r="N79" s="392"/>
      <c r="O79" s="392"/>
      <c r="P79" s="392"/>
      <c r="Q79" s="391"/>
      <c r="R79" s="316"/>
      <c r="S79" s="316"/>
    </row>
    <row r="80" spans="1:19" x14ac:dyDescent="0.2">
      <c r="A80" s="388"/>
      <c r="B80" s="389"/>
      <c r="C80" s="390"/>
      <c r="D80" s="391"/>
      <c r="E80" s="391"/>
      <c r="F80" s="391"/>
      <c r="G80" s="391"/>
      <c r="H80" s="391"/>
      <c r="I80" s="391"/>
      <c r="J80" s="391"/>
      <c r="K80" s="391"/>
      <c r="L80" s="391"/>
      <c r="M80" s="391"/>
      <c r="N80" s="392"/>
      <c r="O80" s="392"/>
      <c r="P80" s="392"/>
      <c r="Q80" s="391"/>
      <c r="R80" s="316"/>
      <c r="S80" s="316"/>
    </row>
    <row r="81" spans="1:19" x14ac:dyDescent="0.2">
      <c r="A81" s="388"/>
      <c r="B81" s="389"/>
      <c r="C81" s="390"/>
      <c r="D81" s="391"/>
      <c r="E81" s="391"/>
      <c r="F81" s="391"/>
      <c r="G81" s="391"/>
      <c r="H81" s="391"/>
      <c r="I81" s="391"/>
      <c r="J81" s="391"/>
      <c r="K81" s="391"/>
      <c r="L81" s="391"/>
      <c r="M81" s="391"/>
      <c r="N81" s="392"/>
      <c r="O81" s="392"/>
      <c r="P81" s="392"/>
      <c r="Q81" s="391"/>
      <c r="R81" s="316"/>
      <c r="S81" s="316"/>
    </row>
    <row r="82" spans="1:19" x14ac:dyDescent="0.2">
      <c r="A82" s="388"/>
      <c r="B82" s="389"/>
      <c r="C82" s="390"/>
      <c r="D82" s="391"/>
      <c r="E82" s="391"/>
      <c r="F82" s="391"/>
      <c r="G82" s="391"/>
      <c r="I82" s="391"/>
      <c r="J82" s="391"/>
      <c r="K82" s="391"/>
      <c r="L82" s="391"/>
      <c r="M82" s="391"/>
      <c r="N82" s="392"/>
      <c r="O82" s="392"/>
      <c r="P82" s="392"/>
      <c r="Q82" s="391"/>
      <c r="R82" s="316"/>
      <c r="S82" s="316"/>
    </row>
    <row r="83" spans="1:19" x14ac:dyDescent="0.2">
      <c r="A83" s="388"/>
      <c r="B83" s="389"/>
      <c r="C83" s="390"/>
      <c r="D83" s="391"/>
      <c r="E83" s="393"/>
      <c r="F83" s="394"/>
      <c r="G83" s="320" t="s">
        <v>917</v>
      </c>
      <c r="H83" s="449">
        <f>MAX(NominalTemp/1000,1)</f>
        <v>1</v>
      </c>
      <c r="I83" s="393"/>
      <c r="J83" s="394"/>
      <c r="K83" s="395"/>
      <c r="L83" s="396"/>
      <c r="M83" s="391"/>
      <c r="N83" s="392"/>
      <c r="O83" s="392"/>
      <c r="P83" s="392"/>
      <c r="Q83" s="391"/>
      <c r="R83" s="316"/>
      <c r="S83" s="316"/>
    </row>
    <row r="84" spans="1:19" x14ac:dyDescent="0.2">
      <c r="A84" s="388"/>
      <c r="B84" s="389"/>
      <c r="C84" s="390"/>
      <c r="D84" s="391"/>
      <c r="E84" s="397"/>
      <c r="F84" s="398"/>
      <c r="G84" s="399"/>
      <c r="H84" s="400"/>
      <c r="I84" s="401"/>
      <c r="J84" s="394"/>
      <c r="K84" s="395"/>
      <c r="L84" s="396"/>
      <c r="M84" s="391"/>
      <c r="N84" s="392"/>
      <c r="O84" s="392"/>
      <c r="P84" s="392"/>
      <c r="Q84" s="391"/>
      <c r="R84" s="316"/>
      <c r="S84" s="316"/>
    </row>
    <row r="85" spans="1:19" x14ac:dyDescent="0.2">
      <c r="A85" s="388"/>
      <c r="B85" s="389"/>
      <c r="C85" s="390"/>
      <c r="D85" s="391"/>
      <c r="E85" s="397"/>
      <c r="F85" t="s">
        <v>915</v>
      </c>
      <c r="G85" t="s">
        <v>151</v>
      </c>
      <c r="H85" t="s">
        <v>150</v>
      </c>
      <c r="I85" s="39" t="s">
        <v>916</v>
      </c>
      <c r="J85" s="395"/>
      <c r="K85" s="396"/>
      <c r="L85" s="391"/>
      <c r="M85" s="392"/>
      <c r="N85" s="392"/>
      <c r="O85" s="392"/>
      <c r="P85" s="391"/>
      <c r="Q85" s="316"/>
      <c r="R85" s="316"/>
      <c r="S85" s="316"/>
    </row>
    <row r="86" spans="1:19" x14ac:dyDescent="0.2">
      <c r="A86" s="388"/>
      <c r="B86" s="389"/>
      <c r="C86" s="390"/>
      <c r="D86" s="391"/>
      <c r="E86" s="397"/>
      <c r="F86">
        <v>1</v>
      </c>
      <c r="G86" s="411">
        <v>5</v>
      </c>
      <c r="H86" s="411">
        <f>$H$83*Table18[[#This Row],[SAT Multiplier]]</f>
        <v>2</v>
      </c>
      <c r="I86">
        <v>2</v>
      </c>
      <c r="J86" s="395"/>
      <c r="K86" s="396"/>
      <c r="L86" s="391"/>
      <c r="M86" s="392"/>
      <c r="N86" s="392"/>
      <c r="O86" s="392"/>
      <c r="P86" s="391"/>
      <c r="Q86" s="316"/>
      <c r="R86" s="316"/>
      <c r="S86" s="316"/>
    </row>
    <row r="87" spans="1:19" x14ac:dyDescent="0.2">
      <c r="A87" s="388"/>
      <c r="B87" s="389"/>
      <c r="C87" s="390"/>
      <c r="D87" s="391"/>
      <c r="E87" s="397"/>
      <c r="F87">
        <v>2</v>
      </c>
      <c r="G87" s="411">
        <v>10</v>
      </c>
      <c r="H87" s="411">
        <f>$H$83*Table18[[#This Row],[SAT Multiplier]]</f>
        <v>3</v>
      </c>
      <c r="I87">
        <v>3</v>
      </c>
      <c r="J87" s="395"/>
      <c r="K87" s="396"/>
      <c r="L87" s="391"/>
      <c r="M87" s="392"/>
      <c r="N87" s="392"/>
      <c r="O87" s="392"/>
      <c r="P87" s="391"/>
      <c r="Q87" s="316"/>
      <c r="R87" s="316"/>
      <c r="S87" s="316"/>
    </row>
    <row r="88" spans="1:19" x14ac:dyDescent="0.2">
      <c r="A88" s="388"/>
      <c r="B88" s="389"/>
      <c r="C88" s="390"/>
      <c r="D88" s="391"/>
      <c r="E88" s="397"/>
      <c r="F88">
        <v>3</v>
      </c>
      <c r="G88" s="411">
        <v>15</v>
      </c>
      <c r="H88" s="411">
        <f>$H$83*Table18[[#This Row],[SAT Multiplier]]</f>
        <v>4</v>
      </c>
      <c r="I88">
        <v>4</v>
      </c>
      <c r="J88" s="395"/>
      <c r="K88" s="396"/>
      <c r="L88" s="391"/>
      <c r="M88" s="392"/>
      <c r="N88" s="392"/>
      <c r="O88" s="392"/>
      <c r="P88" s="391"/>
      <c r="Q88" s="316"/>
      <c r="R88" s="316"/>
      <c r="S88" s="316"/>
    </row>
    <row r="89" spans="1:19" x14ac:dyDescent="0.2">
      <c r="A89" s="388"/>
      <c r="B89" s="389"/>
      <c r="C89" s="390"/>
      <c r="D89" s="391"/>
      <c r="E89" s="397"/>
      <c r="F89">
        <v>4</v>
      </c>
      <c r="G89" s="411">
        <v>20</v>
      </c>
      <c r="H89" s="411">
        <f>$H$83*Table18[[#This Row],[SAT Multiplier]]</f>
        <v>4</v>
      </c>
      <c r="I89">
        <v>4</v>
      </c>
      <c r="J89" s="395"/>
      <c r="K89" s="396"/>
      <c r="L89" s="391"/>
      <c r="M89" s="392"/>
      <c r="N89" s="392"/>
      <c r="O89" s="392"/>
      <c r="P89" s="391"/>
      <c r="Q89" s="316"/>
      <c r="R89" s="316"/>
      <c r="S89" s="316"/>
    </row>
    <row r="90" spans="1:19" x14ac:dyDescent="0.2">
      <c r="A90" s="388"/>
      <c r="B90" s="389"/>
      <c r="C90" s="390"/>
      <c r="D90" s="391"/>
      <c r="E90" s="397"/>
      <c r="F90">
        <v>5</v>
      </c>
      <c r="G90" s="411">
        <v>25</v>
      </c>
      <c r="H90" s="411">
        <f>$H$83*Table18[[#This Row],[SAT Multiplier]]</f>
        <v>5</v>
      </c>
      <c r="I90">
        <v>5</v>
      </c>
      <c r="J90" s="395"/>
      <c r="K90" s="396"/>
      <c r="L90" s="391"/>
      <c r="M90" s="392"/>
      <c r="N90" s="392"/>
      <c r="O90" s="392"/>
      <c r="P90" s="391"/>
      <c r="Q90" s="316"/>
      <c r="R90" s="316"/>
      <c r="S90" s="316"/>
    </row>
    <row r="91" spans="1:19" x14ac:dyDescent="0.2">
      <c r="A91" s="388"/>
      <c r="B91" s="389"/>
      <c r="C91" s="390"/>
      <c r="D91" s="391"/>
      <c r="E91" s="397"/>
      <c r="F91">
        <v>6</v>
      </c>
      <c r="G91" s="411">
        <v>50</v>
      </c>
      <c r="H91" s="411">
        <f>$H$83*Table18[[#This Row],[SAT Multiplier]]</f>
        <v>10</v>
      </c>
      <c r="I91">
        <v>10</v>
      </c>
      <c r="J91" s="395"/>
      <c r="K91" s="396"/>
      <c r="L91" s="391"/>
      <c r="M91" s="392"/>
      <c r="N91" s="392"/>
      <c r="O91" s="392"/>
      <c r="P91" s="391"/>
      <c r="Q91" s="316"/>
      <c r="R91" s="316"/>
      <c r="S91" s="316"/>
    </row>
    <row r="92" spans="1:19" x14ac:dyDescent="0.2">
      <c r="A92" s="388"/>
      <c r="B92" s="389"/>
      <c r="C92" s="390"/>
      <c r="D92" s="391"/>
      <c r="E92" s="397"/>
      <c r="F92" s="398"/>
      <c r="G92" s="399"/>
      <c r="H92" s="400"/>
      <c r="I92" s="401"/>
      <c r="J92" s="394"/>
      <c r="K92" s="395"/>
      <c r="L92" s="396"/>
      <c r="M92" s="391"/>
      <c r="N92" s="392"/>
      <c r="O92" s="392"/>
      <c r="P92" s="392"/>
      <c r="Q92" s="391"/>
      <c r="R92" s="316"/>
      <c r="S92" s="316"/>
    </row>
    <row r="93" spans="1:19" x14ac:dyDescent="0.2">
      <c r="A93" s="388"/>
      <c r="B93" s="389"/>
      <c r="C93" s="390"/>
      <c r="D93" s="391"/>
      <c r="E93" s="397"/>
      <c r="F93" s="398" t="s">
        <v>267</v>
      </c>
      <c r="G93" s="399" t="e">
        <f>VLOOKUP(G97,G86:H91,2,FALSE)</f>
        <v>#N/A</v>
      </c>
      <c r="H93" s="400" t="s">
        <v>268</v>
      </c>
      <c r="I93" s="401"/>
      <c r="J93" s="394"/>
      <c r="K93" s="395"/>
      <c r="L93" s="396"/>
      <c r="M93" s="391"/>
      <c r="N93" s="392"/>
      <c r="O93" s="392"/>
      <c r="P93" s="392"/>
      <c r="Q93" s="391"/>
      <c r="R93" s="316"/>
      <c r="S93" s="316"/>
    </row>
    <row r="94" spans="1:19" x14ac:dyDescent="0.2">
      <c r="A94" s="388"/>
      <c r="B94" s="389"/>
      <c r="C94" s="390"/>
      <c r="D94" s="391"/>
      <c r="E94" s="397"/>
      <c r="F94" s="402"/>
      <c r="G94" s="403" t="e">
        <f>F93&amp;G93&amp;H93</f>
        <v>#N/A</v>
      </c>
      <c r="H94" s="404"/>
      <c r="J94" s="394"/>
      <c r="K94" s="395"/>
      <c r="L94" s="396"/>
      <c r="M94" s="391"/>
      <c r="N94" s="392"/>
      <c r="O94" s="392"/>
      <c r="P94" s="392"/>
      <c r="Q94" s="391"/>
      <c r="R94" s="316"/>
      <c r="S94" s="316"/>
    </row>
    <row r="95" spans="1:19" x14ac:dyDescent="0.2">
      <c r="A95" s="388"/>
      <c r="B95" s="389"/>
      <c r="C95" s="390"/>
      <c r="D95" s="391"/>
      <c r="E95" s="393"/>
      <c r="F95" s="394"/>
      <c r="G95" s="395" t="e">
        <f>ROUNDDOWN(G93,2-(1+INT(LOG10(ABS(G93)))))</f>
        <v>#N/A</v>
      </c>
      <c r="H95" s="396"/>
      <c r="I95" s="393"/>
      <c r="J95" s="394"/>
      <c r="K95" s="395"/>
      <c r="L95" s="396"/>
      <c r="M95" s="391"/>
      <c r="N95" s="392"/>
      <c r="O95" s="392"/>
      <c r="P95" s="392"/>
      <c r="Q95" s="391"/>
      <c r="R95" s="316"/>
      <c r="S95" s="316"/>
    </row>
    <row r="96" spans="1:19" x14ac:dyDescent="0.2">
      <c r="A96" s="388"/>
      <c r="B96" s="389"/>
      <c r="C96" s="390"/>
      <c r="D96" s="391"/>
      <c r="E96" s="388"/>
      <c r="F96" s="389"/>
      <c r="G96" s="390"/>
      <c r="H96" s="391"/>
      <c r="I96" s="388"/>
      <c r="J96" s="389"/>
      <c r="K96" s="390"/>
      <c r="L96" s="391"/>
      <c r="M96" s="391"/>
      <c r="N96" s="392"/>
      <c r="O96" s="392"/>
      <c r="P96" s="392"/>
      <c r="Q96" s="391"/>
      <c r="R96" s="316"/>
      <c r="S96" s="316"/>
    </row>
    <row r="97" spans="1:26" x14ac:dyDescent="0.2">
      <c r="A97" s="388"/>
      <c r="B97" s="389"/>
      <c r="C97" s="390"/>
      <c r="D97" s="391"/>
      <c r="E97" s="388"/>
      <c r="F97" s="389" t="s">
        <v>933</v>
      </c>
      <c r="G97" s="390"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1"/>
      <c r="I97" s="388"/>
      <c r="J97" s="389"/>
      <c r="K97" s="390"/>
      <c r="L97" s="391"/>
      <c r="M97" s="391"/>
      <c r="N97" s="392"/>
      <c r="O97" s="392"/>
      <c r="P97" s="392"/>
      <c r="Q97" s="391"/>
      <c r="R97" s="316"/>
      <c r="S97" s="316"/>
    </row>
    <row r="98" spans="1:26" x14ac:dyDescent="0.2">
      <c r="A98" s="388"/>
      <c r="B98" s="389"/>
      <c r="C98" s="390"/>
      <c r="D98" s="391"/>
      <c r="E98" s="391"/>
      <c r="F98" s="391"/>
      <c r="G98" s="391"/>
      <c r="H98" s="391"/>
      <c r="I98" s="391"/>
      <c r="J98" s="391"/>
      <c r="K98" s="391"/>
      <c r="L98" s="391"/>
      <c r="M98" s="391"/>
      <c r="N98" s="392"/>
      <c r="O98" s="392"/>
      <c r="P98" s="392"/>
      <c r="Q98" s="391"/>
      <c r="R98" s="316"/>
      <c r="S98" s="316"/>
    </row>
    <row r="99" spans="1:26" x14ac:dyDescent="0.2">
      <c r="A99" s="388"/>
      <c r="B99" s="389"/>
      <c r="C99" s="390"/>
      <c r="D99" s="391"/>
      <c r="E99" s="391"/>
      <c r="F99" s="391"/>
      <c r="G99" s="391"/>
      <c r="H99" s="391"/>
      <c r="I99" s="391"/>
      <c r="J99" s="391"/>
      <c r="K99" s="391"/>
      <c r="L99" s="391"/>
      <c r="M99" s="391"/>
      <c r="N99" s="392"/>
      <c r="O99" s="392"/>
      <c r="P99" s="392"/>
      <c r="Q99" s="391"/>
      <c r="R99" s="316"/>
      <c r="S99" s="316"/>
    </row>
    <row r="100" spans="1:26" x14ac:dyDescent="0.2">
      <c r="A100" s="388"/>
      <c r="B100" s="389"/>
      <c r="C100" s="390"/>
      <c r="D100" s="391"/>
      <c r="E100" s="391"/>
      <c r="F100" s="391"/>
      <c r="G100" s="391"/>
      <c r="H100" s="391"/>
      <c r="I100" s="391"/>
      <c r="J100" s="391"/>
      <c r="K100" s="391"/>
      <c r="L100" s="391"/>
      <c r="M100" s="391"/>
      <c r="N100" s="392"/>
      <c r="O100" s="392"/>
      <c r="P100" s="392"/>
      <c r="Q100" s="391"/>
      <c r="R100" s="316"/>
      <c r="S100" s="316"/>
      <c r="Z100" s="485"/>
    </row>
    <row r="101" spans="1:26" x14ac:dyDescent="0.2">
      <c r="A101" s="388"/>
      <c r="B101" s="389"/>
      <c r="C101" s="390"/>
      <c r="D101" s="391"/>
      <c r="E101" s="391"/>
      <c r="F101" s="391"/>
      <c r="G101" s="391"/>
      <c r="H101" s="391"/>
      <c r="I101" s="391"/>
      <c r="J101" s="391"/>
      <c r="K101" s="391"/>
      <c r="L101" s="391"/>
      <c r="M101" s="391"/>
      <c r="N101" s="392"/>
      <c r="O101" s="392"/>
      <c r="P101" s="392"/>
      <c r="Q101" s="391"/>
      <c r="R101" s="316"/>
      <c r="S101" s="316"/>
    </row>
    <row r="102" spans="1:26" x14ac:dyDescent="0.2">
      <c r="A102" s="388"/>
      <c r="B102" s="389"/>
      <c r="C102" s="390"/>
      <c r="D102" s="391"/>
      <c r="E102" s="391"/>
      <c r="F102" s="391"/>
      <c r="G102" s="391"/>
      <c r="H102" s="391"/>
      <c r="I102" s="391"/>
      <c r="J102" s="391"/>
      <c r="K102" s="391"/>
      <c r="L102" s="391"/>
      <c r="M102" s="391"/>
      <c r="N102" s="392"/>
      <c r="O102" s="392"/>
      <c r="P102" s="392"/>
      <c r="Q102" s="391"/>
      <c r="R102" s="316"/>
      <c r="S102" s="316"/>
    </row>
    <row r="103" spans="1:26" x14ac:dyDescent="0.2">
      <c r="A103" s="388"/>
      <c r="B103" s="389"/>
      <c r="C103" s="390"/>
      <c r="D103" s="391"/>
      <c r="E103" s="391"/>
      <c r="F103" s="391"/>
      <c r="G103" s="391"/>
      <c r="H103" s="391"/>
      <c r="I103" s="391"/>
      <c r="J103" s="391"/>
      <c r="K103" s="391"/>
      <c r="L103" s="391"/>
      <c r="M103" s="391"/>
      <c r="N103" s="392"/>
      <c r="O103" s="392"/>
      <c r="P103" s="392"/>
      <c r="Q103" s="391"/>
      <c r="R103" s="316"/>
      <c r="S103" s="316"/>
    </row>
    <row r="104" spans="1:26" x14ac:dyDescent="0.2">
      <c r="A104" s="388"/>
      <c r="B104" s="389"/>
      <c r="C104" s="390"/>
      <c r="D104" s="391"/>
      <c r="E104" s="391"/>
      <c r="F104" s="391"/>
      <c r="G104" s="391"/>
      <c r="H104" s="391"/>
      <c r="I104" s="391"/>
      <c r="J104" s="391"/>
      <c r="K104" s="391"/>
      <c r="L104" s="391"/>
      <c r="M104" s="391"/>
      <c r="N104" s="392"/>
      <c r="O104" s="392"/>
      <c r="P104" s="392"/>
      <c r="Q104" s="391"/>
      <c r="R104" s="316"/>
      <c r="S104" s="316"/>
    </row>
    <row r="105" spans="1:26" x14ac:dyDescent="0.2">
      <c r="A105" s="388"/>
      <c r="B105" s="389"/>
      <c r="C105" s="390"/>
      <c r="D105" s="391"/>
      <c r="E105" s="391"/>
      <c r="F105" s="391"/>
      <c r="G105" s="391"/>
      <c r="H105" s="391"/>
      <c r="I105" s="391"/>
      <c r="J105" s="391"/>
      <c r="K105" s="391"/>
      <c r="L105" s="391"/>
      <c r="M105" s="391"/>
      <c r="N105" s="392"/>
      <c r="O105" s="392"/>
      <c r="P105" s="392"/>
      <c r="Q105" s="391"/>
      <c r="R105" s="316"/>
      <c r="S105" s="316"/>
    </row>
    <row r="106" spans="1:26" x14ac:dyDescent="0.2">
      <c r="A106" s="388"/>
      <c r="B106" s="389"/>
      <c r="C106" s="390"/>
      <c r="D106" s="391"/>
      <c r="E106" s="391"/>
      <c r="F106" s="391"/>
      <c r="G106" s="484"/>
      <c r="H106" s="391"/>
      <c r="I106" s="391"/>
      <c r="J106" s="391"/>
      <c r="K106" s="391"/>
      <c r="L106" s="391"/>
      <c r="M106" s="391"/>
      <c r="N106" s="392"/>
      <c r="O106" s="392"/>
      <c r="P106" s="392"/>
      <c r="Q106" s="391"/>
      <c r="R106" s="316"/>
      <c r="S106" s="316"/>
    </row>
    <row r="107" spans="1:26" x14ac:dyDescent="0.2">
      <c r="A107" s="388"/>
      <c r="B107" s="389"/>
      <c r="C107" s="390"/>
      <c r="D107" s="391"/>
      <c r="E107" s="391"/>
      <c r="F107" s="391"/>
      <c r="G107" s="391"/>
      <c r="H107" s="391"/>
      <c r="I107" s="391"/>
      <c r="J107" s="391"/>
      <c r="K107" s="391"/>
      <c r="L107" s="391"/>
      <c r="M107" s="391"/>
      <c r="N107" s="392"/>
      <c r="O107" s="392"/>
      <c r="P107" s="392"/>
      <c r="Q107" s="391"/>
      <c r="R107" s="316"/>
      <c r="S107" s="316"/>
    </row>
    <row r="108" spans="1:26" x14ac:dyDescent="0.2">
      <c r="A108" s="388"/>
      <c r="B108" s="389"/>
      <c r="C108" s="390"/>
      <c r="D108" s="391"/>
      <c r="E108" s="391"/>
      <c r="F108" s="391"/>
      <c r="G108" s="391"/>
      <c r="H108" s="391"/>
      <c r="I108" s="391"/>
      <c r="J108" s="391"/>
      <c r="K108" s="391"/>
      <c r="L108" s="391"/>
      <c r="M108" s="391"/>
      <c r="N108" s="392"/>
      <c r="O108" s="392"/>
      <c r="P108" s="392"/>
      <c r="Q108" s="391"/>
      <c r="R108" s="316"/>
      <c r="S108" s="316"/>
    </row>
    <row r="109" spans="1:26" x14ac:dyDescent="0.2">
      <c r="A109" s="388"/>
      <c r="B109" s="389"/>
      <c r="C109" s="390"/>
      <c r="D109" s="391"/>
      <c r="E109" s="391"/>
      <c r="F109" s="391"/>
      <c r="G109" s="391"/>
      <c r="H109" s="391"/>
      <c r="I109" s="391"/>
      <c r="J109" s="391"/>
      <c r="K109" s="391"/>
      <c r="L109" s="391"/>
      <c r="M109" s="391"/>
      <c r="N109" s="392"/>
      <c r="O109" s="392"/>
      <c r="P109" s="392"/>
      <c r="Q109" s="391"/>
      <c r="R109" s="316"/>
      <c r="S109" s="316"/>
    </row>
    <row r="110" spans="1:26" x14ac:dyDescent="0.2">
      <c r="A110" s="388"/>
      <c r="B110" s="389"/>
      <c r="C110" s="390"/>
      <c r="D110" s="391"/>
      <c r="E110" s="391"/>
      <c r="F110" s="391"/>
      <c r="G110" s="391"/>
      <c r="H110" s="391"/>
      <c r="I110" s="391"/>
      <c r="J110" s="391"/>
      <c r="K110" s="391"/>
      <c r="L110" s="391"/>
      <c r="M110" s="391"/>
      <c r="N110" s="392"/>
      <c r="O110" s="392"/>
      <c r="P110" s="392"/>
      <c r="Q110" s="391"/>
      <c r="R110" s="316"/>
      <c r="S110" s="316"/>
    </row>
    <row r="111" spans="1:26" x14ac:dyDescent="0.2">
      <c r="A111" s="388"/>
      <c r="B111" s="389"/>
      <c r="C111" s="390"/>
      <c r="D111" s="391"/>
      <c r="E111" s="391"/>
      <c r="F111" s="391"/>
      <c r="G111" s="391"/>
      <c r="H111" s="391"/>
      <c r="I111" s="391"/>
      <c r="J111" s="391"/>
      <c r="K111" s="391"/>
      <c r="L111" s="391"/>
      <c r="M111" s="391"/>
      <c r="N111" s="392"/>
      <c r="O111" s="392"/>
      <c r="P111" s="392"/>
      <c r="Q111" s="391"/>
      <c r="R111" s="316"/>
      <c r="S111" s="316"/>
    </row>
    <row r="112" spans="1:26" x14ac:dyDescent="0.2">
      <c r="A112" s="388"/>
      <c r="B112" s="389"/>
      <c r="C112" s="390"/>
      <c r="D112" s="391"/>
      <c r="E112" s="391"/>
      <c r="F112" s="391"/>
      <c r="G112" s="391"/>
      <c r="H112" s="391"/>
      <c r="I112" s="391"/>
      <c r="J112" s="391"/>
      <c r="K112" s="391"/>
      <c r="L112" s="391"/>
      <c r="M112" s="391"/>
      <c r="N112" s="405"/>
      <c r="O112" s="405"/>
      <c r="P112" s="405"/>
      <c r="Q112" s="391"/>
      <c r="R112" s="316"/>
      <c r="S112" s="316"/>
    </row>
    <row r="113" spans="1:19" x14ac:dyDescent="0.2">
      <c r="A113" s="388"/>
      <c r="B113" s="389"/>
      <c r="C113" s="390"/>
      <c r="D113" s="391"/>
      <c r="E113" s="391"/>
      <c r="F113" s="391"/>
      <c r="G113" s="391"/>
      <c r="H113" s="391"/>
      <c r="I113" s="391"/>
      <c r="J113" s="391"/>
      <c r="K113" s="391"/>
      <c r="L113" s="391"/>
      <c r="M113" s="391"/>
      <c r="N113" s="405"/>
      <c r="O113" s="405"/>
      <c r="P113" s="405"/>
      <c r="Q113" s="391"/>
      <c r="R113" s="316"/>
      <c r="S113" s="316"/>
    </row>
    <row r="114" spans="1:19" x14ac:dyDescent="0.2">
      <c r="A114" s="388"/>
      <c r="B114" s="389"/>
      <c r="C114" s="390"/>
      <c r="D114" s="391"/>
      <c r="E114" s="391"/>
      <c r="F114" s="391"/>
      <c r="G114" s="391"/>
      <c r="H114" s="391"/>
      <c r="I114" s="391"/>
      <c r="J114" s="391"/>
      <c r="K114" s="391"/>
      <c r="L114" s="391"/>
      <c r="M114" s="391"/>
      <c r="N114" s="405"/>
      <c r="O114" s="405"/>
      <c r="P114" s="405"/>
      <c r="Q114" s="391"/>
      <c r="R114" s="316"/>
      <c r="S114" s="316"/>
    </row>
    <row r="115" spans="1:19" x14ac:dyDescent="0.2">
      <c r="A115" s="388"/>
      <c r="B115" s="389"/>
      <c r="C115" s="390"/>
      <c r="D115" s="391"/>
      <c r="E115" s="391"/>
      <c r="F115" s="391"/>
      <c r="G115" s="391"/>
      <c r="H115" s="391"/>
      <c r="I115" s="391"/>
      <c r="J115" s="391"/>
      <c r="K115" s="391"/>
      <c r="L115" s="391"/>
      <c r="M115" s="391"/>
      <c r="N115" s="405"/>
      <c r="O115" s="405"/>
      <c r="P115" s="405"/>
      <c r="Q115" s="391"/>
      <c r="R115" s="316"/>
      <c r="S115" s="316"/>
    </row>
    <row r="116" spans="1:19" x14ac:dyDescent="0.2">
      <c r="A116" s="388"/>
      <c r="B116" s="389"/>
      <c r="C116" s="390"/>
      <c r="D116" s="391"/>
      <c r="E116" s="391"/>
      <c r="F116" s="391"/>
      <c r="G116" s="391"/>
      <c r="H116" s="391"/>
      <c r="I116" s="391"/>
      <c r="J116" s="391"/>
      <c r="K116" s="391"/>
      <c r="L116" s="391"/>
      <c r="M116" s="391"/>
      <c r="N116" s="391"/>
      <c r="O116" s="391"/>
      <c r="P116" s="391"/>
      <c r="Q116" s="391"/>
      <c r="R116" s="316"/>
      <c r="S116" s="316"/>
    </row>
    <row r="117" spans="1:19" x14ac:dyDescent="0.2">
      <c r="A117" s="406"/>
      <c r="B117" s="407"/>
      <c r="C117" s="408"/>
      <c r="D117" s="318"/>
      <c r="E117" s="318"/>
      <c r="F117" s="318"/>
      <c r="G117" s="318"/>
      <c r="H117" s="318"/>
      <c r="I117" s="318"/>
      <c r="J117" s="316"/>
      <c r="K117" s="316"/>
      <c r="L117" s="316"/>
      <c r="M117" s="316"/>
      <c r="N117" s="316"/>
      <c r="O117" s="316"/>
      <c r="P117" s="316"/>
      <c r="Q117" s="316"/>
      <c r="R117" s="316"/>
      <c r="S117" s="316"/>
    </row>
    <row r="118" spans="1:19" x14ac:dyDescent="0.2">
      <c r="A118" s="406"/>
      <c r="B118" s="407"/>
      <c r="C118" s="408"/>
      <c r="D118" s="318"/>
      <c r="E118" s="318"/>
      <c r="F118" s="318"/>
      <c r="G118" s="318"/>
      <c r="H118" s="318"/>
      <c r="I118" s="318"/>
      <c r="J118" s="316"/>
      <c r="K118" s="316"/>
      <c r="L118" s="316"/>
      <c r="M118" s="316"/>
      <c r="N118" s="316"/>
      <c r="O118" s="316"/>
      <c r="P118" s="316"/>
      <c r="Q118" s="316"/>
      <c r="R118" s="316"/>
      <c r="S118" s="316"/>
    </row>
    <row r="119" spans="1:19" x14ac:dyDescent="0.2">
      <c r="A119" s="406"/>
      <c r="B119" s="407"/>
      <c r="C119" s="408"/>
      <c r="D119" s="318"/>
      <c r="E119" s="318"/>
      <c r="F119" s="318"/>
      <c r="G119" s="318"/>
      <c r="H119" s="318"/>
      <c r="I119" s="318"/>
      <c r="J119" s="316"/>
      <c r="K119" s="316"/>
      <c r="L119" s="316"/>
      <c r="M119" s="316"/>
      <c r="N119" s="316"/>
      <c r="O119" s="316"/>
      <c r="P119" s="316"/>
      <c r="Q119" s="316"/>
      <c r="R119" s="316"/>
      <c r="S119" s="316"/>
    </row>
  </sheetData>
  <sheetProtection algorithmName="SHA-512" hashValue="Z9O+wPFUnD3RmsXKLJWBq+DvHMjZCvPKio3XvgMu61nN2/lyVGylpBNYMhgHRC6bevEgbWlOCMes07c6us/0jQ==" saltValue="ybbAwNa4Zw6CN+xz2mUWMw=="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951</v>
      </c>
      <c r="B1" s="1" t="s">
        <v>950</v>
      </c>
    </row>
    <row r="2" spans="1:2" x14ac:dyDescent="0.2">
      <c r="A2" t="s">
        <v>952</v>
      </c>
      <c r="B2" t="b">
        <v>1</v>
      </c>
    </row>
  </sheetData>
  <sheetProtection algorithmName="SHA-512" hashValue="fSu9GBzisbNAwkU4EWRfDtyy332F07ls0tJa8NmYBOyxEKAriqETabZILeBFIsRqNgS3i/6DOAwzbcFsEFk//Q==" saltValue="UHL2GNOg8F3C0/1cOnAFSA=="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90" bestFit="1" customWidth="1"/>
    <col min="2" max="15" width="6" style="52" customWidth="1"/>
    <col min="16" max="16" width="2.140625" style="52" customWidth="1"/>
    <col min="17" max="17" width="9" style="444" bestFit="1" customWidth="1"/>
    <col min="18" max="31" width="6" style="52" customWidth="1"/>
    <col min="32" max="32" width="2.140625" style="52" customWidth="1"/>
    <col min="33" max="33" width="9" style="444" bestFit="1" customWidth="1"/>
    <col min="34" max="45" width="6" style="52" customWidth="1"/>
    <col min="46" max="16384" width="9.140625" style="52"/>
  </cols>
  <sheetData>
    <row r="1" spans="1:45" s="446" customFormat="1" ht="24.75" customHeight="1" x14ac:dyDescent="0.25"/>
    <row r="2" spans="1:45" s="447" customFormat="1" x14ac:dyDescent="0.2">
      <c r="A2" s="444" t="s">
        <v>14</v>
      </c>
      <c r="B2" s="48" t="s">
        <v>900</v>
      </c>
      <c r="C2" s="48" t="s">
        <v>901</v>
      </c>
      <c r="D2" s="48" t="s">
        <v>902</v>
      </c>
      <c r="E2" s="48" t="s">
        <v>407</v>
      </c>
      <c r="F2" s="48" t="s">
        <v>903</v>
      </c>
      <c r="G2" s="48" t="s">
        <v>904</v>
      </c>
      <c r="H2" s="48" t="s">
        <v>905</v>
      </c>
      <c r="I2" s="48" t="s">
        <v>906</v>
      </c>
      <c r="J2" s="48" t="s">
        <v>907</v>
      </c>
      <c r="K2" s="48" t="s">
        <v>408</v>
      </c>
      <c r="L2" s="48" t="s">
        <v>908</v>
      </c>
      <c r="M2" s="48" t="s">
        <v>909</v>
      </c>
      <c r="N2" s="48" t="s">
        <v>910</v>
      </c>
      <c r="O2" s="48" t="s">
        <v>911</v>
      </c>
      <c r="P2" s="52"/>
      <c r="Q2" s="444" t="s">
        <v>14</v>
      </c>
      <c r="R2" s="48" t="s">
        <v>886</v>
      </c>
      <c r="S2" s="48" t="s">
        <v>887</v>
      </c>
      <c r="T2" s="48" t="s">
        <v>888</v>
      </c>
      <c r="U2" s="48" t="s">
        <v>889</v>
      </c>
      <c r="V2" s="48" t="s">
        <v>890</v>
      </c>
      <c r="W2" s="48" t="s">
        <v>891</v>
      </c>
      <c r="X2" s="48" t="s">
        <v>892</v>
      </c>
      <c r="Y2" s="48" t="s">
        <v>893</v>
      </c>
      <c r="Z2" s="48" t="s">
        <v>894</v>
      </c>
      <c r="AA2" s="48" t="s">
        <v>895</v>
      </c>
      <c r="AB2" s="48" t="s">
        <v>896</v>
      </c>
      <c r="AC2" s="48" t="s">
        <v>897</v>
      </c>
      <c r="AD2" s="48" t="s">
        <v>898</v>
      </c>
      <c r="AE2" s="48" t="s">
        <v>899</v>
      </c>
      <c r="AF2" s="52"/>
      <c r="AG2" s="444" t="s">
        <v>14</v>
      </c>
      <c r="AH2" s="87" t="s">
        <v>874</v>
      </c>
      <c r="AI2" s="87" t="s">
        <v>875</v>
      </c>
      <c r="AJ2" s="87" t="s">
        <v>876</v>
      </c>
      <c r="AK2" s="87" t="s">
        <v>877</v>
      </c>
      <c r="AL2" s="87" t="s">
        <v>878</v>
      </c>
      <c r="AM2" s="87" t="s">
        <v>879</v>
      </c>
      <c r="AN2" s="87" t="s">
        <v>880</v>
      </c>
      <c r="AO2" s="87" t="s">
        <v>881</v>
      </c>
      <c r="AP2" s="87" t="s">
        <v>882</v>
      </c>
      <c r="AQ2" s="87" t="s">
        <v>883</v>
      </c>
      <c r="AR2" s="87" t="s">
        <v>884</v>
      </c>
      <c r="AS2" s="87" t="s">
        <v>885</v>
      </c>
    </row>
    <row r="3" spans="1:45" x14ac:dyDescent="0.2">
      <c r="B3" s="491"/>
      <c r="C3" s="491"/>
      <c r="D3" s="491"/>
      <c r="E3" s="491"/>
      <c r="F3" s="491"/>
      <c r="G3" s="491"/>
      <c r="H3" s="491"/>
      <c r="I3" s="491"/>
      <c r="J3" s="491"/>
      <c r="K3" s="491"/>
      <c r="L3" s="492"/>
      <c r="M3" s="492"/>
      <c r="N3" s="492"/>
      <c r="O3" s="487"/>
      <c r="Q3" s="490"/>
      <c r="R3" s="491"/>
      <c r="S3" s="491"/>
      <c r="T3" s="491"/>
      <c r="U3" s="491"/>
      <c r="V3" s="491"/>
      <c r="W3" s="491"/>
      <c r="X3" s="491"/>
      <c r="Y3" s="491"/>
      <c r="Z3" s="491"/>
      <c r="AA3" s="491"/>
      <c r="AD3" s="493"/>
      <c r="AE3" s="487"/>
      <c r="AG3" s="490"/>
      <c r="AH3" s="491"/>
      <c r="AI3" s="491"/>
      <c r="AJ3" s="491"/>
      <c r="AK3" s="491"/>
      <c r="AL3" s="491"/>
      <c r="AM3" s="491"/>
      <c r="AN3" s="491"/>
      <c r="AO3" s="491"/>
      <c r="AP3" s="491"/>
      <c r="AQ3" s="491"/>
    </row>
    <row r="4" spans="1:45" x14ac:dyDescent="0.2">
      <c r="Q4" s="490"/>
      <c r="AG4" s="490"/>
    </row>
    <row r="5" spans="1:45" x14ac:dyDescent="0.2">
      <c r="Q5" s="490"/>
      <c r="AG5" s="490"/>
    </row>
    <row r="6" spans="1:45" x14ac:dyDescent="0.2">
      <c r="Q6" s="490"/>
      <c r="AG6" s="490"/>
    </row>
    <row r="7" spans="1:45" x14ac:dyDescent="0.2">
      <c r="Q7" s="490"/>
      <c r="AG7" s="490"/>
    </row>
    <row r="8" spans="1:45" x14ac:dyDescent="0.2">
      <c r="Q8" s="490"/>
      <c r="AG8" s="490"/>
    </row>
    <row r="9" spans="1:45" x14ac:dyDescent="0.2">
      <c r="Q9" s="490"/>
      <c r="AG9" s="490"/>
    </row>
    <row r="10" spans="1:45" x14ac:dyDescent="0.2">
      <c r="Q10" s="490"/>
      <c r="AG10" s="490"/>
    </row>
    <row r="11" spans="1:45" x14ac:dyDescent="0.2">
      <c r="Q11" s="490"/>
      <c r="AG11" s="490"/>
    </row>
    <row r="12" spans="1:45" x14ac:dyDescent="0.2">
      <c r="Q12" s="490"/>
      <c r="AG12" s="490"/>
    </row>
    <row r="13" spans="1:45" x14ac:dyDescent="0.2">
      <c r="Q13" s="490"/>
      <c r="AG13" s="490"/>
    </row>
    <row r="14" spans="1:45" x14ac:dyDescent="0.2">
      <c r="Q14" s="490"/>
      <c r="AG14" s="490"/>
    </row>
    <row r="15" spans="1:45" x14ac:dyDescent="0.2">
      <c r="Q15" s="490"/>
      <c r="AG15" s="490"/>
    </row>
    <row r="16" spans="1:45" x14ac:dyDescent="0.2">
      <c r="Q16" s="490"/>
      <c r="AG16" s="490"/>
    </row>
    <row r="17" spans="17:33" x14ac:dyDescent="0.2">
      <c r="Q17" s="490"/>
      <c r="AG17" s="490"/>
    </row>
    <row r="18" spans="17:33" x14ac:dyDescent="0.2">
      <c r="Q18" s="490"/>
      <c r="AG18" s="490"/>
    </row>
    <row r="19" spans="17:33" x14ac:dyDescent="0.2">
      <c r="Q19" s="490"/>
      <c r="AG19" s="490"/>
    </row>
    <row r="20" spans="17:33" x14ac:dyDescent="0.2">
      <c r="Q20" s="490"/>
      <c r="AG20" s="490"/>
    </row>
    <row r="21" spans="17:33" x14ac:dyDescent="0.2">
      <c r="Q21" s="490"/>
      <c r="AG21" s="490"/>
    </row>
    <row r="22" spans="17:33" x14ac:dyDescent="0.2">
      <c r="Q22" s="490"/>
      <c r="AG22" s="490"/>
    </row>
    <row r="23" spans="17:33" x14ac:dyDescent="0.2">
      <c r="Q23" s="490"/>
      <c r="AG23" s="490"/>
    </row>
    <row r="24" spans="17:33" x14ac:dyDescent="0.2">
      <c r="Q24" s="490"/>
      <c r="AG24" s="490"/>
    </row>
    <row r="25" spans="17:33" x14ac:dyDescent="0.2">
      <c r="Q25" s="490"/>
      <c r="AG25" s="490"/>
    </row>
    <row r="26" spans="17:33" x14ac:dyDescent="0.2">
      <c r="Q26" s="490"/>
      <c r="AG26" s="490"/>
    </row>
    <row r="27" spans="17:33" x14ac:dyDescent="0.2">
      <c r="Q27" s="490"/>
      <c r="AG27" s="490"/>
    </row>
    <row r="28" spans="17:33" x14ac:dyDescent="0.2">
      <c r="Q28" s="490"/>
      <c r="AG28" s="490"/>
    </row>
    <row r="29" spans="17:33" x14ac:dyDescent="0.2">
      <c r="Q29" s="490"/>
      <c r="AG29" s="490"/>
    </row>
    <row r="30" spans="17:33" x14ac:dyDescent="0.2">
      <c r="Q30" s="490"/>
      <c r="AG30" s="490"/>
    </row>
    <row r="31" spans="17:33" x14ac:dyDescent="0.2">
      <c r="Q31" s="490"/>
      <c r="AG31" s="490"/>
    </row>
    <row r="32" spans="17:33" x14ac:dyDescent="0.2">
      <c r="Q32" s="490"/>
      <c r="AG32" s="490"/>
    </row>
    <row r="33" spans="17:33" x14ac:dyDescent="0.2">
      <c r="Q33" s="490"/>
      <c r="AG33" s="490"/>
    </row>
    <row r="34" spans="17:33" x14ac:dyDescent="0.2">
      <c r="Q34" s="490"/>
      <c r="AG34" s="490"/>
    </row>
    <row r="35" spans="17:33" x14ac:dyDescent="0.2">
      <c r="Q35" s="490"/>
      <c r="AG35" s="490"/>
    </row>
    <row r="36" spans="17:33" x14ac:dyDescent="0.2">
      <c r="Q36" s="490"/>
      <c r="AG36" s="490"/>
    </row>
    <row r="37" spans="17:33" x14ac:dyDescent="0.2">
      <c r="Q37" s="490"/>
      <c r="AG37" s="490"/>
    </row>
    <row r="38" spans="17:33" x14ac:dyDescent="0.2">
      <c r="Q38" s="490"/>
      <c r="AG38" s="490"/>
    </row>
    <row r="39" spans="17:33" x14ac:dyDescent="0.2">
      <c r="Q39" s="490"/>
      <c r="AG39" s="490"/>
    </row>
    <row r="40" spans="17:33" x14ac:dyDescent="0.2">
      <c r="Q40" s="490"/>
      <c r="AG40" s="490"/>
    </row>
    <row r="41" spans="17:33" x14ac:dyDescent="0.2">
      <c r="Q41" s="490"/>
      <c r="AG41" s="490"/>
    </row>
    <row r="42" spans="17:33" x14ac:dyDescent="0.2">
      <c r="Q42" s="490"/>
      <c r="AG42" s="490"/>
    </row>
    <row r="43" spans="17:33" x14ac:dyDescent="0.2">
      <c r="Q43" s="490"/>
      <c r="AG43" s="490"/>
    </row>
    <row r="44" spans="17:33" x14ac:dyDescent="0.2">
      <c r="Q44" s="490"/>
      <c r="AG44" s="490"/>
    </row>
    <row r="45" spans="17:33" x14ac:dyDescent="0.2">
      <c r="Q45" s="490"/>
      <c r="AG45" s="490"/>
    </row>
    <row r="46" spans="17:33" x14ac:dyDescent="0.2">
      <c r="Q46" s="490"/>
      <c r="AG46" s="490"/>
    </row>
    <row r="47" spans="17:33" x14ac:dyDescent="0.2">
      <c r="Q47" s="490"/>
      <c r="AG47" s="490"/>
    </row>
    <row r="48" spans="17:33" x14ac:dyDescent="0.2">
      <c r="Q48" s="490"/>
      <c r="AG48" s="490"/>
    </row>
    <row r="49" spans="17:33" x14ac:dyDescent="0.2">
      <c r="Q49" s="490"/>
      <c r="AG49" s="490"/>
    </row>
    <row r="50" spans="17:33" x14ac:dyDescent="0.2">
      <c r="Q50" s="490"/>
      <c r="AG50" s="490"/>
    </row>
    <row r="51" spans="17:33" x14ac:dyDescent="0.2">
      <c r="Q51" s="490"/>
      <c r="AG51" s="490"/>
    </row>
    <row r="52" spans="17:33" x14ac:dyDescent="0.2">
      <c r="Q52" s="490"/>
      <c r="AG52" s="490"/>
    </row>
    <row r="53" spans="17:33" x14ac:dyDescent="0.2">
      <c r="Q53" s="490"/>
      <c r="AG53" s="490"/>
    </row>
    <row r="54" spans="17:33" x14ac:dyDescent="0.2">
      <c r="Q54" s="490"/>
      <c r="AG54" s="490"/>
    </row>
    <row r="55" spans="17:33" x14ac:dyDescent="0.2">
      <c r="Q55" s="490"/>
      <c r="AG55" s="490"/>
    </row>
    <row r="56" spans="17:33" x14ac:dyDescent="0.2">
      <c r="Q56" s="490"/>
      <c r="AG56" s="490"/>
    </row>
    <row r="57" spans="17:33" x14ac:dyDescent="0.2">
      <c r="Q57" s="490"/>
      <c r="AG57" s="490"/>
    </row>
    <row r="58" spans="17:33" x14ac:dyDescent="0.2">
      <c r="Q58" s="490"/>
      <c r="AG58" s="490"/>
    </row>
    <row r="59" spans="17:33" x14ac:dyDescent="0.2">
      <c r="Q59" s="490"/>
      <c r="AG59" s="490"/>
    </row>
    <row r="60" spans="17:33" x14ac:dyDescent="0.2">
      <c r="Q60" s="490"/>
      <c r="AG60" s="490"/>
    </row>
    <row r="61" spans="17:33" x14ac:dyDescent="0.2">
      <c r="Q61" s="490"/>
      <c r="AG61" s="490"/>
    </row>
    <row r="62" spans="17:33" x14ac:dyDescent="0.2">
      <c r="Q62" s="490"/>
      <c r="AG62" s="490"/>
    </row>
    <row r="63" spans="17:33" x14ac:dyDescent="0.2">
      <c r="Q63" s="490"/>
      <c r="AG63" s="490"/>
    </row>
    <row r="64" spans="17:33" x14ac:dyDescent="0.2">
      <c r="Q64" s="490"/>
      <c r="AG64" s="490"/>
    </row>
    <row r="65" spans="17:33" x14ac:dyDescent="0.2">
      <c r="Q65" s="490"/>
      <c r="AG65" s="490"/>
    </row>
    <row r="66" spans="17:33" x14ac:dyDescent="0.2">
      <c r="Q66" s="490"/>
      <c r="AG66" s="490"/>
    </row>
    <row r="67" spans="17:33" x14ac:dyDescent="0.2">
      <c r="Q67" s="490"/>
      <c r="AG67" s="490"/>
    </row>
    <row r="68" spans="17:33" x14ac:dyDescent="0.2">
      <c r="Q68" s="490"/>
      <c r="AG68" s="490"/>
    </row>
    <row r="69" spans="17:33" x14ac:dyDescent="0.2">
      <c r="Q69" s="490"/>
      <c r="AG69" s="490"/>
    </row>
    <row r="70" spans="17:33" x14ac:dyDescent="0.2">
      <c r="Q70" s="490"/>
      <c r="AG70" s="490"/>
    </row>
    <row r="71" spans="17:33" x14ac:dyDescent="0.2">
      <c r="Q71" s="490"/>
      <c r="AG71" s="490"/>
    </row>
    <row r="72" spans="17:33" x14ac:dyDescent="0.2">
      <c r="Q72" s="490"/>
      <c r="AG72" s="490"/>
    </row>
    <row r="73" spans="17:33" x14ac:dyDescent="0.2">
      <c r="Q73" s="490"/>
      <c r="AG73" s="490"/>
    </row>
    <row r="74" spans="17:33" x14ac:dyDescent="0.2">
      <c r="Q74" s="490"/>
      <c r="AG74" s="490"/>
    </row>
    <row r="75" spans="17:33" x14ac:dyDescent="0.2">
      <c r="Q75" s="490"/>
      <c r="AG75" s="490"/>
    </row>
    <row r="76" spans="17:33" x14ac:dyDescent="0.2">
      <c r="Q76" s="490"/>
      <c r="AG76" s="490"/>
    </row>
    <row r="77" spans="17:33" x14ac:dyDescent="0.2">
      <c r="Q77" s="490"/>
      <c r="AG77" s="490"/>
    </row>
    <row r="78" spans="17:33" x14ac:dyDescent="0.2">
      <c r="Q78" s="490"/>
      <c r="AG78" s="490"/>
    </row>
    <row r="79" spans="17:33" x14ac:dyDescent="0.2">
      <c r="Q79" s="490"/>
      <c r="AG79" s="490"/>
    </row>
    <row r="80" spans="17:33" x14ac:dyDescent="0.2">
      <c r="Q80" s="490"/>
      <c r="AG80" s="490"/>
    </row>
    <row r="81" spans="17:33" x14ac:dyDescent="0.2">
      <c r="Q81" s="490"/>
      <c r="AG81" s="490"/>
    </row>
    <row r="82" spans="17:33" x14ac:dyDescent="0.2">
      <c r="Q82" s="490"/>
      <c r="AG82" s="490"/>
    </row>
    <row r="83" spans="17:33" x14ac:dyDescent="0.2">
      <c r="Q83" s="490"/>
      <c r="AG83" s="490"/>
    </row>
    <row r="84" spans="17:33" x14ac:dyDescent="0.2">
      <c r="Q84" s="490"/>
      <c r="AG84" s="490"/>
    </row>
    <row r="85" spans="17:33" x14ac:dyDescent="0.2">
      <c r="Q85" s="490"/>
      <c r="AG85" s="490"/>
    </row>
    <row r="86" spans="17:33" x14ac:dyDescent="0.2">
      <c r="Q86" s="490"/>
      <c r="AG86" s="490"/>
    </row>
    <row r="87" spans="17:33" x14ac:dyDescent="0.2">
      <c r="Q87" s="490"/>
      <c r="AG87" s="490"/>
    </row>
    <row r="88" spans="17:33" x14ac:dyDescent="0.2">
      <c r="Q88" s="490"/>
      <c r="AG88" s="490"/>
    </row>
    <row r="89" spans="17:33" x14ac:dyDescent="0.2">
      <c r="Q89" s="490"/>
      <c r="AG89" s="490"/>
    </row>
    <row r="90" spans="17:33" x14ac:dyDescent="0.2">
      <c r="Q90" s="490"/>
      <c r="AG90" s="490"/>
    </row>
    <row r="91" spans="17:33" x14ac:dyDescent="0.2">
      <c r="Q91" s="490"/>
      <c r="AG91" s="490"/>
    </row>
    <row r="92" spans="17:33" x14ac:dyDescent="0.2">
      <c r="Q92" s="490"/>
      <c r="AG92" s="490"/>
    </row>
    <row r="93" spans="17:33" x14ac:dyDescent="0.2">
      <c r="Q93" s="490"/>
      <c r="AG93" s="490"/>
    </row>
    <row r="94" spans="17:33" x14ac:dyDescent="0.2">
      <c r="Q94" s="490"/>
      <c r="AG94" s="490"/>
    </row>
    <row r="95" spans="17:33" x14ac:dyDescent="0.2">
      <c r="Q95" s="490"/>
      <c r="AG95" s="490"/>
    </row>
    <row r="96" spans="17:33" x14ac:dyDescent="0.2">
      <c r="Q96" s="490"/>
      <c r="AG96" s="490"/>
    </row>
    <row r="97" spans="17:33" x14ac:dyDescent="0.2">
      <c r="Q97" s="490"/>
      <c r="AG97" s="490"/>
    </row>
    <row r="98" spans="17:33" x14ac:dyDescent="0.2">
      <c r="Q98" s="490"/>
      <c r="AG98" s="490"/>
    </row>
    <row r="99" spans="17:33" x14ac:dyDescent="0.2">
      <c r="Q99" s="490"/>
      <c r="AG99" s="490"/>
    </row>
    <row r="100" spans="17:33" x14ac:dyDescent="0.2">
      <c r="Q100" s="490"/>
      <c r="AG100" s="490"/>
    </row>
    <row r="101" spans="17:33" x14ac:dyDescent="0.2">
      <c r="Q101" s="490"/>
      <c r="AG101" s="490"/>
    </row>
    <row r="102" spans="17:33" x14ac:dyDescent="0.2">
      <c r="Q102" s="490"/>
      <c r="AG102" s="490"/>
    </row>
    <row r="103" spans="17:33" x14ac:dyDescent="0.2">
      <c r="Q103" s="490"/>
      <c r="AG103" s="490"/>
    </row>
    <row r="104" spans="17:33" x14ac:dyDescent="0.2">
      <c r="Q104" s="490"/>
      <c r="AG104" s="490"/>
    </row>
    <row r="105" spans="17:33" x14ac:dyDescent="0.2">
      <c r="Q105" s="490"/>
      <c r="AG105" s="490"/>
    </row>
    <row r="106" spans="17:33" x14ac:dyDescent="0.2">
      <c r="Q106" s="490"/>
      <c r="AG106" s="490"/>
    </row>
    <row r="107" spans="17:33" x14ac:dyDescent="0.2">
      <c r="Q107" s="490"/>
      <c r="AG107" s="490"/>
    </row>
    <row r="108" spans="17:33" x14ac:dyDescent="0.2">
      <c r="Q108" s="490"/>
      <c r="AG108" s="490"/>
    </row>
    <row r="109" spans="17:33" x14ac:dyDescent="0.2">
      <c r="Q109" s="490"/>
      <c r="AG109" s="490"/>
    </row>
    <row r="110" spans="17:33" x14ac:dyDescent="0.2">
      <c r="Q110" s="490"/>
      <c r="AG110" s="490"/>
    </row>
    <row r="111" spans="17:33" x14ac:dyDescent="0.2">
      <c r="Q111" s="490"/>
      <c r="AG111" s="490"/>
    </row>
    <row r="112" spans="17:33" x14ac:dyDescent="0.2">
      <c r="Q112" s="490"/>
      <c r="AG112" s="490"/>
    </row>
    <row r="113" spans="17:33" x14ac:dyDescent="0.2">
      <c r="Q113" s="490"/>
      <c r="AG113" s="490"/>
    </row>
    <row r="114" spans="17:33" x14ac:dyDescent="0.2">
      <c r="Q114" s="490"/>
      <c r="AG114" s="490"/>
    </row>
    <row r="115" spans="17:33" x14ac:dyDescent="0.2">
      <c r="Q115" s="490"/>
      <c r="AG115" s="490"/>
    </row>
    <row r="116" spans="17:33" x14ac:dyDescent="0.2">
      <c r="Q116" s="490"/>
      <c r="AG116" s="490"/>
    </row>
    <row r="117" spans="17:33" x14ac:dyDescent="0.2">
      <c r="Q117" s="490"/>
      <c r="AG117" s="490"/>
    </row>
    <row r="118" spans="17:33" x14ac:dyDescent="0.2">
      <c r="Q118" s="490"/>
      <c r="AG118" s="490"/>
    </row>
    <row r="119" spans="17:33" x14ac:dyDescent="0.2">
      <c r="Q119" s="490"/>
      <c r="AG119" s="490"/>
    </row>
    <row r="120" spans="17:33" x14ac:dyDescent="0.2">
      <c r="Q120" s="490"/>
      <c r="AG120" s="490"/>
    </row>
    <row r="121" spans="17:33" x14ac:dyDescent="0.2">
      <c r="Q121" s="490"/>
      <c r="AG121" s="490"/>
    </row>
    <row r="122" spans="17:33" x14ac:dyDescent="0.2">
      <c r="Q122" s="490"/>
      <c r="AG122" s="490"/>
    </row>
    <row r="123" spans="17:33" x14ac:dyDescent="0.2">
      <c r="Q123" s="490"/>
      <c r="AG123" s="490"/>
    </row>
    <row r="124" spans="17:33" x14ac:dyDescent="0.2">
      <c r="Q124" s="490"/>
      <c r="AG124" s="490"/>
    </row>
    <row r="125" spans="17:33" x14ac:dyDescent="0.2">
      <c r="Q125" s="490"/>
      <c r="AG125" s="490"/>
    </row>
    <row r="126" spans="17:33" x14ac:dyDescent="0.2">
      <c r="Q126" s="490"/>
      <c r="AG126" s="490"/>
    </row>
    <row r="127" spans="17:33" x14ac:dyDescent="0.2">
      <c r="Q127" s="490"/>
      <c r="AG127" s="490"/>
    </row>
    <row r="128" spans="17:33" x14ac:dyDescent="0.2">
      <c r="Q128" s="490"/>
      <c r="AG128" s="490"/>
    </row>
    <row r="129" spans="17:33" x14ac:dyDescent="0.2">
      <c r="Q129" s="490"/>
      <c r="AG129" s="490"/>
    </row>
    <row r="130" spans="17:33" x14ac:dyDescent="0.2">
      <c r="Q130" s="490"/>
      <c r="AG130" s="490"/>
    </row>
    <row r="131" spans="17:33" x14ac:dyDescent="0.2">
      <c r="Q131" s="490"/>
      <c r="AG131" s="490"/>
    </row>
    <row r="132" spans="17:33" x14ac:dyDescent="0.2">
      <c r="Q132" s="490"/>
      <c r="AG132" s="490"/>
    </row>
    <row r="133" spans="17:33" x14ac:dyDescent="0.2">
      <c r="Q133" s="490"/>
      <c r="AG133" s="490"/>
    </row>
    <row r="134" spans="17:33" x14ac:dyDescent="0.2">
      <c r="Q134" s="490"/>
      <c r="AG134" s="490"/>
    </row>
    <row r="135" spans="17:33" x14ac:dyDescent="0.2">
      <c r="Q135" s="490"/>
      <c r="AG135" s="490"/>
    </row>
    <row r="136" spans="17:33" x14ac:dyDescent="0.2">
      <c r="Q136" s="490"/>
      <c r="AG136" s="490"/>
    </row>
    <row r="137" spans="17:33" x14ac:dyDescent="0.2">
      <c r="Q137" s="490"/>
      <c r="AG137" s="490"/>
    </row>
    <row r="138" spans="17:33" x14ac:dyDescent="0.2">
      <c r="Q138" s="490"/>
      <c r="AG138" s="490"/>
    </row>
    <row r="139" spans="17:33" x14ac:dyDescent="0.2">
      <c r="Q139" s="490"/>
      <c r="AG139" s="490"/>
    </row>
    <row r="140" spans="17:33" x14ac:dyDescent="0.2">
      <c r="Q140" s="490"/>
      <c r="AG140" s="490"/>
    </row>
    <row r="141" spans="17:33" x14ac:dyDescent="0.2">
      <c r="Q141" s="490"/>
      <c r="AG141" s="490"/>
    </row>
    <row r="142" spans="17:33" x14ac:dyDescent="0.2">
      <c r="Q142" s="490"/>
      <c r="AG142" s="490"/>
    </row>
    <row r="143" spans="17:33" x14ac:dyDescent="0.2">
      <c r="Q143" s="490"/>
      <c r="AG143" s="490"/>
    </row>
    <row r="144" spans="17:33" x14ac:dyDescent="0.2">
      <c r="Q144" s="490"/>
      <c r="AG144" s="490"/>
    </row>
    <row r="145" spans="17:33" x14ac:dyDescent="0.2">
      <c r="Q145" s="490"/>
      <c r="AG145" s="490"/>
    </row>
    <row r="146" spans="17:33" x14ac:dyDescent="0.2">
      <c r="Q146" s="490"/>
      <c r="AG146" s="490"/>
    </row>
    <row r="147" spans="17:33" x14ac:dyDescent="0.2">
      <c r="Q147" s="490"/>
      <c r="AG147" s="490"/>
    </row>
    <row r="148" spans="17:33" x14ac:dyDescent="0.2">
      <c r="Q148" s="490"/>
      <c r="AG148" s="490"/>
    </row>
    <row r="149" spans="17:33" x14ac:dyDescent="0.2">
      <c r="Q149" s="490"/>
      <c r="AG149" s="490"/>
    </row>
    <row r="150" spans="17:33" x14ac:dyDescent="0.2">
      <c r="Q150" s="490"/>
      <c r="AG150" s="490"/>
    </row>
    <row r="151" spans="17:33" x14ac:dyDescent="0.2">
      <c r="Q151" s="490"/>
      <c r="AG151" s="490"/>
    </row>
    <row r="152" spans="17:33" x14ac:dyDescent="0.2">
      <c r="Q152" s="490"/>
      <c r="AG152" s="490"/>
    </row>
    <row r="153" spans="17:33" x14ac:dyDescent="0.2">
      <c r="Q153" s="490"/>
      <c r="AG153" s="490"/>
    </row>
    <row r="154" spans="17:33" x14ac:dyDescent="0.2">
      <c r="Q154" s="490"/>
      <c r="AG154" s="490"/>
    </row>
    <row r="155" spans="17:33" x14ac:dyDescent="0.2">
      <c r="Q155" s="490"/>
      <c r="AG155" s="490"/>
    </row>
    <row r="156" spans="17:33" x14ac:dyDescent="0.2">
      <c r="Q156" s="490"/>
      <c r="AG156" s="490"/>
    </row>
    <row r="157" spans="17:33" x14ac:dyDescent="0.2">
      <c r="Q157" s="490"/>
      <c r="AG157" s="490"/>
    </row>
    <row r="158" spans="17:33" x14ac:dyDescent="0.2">
      <c r="Q158" s="490"/>
      <c r="AG158" s="490"/>
    </row>
    <row r="159" spans="17:33" x14ac:dyDescent="0.2">
      <c r="Q159" s="490"/>
      <c r="AG159" s="490"/>
    </row>
    <row r="160" spans="17:33" x14ac:dyDescent="0.2">
      <c r="Q160" s="490"/>
      <c r="AG160" s="490"/>
    </row>
    <row r="161" spans="17:33" x14ac:dyDescent="0.2">
      <c r="Q161" s="490"/>
      <c r="AG161" s="490"/>
    </row>
    <row r="162" spans="17:33" x14ac:dyDescent="0.2">
      <c r="Q162" s="490"/>
      <c r="AG162" s="490"/>
    </row>
    <row r="163" spans="17:33" x14ac:dyDescent="0.2">
      <c r="Q163" s="490"/>
      <c r="AG163" s="490"/>
    </row>
    <row r="164" spans="17:33" x14ac:dyDescent="0.2">
      <c r="Q164" s="490"/>
      <c r="AG164" s="490"/>
    </row>
    <row r="165" spans="17:33" x14ac:dyDescent="0.2">
      <c r="Q165" s="490"/>
      <c r="AG165" s="490"/>
    </row>
    <row r="166" spans="17:33" x14ac:dyDescent="0.2">
      <c r="Q166" s="490"/>
      <c r="AG166" s="490"/>
    </row>
    <row r="167" spans="17:33" x14ac:dyDescent="0.2">
      <c r="Q167" s="490"/>
      <c r="AG167" s="490"/>
    </row>
    <row r="168" spans="17:33" x14ac:dyDescent="0.2">
      <c r="Q168" s="490"/>
      <c r="AG168" s="490"/>
    </row>
    <row r="169" spans="17:33" x14ac:dyDescent="0.2">
      <c r="Q169" s="490"/>
      <c r="AG169" s="490"/>
    </row>
    <row r="170" spans="17:33" x14ac:dyDescent="0.2">
      <c r="Q170" s="490"/>
      <c r="AG170" s="490"/>
    </row>
    <row r="171" spans="17:33" x14ac:dyDescent="0.2">
      <c r="Q171" s="490"/>
      <c r="AG171" s="490"/>
    </row>
    <row r="172" spans="17:33" x14ac:dyDescent="0.2">
      <c r="Q172" s="490"/>
      <c r="AG172" s="490"/>
    </row>
    <row r="173" spans="17:33" x14ac:dyDescent="0.2">
      <c r="Q173" s="490"/>
      <c r="AG173" s="490"/>
    </row>
    <row r="174" spans="17:33" x14ac:dyDescent="0.2">
      <c r="Q174" s="490"/>
      <c r="AG174" s="490"/>
    </row>
    <row r="175" spans="17:33" x14ac:dyDescent="0.2">
      <c r="Q175" s="490"/>
      <c r="AG175" s="490"/>
    </row>
    <row r="176" spans="17:33" x14ac:dyDescent="0.2">
      <c r="Q176" s="490"/>
      <c r="AG176" s="490"/>
    </row>
    <row r="177" spans="17:33" x14ac:dyDescent="0.2">
      <c r="Q177" s="490"/>
      <c r="AG177" s="490"/>
    </row>
    <row r="178" spans="17:33" x14ac:dyDescent="0.2">
      <c r="Q178" s="490"/>
      <c r="AG178" s="490"/>
    </row>
    <row r="179" spans="17:33" x14ac:dyDescent="0.2">
      <c r="Q179" s="490"/>
      <c r="AG179" s="490"/>
    </row>
    <row r="180" spans="17:33" x14ac:dyDescent="0.2">
      <c r="Q180" s="490"/>
      <c r="AG180" s="490"/>
    </row>
    <row r="181" spans="17:33" x14ac:dyDescent="0.2">
      <c r="Q181" s="490"/>
      <c r="AG181" s="490"/>
    </row>
    <row r="182" spans="17:33" x14ac:dyDescent="0.2">
      <c r="Q182" s="490"/>
      <c r="AG182" s="490"/>
    </row>
    <row r="183" spans="17:33" x14ac:dyDescent="0.2">
      <c r="Q183" s="490"/>
      <c r="AG183" s="490"/>
    </row>
    <row r="184" spans="17:33" x14ac:dyDescent="0.2">
      <c r="Q184" s="490"/>
      <c r="AG184" s="490"/>
    </row>
    <row r="185" spans="17:33" x14ac:dyDescent="0.2">
      <c r="Q185" s="490"/>
      <c r="AG185" s="490"/>
    </row>
    <row r="186" spans="17:33" x14ac:dyDescent="0.2">
      <c r="Q186" s="490"/>
      <c r="AG186" s="490"/>
    </row>
    <row r="187" spans="17:33" x14ac:dyDescent="0.2">
      <c r="Q187" s="490"/>
      <c r="AG187" s="490"/>
    </row>
    <row r="188" spans="17:33" x14ac:dyDescent="0.2">
      <c r="Q188" s="490"/>
      <c r="AG188" s="490"/>
    </row>
    <row r="189" spans="17:33" x14ac:dyDescent="0.2">
      <c r="Q189" s="490"/>
      <c r="AG189" s="490"/>
    </row>
    <row r="190" spans="17:33" x14ac:dyDescent="0.2">
      <c r="Q190" s="490"/>
      <c r="AG190" s="490"/>
    </row>
    <row r="191" spans="17:33" x14ac:dyDescent="0.2">
      <c r="Q191" s="490"/>
      <c r="AG191" s="490"/>
    </row>
    <row r="192" spans="17:33" x14ac:dyDescent="0.2">
      <c r="Q192" s="490"/>
      <c r="AG192" s="490"/>
    </row>
    <row r="193" spans="17:33" x14ac:dyDescent="0.2">
      <c r="Q193" s="490"/>
      <c r="AG193" s="490"/>
    </row>
    <row r="194" spans="17:33" x14ac:dyDescent="0.2">
      <c r="Q194" s="490"/>
      <c r="AG194" s="490"/>
    </row>
    <row r="195" spans="17:33" x14ac:dyDescent="0.2">
      <c r="Q195" s="490"/>
      <c r="AG195" s="490"/>
    </row>
    <row r="196" spans="17:33" x14ac:dyDescent="0.2">
      <c r="Q196" s="490"/>
      <c r="AG196" s="490"/>
    </row>
    <row r="197" spans="17:33" x14ac:dyDescent="0.2">
      <c r="Q197" s="490"/>
      <c r="AG197" s="490"/>
    </row>
    <row r="198" spans="17:33" x14ac:dyDescent="0.2">
      <c r="Q198" s="490"/>
      <c r="AG198" s="490"/>
    </row>
    <row r="199" spans="17:33" x14ac:dyDescent="0.2">
      <c r="Q199" s="490"/>
      <c r="AG199" s="490"/>
    </row>
    <row r="200" spans="17:33" x14ac:dyDescent="0.2">
      <c r="Q200" s="490"/>
      <c r="AG200" s="490"/>
    </row>
    <row r="201" spans="17:33" x14ac:dyDescent="0.2">
      <c r="Q201" s="490"/>
      <c r="AG201" s="490"/>
    </row>
    <row r="202" spans="17:33" x14ac:dyDescent="0.2">
      <c r="Q202" s="490"/>
      <c r="AG202" s="490"/>
    </row>
    <row r="203" spans="17:33" x14ac:dyDescent="0.2">
      <c r="Q203" s="490"/>
      <c r="AG203" s="490"/>
    </row>
    <row r="204" spans="17:33" x14ac:dyDescent="0.2">
      <c r="Q204" s="490"/>
      <c r="AG204" s="490"/>
    </row>
    <row r="205" spans="17:33" x14ac:dyDescent="0.2">
      <c r="Q205" s="490"/>
      <c r="AG205" s="490"/>
    </row>
    <row r="206" spans="17:33" x14ac:dyDescent="0.2">
      <c r="Q206" s="490"/>
      <c r="AG206" s="490"/>
    </row>
    <row r="207" spans="17:33" x14ac:dyDescent="0.2">
      <c r="Q207" s="490"/>
      <c r="AG207" s="490"/>
    </row>
    <row r="208" spans="17:33" x14ac:dyDescent="0.2">
      <c r="Q208" s="490"/>
      <c r="AG208" s="490"/>
    </row>
    <row r="209" spans="17:33" x14ac:dyDescent="0.2">
      <c r="Q209" s="490"/>
      <c r="AG209" s="490"/>
    </row>
    <row r="210" spans="17:33" x14ac:dyDescent="0.2">
      <c r="Q210" s="490"/>
      <c r="AG210" s="490"/>
    </row>
    <row r="211" spans="17:33" x14ac:dyDescent="0.2">
      <c r="Q211" s="490"/>
      <c r="AG211" s="490"/>
    </row>
    <row r="212" spans="17:33" x14ac:dyDescent="0.2">
      <c r="Q212" s="490"/>
      <c r="AG212" s="490"/>
    </row>
    <row r="213" spans="17:33" x14ac:dyDescent="0.2">
      <c r="Q213" s="490"/>
      <c r="AG213" s="490"/>
    </row>
    <row r="214" spans="17:33" x14ac:dyDescent="0.2">
      <c r="Q214" s="490"/>
      <c r="AG214" s="490"/>
    </row>
    <row r="215" spans="17:33" x14ac:dyDescent="0.2">
      <c r="Q215" s="490"/>
      <c r="AG215" s="490"/>
    </row>
    <row r="216" spans="17:33" x14ac:dyDescent="0.2">
      <c r="Q216" s="490"/>
      <c r="AG216" s="490"/>
    </row>
    <row r="217" spans="17:33" x14ac:dyDescent="0.2">
      <c r="Q217" s="490"/>
      <c r="AG217" s="490"/>
    </row>
    <row r="218" spans="17:33" x14ac:dyDescent="0.2">
      <c r="Q218" s="490"/>
      <c r="AG218" s="490"/>
    </row>
    <row r="219" spans="17:33" x14ac:dyDescent="0.2">
      <c r="Q219" s="490"/>
      <c r="AG219" s="490"/>
    </row>
    <row r="220" spans="17:33" x14ac:dyDescent="0.2">
      <c r="Q220" s="490"/>
      <c r="AG220" s="490"/>
    </row>
    <row r="221" spans="17:33" x14ac:dyDescent="0.2">
      <c r="Q221" s="490"/>
      <c r="AG221" s="490"/>
    </row>
    <row r="222" spans="17:33" x14ac:dyDescent="0.2">
      <c r="Q222" s="490"/>
      <c r="AG222" s="490"/>
    </row>
    <row r="223" spans="17:33" x14ac:dyDescent="0.2">
      <c r="Q223" s="490"/>
      <c r="AG223" s="490"/>
    </row>
    <row r="224" spans="17:33" x14ac:dyDescent="0.2">
      <c r="Q224" s="490"/>
      <c r="AG224" s="490"/>
    </row>
    <row r="225" spans="17:33" x14ac:dyDescent="0.2">
      <c r="Q225" s="490"/>
      <c r="AG225" s="490"/>
    </row>
    <row r="226" spans="17:33" x14ac:dyDescent="0.2">
      <c r="Q226" s="490"/>
      <c r="AG226" s="490"/>
    </row>
    <row r="227" spans="17:33" x14ac:dyDescent="0.2">
      <c r="Q227" s="490"/>
      <c r="AG227" s="490"/>
    </row>
    <row r="228" spans="17:33" x14ac:dyDescent="0.2">
      <c r="Q228" s="490"/>
      <c r="AG228" s="490"/>
    </row>
    <row r="229" spans="17:33" x14ac:dyDescent="0.2">
      <c r="Q229" s="490"/>
      <c r="AG229" s="490"/>
    </row>
    <row r="230" spans="17:33" x14ac:dyDescent="0.2">
      <c r="Q230" s="490"/>
      <c r="AG230" s="490"/>
    </row>
    <row r="231" spans="17:33" x14ac:dyDescent="0.2">
      <c r="Q231" s="490"/>
      <c r="AG231" s="490"/>
    </row>
    <row r="232" spans="17:33" x14ac:dyDescent="0.2">
      <c r="Q232" s="490"/>
      <c r="AG232" s="490"/>
    </row>
    <row r="233" spans="17:33" x14ac:dyDescent="0.2">
      <c r="Q233" s="490"/>
      <c r="AG233" s="490"/>
    </row>
    <row r="234" spans="17:33" x14ac:dyDescent="0.2">
      <c r="Q234" s="490"/>
      <c r="AG234" s="490"/>
    </row>
    <row r="235" spans="17:33" x14ac:dyDescent="0.2">
      <c r="Q235" s="490"/>
      <c r="AG235" s="490"/>
    </row>
    <row r="236" spans="17:33" x14ac:dyDescent="0.2">
      <c r="Q236" s="490"/>
      <c r="AG236" s="490"/>
    </row>
    <row r="237" spans="17:33" x14ac:dyDescent="0.2">
      <c r="Q237" s="490"/>
      <c r="AG237" s="490"/>
    </row>
    <row r="238" spans="17:33" x14ac:dyDescent="0.2">
      <c r="Q238" s="490"/>
      <c r="AG238" s="490"/>
    </row>
    <row r="239" spans="17:33" x14ac:dyDescent="0.2">
      <c r="Q239" s="490"/>
      <c r="AG239" s="490"/>
    </row>
    <row r="240" spans="17:33" x14ac:dyDescent="0.2">
      <c r="Q240" s="490"/>
      <c r="AG240" s="490"/>
    </row>
    <row r="241" spans="17:33" x14ac:dyDescent="0.2">
      <c r="Q241" s="490"/>
      <c r="AG241" s="490"/>
    </row>
    <row r="242" spans="17:33" x14ac:dyDescent="0.2">
      <c r="Q242" s="490"/>
      <c r="AG242" s="490"/>
    </row>
    <row r="243" spans="17:33" x14ac:dyDescent="0.2">
      <c r="Q243" s="490"/>
      <c r="AG243" s="490"/>
    </row>
    <row r="244" spans="17:33" x14ac:dyDescent="0.2">
      <c r="Q244" s="490"/>
      <c r="AG244" s="490"/>
    </row>
    <row r="245" spans="17:33" x14ac:dyDescent="0.2">
      <c r="Q245" s="490"/>
      <c r="AG245" s="490"/>
    </row>
    <row r="246" spans="17:33" x14ac:dyDescent="0.2">
      <c r="Q246" s="490"/>
      <c r="AG246" s="490"/>
    </row>
    <row r="247" spans="17:33" x14ac:dyDescent="0.2">
      <c r="Q247" s="490"/>
      <c r="AG247" s="490"/>
    </row>
    <row r="248" spans="17:33" x14ac:dyDescent="0.2">
      <c r="Q248" s="490"/>
      <c r="AG248" s="490"/>
    </row>
    <row r="249" spans="17:33" x14ac:dyDescent="0.2">
      <c r="Q249" s="490"/>
      <c r="AG249" s="490"/>
    </row>
    <row r="250" spans="17:33" x14ac:dyDescent="0.2">
      <c r="Q250" s="490"/>
      <c r="AG250" s="490"/>
    </row>
    <row r="251" spans="17:33" x14ac:dyDescent="0.2">
      <c r="Q251" s="490"/>
      <c r="AG251" s="490"/>
    </row>
    <row r="252" spans="17:33" x14ac:dyDescent="0.2">
      <c r="Q252" s="490"/>
      <c r="AG252" s="490"/>
    </row>
    <row r="253" spans="17:33" x14ac:dyDescent="0.2">
      <c r="Q253" s="490"/>
      <c r="AG253" s="490"/>
    </row>
    <row r="254" spans="17:33" x14ac:dyDescent="0.2">
      <c r="Q254" s="490"/>
      <c r="AG254" s="490"/>
    </row>
    <row r="255" spans="17:33" x14ac:dyDescent="0.2">
      <c r="Q255" s="490"/>
      <c r="AG255" s="490"/>
    </row>
    <row r="256" spans="17:33" x14ac:dyDescent="0.2">
      <c r="Q256" s="490"/>
      <c r="AG256" s="490"/>
    </row>
    <row r="257" spans="17:33" x14ac:dyDescent="0.2">
      <c r="Q257" s="490"/>
      <c r="AG257" s="490"/>
    </row>
    <row r="258" spans="17:33" x14ac:dyDescent="0.2">
      <c r="Q258" s="490"/>
      <c r="AG258" s="490"/>
    </row>
    <row r="259" spans="17:33" x14ac:dyDescent="0.2">
      <c r="Q259" s="490"/>
      <c r="AG259" s="490"/>
    </row>
    <row r="260" spans="17:33" x14ac:dyDescent="0.2">
      <c r="Q260" s="490"/>
      <c r="AG260" s="490"/>
    </row>
    <row r="261" spans="17:33" x14ac:dyDescent="0.2">
      <c r="Q261" s="490"/>
      <c r="AG261" s="490"/>
    </row>
    <row r="262" spans="17:33" x14ac:dyDescent="0.2">
      <c r="Q262" s="490"/>
      <c r="AG262" s="490"/>
    </row>
    <row r="263" spans="17:33" x14ac:dyDescent="0.2">
      <c r="Q263" s="490"/>
      <c r="AG263" s="490"/>
    </row>
    <row r="264" spans="17:33" x14ac:dyDescent="0.2">
      <c r="Q264" s="490"/>
      <c r="AG264" s="490"/>
    </row>
    <row r="265" spans="17:33" x14ac:dyDescent="0.2">
      <c r="Q265" s="490"/>
      <c r="AG265" s="490"/>
    </row>
    <row r="266" spans="17:33" x14ac:dyDescent="0.2">
      <c r="Q266" s="490"/>
      <c r="AG266" s="490"/>
    </row>
    <row r="267" spans="17:33" x14ac:dyDescent="0.2">
      <c r="Q267" s="490"/>
      <c r="AG267" s="490"/>
    </row>
    <row r="268" spans="17:33" x14ac:dyDescent="0.2">
      <c r="Q268" s="490"/>
      <c r="AG268" s="490"/>
    </row>
    <row r="269" spans="17:33" x14ac:dyDescent="0.2">
      <c r="Q269" s="490"/>
      <c r="AG269" s="490"/>
    </row>
    <row r="270" spans="17:33" x14ac:dyDescent="0.2">
      <c r="Q270" s="490"/>
      <c r="AG270" s="490"/>
    </row>
    <row r="271" spans="17:33" x14ac:dyDescent="0.2">
      <c r="Q271" s="490"/>
      <c r="AG271" s="490"/>
    </row>
    <row r="272" spans="17:33" x14ac:dyDescent="0.2">
      <c r="Q272" s="490"/>
      <c r="AG272" s="490"/>
    </row>
    <row r="273" spans="17:33" x14ac:dyDescent="0.2">
      <c r="Q273" s="490"/>
      <c r="AG273" s="490"/>
    </row>
    <row r="274" spans="17:33" x14ac:dyDescent="0.2">
      <c r="Q274" s="490"/>
      <c r="AG274" s="490"/>
    </row>
    <row r="275" spans="17:33" x14ac:dyDescent="0.2">
      <c r="Q275" s="490"/>
      <c r="AG275" s="490"/>
    </row>
    <row r="276" spans="17:33" x14ac:dyDescent="0.2">
      <c r="Q276" s="490"/>
      <c r="AG276" s="490"/>
    </row>
    <row r="277" spans="17:33" x14ac:dyDescent="0.2">
      <c r="Q277" s="490"/>
      <c r="AG277" s="490"/>
    </row>
    <row r="278" spans="17:33" x14ac:dyDescent="0.2">
      <c r="Q278" s="490"/>
      <c r="AG278" s="490"/>
    </row>
    <row r="279" spans="17:33" x14ac:dyDescent="0.2">
      <c r="Q279" s="490"/>
      <c r="AG279" s="490"/>
    </row>
    <row r="280" spans="17:33" x14ac:dyDescent="0.2">
      <c r="Q280" s="490"/>
      <c r="AG280" s="490"/>
    </row>
    <row r="281" spans="17:33" x14ac:dyDescent="0.2">
      <c r="Q281" s="490"/>
      <c r="AG281" s="490"/>
    </row>
    <row r="282" spans="17:33" x14ac:dyDescent="0.2">
      <c r="Q282" s="490"/>
      <c r="AG282" s="490"/>
    </row>
    <row r="283" spans="17:33" x14ac:dyDescent="0.2">
      <c r="Q283" s="490"/>
      <c r="AG283" s="490"/>
    </row>
    <row r="284" spans="17:33" x14ac:dyDescent="0.2">
      <c r="Q284" s="490"/>
      <c r="AG284" s="490"/>
    </row>
    <row r="285" spans="17:33" x14ac:dyDescent="0.2">
      <c r="Q285" s="490"/>
      <c r="AG285" s="490"/>
    </row>
    <row r="286" spans="17:33" x14ac:dyDescent="0.2">
      <c r="Q286" s="490"/>
      <c r="AG286" s="490"/>
    </row>
    <row r="287" spans="17:33" x14ac:dyDescent="0.2">
      <c r="Q287" s="490"/>
      <c r="AG287" s="490"/>
    </row>
    <row r="288" spans="17:33" x14ac:dyDescent="0.2">
      <c r="Q288" s="490"/>
      <c r="AG288" s="490"/>
    </row>
    <row r="289" spans="17:33" x14ac:dyDescent="0.2">
      <c r="Q289" s="490"/>
      <c r="AG289" s="490"/>
    </row>
    <row r="290" spans="17:33" x14ac:dyDescent="0.2">
      <c r="Q290" s="490"/>
      <c r="AG290" s="490"/>
    </row>
    <row r="291" spans="17:33" x14ac:dyDescent="0.2">
      <c r="Q291" s="490"/>
      <c r="AG291" s="490"/>
    </row>
    <row r="292" spans="17:33" x14ac:dyDescent="0.2">
      <c r="Q292" s="490"/>
      <c r="AG292" s="490"/>
    </row>
    <row r="293" spans="17:33" x14ac:dyDescent="0.2">
      <c r="Q293" s="490"/>
      <c r="AG293" s="490"/>
    </row>
    <row r="294" spans="17:33" x14ac:dyDescent="0.2">
      <c r="Q294" s="490"/>
      <c r="AG294" s="490"/>
    </row>
    <row r="295" spans="17:33" x14ac:dyDescent="0.2">
      <c r="Q295" s="490"/>
      <c r="AG295" s="490"/>
    </row>
    <row r="296" spans="17:33" x14ac:dyDescent="0.2">
      <c r="Q296" s="490"/>
      <c r="AG296" s="490"/>
    </row>
    <row r="297" spans="17:33" x14ac:dyDescent="0.2">
      <c r="Q297" s="490"/>
      <c r="AG297" s="490"/>
    </row>
    <row r="298" spans="17:33" x14ac:dyDescent="0.2">
      <c r="Q298" s="490"/>
      <c r="AG298" s="490"/>
    </row>
    <row r="299" spans="17:33" x14ac:dyDescent="0.2">
      <c r="Q299" s="490"/>
      <c r="AG299" s="490"/>
    </row>
    <row r="300" spans="17:33" x14ac:dyDescent="0.2">
      <c r="Q300" s="490"/>
      <c r="AG300" s="490"/>
    </row>
    <row r="301" spans="17:33" x14ac:dyDescent="0.2">
      <c r="Q301" s="490"/>
      <c r="AG301" s="490"/>
    </row>
    <row r="302" spans="17:33" x14ac:dyDescent="0.2">
      <c r="Q302" s="490"/>
      <c r="AG302" s="490"/>
    </row>
    <row r="303" spans="17:33" x14ac:dyDescent="0.2">
      <c r="Q303" s="490"/>
      <c r="AG303" s="490"/>
    </row>
    <row r="304" spans="17:33" x14ac:dyDescent="0.2">
      <c r="Q304" s="490"/>
      <c r="AG304" s="490"/>
    </row>
    <row r="305" spans="17:33" x14ac:dyDescent="0.2">
      <c r="Q305" s="490"/>
      <c r="AG305" s="490"/>
    </row>
    <row r="306" spans="17:33" x14ac:dyDescent="0.2">
      <c r="Q306" s="490"/>
      <c r="AG306" s="490"/>
    </row>
    <row r="307" spans="17:33" x14ac:dyDescent="0.2">
      <c r="Q307" s="490"/>
      <c r="AG307" s="490"/>
    </row>
    <row r="308" spans="17:33" x14ac:dyDescent="0.2">
      <c r="Q308" s="490"/>
      <c r="AG308" s="490"/>
    </row>
    <row r="309" spans="17:33" x14ac:dyDescent="0.2">
      <c r="Q309" s="490"/>
      <c r="AG309" s="490"/>
    </row>
    <row r="310" spans="17:33" x14ac:dyDescent="0.2">
      <c r="Q310" s="490"/>
      <c r="AG310" s="490"/>
    </row>
    <row r="311" spans="17:33" x14ac:dyDescent="0.2">
      <c r="Q311" s="490"/>
      <c r="AG311" s="490"/>
    </row>
    <row r="312" spans="17:33" x14ac:dyDescent="0.2">
      <c r="Q312" s="490"/>
      <c r="AG312" s="490"/>
    </row>
    <row r="313" spans="17:33" x14ac:dyDescent="0.2">
      <c r="Q313" s="490"/>
      <c r="AG313" s="490"/>
    </row>
    <row r="314" spans="17:33" x14ac:dyDescent="0.2">
      <c r="Q314" s="490"/>
      <c r="AG314" s="490"/>
    </row>
    <row r="315" spans="17:33" x14ac:dyDescent="0.2">
      <c r="Q315" s="490"/>
      <c r="AG315" s="490"/>
    </row>
    <row r="316" spans="17:33" x14ac:dyDescent="0.2">
      <c r="Q316" s="490"/>
      <c r="AG316" s="490"/>
    </row>
    <row r="317" spans="17:33" x14ac:dyDescent="0.2">
      <c r="Q317" s="490"/>
      <c r="AG317" s="490"/>
    </row>
    <row r="318" spans="17:33" x14ac:dyDescent="0.2">
      <c r="Q318" s="490"/>
      <c r="AG318" s="490"/>
    </row>
    <row r="319" spans="17:33" x14ac:dyDescent="0.2">
      <c r="Q319" s="490"/>
      <c r="AG319" s="490"/>
    </row>
    <row r="320" spans="17:33" x14ac:dyDescent="0.2">
      <c r="Q320" s="490"/>
      <c r="AG320" s="490"/>
    </row>
    <row r="321" spans="17:33" x14ac:dyDescent="0.2">
      <c r="Q321" s="490"/>
      <c r="AG321" s="490"/>
    </row>
    <row r="322" spans="17:33" x14ac:dyDescent="0.2">
      <c r="Q322" s="490"/>
      <c r="AG322" s="490"/>
    </row>
    <row r="323" spans="17:33" x14ac:dyDescent="0.2">
      <c r="Q323" s="490"/>
      <c r="AG323" s="490"/>
    </row>
    <row r="324" spans="17:33" x14ac:dyDescent="0.2">
      <c r="Q324" s="490"/>
      <c r="AG324" s="490"/>
    </row>
    <row r="325" spans="17:33" x14ac:dyDescent="0.2">
      <c r="Q325" s="490"/>
      <c r="AG325" s="490"/>
    </row>
    <row r="326" spans="17:33" x14ac:dyDescent="0.2">
      <c r="Q326" s="490"/>
      <c r="AG326" s="490"/>
    </row>
    <row r="327" spans="17:33" x14ac:dyDescent="0.2">
      <c r="Q327" s="490"/>
      <c r="AG327" s="490"/>
    </row>
    <row r="328" spans="17:33" x14ac:dyDescent="0.2">
      <c r="Q328" s="490"/>
      <c r="AG328" s="490"/>
    </row>
    <row r="329" spans="17:33" x14ac:dyDescent="0.2">
      <c r="Q329" s="490"/>
      <c r="AG329" s="490"/>
    </row>
    <row r="330" spans="17:33" x14ac:dyDescent="0.2">
      <c r="Q330" s="490"/>
      <c r="AG330" s="490"/>
    </row>
    <row r="331" spans="17:33" x14ac:dyDescent="0.2">
      <c r="Q331" s="490"/>
      <c r="AG331" s="490"/>
    </row>
    <row r="332" spans="17:33" x14ac:dyDescent="0.2">
      <c r="Q332" s="490"/>
      <c r="AG332" s="490"/>
    </row>
    <row r="333" spans="17:33" x14ac:dyDescent="0.2">
      <c r="Q333" s="490"/>
      <c r="AG333" s="490"/>
    </row>
    <row r="334" spans="17:33" x14ac:dyDescent="0.2">
      <c r="Q334" s="490"/>
      <c r="AG334" s="490"/>
    </row>
    <row r="335" spans="17:33" x14ac:dyDescent="0.2">
      <c r="Q335" s="490"/>
      <c r="AG335" s="490"/>
    </row>
    <row r="336" spans="17:33" x14ac:dyDescent="0.2">
      <c r="Q336" s="490"/>
      <c r="AG336" s="490"/>
    </row>
    <row r="337" spans="17:33" x14ac:dyDescent="0.2">
      <c r="Q337" s="490"/>
      <c r="AG337" s="490"/>
    </row>
    <row r="338" spans="17:33" x14ac:dyDescent="0.2">
      <c r="Q338" s="490"/>
      <c r="AG338" s="490"/>
    </row>
    <row r="339" spans="17:33" x14ac:dyDescent="0.2">
      <c r="Q339" s="490"/>
      <c r="AG339" s="490"/>
    </row>
    <row r="340" spans="17:33" x14ac:dyDescent="0.2">
      <c r="Q340" s="490"/>
      <c r="AG340" s="490"/>
    </row>
    <row r="341" spans="17:33" x14ac:dyDescent="0.2">
      <c r="Q341" s="490"/>
      <c r="AG341" s="490"/>
    </row>
    <row r="342" spans="17:33" x14ac:dyDescent="0.2">
      <c r="Q342" s="490"/>
      <c r="AG342" s="490"/>
    </row>
    <row r="343" spans="17:33" x14ac:dyDescent="0.2">
      <c r="Q343" s="490"/>
      <c r="AG343" s="490"/>
    </row>
    <row r="344" spans="17:33" x14ac:dyDescent="0.2">
      <c r="Q344" s="490"/>
      <c r="AG344" s="490"/>
    </row>
    <row r="345" spans="17:33" x14ac:dyDescent="0.2">
      <c r="Q345" s="490"/>
      <c r="AG345" s="490"/>
    </row>
    <row r="346" spans="17:33" x14ac:dyDescent="0.2">
      <c r="Q346" s="490"/>
      <c r="AG346" s="490"/>
    </row>
    <row r="347" spans="17:33" x14ac:dyDescent="0.2">
      <c r="Q347" s="490"/>
      <c r="AG347" s="490"/>
    </row>
    <row r="348" spans="17:33" x14ac:dyDescent="0.2">
      <c r="Q348" s="490"/>
      <c r="AG348" s="490"/>
    </row>
    <row r="349" spans="17:33" x14ac:dyDescent="0.2">
      <c r="Q349" s="490"/>
      <c r="AG349" s="490"/>
    </row>
    <row r="350" spans="17:33" x14ac:dyDescent="0.2">
      <c r="Q350" s="490"/>
      <c r="AG350" s="490"/>
    </row>
    <row r="351" spans="17:33" x14ac:dyDescent="0.2">
      <c r="Q351" s="490"/>
      <c r="AG351" s="490"/>
    </row>
    <row r="352" spans="17:33" x14ac:dyDescent="0.2">
      <c r="Q352" s="490"/>
      <c r="AG352" s="490"/>
    </row>
    <row r="353" spans="17:33" x14ac:dyDescent="0.2">
      <c r="Q353" s="490"/>
      <c r="AG353" s="490"/>
    </row>
    <row r="354" spans="17:33" x14ac:dyDescent="0.2">
      <c r="Q354" s="490"/>
      <c r="AG354" s="490"/>
    </row>
    <row r="355" spans="17:33" x14ac:dyDescent="0.2">
      <c r="Q355" s="490"/>
      <c r="AG355" s="490"/>
    </row>
    <row r="356" spans="17:33" x14ac:dyDescent="0.2">
      <c r="Q356" s="490"/>
      <c r="AG356" s="490"/>
    </row>
    <row r="357" spans="17:33" x14ac:dyDescent="0.2">
      <c r="Q357" s="490"/>
      <c r="AG357" s="490"/>
    </row>
    <row r="358" spans="17:33" x14ac:dyDescent="0.2">
      <c r="Q358" s="490"/>
      <c r="AG358" s="490"/>
    </row>
    <row r="359" spans="17:33" x14ac:dyDescent="0.2">
      <c r="Q359" s="490"/>
      <c r="AG359" s="490"/>
    </row>
    <row r="360" spans="17:33" x14ac:dyDescent="0.2">
      <c r="Q360" s="490"/>
      <c r="AG360" s="490"/>
    </row>
    <row r="361" spans="17:33" x14ac:dyDescent="0.2">
      <c r="Q361" s="490"/>
      <c r="AG361" s="490"/>
    </row>
    <row r="362" spans="17:33" x14ac:dyDescent="0.2">
      <c r="Q362" s="490"/>
      <c r="AG362" s="490"/>
    </row>
    <row r="363" spans="17:33" x14ac:dyDescent="0.2">
      <c r="Q363" s="490"/>
      <c r="AG363" s="490"/>
    </row>
    <row r="364" spans="17:33" x14ac:dyDescent="0.2">
      <c r="Q364" s="490"/>
      <c r="AG364" s="490"/>
    </row>
    <row r="365" spans="17:33" x14ac:dyDescent="0.2">
      <c r="Q365" s="490"/>
      <c r="AG365" s="490"/>
    </row>
    <row r="366" spans="17:33" x14ac:dyDescent="0.2">
      <c r="Q366" s="490"/>
      <c r="AG366" s="490"/>
    </row>
    <row r="367" spans="17:33" x14ac:dyDescent="0.2">
      <c r="Q367" s="490"/>
      <c r="AG367" s="490"/>
    </row>
    <row r="368" spans="17:33" x14ac:dyDescent="0.2">
      <c r="Q368" s="490"/>
      <c r="AG368" s="490"/>
    </row>
    <row r="369" spans="17:33" x14ac:dyDescent="0.2">
      <c r="Q369" s="490"/>
      <c r="AG369" s="490"/>
    </row>
    <row r="370" spans="17:33" x14ac:dyDescent="0.2">
      <c r="Q370" s="490"/>
      <c r="AG370" s="490"/>
    </row>
    <row r="371" spans="17:33" x14ac:dyDescent="0.2">
      <c r="Q371" s="490"/>
      <c r="AG371" s="490"/>
    </row>
    <row r="372" spans="17:33" x14ac:dyDescent="0.2">
      <c r="Q372" s="490"/>
      <c r="AG372" s="490"/>
    </row>
    <row r="373" spans="17:33" x14ac:dyDescent="0.2">
      <c r="Q373" s="490"/>
      <c r="AG373" s="490"/>
    </row>
    <row r="374" spans="17:33" x14ac:dyDescent="0.2">
      <c r="Q374" s="490"/>
      <c r="AG374" s="490"/>
    </row>
    <row r="375" spans="17:33" x14ac:dyDescent="0.2">
      <c r="Q375" s="490"/>
      <c r="AG375" s="490"/>
    </row>
    <row r="376" spans="17:33" x14ac:dyDescent="0.2">
      <c r="Q376" s="490"/>
      <c r="AG376" s="490"/>
    </row>
    <row r="377" spans="17:33" x14ac:dyDescent="0.2">
      <c r="Q377" s="490"/>
      <c r="AG377" s="490"/>
    </row>
    <row r="378" spans="17:33" x14ac:dyDescent="0.2">
      <c r="Q378" s="490"/>
      <c r="AG378" s="490"/>
    </row>
    <row r="379" spans="17:33" x14ac:dyDescent="0.2">
      <c r="Q379" s="490"/>
      <c r="AG379" s="490"/>
    </row>
    <row r="380" spans="17:33" x14ac:dyDescent="0.2">
      <c r="Q380" s="490"/>
      <c r="AG380" s="490"/>
    </row>
    <row r="381" spans="17:33" x14ac:dyDescent="0.2">
      <c r="Q381" s="490"/>
      <c r="AG381" s="490"/>
    </row>
    <row r="382" spans="17:33" x14ac:dyDescent="0.2">
      <c r="Q382" s="490"/>
      <c r="AG382" s="490"/>
    </row>
    <row r="383" spans="17:33" x14ac:dyDescent="0.2">
      <c r="Q383" s="490"/>
      <c r="AG383" s="490"/>
    </row>
    <row r="384" spans="17:33" x14ac:dyDescent="0.2">
      <c r="Q384" s="490"/>
      <c r="AG384" s="490"/>
    </row>
    <row r="385" spans="17:33" x14ac:dyDescent="0.2">
      <c r="Q385" s="490"/>
      <c r="AG385" s="490"/>
    </row>
    <row r="386" spans="17:33" x14ac:dyDescent="0.2">
      <c r="Q386" s="490"/>
      <c r="AG386" s="490"/>
    </row>
    <row r="387" spans="17:33" x14ac:dyDescent="0.2">
      <c r="Q387" s="490"/>
      <c r="AG387" s="490"/>
    </row>
    <row r="388" spans="17:33" x14ac:dyDescent="0.2">
      <c r="Q388" s="490"/>
      <c r="AG388" s="490"/>
    </row>
    <row r="389" spans="17:33" x14ac:dyDescent="0.2">
      <c r="Q389" s="490"/>
      <c r="AG389" s="490"/>
    </row>
    <row r="390" spans="17:33" x14ac:dyDescent="0.2">
      <c r="Q390" s="490"/>
      <c r="AG390" s="490"/>
    </row>
    <row r="391" spans="17:33" x14ac:dyDescent="0.2">
      <c r="Q391" s="490"/>
      <c r="AG391" s="490"/>
    </row>
    <row r="392" spans="17:33" x14ac:dyDescent="0.2">
      <c r="Q392" s="490"/>
      <c r="AG392" s="490"/>
    </row>
    <row r="393" spans="17:33" x14ac:dyDescent="0.2">
      <c r="Q393" s="490"/>
      <c r="AG393" s="490"/>
    </row>
    <row r="394" spans="17:33" x14ac:dyDescent="0.2">
      <c r="Q394" s="490"/>
      <c r="AG394" s="490"/>
    </row>
    <row r="395" spans="17:33" x14ac:dyDescent="0.2">
      <c r="Q395" s="490"/>
      <c r="AG395" s="490"/>
    </row>
    <row r="396" spans="17:33" x14ac:dyDescent="0.2">
      <c r="Q396" s="490"/>
      <c r="AG396" s="490"/>
    </row>
    <row r="397" spans="17:33" x14ac:dyDescent="0.2">
      <c r="Q397" s="490"/>
      <c r="AG397" s="490"/>
    </row>
    <row r="398" spans="17:33" x14ac:dyDescent="0.2">
      <c r="Q398" s="490"/>
      <c r="AG398" s="490"/>
    </row>
    <row r="399" spans="17:33" x14ac:dyDescent="0.2">
      <c r="Q399" s="490"/>
      <c r="AG399" s="490"/>
    </row>
    <row r="400" spans="17:33" x14ac:dyDescent="0.2">
      <c r="Q400" s="490"/>
      <c r="AG400" s="490"/>
    </row>
    <row r="401" spans="17:33" x14ac:dyDescent="0.2">
      <c r="Q401" s="490"/>
      <c r="AG401" s="490"/>
    </row>
    <row r="402" spans="17:33" x14ac:dyDescent="0.2">
      <c r="Q402" s="490"/>
      <c r="AG402" s="490"/>
    </row>
    <row r="403" spans="17:33" x14ac:dyDescent="0.2">
      <c r="Q403" s="490"/>
      <c r="AG403" s="490"/>
    </row>
    <row r="404" spans="17:33" x14ac:dyDescent="0.2">
      <c r="Q404" s="490"/>
      <c r="AG404" s="490"/>
    </row>
    <row r="405" spans="17:33" x14ac:dyDescent="0.2">
      <c r="Q405" s="490"/>
      <c r="AG405" s="490"/>
    </row>
    <row r="406" spans="17:33" x14ac:dyDescent="0.2">
      <c r="Q406" s="490"/>
      <c r="AG406" s="490"/>
    </row>
    <row r="407" spans="17:33" x14ac:dyDescent="0.2">
      <c r="Q407" s="490"/>
      <c r="AG407" s="490"/>
    </row>
    <row r="408" spans="17:33" x14ac:dyDescent="0.2">
      <c r="Q408" s="490"/>
      <c r="AG408" s="490"/>
    </row>
    <row r="409" spans="17:33" x14ac:dyDescent="0.2">
      <c r="Q409" s="490"/>
      <c r="AG409" s="490"/>
    </row>
    <row r="410" spans="17:33" x14ac:dyDescent="0.2">
      <c r="Q410" s="490"/>
      <c r="AG410" s="490"/>
    </row>
    <row r="411" spans="17:33" x14ac:dyDescent="0.2">
      <c r="Q411" s="490"/>
      <c r="AG411" s="490"/>
    </row>
    <row r="412" spans="17:33" x14ac:dyDescent="0.2">
      <c r="Q412" s="490"/>
      <c r="AG412" s="490"/>
    </row>
    <row r="413" spans="17:33" x14ac:dyDescent="0.2">
      <c r="Q413" s="490"/>
      <c r="AG413" s="490"/>
    </row>
    <row r="414" spans="17:33" x14ac:dyDescent="0.2">
      <c r="Q414" s="490"/>
      <c r="AG414" s="490"/>
    </row>
    <row r="415" spans="17:33" x14ac:dyDescent="0.2">
      <c r="Q415" s="490"/>
      <c r="AG415" s="490"/>
    </row>
    <row r="416" spans="17:33" x14ac:dyDescent="0.2">
      <c r="Q416" s="490"/>
      <c r="AG416" s="490"/>
    </row>
    <row r="417" spans="17:33" x14ac:dyDescent="0.2">
      <c r="Q417" s="490"/>
      <c r="AG417" s="490"/>
    </row>
    <row r="418" spans="17:33" x14ac:dyDescent="0.2">
      <c r="Q418" s="490"/>
      <c r="AG418" s="490"/>
    </row>
    <row r="419" spans="17:33" x14ac:dyDescent="0.2">
      <c r="Q419" s="490"/>
      <c r="AG419" s="490"/>
    </row>
    <row r="420" spans="17:33" x14ac:dyDescent="0.2">
      <c r="Q420" s="490"/>
      <c r="AG420" s="490"/>
    </row>
    <row r="421" spans="17:33" x14ac:dyDescent="0.2">
      <c r="Q421" s="490"/>
      <c r="AG421" s="490"/>
    </row>
    <row r="422" spans="17:33" x14ac:dyDescent="0.2">
      <c r="Q422" s="490"/>
      <c r="AG422" s="490"/>
    </row>
    <row r="423" spans="17:33" x14ac:dyDescent="0.2">
      <c r="Q423" s="490"/>
      <c r="AG423" s="490"/>
    </row>
    <row r="424" spans="17:33" x14ac:dyDescent="0.2">
      <c r="Q424" s="490"/>
      <c r="AG424" s="490"/>
    </row>
    <row r="425" spans="17:33" x14ac:dyDescent="0.2">
      <c r="Q425" s="490"/>
      <c r="AG425" s="490"/>
    </row>
    <row r="426" spans="17:33" x14ac:dyDescent="0.2">
      <c r="Q426" s="490"/>
      <c r="AG426" s="490"/>
    </row>
    <row r="427" spans="17:33" x14ac:dyDescent="0.2">
      <c r="Q427" s="490"/>
      <c r="AG427" s="490"/>
    </row>
    <row r="428" spans="17:33" x14ac:dyDescent="0.2">
      <c r="Q428" s="490"/>
      <c r="AG428" s="490"/>
    </row>
    <row r="429" spans="17:33" x14ac:dyDescent="0.2">
      <c r="Q429" s="490"/>
      <c r="AG429" s="490"/>
    </row>
    <row r="430" spans="17:33" x14ac:dyDescent="0.2">
      <c r="Q430" s="490"/>
      <c r="AG430" s="490"/>
    </row>
    <row r="431" spans="17:33" x14ac:dyDescent="0.2">
      <c r="Q431" s="490"/>
      <c r="AG431" s="490"/>
    </row>
    <row r="432" spans="17:33" x14ac:dyDescent="0.2">
      <c r="Q432" s="490"/>
      <c r="AG432" s="490"/>
    </row>
    <row r="433" spans="17:33" x14ac:dyDescent="0.2">
      <c r="Q433" s="490"/>
      <c r="AG433" s="490"/>
    </row>
    <row r="434" spans="17:33" x14ac:dyDescent="0.2">
      <c r="Q434" s="490"/>
      <c r="AG434" s="490"/>
    </row>
    <row r="435" spans="17:33" x14ac:dyDescent="0.2">
      <c r="Q435" s="490"/>
      <c r="AG435" s="490"/>
    </row>
    <row r="436" spans="17:33" x14ac:dyDescent="0.2">
      <c r="Q436" s="490"/>
      <c r="AG436" s="490"/>
    </row>
    <row r="437" spans="17:33" x14ac:dyDescent="0.2">
      <c r="Q437" s="490"/>
      <c r="AG437" s="490"/>
    </row>
    <row r="438" spans="17:33" x14ac:dyDescent="0.2">
      <c r="Q438" s="490"/>
      <c r="AG438" s="490"/>
    </row>
    <row r="439" spans="17:33" x14ac:dyDescent="0.2">
      <c r="Q439" s="490"/>
      <c r="AG439" s="490"/>
    </row>
    <row r="440" spans="17:33" x14ac:dyDescent="0.2">
      <c r="Q440" s="490"/>
      <c r="AG440" s="490"/>
    </row>
    <row r="441" spans="17:33" x14ac:dyDescent="0.2">
      <c r="Q441" s="490"/>
      <c r="AG441" s="490"/>
    </row>
    <row r="442" spans="17:33" x14ac:dyDescent="0.2">
      <c r="Q442" s="490"/>
      <c r="AG442" s="490"/>
    </row>
    <row r="443" spans="17:33" x14ac:dyDescent="0.2">
      <c r="Q443" s="490"/>
      <c r="AG443" s="490"/>
    </row>
    <row r="444" spans="17:33" x14ac:dyDescent="0.2">
      <c r="Q444" s="490"/>
      <c r="AG444" s="490"/>
    </row>
    <row r="445" spans="17:33" x14ac:dyDescent="0.2">
      <c r="Q445" s="490"/>
      <c r="AG445" s="490"/>
    </row>
    <row r="446" spans="17:33" x14ac:dyDescent="0.2">
      <c r="Q446" s="490"/>
      <c r="AG446" s="490"/>
    </row>
    <row r="447" spans="17:33" x14ac:dyDescent="0.2">
      <c r="Q447" s="490"/>
      <c r="AG447" s="490"/>
    </row>
    <row r="448" spans="17:33" x14ac:dyDescent="0.2">
      <c r="Q448" s="490"/>
      <c r="AG448" s="490"/>
    </row>
    <row r="449" spans="17:33" x14ac:dyDescent="0.2">
      <c r="Q449" s="490"/>
      <c r="AG449" s="490"/>
    </row>
    <row r="450" spans="17:33" x14ac:dyDescent="0.2">
      <c r="Q450" s="490"/>
      <c r="AG450" s="490"/>
    </row>
    <row r="451" spans="17:33" x14ac:dyDescent="0.2">
      <c r="Q451" s="490"/>
      <c r="AG451" s="490"/>
    </row>
    <row r="452" spans="17:33" x14ac:dyDescent="0.2">
      <c r="Q452" s="490"/>
      <c r="AG452" s="490"/>
    </row>
    <row r="453" spans="17:33" x14ac:dyDescent="0.2">
      <c r="Q453" s="490"/>
      <c r="AG453" s="490"/>
    </row>
    <row r="454" spans="17:33" x14ac:dyDescent="0.2">
      <c r="Q454" s="490"/>
      <c r="AG454" s="490"/>
    </row>
    <row r="455" spans="17:33" x14ac:dyDescent="0.2">
      <c r="Q455" s="490"/>
      <c r="AG455" s="490"/>
    </row>
    <row r="456" spans="17:33" x14ac:dyDescent="0.2">
      <c r="Q456" s="490"/>
      <c r="AG456" s="490"/>
    </row>
    <row r="457" spans="17:33" x14ac:dyDescent="0.2">
      <c r="Q457" s="490"/>
      <c r="AG457" s="490"/>
    </row>
    <row r="458" spans="17:33" x14ac:dyDescent="0.2">
      <c r="Q458" s="490"/>
      <c r="AG458" s="490"/>
    </row>
    <row r="459" spans="17:33" x14ac:dyDescent="0.2">
      <c r="Q459" s="490"/>
      <c r="AG459" s="490"/>
    </row>
    <row r="460" spans="17:33" x14ac:dyDescent="0.2">
      <c r="Q460" s="490"/>
      <c r="AG460" s="490"/>
    </row>
    <row r="461" spans="17:33" x14ac:dyDescent="0.2">
      <c r="Q461" s="490"/>
      <c r="AG461" s="490"/>
    </row>
    <row r="462" spans="17:33" x14ac:dyDescent="0.2">
      <c r="Q462" s="490"/>
      <c r="AG462" s="490"/>
    </row>
    <row r="463" spans="17:33" x14ac:dyDescent="0.2">
      <c r="Q463" s="490"/>
      <c r="AG463" s="490"/>
    </row>
    <row r="464" spans="17:33" x14ac:dyDescent="0.2">
      <c r="Q464" s="490"/>
      <c r="AG464" s="490"/>
    </row>
    <row r="465" spans="17:33" x14ac:dyDescent="0.2">
      <c r="Q465" s="490"/>
      <c r="AG465" s="490"/>
    </row>
    <row r="466" spans="17:33" x14ac:dyDescent="0.2">
      <c r="Q466" s="490"/>
      <c r="AG466" s="490"/>
    </row>
    <row r="467" spans="17:33" x14ac:dyDescent="0.2">
      <c r="Q467" s="490"/>
      <c r="AG467" s="490"/>
    </row>
    <row r="468" spans="17:33" x14ac:dyDescent="0.2">
      <c r="Q468" s="490"/>
      <c r="AG468" s="490"/>
    </row>
    <row r="469" spans="17:33" x14ac:dyDescent="0.2">
      <c r="Q469" s="490"/>
      <c r="AG469" s="490"/>
    </row>
    <row r="470" spans="17:33" x14ac:dyDescent="0.2">
      <c r="Q470" s="490"/>
      <c r="AG470" s="490"/>
    </row>
    <row r="471" spans="17:33" x14ac:dyDescent="0.2">
      <c r="Q471" s="490"/>
      <c r="AG471" s="490"/>
    </row>
    <row r="472" spans="17:33" x14ac:dyDescent="0.2">
      <c r="Q472" s="490"/>
      <c r="AG472" s="490"/>
    </row>
    <row r="473" spans="17:33" x14ac:dyDescent="0.2">
      <c r="Q473" s="490"/>
      <c r="AG473" s="490"/>
    </row>
    <row r="474" spans="17:33" x14ac:dyDescent="0.2">
      <c r="Q474" s="490"/>
      <c r="AG474" s="490"/>
    </row>
    <row r="475" spans="17:33" x14ac:dyDescent="0.2">
      <c r="Q475" s="490"/>
      <c r="AG475" s="490"/>
    </row>
    <row r="476" spans="17:33" x14ac:dyDescent="0.2">
      <c r="Q476" s="490"/>
      <c r="AG476" s="490"/>
    </row>
    <row r="477" spans="17:33" x14ac:dyDescent="0.2">
      <c r="Q477" s="490"/>
      <c r="AG477" s="490"/>
    </row>
    <row r="478" spans="17:33" x14ac:dyDescent="0.2">
      <c r="Q478" s="490"/>
      <c r="AG478" s="490"/>
    </row>
    <row r="479" spans="17:33" x14ac:dyDescent="0.2">
      <c r="Q479" s="490"/>
      <c r="AG479" s="490"/>
    </row>
    <row r="480" spans="17:33" x14ac:dyDescent="0.2">
      <c r="Q480" s="490"/>
      <c r="AG480" s="490"/>
    </row>
    <row r="481" spans="17:33" x14ac:dyDescent="0.2">
      <c r="Q481" s="490"/>
      <c r="AG481" s="490"/>
    </row>
    <row r="482" spans="17:33" x14ac:dyDescent="0.2">
      <c r="Q482" s="490"/>
      <c r="AG482" s="490"/>
    </row>
    <row r="483" spans="17:33" x14ac:dyDescent="0.2">
      <c r="Q483" s="490"/>
      <c r="AG483" s="490"/>
    </row>
    <row r="484" spans="17:33" x14ac:dyDescent="0.2">
      <c r="Q484" s="490"/>
      <c r="AG484" s="490"/>
    </row>
    <row r="485" spans="17:33" x14ac:dyDescent="0.2">
      <c r="Q485" s="490"/>
      <c r="AG485" s="490"/>
    </row>
    <row r="486" spans="17:33" x14ac:dyDescent="0.2">
      <c r="Q486" s="490"/>
      <c r="AG486" s="490"/>
    </row>
    <row r="487" spans="17:33" x14ac:dyDescent="0.2">
      <c r="Q487" s="490"/>
      <c r="AG487" s="490"/>
    </row>
    <row r="488" spans="17:33" x14ac:dyDescent="0.2">
      <c r="Q488" s="490"/>
      <c r="AG488" s="490"/>
    </row>
    <row r="489" spans="17:33" x14ac:dyDescent="0.2">
      <c r="Q489" s="490"/>
      <c r="AG489" s="490"/>
    </row>
    <row r="490" spans="17:33" x14ac:dyDescent="0.2">
      <c r="Q490" s="490"/>
      <c r="AG490" s="490"/>
    </row>
    <row r="491" spans="17:33" x14ac:dyDescent="0.2">
      <c r="Q491" s="490"/>
      <c r="AG491" s="490"/>
    </row>
    <row r="492" spans="17:33" x14ac:dyDescent="0.2">
      <c r="Q492" s="490"/>
      <c r="AG492" s="490"/>
    </row>
    <row r="493" spans="17:33" x14ac:dyDescent="0.2">
      <c r="Q493" s="490"/>
      <c r="AG493" s="490"/>
    </row>
    <row r="494" spans="17:33" x14ac:dyDescent="0.2">
      <c r="Q494" s="490"/>
      <c r="AG494" s="490"/>
    </row>
    <row r="495" spans="17:33" x14ac:dyDescent="0.2">
      <c r="Q495" s="490"/>
      <c r="AG495" s="490"/>
    </row>
    <row r="496" spans="17:33" x14ac:dyDescent="0.2">
      <c r="Q496" s="490"/>
      <c r="AG496" s="490"/>
    </row>
    <row r="497" spans="17:33" x14ac:dyDescent="0.2">
      <c r="Q497" s="490"/>
      <c r="AG497" s="490"/>
    </row>
    <row r="498" spans="17:33" x14ac:dyDescent="0.2">
      <c r="Q498" s="490"/>
      <c r="AG498" s="490"/>
    </row>
    <row r="499" spans="17:33" x14ac:dyDescent="0.2">
      <c r="Q499" s="490"/>
      <c r="AG499" s="490"/>
    </row>
    <row r="500" spans="17:33" x14ac:dyDescent="0.2">
      <c r="Q500" s="490"/>
      <c r="AG500" s="490"/>
    </row>
    <row r="501" spans="17:33" x14ac:dyDescent="0.2">
      <c r="Q501" s="490"/>
      <c r="AG501" s="490"/>
    </row>
    <row r="502" spans="17:33" x14ac:dyDescent="0.2">
      <c r="Q502" s="490"/>
      <c r="AG502" s="490"/>
    </row>
    <row r="503" spans="17:33" x14ac:dyDescent="0.2">
      <c r="Q503" s="490"/>
      <c r="AG503" s="490"/>
    </row>
    <row r="504" spans="17:33" x14ac:dyDescent="0.2">
      <c r="Q504" s="490"/>
      <c r="AG504" s="490"/>
    </row>
    <row r="505" spans="17:33" x14ac:dyDescent="0.2">
      <c r="Q505" s="490"/>
      <c r="AG505" s="490"/>
    </row>
    <row r="506" spans="17:33" x14ac:dyDescent="0.2">
      <c r="Q506" s="490"/>
      <c r="AG506" s="490"/>
    </row>
    <row r="507" spans="17:33" x14ac:dyDescent="0.2">
      <c r="Q507" s="490"/>
      <c r="AG507" s="490"/>
    </row>
    <row r="508" spans="17:33" x14ac:dyDescent="0.2">
      <c r="Q508" s="490"/>
      <c r="AG508" s="490"/>
    </row>
    <row r="509" spans="17:33" x14ac:dyDescent="0.2">
      <c r="Q509" s="490"/>
      <c r="AG509" s="490"/>
    </row>
    <row r="510" spans="17:33" x14ac:dyDescent="0.2">
      <c r="Q510" s="490"/>
      <c r="AG510" s="490"/>
    </row>
    <row r="511" spans="17:33" x14ac:dyDescent="0.2">
      <c r="Q511" s="490"/>
      <c r="AG511" s="490"/>
    </row>
    <row r="512" spans="17:33" x14ac:dyDescent="0.2">
      <c r="Q512" s="490"/>
      <c r="AG512" s="490"/>
    </row>
    <row r="513" spans="17:33" x14ac:dyDescent="0.2">
      <c r="Q513" s="490"/>
      <c r="AG513" s="490"/>
    </row>
    <row r="514" spans="17:33" x14ac:dyDescent="0.2">
      <c r="Q514" s="490"/>
      <c r="AG514" s="490"/>
    </row>
    <row r="515" spans="17:33" x14ac:dyDescent="0.2">
      <c r="Q515" s="490"/>
      <c r="AG515" s="490"/>
    </row>
    <row r="516" spans="17:33" x14ac:dyDescent="0.2">
      <c r="Q516" s="490"/>
      <c r="AG516" s="490"/>
    </row>
    <row r="517" spans="17:33" x14ac:dyDescent="0.2">
      <c r="Q517" s="490"/>
      <c r="AG517" s="490"/>
    </row>
    <row r="518" spans="17:33" x14ac:dyDescent="0.2">
      <c r="Q518" s="490"/>
      <c r="AG518" s="490"/>
    </row>
    <row r="519" spans="17:33" x14ac:dyDescent="0.2">
      <c r="Q519" s="490"/>
      <c r="AG519" s="490"/>
    </row>
    <row r="520" spans="17:33" x14ac:dyDescent="0.2">
      <c r="Q520" s="490"/>
      <c r="AG520" s="490"/>
    </row>
    <row r="521" spans="17:33" x14ac:dyDescent="0.2">
      <c r="Q521" s="490"/>
      <c r="AG521" s="490"/>
    </row>
    <row r="522" spans="17:33" x14ac:dyDescent="0.2">
      <c r="Q522" s="490"/>
      <c r="AG522" s="490"/>
    </row>
    <row r="523" spans="17:33" x14ac:dyDescent="0.2">
      <c r="Q523" s="490"/>
      <c r="AG523" s="490"/>
    </row>
    <row r="524" spans="17:33" x14ac:dyDescent="0.2">
      <c r="Q524" s="490"/>
      <c r="AG524" s="490"/>
    </row>
    <row r="525" spans="17:33" x14ac:dyDescent="0.2">
      <c r="Q525" s="490"/>
      <c r="AG525" s="490"/>
    </row>
    <row r="526" spans="17:33" x14ac:dyDescent="0.2">
      <c r="Q526" s="490"/>
      <c r="AG526" s="490"/>
    </row>
    <row r="527" spans="17:33" x14ac:dyDescent="0.2">
      <c r="Q527" s="490"/>
      <c r="AG527" s="490"/>
    </row>
    <row r="528" spans="17:33" x14ac:dyDescent="0.2">
      <c r="Q528" s="490"/>
      <c r="AG528" s="490"/>
    </row>
    <row r="529" spans="17:33" x14ac:dyDescent="0.2">
      <c r="Q529" s="490"/>
      <c r="AG529" s="490"/>
    </row>
    <row r="530" spans="17:33" x14ac:dyDescent="0.2">
      <c r="Q530" s="490"/>
      <c r="AG530" s="490"/>
    </row>
    <row r="531" spans="17:33" x14ac:dyDescent="0.2">
      <c r="Q531" s="490"/>
      <c r="AG531" s="490"/>
    </row>
    <row r="532" spans="17:33" x14ac:dyDescent="0.2">
      <c r="Q532" s="490"/>
      <c r="AG532" s="490"/>
    </row>
    <row r="533" spans="17:33" x14ac:dyDescent="0.2">
      <c r="Q533" s="490"/>
      <c r="AG533" s="490"/>
    </row>
    <row r="534" spans="17:33" x14ac:dyDescent="0.2">
      <c r="Q534" s="490"/>
      <c r="AG534" s="490"/>
    </row>
    <row r="535" spans="17:33" x14ac:dyDescent="0.2">
      <c r="Q535" s="490"/>
      <c r="AG535" s="490"/>
    </row>
    <row r="536" spans="17:33" x14ac:dyDescent="0.2">
      <c r="Q536" s="490"/>
      <c r="AG536" s="490"/>
    </row>
    <row r="537" spans="17:33" x14ac:dyDescent="0.2">
      <c r="Q537" s="490"/>
      <c r="AG537" s="490"/>
    </row>
    <row r="538" spans="17:33" x14ac:dyDescent="0.2">
      <c r="Q538" s="490"/>
      <c r="AG538" s="490"/>
    </row>
    <row r="539" spans="17:33" x14ac:dyDescent="0.2">
      <c r="Q539" s="490"/>
      <c r="AG539" s="490"/>
    </row>
    <row r="540" spans="17:33" x14ac:dyDescent="0.2">
      <c r="Q540" s="490"/>
      <c r="AG540" s="490"/>
    </row>
    <row r="541" spans="17:33" x14ac:dyDescent="0.2">
      <c r="Q541" s="490"/>
      <c r="AG541" s="490"/>
    </row>
    <row r="542" spans="17:33" x14ac:dyDescent="0.2">
      <c r="Q542" s="490"/>
      <c r="AG542" s="490"/>
    </row>
    <row r="543" spans="17:33" x14ac:dyDescent="0.2">
      <c r="Q543" s="490"/>
      <c r="AG543" s="490"/>
    </row>
    <row r="544" spans="17:33" x14ac:dyDescent="0.2">
      <c r="Q544" s="490"/>
      <c r="AG544" s="490"/>
    </row>
    <row r="545" spans="17:33" x14ac:dyDescent="0.2">
      <c r="Q545" s="490"/>
      <c r="AG545" s="490"/>
    </row>
    <row r="546" spans="17:33" x14ac:dyDescent="0.2">
      <c r="Q546" s="490"/>
      <c r="AG546" s="490"/>
    </row>
    <row r="547" spans="17:33" x14ac:dyDescent="0.2">
      <c r="Q547" s="490"/>
      <c r="AG547" s="490"/>
    </row>
    <row r="548" spans="17:33" x14ac:dyDescent="0.2">
      <c r="Q548" s="490"/>
      <c r="AG548" s="490"/>
    </row>
    <row r="549" spans="17:33" x14ac:dyDescent="0.2">
      <c r="Q549" s="490"/>
      <c r="AG549" s="490"/>
    </row>
    <row r="550" spans="17:33" x14ac:dyDescent="0.2">
      <c r="Q550" s="490"/>
      <c r="AG550" s="490"/>
    </row>
    <row r="551" spans="17:33" x14ac:dyDescent="0.2">
      <c r="Q551" s="490"/>
      <c r="AG551" s="490"/>
    </row>
    <row r="552" spans="17:33" x14ac:dyDescent="0.2">
      <c r="Q552" s="490"/>
      <c r="AG552" s="490"/>
    </row>
    <row r="553" spans="17:33" x14ac:dyDescent="0.2">
      <c r="Q553" s="490"/>
      <c r="AG553" s="490"/>
    </row>
    <row r="554" spans="17:33" x14ac:dyDescent="0.2">
      <c r="Q554" s="490"/>
      <c r="AG554" s="490"/>
    </row>
    <row r="555" spans="17:33" x14ac:dyDescent="0.2">
      <c r="Q555" s="490"/>
      <c r="AG555" s="490"/>
    </row>
    <row r="556" spans="17:33" x14ac:dyDescent="0.2">
      <c r="Q556" s="490"/>
      <c r="AG556" s="490"/>
    </row>
    <row r="557" spans="17:33" x14ac:dyDescent="0.2">
      <c r="Q557" s="490"/>
      <c r="AG557" s="490"/>
    </row>
    <row r="558" spans="17:33" x14ac:dyDescent="0.2">
      <c r="Q558" s="490"/>
      <c r="AG558" s="490"/>
    </row>
    <row r="559" spans="17:33" x14ac:dyDescent="0.2">
      <c r="Q559" s="490"/>
      <c r="AG559" s="490"/>
    </row>
    <row r="560" spans="17:33" x14ac:dyDescent="0.2">
      <c r="AG560" s="490"/>
    </row>
    <row r="561" spans="33:33" x14ac:dyDescent="0.2">
      <c r="AG561" s="490"/>
    </row>
    <row r="562" spans="33:33" x14ac:dyDescent="0.2">
      <c r="AG562" s="490"/>
    </row>
    <row r="563" spans="33:33" x14ac:dyDescent="0.2">
      <c r="AG563" s="490"/>
    </row>
    <row r="564" spans="33:33" x14ac:dyDescent="0.2">
      <c r="AG564" s="490"/>
    </row>
    <row r="565" spans="33:33" x14ac:dyDescent="0.2">
      <c r="AG565" s="490"/>
    </row>
    <row r="566" spans="33:33" x14ac:dyDescent="0.2">
      <c r="AG566" s="490"/>
    </row>
    <row r="567" spans="33:33" x14ac:dyDescent="0.2">
      <c r="AG567" s="490"/>
    </row>
    <row r="568" spans="33:33" x14ac:dyDescent="0.2">
      <c r="AG568" s="490"/>
    </row>
    <row r="569" spans="33:33" x14ac:dyDescent="0.2">
      <c r="AG569" s="490"/>
    </row>
    <row r="570" spans="33:33" x14ac:dyDescent="0.2">
      <c r="AG570" s="490"/>
    </row>
    <row r="571" spans="33:33" x14ac:dyDescent="0.2">
      <c r="AG571" s="490"/>
    </row>
    <row r="572" spans="33:33" x14ac:dyDescent="0.2">
      <c r="AG572" s="490"/>
    </row>
    <row r="573" spans="33:33" x14ac:dyDescent="0.2">
      <c r="AG573" s="490"/>
    </row>
    <row r="574" spans="33:33" x14ac:dyDescent="0.2">
      <c r="AG574" s="490"/>
    </row>
    <row r="575" spans="33:33" x14ac:dyDescent="0.2">
      <c r="AG575" s="490"/>
    </row>
    <row r="576" spans="33:33" x14ac:dyDescent="0.2">
      <c r="AG576" s="490"/>
    </row>
    <row r="577" spans="33:33" x14ac:dyDescent="0.2">
      <c r="AG577" s="490"/>
    </row>
    <row r="578" spans="33:33" x14ac:dyDescent="0.2">
      <c r="AG578" s="490"/>
    </row>
    <row r="579" spans="33:33" x14ac:dyDescent="0.2">
      <c r="AG579" s="490"/>
    </row>
    <row r="580" spans="33:33" x14ac:dyDescent="0.2">
      <c r="AG580" s="490"/>
    </row>
    <row r="581" spans="33:33" x14ac:dyDescent="0.2">
      <c r="AG581" s="490"/>
    </row>
    <row r="582" spans="33:33" x14ac:dyDescent="0.2">
      <c r="AG582" s="490"/>
    </row>
    <row r="583" spans="33:33" x14ac:dyDescent="0.2">
      <c r="AG583" s="490"/>
    </row>
    <row r="584" spans="33:33" x14ac:dyDescent="0.2">
      <c r="AG584" s="490"/>
    </row>
    <row r="585" spans="33:33" x14ac:dyDescent="0.2">
      <c r="AG585" s="490"/>
    </row>
    <row r="586" spans="33:33" x14ac:dyDescent="0.2">
      <c r="AG586" s="490"/>
    </row>
    <row r="587" spans="33:33" x14ac:dyDescent="0.2">
      <c r="AG587" s="490"/>
    </row>
    <row r="588" spans="33:33" x14ac:dyDescent="0.2">
      <c r="AG588" s="490"/>
    </row>
    <row r="589" spans="33:33" x14ac:dyDescent="0.2">
      <c r="AG589" s="490"/>
    </row>
    <row r="590" spans="33:33" x14ac:dyDescent="0.2">
      <c r="AG590" s="490"/>
    </row>
    <row r="591" spans="33:33" x14ac:dyDescent="0.2">
      <c r="AG591" s="490"/>
    </row>
    <row r="592" spans="33:33" x14ac:dyDescent="0.2">
      <c r="AG592" s="490"/>
    </row>
    <row r="593" spans="33:33" x14ac:dyDescent="0.2">
      <c r="AG593" s="490"/>
    </row>
    <row r="594" spans="33:33" x14ac:dyDescent="0.2">
      <c r="AG594" s="490"/>
    </row>
    <row r="595" spans="33:33" x14ac:dyDescent="0.2">
      <c r="AG595" s="490"/>
    </row>
    <row r="596" spans="33:33" x14ac:dyDescent="0.2">
      <c r="AG596" s="490"/>
    </row>
    <row r="597" spans="33:33" x14ac:dyDescent="0.2">
      <c r="AG597" s="490"/>
    </row>
    <row r="598" spans="33:33" x14ac:dyDescent="0.2">
      <c r="AG598" s="490"/>
    </row>
    <row r="599" spans="33:33" x14ac:dyDescent="0.2">
      <c r="AG599" s="490"/>
    </row>
    <row r="600" spans="33:33" x14ac:dyDescent="0.2">
      <c r="AG600" s="490"/>
    </row>
    <row r="601" spans="33:33" x14ac:dyDescent="0.2">
      <c r="AG601" s="490"/>
    </row>
    <row r="602" spans="33:33" x14ac:dyDescent="0.2">
      <c r="AG602" s="490"/>
    </row>
    <row r="603" spans="33:33" x14ac:dyDescent="0.2">
      <c r="AG603" s="490"/>
    </row>
    <row r="604" spans="33:33" x14ac:dyDescent="0.2">
      <c r="AG604" s="490"/>
    </row>
    <row r="605" spans="33:33" x14ac:dyDescent="0.2">
      <c r="AG605" s="490"/>
    </row>
    <row r="606" spans="33:33" x14ac:dyDescent="0.2">
      <c r="AG606" s="490"/>
    </row>
    <row r="607" spans="33:33" x14ac:dyDescent="0.2">
      <c r="AG607" s="490"/>
    </row>
    <row r="608" spans="33:33" x14ac:dyDescent="0.2">
      <c r="AG608" s="490"/>
    </row>
    <row r="609" spans="33:33" x14ac:dyDescent="0.2">
      <c r="AG609" s="490"/>
    </row>
    <row r="610" spans="33:33" x14ac:dyDescent="0.2">
      <c r="AG610" s="490"/>
    </row>
    <row r="611" spans="33:33" x14ac:dyDescent="0.2">
      <c r="AG611" s="490"/>
    </row>
    <row r="612" spans="33:33" x14ac:dyDescent="0.2">
      <c r="AG612" s="490"/>
    </row>
    <row r="613" spans="33:33" x14ac:dyDescent="0.2">
      <c r="AG613" s="490"/>
    </row>
    <row r="614" spans="33:33" x14ac:dyDescent="0.2">
      <c r="AG614" s="490"/>
    </row>
    <row r="615" spans="33:33" x14ac:dyDescent="0.2">
      <c r="AG615" s="490"/>
    </row>
    <row r="616" spans="33:33" x14ac:dyDescent="0.2">
      <c r="AG616" s="490"/>
    </row>
    <row r="617" spans="33:33" x14ac:dyDescent="0.2">
      <c r="AG617" s="490"/>
    </row>
    <row r="618" spans="33:33" x14ac:dyDescent="0.2">
      <c r="AG618" s="490"/>
    </row>
    <row r="619" spans="33:33" x14ac:dyDescent="0.2">
      <c r="AG619" s="490"/>
    </row>
    <row r="620" spans="33:33" x14ac:dyDescent="0.2">
      <c r="AG620" s="490"/>
    </row>
    <row r="621" spans="33:33" x14ac:dyDescent="0.2">
      <c r="AG621" s="490"/>
    </row>
    <row r="622" spans="33:33" x14ac:dyDescent="0.2">
      <c r="AG622" s="490"/>
    </row>
    <row r="623" spans="33:33" x14ac:dyDescent="0.2">
      <c r="AG623" s="490"/>
    </row>
    <row r="624" spans="33:33" x14ac:dyDescent="0.2">
      <c r="AG624" s="490"/>
    </row>
    <row r="625" spans="33:33" x14ac:dyDescent="0.2">
      <c r="AG625" s="490"/>
    </row>
    <row r="626" spans="33:33" x14ac:dyDescent="0.2">
      <c r="AG626" s="490"/>
    </row>
    <row r="627" spans="33:33" x14ac:dyDescent="0.2">
      <c r="AG627" s="490"/>
    </row>
    <row r="628" spans="33:33" x14ac:dyDescent="0.2">
      <c r="AG628" s="490"/>
    </row>
    <row r="629" spans="33:33" x14ac:dyDescent="0.2">
      <c r="AG629" s="490"/>
    </row>
    <row r="630" spans="33:33" x14ac:dyDescent="0.2">
      <c r="AG630" s="490"/>
    </row>
    <row r="631" spans="33:33" x14ac:dyDescent="0.2">
      <c r="AG631" s="490"/>
    </row>
    <row r="632" spans="33:33" x14ac:dyDescent="0.2">
      <c r="AG632" s="490"/>
    </row>
    <row r="633" spans="33:33" x14ac:dyDescent="0.2">
      <c r="AG633" s="490"/>
    </row>
    <row r="634" spans="33:33" x14ac:dyDescent="0.2">
      <c r="AG634" s="490"/>
    </row>
    <row r="635" spans="33:33" x14ac:dyDescent="0.2">
      <c r="AG635" s="490"/>
    </row>
    <row r="636" spans="33:33" x14ac:dyDescent="0.2">
      <c r="AG636" s="490"/>
    </row>
    <row r="637" spans="33:33" x14ac:dyDescent="0.2">
      <c r="AG637" s="490"/>
    </row>
    <row r="638" spans="33:33" x14ac:dyDescent="0.2">
      <c r="AG638" s="490"/>
    </row>
    <row r="639" spans="33:33" x14ac:dyDescent="0.2">
      <c r="AG639" s="490"/>
    </row>
    <row r="640" spans="33:33" x14ac:dyDescent="0.2">
      <c r="AG640" s="490"/>
    </row>
    <row r="641" spans="33:33" x14ac:dyDescent="0.2">
      <c r="AG641" s="490"/>
    </row>
    <row r="642" spans="33:33" x14ac:dyDescent="0.2">
      <c r="AG642" s="490"/>
    </row>
    <row r="643" spans="33:33" x14ac:dyDescent="0.2">
      <c r="AG643" s="490"/>
    </row>
    <row r="644" spans="33:33" x14ac:dyDescent="0.2">
      <c r="AG644" s="490"/>
    </row>
    <row r="645" spans="33:33" x14ac:dyDescent="0.2">
      <c r="AG645" s="490"/>
    </row>
    <row r="646" spans="33:33" x14ac:dyDescent="0.2">
      <c r="AG646" s="490"/>
    </row>
    <row r="647" spans="33:33" x14ac:dyDescent="0.2">
      <c r="AG647" s="490"/>
    </row>
    <row r="648" spans="33:33" x14ac:dyDescent="0.2">
      <c r="AG648" s="490"/>
    </row>
    <row r="649" spans="33:33" x14ac:dyDescent="0.2">
      <c r="AG649" s="490"/>
    </row>
    <row r="650" spans="33:33" x14ac:dyDescent="0.2">
      <c r="AG650" s="490"/>
    </row>
    <row r="651" spans="33:33" x14ac:dyDescent="0.2">
      <c r="AG651" s="490"/>
    </row>
    <row r="652" spans="33:33" x14ac:dyDescent="0.2">
      <c r="AG652" s="490"/>
    </row>
    <row r="653" spans="33:33" x14ac:dyDescent="0.2">
      <c r="AG653" s="490"/>
    </row>
    <row r="654" spans="33:33" x14ac:dyDescent="0.2">
      <c r="AG654" s="490"/>
    </row>
    <row r="655" spans="33:33" x14ac:dyDescent="0.2">
      <c r="AG655" s="490"/>
    </row>
    <row r="656" spans="33:33" x14ac:dyDescent="0.2">
      <c r="AG656" s="490"/>
    </row>
    <row r="657" spans="33:33" x14ac:dyDescent="0.2">
      <c r="AG657" s="490"/>
    </row>
    <row r="658" spans="33:33" x14ac:dyDescent="0.2">
      <c r="AG658" s="490"/>
    </row>
    <row r="659" spans="33:33" x14ac:dyDescent="0.2">
      <c r="AG659" s="490"/>
    </row>
    <row r="660" spans="33:33" x14ac:dyDescent="0.2">
      <c r="AG660" s="490"/>
    </row>
    <row r="661" spans="33:33" x14ac:dyDescent="0.2">
      <c r="AG661" s="490"/>
    </row>
    <row r="662" spans="33:33" x14ac:dyDescent="0.2">
      <c r="AG662" s="490"/>
    </row>
    <row r="663" spans="33:33" x14ac:dyDescent="0.2">
      <c r="AG663" s="490"/>
    </row>
    <row r="664" spans="33:33" x14ac:dyDescent="0.2">
      <c r="AG664" s="490"/>
    </row>
    <row r="665" spans="33:33" x14ac:dyDescent="0.2">
      <c r="AG665" s="490"/>
    </row>
    <row r="666" spans="33:33" x14ac:dyDescent="0.2">
      <c r="AG666" s="490"/>
    </row>
    <row r="667" spans="33:33" x14ac:dyDescent="0.2">
      <c r="AG667" s="490"/>
    </row>
    <row r="668" spans="33:33" x14ac:dyDescent="0.2">
      <c r="AG668" s="490"/>
    </row>
    <row r="669" spans="33:33" x14ac:dyDescent="0.2">
      <c r="AG669" s="490"/>
    </row>
    <row r="670" spans="33:33" x14ac:dyDescent="0.2">
      <c r="AG670" s="490"/>
    </row>
    <row r="671" spans="33:33" x14ac:dyDescent="0.2">
      <c r="AG671" s="490"/>
    </row>
    <row r="672" spans="33:33" x14ac:dyDescent="0.2">
      <c r="AG672" s="490"/>
    </row>
    <row r="673" spans="33:33" x14ac:dyDescent="0.2">
      <c r="AG673" s="490"/>
    </row>
    <row r="674" spans="33:33" x14ac:dyDescent="0.2">
      <c r="AG674" s="490"/>
    </row>
    <row r="675" spans="33:33" x14ac:dyDescent="0.2">
      <c r="AG675" s="490"/>
    </row>
    <row r="676" spans="33:33" x14ac:dyDescent="0.2">
      <c r="AG676" s="490"/>
    </row>
    <row r="677" spans="33:33" x14ac:dyDescent="0.2">
      <c r="AG677" s="490"/>
    </row>
    <row r="678" spans="33:33" x14ac:dyDescent="0.2">
      <c r="AG678" s="490"/>
    </row>
    <row r="679" spans="33:33" x14ac:dyDescent="0.2">
      <c r="AG679" s="490"/>
    </row>
    <row r="680" spans="33:33" x14ac:dyDescent="0.2">
      <c r="AG680" s="490"/>
    </row>
    <row r="681" spans="33:33" x14ac:dyDescent="0.2">
      <c r="AG681" s="490"/>
    </row>
    <row r="682" spans="33:33" x14ac:dyDescent="0.2">
      <c r="AG682" s="490"/>
    </row>
    <row r="683" spans="33:33" x14ac:dyDescent="0.2">
      <c r="AG683" s="490"/>
    </row>
    <row r="684" spans="33:33" x14ac:dyDescent="0.2">
      <c r="AG684" s="490"/>
    </row>
    <row r="685" spans="33:33" x14ac:dyDescent="0.2">
      <c r="AG685" s="490"/>
    </row>
    <row r="686" spans="33:33" x14ac:dyDescent="0.2">
      <c r="AG686" s="490"/>
    </row>
    <row r="687" spans="33:33" x14ac:dyDescent="0.2">
      <c r="AG687" s="490"/>
    </row>
    <row r="688" spans="33:33" x14ac:dyDescent="0.2">
      <c r="AG688" s="490"/>
    </row>
    <row r="689" spans="33:33" x14ac:dyDescent="0.2">
      <c r="AG689" s="490"/>
    </row>
    <row r="690" spans="33:33" x14ac:dyDescent="0.2">
      <c r="AG690" s="490"/>
    </row>
    <row r="691" spans="33:33" x14ac:dyDescent="0.2">
      <c r="AG691" s="490"/>
    </row>
    <row r="692" spans="33:33" x14ac:dyDescent="0.2">
      <c r="AG692" s="490"/>
    </row>
    <row r="693" spans="33:33" x14ac:dyDescent="0.2">
      <c r="AG693" s="490"/>
    </row>
    <row r="694" spans="33:33" x14ac:dyDescent="0.2">
      <c r="AG694" s="490"/>
    </row>
    <row r="695" spans="33:33" x14ac:dyDescent="0.2">
      <c r="AG695" s="490"/>
    </row>
    <row r="696" spans="33:33" x14ac:dyDescent="0.2">
      <c r="AG696" s="490"/>
    </row>
    <row r="697" spans="33:33" x14ac:dyDescent="0.2">
      <c r="AG697" s="490"/>
    </row>
    <row r="698" spans="33:33" x14ac:dyDescent="0.2">
      <c r="AG698" s="490"/>
    </row>
    <row r="699" spans="33:33" x14ac:dyDescent="0.2">
      <c r="AG699" s="490"/>
    </row>
    <row r="700" spans="33:33" x14ac:dyDescent="0.2">
      <c r="AG700" s="490"/>
    </row>
    <row r="701" spans="33:33" x14ac:dyDescent="0.2">
      <c r="AG701" s="490"/>
    </row>
    <row r="702" spans="33:33" x14ac:dyDescent="0.2">
      <c r="AG702" s="490"/>
    </row>
    <row r="703" spans="33:33" x14ac:dyDescent="0.2">
      <c r="AG703" s="490"/>
    </row>
    <row r="704" spans="33:33" x14ac:dyDescent="0.2">
      <c r="AG704" s="490"/>
    </row>
    <row r="705" spans="33:33" x14ac:dyDescent="0.2">
      <c r="AG705" s="490"/>
    </row>
    <row r="706" spans="33:33" x14ac:dyDescent="0.2">
      <c r="AG706" s="490"/>
    </row>
    <row r="707" spans="33:33" x14ac:dyDescent="0.2">
      <c r="AG707" s="490"/>
    </row>
    <row r="708" spans="33:33" x14ac:dyDescent="0.2">
      <c r="AG708" s="490"/>
    </row>
    <row r="709" spans="33:33" x14ac:dyDescent="0.2">
      <c r="AG709" s="490"/>
    </row>
    <row r="710" spans="33:33" x14ac:dyDescent="0.2">
      <c r="AG710" s="490"/>
    </row>
    <row r="711" spans="33:33" x14ac:dyDescent="0.2">
      <c r="AG711" s="490"/>
    </row>
    <row r="712" spans="33:33" x14ac:dyDescent="0.2">
      <c r="AG712" s="490"/>
    </row>
    <row r="713" spans="33:33" x14ac:dyDescent="0.2">
      <c r="AG713" s="490"/>
    </row>
    <row r="714" spans="33:33" x14ac:dyDescent="0.2">
      <c r="AG714" s="490"/>
    </row>
    <row r="715" spans="33:33" x14ac:dyDescent="0.2">
      <c r="AG715" s="490"/>
    </row>
    <row r="716" spans="33:33" x14ac:dyDescent="0.2">
      <c r="AG716" s="490"/>
    </row>
    <row r="717" spans="33:33" x14ac:dyDescent="0.2">
      <c r="AG717" s="490"/>
    </row>
    <row r="718" spans="33:33" x14ac:dyDescent="0.2">
      <c r="AG718" s="490"/>
    </row>
    <row r="719" spans="33:33" x14ac:dyDescent="0.2">
      <c r="AG719" s="490"/>
    </row>
    <row r="720" spans="33:33" x14ac:dyDescent="0.2">
      <c r="AG720" s="490"/>
    </row>
    <row r="721" spans="33:33" x14ac:dyDescent="0.2">
      <c r="AG721" s="490"/>
    </row>
    <row r="722" spans="33:33" x14ac:dyDescent="0.2">
      <c r="AG722" s="490"/>
    </row>
    <row r="723" spans="33:33" x14ac:dyDescent="0.2">
      <c r="AG723" s="490"/>
    </row>
    <row r="724" spans="33:33" x14ac:dyDescent="0.2">
      <c r="AG724" s="490"/>
    </row>
    <row r="725" spans="33:33" x14ac:dyDescent="0.2">
      <c r="AG725" s="490"/>
    </row>
    <row r="726" spans="33:33" x14ac:dyDescent="0.2">
      <c r="AG726" s="490"/>
    </row>
    <row r="727" spans="33:33" x14ac:dyDescent="0.2">
      <c r="AG727" s="490"/>
    </row>
    <row r="728" spans="33:33" x14ac:dyDescent="0.2">
      <c r="AG728" s="490"/>
    </row>
    <row r="729" spans="33:33" x14ac:dyDescent="0.2">
      <c r="AG729" s="490"/>
    </row>
    <row r="730" spans="33:33" x14ac:dyDescent="0.2">
      <c r="AG730" s="490"/>
    </row>
    <row r="731" spans="33:33" x14ac:dyDescent="0.2">
      <c r="AG731" s="490"/>
    </row>
    <row r="732" spans="33:33" x14ac:dyDescent="0.2">
      <c r="AG732" s="490"/>
    </row>
    <row r="733" spans="33:33" x14ac:dyDescent="0.2">
      <c r="AG733" s="490"/>
    </row>
    <row r="734" spans="33:33" x14ac:dyDescent="0.2">
      <c r="AG734" s="490"/>
    </row>
    <row r="735" spans="33:33" x14ac:dyDescent="0.2">
      <c r="AG735" s="490"/>
    </row>
    <row r="736" spans="33:33" x14ac:dyDescent="0.2">
      <c r="AG736" s="490"/>
    </row>
    <row r="737" spans="33:33" x14ac:dyDescent="0.2">
      <c r="AG737" s="490"/>
    </row>
    <row r="738" spans="33:33" x14ac:dyDescent="0.2">
      <c r="AG738" s="490"/>
    </row>
    <row r="739" spans="33:33" x14ac:dyDescent="0.2">
      <c r="AG739" s="490"/>
    </row>
    <row r="740" spans="33:33" x14ac:dyDescent="0.2">
      <c r="AG740" s="490"/>
    </row>
    <row r="741" spans="33:33" x14ac:dyDescent="0.2">
      <c r="AG741" s="490"/>
    </row>
    <row r="742" spans="33:33" x14ac:dyDescent="0.2">
      <c r="AG742" s="490"/>
    </row>
    <row r="743" spans="33:33" x14ac:dyDescent="0.2">
      <c r="AG743" s="490"/>
    </row>
    <row r="744" spans="33:33" x14ac:dyDescent="0.2">
      <c r="AG744" s="490"/>
    </row>
    <row r="745" spans="33:33" x14ac:dyDescent="0.2">
      <c r="AG745" s="490"/>
    </row>
    <row r="746" spans="33:33" x14ac:dyDescent="0.2">
      <c r="AG746" s="490"/>
    </row>
    <row r="747" spans="33:33" x14ac:dyDescent="0.2">
      <c r="AG747" s="490"/>
    </row>
    <row r="748" spans="33:33" x14ac:dyDescent="0.2">
      <c r="AG748" s="490"/>
    </row>
    <row r="749" spans="33:33" x14ac:dyDescent="0.2">
      <c r="AG749" s="490"/>
    </row>
    <row r="750" spans="33:33" x14ac:dyDescent="0.2">
      <c r="AG750" s="490"/>
    </row>
    <row r="751" spans="33:33" x14ac:dyDescent="0.2">
      <c r="AG751" s="490"/>
    </row>
    <row r="752" spans="33:33" x14ac:dyDescent="0.2">
      <c r="AG752" s="490"/>
    </row>
    <row r="753" spans="33:33" x14ac:dyDescent="0.2">
      <c r="AG753" s="490"/>
    </row>
    <row r="754" spans="33:33" x14ac:dyDescent="0.2">
      <c r="AG754" s="490"/>
    </row>
    <row r="755" spans="33:33" x14ac:dyDescent="0.2">
      <c r="AG755" s="490"/>
    </row>
    <row r="756" spans="33:33" x14ac:dyDescent="0.2">
      <c r="AG756" s="490"/>
    </row>
    <row r="757" spans="33:33" x14ac:dyDescent="0.2">
      <c r="AG757" s="490"/>
    </row>
    <row r="758" spans="33:33" x14ac:dyDescent="0.2">
      <c r="AG758" s="490"/>
    </row>
    <row r="759" spans="33:33" x14ac:dyDescent="0.2">
      <c r="AG759" s="490"/>
    </row>
    <row r="760" spans="33:33" x14ac:dyDescent="0.2">
      <c r="AG760" s="490"/>
    </row>
    <row r="761" spans="33:33" x14ac:dyDescent="0.2">
      <c r="AG761" s="490"/>
    </row>
    <row r="762" spans="33:33" x14ac:dyDescent="0.2">
      <c r="AG762" s="490"/>
    </row>
    <row r="763" spans="33:33" x14ac:dyDescent="0.2">
      <c r="AG763" s="490"/>
    </row>
    <row r="764" spans="33:33" x14ac:dyDescent="0.2">
      <c r="AG764" s="490"/>
    </row>
    <row r="765" spans="33:33" x14ac:dyDescent="0.2">
      <c r="AG765" s="490"/>
    </row>
    <row r="766" spans="33:33" x14ac:dyDescent="0.2">
      <c r="AG766" s="490"/>
    </row>
    <row r="767" spans="33:33" x14ac:dyDescent="0.2">
      <c r="AG767" s="490"/>
    </row>
    <row r="768" spans="33:33" x14ac:dyDescent="0.2">
      <c r="AG768" s="490"/>
    </row>
    <row r="769" spans="33:33" x14ac:dyDescent="0.2">
      <c r="AG769" s="490"/>
    </row>
    <row r="770" spans="33:33" x14ac:dyDescent="0.2">
      <c r="AG770" s="490"/>
    </row>
    <row r="771" spans="33:33" x14ac:dyDescent="0.2">
      <c r="AG771" s="490"/>
    </row>
    <row r="772" spans="33:33" x14ac:dyDescent="0.2">
      <c r="AG772" s="490"/>
    </row>
    <row r="773" spans="33:33" x14ac:dyDescent="0.2">
      <c r="AG773" s="490"/>
    </row>
    <row r="774" spans="33:33" x14ac:dyDescent="0.2">
      <c r="AG774" s="490"/>
    </row>
    <row r="775" spans="33:33" x14ac:dyDescent="0.2">
      <c r="AG775" s="490"/>
    </row>
    <row r="776" spans="33:33" x14ac:dyDescent="0.2">
      <c r="AG776" s="490"/>
    </row>
    <row r="777" spans="33:33" x14ac:dyDescent="0.2">
      <c r="AG777" s="490"/>
    </row>
    <row r="778" spans="33:33" x14ac:dyDescent="0.2">
      <c r="AG778" s="490"/>
    </row>
    <row r="779" spans="33:33" x14ac:dyDescent="0.2">
      <c r="AG779" s="490"/>
    </row>
    <row r="780" spans="33:33" x14ac:dyDescent="0.2">
      <c r="AG780" s="490"/>
    </row>
    <row r="781" spans="33:33" x14ac:dyDescent="0.2">
      <c r="AG781" s="490"/>
    </row>
    <row r="782" spans="33:33" x14ac:dyDescent="0.2">
      <c r="AG782" s="490"/>
    </row>
    <row r="783" spans="33:33" x14ac:dyDescent="0.2">
      <c r="AG783" s="490"/>
    </row>
    <row r="784" spans="33:33" x14ac:dyDescent="0.2">
      <c r="AG784" s="490"/>
    </row>
    <row r="785" spans="33:33" x14ac:dyDescent="0.2">
      <c r="AG785" s="490"/>
    </row>
    <row r="786" spans="33:33" x14ac:dyDescent="0.2">
      <c r="AG786" s="490"/>
    </row>
    <row r="787" spans="33:33" x14ac:dyDescent="0.2">
      <c r="AG787" s="490"/>
    </row>
    <row r="788" spans="33:33" x14ac:dyDescent="0.2">
      <c r="AG788" s="490"/>
    </row>
    <row r="789" spans="33:33" x14ac:dyDescent="0.2">
      <c r="AG789" s="490"/>
    </row>
    <row r="790" spans="33:33" x14ac:dyDescent="0.2">
      <c r="AG790" s="490"/>
    </row>
    <row r="791" spans="33:33" x14ac:dyDescent="0.2">
      <c r="AG791" s="490"/>
    </row>
    <row r="792" spans="33:33" x14ac:dyDescent="0.2">
      <c r="AG792" s="490"/>
    </row>
    <row r="793" spans="33:33" x14ac:dyDescent="0.2">
      <c r="AG793" s="490"/>
    </row>
    <row r="794" spans="33:33" x14ac:dyDescent="0.2">
      <c r="AG794" s="490"/>
    </row>
    <row r="795" spans="33:33" x14ac:dyDescent="0.2">
      <c r="AG795" s="490"/>
    </row>
    <row r="796" spans="33:33" x14ac:dyDescent="0.2">
      <c r="AG796" s="490"/>
    </row>
    <row r="797" spans="33:33" x14ac:dyDescent="0.2">
      <c r="AG797" s="490"/>
    </row>
    <row r="798" spans="33:33" x14ac:dyDescent="0.2">
      <c r="AG798" s="490"/>
    </row>
    <row r="799" spans="33:33" x14ac:dyDescent="0.2">
      <c r="AG799" s="490"/>
    </row>
    <row r="800" spans="33:33" x14ac:dyDescent="0.2">
      <c r="AG800" s="490"/>
    </row>
    <row r="801" spans="33:33" x14ac:dyDescent="0.2">
      <c r="AG801" s="490"/>
    </row>
    <row r="802" spans="33:33" x14ac:dyDescent="0.2">
      <c r="AG802" s="490"/>
    </row>
    <row r="803" spans="33:33" x14ac:dyDescent="0.2">
      <c r="AG803" s="490"/>
    </row>
    <row r="804" spans="33:33" x14ac:dyDescent="0.2">
      <c r="AG804" s="490"/>
    </row>
    <row r="805" spans="33:33" x14ac:dyDescent="0.2">
      <c r="AG805" s="490"/>
    </row>
    <row r="806" spans="33:33" x14ac:dyDescent="0.2">
      <c r="AG806" s="490"/>
    </row>
    <row r="807" spans="33:33" x14ac:dyDescent="0.2">
      <c r="AG807" s="490"/>
    </row>
    <row r="808" spans="33:33" x14ac:dyDescent="0.2">
      <c r="AG808" s="490"/>
    </row>
    <row r="809" spans="33:33" x14ac:dyDescent="0.2">
      <c r="AG809" s="490"/>
    </row>
    <row r="810" spans="33:33" x14ac:dyDescent="0.2">
      <c r="AG810" s="490"/>
    </row>
    <row r="811" spans="33:33" x14ac:dyDescent="0.2">
      <c r="AG811" s="490"/>
    </row>
    <row r="812" spans="33:33" x14ac:dyDescent="0.2">
      <c r="AG812" s="490"/>
    </row>
    <row r="813" spans="33:33" x14ac:dyDescent="0.2">
      <c r="AG813" s="490"/>
    </row>
    <row r="814" spans="33:33" x14ac:dyDescent="0.2">
      <c r="AG814" s="490"/>
    </row>
    <row r="815" spans="33:33" x14ac:dyDescent="0.2">
      <c r="AG815" s="490"/>
    </row>
    <row r="816" spans="33:33" x14ac:dyDescent="0.2">
      <c r="AG816" s="490"/>
    </row>
    <row r="817" spans="33:33" x14ac:dyDescent="0.2">
      <c r="AG817" s="490"/>
    </row>
    <row r="818" spans="33:33" x14ac:dyDescent="0.2">
      <c r="AG818" s="490"/>
    </row>
    <row r="819" spans="33:33" x14ac:dyDescent="0.2">
      <c r="AG819" s="490"/>
    </row>
    <row r="820" spans="33:33" x14ac:dyDescent="0.2">
      <c r="AG820" s="490"/>
    </row>
    <row r="821" spans="33:33" x14ac:dyDescent="0.2">
      <c r="AG821" s="490"/>
    </row>
    <row r="822" spans="33:33" x14ac:dyDescent="0.2">
      <c r="AG822" s="490"/>
    </row>
    <row r="823" spans="33:33" x14ac:dyDescent="0.2">
      <c r="AG823" s="490"/>
    </row>
    <row r="824" spans="33:33" x14ac:dyDescent="0.2">
      <c r="AG824" s="490"/>
    </row>
    <row r="825" spans="33:33" x14ac:dyDescent="0.2">
      <c r="AG825" s="490"/>
    </row>
    <row r="826" spans="33:33" x14ac:dyDescent="0.2">
      <c r="AG826" s="490"/>
    </row>
    <row r="827" spans="33:33" x14ac:dyDescent="0.2">
      <c r="AG827" s="490"/>
    </row>
    <row r="828" spans="33:33" x14ac:dyDescent="0.2">
      <c r="AG828" s="490"/>
    </row>
    <row r="829" spans="33:33" x14ac:dyDescent="0.2">
      <c r="AG829" s="490"/>
    </row>
    <row r="830" spans="33:33" x14ac:dyDescent="0.2">
      <c r="AG830" s="490"/>
    </row>
    <row r="831" spans="33:33" x14ac:dyDescent="0.2">
      <c r="AG831" s="490"/>
    </row>
    <row r="832" spans="33:33" x14ac:dyDescent="0.2">
      <c r="AG832" s="490"/>
    </row>
    <row r="833" spans="33:33" x14ac:dyDescent="0.2">
      <c r="AG833" s="490"/>
    </row>
    <row r="834" spans="33:33" x14ac:dyDescent="0.2">
      <c r="AG834" s="490"/>
    </row>
    <row r="835" spans="33:33" x14ac:dyDescent="0.2">
      <c r="AG835" s="490"/>
    </row>
    <row r="836" spans="33:33" x14ac:dyDescent="0.2">
      <c r="AG836" s="490"/>
    </row>
    <row r="837" spans="33:33" x14ac:dyDescent="0.2">
      <c r="AG837" s="490"/>
    </row>
    <row r="838" spans="33:33" x14ac:dyDescent="0.2">
      <c r="AG838" s="490"/>
    </row>
    <row r="839" spans="33:33" x14ac:dyDescent="0.2">
      <c r="AG839" s="490"/>
    </row>
    <row r="840" spans="33:33" x14ac:dyDescent="0.2">
      <c r="AG840" s="490"/>
    </row>
    <row r="841" spans="33:33" x14ac:dyDescent="0.2">
      <c r="AG841" s="490"/>
    </row>
    <row r="842" spans="33:33" x14ac:dyDescent="0.2">
      <c r="AG842" s="490"/>
    </row>
    <row r="843" spans="33:33" x14ac:dyDescent="0.2">
      <c r="AG843" s="490"/>
    </row>
    <row r="844" spans="33:33" x14ac:dyDescent="0.2">
      <c r="AG844" s="490"/>
    </row>
    <row r="845" spans="33:33" x14ac:dyDescent="0.2">
      <c r="AG845" s="490"/>
    </row>
    <row r="846" spans="33:33" x14ac:dyDescent="0.2">
      <c r="AG846" s="490"/>
    </row>
    <row r="847" spans="33:33" x14ac:dyDescent="0.2">
      <c r="AG847" s="490"/>
    </row>
    <row r="848" spans="33:33" x14ac:dyDescent="0.2">
      <c r="AG848" s="490"/>
    </row>
    <row r="849" spans="33:33" x14ac:dyDescent="0.2">
      <c r="AG849" s="490"/>
    </row>
    <row r="850" spans="33:33" x14ac:dyDescent="0.2">
      <c r="AG850" s="490"/>
    </row>
    <row r="851" spans="33:33" x14ac:dyDescent="0.2">
      <c r="AG851" s="490"/>
    </row>
    <row r="852" spans="33:33" x14ac:dyDescent="0.2">
      <c r="AG852" s="490"/>
    </row>
    <row r="853" spans="33:33" x14ac:dyDescent="0.2">
      <c r="AG853" s="490"/>
    </row>
    <row r="854" spans="33:33" x14ac:dyDescent="0.2">
      <c r="AG854" s="490"/>
    </row>
    <row r="855" spans="33:33" x14ac:dyDescent="0.2">
      <c r="AG855" s="490"/>
    </row>
    <row r="856" spans="33:33" x14ac:dyDescent="0.2">
      <c r="AG856" s="490"/>
    </row>
    <row r="857" spans="33:33" x14ac:dyDescent="0.2">
      <c r="AG857" s="490"/>
    </row>
    <row r="858" spans="33:33" x14ac:dyDescent="0.2">
      <c r="AG858" s="490"/>
    </row>
    <row r="859" spans="33:33" x14ac:dyDescent="0.2">
      <c r="AG859" s="490"/>
    </row>
    <row r="860" spans="33:33" x14ac:dyDescent="0.2">
      <c r="AG860" s="490"/>
    </row>
    <row r="861" spans="33:33" x14ac:dyDescent="0.2">
      <c r="AG861" s="490"/>
    </row>
    <row r="862" spans="33:33" x14ac:dyDescent="0.2">
      <c r="AG862" s="490"/>
    </row>
    <row r="863" spans="33:33" x14ac:dyDescent="0.2">
      <c r="AG863" s="490"/>
    </row>
    <row r="864" spans="33:33" x14ac:dyDescent="0.2">
      <c r="AG864" s="490"/>
    </row>
    <row r="865" spans="33:33" x14ac:dyDescent="0.2">
      <c r="AG865" s="490"/>
    </row>
    <row r="866" spans="33:33" x14ac:dyDescent="0.2">
      <c r="AG866" s="490"/>
    </row>
    <row r="867" spans="33:33" x14ac:dyDescent="0.2">
      <c r="AG867" s="490"/>
    </row>
    <row r="868" spans="33:33" x14ac:dyDescent="0.2">
      <c r="AG868" s="490"/>
    </row>
    <row r="869" spans="33:33" x14ac:dyDescent="0.2">
      <c r="AG869" s="490"/>
    </row>
    <row r="870" spans="33:33" x14ac:dyDescent="0.2">
      <c r="AG870" s="490"/>
    </row>
    <row r="871" spans="33:33" x14ac:dyDescent="0.2">
      <c r="AG871" s="490"/>
    </row>
    <row r="872" spans="33:33" x14ac:dyDescent="0.2">
      <c r="AG872" s="490"/>
    </row>
    <row r="873" spans="33:33" x14ac:dyDescent="0.2">
      <c r="AG873" s="490"/>
    </row>
    <row r="874" spans="33:33" x14ac:dyDescent="0.2">
      <c r="AG874" s="490"/>
    </row>
    <row r="875" spans="33:33" x14ac:dyDescent="0.2">
      <c r="AG875" s="490"/>
    </row>
    <row r="876" spans="33:33" x14ac:dyDescent="0.2">
      <c r="AG876" s="490"/>
    </row>
    <row r="877" spans="33:33" x14ac:dyDescent="0.2">
      <c r="AG877" s="490"/>
    </row>
    <row r="878" spans="33:33" x14ac:dyDescent="0.2">
      <c r="AG878" s="490"/>
    </row>
    <row r="879" spans="33:33" x14ac:dyDescent="0.2">
      <c r="AG879" s="490"/>
    </row>
    <row r="880" spans="33:33" x14ac:dyDescent="0.2">
      <c r="AG880" s="490"/>
    </row>
    <row r="881" spans="33:33" x14ac:dyDescent="0.2">
      <c r="AG881" s="490"/>
    </row>
    <row r="882" spans="33:33" x14ac:dyDescent="0.2">
      <c r="AG882" s="490"/>
    </row>
    <row r="883" spans="33:33" x14ac:dyDescent="0.2">
      <c r="AG883" s="490"/>
    </row>
    <row r="884" spans="33:33" x14ac:dyDescent="0.2">
      <c r="AG884" s="490"/>
    </row>
    <row r="885" spans="33:33" x14ac:dyDescent="0.2">
      <c r="AG885" s="490"/>
    </row>
    <row r="886" spans="33:33" x14ac:dyDescent="0.2">
      <c r="AG886" s="490"/>
    </row>
    <row r="887" spans="33:33" x14ac:dyDescent="0.2">
      <c r="AG887" s="490"/>
    </row>
    <row r="888" spans="33:33" x14ac:dyDescent="0.2">
      <c r="AG888" s="490"/>
    </row>
    <row r="889" spans="33:33" x14ac:dyDescent="0.2">
      <c r="AG889" s="490"/>
    </row>
    <row r="890" spans="33:33" x14ac:dyDescent="0.2">
      <c r="AG890" s="490"/>
    </row>
    <row r="891" spans="33:33" x14ac:dyDescent="0.2">
      <c r="AG891" s="490"/>
    </row>
    <row r="892" spans="33:33" x14ac:dyDescent="0.2">
      <c r="AG892" s="490"/>
    </row>
    <row r="893" spans="33:33" x14ac:dyDescent="0.2">
      <c r="AG893" s="490"/>
    </row>
    <row r="894" spans="33:33" x14ac:dyDescent="0.2">
      <c r="AG894" s="490"/>
    </row>
    <row r="895" spans="33:33" x14ac:dyDescent="0.2">
      <c r="AG895" s="490"/>
    </row>
    <row r="896" spans="33:33" x14ac:dyDescent="0.2">
      <c r="AG896" s="490"/>
    </row>
    <row r="897" spans="33:33" x14ac:dyDescent="0.2">
      <c r="AG897" s="490"/>
    </row>
    <row r="898" spans="33:33" x14ac:dyDescent="0.2">
      <c r="AG898" s="490"/>
    </row>
    <row r="899" spans="33:33" x14ac:dyDescent="0.2">
      <c r="AG899" s="490"/>
    </row>
    <row r="900" spans="33:33" x14ac:dyDescent="0.2">
      <c r="AG900" s="490"/>
    </row>
    <row r="901" spans="33:33" x14ac:dyDescent="0.2">
      <c r="AG901" s="490"/>
    </row>
    <row r="902" spans="33:33" x14ac:dyDescent="0.2">
      <c r="AG902" s="490"/>
    </row>
    <row r="903" spans="33:33" x14ac:dyDescent="0.2">
      <c r="AG903" s="490"/>
    </row>
    <row r="904" spans="33:33" x14ac:dyDescent="0.2">
      <c r="AG904" s="490"/>
    </row>
    <row r="905" spans="33:33" x14ac:dyDescent="0.2">
      <c r="AG905" s="490"/>
    </row>
    <row r="906" spans="33:33" x14ac:dyDescent="0.2">
      <c r="AG906" s="490"/>
    </row>
    <row r="907" spans="33:33" x14ac:dyDescent="0.2">
      <c r="AG907" s="490"/>
    </row>
    <row r="908" spans="33:33" x14ac:dyDescent="0.2">
      <c r="AG908" s="490"/>
    </row>
    <row r="909" spans="33:33" x14ac:dyDescent="0.2">
      <c r="AG909" s="490"/>
    </row>
    <row r="910" spans="33:33" x14ac:dyDescent="0.2">
      <c r="AG910" s="490"/>
    </row>
    <row r="911" spans="33:33" x14ac:dyDescent="0.2">
      <c r="AG911" s="490"/>
    </row>
    <row r="912" spans="33:33" x14ac:dyDescent="0.2">
      <c r="AG912" s="490"/>
    </row>
    <row r="913" spans="33:33" x14ac:dyDescent="0.2">
      <c r="AG913" s="490"/>
    </row>
    <row r="914" spans="33:33" x14ac:dyDescent="0.2">
      <c r="AG914" s="490"/>
    </row>
    <row r="915" spans="33:33" x14ac:dyDescent="0.2">
      <c r="AG915" s="490"/>
    </row>
    <row r="916" spans="33:33" x14ac:dyDescent="0.2">
      <c r="AG916" s="490"/>
    </row>
    <row r="917" spans="33:33" x14ac:dyDescent="0.2">
      <c r="AG917" s="490"/>
    </row>
    <row r="918" spans="33:33" x14ac:dyDescent="0.2">
      <c r="AG918" s="490"/>
    </row>
    <row r="919" spans="33:33" x14ac:dyDescent="0.2">
      <c r="AG919" s="490"/>
    </row>
    <row r="920" spans="33:33" x14ac:dyDescent="0.2">
      <c r="AG920" s="490"/>
    </row>
    <row r="921" spans="33:33" x14ac:dyDescent="0.2">
      <c r="AG921" s="490"/>
    </row>
    <row r="922" spans="33:33" x14ac:dyDescent="0.2">
      <c r="AG922" s="490"/>
    </row>
    <row r="923" spans="33:33" x14ac:dyDescent="0.2">
      <c r="AG923" s="490"/>
    </row>
    <row r="924" spans="33:33" x14ac:dyDescent="0.2">
      <c r="AG924" s="490"/>
    </row>
    <row r="925" spans="33:33" x14ac:dyDescent="0.2">
      <c r="AG925" s="490"/>
    </row>
    <row r="926" spans="33:33" x14ac:dyDescent="0.2">
      <c r="AG926" s="490"/>
    </row>
    <row r="927" spans="33:33" x14ac:dyDescent="0.2">
      <c r="AG927" s="490"/>
    </row>
  </sheetData>
  <sheetProtection algorithmName="SHA-512" hashValue="+Wev6HDdKfePUlTjF/2t9b1NbHb4AwI0KGiHI3ZIMNh5Bk8iwvrrz6FlxVIq/iGv9ukYlBcYlRlAHbaztQ7cgg==" saltValue="ukSeq4AFqzHn16UuYQIE1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8">
        <f>Main!D3</f>
        <v>0</v>
      </c>
      <c r="E10" s="568"/>
      <c r="F10" s="568"/>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67" t="s">
        <v>385</v>
      </c>
      <c r="F15" s="567"/>
      <c r="G15" s="567"/>
      <c r="H15" s="567"/>
    </row>
    <row r="16" spans="3:8" ht="15" x14ac:dyDescent="0.2">
      <c r="C16" s="133"/>
      <c r="D16" s="75"/>
      <c r="E16" s="300" t="s">
        <v>124</v>
      </c>
      <c r="F16" s="300"/>
      <c r="G16" s="300"/>
      <c r="H16" s="300"/>
    </row>
    <row r="17" spans="3:8" ht="15" x14ac:dyDescent="0.2">
      <c r="C17" s="133"/>
      <c r="D17" s="75"/>
      <c r="E17" s="566" t="s">
        <v>125</v>
      </c>
      <c r="F17" s="566"/>
      <c r="G17" s="566"/>
      <c r="H17" s="566"/>
    </row>
    <row r="18" spans="3:8" ht="15" x14ac:dyDescent="0.2">
      <c r="C18" s="133"/>
      <c r="D18" s="75"/>
      <c r="E18" s="566" t="s">
        <v>6</v>
      </c>
      <c r="F18" s="566"/>
      <c r="G18" s="566"/>
      <c r="H18" s="566"/>
    </row>
    <row r="19" spans="3:8" ht="15" x14ac:dyDescent="0.2">
      <c r="C19" s="133"/>
      <c r="D19" s="75"/>
      <c r="E19" s="566" t="s">
        <v>130</v>
      </c>
      <c r="F19" s="566"/>
      <c r="G19" s="566"/>
      <c r="H19" s="566"/>
    </row>
    <row r="20" spans="3:8" ht="15" x14ac:dyDescent="0.2">
      <c r="C20" s="133"/>
      <c r="D20" s="75"/>
      <c r="E20" s="566" t="s">
        <v>127</v>
      </c>
      <c r="F20" s="566"/>
      <c r="G20" s="566"/>
      <c r="H20" s="566"/>
    </row>
    <row r="21" spans="3:8" ht="15" x14ac:dyDescent="0.2">
      <c r="C21" s="133"/>
      <c r="D21" s="75"/>
      <c r="E21" s="566" t="s">
        <v>128</v>
      </c>
      <c r="F21" s="566"/>
      <c r="G21" s="566"/>
      <c r="H21" s="566"/>
    </row>
    <row r="22" spans="3:8" ht="15" x14ac:dyDescent="0.2">
      <c r="C22" s="133"/>
      <c r="D22" s="75"/>
      <c r="E22" s="566" t="s">
        <v>106</v>
      </c>
      <c r="F22" s="566"/>
      <c r="G22" s="566"/>
      <c r="H22" s="566"/>
    </row>
    <row r="23" spans="3:8" ht="15" x14ac:dyDescent="0.2">
      <c r="C23" s="133"/>
      <c r="D23" s="75"/>
      <c r="E23" s="566" t="s">
        <v>129</v>
      </c>
      <c r="F23" s="566"/>
      <c r="G23" s="566"/>
      <c r="H23" s="566"/>
    </row>
    <row r="24" spans="3:8" ht="15" x14ac:dyDescent="0.2">
      <c r="C24" s="84"/>
      <c r="D24" s="75"/>
      <c r="E24" s="566" t="s">
        <v>149</v>
      </c>
      <c r="F24" s="566"/>
      <c r="G24" s="566"/>
      <c r="H24" s="566"/>
    </row>
    <row r="25" spans="3:8" ht="15" x14ac:dyDescent="0.2">
      <c r="C25" s="84"/>
      <c r="D25" s="75"/>
      <c r="E25" s="566"/>
      <c r="F25" s="566"/>
      <c r="G25" s="566"/>
      <c r="H25" s="566"/>
    </row>
    <row r="26" spans="3:8" ht="15" x14ac:dyDescent="0.2">
      <c r="C26" s="84"/>
      <c r="D26" s="75"/>
      <c r="E26" s="566"/>
      <c r="F26" s="566"/>
      <c r="G26" s="566"/>
      <c r="H26" s="566"/>
    </row>
    <row r="27" spans="3:8" ht="15" x14ac:dyDescent="0.2">
      <c r="C27" s="84"/>
      <c r="D27" s="75"/>
      <c r="E27" s="566"/>
      <c r="F27" s="566"/>
      <c r="G27" s="566"/>
      <c r="H27" s="566"/>
    </row>
    <row r="28" spans="3:8" ht="15" x14ac:dyDescent="0.2">
      <c r="C28" s="84"/>
      <c r="D28" s="75"/>
      <c r="E28" s="566"/>
      <c r="F28" s="566"/>
      <c r="G28" s="566"/>
      <c r="H28" s="566"/>
    </row>
    <row r="29" spans="3:8" ht="15" x14ac:dyDescent="0.2">
      <c r="C29" s="84"/>
      <c r="D29" s="75"/>
      <c r="E29" s="566"/>
      <c r="F29" s="566"/>
      <c r="G29" s="566"/>
      <c r="H29" s="566"/>
    </row>
    <row r="30" spans="3:8" ht="15" x14ac:dyDescent="0.2">
      <c r="C30" s="84"/>
      <c r="D30" s="75"/>
      <c r="E30" s="566"/>
      <c r="F30" s="566"/>
      <c r="G30" s="566"/>
      <c r="H30" s="566"/>
    </row>
    <row r="31" spans="3:8" ht="15" x14ac:dyDescent="0.2">
      <c r="C31" s="260" t="s">
        <v>386</v>
      </c>
      <c r="E31" s="566"/>
      <c r="F31" s="566"/>
      <c r="G31" s="566"/>
      <c r="H31" s="566"/>
    </row>
    <row r="32" spans="3:8" ht="15" x14ac:dyDescent="0.2">
      <c r="C32" s="84"/>
      <c r="D32" s="75"/>
      <c r="E32" s="566"/>
      <c r="F32" s="566"/>
      <c r="G32" s="566"/>
      <c r="H32" s="566"/>
    </row>
    <row r="33" spans="3:8" ht="15" x14ac:dyDescent="0.2">
      <c r="C33" s="84"/>
      <c r="D33" s="75"/>
      <c r="E33" s="566"/>
      <c r="F33" s="566"/>
      <c r="G33" s="566"/>
      <c r="H33" s="566"/>
    </row>
    <row r="34" spans="3:8" ht="15" x14ac:dyDescent="0.2">
      <c r="C34" s="84"/>
      <c r="D34" s="75"/>
      <c r="E34" s="566"/>
      <c r="F34" s="566"/>
      <c r="G34" s="566"/>
      <c r="H34" s="566"/>
    </row>
    <row r="35" spans="3:8" ht="15" x14ac:dyDescent="0.2">
      <c r="C35" s="84"/>
      <c r="D35" s="75"/>
      <c r="E35" s="566"/>
      <c r="F35" s="566"/>
      <c r="G35" s="566"/>
      <c r="H35" s="566"/>
    </row>
    <row r="36" spans="3:8" ht="15" x14ac:dyDescent="0.2">
      <c r="C36" s="75"/>
      <c r="D36" s="75"/>
      <c r="E36" s="566"/>
      <c r="F36" s="566"/>
      <c r="G36" s="566"/>
      <c r="H36" s="566"/>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m3RPmCT28x1v83f9vAkqH5GJW1usNJdR9CT9XZoLvSd2ABtla7VtFeLRff/8C20TFayLDlEfaOks796u5NRFvw==" saltValue="AbWtKLEokoQQLBOv5RTpT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T68" sqref="T6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2" t="s">
        <v>116</v>
      </c>
      <c r="E1" s="592"/>
      <c r="F1" s="592"/>
      <c r="G1" s="592"/>
      <c r="H1" s="592"/>
      <c r="I1" s="592"/>
      <c r="J1" s="592"/>
      <c r="K1" s="592"/>
      <c r="L1" s="592"/>
      <c r="M1" s="592"/>
    </row>
    <row r="2" spans="1:18" ht="23.25" customHeight="1" x14ac:dyDescent="0.3">
      <c r="C2" s="242"/>
      <c r="D2" s="242" t="s">
        <v>325</v>
      </c>
      <c r="E2" s="242"/>
      <c r="F2" s="242"/>
      <c r="G2" s="242"/>
      <c r="H2" s="242"/>
      <c r="I2" s="242"/>
      <c r="J2" s="242"/>
      <c r="K2" s="242"/>
      <c r="L2" s="242"/>
      <c r="M2" s="242"/>
    </row>
    <row r="3" spans="1:18" ht="23.25" x14ac:dyDescent="0.35">
      <c r="C3" s="593"/>
      <c r="D3" s="593"/>
      <c r="E3" s="593"/>
      <c r="F3" s="593"/>
      <c r="G3" s="593"/>
      <c r="H3" s="593"/>
      <c r="I3" s="593"/>
      <c r="J3" s="593"/>
      <c r="K3" s="593"/>
      <c r="L3" s="593"/>
      <c r="M3" s="593"/>
    </row>
    <row r="4" spans="1:18" ht="23.25" x14ac:dyDescent="0.35">
      <c r="C4" s="226"/>
      <c r="D4" s="226"/>
      <c r="E4" s="226"/>
      <c r="F4" s="226"/>
      <c r="G4" s="226"/>
      <c r="H4" s="226"/>
      <c r="I4" s="226"/>
      <c r="J4" s="226"/>
      <c r="K4" s="226"/>
      <c r="L4" s="226"/>
      <c r="M4" s="226"/>
    </row>
    <row r="5" spans="1:18" ht="23.25" x14ac:dyDescent="0.35">
      <c r="C5" s="589" t="s">
        <v>6</v>
      </c>
      <c r="D5" s="589"/>
      <c r="E5" s="589"/>
      <c r="F5" s="589"/>
      <c r="G5" s="589"/>
      <c r="H5" s="589"/>
      <c r="I5" s="589"/>
      <c r="J5" s="589"/>
      <c r="K5" s="589"/>
      <c r="L5" s="589"/>
      <c r="M5" s="589"/>
    </row>
    <row r="6" spans="1:18" ht="23.25" x14ac:dyDescent="0.35">
      <c r="C6" s="227"/>
      <c r="D6" s="227"/>
      <c r="E6" s="608" t="str">
        <f>IFERROR(CONCATENATE("Report Number: ", WorkItemNumber),"")</f>
        <v/>
      </c>
      <c r="F6" s="608"/>
      <c r="G6" s="608"/>
      <c r="H6" s="608"/>
      <c r="I6" s="608"/>
      <c r="J6" s="608"/>
      <c r="K6" s="608"/>
      <c r="L6" s="227"/>
      <c r="M6" s="227"/>
    </row>
    <row r="7" spans="1:18" ht="18.75" customHeight="1" x14ac:dyDescent="0.3">
      <c r="G7" s="590"/>
      <c r="H7" s="590"/>
      <c r="I7" s="201"/>
      <c r="R7" t="str">
        <f>CONCATENATE("Page ",Main!L9," of ",Main!L10)</f>
        <v xml:space="preserve">Page  of </v>
      </c>
    </row>
    <row r="8" spans="1:18" ht="18" customHeight="1" x14ac:dyDescent="0.25">
      <c r="G8" s="602"/>
      <c r="H8" s="602"/>
      <c r="J8" s="81"/>
      <c r="K8" s="228" t="s">
        <v>322</v>
      </c>
      <c r="L8" s="612">
        <f>FormNumber</f>
        <v>0</v>
      </c>
      <c r="M8" s="612"/>
      <c r="N8" s="612"/>
      <c r="O8" s="612"/>
    </row>
    <row r="9" spans="1:18" ht="18" customHeight="1" x14ac:dyDescent="0.25">
      <c r="A9" s="228" t="s">
        <v>279</v>
      </c>
      <c r="B9" s="34" t="e">
        <f>Main!D5</f>
        <v>#N/A</v>
      </c>
      <c r="J9" s="81"/>
      <c r="K9" s="228" t="s">
        <v>323</v>
      </c>
      <c r="L9" s="604">
        <f>CalMethod</f>
        <v>0</v>
      </c>
      <c r="M9" s="604"/>
      <c r="N9" s="604"/>
      <c r="O9" s="604"/>
    </row>
    <row r="10" spans="1:18" ht="18" customHeight="1" x14ac:dyDescent="0.25">
      <c r="A10" s="90"/>
      <c r="B10" s="223" t="str" cm="1">
        <f t="array" ref="B10">IFZERO('Customer Table'!R2,"")</f>
        <v/>
      </c>
      <c r="J10" s="81"/>
      <c r="K10" s="228"/>
      <c r="L10" s="604"/>
      <c r="M10" s="604"/>
      <c r="N10" s="604"/>
      <c r="O10" s="604"/>
    </row>
    <row r="11" spans="1:18" ht="18" customHeight="1" x14ac:dyDescent="0.25">
      <c r="A11" s="90"/>
      <c r="B11" s="223" t="str" cm="1">
        <f t="array" ref="B11">IFZERO('Customer Table'!S2,"")</f>
        <v/>
      </c>
      <c r="J11" s="81"/>
      <c r="K11" s="228" t="s">
        <v>324</v>
      </c>
      <c r="L11" s="612">
        <f>TolSource</f>
        <v>0</v>
      </c>
      <c r="M11" s="612"/>
      <c r="N11" s="612"/>
      <c r="O11" s="612"/>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f>
        <v>0</v>
      </c>
      <c r="M15" s="228" t="s">
        <v>291</v>
      </c>
      <c r="N15" s="236">
        <f>Main!D3</f>
        <v>0</v>
      </c>
      <c r="O15" s="207"/>
    </row>
    <row r="16" spans="1:18" ht="18" customHeight="1" x14ac:dyDescent="0.25">
      <c r="A16" s="234" t="s">
        <v>282</v>
      </c>
      <c r="B16" s="605">
        <f>SerialNumber</f>
        <v>0</v>
      </c>
      <c r="C16" s="605"/>
      <c r="D16" s="605"/>
      <c r="E16" s="605"/>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96">
        <f>Class</f>
        <v>0</v>
      </c>
      <c r="C18" s="596"/>
      <c r="D18" s="596"/>
      <c r="E18" s="596"/>
      <c r="G18" s="228" t="s">
        <v>289</v>
      </c>
      <c r="H18" s="232">
        <f>CubicFeet</f>
        <v>0</v>
      </c>
      <c r="M18" s="228" t="s">
        <v>293</v>
      </c>
      <c r="N18" s="232" t="str">
        <f>Main!G18</f>
        <v>ACCEPTED</v>
      </c>
      <c r="O18" s="207"/>
    </row>
    <row r="19" spans="1:19" ht="18" customHeight="1" x14ac:dyDescent="0.25">
      <c r="A19" s="218"/>
      <c r="B19" s="597"/>
      <c r="C19" s="597"/>
      <c r="D19" s="597"/>
      <c r="E19" s="597"/>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606">
        <f>Controller</f>
        <v>0</v>
      </c>
      <c r="C21" s="606"/>
      <c r="D21" s="606"/>
      <c r="E21" s="606"/>
      <c r="F21" s="219" t="s">
        <v>296</v>
      </c>
      <c r="G21" s="606">
        <f>ContSN</f>
        <v>0</v>
      </c>
      <c r="H21" s="606"/>
      <c r="I21" s="606"/>
      <c r="J21" s="219" t="s">
        <v>297</v>
      </c>
      <c r="K21" s="231">
        <f>ContTol</f>
        <v>0</v>
      </c>
      <c r="L21" s="205"/>
      <c r="M21" s="219" t="s">
        <v>298</v>
      </c>
      <c r="N21" s="244" t="str">
        <f>Main!G27</f>
        <v/>
      </c>
      <c r="O21" s="206"/>
    </row>
    <row r="22" spans="1:19" ht="18" customHeight="1" x14ac:dyDescent="0.25">
      <c r="A22" s="237" t="s">
        <v>295</v>
      </c>
      <c r="B22" s="607">
        <f>_xlnm.Recorder</f>
        <v>0</v>
      </c>
      <c r="C22" s="607"/>
      <c r="D22" s="607"/>
      <c r="E22" s="607"/>
      <c r="F22" s="220" t="s">
        <v>296</v>
      </c>
      <c r="G22" s="607">
        <f>RecSN</f>
        <v>0</v>
      </c>
      <c r="H22" s="607"/>
      <c r="I22" s="607"/>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603" t="s">
        <v>307</v>
      </c>
      <c r="D27" s="603"/>
      <c r="E27" s="603"/>
      <c r="F27" s="603"/>
      <c r="G27" s="603"/>
      <c r="H27" s="603"/>
      <c r="I27" s="603"/>
      <c r="J27" s="603"/>
      <c r="K27" s="603"/>
      <c r="L27" s="603"/>
      <c r="M27" s="603"/>
      <c r="N27" s="208"/>
      <c r="O27" s="209"/>
    </row>
    <row r="28" spans="1:19" ht="8.1" customHeight="1" x14ac:dyDescent="0.2"/>
    <row r="29" spans="1:19" ht="18" customHeight="1" x14ac:dyDescent="0.2">
      <c r="A29" s="599" t="s">
        <v>277</v>
      </c>
      <c r="B29" s="600"/>
      <c r="C29" s="601"/>
      <c r="D29" s="599" t="s">
        <v>308</v>
      </c>
      <c r="E29" s="600"/>
      <c r="F29" s="600"/>
      <c r="G29" s="601"/>
      <c r="H29" s="599" t="s">
        <v>278</v>
      </c>
      <c r="I29" s="600"/>
      <c r="J29" s="600"/>
      <c r="K29" s="601"/>
      <c r="L29" s="599" t="s">
        <v>259</v>
      </c>
      <c r="M29" s="600"/>
      <c r="N29" s="600"/>
      <c r="O29" s="601"/>
    </row>
    <row r="30" spans="1:19" ht="18" customHeight="1" x14ac:dyDescent="0.2">
      <c r="A30" s="224"/>
      <c r="B30" s="214">
        <f>TestLocation</f>
        <v>0</v>
      </c>
      <c r="C30" s="225"/>
      <c r="D30" s="576" t="str">
        <f>CONCATENATE(Main!D22,"°F","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47" t="s">
        <v>309</v>
      </c>
      <c r="B32" s="591" t="s">
        <v>310</v>
      </c>
      <c r="C32" s="591"/>
      <c r="D32" s="247" t="s">
        <v>273</v>
      </c>
      <c r="E32" s="247" t="s">
        <v>272</v>
      </c>
      <c r="F32" s="247" t="s">
        <v>311</v>
      </c>
      <c r="G32" s="81"/>
      <c r="H32" s="81"/>
      <c r="I32" s="247" t="s">
        <v>309</v>
      </c>
      <c r="J32" s="591" t="s">
        <v>310</v>
      </c>
      <c r="K32" s="591"/>
      <c r="L32" s="247" t="s">
        <v>273</v>
      </c>
      <c r="M32" s="247" t="s">
        <v>272</v>
      </c>
      <c r="N32" s="247" t="s">
        <v>311</v>
      </c>
    </row>
    <row r="33" spans="1:14" ht="18" customHeight="1" x14ac:dyDescent="0.2">
      <c r="A33" s="248" t="str">
        <f>IF(B33="","",1)</f>
        <v/>
      </c>
      <c r="B33" s="590" t="str">
        <f>IF(Main!O5="","",Main!O5)</f>
        <v/>
      </c>
      <c r="C33" s="590"/>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90" t="str">
        <f>IF(Main!O25="","",Main!O25)</f>
        <v/>
      </c>
      <c r="K33" s="590"/>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90" t="str">
        <f>IF(Main!O6="","",Main!O6)</f>
        <v/>
      </c>
      <c r="C34" s="590"/>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90" t="str">
        <f>IF(Main!O26="","",Main!O26)</f>
        <v/>
      </c>
      <c r="K34" s="590"/>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90" t="str">
        <f>IF(Main!O7="","",Main!O7)</f>
        <v/>
      </c>
      <c r="C35" s="590"/>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90" t="str">
        <f>IF(Main!O27="","",Main!O27)</f>
        <v/>
      </c>
      <c r="K35" s="590"/>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90" t="str">
        <f>IF(Main!O8="","",Main!O8)</f>
        <v/>
      </c>
      <c r="C36" s="590"/>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90" t="str">
        <f>IF(Main!O28="","",Main!O28)</f>
        <v/>
      </c>
      <c r="K36" s="590"/>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90" t="str">
        <f>IF(Main!O9="","",Main!O9)</f>
        <v/>
      </c>
      <c r="C37" s="590"/>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90" t="str">
        <f>IF(Main!O29="","",Main!O29)</f>
        <v/>
      </c>
      <c r="K37" s="590"/>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90" t="str">
        <f>IF(Main!O10="","",Main!O10)</f>
        <v/>
      </c>
      <c r="C38" s="590"/>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90" t="str">
        <f>IF(Main!O30="","",Main!O30)</f>
        <v/>
      </c>
      <c r="K38" s="590"/>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90" t="str">
        <f>IF(Main!O11="","",Main!O11)</f>
        <v/>
      </c>
      <c r="C39" s="590"/>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90" t="str">
        <f>IF(Main!O31="","",Main!O31)</f>
        <v/>
      </c>
      <c r="K39" s="590"/>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90" t="str">
        <f>IF(Main!O12="","",Main!O12)</f>
        <v/>
      </c>
      <c r="C40" s="590"/>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90" t="str">
        <f>IF(Main!O32="","",Main!O32)</f>
        <v/>
      </c>
      <c r="K40" s="590"/>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90" t="str">
        <f>IF(Main!O13="","",Main!O13)</f>
        <v/>
      </c>
      <c r="C41" s="590"/>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90" t="str">
        <f>IF(Main!O33="","",Main!O33)</f>
        <v/>
      </c>
      <c r="K41" s="590"/>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90" t="str">
        <f>IF(Main!O14="","",Main!O14)</f>
        <v/>
      </c>
      <c r="C42" s="590"/>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90" t="str">
        <f>IF(Main!O34="","",Main!O34)</f>
        <v/>
      </c>
      <c r="K42" s="590"/>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90" t="str">
        <f>IF(Main!O15="","",Main!O15)</f>
        <v/>
      </c>
      <c r="C43" s="590"/>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90" t="str">
        <f>IF(Main!O35="","",Main!O35)</f>
        <v/>
      </c>
      <c r="K43" s="590"/>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90" t="str">
        <f>IF(Main!O16="","",Main!O16)</f>
        <v/>
      </c>
      <c r="C44" s="590"/>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90" t="str">
        <f>IF(Main!O36="","",Main!O36)</f>
        <v/>
      </c>
      <c r="K44" s="590"/>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90" t="str">
        <f>IF(Main!O17="","",Main!O17)</f>
        <v/>
      </c>
      <c r="C45" s="590"/>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90" t="str">
        <f>IF(Main!O37="","",Main!O37)</f>
        <v/>
      </c>
      <c r="K45" s="590"/>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90" t="str">
        <f>IF(Main!O18="","",Main!O18)</f>
        <v/>
      </c>
      <c r="C46" s="590"/>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90" t="str">
        <f>IF(Main!O38="","",Main!O38)</f>
        <v/>
      </c>
      <c r="K46" s="590"/>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90" t="str">
        <f>IF(Main!O19="","",Main!O19)</f>
        <v/>
      </c>
      <c r="C47" s="590"/>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90" t="str">
        <f>IF(Main!O39="","",Main!O39)</f>
        <v/>
      </c>
      <c r="K47" s="590"/>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90" t="str">
        <f>IF(Main!O20="","",Main!O20)</f>
        <v/>
      </c>
      <c r="C48" s="590"/>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90" t="str">
        <f>IF(Main!O40="","",Main!O40)</f>
        <v/>
      </c>
      <c r="K48" s="590"/>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90" t="str">
        <f>IF(Main!O21="","",Main!O21)</f>
        <v/>
      </c>
      <c r="C49" s="590"/>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90" t="str">
        <f>IF(Main!O41="","",Main!O41)</f>
        <v/>
      </c>
      <c r="K49" s="590"/>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90" t="str">
        <f>IF(Main!O22="","",Main!O22)</f>
        <v/>
      </c>
      <c r="C50" s="590"/>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90" t="str">
        <f>IF(Main!O42="","",Main!O42)</f>
        <v/>
      </c>
      <c r="K50" s="590"/>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90" t="str">
        <f>IF(Main!O23="","",Main!O23)</f>
        <v/>
      </c>
      <c r="C51" s="590"/>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90" t="str">
        <f>IF(Main!O43="","",Main!O43)</f>
        <v/>
      </c>
      <c r="K51" s="590"/>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90" t="str">
        <f>IF(Main!O24="","",Main!O24)</f>
        <v/>
      </c>
      <c r="C52" s="590"/>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90" t="str">
        <f>IF(Main!O44="","",Main!O44)</f>
        <v/>
      </c>
      <c r="K52" s="590"/>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5" t="s">
        <v>312</v>
      </c>
      <c r="C53" s="595"/>
      <c r="D53" s="595"/>
      <c r="E53" s="595"/>
      <c r="F53" s="595"/>
      <c r="G53" s="595"/>
      <c r="H53" s="595"/>
      <c r="I53" s="595"/>
      <c r="J53" s="595"/>
      <c r="K53" s="595"/>
      <c r="L53" s="595"/>
      <c r="M53" s="595"/>
      <c r="N53" s="595"/>
    </row>
    <row r="54" spans="1:20" ht="18" customHeight="1" x14ac:dyDescent="0.25">
      <c r="A54" s="250" t="s">
        <v>313</v>
      </c>
      <c r="B54" s="604" t="str">
        <f>CONCATENATE(Main!G23,"  ",FurnaceSpecificComments)</f>
        <v xml:space="preserve">Found in tolerance.  No adjustment required.  </v>
      </c>
      <c r="C54" s="604"/>
      <c r="D54" s="604"/>
      <c r="E54" s="604"/>
      <c r="F54" s="604"/>
      <c r="G54" s="604"/>
      <c r="H54" s="604"/>
      <c r="I54" s="604"/>
      <c r="J54" s="604"/>
      <c r="K54" s="604"/>
      <c r="L54" s="604"/>
      <c r="M54" s="604"/>
      <c r="N54" s="604"/>
      <c r="O54" s="604"/>
    </row>
    <row r="55" spans="1:20" ht="18" customHeight="1" x14ac:dyDescent="0.25">
      <c r="A55" s="78"/>
      <c r="B55" s="604"/>
      <c r="C55" s="604"/>
      <c r="D55" s="604"/>
      <c r="E55" s="604"/>
      <c r="F55" s="604"/>
      <c r="G55" s="604"/>
      <c r="H55" s="604"/>
      <c r="I55" s="604"/>
      <c r="J55" s="604"/>
      <c r="K55" s="604"/>
      <c r="L55" s="604"/>
      <c r="M55" s="604"/>
      <c r="N55" s="604"/>
      <c r="O55" s="604"/>
    </row>
    <row r="56" spans="1:20" ht="18" customHeight="1" x14ac:dyDescent="0.25">
      <c r="A56" s="78"/>
      <c r="B56" s="604"/>
      <c r="C56" s="604"/>
      <c r="D56" s="604"/>
      <c r="E56" s="604"/>
      <c r="F56" s="604"/>
      <c r="G56" s="604"/>
      <c r="H56" s="604"/>
      <c r="I56" s="604"/>
      <c r="J56" s="604"/>
      <c r="K56" s="604"/>
      <c r="L56" s="604"/>
      <c r="M56" s="604"/>
      <c r="N56" s="604"/>
      <c r="O56" s="604"/>
    </row>
    <row r="57" spans="1:20" ht="18" customHeight="1" x14ac:dyDescent="0.25">
      <c r="A57" s="78"/>
      <c r="B57" s="604"/>
      <c r="C57" s="604"/>
      <c r="D57" s="604"/>
      <c r="E57" s="604"/>
      <c r="F57" s="604"/>
      <c r="G57" s="604"/>
      <c r="H57" s="604"/>
      <c r="I57" s="604"/>
      <c r="J57" s="604"/>
      <c r="K57" s="604"/>
      <c r="L57" s="604"/>
      <c r="M57" s="604"/>
      <c r="N57" s="604"/>
      <c r="O57" s="604"/>
    </row>
    <row r="58" spans="1:20" ht="18" customHeight="1" x14ac:dyDescent="0.25">
      <c r="A58" s="78"/>
      <c r="B58" s="604"/>
      <c r="C58" s="604"/>
      <c r="D58" s="604"/>
      <c r="E58" s="604"/>
      <c r="F58" s="604"/>
      <c r="G58" s="604"/>
      <c r="H58" s="604"/>
      <c r="I58" s="604"/>
      <c r="J58" s="604"/>
      <c r="K58" s="604"/>
      <c r="L58" s="604"/>
      <c r="M58" s="604"/>
      <c r="N58" s="604"/>
      <c r="O58" s="604"/>
    </row>
    <row r="59" spans="1:20" ht="18" customHeight="1" x14ac:dyDescent="0.25">
      <c r="A59" s="78"/>
      <c r="B59" s="604"/>
      <c r="C59" s="604"/>
      <c r="D59" s="604"/>
      <c r="E59" s="604"/>
      <c r="F59" s="604"/>
      <c r="G59" s="604"/>
      <c r="H59" s="604"/>
      <c r="I59" s="604"/>
      <c r="J59" s="604"/>
      <c r="K59" s="604"/>
      <c r="L59" s="604"/>
      <c r="M59" s="604"/>
      <c r="N59" s="604"/>
      <c r="O59" s="604"/>
    </row>
    <row r="60" spans="1:20" ht="18" customHeight="1" x14ac:dyDescent="0.2">
      <c r="A60" s="594" t="s">
        <v>321</v>
      </c>
      <c r="B60" s="594"/>
      <c r="C60" s="594"/>
      <c r="D60" s="594"/>
      <c r="E60" s="594"/>
      <c r="F60" s="594"/>
      <c r="G60" s="594"/>
      <c r="H60" s="594"/>
      <c r="I60" s="594"/>
      <c r="J60" s="594"/>
      <c r="K60" s="594"/>
      <c r="L60" s="594"/>
      <c r="M60" s="594"/>
      <c r="N60" s="594"/>
      <c r="O60" s="594"/>
    </row>
    <row r="61" spans="1:20" ht="18" customHeight="1" x14ac:dyDescent="0.2">
      <c r="A61" s="598" t="s">
        <v>314</v>
      </c>
      <c r="B61" s="598"/>
      <c r="C61" s="598"/>
      <c r="D61" s="598"/>
      <c r="E61" s="598"/>
      <c r="F61" s="611" t="s">
        <v>315</v>
      </c>
      <c r="G61" s="611"/>
      <c r="H61" s="611"/>
      <c r="I61" s="611" t="s">
        <v>316</v>
      </c>
      <c r="J61" s="611"/>
      <c r="K61" s="611" t="s">
        <v>317</v>
      </c>
      <c r="L61" s="611"/>
      <c r="M61" s="611" t="s">
        <v>318</v>
      </c>
      <c r="N61" s="611"/>
      <c r="O61" s="611"/>
      <c r="R61" s="39" t="s">
        <v>867</v>
      </c>
      <c r="T61" s="39" t="s">
        <v>868</v>
      </c>
    </row>
    <row r="62" spans="1:20" ht="18" customHeight="1" x14ac:dyDescent="0.2">
      <c r="A62" s="579" t="str">
        <f>IF(F62="","",CONCATENATE(T62," - ",R62))</f>
        <v/>
      </c>
      <c r="B62" s="580"/>
      <c r="C62" s="580"/>
      <c r="D62" s="580"/>
      <c r="E62" s="581"/>
      <c r="F62" s="579" t="str" cm="1">
        <f t="array" ref="F62">IFERROR(
  _xlfn.XLOOKUP(
    Main!D9,
    _xlfn._xlws.FILTER(AssetPool[asset_tag], AssetPool[root_category_name]="DAQ Modules"),
    _xlfn._xlws.FILTER(AssetPool[serial_number], AssetPool[root_category_name]="DAQ Modules")
  ),
  ""
)</f>
        <v/>
      </c>
      <c r="G62" s="580"/>
      <c r="H62" s="581"/>
      <c r="I62" s="609" t="str">
        <f>IF(F62="","",Main!D12)</f>
        <v/>
      </c>
      <c r="J62" s="610"/>
      <c r="K62" s="609" t="str">
        <f>IF(F62="","",Main!D13)</f>
        <v/>
      </c>
      <c r="L62" s="610"/>
      <c r="M62" s="573" t="str">
        <f>IF(F62="","",REPLACE(Main!D14,3,1,""))</f>
        <v/>
      </c>
      <c r="N62" s="574"/>
      <c r="O62" s="575"/>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0" t="str">
        <f t="shared" ref="A63:A68" si="0">IF(Q63="","",CONCATENATE(T63," - ",R63))</f>
        <v/>
      </c>
      <c r="B63" s="571"/>
      <c r="C63" s="571"/>
      <c r="D63" s="571"/>
      <c r="E63" s="572"/>
      <c r="F63" s="570" t="str">
        <f>IF(Main!D48,Main!D48,"")</f>
        <v/>
      </c>
      <c r="G63" s="571"/>
      <c r="H63" s="572"/>
      <c r="I63" s="587" t="str">
        <f>IF(Q63="","",Main!D49)</f>
        <v/>
      </c>
      <c r="J63" s="588"/>
      <c r="K63" s="587" t="str">
        <f>IF(Q63="","",Main!D50)</f>
        <v/>
      </c>
      <c r="L63" s="588"/>
      <c r="M63" s="570" t="str">
        <f>IF(Q63="","",Main!D54)</f>
        <v/>
      </c>
      <c r="N63" s="571"/>
      <c r="O63" s="572"/>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0" t="str">
        <f t="shared" si="0"/>
        <v/>
      </c>
      <c r="B64" s="571"/>
      <c r="C64" s="571"/>
      <c r="D64" s="571"/>
      <c r="E64" s="572"/>
      <c r="F64" s="570" t="str">
        <f>IF(Main!E48,Main!E48,"")</f>
        <v/>
      </c>
      <c r="G64" s="571"/>
      <c r="H64" s="572"/>
      <c r="I64" s="587" t="str">
        <f>IF(Q64="","",Main!E49)</f>
        <v/>
      </c>
      <c r="J64" s="588"/>
      <c r="K64" s="587" t="str">
        <f>IF(Q64="","",Main!E50)</f>
        <v/>
      </c>
      <c r="L64" s="588"/>
      <c r="M64" s="570" t="str">
        <f>IF(Q64="","",Main!E54)</f>
        <v/>
      </c>
      <c r="N64" s="571"/>
      <c r="O64" s="572"/>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0" t="str">
        <f t="shared" si="0"/>
        <v/>
      </c>
      <c r="B65" s="571"/>
      <c r="C65" s="571"/>
      <c r="D65" s="571"/>
      <c r="E65" s="572"/>
      <c r="F65" s="570" t="str">
        <f>IF(Main!F48,Main!F48,"")</f>
        <v/>
      </c>
      <c r="G65" s="571"/>
      <c r="H65" s="572"/>
      <c r="I65" s="587" t="str">
        <f>IF(Q65="","",Main!F49)</f>
        <v/>
      </c>
      <c r="J65" s="588"/>
      <c r="K65" s="587" t="str">
        <f>IF(Q65="","",Main!F50)</f>
        <v/>
      </c>
      <c r="L65" s="588"/>
      <c r="M65" s="570" t="str">
        <f>IF(Q65="","",Main!F54)</f>
        <v/>
      </c>
      <c r="N65" s="571"/>
      <c r="O65" s="572"/>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0" t="str">
        <f t="shared" si="0"/>
        <v/>
      </c>
      <c r="B66" s="571"/>
      <c r="C66" s="571"/>
      <c r="D66" s="571"/>
      <c r="E66" s="572"/>
      <c r="F66" s="570" t="str">
        <f>IF(Main!G48,Main!G48,"")</f>
        <v/>
      </c>
      <c r="G66" s="571"/>
      <c r="H66" s="572"/>
      <c r="I66" s="587" t="str">
        <f>IF(Q66="","",Main!G49)</f>
        <v/>
      </c>
      <c r="J66" s="588"/>
      <c r="K66" s="587" t="str">
        <f>IF(Q66="","",Main!G50)</f>
        <v/>
      </c>
      <c r="L66" s="588"/>
      <c r="M66" s="570" t="str">
        <f>IF(Q66="","",Main!G54)</f>
        <v/>
      </c>
      <c r="N66" s="571"/>
      <c r="O66" s="572"/>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0" t="str">
        <f t="shared" si="0"/>
        <v/>
      </c>
      <c r="B67" s="571"/>
      <c r="C67" s="571"/>
      <c r="D67" s="571"/>
      <c r="E67" s="572"/>
      <c r="F67" s="570" t="str">
        <f>IF(Main!H48,Main!H48,"")</f>
        <v/>
      </c>
      <c r="G67" s="571"/>
      <c r="H67" s="572"/>
      <c r="I67" s="587" t="str">
        <f>IF(Q67="","",Main!H49)</f>
        <v/>
      </c>
      <c r="J67" s="588"/>
      <c r="K67" s="587" t="str">
        <f>IF(Q67="","",Main!H50)</f>
        <v/>
      </c>
      <c r="L67" s="588"/>
      <c r="M67" s="570" t="str">
        <f>IF(Q67="","",Main!H54)</f>
        <v/>
      </c>
      <c r="N67" s="571"/>
      <c r="O67" s="572"/>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0" t="str">
        <f t="shared" si="0"/>
        <v/>
      </c>
      <c r="B68" s="571"/>
      <c r="C68" s="571"/>
      <c r="D68" s="571"/>
      <c r="E68" s="572"/>
      <c r="F68" s="570" t="str">
        <f>IF(Main!I48,Main!I48,"")</f>
        <v/>
      </c>
      <c r="G68" s="571"/>
      <c r="H68" s="572"/>
      <c r="I68" s="587" t="str">
        <f>IF(Q68="","",Main!I49)</f>
        <v/>
      </c>
      <c r="J68" s="588"/>
      <c r="K68" s="587" t="str">
        <f>IF(Q68="","",Main!I50)</f>
        <v/>
      </c>
      <c r="L68" s="588"/>
      <c r="M68" s="570" t="str">
        <f>IF(Q68="","",Main!I54)</f>
        <v/>
      </c>
      <c r="N68" s="571"/>
      <c r="O68" s="572"/>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76" t="str">
        <f>IF(T69="","",CONCATENATE(T69," - ",R69))</f>
        <v/>
      </c>
      <c r="B69" s="577"/>
      <c r="C69" s="577"/>
      <c r="D69" s="577"/>
      <c r="E69" s="578"/>
      <c r="F69" s="582" t="str">
        <f>IF(W69,W69,"")</f>
        <v/>
      </c>
      <c r="G69" s="583"/>
      <c r="H69" s="584"/>
      <c r="I69" s="585"/>
      <c r="J69" s="586"/>
      <c r="K69" s="585"/>
      <c r="L69" s="586"/>
      <c r="M69" s="576"/>
      <c r="N69" s="577"/>
      <c r="O69" s="578"/>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69" t="s">
        <v>373</v>
      </c>
      <c r="B71" s="569"/>
      <c r="C71" s="569"/>
      <c r="D71" s="569"/>
      <c r="E71" s="569"/>
      <c r="F71" s="569"/>
      <c r="G71" s="569"/>
      <c r="H71" s="569"/>
      <c r="I71" s="569"/>
      <c r="J71" s="569"/>
      <c r="K71" s="569"/>
      <c r="L71" s="569"/>
      <c r="M71" s="569"/>
      <c r="N71" s="569"/>
      <c r="O71" s="569"/>
    </row>
    <row r="72" spans="1:20" ht="18" customHeight="1" x14ac:dyDescent="0.2">
      <c r="A72" s="569"/>
      <c r="B72" s="569"/>
      <c r="C72" s="569"/>
      <c r="D72" s="569"/>
      <c r="E72" s="569"/>
      <c r="F72" s="569"/>
      <c r="G72" s="569"/>
      <c r="H72" s="569"/>
      <c r="I72" s="569"/>
      <c r="J72" s="569"/>
      <c r="K72" s="569"/>
      <c r="L72" s="569"/>
      <c r="M72" s="569"/>
      <c r="N72" s="569"/>
      <c r="O72" s="569"/>
    </row>
    <row r="73" spans="1:20" ht="18" customHeight="1" x14ac:dyDescent="0.2">
      <c r="A73" s="569"/>
      <c r="B73" s="569"/>
      <c r="C73" s="569"/>
      <c r="D73" s="569"/>
      <c r="E73" s="569"/>
      <c r="F73" s="569"/>
      <c r="G73" s="569"/>
      <c r="H73" s="569"/>
      <c r="I73" s="569"/>
      <c r="J73" s="569"/>
      <c r="K73" s="569"/>
      <c r="L73" s="569"/>
      <c r="M73" s="569"/>
      <c r="N73" s="569"/>
      <c r="O73" s="569"/>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Iqa/vVHV/HDnK3WEoZ5WAa5t4Kf2e1qdEmJ6CfertnPi5KgGjxkgxl7nwm4/bsh3vg3axCRzaiMgS7NAHwIfAQ==" saltValue="kB7PRNM7CwgMkb/URQdO+A=="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935</v>
      </c>
      <c r="R1" t="s">
        <v>936</v>
      </c>
      <c r="S1" t="s">
        <v>937</v>
      </c>
      <c r="T1" t="s">
        <v>938</v>
      </c>
      <c r="U1" t="s">
        <v>939</v>
      </c>
      <c r="V1" t="s">
        <v>940</v>
      </c>
      <c r="W1" t="s">
        <v>941</v>
      </c>
      <c r="X1" t="s">
        <v>942</v>
      </c>
      <c r="Y1" t="s">
        <v>943</v>
      </c>
      <c r="Z1" t="s">
        <v>944</v>
      </c>
      <c r="AA1" t="s">
        <v>945</v>
      </c>
      <c r="AB1" t="s">
        <v>946</v>
      </c>
      <c r="AC1" t="s">
        <v>947</v>
      </c>
      <c r="AD1" t="s">
        <v>948</v>
      </c>
      <c r="AE1" t="s">
        <v>949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0</v>
      </c>
      <c r="D1" s="114"/>
      <c r="E1" s="114">
        <f>B1-D2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0</v>
      </c>
      <c r="C2" s="114">
        <f>$B$1+$B$2</f>
        <v>0</v>
      </c>
      <c r="D2" s="114">
        <f>(Main!$D$19)/2</f>
        <v>0</v>
      </c>
      <c r="E2" s="114">
        <f>B1+D2</f>
        <v>0</v>
      </c>
      <c r="F2" s="121"/>
      <c r="G2" s="121"/>
      <c r="H2" s="121"/>
      <c r="I2" s="139" t="s">
        <v>227</v>
      </c>
      <c r="J2" s="121"/>
      <c r="K2" s="121"/>
      <c r="L2" s="121"/>
      <c r="M2" s="616" t="s">
        <v>103</v>
      </c>
      <c r="N2" s="616"/>
      <c r="O2" s="616"/>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17" t="s">
        <v>104</v>
      </c>
      <c r="N3" s="618"/>
      <c r="O3" s="619"/>
      <c r="P3" s="106"/>
      <c r="Q3" s="106"/>
    </row>
    <row r="4" spans="1:18" ht="15" x14ac:dyDescent="0.25">
      <c r="B4" s="116" t="s">
        <v>25</v>
      </c>
      <c r="C4" s="62"/>
      <c r="D4" s="39"/>
      <c r="E4" s="39"/>
      <c r="F4" s="39"/>
      <c r="G4" s="39"/>
      <c r="H4" s="39"/>
      <c r="I4" s="39"/>
      <c r="J4" s="39"/>
      <c r="K4" s="39"/>
      <c r="L4" s="39"/>
      <c r="M4" s="620" t="s">
        <v>145</v>
      </c>
      <c r="N4" s="621"/>
      <c r="O4" s="622"/>
      <c r="P4" s="88"/>
    </row>
    <row r="5" spans="1:18" x14ac:dyDescent="0.2">
      <c r="B5" s="117" t="s">
        <v>26</v>
      </c>
      <c r="C5" s="56">
        <f>Main!D3</f>
        <v>0</v>
      </c>
      <c r="D5" s="39"/>
      <c r="E5" s="39"/>
      <c r="F5" s="39"/>
      <c r="G5" s="39"/>
      <c r="H5" s="39"/>
      <c r="I5" s="54" t="s">
        <v>4</v>
      </c>
      <c r="J5" s="39" t="e">
        <f>Main!D5</f>
        <v>#N/A</v>
      </c>
      <c r="L5" s="39"/>
      <c r="M5" s="623" t="s">
        <v>144</v>
      </c>
      <c r="N5" s="624"/>
      <c r="O5" s="625"/>
      <c r="P5" s="132"/>
    </row>
    <row r="6" spans="1:18" ht="13.5" thickBot="1" x14ac:dyDescent="0.25">
      <c r="B6" s="117" t="s">
        <v>3</v>
      </c>
      <c r="C6" s="57" t="e">
        <f>Main!D6</f>
        <v>#N/A</v>
      </c>
      <c r="D6" s="39"/>
      <c r="E6" s="39"/>
      <c r="F6" s="39"/>
      <c r="G6" s="39"/>
      <c r="H6" s="39"/>
      <c r="I6" s="54" t="s">
        <v>5</v>
      </c>
      <c r="J6" s="53">
        <f>Main!D16</f>
        <v>0</v>
      </c>
      <c r="L6" s="39"/>
      <c r="M6" s="626" t="s">
        <v>143</v>
      </c>
      <c r="N6" s="627"/>
      <c r="O6" s="628"/>
      <c r="P6" s="89"/>
    </row>
    <row r="7" spans="1:18" ht="13.5" thickBot="1" x14ac:dyDescent="0.25">
      <c r="B7" s="117" t="s">
        <v>27</v>
      </c>
      <c r="C7" s="57" t="str">
        <f>Main!D7</f>
        <v>Jeff Hall</v>
      </c>
      <c r="D7" s="39"/>
      <c r="E7" s="39"/>
      <c r="F7" s="39"/>
      <c r="G7" s="39"/>
      <c r="H7" s="39"/>
      <c r="I7" s="59" t="s">
        <v>169</v>
      </c>
      <c r="J7" s="614">
        <f>Main!$D$30</f>
        <v>0</v>
      </c>
      <c r="K7" s="615"/>
      <c r="L7" s="103"/>
      <c r="M7" s="613" t="s">
        <v>142</v>
      </c>
      <c r="N7" s="613"/>
      <c r="O7" s="613"/>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1" customFormat="1" x14ac:dyDescent="0.2">
      <c r="A12" s="450"/>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f1nI/ABoe1uXSGZ0VU7t3tg8hZcsBxT0AQI3HoJs3dTgkHgxw+VRcxmW6zBm6JvbxRZYOk5lBm6hc9SvtnXZLg==" saltValue="XtpxqpemRKfkqk/0ctpgs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4" priority="1">
      <formula>AND(ROW() &gt;= $Q$1, ROW() &lt;= $Q$2)</formula>
    </cfRule>
    <cfRule type="cellIs" dxfId="73" priority="2" stopIfTrue="1" operator="between">
      <formula>$E$1</formula>
      <formula>$E$2</formula>
    </cfRule>
    <cfRule type="cellIs" dxfId="72" priority="3" stopIfTrue="1" operator="greaterThan">
      <formula>$C$2</formula>
    </cfRule>
    <cfRule type="cellIs" dxfId="71" priority="4" stopIfTrue="1" operator="lessThan">
      <formula>$C$1</formula>
    </cfRule>
    <cfRule type="cellIs" dxfId="7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0</v>
      </c>
      <c r="D1" s="114"/>
      <c r="E1" s="120">
        <f>B1-D2</f>
        <v>0</v>
      </c>
      <c r="F1" s="34" t="s">
        <v>75</v>
      </c>
      <c r="P1" s="306" t="str">
        <f>IF(Main!$E$30="","A10",ADDRESS(13+(MATCH(Main!$E$30,Data_Sheet!$A$14:$A$903,0)),1,4))</f>
        <v>A10</v>
      </c>
      <c r="Q1" s="306">
        <f>VALUE(MID(P1, 2, LEN(P1)-1))</f>
        <v>10</v>
      </c>
    </row>
    <row r="2" spans="1:17" x14ac:dyDescent="0.2">
      <c r="B2" s="120">
        <f>Main!$D$19</f>
        <v>0</v>
      </c>
      <c r="C2" s="114">
        <f>$B$1+$B$2</f>
        <v>0</v>
      </c>
      <c r="D2" s="114">
        <f>(Main!$D$19)/2</f>
        <v>0</v>
      </c>
      <c r="E2" s="120">
        <f>B1+D2</f>
        <v>0</v>
      </c>
      <c r="I2" s="74" t="s">
        <v>227</v>
      </c>
      <c r="M2" s="629" t="s">
        <v>103</v>
      </c>
      <c r="N2" s="629"/>
      <c r="O2" s="629"/>
      <c r="P2" s="306" t="str">
        <f>IF(Main!$E$30="","A10",ADDRESS(13+Standards_Info!W2+(MATCH(Main!$E$30,Data_Sheet!$A$14:$A$903,0)),1,4))</f>
        <v>A10</v>
      </c>
      <c r="Q2" s="306">
        <f>VALUE(MID(P2, 2, LEN(P2)-1))</f>
        <v>10</v>
      </c>
    </row>
    <row r="3" spans="1:17" ht="15" x14ac:dyDescent="0.25">
      <c r="B3" s="129" t="s">
        <v>0</v>
      </c>
      <c r="C3" s="3"/>
      <c r="M3" s="617" t="s">
        <v>104</v>
      </c>
      <c r="N3" s="618"/>
      <c r="O3" s="619"/>
      <c r="P3" s="42"/>
    </row>
    <row r="4" spans="1:17" ht="15" x14ac:dyDescent="0.25">
      <c r="B4" s="116" t="s">
        <v>25</v>
      </c>
      <c r="C4" s="4"/>
      <c r="M4" s="620" t="s">
        <v>145</v>
      </c>
      <c r="N4" s="621"/>
      <c r="O4" s="622"/>
    </row>
    <row r="5" spans="1:17" x14ac:dyDescent="0.2">
      <c r="B5" s="117" t="s">
        <v>26</v>
      </c>
      <c r="C5" s="56">
        <f>Main!D3</f>
        <v>0</v>
      </c>
      <c r="D5" s="39"/>
      <c r="E5" s="39"/>
      <c r="F5" s="39"/>
      <c r="G5" s="39"/>
      <c r="H5" s="39"/>
      <c r="I5" s="54" t="s">
        <v>4</v>
      </c>
      <c r="J5" t="e">
        <f>Main!D5</f>
        <v>#N/A</v>
      </c>
      <c r="M5" s="630" t="s">
        <v>144</v>
      </c>
      <c r="N5" s="631"/>
      <c r="O5" s="632"/>
    </row>
    <row r="6" spans="1:17" ht="13.5" thickBot="1" x14ac:dyDescent="0.25">
      <c r="B6" s="117" t="s">
        <v>3</v>
      </c>
      <c r="C6" s="57" t="e">
        <f>Main!D6</f>
        <v>#N/A</v>
      </c>
      <c r="D6" s="39"/>
      <c r="E6" s="39"/>
      <c r="F6" s="39"/>
      <c r="G6" s="39"/>
      <c r="H6" s="39"/>
      <c r="I6" s="54" t="s">
        <v>5</v>
      </c>
      <c r="J6" s="41">
        <f>Main!D16</f>
        <v>0</v>
      </c>
      <c r="M6" s="626" t="s">
        <v>143</v>
      </c>
      <c r="N6" s="627"/>
      <c r="O6" s="628"/>
    </row>
    <row r="7" spans="1:17" ht="13.5" thickBot="1" x14ac:dyDescent="0.25">
      <c r="B7" s="117" t="s">
        <v>27</v>
      </c>
      <c r="C7" s="57" t="str">
        <f>Main!D7</f>
        <v>Jeff Hall</v>
      </c>
      <c r="D7" s="39"/>
      <c r="E7" s="39"/>
      <c r="F7" s="39"/>
      <c r="G7" s="39"/>
      <c r="H7" s="39"/>
      <c r="I7" s="59" t="s">
        <v>169</v>
      </c>
      <c r="J7" s="614">
        <f>Main!$D$30</f>
        <v>0</v>
      </c>
      <c r="K7" s="615"/>
      <c r="L7" s="103"/>
      <c r="M7" s="613" t="s">
        <v>142</v>
      </c>
      <c r="N7" s="613"/>
      <c r="O7" s="613"/>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3" customFormat="1" x14ac:dyDescent="0.2">
      <c r="A12" s="452"/>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uJSk57O5e2pHt2FUTmOJFnpngr/jwFXtt+iM7gvrgvlX6VgXLhq54n63j6MtD/F8i7yLY45ePXEWZrOQzweEtA==" saltValue="ZMWROv2sO63uun3u0cstu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9" priority="2" stopIfTrue="1" operator="between">
      <formula>$E$1</formula>
      <formula>$E$2</formula>
    </cfRule>
    <cfRule type="cellIs" dxfId="68" priority="3" stopIfTrue="1" operator="greaterThan">
      <formula>$C$2</formula>
    </cfRule>
    <cfRule type="cellIs" dxfId="67" priority="4" stopIfTrue="1" operator="lessThan">
      <formula>$C$1</formula>
    </cfRule>
    <cfRule type="cellIs" dxfId="66" priority="5" stopIfTrue="1" operator="greaterThanOrEqual">
      <formula>$C$1</formula>
    </cfRule>
  </conditionalFormatting>
  <conditionalFormatting sqref="B14:P903">
    <cfRule type="expression" dxfId="6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0</v>
      </c>
      <c r="D1" s="114"/>
      <c r="E1" s="120">
        <f>B1-D2</f>
        <v>0</v>
      </c>
      <c r="F1" s="34" t="s">
        <v>74</v>
      </c>
      <c r="P1" s="306" t="str">
        <f>IF(Main!$E$30="","A10",ADDRESS(13+(MATCH(Main!$E$30,Data_Sheet!$A$14:$A$903,0)),1,4))</f>
        <v>A10</v>
      </c>
      <c r="Q1" s="306">
        <f>VALUE(MID(P1, 2, LEN(P1)-1))</f>
        <v>10</v>
      </c>
    </row>
    <row r="2" spans="1:17" x14ac:dyDescent="0.2">
      <c r="A2" s="113"/>
      <c r="B2" s="120">
        <f>Main!$D$19</f>
        <v>0</v>
      </c>
      <c r="C2" s="114">
        <f>$B$1+$B$2</f>
        <v>0</v>
      </c>
      <c r="D2" s="114">
        <f>(Main!$D$19)/2</f>
        <v>0</v>
      </c>
      <c r="E2" s="120">
        <f>B1+D2</f>
        <v>0</v>
      </c>
      <c r="F2" s="106"/>
      <c r="I2" s="74" t="s">
        <v>227</v>
      </c>
      <c r="M2" s="629" t="s">
        <v>103</v>
      </c>
      <c r="N2" s="629"/>
      <c r="O2" s="629"/>
      <c r="P2" s="306" t="str">
        <f>IF(Main!$E$30="","A10",ADDRESS(13+Standards_Info!W2+(MATCH(Main!$E$30,Data_Sheet!$A$14:$A$903,0)),1,4))</f>
        <v>A10</v>
      </c>
      <c r="Q2" s="306">
        <f>VALUE(MID(P2, 2, LEN(P2)-1))</f>
        <v>10</v>
      </c>
    </row>
    <row r="3" spans="1:17" ht="15" x14ac:dyDescent="0.25">
      <c r="B3" s="129" t="s">
        <v>0</v>
      </c>
      <c r="C3" s="3"/>
      <c r="M3" s="617" t="s">
        <v>104</v>
      </c>
      <c r="N3" s="618"/>
      <c r="O3" s="619"/>
      <c r="P3" s="42"/>
    </row>
    <row r="4" spans="1:17" ht="15" x14ac:dyDescent="0.25">
      <c r="B4" s="116" t="s">
        <v>25</v>
      </c>
      <c r="C4" s="4"/>
      <c r="M4" s="620" t="s">
        <v>145</v>
      </c>
      <c r="N4" s="621"/>
      <c r="O4" s="622"/>
    </row>
    <row r="5" spans="1:17" x14ac:dyDescent="0.2">
      <c r="B5" s="117" t="s">
        <v>26</v>
      </c>
      <c r="C5" s="56">
        <f>Main!D3</f>
        <v>0</v>
      </c>
      <c r="D5" s="39"/>
      <c r="E5" s="39"/>
      <c r="F5" s="39"/>
      <c r="G5" s="39"/>
      <c r="H5" s="39"/>
      <c r="I5" s="54" t="s">
        <v>4</v>
      </c>
      <c r="J5" s="39" t="e">
        <f>Main!D5</f>
        <v>#N/A</v>
      </c>
      <c r="L5" s="39"/>
      <c r="M5" s="623" t="s">
        <v>144</v>
      </c>
      <c r="N5" s="624"/>
      <c r="O5" s="625"/>
    </row>
    <row r="6" spans="1:17" ht="13.5" thickBot="1" x14ac:dyDescent="0.25">
      <c r="B6" s="117" t="s">
        <v>3</v>
      </c>
      <c r="C6" s="57" t="e">
        <f>Main!D6</f>
        <v>#N/A</v>
      </c>
      <c r="D6" s="39"/>
      <c r="E6" s="39"/>
      <c r="F6" s="39"/>
      <c r="G6" s="39"/>
      <c r="H6" s="39"/>
      <c r="I6" s="54" t="s">
        <v>5</v>
      </c>
      <c r="J6" s="53">
        <f>Main!D16</f>
        <v>0</v>
      </c>
      <c r="L6" s="39"/>
      <c r="M6" s="626" t="s">
        <v>143</v>
      </c>
      <c r="N6" s="627"/>
      <c r="O6" s="628"/>
    </row>
    <row r="7" spans="1:17" ht="13.5" thickBot="1" x14ac:dyDescent="0.25">
      <c r="B7" s="117" t="s">
        <v>27</v>
      </c>
      <c r="C7" s="57" t="str">
        <f>Main!D7</f>
        <v>Jeff Hall</v>
      </c>
      <c r="D7" s="39"/>
      <c r="E7" s="39"/>
      <c r="F7" s="39"/>
      <c r="G7" s="39"/>
      <c r="H7" s="39"/>
      <c r="I7" s="59" t="s">
        <v>169</v>
      </c>
      <c r="J7" s="614">
        <f>Main!$D$30</f>
        <v>0</v>
      </c>
      <c r="K7" s="615"/>
      <c r="L7" s="103"/>
      <c r="M7" s="613" t="s">
        <v>142</v>
      </c>
      <c r="N7" s="613"/>
      <c r="O7" s="613"/>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3" customFormat="1" x14ac:dyDescent="0.2">
      <c r="A12" s="452"/>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Kz+qOo8wiA3aTfFWStH2u8yTsVC0UlSE9yXAL70sea7K2nyGk0h3ompCizl+DLwSGUhsGyFw+tdNq+8yBOThEw==" saltValue="Yvts9fYL5BBscQdbqC8Sx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6" stopIfTrue="1" operator="greaterThanOrEqual">
      <formula>$C$1</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IF(ISBLANK(Main!G95),"",Main!G95)</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406</v>
      </c>
      <c r="U11" s="290" t="s">
        <v>407</v>
      </c>
      <c r="V11" s="290" t="s">
        <v>408</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1" t="str">
        <f>Main!A37</f>
        <v/>
      </c>
      <c r="E19" s="15" t="str">
        <f>IF(ISNUMBER(SEARCH(".",E10)),".","")</f>
        <v/>
      </c>
      <c r="F19" s="15"/>
      <c r="G19" s="482" t="str">
        <f>Main!A38</f>
        <v/>
      </c>
      <c r="H19" s="13" t="str" cm="1">
        <f t="array" ref="H19">IF(OR(S16:S23=1),"CHECK READINGS!!!","")</f>
        <v/>
      </c>
      <c r="I19" s="15"/>
      <c r="J19" s="482" t="str">
        <f>Main!A39</f>
        <v/>
      </c>
      <c r="K19" s="15" t="str">
        <f>IF(ISNUMBER(SEARCH(".",K10)),".","")</f>
        <v/>
      </c>
      <c r="L19" s="15"/>
      <c r="M19" s="482"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3" t="str">
        <f>Main!A41</f>
        <v/>
      </c>
      <c r="E31" s="22"/>
      <c r="F31" s="21"/>
      <c r="G31" s="483" t="str">
        <f>Main!A42</f>
        <v/>
      </c>
      <c r="H31" s="22"/>
      <c r="I31" s="21"/>
      <c r="J31" s="483" t="str">
        <f>Main!A43</f>
        <v/>
      </c>
      <c r="K31" s="22"/>
      <c r="L31" s="21"/>
      <c r="M31" s="483" t="str">
        <f>Main!A44</f>
        <v/>
      </c>
      <c r="N31" s="22"/>
    </row>
    <row r="32" spans="1:22" x14ac:dyDescent="0.25">
      <c r="C32" s="23" t="s">
        <v>16</v>
      </c>
      <c r="D32" s="633" t="s">
        <v>17</v>
      </c>
      <c r="E32" s="633"/>
      <c r="F32" s="633"/>
      <c r="G32" s="633"/>
      <c r="H32" s="633"/>
      <c r="I32" s="633"/>
      <c r="J32" s="633"/>
      <c r="K32" s="633"/>
      <c r="L32" s="633"/>
      <c r="M32" s="633"/>
    </row>
    <row r="33" spans="1:14" ht="15" customHeight="1" x14ac:dyDescent="0.25">
      <c r="D33" s="634"/>
      <c r="E33" s="634"/>
      <c r="F33" s="634"/>
      <c r="G33" s="634"/>
      <c r="H33" s="634"/>
      <c r="I33" s="634"/>
      <c r="J33" s="634"/>
      <c r="K33" s="634"/>
      <c r="L33" s="634"/>
      <c r="M33" s="634"/>
      <c r="N33" s="24"/>
    </row>
    <row r="34" spans="1:14" x14ac:dyDescent="0.25">
      <c r="A34" s="19"/>
      <c r="B34" s="19"/>
      <c r="D34" s="634"/>
      <c r="E34" s="634"/>
      <c r="F34" s="634"/>
      <c r="G34" s="634"/>
      <c r="H34" s="634"/>
      <c r="I34" s="634"/>
      <c r="J34" s="634"/>
      <c r="K34" s="634"/>
      <c r="L34" s="634"/>
      <c r="M34" s="634"/>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5" t="s">
        <v>20</v>
      </c>
      <c r="D37" s="635"/>
      <c r="E37" s="635"/>
      <c r="F37" s="635"/>
      <c r="G37" s="635"/>
      <c r="H37" s="635"/>
      <c r="I37" s="635"/>
      <c r="J37" s="635"/>
      <c r="K37" s="635"/>
      <c r="L37" s="635"/>
      <c r="M37" s="635"/>
    </row>
    <row r="38" spans="1:14" x14ac:dyDescent="0.25">
      <c r="A38" s="19"/>
      <c r="B38" s="19"/>
      <c r="C38" s="635"/>
      <c r="D38" s="635"/>
      <c r="E38" s="635"/>
      <c r="F38" s="635"/>
      <c r="G38" s="635"/>
      <c r="H38" s="635"/>
      <c r="I38" s="635"/>
      <c r="J38" s="635"/>
      <c r="K38" s="635"/>
      <c r="L38" s="635"/>
      <c r="M38" s="635"/>
    </row>
    <row r="39" spans="1:14" x14ac:dyDescent="0.25">
      <c r="A39" s="19"/>
      <c r="B39" s="19"/>
      <c r="C39" s="635"/>
      <c r="D39" s="635"/>
      <c r="E39" s="635"/>
      <c r="F39" s="635"/>
      <c r="G39" s="635"/>
      <c r="H39" s="635"/>
      <c r="I39" s="635"/>
      <c r="J39" s="635"/>
      <c r="K39" s="635"/>
      <c r="L39" s="635"/>
      <c r="M39" s="635"/>
    </row>
    <row r="40" spans="1:14" x14ac:dyDescent="0.25">
      <c r="A40" s="19"/>
      <c r="B40" s="19"/>
      <c r="C40" s="635"/>
      <c r="D40" s="635"/>
      <c r="E40" s="635"/>
      <c r="F40" s="635"/>
      <c r="G40" s="635"/>
      <c r="H40" s="635"/>
      <c r="I40" s="635"/>
      <c r="J40" s="635"/>
      <c r="K40" s="635"/>
      <c r="L40" s="635"/>
      <c r="M40" s="635"/>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i7SRv5lWiN9B3PBjp+oVC9grXiPYvyb9y0NCY5qCk35/bH4MivaGYWil4UpMOCaaJrmiAv5QfQwpIjLwB7Hdfw==" saltValue="5DMOrkZSGFRRUJ+DdD6wzw==" spinCount="100000" sheet="1" objects="1" scenarios="1" selectLockedCells="1" autoFilter="0"/>
  <mergeCells count="2">
    <mergeCell ref="D32:M34"/>
    <mergeCell ref="C37:M40"/>
  </mergeCells>
  <phoneticPr fontId="20" type="noConversion"/>
  <conditionalFormatting sqref="C45">
    <cfRule type="expression" dxfId="59" priority="65">
      <formula>ISNUMBER(SEARCH(".",C45))</formula>
    </cfRule>
    <cfRule type="expression" dxfId="58" priority="66">
      <formula>ISERROR(SEARCH(".",C45))</formula>
    </cfRule>
  </conditionalFormatting>
  <conditionalFormatting sqref="D14:D18">
    <cfRule type="expression" dxfId="57" priority="63">
      <formula>ISERROR(SEARCH(1,$D$19))</formula>
    </cfRule>
    <cfRule type="expression" dxfId="56" priority="64">
      <formula>ISNUMBER(SEARCH(1,$D$19))</formula>
    </cfRule>
  </conditionalFormatting>
  <conditionalFormatting sqref="G14:G18">
    <cfRule type="expression" dxfId="55" priority="61">
      <formula>ISERROR(SEARCH(1,$G$19))</formula>
    </cfRule>
    <cfRule type="expression" dxfId="54" priority="62">
      <formula>ISNUMBER(SEARCH(1,$G$19))</formula>
    </cfRule>
  </conditionalFormatting>
  <conditionalFormatting sqref="J14:J18">
    <cfRule type="expression" dxfId="53" priority="57">
      <formula>ISERROR(SEARCH(1,$J$19))</formula>
    </cfRule>
    <cfRule type="expression" dxfId="52" priority="58">
      <formula>ISNUMBER(SEARCH(1,$J$19))</formula>
    </cfRule>
  </conditionalFormatting>
  <conditionalFormatting sqref="M14:M18">
    <cfRule type="expression" dxfId="51" priority="53">
      <formula>ISERROR(SEARCH(1,$M$19))</formula>
    </cfRule>
    <cfRule type="expression" dxfId="50" priority="54">
      <formula>ISNUMBER(SEARCH(1,$M$19))</formula>
    </cfRule>
  </conditionalFormatting>
  <conditionalFormatting sqref="G26:G30">
    <cfRule type="expression" dxfId="49" priority="45">
      <formula>ISERROR(SEARCH(1,$G$31))</formula>
    </cfRule>
    <cfRule type="expression" dxfId="48" priority="46">
      <formula>ISNUMBER(SEARCH(1,$G$31))</formula>
    </cfRule>
  </conditionalFormatting>
  <conditionalFormatting sqref="J26:J30">
    <cfRule type="expression" dxfId="47" priority="41">
      <formula>ISERROR(SEARCH(1,$J$31))</formula>
    </cfRule>
    <cfRule type="expression" dxfId="46" priority="42">
      <formula>ISNUMBER(SEARCH(1,$J$31))</formula>
    </cfRule>
  </conditionalFormatting>
  <conditionalFormatting sqref="M26:M30">
    <cfRule type="expression" dxfId="45" priority="37">
      <formula>ISERROR(SEARCH(1,$M$31))</formula>
    </cfRule>
    <cfRule type="expression" dxfId="44" priority="38">
      <formula>ISNUMBER(SEARCH(1,$M$31))</formula>
    </cfRule>
  </conditionalFormatting>
  <conditionalFormatting sqref="D26:D30">
    <cfRule type="expression" dxfId="43" priority="33">
      <formula>ISERROR(SEARCH(1,$D$19))</formula>
    </cfRule>
    <cfRule type="expression" dxfId="42" priority="34">
      <formula>ISNUMBER(SEARCH(1,$D$19))</formula>
    </cfRule>
  </conditionalFormatting>
  <conditionalFormatting sqref="D11:D13">
    <cfRule type="expression" dxfId="41" priority="31">
      <formula>ISERROR(SEARCH(1,$G$19))</formula>
    </cfRule>
    <cfRule type="expression" dxfId="40" priority="32">
      <formula>ISNUMBER(SEARCH(1,$G$19))</formula>
    </cfRule>
  </conditionalFormatting>
  <conditionalFormatting sqref="D10">
    <cfRule type="expression" dxfId="39" priority="29">
      <formula>ISERROR(SEARCH(1,$G$19))</formula>
    </cfRule>
    <cfRule type="expression" dxfId="38" priority="30">
      <formula>ISNUMBER(SEARCH(1,$G$19))</formula>
    </cfRule>
  </conditionalFormatting>
  <conditionalFormatting sqref="G11:G13">
    <cfRule type="expression" dxfId="37" priority="27">
      <formula>ISERROR(SEARCH(1,$G$19))</formula>
    </cfRule>
    <cfRule type="expression" dxfId="36" priority="28">
      <formula>ISNUMBER(SEARCH(1,$G$19))</formula>
    </cfRule>
  </conditionalFormatting>
  <conditionalFormatting sqref="G10">
    <cfRule type="expression" dxfId="35" priority="25">
      <formula>ISERROR(SEARCH(1,$G$19))</formula>
    </cfRule>
    <cfRule type="expression" dxfId="34" priority="26">
      <formula>ISNUMBER(SEARCH(1,$G$19))</formula>
    </cfRule>
  </conditionalFormatting>
  <conditionalFormatting sqref="J11:J13">
    <cfRule type="expression" dxfId="33" priority="23">
      <formula>ISERROR(SEARCH(1,$G$19))</formula>
    </cfRule>
    <cfRule type="expression" dxfId="32" priority="24">
      <formula>ISNUMBER(SEARCH(1,$G$19))</formula>
    </cfRule>
  </conditionalFormatting>
  <conditionalFormatting sqref="J10">
    <cfRule type="expression" dxfId="31" priority="21">
      <formula>ISERROR(SEARCH(1,$G$19))</formula>
    </cfRule>
    <cfRule type="expression" dxfId="30" priority="22">
      <formula>ISNUMBER(SEARCH(1,$G$19))</formula>
    </cfRule>
  </conditionalFormatting>
  <conditionalFormatting sqref="M11:M13">
    <cfRule type="expression" dxfId="29" priority="19">
      <formula>ISERROR(SEARCH(1,$G$19))</formula>
    </cfRule>
    <cfRule type="expression" dxfId="28" priority="20">
      <formula>ISNUMBER(SEARCH(1,$G$19))</formula>
    </cfRule>
  </conditionalFormatting>
  <conditionalFormatting sqref="M10">
    <cfRule type="expression" dxfId="27" priority="17">
      <formula>ISERROR(SEARCH(1,$G$19))</formula>
    </cfRule>
    <cfRule type="expression" dxfId="26" priority="18">
      <formula>ISNUMBER(SEARCH(1,$G$19))</formula>
    </cfRule>
  </conditionalFormatting>
  <conditionalFormatting sqref="D23:D25">
    <cfRule type="expression" dxfId="25" priority="15">
      <formula>ISERROR(SEARCH(1,$G$19))</formula>
    </cfRule>
    <cfRule type="expression" dxfId="24" priority="16">
      <formula>ISNUMBER(SEARCH(1,$G$19))</formula>
    </cfRule>
  </conditionalFormatting>
  <conditionalFormatting sqref="D22">
    <cfRule type="expression" dxfId="23" priority="13">
      <formula>ISERROR(SEARCH(1,$G$19))</formula>
    </cfRule>
    <cfRule type="expression" dxfId="22" priority="14">
      <formula>ISNUMBER(SEARCH(1,$G$19))</formula>
    </cfRule>
  </conditionalFormatting>
  <conditionalFormatting sqref="G23:G25">
    <cfRule type="expression" dxfId="21" priority="11">
      <formula>ISERROR(SEARCH(1,$G$19))</formula>
    </cfRule>
    <cfRule type="expression" dxfId="20" priority="12">
      <formula>ISNUMBER(SEARCH(1,$G$19))</formula>
    </cfRule>
  </conditionalFormatting>
  <conditionalFormatting sqref="G22">
    <cfRule type="expression" dxfId="19" priority="9">
      <formula>ISERROR(SEARCH(1,$G$19))</formula>
    </cfRule>
    <cfRule type="expression" dxfId="18" priority="10">
      <formula>ISNUMBER(SEARCH(1,$G$19))</formula>
    </cfRule>
  </conditionalFormatting>
  <conditionalFormatting sqref="J23:J25">
    <cfRule type="expression" dxfId="17" priority="7">
      <formula>ISERROR(SEARCH(1,$G$19))</formula>
    </cfRule>
    <cfRule type="expression" dxfId="16" priority="8">
      <formula>ISNUMBER(SEARCH(1,$G$19))</formula>
    </cfRule>
  </conditionalFormatting>
  <conditionalFormatting sqref="J22">
    <cfRule type="expression" dxfId="15" priority="5">
      <formula>ISERROR(SEARCH(1,$G$19))</formula>
    </cfRule>
    <cfRule type="expression" dxfId="14" priority="6">
      <formula>ISNUMBER(SEARCH(1,$G$19))</formula>
    </cfRule>
  </conditionalFormatting>
  <conditionalFormatting sqref="M23:M25">
    <cfRule type="expression" dxfId="13" priority="3">
      <formula>ISERROR(SEARCH(1,$G$19))</formula>
    </cfRule>
    <cfRule type="expression" dxfId="12" priority="4">
      <formula>ISNUMBER(SEARCH(1,$G$19))</formula>
    </cfRule>
  </conditionalFormatting>
  <conditionalFormatting sqref="M22">
    <cfRule type="expression" dxfId="11" priority="1">
      <formula>ISERROR(SEARCH(1,$G$19))</formula>
    </cfRule>
    <cfRule type="expression" dxfId="1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873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IFERROR(VLOOKUP(C10,CorrectionFactors[],4,0),"")</f>
        <v/>
      </c>
      <c r="D11" s="115" t="str">
        <f>IFERROR(VLOOKUP(D10,CorrectionFactors[],4,0),"")</f>
        <v/>
      </c>
      <c r="E11" s="115" t="str">
        <f>IFERROR(VLOOKUP(E10,CorrectionFactors[],4,0),"")</f>
        <v/>
      </c>
      <c r="F11" s="115" t="str">
        <f>IFERROR(VLOOKUP(F10,CorrectionFactors[],4,0),"")</f>
        <v/>
      </c>
      <c r="G11" s="115" t="str">
        <f>IFERROR(VLOOKUP(G10,CorrectionFactors[],4,0),"")</f>
        <v/>
      </c>
      <c r="H11" s="115" t="str">
        <f>IFERROR(VLOOKUP(H10,CorrectionFactors[],4,0),"")</f>
        <v/>
      </c>
      <c r="I11" s="115" t="str">
        <f>IFERROR(VLOOKUP(I10,CorrectionFactors[],4,0),"")</f>
        <v/>
      </c>
      <c r="J11" s="115" t="str">
        <f>IFERROR(VLOOKUP(J10,CorrectionFactors[],4,0),"")</f>
        <v/>
      </c>
      <c r="K11" s="115" t="str">
        <f>IFERROR(VLOOKUP(K10,CorrectionFactors[],4,0),"")</f>
        <v/>
      </c>
      <c r="L11" s="115" t="str">
        <f>IFERROR(VLOOKUP(L10,CorrectionFactors[],4,0),"")</f>
        <v/>
      </c>
      <c r="M11" s="115" t="str">
        <f>IFERROR(VLOOKUP(M10,CorrectionFactors[],4,0),"")</f>
        <v/>
      </c>
      <c r="N11" s="115" t="str">
        <f>IFERROR(VLOOKUP(N10,CorrectionFactors[],4,0),"")</f>
        <v/>
      </c>
      <c r="O11" s="115" t="str">
        <f>IFERROR(VLOOKUP(O10,CorrectionFactors[],4,0),"")</f>
        <v/>
      </c>
      <c r="P11" s="115" t="str">
        <f>IFERROR(VLOOKUP(P10,CorrectionFactors[],4,0),"")</f>
        <v/>
      </c>
    </row>
    <row r="12" spans="1:16" x14ac:dyDescent="0.2">
      <c r="A12" s="39"/>
      <c r="B12" s="59" t="s">
        <v>30</v>
      </c>
      <c r="C12" s="115" t="str">
        <f>IFERROR(VLOOKUP(C10,CorrectionFactors[],5,0),"")</f>
        <v/>
      </c>
      <c r="D12" s="115" t="str">
        <f>IFERROR(VLOOKUP(D10,CorrectionFactors[],5,0),"")</f>
        <v/>
      </c>
      <c r="E12" s="115" t="str">
        <f>IFERROR(VLOOKUP(E10,CorrectionFactors[],5,0),"")</f>
        <v/>
      </c>
      <c r="F12" s="115" t="str">
        <f>IFERROR(VLOOKUP(F10,CorrectionFactors[],5,0),"")</f>
        <v/>
      </c>
      <c r="G12" s="115" t="str">
        <f>IFERROR(VLOOKUP(G10,CorrectionFactors[],5,0),"")</f>
        <v/>
      </c>
      <c r="H12" s="115" t="str">
        <f>IFERROR(VLOOKUP(H10,CorrectionFactors[],5,0),"")</f>
        <v/>
      </c>
      <c r="I12" s="115" t="str">
        <f>IFERROR(VLOOKUP(I10,CorrectionFactors[],5,0),"")</f>
        <v/>
      </c>
      <c r="J12" s="115" t="str">
        <f>IFERROR(VLOOKUP(J10,CorrectionFactors[],5,0),"")</f>
        <v/>
      </c>
      <c r="K12" s="115" t="str">
        <f>IFERROR(VLOOKUP(K10,CorrectionFactors[],5,0),"")</f>
        <v/>
      </c>
      <c r="L12" s="115" t="str">
        <f>IFERROR(VLOOKUP(L10,CorrectionFactors[],5,0),"")</f>
        <v/>
      </c>
      <c r="M12" s="115" t="str">
        <f>IFERROR(VLOOKUP(M10,CorrectionFactors[],5,0),"")</f>
        <v/>
      </c>
      <c r="N12" s="115" t="str">
        <f>IFERROR(VLOOKUP(N10,CorrectionFactors[],5,0),"")</f>
        <v/>
      </c>
      <c r="O12" s="115" t="str">
        <f>IFERROR(VLOOKUP(O10,CorrectionFactors[],5,0),"")</f>
        <v/>
      </c>
      <c r="P12" s="115" t="str">
        <f>IFERROR(VLOOKUP(P10,CorrectionFactors[],5,0),"")</f>
        <v/>
      </c>
    </row>
    <row r="13" spans="1:16" x14ac:dyDescent="0.2">
      <c r="A13" s="39"/>
      <c r="B13" s="59" t="s">
        <v>31</v>
      </c>
      <c r="C13" s="115" t="str">
        <f>IF(OR(C11="",C12=""),"",C11+C12)</f>
        <v/>
      </c>
      <c r="D13" s="115" t="str">
        <f t="shared" ref="D13:P13" si="0">IF(OR(D11="",D12=""),"",D11+D12)</f>
        <v/>
      </c>
      <c r="E13" s="115" t="str">
        <f t="shared" si="0"/>
        <v/>
      </c>
      <c r="F13" s="115" t="str">
        <f t="shared" si="0"/>
        <v/>
      </c>
      <c r="G13" s="115" t="str">
        <f t="shared" si="0"/>
        <v/>
      </c>
      <c r="H13" s="115" t="str">
        <f t="shared" si="0"/>
        <v/>
      </c>
      <c r="I13" s="115" t="str">
        <f t="shared" si="0"/>
        <v/>
      </c>
      <c r="J13" s="115" t="str">
        <f t="shared" si="0"/>
        <v/>
      </c>
      <c r="K13" s="115" t="str">
        <f t="shared" si="0"/>
        <v/>
      </c>
      <c r="L13" s="115" t="str">
        <f t="shared" si="0"/>
        <v/>
      </c>
      <c r="M13" s="115" t="str">
        <f t="shared" si="0"/>
        <v/>
      </c>
      <c r="N13" s="115" t="str">
        <f t="shared" si="0"/>
        <v/>
      </c>
      <c r="O13" s="115" t="str">
        <f t="shared" si="0"/>
        <v/>
      </c>
      <c r="P13" s="115"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IFERROR(VLOOKUP(C16,CorrectionFactors[],4,0),"")</f>
        <v/>
      </c>
      <c r="D17" s="115" t="str">
        <f>IFERROR(VLOOKUP(D16,CorrectionFactors[],4,0),"")</f>
        <v/>
      </c>
      <c r="E17" s="115" t="str">
        <f>IFERROR(VLOOKUP(E16,CorrectionFactors[],4,0),"")</f>
        <v/>
      </c>
      <c r="F17" s="115" t="str">
        <f>IFERROR(VLOOKUP(F16,CorrectionFactors[],4,0),"")</f>
        <v/>
      </c>
      <c r="G17" s="115" t="str">
        <f>IFERROR(VLOOKUP(G16,CorrectionFactors[],4,0),"")</f>
        <v/>
      </c>
      <c r="H17" s="115" t="str">
        <f>IFERROR(VLOOKUP(H16,CorrectionFactors[],4,0),"")</f>
        <v/>
      </c>
      <c r="I17" s="115" t="str">
        <f>IFERROR(VLOOKUP(I16,CorrectionFactors[],4,0),"")</f>
        <v/>
      </c>
      <c r="J17" s="115" t="str">
        <f>IFERROR(VLOOKUP(J16,CorrectionFactors[],4,0),"")</f>
        <v/>
      </c>
      <c r="K17" s="115" t="str">
        <f>IFERROR(VLOOKUP(K16,CorrectionFactors[],4,0),"")</f>
        <v/>
      </c>
      <c r="L17" s="115" t="str">
        <f>IFERROR(VLOOKUP(L16,CorrectionFactors[],4,0),"")</f>
        <v/>
      </c>
      <c r="M17" s="115" t="str">
        <f>IFERROR(VLOOKUP(M16,CorrectionFactors[],4,0),"")</f>
        <v/>
      </c>
      <c r="N17" s="115" t="str">
        <f>IFERROR(VLOOKUP(N16,CorrectionFactors[],4,0),"")</f>
        <v/>
      </c>
      <c r="O17" s="115" t="str">
        <f>IFERROR(VLOOKUP(O16,CorrectionFactors[],4,0),"")</f>
        <v/>
      </c>
      <c r="P17" s="115" t="str">
        <f>IFERROR(VLOOKUP(P16,CorrectionFactors[],4,0),"")</f>
        <v/>
      </c>
    </row>
    <row r="18" spans="1:20" x14ac:dyDescent="0.2">
      <c r="A18" s="39"/>
      <c r="B18" s="59" t="s">
        <v>30</v>
      </c>
      <c r="C18" s="115" t="str">
        <f>IFERROR(VLOOKUP(C16,CorrectionFactors[],5,0),"")</f>
        <v/>
      </c>
      <c r="D18" s="115" t="str">
        <f>IFERROR(VLOOKUP(D16,CorrectionFactors[],5,0),"")</f>
        <v/>
      </c>
      <c r="E18" s="115" t="str">
        <f>IFERROR(VLOOKUP(E16,CorrectionFactors[],5,0),"")</f>
        <v/>
      </c>
      <c r="F18" s="115" t="str">
        <f>IFERROR(VLOOKUP(F16,CorrectionFactors[],5,0),"")</f>
        <v/>
      </c>
      <c r="G18" s="115" t="str">
        <f>IFERROR(VLOOKUP(G16,CorrectionFactors[],5,0),"")</f>
        <v/>
      </c>
      <c r="H18" s="115" t="str">
        <f>IFERROR(VLOOKUP(H16,CorrectionFactors[],5,0),"")</f>
        <v/>
      </c>
      <c r="I18" s="115" t="str">
        <f>IFERROR(VLOOKUP(I16,CorrectionFactors[],5,0),"")</f>
        <v/>
      </c>
      <c r="J18" s="115" t="str">
        <f>IFERROR(VLOOKUP(J16,CorrectionFactors[],5,0),"")</f>
        <v/>
      </c>
      <c r="K18" s="115" t="str">
        <f>IFERROR(VLOOKUP(K16,CorrectionFactors[],5,0),"")</f>
        <v/>
      </c>
      <c r="L18" s="115" t="str">
        <f>IFERROR(VLOOKUP(L16,CorrectionFactors[],5,0),"")</f>
        <v/>
      </c>
      <c r="M18" s="115" t="str">
        <f>IFERROR(VLOOKUP(M16,CorrectionFactors[],5,0),"")</f>
        <v/>
      </c>
      <c r="N18" s="115" t="str">
        <f>IFERROR(VLOOKUP(N16,CorrectionFactors[],5,0),"")</f>
        <v/>
      </c>
      <c r="O18" s="115" t="str">
        <f>IFERROR(VLOOKUP(O16,CorrectionFactors[],5,0),"")</f>
        <v/>
      </c>
      <c r="P18" s="115" t="str">
        <f>IFERROR(VLOOKUP(P16,CorrectionFactors[],5,0),"")</f>
        <v/>
      </c>
    </row>
    <row r="19" spans="1:20" x14ac:dyDescent="0.2">
      <c r="A19" s="39"/>
      <c r="B19" s="59" t="s">
        <v>31</v>
      </c>
      <c r="C19" s="112" t="str">
        <f>IF(OR(C17="",C18=""),"",C17+C18)</f>
        <v/>
      </c>
      <c r="D19" s="112" t="str">
        <f t="shared" ref="D19:P19" si="1">IF(OR(D17="",D18=""),"",D17+D18)</f>
        <v/>
      </c>
      <c r="E19" s="112" t="str">
        <f t="shared" si="1"/>
        <v/>
      </c>
      <c r="F19" s="112" t="str">
        <f t="shared" si="1"/>
        <v/>
      </c>
      <c r="G19" s="112" t="str">
        <f t="shared" si="1"/>
        <v/>
      </c>
      <c r="H19" s="112" t="str">
        <f t="shared" si="1"/>
        <v/>
      </c>
      <c r="I19" s="112" t="str">
        <f t="shared" si="1"/>
        <v/>
      </c>
      <c r="J19" s="112" t="str">
        <f t="shared" si="1"/>
        <v/>
      </c>
      <c r="K19" s="112" t="str">
        <f t="shared" si="1"/>
        <v/>
      </c>
      <c r="L19" s="112" t="str">
        <f t="shared" si="1"/>
        <v/>
      </c>
      <c r="M19" s="112" t="str">
        <f t="shared" si="1"/>
        <v/>
      </c>
      <c r="N19" s="112" t="str">
        <f t="shared" si="1"/>
        <v/>
      </c>
      <c r="O19" s="112" t="str">
        <f t="shared" si="1"/>
        <v/>
      </c>
      <c r="P19" s="112"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IFERROR(VLOOKUP(C22,CorrectionFactors[],4,0),"")</f>
        <v/>
      </c>
      <c r="D23" s="115" t="str">
        <f>IFERROR(VLOOKUP(D22,CorrectionFactors[],4,0),"")</f>
        <v/>
      </c>
      <c r="E23" s="115" t="str">
        <f>IFERROR(VLOOKUP(E22,CorrectionFactors[],4,0),"")</f>
        <v/>
      </c>
      <c r="F23" s="115" t="str">
        <f>IFERROR(VLOOKUP(F22,CorrectionFactors[],4,0),"")</f>
        <v/>
      </c>
      <c r="G23" s="115" t="str">
        <f>IFERROR(VLOOKUP(G22,CorrectionFactors[],4,0),"")</f>
        <v/>
      </c>
      <c r="H23" s="115" t="str">
        <f>IFERROR(VLOOKUP(H22,CorrectionFactors[],4,0),"")</f>
        <v/>
      </c>
      <c r="I23" s="115" t="str">
        <f>IFERROR(VLOOKUP(I22,CorrectionFactors[],4,0),"")</f>
        <v/>
      </c>
      <c r="J23" s="115" t="str">
        <f>IFERROR(VLOOKUP(J22,CorrectionFactors[],4,0),"")</f>
        <v/>
      </c>
      <c r="K23" s="115" t="str">
        <f>IFERROR(VLOOKUP(K22,CorrectionFactors[],4,0),"")</f>
        <v/>
      </c>
      <c r="L23" s="115" t="str">
        <f>IFERROR(VLOOKUP(L22,CorrectionFactors[],4,0),"")</f>
        <v/>
      </c>
      <c r="M23" s="115" t="str">
        <f>IFERROR(VLOOKUP(M22,CorrectionFactors[],4,0),"")</f>
        <v/>
      </c>
      <c r="N23" s="115" t="str">
        <f>IFERROR(VLOOKUP(N22,CorrectionFactors[],4,0),"")</f>
        <v/>
      </c>
      <c r="O23" s="39"/>
      <c r="P23" s="39"/>
    </row>
    <row r="24" spans="1:20" x14ac:dyDescent="0.2">
      <c r="A24" s="39"/>
      <c r="B24" s="59" t="s">
        <v>30</v>
      </c>
      <c r="C24" s="115" t="str">
        <f>IFERROR(VLOOKUP(C22,CorrectionFactors[],5,0),"")</f>
        <v/>
      </c>
      <c r="D24" s="115" t="str">
        <f>IFERROR(VLOOKUP(D22,CorrectionFactors[],5,0),"")</f>
        <v/>
      </c>
      <c r="E24" s="115" t="str">
        <f>IFERROR(VLOOKUP(E22,CorrectionFactors[],5,0),"")</f>
        <v/>
      </c>
      <c r="F24" s="115" t="str">
        <f>IFERROR(VLOOKUP(F22,CorrectionFactors[],5,0),"")</f>
        <v/>
      </c>
      <c r="G24" s="115" t="str">
        <f>IFERROR(VLOOKUP(G22,CorrectionFactors[],5,0),"")</f>
        <v/>
      </c>
      <c r="H24" s="115" t="str">
        <f>IFERROR(VLOOKUP(H22,CorrectionFactors[],5,0),"")</f>
        <v/>
      </c>
      <c r="I24" s="115" t="str">
        <f>IFERROR(VLOOKUP(I22,CorrectionFactors[],5,0),"")</f>
        <v/>
      </c>
      <c r="J24" s="115" t="str">
        <f>IFERROR(VLOOKUP(J22,CorrectionFactors[],5,0),"")</f>
        <v/>
      </c>
      <c r="K24" s="115" t="str">
        <f>IFERROR(VLOOKUP(K22,CorrectionFactors[],5,0),"")</f>
        <v/>
      </c>
      <c r="L24" s="115" t="str">
        <f>IFERROR(VLOOKUP(L22,CorrectionFactors[],5,0),"")</f>
        <v/>
      </c>
      <c r="M24" s="115" t="str">
        <f>IFERROR(VLOOKUP(M22,CorrectionFactors[],5,0),"")</f>
        <v/>
      </c>
      <c r="N24" s="115" t="str">
        <f>IFERROR(VLOOKUP(N22,CorrectionFactors[],5,0),"")</f>
        <v/>
      </c>
    </row>
    <row r="25" spans="1:20" x14ac:dyDescent="0.2">
      <c r="A25" s="39"/>
      <c r="B25" s="59" t="s">
        <v>31</v>
      </c>
      <c r="C25" s="112" t="str">
        <f>IF(OR(C23="",C24=""),"",C23+C24)</f>
        <v/>
      </c>
      <c r="D25" s="112" t="str">
        <f t="shared" ref="D25:N25" si="2">IF(OR(D23="",D24=""),"",D23+D24)</f>
        <v/>
      </c>
      <c r="E25" s="112" t="str">
        <f t="shared" si="2"/>
        <v/>
      </c>
      <c r="F25" s="112" t="str">
        <f t="shared" si="2"/>
        <v/>
      </c>
      <c r="G25" s="112" t="str">
        <f t="shared" si="2"/>
        <v/>
      </c>
      <c r="H25" s="112" t="str">
        <f t="shared" si="2"/>
        <v/>
      </c>
      <c r="I25" s="112" t="str">
        <f t="shared" si="2"/>
        <v/>
      </c>
      <c r="J25" s="112" t="str">
        <f t="shared" si="2"/>
        <v/>
      </c>
      <c r="K25" s="112" t="str">
        <f t="shared" si="2"/>
        <v/>
      </c>
      <c r="L25" s="112" t="str">
        <f t="shared" si="2"/>
        <v/>
      </c>
      <c r="M25" s="112" t="str">
        <f t="shared" si="2"/>
        <v/>
      </c>
      <c r="N25" s="112"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6" t="s">
        <v>349</v>
      </c>
      <c r="I28" s="636"/>
      <c r="J28" s="636"/>
      <c r="K28" s="636"/>
      <c r="L28" s="636"/>
      <c r="M28" s="636"/>
      <c r="N28" s="636"/>
      <c r="O28" s="636"/>
      <c r="P28" s="636"/>
      <c r="Q28" s="636"/>
      <c r="R28" s="636"/>
    </row>
    <row r="29" spans="1:20" x14ac:dyDescent="0.2">
      <c r="A29" s="642" t="s">
        <v>34</v>
      </c>
      <c r="B29" s="643"/>
      <c r="C29" s="49" t="str">
        <f>IF(Main!D48="","",Main!D48)</f>
        <v/>
      </c>
      <c r="D29" s="49" t="str">
        <f>IF(Main!E48="","",Main!E48)</f>
        <v/>
      </c>
      <c r="E29" s="49" t="str">
        <f>IF(Main!F48="","",Main!F48)</f>
        <v/>
      </c>
      <c r="F29" s="49" t="str">
        <f>IF(Main!G48="","",Main!G48)</f>
        <v/>
      </c>
      <c r="G29" s="272"/>
      <c r="H29" s="269" t="s">
        <v>350</v>
      </c>
      <c r="I29" s="115" t="str">
        <f>IF(Main!N47="","",Main!N47)</f>
        <v>Periodic</v>
      </c>
      <c r="J29" s="644" t="s">
        <v>351</v>
      </c>
      <c r="K29" s="645"/>
      <c r="L29" s="115" t="str">
        <f>IF(Main!R47="","",Main!R47)</f>
        <v>Air</v>
      </c>
    </row>
    <row r="30" spans="1:20" x14ac:dyDescent="0.2">
      <c r="A30" s="642" t="s">
        <v>35</v>
      </c>
      <c r="B30" s="643"/>
      <c r="C30" s="50" t="str">
        <f>IF(Main!D49="","",Main!D49)</f>
        <v/>
      </c>
      <c r="D30" s="50" t="str">
        <f>IF(Main!E49="","",Main!E49)</f>
        <v/>
      </c>
      <c r="E30" s="50" t="str">
        <f>IF(Main!F49="","",Main!F49)</f>
        <v/>
      </c>
      <c r="F30" s="50" t="str">
        <f>IF(Main!G49="","",Main!G49)</f>
        <v/>
      </c>
      <c r="G30" s="274"/>
      <c r="H30" s="637" t="s">
        <v>337</v>
      </c>
      <c r="I30" s="637"/>
      <c r="J30" s="646" t="s">
        <v>392</v>
      </c>
      <c r="K30" s="647"/>
      <c r="L30" s="648"/>
      <c r="M30" s="266"/>
      <c r="O30" s="638" t="s">
        <v>395</v>
      </c>
      <c r="P30" s="639"/>
      <c r="Q30" s="640"/>
      <c r="T30" s="39"/>
    </row>
    <row r="31" spans="1:20" x14ac:dyDescent="0.2">
      <c r="A31" s="642" t="s">
        <v>36</v>
      </c>
      <c r="B31" s="643"/>
      <c r="C31" s="50" t="str">
        <f>IF(Main!D50="","",Main!D50)</f>
        <v/>
      </c>
      <c r="D31" s="50" t="str">
        <f>IF(Main!E50="","",Main!E50)</f>
        <v/>
      </c>
      <c r="E31" s="50" t="str">
        <f>IF(Main!F50="","",Main!F50)</f>
        <v/>
      </c>
      <c r="F31" s="50" t="str">
        <f>IF(Main!G50="","",Main!G50)</f>
        <v/>
      </c>
      <c r="G31" s="274"/>
      <c r="H31" s="254" t="s">
        <v>352</v>
      </c>
      <c r="I31" s="256" t="str">
        <f>IF(Main!N49="","",Main!N49)</f>
        <v/>
      </c>
      <c r="J31" s="661" t="s">
        <v>400</v>
      </c>
      <c r="K31" s="662"/>
      <c r="L31" s="663"/>
      <c r="M31" s="267" t="str">
        <f>IF(Main!S49="","",Main!S49)</f>
        <v/>
      </c>
      <c r="O31" s="524" t="s">
        <v>402</v>
      </c>
      <c r="P31" s="525"/>
      <c r="Q31" s="641"/>
      <c r="R31" s="58" t="str">
        <f>IF(Main!X49="","",Main!X49)</f>
        <v/>
      </c>
      <c r="T31" s="39"/>
    </row>
    <row r="32" spans="1:20" ht="12.75" customHeight="1" x14ac:dyDescent="0.2">
      <c r="A32" s="642" t="s">
        <v>37</v>
      </c>
      <c r="B32" s="643"/>
      <c r="C32" s="49" t="str">
        <f>IF(Main!D51="","",Main!D51)</f>
        <v/>
      </c>
      <c r="D32" s="49" t="str">
        <f>IF(Main!E51="","",Main!E51)</f>
        <v/>
      </c>
      <c r="E32" s="49" t="str">
        <f>IF(Main!F51="","",Main!F51)</f>
        <v/>
      </c>
      <c r="F32" s="49" t="str">
        <f>IF(Main!G51="","",Main!G51)</f>
        <v/>
      </c>
      <c r="G32" s="272"/>
      <c r="H32" s="254" t="s">
        <v>368</v>
      </c>
      <c r="I32" s="256" t="str">
        <f>IF(Main!N50="","",Main!N50)</f>
        <v/>
      </c>
      <c r="J32" s="652" t="s">
        <v>340</v>
      </c>
      <c r="K32" s="653"/>
      <c r="L32" s="654"/>
      <c r="M32" s="262"/>
      <c r="O32" s="652" t="s">
        <v>340</v>
      </c>
      <c r="P32" s="653"/>
      <c r="Q32" s="654"/>
      <c r="T32" s="39"/>
    </row>
    <row r="33" spans="1:20" ht="12.75" customHeight="1" x14ac:dyDescent="0.2">
      <c r="A33" s="642" t="s">
        <v>353</v>
      </c>
      <c r="B33" s="643"/>
      <c r="C33" s="49" t="str">
        <f>IF(Main!D52="","",Main!D52)</f>
        <v/>
      </c>
      <c r="D33" s="49" t="str">
        <f>IF(Main!E52="","",Main!E52)</f>
        <v/>
      </c>
      <c r="E33" s="49" t="str">
        <f>IF(Main!F52="","",Main!F52)</f>
        <v/>
      </c>
      <c r="F33" s="49" t="str">
        <f>IF(Main!G52="","",Main!G52)</f>
        <v/>
      </c>
      <c r="G33" s="272"/>
      <c r="H33" s="254" t="s">
        <v>354</v>
      </c>
      <c r="I33" s="256" t="str">
        <f>IF(Main!N51="","",Main!N51)</f>
        <v/>
      </c>
      <c r="J33" s="649" t="s">
        <v>401</v>
      </c>
      <c r="K33" s="650"/>
      <c r="L33" s="651"/>
      <c r="M33" s="261" t="str">
        <f>IF(Main!S51="","",Main!S51)</f>
        <v/>
      </c>
      <c r="O33" s="649" t="s">
        <v>403</v>
      </c>
      <c r="P33" s="650"/>
      <c r="Q33" s="651"/>
      <c r="R33" s="58" t="str">
        <f>IF(Main!X51="","",Main!X51)</f>
        <v/>
      </c>
      <c r="T33" s="39"/>
    </row>
    <row r="34" spans="1:20" ht="12.75" customHeight="1" x14ac:dyDescent="0.2">
      <c r="A34" s="642" t="s">
        <v>38</v>
      </c>
      <c r="B34" s="643"/>
      <c r="C34" s="51" t="str">
        <f>IF(Main!D53="","",Main!D53)</f>
        <v/>
      </c>
      <c r="D34" s="51" t="str">
        <f>IF(Main!E53="","",Main!E53)</f>
        <v/>
      </c>
      <c r="E34" s="51" t="str">
        <f>IF(Main!F53="","",Main!F53)</f>
        <v/>
      </c>
      <c r="F34" s="51" t="str">
        <f>IF(Main!G53="","",Main!G53)</f>
        <v/>
      </c>
      <c r="G34" s="275"/>
      <c r="H34" s="254" t="s">
        <v>355</v>
      </c>
      <c r="I34" s="253" t="str">
        <f>IF(Main!N52="","",Main!N52)</f>
        <v/>
      </c>
      <c r="J34" s="652" t="s">
        <v>340</v>
      </c>
      <c r="K34" s="653"/>
      <c r="L34" s="654"/>
      <c r="O34" s="652" t="s">
        <v>340</v>
      </c>
      <c r="P34" s="653"/>
      <c r="Q34" s="654"/>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55" t="s">
        <v>404</v>
      </c>
      <c r="K35" s="656"/>
      <c r="L35" s="657"/>
      <c r="M35" s="270" t="str">
        <f>IF(Main!S53="","",Main!S53)</f>
        <v/>
      </c>
      <c r="O35" s="655" t="s">
        <v>405</v>
      </c>
      <c r="P35" s="656"/>
      <c r="Q35" s="657"/>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58"/>
      <c r="K36" s="659"/>
      <c r="L36" s="660"/>
      <c r="M36" s="265"/>
      <c r="O36" s="658"/>
      <c r="P36" s="659"/>
      <c r="Q36" s="660"/>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XN9rX6xzm7W2+Wo6Qxuscs4o+6Xpo8GblSg507LRkItdx8SBoLakoQw/uWHez25TRl2QBMh9A+EmI6Umktpp0A==" saltValue="wgKvpgtIUGS1UpsxDGAyi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k/WP1yXhWB+IUq+Td6SazdXz1R+fTA1oS+cXKRANctAVVPbvZCCVkGY+BZ1s4iPejjbFSdRuII0/UKVzUKgYjQ==" saltValue="Hs9mj757pgu1kNR2e7Ld9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56</v>
      </c>
      <c r="B1" s="602"/>
      <c r="C1" s="602"/>
      <c r="D1" s="602"/>
      <c r="E1" s="35" t="s">
        <v>156</v>
      </c>
      <c r="G1" s="602" t="s">
        <v>68</v>
      </c>
      <c r="H1" s="602"/>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390</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C0Ov6pVlMwLg+81+B/0lWSuDKIJkv5bHXQsU3o2idDTAX4+nEXTXD3PaxDzzSpBDnd/OVgQVTZwNdV4zJEzC/g==" saltValue="Q8/zgah3eXMkxWICgX05Z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2025-07-15T20:41:34Z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