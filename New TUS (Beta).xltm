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AAB3034-3DE5-4FC8-8CFF-D07CA86C4193}"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Table'!$A$1:$O$1668</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J10" i="95"/>
  <c r="J11" i="95"/>
  <c r="J12" i="95"/>
  <c r="J13" i="95"/>
  <c r="J14" i="95"/>
  <c r="J15" i="95"/>
  <c r="J16" i="95"/>
  <c r="K16" i="95" s="1"/>
  <c r="J17" i="95"/>
  <c r="J18" i="95"/>
  <c r="J19" i="95"/>
  <c r="J20" i="95"/>
  <c r="J21" i="95"/>
  <c r="J22" i="95"/>
  <c r="J23" i="95"/>
  <c r="J24" i="95"/>
  <c r="J25" i="95"/>
  <c r="J26" i="95"/>
  <c r="J27" i="95"/>
  <c r="J28" i="95"/>
  <c r="J29" i="95"/>
  <c r="J30" i="95"/>
  <c r="J31" i="95"/>
  <c r="J32" i="95"/>
  <c r="K32" i="95" s="1"/>
  <c r="J33" i="95"/>
  <c r="K33" i="95" s="1"/>
  <c r="J34" i="95"/>
  <c r="J35" i="95"/>
  <c r="K35" i="95" s="1"/>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J68" i="95"/>
  <c r="J69" i="95"/>
  <c r="J70" i="95"/>
  <c r="K70" i="95" s="1"/>
  <c r="J71" i="95"/>
  <c r="K71" i="95" s="1"/>
  <c r="J72" i="95"/>
  <c r="K72" i="95" s="1"/>
  <c r="J73" i="95"/>
  <c r="K73" i="95" s="1"/>
  <c r="J74" i="95"/>
  <c r="K74" i="95" s="1"/>
  <c r="J75" i="95"/>
  <c r="K75" i="95" s="1"/>
  <c r="J76" i="95"/>
  <c r="K76" i="95" s="1"/>
  <c r="J77" i="95"/>
  <c r="K77" i="95" s="1"/>
  <c r="J78" i="95"/>
  <c r="K78" i="95" s="1"/>
  <c r="J79" i="95"/>
  <c r="K79" i="95" s="1"/>
  <c r="J80" i="95"/>
  <c r="K80" i="95" s="1"/>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K105" i="95" s="1"/>
  <c r="J106" i="95"/>
  <c r="K106" i="95" s="1"/>
  <c r="J107" i="95"/>
  <c r="K107" i="95" s="1"/>
  <c r="J108" i="95"/>
  <c r="K108" i="95" s="1"/>
  <c r="J109" i="95"/>
  <c r="K109" i="95" s="1"/>
  <c r="J110" i="95"/>
  <c r="K110" i="95" s="1"/>
  <c r="J111" i="95"/>
  <c r="K111" i="95" s="1"/>
  <c r="J112" i="95"/>
  <c r="K112" i="95" s="1"/>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J137" i="95"/>
  <c r="J138" i="95"/>
  <c r="J139" i="95"/>
  <c r="J140" i="95"/>
  <c r="K140" i="95" s="1"/>
  <c r="J141" i="95"/>
  <c r="K141" i="95" s="1"/>
  <c r="J142" i="95"/>
  <c r="K142" i="95" s="1"/>
  <c r="J143" i="95"/>
  <c r="K143" i="95" s="1"/>
  <c r="J144" i="95"/>
  <c r="K144" i="95" s="1"/>
  <c r="J145" i="95"/>
  <c r="J146" i="95"/>
  <c r="J147" i="95"/>
  <c r="J148" i="95"/>
  <c r="K148" i="95" s="1"/>
  <c r="J149" i="95"/>
  <c r="K149" i="95" s="1"/>
  <c r="J150" i="95"/>
  <c r="K150" i="95" s="1"/>
  <c r="J151" i="95"/>
  <c r="K151" i="95" s="1"/>
  <c r="J152" i="95"/>
  <c r="K152" i="95" s="1"/>
  <c r="J153" i="95"/>
  <c r="J154" i="95"/>
  <c r="J155" i="95"/>
  <c r="J156" i="95"/>
  <c r="J157" i="95"/>
  <c r="K157" i="95" s="1"/>
  <c r="J158" i="95"/>
  <c r="K158" i="95" s="1"/>
  <c r="J159" i="95"/>
  <c r="K159" i="95" s="1"/>
  <c r="J160" i="95"/>
  <c r="K160" i="95" s="1"/>
  <c r="J161" i="95"/>
  <c r="K161" i="95" s="1"/>
  <c r="J162" i="95"/>
  <c r="J163" i="95"/>
  <c r="J164" i="95"/>
  <c r="J165" i="95"/>
  <c r="J166" i="95"/>
  <c r="J167" i="95"/>
  <c r="J168" i="95"/>
  <c r="J169" i="95"/>
  <c r="J170" i="95"/>
  <c r="J171" i="95"/>
  <c r="J172" i="95"/>
  <c r="J173" i="95"/>
  <c r="J174" i="95"/>
  <c r="K174" i="95" s="1"/>
  <c r="J175" i="95"/>
  <c r="K175" i="95" s="1"/>
  <c r="J176" i="95"/>
  <c r="K176" i="95" s="1"/>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K194" i="95" s="1"/>
  <c r="J195" i="95"/>
  <c r="J196" i="95"/>
  <c r="J197" i="95"/>
  <c r="J198" i="95"/>
  <c r="J199" i="95"/>
  <c r="J200" i="95"/>
  <c r="J201" i="95"/>
  <c r="J202" i="95"/>
  <c r="J203" i="95"/>
  <c r="J204" i="95"/>
  <c r="J205" i="95"/>
  <c r="J206" i="95"/>
  <c r="J207" i="95"/>
  <c r="J208" i="95"/>
  <c r="K208" i="95" s="1"/>
  <c r="J209" i="95"/>
  <c r="J210" i="95"/>
  <c r="J211" i="95"/>
  <c r="J212" i="95"/>
  <c r="K212" i="95" s="1"/>
  <c r="J213" i="95"/>
  <c r="K213" i="95" s="1"/>
  <c r="J214" i="95"/>
  <c r="K214" i="95" s="1"/>
  <c r="J215" i="95"/>
  <c r="K215" i="95" s="1"/>
  <c r="J216" i="95"/>
  <c r="K216" i="95" s="1"/>
  <c r="J217" i="95"/>
  <c r="K217" i="95" s="1"/>
  <c r="J218" i="95"/>
  <c r="J219" i="95"/>
  <c r="K219" i="95" s="1"/>
  <c r="J220" i="95"/>
  <c r="K220" i="95" s="1"/>
  <c r="J221" i="95"/>
  <c r="K221" i="95" s="1"/>
  <c r="J222" i="95"/>
  <c r="K222" i="95" s="1"/>
  <c r="J223" i="95"/>
  <c r="K223" i="95" s="1"/>
  <c r="J224" i="95"/>
  <c r="K224" i="95" s="1"/>
  <c r="J225" i="95"/>
  <c r="K225" i="95" s="1"/>
  <c r="J226" i="95"/>
  <c r="J227" i="95"/>
  <c r="J228" i="95"/>
  <c r="J229" i="95"/>
  <c r="J230" i="95"/>
  <c r="K230" i="95" s="1"/>
  <c r="J231" i="95"/>
  <c r="K231" i="95" s="1"/>
  <c r="J232" i="95"/>
  <c r="K232" i="95" s="1"/>
  <c r="J233" i="95"/>
  <c r="J234" i="95"/>
  <c r="J235" i="95"/>
  <c r="J236" i="95"/>
  <c r="J237" i="95"/>
  <c r="J238" i="95"/>
  <c r="K238" i="95" s="1"/>
  <c r="J239" i="95"/>
  <c r="K239" i="95" s="1"/>
  <c r="J240" i="95"/>
  <c r="K240" i="95" s="1"/>
  <c r="J241" i="95"/>
  <c r="J242" i="95"/>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K257" i="95" s="1"/>
  <c r="J258" i="95"/>
  <c r="J259" i="95"/>
  <c r="J260" i="95"/>
  <c r="J261" i="95"/>
  <c r="J262" i="95"/>
  <c r="J263" i="95"/>
  <c r="J264" i="95"/>
  <c r="J265" i="95"/>
  <c r="K265" i="95" s="1"/>
  <c r="J266" i="95"/>
  <c r="K266" i="95" s="1"/>
  <c r="J267" i="95"/>
  <c r="K267" i="95" s="1"/>
  <c r="J268" i="95"/>
  <c r="K268" i="95" s="1"/>
  <c r="J269" i="95"/>
  <c r="K269" i="95" s="1"/>
  <c r="J270" i="95"/>
  <c r="J271" i="95"/>
  <c r="J272" i="95"/>
  <c r="K272" i="95" s="1"/>
  <c r="J273" i="95"/>
  <c r="J274" i="95"/>
  <c r="J275" i="95"/>
  <c r="J276" i="95"/>
  <c r="J277" i="95"/>
  <c r="J278" i="95"/>
  <c r="J279" i="95"/>
  <c r="J280" i="95"/>
  <c r="J281" i="95"/>
  <c r="K281" i="95" s="1"/>
  <c r="J282" i="95"/>
  <c r="K282" i="95" s="1"/>
  <c r="J283" i="95"/>
  <c r="K283" i="95" s="1"/>
  <c r="J284" i="95"/>
  <c r="K284" i="95" s="1"/>
  <c r="J285" i="95"/>
  <c r="K285" i="95" s="1"/>
  <c r="J286" i="95"/>
  <c r="K286" i="95" s="1"/>
  <c r="J287" i="95"/>
  <c r="K287" i="95" s="1"/>
  <c r="J288" i="95"/>
  <c r="K288" i="95" s="1"/>
  <c r="J289" i="95"/>
  <c r="K289" i="95" s="1"/>
  <c r="J290" i="95"/>
  <c r="J291" i="95"/>
  <c r="J292" i="95"/>
  <c r="J293" i="95"/>
  <c r="J294" i="95"/>
  <c r="J295" i="95"/>
  <c r="J296" i="95"/>
  <c r="J297" i="95"/>
  <c r="J298" i="95"/>
  <c r="J299" i="95"/>
  <c r="J300" i="95"/>
  <c r="J301" i="95"/>
  <c r="K301" i="95" s="1"/>
  <c r="J302" i="95"/>
  <c r="K302" i="95" s="1"/>
  <c r="J303" i="95"/>
  <c r="K303" i="95" s="1"/>
  <c r="J304" i="95"/>
  <c r="K304" i="95" s="1"/>
  <c r="J305" i="95"/>
  <c r="J306" i="95"/>
  <c r="J307" i="95"/>
  <c r="J308" i="95"/>
  <c r="J309" i="95"/>
  <c r="J310" i="95"/>
  <c r="J311" i="95"/>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J325" i="95"/>
  <c r="J326" i="95"/>
  <c r="J327" i="95"/>
  <c r="J328" i="95"/>
  <c r="J329" i="95"/>
  <c r="J330" i="95"/>
  <c r="J331" i="95"/>
  <c r="J332" i="95"/>
  <c r="J333" i="95"/>
  <c r="J334" i="95"/>
  <c r="K334" i="95" s="1"/>
  <c r="J335" i="95"/>
  <c r="K335" i="95" s="1"/>
  <c r="J336" i="95"/>
  <c r="K336" i="95" s="1"/>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J387" i="95"/>
  <c r="J388" i="95"/>
  <c r="J389" i="95"/>
  <c r="J390" i="95"/>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4" i="95"/>
  <c r="K5" i="95"/>
  <c r="K6" i="95"/>
  <c r="K7" i="95"/>
  <c r="K8" i="95"/>
  <c r="K9" i="95"/>
  <c r="K10" i="95"/>
  <c r="K11" i="95"/>
  <c r="K12" i="95"/>
  <c r="K13" i="95"/>
  <c r="K14" i="95"/>
  <c r="K15" i="95"/>
  <c r="K17" i="95"/>
  <c r="K18" i="95"/>
  <c r="K19" i="95"/>
  <c r="K20" i="95"/>
  <c r="K21" i="95"/>
  <c r="K22" i="95"/>
  <c r="K23" i="95"/>
  <c r="K24" i="95"/>
  <c r="K25" i="95"/>
  <c r="K26" i="95"/>
  <c r="K27" i="95"/>
  <c r="K28" i="95"/>
  <c r="K29" i="95"/>
  <c r="K30" i="95"/>
  <c r="K31" i="95"/>
  <c r="K34" i="95"/>
  <c r="K36" i="95"/>
  <c r="K37" i="95"/>
  <c r="K49" i="95"/>
  <c r="K50" i="95"/>
  <c r="K51" i="95"/>
  <c r="K66" i="95"/>
  <c r="K67" i="95"/>
  <c r="K68" i="95"/>
  <c r="K69" i="95"/>
  <c r="K81" i="95"/>
  <c r="K82" i="95"/>
  <c r="K83" i="95"/>
  <c r="K84" i="95"/>
  <c r="K85" i="95"/>
  <c r="K86" i="95"/>
  <c r="K98" i="95"/>
  <c r="K99" i="95"/>
  <c r="K100" i="95"/>
  <c r="K101" i="95"/>
  <c r="K102" i="95"/>
  <c r="K103" i="95"/>
  <c r="K104" i="95"/>
  <c r="K113" i="95"/>
  <c r="K114" i="95"/>
  <c r="K115" i="95"/>
  <c r="K116" i="95"/>
  <c r="K117" i="95"/>
  <c r="K130" i="95"/>
  <c r="K131" i="95"/>
  <c r="K132" i="95"/>
  <c r="K133" i="95"/>
  <c r="K134" i="95"/>
  <c r="K135" i="95"/>
  <c r="K136" i="95"/>
  <c r="K137" i="95"/>
  <c r="K138" i="95"/>
  <c r="K139" i="95"/>
  <c r="K145" i="95"/>
  <c r="K146" i="95"/>
  <c r="K147" i="95"/>
  <c r="K153" i="95"/>
  <c r="K154" i="95"/>
  <c r="K155" i="95"/>
  <c r="K156" i="95"/>
  <c r="K162" i="95"/>
  <c r="K163" i="95"/>
  <c r="K164" i="95"/>
  <c r="K165" i="95"/>
  <c r="K166" i="95"/>
  <c r="K167" i="95"/>
  <c r="K168" i="95"/>
  <c r="K169" i="95"/>
  <c r="K170" i="95"/>
  <c r="K171" i="95"/>
  <c r="K172" i="95"/>
  <c r="K173" i="95"/>
  <c r="K177" i="95"/>
  <c r="K178" i="95"/>
  <c r="K195" i="95"/>
  <c r="K196" i="95"/>
  <c r="K197" i="95"/>
  <c r="K198" i="95"/>
  <c r="K199" i="95"/>
  <c r="K200" i="95"/>
  <c r="K201" i="95"/>
  <c r="K202" i="95"/>
  <c r="K203" i="95"/>
  <c r="K204" i="95"/>
  <c r="K205" i="95"/>
  <c r="K206" i="95"/>
  <c r="K207" i="95"/>
  <c r="K210" i="95"/>
  <c r="K211" i="95"/>
  <c r="K226" i="95"/>
  <c r="K227" i="95"/>
  <c r="K228" i="95"/>
  <c r="K229" i="95"/>
  <c r="K233" i="95"/>
  <c r="K234" i="95"/>
  <c r="K235" i="95"/>
  <c r="K236" i="95"/>
  <c r="K237" i="95"/>
  <c r="K241" i="95"/>
  <c r="K242" i="95"/>
  <c r="K243" i="95"/>
  <c r="K244" i="95"/>
  <c r="K245" i="95"/>
  <c r="K246" i="95"/>
  <c r="K258" i="95"/>
  <c r="K259" i="95"/>
  <c r="K260" i="95"/>
  <c r="K261" i="95"/>
  <c r="K262" i="95"/>
  <c r="K263" i="95"/>
  <c r="K264" i="95"/>
  <c r="K270" i="95"/>
  <c r="K271" i="95"/>
  <c r="K273" i="95"/>
  <c r="K274" i="95"/>
  <c r="K275" i="95"/>
  <c r="K276" i="95"/>
  <c r="K277" i="95"/>
  <c r="K278" i="95"/>
  <c r="K279" i="95"/>
  <c r="K280" i="95"/>
  <c r="K291" i="95"/>
  <c r="K292" i="95"/>
  <c r="K293" i="95"/>
  <c r="K294" i="95"/>
  <c r="K295" i="95"/>
  <c r="K296" i="95"/>
  <c r="K297" i="95"/>
  <c r="K298" i="95"/>
  <c r="K299" i="95"/>
  <c r="K300" i="95"/>
  <c r="K305" i="95"/>
  <c r="K306" i="95"/>
  <c r="K307" i="95"/>
  <c r="K308" i="95"/>
  <c r="K309" i="95"/>
  <c r="K310" i="95"/>
  <c r="K311" i="95"/>
  <c r="K323" i="95"/>
  <c r="K324" i="95"/>
  <c r="K325" i="95"/>
  <c r="K326" i="95"/>
  <c r="K327" i="95"/>
  <c r="K328" i="95"/>
  <c r="K329" i="95"/>
  <c r="K330" i="95"/>
  <c r="K331" i="95"/>
  <c r="K332" i="95"/>
  <c r="K333" i="95"/>
  <c r="K337" i="95"/>
  <c r="K354" i="95"/>
  <c r="K355" i="95"/>
  <c r="K369" i="95"/>
  <c r="K370" i="95"/>
  <c r="K371" i="95"/>
  <c r="K372" i="95"/>
  <c r="K386" i="95"/>
  <c r="K387" i="95"/>
  <c r="K388" i="95"/>
  <c r="K389" i="95"/>
  <c r="K390" i="95"/>
  <c r="K401" i="95"/>
  <c r="K402" i="95"/>
  <c r="K403" i="95"/>
  <c r="K404" i="95"/>
  <c r="K405" i="95"/>
  <c r="K418" i="95"/>
  <c r="L2" i="95"/>
  <c r="L3" i="95"/>
  <c r="L4" i="95"/>
  <c r="L5" i="95"/>
  <c r="L6" i="95"/>
  <c r="L7" i="95"/>
  <c r="L8" i="95"/>
  <c r="M8" i="95" s="1"/>
  <c r="L9" i="95"/>
  <c r="L10" i="95"/>
  <c r="L11" i="95"/>
  <c r="L12" i="95"/>
  <c r="L13" i="95"/>
  <c r="L14" i="95"/>
  <c r="M14" i="95" s="1"/>
  <c r="L15" i="95"/>
  <c r="L16" i="95"/>
  <c r="L17" i="95"/>
  <c r="L18" i="95"/>
  <c r="L19" i="95"/>
  <c r="L20" i="95"/>
  <c r="L21" i="95"/>
  <c r="M21" i="95" s="1"/>
  <c r="L22" i="95"/>
  <c r="M22" i="95" s="1"/>
  <c r="L23" i="95"/>
  <c r="L24" i="95"/>
  <c r="L25" i="95"/>
  <c r="L26" i="95"/>
  <c r="L27" i="95"/>
  <c r="L28" i="95"/>
  <c r="L29" i="95"/>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L42" i="95"/>
  <c r="L43" i="95"/>
  <c r="M43" i="95" s="1"/>
  <c r="L44" i="95"/>
  <c r="M44" i="95" s="1"/>
  <c r="L45" i="95"/>
  <c r="L46" i="95"/>
  <c r="M46" i="95" s="1"/>
  <c r="L47" i="95"/>
  <c r="M47" i="95" s="1"/>
  <c r="L48" i="95"/>
  <c r="M48" i="95" s="1"/>
  <c r="L49" i="95"/>
  <c r="M49" i="95" s="1"/>
  <c r="L50" i="95"/>
  <c r="M50" i="95" s="1"/>
  <c r="L51" i="95"/>
  <c r="M51" i="95" s="1"/>
  <c r="L52" i="95"/>
  <c r="M52" i="95" s="1"/>
  <c r="L53" i="95"/>
  <c r="M53" i="95" s="1"/>
  <c r="L54" i="95"/>
  <c r="M54" i="95" s="1"/>
  <c r="L55" i="95"/>
  <c r="M55" i="95" s="1"/>
  <c r="L56" i="95"/>
  <c r="L57" i="95"/>
  <c r="L58" i="95"/>
  <c r="L59" i="95"/>
  <c r="L60" i="95"/>
  <c r="M60" i="95" s="1"/>
  <c r="L61" i="95"/>
  <c r="M61" i="95" s="1"/>
  <c r="L62" i="95"/>
  <c r="M62" i="95" s="1"/>
  <c r="L63" i="95"/>
  <c r="M63" i="95" s="1"/>
  <c r="L64" i="95"/>
  <c r="M64" i="95" s="1"/>
  <c r="L65" i="95"/>
  <c r="M65" i="95" s="1"/>
  <c r="L66" i="95"/>
  <c r="M66" i="95" s="1"/>
  <c r="L67" i="95"/>
  <c r="L68" i="95"/>
  <c r="L69" i="95"/>
  <c r="L70" i="95"/>
  <c r="L71" i="95"/>
  <c r="L72" i="95"/>
  <c r="L73" i="95"/>
  <c r="L74" i="95"/>
  <c r="L75" i="95"/>
  <c r="L76" i="95"/>
  <c r="L77" i="95"/>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L106" i="95"/>
  <c r="L107" i="95"/>
  <c r="L108" i="95"/>
  <c r="L109" i="95"/>
  <c r="L110" i="95"/>
  <c r="M110" i="95" s="1"/>
  <c r="L111" i="95"/>
  <c r="L112" i="95"/>
  <c r="L113" i="95"/>
  <c r="L114" i="95"/>
  <c r="M114" i="95" s="1"/>
  <c r="L115" i="95"/>
  <c r="M115" i="95" s="1"/>
  <c r="L116" i="95"/>
  <c r="M116" i="95" s="1"/>
  <c r="L117" i="95"/>
  <c r="M117" i="95" s="1"/>
  <c r="L118" i="95"/>
  <c r="M118" i="95" s="1"/>
  <c r="L119" i="95"/>
  <c r="M119" i="95" s="1"/>
  <c r="L120" i="95"/>
  <c r="M120" i="95" s="1"/>
  <c r="L121" i="95"/>
  <c r="L122" i="95"/>
  <c r="L123" i="95"/>
  <c r="L124" i="95"/>
  <c r="L125" i="95"/>
  <c r="M125" i="95" s="1"/>
  <c r="L126" i="95"/>
  <c r="M126" i="95" s="1"/>
  <c r="L127" i="95"/>
  <c r="M127" i="95" s="1"/>
  <c r="L128" i="95"/>
  <c r="L129" i="95"/>
  <c r="L130" i="95"/>
  <c r="L131" i="95"/>
  <c r="L132" i="95"/>
  <c r="M132" i="95" s="1"/>
  <c r="L133" i="95"/>
  <c r="M133" i="95" s="1"/>
  <c r="L134" i="95"/>
  <c r="M134" i="95" s="1"/>
  <c r="L135" i="95"/>
  <c r="M135" i="95" s="1"/>
  <c r="L136" i="95"/>
  <c r="M136" i="95" s="1"/>
  <c r="L137" i="95"/>
  <c r="L138" i="95"/>
  <c r="L139" i="95"/>
  <c r="L140" i="95"/>
  <c r="L141" i="95"/>
  <c r="L142" i="95"/>
  <c r="M142" i="95" s="1"/>
  <c r="L143" i="95"/>
  <c r="L144" i="95"/>
  <c r="L145" i="95"/>
  <c r="L146" i="95"/>
  <c r="L147" i="95"/>
  <c r="L148" i="95"/>
  <c r="L149" i="95"/>
  <c r="M149" i="95" s="1"/>
  <c r="L150" i="95"/>
  <c r="M150" i="95" s="1"/>
  <c r="L151" i="95"/>
  <c r="M151" i="95" s="1"/>
  <c r="L152" i="95"/>
  <c r="M152" i="95" s="1"/>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L170" i="95"/>
  <c r="L171" i="95"/>
  <c r="L172" i="95"/>
  <c r="L173" i="95"/>
  <c r="L174" i="95"/>
  <c r="M174" i="95" s="1"/>
  <c r="L175" i="95"/>
  <c r="L176" i="95"/>
  <c r="L177" i="95"/>
  <c r="L178" i="95"/>
  <c r="L179" i="95"/>
  <c r="L180" i="95"/>
  <c r="L181" i="95"/>
  <c r="M181" i="95" s="1"/>
  <c r="L182" i="95"/>
  <c r="M182" i="95" s="1"/>
  <c r="L183" i="95"/>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L199" i="95"/>
  <c r="L200" i="95"/>
  <c r="L201" i="95"/>
  <c r="L202" i="95"/>
  <c r="M202" i="95" s="1"/>
  <c r="L203" i="95"/>
  <c r="M203" i="95" s="1"/>
  <c r="L204" i="95"/>
  <c r="L205" i="95"/>
  <c r="L206" i="95"/>
  <c r="M206" i="95" s="1"/>
  <c r="L207" i="95"/>
  <c r="L208" i="95"/>
  <c r="L209" i="95"/>
  <c r="L210" i="95"/>
  <c r="L211" i="95"/>
  <c r="L212" i="95"/>
  <c r="L213" i="95"/>
  <c r="M213" i="95" s="1"/>
  <c r="L214" i="95"/>
  <c r="M214" i="95" s="1"/>
  <c r="L215" i="95"/>
  <c r="L216" i="95"/>
  <c r="L217" i="95"/>
  <c r="L218" i="95"/>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L234" i="95"/>
  <c r="L235" i="95"/>
  <c r="L236" i="95"/>
  <c r="L237" i="95"/>
  <c r="M237" i="95" s="1"/>
  <c r="L238" i="95"/>
  <c r="M238" i="95" s="1"/>
  <c r="L239" i="95"/>
  <c r="M239" i="95" s="1"/>
  <c r="L240" i="95"/>
  <c r="M240" i="95" s="1"/>
  <c r="L241" i="95"/>
  <c r="L242" i="95"/>
  <c r="L243" i="95"/>
  <c r="L244" i="95"/>
  <c r="L245" i="95"/>
  <c r="M245" i="95" s="1"/>
  <c r="L246" i="95"/>
  <c r="M246" i="95" s="1"/>
  <c r="L247" i="95"/>
  <c r="L248" i="95"/>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L266" i="95"/>
  <c r="L267" i="95"/>
  <c r="L268" i="95"/>
  <c r="L269" i="95"/>
  <c r="L270" i="95"/>
  <c r="M270" i="95" s="1"/>
  <c r="L271" i="95"/>
  <c r="L272" i="95"/>
  <c r="L273" i="95"/>
  <c r="M273" i="95" s="1"/>
  <c r="L274" i="95"/>
  <c r="M274" i="95" s="1"/>
  <c r="L275" i="95"/>
  <c r="M275" i="95" s="1"/>
  <c r="L276" i="95"/>
  <c r="M276" i="95" s="1"/>
  <c r="L277" i="95"/>
  <c r="M277" i="95" s="1"/>
  <c r="L278" i="95"/>
  <c r="M278" i="95" s="1"/>
  <c r="L279" i="95"/>
  <c r="L280" i="95"/>
  <c r="L281" i="95"/>
  <c r="L282" i="95"/>
  <c r="L283" i="95"/>
  <c r="L284" i="95"/>
  <c r="L285" i="95"/>
  <c r="L286" i="95"/>
  <c r="M286" i="95" s="1"/>
  <c r="L287" i="95"/>
  <c r="M287" i="95" s="1"/>
  <c r="L288" i="95"/>
  <c r="L289" i="95"/>
  <c r="L290" i="95"/>
  <c r="L291" i="95"/>
  <c r="M291" i="95" s="1"/>
  <c r="L292" i="95"/>
  <c r="M292" i="95" s="1"/>
  <c r="L293" i="95"/>
  <c r="M293" i="95" s="1"/>
  <c r="L294" i="95"/>
  <c r="M294" i="95" s="1"/>
  <c r="L295" i="95"/>
  <c r="M295" i="95" s="1"/>
  <c r="L296" i="95"/>
  <c r="M296" i="95" s="1"/>
  <c r="L297" i="95"/>
  <c r="L298" i="95"/>
  <c r="L299" i="95"/>
  <c r="L300" i="95"/>
  <c r="L301" i="95"/>
  <c r="L302" i="95"/>
  <c r="M302" i="95" s="1"/>
  <c r="L303" i="95"/>
  <c r="L304" i="95"/>
  <c r="L305" i="95"/>
  <c r="L306" i="95"/>
  <c r="L307" i="95"/>
  <c r="L308" i="95"/>
  <c r="M308" i="95" s="1"/>
  <c r="L309" i="95"/>
  <c r="M309" i="95" s="1"/>
  <c r="L310" i="95"/>
  <c r="M310" i="95" s="1"/>
  <c r="L311" i="95"/>
  <c r="M311" i="95" s="1"/>
  <c r="L312" i="95"/>
  <c r="L313" i="95"/>
  <c r="L314" i="95"/>
  <c r="L315" i="95"/>
  <c r="L316" i="95"/>
  <c r="L317" i="95"/>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L330" i="95"/>
  <c r="L331" i="95"/>
  <c r="L332" i="95"/>
  <c r="L333" i="95"/>
  <c r="L334" i="95"/>
  <c r="M334" i="95" s="1"/>
  <c r="L335" i="95"/>
  <c r="L336" i="95"/>
  <c r="L337" i="95"/>
  <c r="L338" i="95"/>
  <c r="L339" i="95"/>
  <c r="L340" i="95"/>
  <c r="L341" i="95"/>
  <c r="M341" i="95" s="1"/>
  <c r="L342" i="95"/>
  <c r="M342" i="95" s="1"/>
  <c r="L343" i="95"/>
  <c r="M343" i="95" s="1"/>
  <c r="L344" i="95"/>
  <c r="M344" i="95" s="1"/>
  <c r="L345" i="95"/>
  <c r="L346" i="95"/>
  <c r="L347" i="95"/>
  <c r="L348" i="95"/>
  <c r="L349" i="95"/>
  <c r="L350" i="95"/>
  <c r="M350" i="95" s="1"/>
  <c r="L351" i="95"/>
  <c r="M351" i="95" s="1"/>
  <c r="L352" i="95"/>
  <c r="L353" i="95"/>
  <c r="L354" i="95"/>
  <c r="L355" i="95"/>
  <c r="L356" i="95"/>
  <c r="L357" i="95"/>
  <c r="L358" i="95"/>
  <c r="M358" i="95" s="1"/>
  <c r="L359" i="95"/>
  <c r="M359" i="95" s="1"/>
  <c r="L360" i="95"/>
  <c r="M360" i="95" s="1"/>
  <c r="L361" i="95"/>
  <c r="L362" i="95"/>
  <c r="L363" i="95"/>
  <c r="L364" i="95"/>
  <c r="L365" i="95"/>
  <c r="L366" i="95"/>
  <c r="M366" i="95" s="1"/>
  <c r="L367" i="95"/>
  <c r="M367" i="95" s="1"/>
  <c r="L368" i="95"/>
  <c r="M368" i="95" s="1"/>
  <c r="L369" i="95"/>
  <c r="M369" i="95" s="1"/>
  <c r="L370" i="95"/>
  <c r="M370" i="95" s="1"/>
  <c r="L371" i="95"/>
  <c r="M371" i="95" s="1"/>
  <c r="L372" i="95"/>
  <c r="M372" i="95" s="1"/>
  <c r="L373" i="95"/>
  <c r="M373" i="95" s="1"/>
  <c r="L374" i="95"/>
  <c r="M374" i="95" s="1"/>
  <c r="L375" i="95"/>
  <c r="L376" i="95"/>
  <c r="L377" i="95"/>
  <c r="L378" i="95"/>
  <c r="M378" i="95" s="1"/>
  <c r="L379" i="95"/>
  <c r="M379" i="95" s="1"/>
  <c r="L380" i="95"/>
  <c r="M380" i="95" s="1"/>
  <c r="L381" i="95"/>
  <c r="M381" i="95" s="1"/>
  <c r="L382" i="95"/>
  <c r="M382" i="95" s="1"/>
  <c r="L383" i="95"/>
  <c r="M383" i="95" s="1"/>
  <c r="L384" i="95"/>
  <c r="L385" i="95"/>
  <c r="L386" i="95"/>
  <c r="L387" i="95"/>
  <c r="L388" i="95"/>
  <c r="L389" i="95"/>
  <c r="L390" i="95"/>
  <c r="M390" i="95" s="1"/>
  <c r="L391" i="95"/>
  <c r="M391" i="95" s="1"/>
  <c r="L392" i="95"/>
  <c r="M392" i="95" s="1"/>
  <c r="L393" i="95"/>
  <c r="L394" i="95"/>
  <c r="L395" i="95"/>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M413" i="95" s="1"/>
  <c r="L414" i="95"/>
  <c r="M414" i="95" s="1"/>
  <c r="L415" i="95"/>
  <c r="M415" i="95" s="1"/>
  <c r="L416" i="95"/>
  <c r="M416" i="95" s="1"/>
  <c r="L417" i="95"/>
  <c r="M417" i="95" s="1"/>
  <c r="L418" i="95"/>
  <c r="M418" i="95" s="1"/>
  <c r="M2" i="95"/>
  <c r="M3" i="95"/>
  <c r="M4" i="95"/>
  <c r="M5" i="95"/>
  <c r="M6" i="95"/>
  <c r="M7" i="95"/>
  <c r="M9" i="95"/>
  <c r="M10" i="95"/>
  <c r="M11" i="95"/>
  <c r="M12" i="95"/>
  <c r="M13" i="95"/>
  <c r="M15" i="95"/>
  <c r="M16" i="95"/>
  <c r="M17" i="95"/>
  <c r="M18" i="95"/>
  <c r="M19" i="95"/>
  <c r="M20" i="95"/>
  <c r="M23" i="95"/>
  <c r="M24" i="95"/>
  <c r="M25" i="95"/>
  <c r="M26" i="95"/>
  <c r="M27" i="95"/>
  <c r="M28" i="95"/>
  <c r="M29" i="95"/>
  <c r="M41" i="95"/>
  <c r="M42" i="95"/>
  <c r="M45" i="95"/>
  <c r="M56" i="95"/>
  <c r="M57" i="95"/>
  <c r="M58" i="95"/>
  <c r="M59" i="95"/>
  <c r="M67" i="95"/>
  <c r="M68" i="95"/>
  <c r="M69" i="95"/>
  <c r="M70" i="95"/>
  <c r="M71" i="95"/>
  <c r="M72" i="95"/>
  <c r="M73" i="95"/>
  <c r="M74" i="95"/>
  <c r="M75" i="95"/>
  <c r="M76" i="95"/>
  <c r="M77" i="95"/>
  <c r="M89" i="95"/>
  <c r="M90" i="95"/>
  <c r="M91" i="95"/>
  <c r="M92" i="95"/>
  <c r="M93" i="95"/>
  <c r="M105" i="95"/>
  <c r="M106" i="95"/>
  <c r="M107" i="95"/>
  <c r="M108" i="95"/>
  <c r="M109" i="95"/>
  <c r="M111" i="95"/>
  <c r="M112" i="95"/>
  <c r="M113" i="95"/>
  <c r="M121" i="95"/>
  <c r="M122" i="95"/>
  <c r="M123" i="95"/>
  <c r="M124" i="95"/>
  <c r="M128" i="95"/>
  <c r="M129" i="95"/>
  <c r="M130" i="95"/>
  <c r="M131" i="95"/>
  <c r="M137" i="95"/>
  <c r="M138" i="95"/>
  <c r="M139" i="95"/>
  <c r="M140" i="95"/>
  <c r="M141" i="95"/>
  <c r="M143" i="95"/>
  <c r="M144" i="95"/>
  <c r="M145" i="95"/>
  <c r="M146" i="95"/>
  <c r="M147" i="95"/>
  <c r="M148" i="95"/>
  <c r="M153" i="95"/>
  <c r="M154" i="95"/>
  <c r="M155" i="95"/>
  <c r="M169" i="95"/>
  <c r="M170" i="95"/>
  <c r="M171" i="95"/>
  <c r="M172" i="95"/>
  <c r="M173" i="95"/>
  <c r="M175" i="95"/>
  <c r="M176" i="95"/>
  <c r="M177" i="95"/>
  <c r="M178" i="95"/>
  <c r="M179" i="95"/>
  <c r="M180" i="95"/>
  <c r="M183" i="95"/>
  <c r="M185" i="95"/>
  <c r="M186" i="95"/>
  <c r="M198" i="95"/>
  <c r="M199" i="95"/>
  <c r="M200" i="95"/>
  <c r="M201" i="95"/>
  <c r="M204" i="95"/>
  <c r="M205" i="95"/>
  <c r="M207" i="95"/>
  <c r="M208" i="95"/>
  <c r="M209" i="95"/>
  <c r="M210" i="95"/>
  <c r="M211" i="95"/>
  <c r="M212" i="95"/>
  <c r="M215" i="95"/>
  <c r="M216" i="95"/>
  <c r="M217" i="95"/>
  <c r="M218" i="95"/>
  <c r="M233" i="95"/>
  <c r="M234" i="95"/>
  <c r="M235" i="95"/>
  <c r="M236" i="95"/>
  <c r="M241" i="95"/>
  <c r="M242" i="95"/>
  <c r="M243" i="95"/>
  <c r="M244" i="95"/>
  <c r="M247" i="95"/>
  <c r="M248" i="95"/>
  <c r="M249" i="95"/>
  <c r="M250" i="95"/>
  <c r="M251" i="95"/>
  <c r="M252" i="95"/>
  <c r="M253" i="95"/>
  <c r="M265" i="95"/>
  <c r="M266" i="95"/>
  <c r="M267" i="95"/>
  <c r="M268" i="95"/>
  <c r="M269" i="95"/>
  <c r="M271" i="95"/>
  <c r="M272" i="95"/>
  <c r="M279" i="95"/>
  <c r="M280" i="95"/>
  <c r="M281" i="95"/>
  <c r="M282" i="95"/>
  <c r="M283" i="95"/>
  <c r="M284" i="95"/>
  <c r="M285" i="95"/>
  <c r="M288" i="95"/>
  <c r="M289" i="95"/>
  <c r="M290" i="95"/>
  <c r="M297" i="95"/>
  <c r="M298" i="95"/>
  <c r="M299" i="95"/>
  <c r="M300" i="95"/>
  <c r="M301" i="95"/>
  <c r="M303" i="95"/>
  <c r="M304" i="95"/>
  <c r="M305" i="95"/>
  <c r="M306" i="95"/>
  <c r="M307" i="95"/>
  <c r="M312" i="95"/>
  <c r="M313" i="95"/>
  <c r="M314" i="95"/>
  <c r="M315" i="95"/>
  <c r="M316" i="95"/>
  <c r="M317" i="95"/>
  <c r="M329" i="95"/>
  <c r="M330" i="95"/>
  <c r="M331" i="95"/>
  <c r="M332" i="95"/>
  <c r="M333" i="95"/>
  <c r="M335" i="95"/>
  <c r="M336" i="95"/>
  <c r="M337" i="95"/>
  <c r="M338" i="95"/>
  <c r="M339" i="95"/>
  <c r="M340" i="95"/>
  <c r="M345" i="95"/>
  <c r="M346" i="95"/>
  <c r="M347" i="95"/>
  <c r="M348" i="95"/>
  <c r="M349" i="95"/>
  <c r="M352" i="95"/>
  <c r="M353" i="95"/>
  <c r="M354" i="95"/>
  <c r="M355" i="95"/>
  <c r="M356" i="95"/>
  <c r="M357" i="95"/>
  <c r="M361" i="95"/>
  <c r="M362" i="95"/>
  <c r="M363" i="95"/>
  <c r="M364" i="95"/>
  <c r="M365" i="95"/>
  <c r="M375" i="95"/>
  <c r="M376" i="95"/>
  <c r="M377" i="95"/>
  <c r="M384" i="95"/>
  <c r="M385" i="95"/>
  <c r="M386" i="95"/>
  <c r="M387" i="95"/>
  <c r="M388" i="95"/>
  <c r="M389" i="95"/>
  <c r="M393" i="95"/>
  <c r="M394" i="95"/>
  <c r="M395" i="95"/>
  <c r="M409" i="95"/>
  <c r="M410" i="95"/>
  <c r="M411" i="95"/>
  <c r="M412" i="95"/>
  <c r="D11" i="21" a="1"/>
  <c r="D11" i="21" s="1"/>
  <c r="B11" i="21" a="1"/>
  <c r="B11" i="21" s="1"/>
  <c r="B2" i="12" a="1"/>
  <c r="B2" i="12" s="1"/>
  <c r="C2" i="12" a="1"/>
  <c r="C2" i="12" s="1"/>
  <c r="A2" i="12" a="1"/>
  <c r="A2" i="12" s="1"/>
  <c r="E9" i="8" a="1"/>
  <c r="E9" i="8" s="1"/>
  <c r="T62" i="26"/>
  <c r="R62" i="26"/>
  <c r="F62" i="26" a="1"/>
  <c r="F62" i="26" s="1"/>
  <c r="B20" i="8"/>
  <c r="A37" i="8"/>
  <c r="AL1" i="77" a="1"/>
  <c r="AL1" i="77" s="1"/>
  <c r="K218" i="95" l="1"/>
  <c r="K321" i="95"/>
  <c r="K322" i="95"/>
  <c r="K290"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Q6" i="95" l="1"/>
  <c r="P7" i="95"/>
  <c r="Q7" i="95"/>
  <c r="P6" i="95"/>
  <c r="AL2" i="77"/>
  <c r="L9" i="26"/>
  <c r="K61" i="8"/>
  <c r="F60" i="8"/>
  <c r="L60" i="8"/>
  <c r="D30" i="26"/>
  <c r="B54" i="26"/>
  <c r="E2" i="96"/>
  <c r="D19" i="8"/>
  <c r="H15" i="26"/>
  <c r="H14" i="26"/>
  <c r="P3" i="90"/>
  <c r="M3" i="90" s="1"/>
  <c r="P2" i="90"/>
  <c r="Q2" i="90" s="1"/>
  <c r="D36" i="8"/>
  <c r="E36" i="8" s="1"/>
  <c r="F36" i="8" s="1"/>
  <c r="G36" i="8" s="1"/>
  <c r="J2" i="90"/>
  <c r="O11" i="90" l="1" a="1"/>
  <c r="O11" i="90" s="1"/>
  <c r="O12" i="90" a="1"/>
  <c r="O12" i="90" s="1"/>
  <c r="O13" i="90" a="1"/>
  <c r="O13" i="90" s="1"/>
  <c r="C1" i="15"/>
  <c r="C1" i="13"/>
  <c r="C1" i="14"/>
  <c r="G97" i="8"/>
  <c r="E1" i="14"/>
  <c r="E1" i="13"/>
  <c r="E1" i="15"/>
  <c r="C2" i="14"/>
  <c r="E2" i="15"/>
  <c r="C2" i="15"/>
  <c r="E2" i="13"/>
  <c r="E2" i="14"/>
  <c r="C2" i="13"/>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4" i="90" l="1"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38" i="8" a="1"/>
  <c r="S23" i="8" a="1"/>
  <c r="R36" i="8" a="1"/>
  <c r="S5" i="8" a="1"/>
  <c r="R17" i="8" a="1"/>
  <c r="S34" i="8" a="1"/>
  <c r="R30" i="8" a="1"/>
  <c r="R16" i="8" a="1"/>
  <c r="S15" i="8" a="1"/>
  <c r="S39" i="8" a="1"/>
  <c r="S13" i="8" a="1"/>
  <c r="R19" i="8" a="1"/>
  <c r="S33" i="8" a="1"/>
  <c r="S26" i="8" a="1"/>
  <c r="R40" i="8" a="1"/>
  <c r="S27" i="8" a="1"/>
  <c r="S6" i="8" a="1"/>
  <c r="R25" i="8" a="1"/>
  <c r="R33" i="8" a="1"/>
  <c r="R13" i="8" a="1"/>
  <c r="S40" i="8" a="1"/>
  <c r="R38" i="8" a="1"/>
  <c r="R37" i="8" a="1"/>
  <c r="S37" i="8" a="1"/>
  <c r="R14" i="8" a="1"/>
  <c r="S22" i="8" a="1"/>
  <c r="R42" i="8" a="1"/>
  <c r="R34" i="8" a="1"/>
  <c r="S35" i="8" a="1"/>
  <c r="S10" i="8" a="1"/>
  <c r="S14" i="8" a="1"/>
  <c r="S11" i="8" a="1"/>
  <c r="S24" i="8" a="1"/>
  <c r="R35" i="8" a="1"/>
  <c r="R39" i="8" a="1"/>
  <c r="R43" i="8" a="1"/>
  <c r="R10" i="8" a="1"/>
  <c r="R15" i="8" a="1"/>
  <c r="R21" i="8" a="1"/>
  <c r="S16" i="8" a="1"/>
  <c r="R12" i="8" a="1"/>
  <c r="S18" i="8" a="1"/>
  <c r="R18" i="8" a="1"/>
  <c r="R44" i="8" a="1"/>
  <c r="S28" i="8" a="1"/>
  <c r="S41" i="8" a="1"/>
  <c r="S31" i="8" a="1"/>
  <c r="R26" i="8" a="1"/>
  <c r="R8" i="8" a="1"/>
  <c r="S19" i="8" a="1"/>
  <c r="S7" i="8" a="1"/>
  <c r="R23" i="8" a="1"/>
  <c r="S8" i="8" a="1"/>
  <c r="S9" i="8" a="1"/>
  <c r="S17" i="8" a="1"/>
  <c r="R7" i="8" a="1"/>
  <c r="R27" i="8" a="1"/>
  <c r="R31" i="8" a="1"/>
  <c r="R6" i="8" a="1"/>
  <c r="R20" i="8" a="1"/>
  <c r="S42" i="8" a="1"/>
  <c r="R29" i="8" a="1"/>
  <c r="S43" i="8" a="1"/>
  <c r="S30" i="8" a="1"/>
  <c r="S21" i="8" a="1"/>
  <c r="S32" i="8" a="1"/>
  <c r="R41" i="8" a="1"/>
  <c r="R5" i="8" a="1"/>
  <c r="R22" i="8" a="1"/>
  <c r="R24" i="8" a="1"/>
  <c r="S44" i="8" a="1"/>
  <c r="S12" i="8" a="1"/>
  <c r="S36" i="8" a="1"/>
  <c r="R11" i="8" a="1"/>
  <c r="S25" i="8" a="1"/>
  <c r="R28" i="8" a="1"/>
  <c r="R9" i="8" a="1"/>
  <c r="R32" i="8" a="1"/>
  <c r="S2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<sst xmlns="http://schemas.openxmlformats.org/spreadsheetml/2006/main" count="1938" uniqueCount="970">
  <si>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</si>
  <si>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</si>
  <si>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</si>
  <si>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</si>
  <si>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</si>
  <si>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</si>
  <si>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</si>
  <si>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</si>
  <si>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</si>
  <si>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</si>
  <si>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</si>
  <si>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</si>
  <si>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</si>
  <si>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</si>
  <si>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</si>
  <si>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</si>
  <si>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</si>
  <si>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</si>
  <si>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</si>
  <si>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</si>
  <si>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</si>
  <si>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</si>
  <si>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</si>
  <si>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</si>
  <si>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</si>
  <si>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</si>
  <si>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</si>
  <si>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</si>
  <si>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</si>
  <si>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</si>
  <si>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</si>
  <si>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</si>
  <si>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</si>
  <si>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</si>
  <si>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</si>
  <si>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</si>
  <si>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</si>
  <si>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</si>
  <si>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</si>
  <si>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</si>
  <si>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</si>
  <si>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</si>
  <si>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</si>
  <si>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</si>
  <si>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</si>
  <si>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</si>
  <si>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</si>
  <si>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</si>
  <si>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</si>
  <si>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</si>
  <si>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</si>
  <si>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</si>
  <si>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</si>
  <si>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</si>
  <si>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</si>
  <si>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</si>
  <si>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</si>
  <si>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</si>
  <si>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</si>
  <si>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</si>
  <si>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</si>
  <si>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</si>
  <si>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</si>
  <si>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</si>
  <si>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</si>
  <si>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</si>
  <si>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</si>
  <si>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</si>
  <si>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</si>
  <si>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</si>
  <si>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</si>
  <si>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</si>
  <si>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</si>
  <si>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</si>
  <si>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</si>
  <si>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</si>
  <si>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</si>
  <si>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</si>
  <si>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</si>
  <si>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</si>
  <si>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</si>
  <si>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</si>
  <si>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</si>
  <si>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</si>
  <si>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</si>
  <si>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</si>
  <si>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</si>
  <si>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</si>
  <si>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</si>
  <si>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</si>
  <si>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</si>
  <si>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</si>
  <si>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</si>
  <si>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</si>
  <si>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</si>
  <si>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</si>
  <si>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</si>
  <si>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</si>
  <si>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</si>
  <si>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</si>
  <si>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</si>
  <si>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</si>
  <si>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</si>
  <si>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</si>
  <si>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</si>
  <si>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</si>
  <si>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</si>
  <si>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</si>
  <si>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</si>
  <si>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</si>
  <si>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</si>
  <si>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</si>
  <si>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</si>
  <si>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</si>
  <si>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</si>
  <si>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</si>
  <si>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</si>
  <si>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</si>
  <si>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</si>
  <si>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</si>
  <si>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</si>
  <si>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</si>
  <si>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</si>
  <si>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</si>
  <si>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</si>
  <si>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</si>
  <si>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</si>
  <si>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</si>
  <si>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</si>
  <si>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</si>
  <si>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</si>
  <si>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</si>
  <si>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</si>
  <si>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</si>
  <si>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</si>
  <si>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</si>
  <si>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</si>
  <si>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</si>
  <si>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</si>
  <si>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</si>
  <si>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</si>
  <si>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</si>
  <si>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</si>
  <si>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</si>
  <si>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</si>
  <si>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</si>
  <si>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</si>
  <si>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</si>
  <si>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</si>
  <si>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</si>
  <si>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</si>
  <si>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</si>
  <si>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</si>
  <si>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</si>
  <si>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</si>
  <si>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</si>
  <si>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</si>
  <si>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</si>
  <si>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</si>
  <si>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</si>
  <si>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</si>
  <si>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</si>
  <si>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</si>
  <si>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</si>
  <si>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</si>
  <si>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</si>
  <si>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</si>
  <si>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</si>
  <si>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</si>
  <si>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</si>
  <si>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</si>
  <si>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</si>
  <si>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</si>
  <si>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</si>
  <si>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</si>
  <si>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</si>
  <si>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</si>
  <si>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</si>
  <si>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</si>
  <si>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</si>
  <si>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</si>
  <si>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</si>
  <si>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</si>
  <si>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</si>
  <si>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</si>
  <si>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</si>
  <si>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</si>
  <si>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</si>
  <si>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</si>
  <si>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</si>
  <si>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</si>
  <si>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</si>
  <si>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</si>
  <si>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</si>
  <si>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</si>
  <si>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</si>
  <si>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</si>
  <si>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</si>
  <si>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</si>
  <si>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</si>
  <si>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</si>
  <si>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</si>
  <si>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</si>
  <si>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</si>
  <si>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</si>
  <si>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</si>
  <si>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</si>
  <si>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</si>
  <si>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</si>
  <si>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</si>
  <si>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</si>
  <si>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</si>
  <si>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</si>
  <si>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</si>
  <si>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</si>
  <si>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</si>
  <si>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</si>
  <si>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</si>
  <si>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</si>
  <si>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</si>
  <si>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</si>
  <si>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</si>
  <si>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</si>
  <si>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</si>
  <si>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</si>
  <si>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</si>
  <si>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</si>
  <si>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</si>
  <si>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</si>
  <si>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</si>
  <si>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</si>
  <si>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</si>
  <si>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</si>
  <si>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</si>
  <si>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</si>
  <si>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</si>
  <si>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</si>
  <si>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</si>
  <si>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</si>
  <si>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</si>
  <si>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</si>
  <si>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</si>
  <si>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</si>
  <si>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</si>
  <si>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</si>
  <si>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</si>
  <si>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</si>
  <si>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</si>
  <si>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</si>
  <si>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</si>
  <si>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</si>
  <si>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</si>
  <si>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</si>
  <si>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</si>
  <si>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</si>
  <si>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</si>
  <si>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</si>
  <si>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</si>
  <si>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</si>
  <si>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</si>
  <si>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</si>
  <si>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</si>
  <si>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</si>
  <si>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</si>
  <si>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</si>
  <si>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</si>
  <si>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</si>
  <si>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</si>
  <si>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</si>
  <si>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</si>
  <si>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</si>
  <si>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</si>
  <si>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</si>
  <si>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</si>
  <si>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</si>
  <si>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</si>
  <si>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</si>
  <si>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</si>
  <si>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</si>
  <si>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</si>
  <si>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</si>
  <si>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</si>
  <si>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</si>
  <si>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</si>
  <si>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</si>
  <si>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</si>
  <si>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</si>
  <si>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</si>
  <si>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</si>
  <si>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</si>
  <si>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</si>
  <si>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</si>
  <si>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</si>
  <si>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</si>
  <si>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</si>
  <si>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</si>
  <si>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</si>
  <si>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</si>
  <si>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</si>
  <si>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</si>
  <si>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</si>
  <si>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</si>
  <si>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</si>
  <si>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</si>
  <si>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</si>
  <si>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</si>
  <si>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</si>
  <si>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</si>
  <si>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</si>
  <si>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</si>
  <si>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</si>
  <si>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</si>
  <si>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</si>
  <si>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</si>
  <si>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</si>
  <si>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</si>
  <si>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</si>
  <si>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</si>
  <si>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</si>
  <si>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</si>
  <si>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</si>
  <si>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</si>
  <si>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</si>
  <si>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</si>
  <si>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</si>
  <si>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</si>
  <si>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</si>
  <si>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</si>
  <si>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</si>
  <si>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</si>
  <si>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</si>
  <si>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</si>
  <si>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</si>
  <si>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</si>
  <si>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</si>
  <si>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</si>
  <si>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</si>
  <si>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</si>
  <si>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</si>
  <si>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</si>
  <si>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</si>
  <si>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</si>
  <si>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</si>
  <si>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</si>
  <si>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</si>
  <si>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</si>
  <si>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</si>
  <si>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</si>
  <si>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</si>
  <si>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</si>
  <si>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</si>
  <si>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</si>
  <si>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</si>
  <si>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</si>
  <si>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</si>
  <si>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</si>
  <si>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</si>
  <si>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</si>
  <si>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</si>
  <si>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</si>
  <si>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</si>
  <si>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</si>
  <si>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</si>
  <si>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</si>
  <si>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</si>
  <si>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</si>
  <si>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</si>
  <si>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</si>
  <si>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</si>
  <si>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</si>
  <si>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</si>
  <si>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</si>
  <si>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</si>
  <si>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</si>
  <si>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</si>
  <si>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</si>
  <si>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</si>
  <si>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</si>
  <si>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</si>
  <si>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</si>
  <si>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</si>
  <si>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</si>
  <si>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</si>
  <si>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</si>
  <si>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</si>
  <si>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</si>
  <si>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</si>
  <si>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</si>
  <si>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</si>
  <si>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</si>
  <si>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</si>
  <si>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</si>
  <si>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</si>
  <si>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</si>
  <si>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</si>
  <si>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</si>
  <si>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</si>
  <si>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</si>
  <si>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</si>
  <si>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</si>
  <si>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</si>
  <si>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</si>
  <si>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</si>
  <si>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</si>
  <si>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</si>
  <si>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</si>
  <si>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</si>
  <si>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</si>
  <si>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</si>
  <si>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</si>
  <si>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</si>
  <si>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</si>
  <si>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</si>
  <si>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</si>
  <si>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</si>
  <si>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</si>
  <si>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</si>
  <si>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</si>
  <si>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</si>
  <si>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</si>
  <si>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</si>
  <si>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</si>
  <si>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</si>
  <si>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</si>
  <si>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</si>
  <si>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</si>
  <si>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</si>
  <si>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</si>
  <si>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</si>
  <si>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</si>
  <si>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</si>
  <si>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</si>
  <si>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</si>
  <si>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</si>
  <si>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</si>
  <si>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</si>
  <si>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</si>
  <si>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</si>
  <si>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</si>
  <si>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</si>
  <si>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</si>
  <si>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</si>
  <si>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</si>
  <si>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</si>
  <si>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</si>
  <si>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</si>
  <si>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</si>
  <si>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</si>
  <si>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</si>
  <si>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</si>
  <si>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</si>
  <si>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</si>
  <si>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</si>
  <si>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</si>
  <si>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</si>
  <si>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</si>
  <si>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</si>
  <si>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</si>
  <si>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</si>
  <si>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</si>
  <si>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</si>
  <si>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</si>
  <si>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</si>
  <si>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</si>
  <si>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</si>
  <si>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</si>
  <si>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</si>
  <si>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</si>
  <si>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</si>
  <si>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</si>
  <si>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</si>
  <si>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</si>
  <si>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</si>
  <si>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</si>
  <si>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</si>
  <si>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</si>
  <si>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</si>
  <si>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</si>
  <si>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</si>
  <si>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</si>
  <si>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</si>
  <si>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</si>
  <si>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</si>
  <si>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</si>
  <si>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</si>
  <si>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</si>
  <si>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</si>
  <si>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</si>
  <si>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</si>
  <si>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</si>
  <si>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</si>
  <si>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</si>
  <si>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</si>
  <si>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</si>
  <si>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</si>
  <si>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</si>
  <si>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</si>
  <si>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</si>
  <si>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</si>
  <si>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</si>
  <si>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</si>
  <si>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</si>
  <si>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</si>
  <si>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</si>
  <si>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</si>
  <si>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</si>
  <si>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</si>
  <si>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</si>
  <si>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</si>
  <si>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</si>
  <si>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</si>
  <si>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</si>
  <si>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</si>
  <si>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</si>
  <si>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</si>
  <si>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</si>
  <si>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</si>
  <si>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</si>
  <si>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</si>
  <si>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</si>
  <si>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</si>
  <si>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</si>
  <si>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</si>
  <si>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</si>
  <si>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</si>
  <si>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</si>
  <si>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</si>
  <si>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</si>
  <si>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</si>
  <si>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</si>
  <si>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</si>
  <si>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</si>
  <si>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</si>
  <si>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</si>
  <si>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</si>
  <si>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</si>
  <si>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</si>
  <si>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</si>
  <si>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</si>
  <si>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</si>
  <si>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</si>
  <si>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</si>
  <si>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</si>
  <si>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</si>
  <si>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</si>
  <si>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</si>
  <si>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</si>
  <si>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</si>
  <si>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</si>
  <si>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</si>
  <si>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</si>
  <si>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</si>
  <si>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</si>
  <si>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</si>
  <si>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</si>
  <si>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</si>
  <si>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</si>
  <si>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</si>
  <si>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</si>
  <si>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</si>
  <si>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</si>
  <si>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</si>
  <si>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</si>
  <si>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</si>
  <si>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</si>
  <si>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</si>
  <si>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</si>
  <si>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</si>
  <si>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</si>
  <si>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</si>
  <si>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</si>
  <si>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</si>
  <si>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</si>
  <si>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</si>
  <si>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</si>
  <si>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</si>
  <si>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</si>
  <si>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</si>
  <si>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</si>
  <si>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</si>
  <si>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</si>
  <si>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</si>
  <si>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</si>
  <si>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</si>
  <si>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</si>
  <si>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</si>
  <si>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</si>
  <si>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</si>
  <si>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</si>
  <si>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</si>
  <si>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</si>
  <si>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</si>
  <si>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</si>
  <si>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</si>
  <si>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</si>
  <si>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</si>
  <si>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</si>
  <si>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</si>
  <si>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</si>
  <si>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</si>
  <si>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</si>
  <si>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</si>
  <si>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</si>
  <si>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</si>
  <si>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</si>
  <si>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</si>
  <si>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</si>
  <si>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</si>
  <si>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</si>
  <si>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</si>
  <si>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</si>
  <si>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</si>
  <si>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</si>
  <si>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</si>
  <si>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</si>
  <si>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</si>
  <si>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</si>
  <si>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</si>
  <si>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</si>
  <si>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</si>
  <si>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</si>
  <si>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</si>
  <si>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</si>
  <si>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</si>
  <si>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</si>
  <si>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</si>
  <si>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</si>
  <si>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</si>
  <si>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</si>
  <si>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</si>
  <si>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</si>
  <si>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</si>
  <si>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</si>
  <si>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</si>
  <si>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</si>
  <si>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</si>
  <si>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</si>
  <si>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</si>
  <si>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</si>
  <si>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</si>
  <si>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</si>
  <si>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</si>
  <si>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</si>
  <si>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</si>
  <si>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</si>
  <si>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</si>
  <si>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</si>
  <si>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</si>
  <si>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</si>
  <si>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</si>
  <si>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</si>
  <si>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</si>
  <si>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</si>
  <si>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</si>
  <si>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</si>
  <si>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</si>
  <si>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</si>
  <si>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</si>
  <si>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</si>
  <si>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</si>
  <si>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</si>
  <si>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</si>
  <si>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</si>
  <si>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</si>
  <si>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</si>
  <si>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</si>
  <si>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</si>
  <si>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</si>
  <si>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</si>
  <si>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</si>
  <si>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</si>
  <si>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</si>
  <si>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</si>
  <si>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</si>
  <si>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</si>
  <si>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</si>
  <si>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</si>
  <si>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</si>
  <si>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</si>
  <si>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</si>
  <si>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</si>
  <si>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</si>
  <si>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</si>
  <si>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</si>
  <si>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</si>
  <si>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</si>
  <si>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</si>
  <si>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</si>
  <si>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</si>
  <si>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</si>
  <si>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</si>
  <si>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</si>
  <si>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</si>
  <si>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</si>
  <si>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</si>
  <si>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</si>
  <si>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</si>
  <si>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</si>
  <si>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</si>
  <si>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</si>
  <si>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</si>
  <si>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</si>
  <si>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</si>
  <si>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</si>
  <si>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</si>
  <si>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</si>
  <si>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</si>
  <si>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</si>
  <si>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</si>
  <si>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</si>
  <si>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</si>
  <si>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</si>
  <si>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</si>
  <si>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</si>
  <si>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</si>
  <si>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</si>
  <si>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</si>
  <si>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</si>
  <si>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</si>
  <si>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</si>
  <si>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</si>
  <si>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</si>
  <si>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</si>
  <si>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</si>
  <si>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</si>
  <si>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</si>
  <si>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</si>
  <si>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</si>
  <si>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</si>
  <si>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</si>
  <si>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</si>
  <si>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</si>
  <si>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</si>
  <si>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</si>
  <si>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</si>
  <si>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</si>
  <si>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</si>
  <si>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</si>
  <si>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</si>
  <si>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</si>
  <si>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</si>
  <si>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</si>
  <si>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</si>
  <si>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</si>
  <si>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</si>
  <si>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</si>
  <si>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</si>
  <si>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</si>
  <si>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</si>
  <si>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</si>
  <si>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</si>
  <si>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</si>
  <si>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</si>
  <si>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</si>
  <si>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</si>
  <si>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</si>
  <si>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</si>
  <si>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</si>
  <si>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</si>
  <si>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</si>
  <si>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</si>
  <si>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</si>
  <si>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</si>
  <si>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</si>
  <si>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</si>
  <si>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</si>
  <si>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</si>
  <si>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</si>
  <si>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</si>
  <si>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</si>
  <si>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</si>
  <si>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</si>
  <si>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</si>
  <si>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</si>
  <si>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</si>
  <si>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</si>
  <si>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</si>
  <si>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</si>
  <si>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</si>
  <si>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</si>
  <si>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</si>
  <si>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</si>
  <si>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</si>
  <si>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</si>
  <si>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</si>
  <si>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</si>
  <si>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</si>
  <si>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</si>
  <si>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</si>
  <si>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</si>
  <si>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</si>
  <si>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</si>
  <si>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</si>
  <si>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</si>
  <si>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</si>
  <si>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</si>
  <si>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</si>
  <si>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</si>
  <si>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</si>
  <si>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</si>
  <si>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</si>
  <si>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</si>
  <si>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</si>
  <si>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</si>
  <si>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</si>
  <si>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</si>
  <si>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</si>
  <si>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</si>
  <si>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</si>
  <si>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</si>
  <si>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</si>
  <si>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</si>
  <si>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</si>
  <si>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</si>
  <si>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</si>
  <si>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</si>
  <si>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</si>
  <si>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</si>
  <si>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</si>
  <si>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</si>
  <si>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</si>
  <si>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</si>
  <si>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</si>
  <si>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</si>
  <si>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</si>
  <si>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</si>
  <si>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</si>
  <si>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</si>
  <si>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</si>
  <si>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</si>
  <si>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</si>
  <si>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</si>
  <si>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</si>
  <si>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</si>
  <si>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</si>
  <si>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</si>
  <si>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</si>
  <si>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</si>
  <si>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</si>
  <si>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</si>
  <si>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</si>
  <si>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</si>
  <si>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</si>
  <si>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</si>
  <si>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</si>
  <si>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</si>
  <si>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</si>
  <si>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</si>
  <si>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</si>
  <si>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</si>
  <si>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</si>
  <si>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</si>
  <si>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</si>
  <si>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</si>
  <si>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</si>
  <si>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</si>
  <si>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</si>
  <si>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</si>
  <si>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</si>
  <si>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</si>
  <si>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</si>
  <si>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</si>
  <si>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</si>
  <si>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</si>
  <si>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</si>
  <si>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</si>
  <si>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</si>
  <si>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</si>
  <si>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</si>
  <si>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</si>
  <si>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</si>
  <si>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</si>
  <si>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</si>
  <si>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</si>
  <si>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</si>
  <si>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</si>
  <si>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</si>
  <si>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</si>
  <si>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</si>
  <si>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</si>
  <si>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</si>
  <si>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</si>
  <si>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</si>
  <si>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</si>
  <si>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</si>
  <si>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</si>
  <si>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</si>
  <si>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</si>
  <si>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</si>
  <si>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</si>
  <si>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</si>
  <si>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</si>
  <si>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</si>
  <si>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</si>
  <si>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</si>
  <si>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</si>
  <si>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</si>
  <si>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</si>
  <si>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</si>
  <si>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</si>
  <si>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</si>
  <si>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</si>
  <si>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</si>
  <si>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</si>
  <si>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</si>
  <si>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</si>
  <si>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</si>
  <si>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</si>
  <si>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</si>
  <si>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</si>
  <si>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</si>
  <si>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</si>
  <si>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</si>
  <si>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</si>
  <si>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</si>
  <si>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</si>
  <si>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</si>
  <si>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</si>
  <si>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</si>
  <si>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</si>
  <si>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</si>
  <si>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</si>
  <si>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</si>
  <si>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</si>
  <si>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</si>
  <si>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</si>
  <si>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</si>
  <si>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</si>
  <si>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</si>
  <si>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</si>
  <si>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</si>
  <si>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</si>
  <si>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</si>
  <si>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</si>
  <si>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</si>
  <si>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</si>
  <si>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</si>
  <si>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</si>
  <si>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</si>
  <si>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</si>
  <si>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</si>
  <si>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</si>
  <si>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</si>
  <si>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</si>
  <si>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</si>
  <si>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</si>
  <si>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</si>
  <si>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</si>
  <si>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</si>
  <si>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</si>
  <si>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</si>
  <si>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</si>
  <si>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</si>
  <si>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</si>
  <si>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</si>
  <si>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</si>
  <si>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</si>
  <si>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</si>
  <si>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</si>
  <si>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</si>
  <si>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</si>
  <si>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</si>
  <si>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</si>
  <si>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</si>
  <si>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</si>
  <si>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</si>
  <si>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Ver. 09.10.25</t>
  </si>
  <si>
    <t>Tol</t>
  </si>
  <si>
    <t>HalfTol</t>
  </si>
  <si>
    <t>MaxMode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</si>
</sst>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2"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6">
    <dxf>
      <numFmt numFmtId="0" formatCode="General"/>
    </dxf>
    <dxf>
      <numFmt numFmtId="0" formatCode="General"/>
    </dxf>
    <dxf>
      <numFmt numFmtId="0" formatCode="General"/>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7"/>
    <tableColumn id="8" xr3:uid="{7C740CB9-37DA-435E-A87E-AF050E31623C}" uniqueName="8" name="wire_roll_cert_number" queryTableFieldId="8" dataDxfId="185"/>
    <tableColumn id="7" xr3:uid="{297A4F29-F6E9-4BD3-A7A2-5F1039480BAE}" uniqueName="7" name="certificate_number" queryTableFieldId="7" dataDxfId="184"/>
    <tableColumn id="6" xr3:uid="{B359FFDA-2633-4F67-9E7E-BA0BB88ADA64}" uniqueName="6" name="next_service_date" queryTableFieldId="6" dataDxfId="76"/>
    <tableColumn id="5" xr3:uid="{412A70E1-7452-417E-A3A9-BD3499EBD33C}" uniqueName="5" name="service_date" queryTableFieldId="5" dataDxfId="75"/>
    <tableColumn id="4" xr3:uid="{44F03B5B-6C09-4D5C-B2E2-D809B4EDF2B0}" uniqueName="4" name="custom_order_number" queryTableFieldId="4" dataDxfId="183"/>
    <tableColumn id="3" xr3:uid="{D963BD5C-EE98-4CDD-ABAE-5315BBDA1135}" uniqueName="3" name="asset_tag" queryTableFieldId="3" dataDxfId="182"/>
    <tableColumn id="2" xr3:uid="{D07D770F-21F7-425E-8CCA-AA85FFD513A3}" uniqueName="2" name="serial_number" queryTableFieldId="2" dataDxfId="181"/>
    <tableColumn id="1" xr3:uid="{4CB1C976-73DA-4579-B7F8-9D891581EA5A}" uniqueName="1" name="asset_id" queryTableFieldId="1"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9BEB240E-CB20-4420-A1FC-EDB14262D496}" uniqueName="1" name="traceability_no" queryTableFieldId="1" dataDxfId="180"/>
    <tableColumn id="2" xr3:uid="{44100894-4C9D-4514-95AC-618BC19E5917}" uniqueName="2" name="Temp" queryTableFieldId="4" dataDxfId="179"/>
    <tableColumn id="3" xr3:uid="{ECB904AC-F679-49D7-806F-647089E4822A}" uniqueName="3" name="Offset" queryTableFieldId="5" dataDxfId="17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7"/>
    <tableColumn id="3" xr3:uid="{5A7694DA-28F6-45C3-AA3A-8F5C42BC36CB}" uniqueName="3" name="login_email" queryTableFieldId="12"/>
    <tableColumn id="4" xr3:uid="{E8A7333A-3221-4D58-96FF-11D069828831}" uniqueName="4" name="IsPyro" queryTableFieldId="13" dataDxfId="17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5">
  <autoFilter ref="A1:C9" xr:uid="{8AF992F3-27EF-4265-960D-70EC6F74FAFA}"/>
  <sortState xmlns:xlrd2="http://schemas.microsoft.com/office/spreadsheetml/2017/richdata2" ref="A2:C9">
    <sortCondition ref="B1:B9"/>
  </sortState>
  <tableColumns count="3">
    <tableColumn id="1" xr3:uid="{1F7D0D09-7152-4679-B25C-65CF0E0AB2D4}" name="Type" dataDxfId="17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1"/>
    <tableColumn id="3" xr3:uid="{2724CA85-C781-4E38-A0DA-097BFEEFE8B1}" uniqueName="3" name="Temp" queryTableFieldId="3" dataDxfId="170"/>
    <tableColumn id="6" xr3:uid="{12D5EB84-2052-49F7-A25B-127266D7FB89}" uniqueName="6" name="traceability_no" queryTableFieldId="6" dataDxfId="169"/>
    <tableColumn id="5" xr3:uid="{D8FBA668-C3CE-41DC-B112-B2663A4558F7}" uniqueName="5" name="Offset" queryTableFieldId="5" dataDxfId="16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3"/>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2"/>
    <tableColumn id="2" xr3:uid="{437C4123-EB61-4869-9470-5A1B394BA060}" uniqueName="2" name="Ranges" queryTableFieldId="2" dataDxfId="1"/>
    <tableColumn id="3" xr3:uid="{F2805B69-D38A-4282-80C7-76512A175951}" uniqueName="3" name="Tolerances" queryTableFieldId="3" dataDxfId="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0"/>
    <tableColumn id="8" xr3:uid="{6A970319-4DB4-4470-AD18-810376DE6248}" uniqueName="8" name="Flags" queryTableFieldId="8" dataDxfId="149"/>
    <tableColumn id="10" xr3:uid="{C036645E-37FD-4D8C-A495-9B7CD74F1924}" uniqueName="10" name="TolMinText" queryTableFieldId="10" dataDxfId="148">
      <calculatedColumnFormula>TEXT(UUTRangeTol[[#This Row],[TolMin]],SUBSTITUTE(UUTRangeTol[[#This Row],[TolResolution]],"1","0"))&amp;UUTRangeTol[[#This Row],[Unit]]</calculatedColumnFormula>
    </tableColumn>
    <tableColumn id="11" xr3:uid="{7185F013-BA2C-4D79-99A0-8DCC297E6118}" uniqueName="11" name="TolMaxText" queryTableFieldId="11" dataDxfId="147">
      <calculatedColumnFormula>TEXT(UUTRangeTol[[#This Row],[TolMax]],SUBSTITUTE(UUTRangeTol[[#This Row],[TolResolution]],"1","0"))&amp;UUTRangeTol[[#This Row],[Unit]]</calculatedColumnFormula>
    </tableColumn>
    <tableColumn id="12" xr3:uid="{EE0701A7-578C-482F-B1ED-DBCB9E95A0C6}" uniqueName="12" name="TolText" queryTableFieldId="12" dataDxfId="14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5">
      <calculatedColumnFormula>UUTRangeTol[[#This Row],[RangeMax]]&amp;UUTRangeTol[[#This Row],[Unit]]</calculatedColumnFormula>
    </tableColumn>
    <tableColumn id="14" xr3:uid="{EF348E52-D936-44CC-A058-66DD7A780488}" uniqueName="14" name="RangeText" queryTableFieldId="14" dataDxfId="14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3"/>
    <tableColumn id="3" xr3:uid="{E88E0260-3227-45C4-8780-42D2D8D460DF}" name="SAT TOL" dataDxfId="142">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dataCellStyle="Normal 3"/>
    <tableColumn id="3" xr3:uid="{52334E52-C590-4A01-82BC-CCC9DA2C2817}" name="30" dataDxfId="136" dataCellStyle="Normal 3"/>
    <tableColumn id="4" xr3:uid="{145DAD22-055B-47E2-958D-C0E0B68ECCC8}" name="31" dataDxfId="135" dataCellStyle="Normal 3"/>
    <tableColumn id="5" xr3:uid="{09C3BF4E-C2AE-4497-AAA2-CF5A8A70B030}" name="32" dataDxfId="134" dataCellStyle="Normal 3"/>
    <tableColumn id="6" xr3:uid="{E9F444F5-7F75-4B80-BC2D-E9E92BB7C32D}" name="33" dataDxfId="133" dataCellStyle="Normal 3"/>
    <tableColumn id="7" xr3:uid="{C42F56B6-C38E-41DC-811A-50AF69D04B80}" name="34" dataDxfId="132" dataCellStyle="Normal 3"/>
    <tableColumn id="8" xr3:uid="{1930235F-D2C0-482D-8CC0-6B3AC765E7EA}" name="35" dataDxfId="131" dataCellStyle="Normal 3"/>
    <tableColumn id="9" xr3:uid="{6FCF613B-A86F-4DC6-9CC5-0A1E44E3DFE0}" name="36" dataDxfId="130" dataCellStyle="Normal 3"/>
    <tableColumn id="10" xr3:uid="{19EA3429-FD7E-4BA0-96B7-70F520D9FE0F}" name="37" dataDxfId="129" dataCellStyle="Normal 3"/>
    <tableColumn id="11" xr3:uid="{A5D0DAE1-1017-4DE3-AEA6-1BAF97E0FBDC}" name="38" dataDxfId="128" dataCellStyle="Normal 3"/>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dataCellStyle="Normal 3"/>
    <tableColumn id="3" xr3:uid="{5D74EEBF-1FB4-4DF9-8EDD-C656F929ADA2}" name="16" dataDxfId="121" dataCellStyle="Normal 3"/>
    <tableColumn id="4" xr3:uid="{B1176DF8-22B4-4741-A534-22D0C72EF1F0}" name="17" dataDxfId="120" dataCellStyle="Normal 3"/>
    <tableColumn id="5" xr3:uid="{1E29EA65-5182-4B3E-817F-0D30B2884EC7}" name="18" dataDxfId="119" dataCellStyle="Normal 3"/>
    <tableColumn id="6" xr3:uid="{AF53AEFB-F310-4F08-91BC-82FB0F484ECA}" name="19" dataDxfId="118" dataCellStyle="Normal 3"/>
    <tableColumn id="7" xr3:uid="{EE472F61-D1B5-43CF-A661-FA1D47001C17}" name="20" dataDxfId="117" dataCellStyle="Normal 3"/>
    <tableColumn id="8" xr3:uid="{841D54C1-AB74-4CB1-8C7F-C38D11EFAD3F}" name="21" dataDxfId="116" dataCellStyle="Normal 3"/>
    <tableColumn id="9" xr3:uid="{F1FB485B-DEAA-4958-8C40-80934EA1437F}" name="22" dataDxfId="115" dataCellStyle="Normal 3"/>
    <tableColumn id="10" xr3:uid="{5C552A76-BD54-46C5-93AD-8F25289FA051}" name="23" dataDxfId="114" dataCellStyle="Normal 3"/>
    <tableColumn id="11" xr3:uid="{B20FA5F1-0522-49D0-9B5A-34570A8AE6EA}" name="24" dataDxfId="113" dataCellStyle="Normal 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8" tableType="queryTable" totalsRowShown="0" headerRowDxfId="90" dataDxfId="89">
  <autoFilter ref="A1:O1668" xr:uid="{7FFB3A25-33B3-41D4-A4EC-161ECACD71F3}"/>
  <tableColumns count="15">
    <tableColumn id="1" xr3:uid="{11D744F1-EDFB-47DE-B384-CF9869615081}" uniqueName="1" name="company_name" queryTableFieldId="80"/>
    <tableColumn id="2" xr3:uid="{39B8308C-AB2D-4935-AB6D-60659663F9DB}" uniqueName="2" name="Address1" queryTableFieldId="81" dataDxfId="88"/>
    <tableColumn id="3" xr3:uid="{5F5E8FED-27C7-498A-86F2-8DE1BF0A773A}" uniqueName="3" name="Address2" queryTableFieldId="82" dataDxfId="8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6"/>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5" dataDxfId="84">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72"/>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dataDxfId="8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1" dataDxfId="80" headerRowCellStyle="Normal 2" dataCellStyle="Normal 2">
  <autoFilter ref="U11:V25" xr:uid="{DCCFF26E-EC5C-4962-98DB-A7DA1F3C8CE2}"/>
  <tableColumns count="2">
    <tableColumn id="1" xr3:uid="{DFC40837-B092-4826-9847-4A23BE22020F}" name="4" dataDxfId="79" dataCellStyle="Normal 2"/>
    <tableColumn id="2" xr3:uid="{0711DB07-19DA-4D5E-A417-C242A0304453}" name="10" dataDxfId="7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1"/>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E5Cep7MhGLzqUn8sI2zXcLGf0Epv7PHfz6pCgfzxYruBDK4KSNCpjjKz+aPqrp4oMvMNO/5OS8Dkclc8eY1+VQ==" saltValue="Eqlj7vMx14Lp4dYSHKQYq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3hEWpz+xTqAY4MeCQ/OTmROpudb7w2gqQ2UfOZ7ZFplBfbz7Dz9sCb0NYhFeVji44lolC16diik+kSNYiMj54Q==" saltValue="E2p1KAmoppKZ5FCu1nRbt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FH38k6dOBRNu6LNXrHjora0WjIpYYQHJoolr8S0CTME7yq65h6U6FfB8w5vZkrnoPrZl73nlz3edIQeWyWIR/Q==" saltValue="HV/yv5m3C+TF1E4x6ERLo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399</v>
      </c>
      <c r="F1" t="s">
        <v>963</v>
      </c>
      <c r="G1" t="s">
        <v>964</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958</v>
      </c>
      <c r="J1" t="s">
        <v>959</v>
      </c>
      <c r="K1" t="s">
        <v>960</v>
      </c>
      <c r="L1" t="s">
        <v>961</v>
      </c>
      <c r="M1" t="s">
        <v>962</v>
      </c>
      <c r="O1" s="39" t="s">
        <v>399</v>
      </c>
      <c r="P1" t="s">
        <v>952</v>
      </c>
      <c r="Q1" t="s">
        <v>953</v>
      </c>
      <c r="R1" t="s">
        <v>954</v>
      </c>
      <c r="S1" t="s">
        <v>955</v>
      </c>
      <c r="T1" t="s">
        <v>956</v>
      </c>
      <c r="U1" t="s">
        <v>957</v>
      </c>
      <c r="X1" t="s">
        <v>957</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967</v>
      </c>
      <c r="Q5" s="39" t="s">
        <v>968</v>
      </c>
      <c r="S5" s="39" t="s">
        <v>969</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565</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566</v>
      </c>
      <c r="P7" s="672">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966</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4"/>
    </row>
    <row r="4" spans="1:22" s="291" customFormat="1" x14ac:dyDescent="0.2">
      <c r="A4" s="334"/>
      <c r="B4" s="144"/>
      <c r="C4" s="145" t="s">
        <v>230</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4"/>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4"/>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323</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55" t="s">
        <v>163</v>
      </c>
      <c r="K16" s="556"/>
      <c r="L16" s="297"/>
      <c r="M16" s="316"/>
      <c r="N16" s="462">
        <v>12</v>
      </c>
      <c r="O16" s="149"/>
      <c r="P16" s="505" t="str">
        <f>VLOOKUP(N16,Alerts[],3,FALSE)</f>
        <v/>
      </c>
      <c r="Q16" s="506"/>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5" t="s">
        <v>164</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33" t="str">
        <f>IF(K15="Salt",0, IF(OR(K15="Hot",K15="SIM Load Hot"),IF(OR(D26="",D28=""),"N/A",IF(ISBLANK(D26),"N/A",D28-D26)),"N/A"))</f>
        <v>N/A</v>
      </c>
      <c r="H19" s="534"/>
      <c r="I19" s="343" t="str">
        <f>IF(G19="N/A","N/A",IF(G19=0,"&lt;2",ROUND(IF(LEN(G19)&gt;3,G19*1440,RIGHT(TEXT(G19,"hh:mm"),2)),0))&amp;" MINUTES")</f>
        <v>N/A</v>
      </c>
      <c r="J19" s="496">
        <f>V21</f>
        <v>40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37" t="str">
        <f>"SAT Tolerance (per " &amp; IF(E20, "AMS2750", "BAC5621") &amp; "):"</f>
        <v>SAT Tolerance (per AMS2750):</v>
      </c>
      <c r="C20" s="538"/>
      <c r="D20" s="412" t="e">
        <f>G94</f>
        <v>#N/A</v>
      </c>
      <c r="E20" s="477" t="b">
        <v>1</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63" t="s">
        <v>371</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39" t="s">
        <v>552</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4"/>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328</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59" t="s">
        <v>331</v>
      </c>
      <c r="Q47" s="559"/>
      <c r="R47" s="432" t="s">
        <v>332</v>
      </c>
      <c r="S47" s="320"/>
      <c r="T47" s="320"/>
      <c r="U47" s="320"/>
    </row>
    <row r="48" spans="1:23" x14ac:dyDescent="0.2">
      <c r="A48" s="334"/>
      <c r="B48" s="358"/>
      <c r="C48" s="430" t="s">
        <v>34</v>
      </c>
      <c r="D48" s="303"/>
      <c r="E48" s="303"/>
      <c r="F48" s="303"/>
      <c r="G48" s="303"/>
      <c r="H48" s="303"/>
      <c r="I48" s="303"/>
      <c r="J48" s="360"/>
      <c r="K48" s="360"/>
      <c r="L48" s="360"/>
      <c r="M48" s="560" t="s">
        <v>333</v>
      </c>
      <c r="N48" s="560"/>
      <c r="O48" s="362"/>
      <c r="P48" s="518" t="s">
        <v>380</v>
      </c>
      <c r="Q48" s="519"/>
      <c r="R48" s="520"/>
      <c r="S48" s="363"/>
      <c r="T48" s="321"/>
      <c r="U48" s="518" t="s">
        <v>383</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21" t="s">
        <v>385</v>
      </c>
      <c r="Q49" s="522"/>
      <c r="R49" s="523"/>
      <c r="S49" s="433"/>
      <c r="T49" s="322"/>
      <c r="U49" s="521" t="s">
        <v>384</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09" t="s">
        <v>336</v>
      </c>
      <c r="Q50" s="510"/>
      <c r="R50" s="511"/>
      <c r="S50" s="366"/>
      <c r="T50" s="323"/>
      <c r="U50" s="509" t="s">
        <v>336</v>
      </c>
      <c r="V50" s="510"/>
      <c r="W50" s="511"/>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21" t="s">
        <v>381</v>
      </c>
      <c r="Q51" s="522"/>
      <c r="R51" s="523"/>
      <c r="S51" s="433"/>
      <c r="T51" s="324"/>
      <c r="U51" s="521" t="s">
        <v>386</v>
      </c>
      <c r="V51" s="522"/>
      <c r="W51" s="523"/>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09" t="s">
        <v>336</v>
      </c>
      <c r="Q52" s="510"/>
      <c r="R52" s="511"/>
      <c r="S52" s="366"/>
      <c r="T52" s="325"/>
      <c r="U52" s="509" t="s">
        <v>336</v>
      </c>
      <c r="V52" s="510"/>
      <c r="W52" s="511"/>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12" t="s">
        <v>382</v>
      </c>
      <c r="Q53" s="513"/>
      <c r="R53" s="514"/>
      <c r="S53" s="434"/>
      <c r="T53" s="326"/>
      <c r="U53" s="512" t="s">
        <v>387</v>
      </c>
      <c r="V53" s="513"/>
      <c r="W53" s="514"/>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15"/>
      <c r="Q54" s="516"/>
      <c r="R54" s="517"/>
      <c r="S54" s="371"/>
      <c r="T54" s="327"/>
      <c r="U54" s="515"/>
      <c r="V54" s="516"/>
      <c r="W54" s="517"/>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52" t="s">
        <v>158</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161</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NYTToU+Dc0ylMhGqpSoE/B7boDFYr/bJTkkiZuEouy6C8jCO8z9KYJBByqV4l5DdU9mQF9934VD5x/eJyVs2w==" saltValue="ADPVQjmtbzlo7Kf2FVheB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9"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k7Zxgzrw7uFG4k1CEmDVJbJP9YhudQeXt9UhupwN8Tk9V7ojFUTmsxd4Zv4laEPjrk8cO0QgEFURmGIhCMNy1w==" saltValue="8kQqLcuFNfXTd3ne+UYmD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A3" s="670"/>
      <c r="B3" s="671"/>
      <c r="C3" s="671"/>
      <c r="D3" s="671"/>
      <c r="E3" s="671"/>
      <c r="F3" s="671"/>
      <c r="G3" s="671"/>
      <c r="H3" s="671"/>
      <c r="I3" s="671"/>
      <c r="J3" s="671"/>
      <c r="K3" s="671"/>
      <c r="L3" s="490"/>
      <c r="M3" s="490"/>
      <c r="N3" s="490"/>
      <c r="O3" s="485"/>
      <c r="Q3" s="670"/>
      <c r="R3" s="671"/>
      <c r="S3" s="671"/>
      <c r="T3" s="671"/>
      <c r="U3" s="671"/>
      <c r="V3" s="671"/>
      <c r="W3" s="671"/>
      <c r="X3" s="671"/>
      <c r="Y3" s="671"/>
      <c r="Z3" s="671"/>
      <c r="AA3" s="671"/>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AG535" s="488"/>
    </row>
    <row r="536" spans="17:33" x14ac:dyDescent="0.2">
      <c r="AG536" s="488"/>
    </row>
    <row r="537" spans="17:33" x14ac:dyDescent="0.2">
      <c r="AG537" s="488"/>
    </row>
    <row r="538" spans="17:33" x14ac:dyDescent="0.2">
      <c r="AG538" s="488"/>
    </row>
    <row r="539" spans="17:33" x14ac:dyDescent="0.2">
      <c r="AG539" s="488"/>
    </row>
    <row r="540" spans="17:33" x14ac:dyDescent="0.2">
      <c r="AG540" s="488"/>
    </row>
    <row r="541" spans="17:33" x14ac:dyDescent="0.2">
      <c r="AG541" s="488"/>
    </row>
    <row r="542" spans="17:33" x14ac:dyDescent="0.2">
      <c r="AG542" s="488"/>
    </row>
    <row r="543" spans="17:33" x14ac:dyDescent="0.2">
      <c r="AG543" s="488"/>
    </row>
    <row r="544" spans="17:33" x14ac:dyDescent="0.2">
      <c r="AG544" s="488"/>
    </row>
    <row r="545" spans="33:33" x14ac:dyDescent="0.2">
      <c r="AG545" s="488"/>
    </row>
    <row r="546" spans="33:33" x14ac:dyDescent="0.2">
      <c r="AG546" s="488"/>
    </row>
    <row r="547" spans="33:33" x14ac:dyDescent="0.2">
      <c r="AG547" s="488"/>
    </row>
    <row r="548" spans="33:33" x14ac:dyDescent="0.2">
      <c r="AG548" s="488"/>
    </row>
    <row r="549" spans="33:33" x14ac:dyDescent="0.2">
      <c r="AG549" s="488"/>
    </row>
    <row r="550" spans="33:33" x14ac:dyDescent="0.2">
      <c r="AG550" s="488"/>
    </row>
    <row r="551" spans="33:33" x14ac:dyDescent="0.2">
      <c r="AG551" s="488"/>
    </row>
    <row r="552" spans="33:33" x14ac:dyDescent="0.2">
      <c r="AG552" s="488"/>
    </row>
    <row r="553" spans="33:33" x14ac:dyDescent="0.2">
      <c r="AG553" s="488"/>
    </row>
    <row r="554" spans="33:33" x14ac:dyDescent="0.2">
      <c r="AG554" s="488"/>
    </row>
    <row r="555" spans="33:33" x14ac:dyDescent="0.2">
      <c r="AG555" s="488"/>
    </row>
    <row r="556" spans="33:33" x14ac:dyDescent="0.2">
      <c r="AG556" s="488"/>
    </row>
    <row r="557" spans="33:33" x14ac:dyDescent="0.2">
      <c r="AG557" s="488"/>
    </row>
    <row r="558" spans="33:33" x14ac:dyDescent="0.2">
      <c r="AG558" s="488"/>
    </row>
    <row r="559" spans="33:33" x14ac:dyDescent="0.2">
      <c r="AG559" s="488"/>
    </row>
    <row r="560" spans="33: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yl4G8BlzmpYicojtiJb0iBF3q00QUSIm8xHyLxSqzoQfyxCTdbUz8JSOvdWg95fZXeS9n8qsIDHfal/RrKuf8g==" saltValue="QTGRXzvqIJZJ2mlXOR3Fn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HcXwvvrlIxw5HhCZskEydvQIfPeKj1EqY3RE6Zlg4jDQhGrWmKQZ7ydTvsqYIWfzbL6D8fkHN52w9jM80V91sw==" saltValue="Ni1xCCCnx7IJbLNhTawwU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8"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321</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318</v>
      </c>
      <c r="L8" s="589">
        <f>FormNumber</f>
        <v>0</v>
      </c>
      <c r="M8" s="589"/>
      <c r="N8" s="589"/>
      <c r="O8" s="589"/>
    </row>
    <row r="9" spans="1:18" ht="18" customHeight="1" x14ac:dyDescent="0.25">
      <c r="A9" s="228" t="s">
        <v>275</v>
      </c>
      <c r="B9" s="34" t="e">
        <f>Main!D5</f>
        <v>#N/A</v>
      </c>
      <c r="J9" s="81"/>
      <c r="K9" s="228" t="s">
        <v>319</v>
      </c>
      <c r="L9" s="590" t="str">
        <f>"JGI WP4100, "&amp;CalMethod</f>
        <v xml:space="preserve">JGI WP4100, </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320</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7">
        <f>SerialNumber</f>
        <v>0</v>
      </c>
      <c r="C16" s="607"/>
      <c r="D16" s="607"/>
      <c r="E16" s="607"/>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596">
        <f>Class</f>
        <v>0</v>
      </c>
      <c r="C18" s="596"/>
      <c r="D18" s="596"/>
      <c r="E18" s="596"/>
      <c r="G18" s="228" t="s">
        <v>285</v>
      </c>
      <c r="H18" s="232">
        <f>CubicFeet</f>
        <v>0</v>
      </c>
      <c r="M18" s="228" t="s">
        <v>289</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08">
        <f>Controller</f>
        <v>0</v>
      </c>
      <c r="C21" s="608"/>
      <c r="D21" s="608"/>
      <c r="E21" s="608"/>
      <c r="F21" s="219" t="s">
        <v>292</v>
      </c>
      <c r="G21" s="608">
        <f>ContSN</f>
        <v>0</v>
      </c>
      <c r="H21" s="608"/>
      <c r="I21" s="608"/>
      <c r="J21" s="219" t="s">
        <v>293</v>
      </c>
      <c r="K21" s="231">
        <f>ContTol</f>
        <v>0</v>
      </c>
      <c r="L21" s="205"/>
      <c r="M21" s="219" t="s">
        <v>294</v>
      </c>
      <c r="N21" s="244" t="str">
        <f>Main!G27</f>
        <v/>
      </c>
      <c r="O21" s="206"/>
    </row>
    <row r="22" spans="1:19" ht="18" customHeight="1" x14ac:dyDescent="0.25">
      <c r="A22" s="237" t="s">
        <v>291</v>
      </c>
      <c r="B22" s="609">
        <f>_xlnm.Recorder</f>
        <v>0</v>
      </c>
      <c r="C22" s="609"/>
      <c r="D22" s="609"/>
      <c r="E22" s="609"/>
      <c r="F22" s="220" t="s">
        <v>292</v>
      </c>
      <c r="G22" s="609">
        <f>RecSN</f>
        <v>0</v>
      </c>
      <c r="H22" s="609"/>
      <c r="I22" s="609"/>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6" t="s">
        <v>303</v>
      </c>
      <c r="D27" s="606"/>
      <c r="E27" s="606"/>
      <c r="F27" s="606"/>
      <c r="G27" s="606"/>
      <c r="H27" s="606"/>
      <c r="I27" s="606"/>
      <c r="J27" s="606"/>
      <c r="K27" s="606"/>
      <c r="L27" s="606"/>
      <c r="M27" s="606"/>
      <c r="N27" s="208"/>
      <c r="O27" s="209"/>
    </row>
    <row r="28" spans="1:19" ht="8.1" customHeight="1" x14ac:dyDescent="0.2"/>
    <row r="29" spans="1:19" ht="18" customHeight="1" x14ac:dyDescent="0.2">
      <c r="A29" s="602" t="s">
        <v>273</v>
      </c>
      <c r="B29" s="603"/>
      <c r="C29" s="604"/>
      <c r="D29" s="602" t="s">
        <v>304</v>
      </c>
      <c r="E29" s="603"/>
      <c r="F29" s="603"/>
      <c r="G29" s="604"/>
      <c r="H29" s="602" t="s">
        <v>274</v>
      </c>
      <c r="I29" s="603"/>
      <c r="J29" s="603"/>
      <c r="K29" s="604"/>
      <c r="L29" s="602" t="s">
        <v>257</v>
      </c>
      <c r="M29" s="603"/>
      <c r="N29" s="603"/>
      <c r="O29" s="604"/>
    </row>
    <row r="30" spans="1:19" ht="18" customHeight="1" x14ac:dyDescent="0.2">
      <c r="A30" s="224"/>
      <c r="B30" s="214" t="s">
        <v>965</v>
      </c>
      <c r="C30" s="225"/>
      <c r="D30" s="599" t="str">
        <f>CONCATENATE(Main!D22,Unit,"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305</v>
      </c>
      <c r="B32" s="591" t="s">
        <v>306</v>
      </c>
      <c r="C32" s="591"/>
      <c r="D32" s="247" t="s">
        <v>269</v>
      </c>
      <c r="E32" s="247" t="s">
        <v>268</v>
      </c>
      <c r="F32" s="247" t="s">
        <v>307</v>
      </c>
      <c r="G32" s="81"/>
      <c r="H32" s="81"/>
      <c r="I32" s="247" t="s">
        <v>305</v>
      </c>
      <c r="J32" s="591" t="s">
        <v>306</v>
      </c>
      <c r="K32" s="591"/>
      <c r="L32" s="247" t="s">
        <v>269</v>
      </c>
      <c r="M32" s="247" t="s">
        <v>268</v>
      </c>
      <c r="N32" s="247" t="s">
        <v>307</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308</v>
      </c>
      <c r="C53" s="595"/>
      <c r="D53" s="595"/>
      <c r="E53" s="595"/>
      <c r="F53" s="595"/>
      <c r="G53" s="595"/>
      <c r="H53" s="595"/>
      <c r="I53" s="595"/>
      <c r="J53" s="595"/>
      <c r="K53" s="595"/>
      <c r="L53" s="595"/>
      <c r="M53" s="595"/>
      <c r="N53" s="595"/>
    </row>
    <row r="54" spans="1:20" ht="18" customHeight="1" x14ac:dyDescent="0.25">
      <c r="A54" s="250" t="s">
        <v>309</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317</v>
      </c>
      <c r="B60" s="594"/>
      <c r="C60" s="594"/>
      <c r="D60" s="594"/>
      <c r="E60" s="594"/>
      <c r="F60" s="594"/>
      <c r="G60" s="594"/>
      <c r="H60" s="594"/>
      <c r="I60" s="594"/>
      <c r="J60" s="594"/>
      <c r="K60" s="594"/>
      <c r="L60" s="594"/>
      <c r="M60" s="594"/>
      <c r="N60" s="594"/>
      <c r="O60" s="594"/>
    </row>
    <row r="61" spans="1:20" ht="18" customHeight="1" x14ac:dyDescent="0.2">
      <c r="A61" s="598" t="s">
        <v>310</v>
      </c>
      <c r="B61" s="598"/>
      <c r="C61" s="598"/>
      <c r="D61" s="598"/>
      <c r="E61" s="598"/>
      <c r="F61" s="587" t="s">
        <v>311</v>
      </c>
      <c r="G61" s="587"/>
      <c r="H61" s="587"/>
      <c r="I61" s="587" t="s">
        <v>312</v>
      </c>
      <c r="J61" s="587"/>
      <c r="K61" s="587" t="s">
        <v>313</v>
      </c>
      <c r="L61" s="587"/>
      <c r="M61" s="587" t="s">
        <v>314</v>
      </c>
      <c r="N61" s="587"/>
      <c r="O61" s="587"/>
      <c r="R61" s="39" t="s">
        <v>855</v>
      </c>
      <c r="T61" s="39" t="s">
        <v>856</v>
      </c>
    </row>
    <row r="62" spans="1:20" ht="18" customHeight="1" x14ac:dyDescent="0.2">
      <c r="A62" s="577" t="str">
        <f>IF(F62="","",CONCATENATE(T62," - ",R62))</f>
        <v/>
      </c>
      <c r="B62" s="578"/>
      <c r="C62" s="578"/>
      <c r="D62" s="578"/>
      <c r="E62" s="579"/>
      <c r="F62" s="577" t="str" cm="1">
        <f t="array" ref="F62">IFERROR(
  _xlfn.XLOOKUP(
    Main!D9,
    _xlfn._xlws.FILTER(AssetPool[AssetTag], AssetPool[RootCategoryName]= "DAQ Modules"),
    _xlfn._xlws.FILTER(AssetPool[SerialNumber], AssetPool[RootCategoryName]= "DAQ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369</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5nLlbkfBint8DYc/Bi6Xif+SvNREXxYeaiQDqMFHhI/7Mv1Il0Btn/eLfV/dmz05ViG/a76BZ19XldDPv6p8CA==" saltValue="r9NUw0ZXradVp3UXb4cAD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8"/>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I147"/>
      <c r="L147"/>
      <c r="M147"/>
      <c r="N147"/>
      <c r="O147"/>
    </row>
    <row r="148" spans="1:15" x14ac:dyDescent="0.2">
      <c r="A148"/>
      <c r="B148"/>
      <c r="C148"/>
      <c r="F148"/>
      <c r="G148"/>
      <c r="I148"/>
      <c r="L148"/>
      <c r="M148"/>
      <c r="N148"/>
      <c r="O148"/>
    </row>
    <row r="149" spans="1:15" x14ac:dyDescent="0.2">
      <c r="A149"/>
      <c r="B149"/>
      <c r="C149"/>
      <c r="F149"/>
      <c r="G149"/>
      <c r="H149"/>
      <c r="I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L155"/>
      <c r="M155"/>
      <c r="N155"/>
      <c r="O155"/>
    </row>
    <row r="156" spans="1:15" x14ac:dyDescent="0.2">
      <c r="A156"/>
      <c r="B156"/>
      <c r="C156"/>
      <c r="F156"/>
      <c r="G156"/>
      <c r="H156"/>
      <c r="I156"/>
      <c r="L156"/>
      <c r="M156"/>
      <c r="N156"/>
      <c r="O156"/>
    </row>
    <row r="157" spans="1:15" x14ac:dyDescent="0.2">
      <c r="A157"/>
      <c r="B157"/>
      <c r="C157"/>
      <c r="F157"/>
      <c r="G157"/>
      <c r="H157"/>
      <c r="I157"/>
      <c r="L157"/>
      <c r="M157"/>
      <c r="N157"/>
      <c r="O157"/>
    </row>
    <row r="158" spans="1:15" x14ac:dyDescent="0.2">
      <c r="A158"/>
      <c r="B158"/>
      <c r="C158"/>
      <c r="F158"/>
      <c r="G158"/>
      <c r="I158"/>
      <c r="L158"/>
      <c r="M158"/>
      <c r="N158"/>
      <c r="O158"/>
    </row>
    <row r="159" spans="1:15" x14ac:dyDescent="0.2">
      <c r="A159"/>
      <c r="B159"/>
      <c r="C159"/>
      <c r="F159"/>
      <c r="G159"/>
      <c r="H159"/>
      <c r="I159"/>
      <c r="L159"/>
      <c r="M159"/>
      <c r="N159"/>
      <c r="O159"/>
    </row>
    <row r="160" spans="1:15" x14ac:dyDescent="0.2">
      <c r="A160"/>
      <c r="B160"/>
      <c r="C160"/>
      <c r="F160"/>
      <c r="G160"/>
      <c r="M160"/>
      <c r="N160"/>
      <c r="O160"/>
    </row>
    <row r="161" spans="1:15" x14ac:dyDescent="0.2">
      <c r="A161"/>
      <c r="B161"/>
      <c r="C161"/>
      <c r="F161"/>
      <c r="G161"/>
      <c r="I161"/>
      <c r="L161"/>
      <c r="M161"/>
      <c r="N161"/>
      <c r="O161"/>
    </row>
    <row r="162" spans="1:15" x14ac:dyDescent="0.2">
      <c r="A162"/>
      <c r="B162"/>
      <c r="C162"/>
      <c r="F162"/>
      <c r="G162"/>
      <c r="H162"/>
      <c r="I162"/>
      <c r="L162"/>
      <c r="N162"/>
      <c r="O162"/>
    </row>
    <row r="163" spans="1:15" x14ac:dyDescent="0.2">
      <c r="A163"/>
      <c r="B163"/>
      <c r="C163"/>
      <c r="F163"/>
      <c r="G163"/>
      <c r="H163"/>
      <c r="I163"/>
      <c r="L163"/>
      <c r="M163"/>
      <c r="N163"/>
      <c r="O163"/>
    </row>
    <row r="164" spans="1:15" x14ac:dyDescent="0.2">
      <c r="A164"/>
      <c r="B164"/>
      <c r="C164"/>
      <c r="F164"/>
      <c r="G164"/>
      <c r="H164"/>
      <c r="J164"/>
      <c r="K164"/>
      <c r="L164"/>
      <c r="M164"/>
      <c r="N164"/>
      <c r="O164"/>
    </row>
    <row r="165" spans="1:15" x14ac:dyDescent="0.2">
      <c r="A165"/>
      <c r="B165"/>
      <c r="C165"/>
      <c r="F165"/>
      <c r="G165"/>
      <c r="H165"/>
      <c r="I165"/>
      <c r="L165"/>
      <c r="M165"/>
      <c r="N165"/>
      <c r="O165"/>
    </row>
    <row r="166" spans="1:15" x14ac:dyDescent="0.2">
      <c r="A166"/>
      <c r="B166"/>
      <c r="C166"/>
      <c r="F166"/>
      <c r="G166"/>
      <c r="I166"/>
      <c r="L166"/>
      <c r="M166"/>
      <c r="N166"/>
      <c r="O166"/>
    </row>
    <row r="167" spans="1:15" x14ac:dyDescent="0.2">
      <c r="A167"/>
      <c r="B167"/>
      <c r="C167"/>
      <c r="F167"/>
      <c r="G167"/>
      <c r="H167"/>
      <c r="I167"/>
      <c r="L167"/>
      <c r="M167"/>
      <c r="N167"/>
      <c r="O167"/>
    </row>
    <row r="168" spans="1:15" x14ac:dyDescent="0.2">
      <c r="A168"/>
      <c r="B168"/>
      <c r="C168"/>
      <c r="F168"/>
      <c r="G168"/>
      <c r="H168"/>
      <c r="I168"/>
      <c r="L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M172"/>
      <c r="N172"/>
      <c r="O172"/>
    </row>
    <row r="173" spans="1:15" x14ac:dyDescent="0.2">
      <c r="A173"/>
      <c r="B173"/>
      <c r="C173"/>
      <c r="F173"/>
      <c r="G173"/>
      <c r="H173"/>
      <c r="J173"/>
      <c r="K173"/>
      <c r="L173"/>
      <c r="M173"/>
      <c r="N173"/>
      <c r="O173"/>
    </row>
    <row r="174" spans="1:15" x14ac:dyDescent="0.2">
      <c r="A174"/>
      <c r="B174"/>
      <c r="C174"/>
      <c r="F174"/>
      <c r="G174"/>
      <c r="H174"/>
      <c r="J174"/>
      <c r="K174"/>
      <c r="L174"/>
      <c r="M174"/>
      <c r="N174"/>
      <c r="O174"/>
    </row>
    <row r="175" spans="1:15" x14ac:dyDescent="0.2">
      <c r="A175"/>
      <c r="B175"/>
      <c r="C175"/>
      <c r="F175"/>
      <c r="G175"/>
      <c r="L175"/>
      <c r="M175"/>
      <c r="N175"/>
      <c r="O175"/>
    </row>
    <row r="176" spans="1:15" x14ac:dyDescent="0.2">
      <c r="A176"/>
      <c r="B176"/>
      <c r="C176"/>
      <c r="F176"/>
      <c r="G176"/>
      <c r="H176"/>
      <c r="J176"/>
      <c r="K176"/>
      <c r="L176"/>
      <c r="M176"/>
      <c r="N176"/>
      <c r="O176"/>
    </row>
    <row r="177" spans="1:15" x14ac:dyDescent="0.2">
      <c r="A177"/>
      <c r="B177"/>
      <c r="C177"/>
      <c r="F177"/>
      <c r="G177"/>
      <c r="H177"/>
      <c r="I177"/>
      <c r="J177"/>
      <c r="K177"/>
      <c r="L177"/>
      <c r="M177"/>
      <c r="N177"/>
      <c r="O177"/>
    </row>
    <row r="178" spans="1:15" x14ac:dyDescent="0.2">
      <c r="A178"/>
      <c r="B178"/>
      <c r="C178"/>
      <c r="F178"/>
      <c r="G178"/>
      <c r="I178"/>
      <c r="L178"/>
      <c r="M178"/>
      <c r="N178"/>
      <c r="O178"/>
    </row>
    <row r="179" spans="1:15" x14ac:dyDescent="0.2">
      <c r="A179"/>
      <c r="B179"/>
      <c r="C179"/>
      <c r="F179"/>
      <c r="G179"/>
      <c r="H179"/>
      <c r="I179"/>
      <c r="L179"/>
      <c r="M179"/>
      <c r="N179"/>
      <c r="O179"/>
    </row>
    <row r="180" spans="1:15" x14ac:dyDescent="0.2">
      <c r="A180"/>
      <c r="B180"/>
      <c r="C180"/>
      <c r="F180"/>
      <c r="G180"/>
      <c r="H180"/>
      <c r="I180"/>
      <c r="L180"/>
      <c r="M180"/>
      <c r="N180"/>
      <c r="O180"/>
    </row>
    <row r="181" spans="1:15" x14ac:dyDescent="0.2">
      <c r="A181"/>
      <c r="B181"/>
      <c r="C181"/>
      <c r="F181"/>
      <c r="G181"/>
      <c r="I181"/>
      <c r="L181"/>
      <c r="M181"/>
      <c r="N181"/>
      <c r="O181"/>
    </row>
    <row r="182" spans="1:15" x14ac:dyDescent="0.2">
      <c r="A182"/>
      <c r="B182"/>
      <c r="C182"/>
      <c r="F182"/>
      <c r="G182"/>
      <c r="M182"/>
      <c r="N182"/>
      <c r="O182"/>
    </row>
    <row r="183" spans="1:15" x14ac:dyDescent="0.2">
      <c r="A183"/>
      <c r="B183"/>
      <c r="C183"/>
      <c r="F183"/>
      <c r="G183"/>
      <c r="H183"/>
      <c r="I183"/>
      <c r="L183"/>
      <c r="N183"/>
      <c r="O183"/>
    </row>
    <row r="184" spans="1:15" x14ac:dyDescent="0.2">
      <c r="A184"/>
      <c r="B184"/>
      <c r="C184"/>
      <c r="F184"/>
      <c r="G184"/>
      <c r="I184"/>
      <c r="L184"/>
      <c r="M184"/>
      <c r="N184"/>
      <c r="O184"/>
    </row>
    <row r="185" spans="1:15" x14ac:dyDescent="0.2">
      <c r="A185"/>
      <c r="B185"/>
      <c r="C185"/>
      <c r="F185"/>
      <c r="G185"/>
      <c r="H185"/>
      <c r="I185"/>
      <c r="L185"/>
      <c r="M185"/>
      <c r="N185"/>
      <c r="O185"/>
    </row>
    <row r="186" spans="1:15" x14ac:dyDescent="0.2">
      <c r="A186"/>
      <c r="B186"/>
      <c r="C186"/>
      <c r="F186"/>
      <c r="G186"/>
      <c r="H186"/>
      <c r="I186"/>
      <c r="L186"/>
      <c r="M186"/>
      <c r="N186"/>
      <c r="O186"/>
    </row>
    <row r="187" spans="1:15" x14ac:dyDescent="0.2">
      <c r="A187"/>
      <c r="B187"/>
      <c r="C187"/>
      <c r="F187"/>
      <c r="G187"/>
      <c r="L187"/>
      <c r="M187"/>
      <c r="N187"/>
      <c r="O187"/>
    </row>
    <row r="188" spans="1:15" x14ac:dyDescent="0.2">
      <c r="A188"/>
      <c r="B188"/>
      <c r="C188"/>
      <c r="F188"/>
      <c r="G188"/>
      <c r="M188"/>
      <c r="N188"/>
      <c r="O188"/>
    </row>
    <row r="189" spans="1:15" x14ac:dyDescent="0.2">
      <c r="A189"/>
      <c r="B189"/>
      <c r="C189"/>
      <c r="F189"/>
      <c r="G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L194"/>
      <c r="M194"/>
      <c r="N194"/>
      <c r="O194"/>
    </row>
    <row r="195" spans="1:15" x14ac:dyDescent="0.2">
      <c r="A195"/>
      <c r="B195"/>
      <c r="C195"/>
      <c r="F195"/>
      <c r="G195"/>
      <c r="L195"/>
      <c r="M195"/>
      <c r="N195"/>
      <c r="O195"/>
    </row>
    <row r="196" spans="1:15" x14ac:dyDescent="0.2">
      <c r="A196"/>
      <c r="B196"/>
      <c r="C196"/>
      <c r="F196"/>
      <c r="G196"/>
      <c r="H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L200"/>
      <c r="M200"/>
      <c r="N200"/>
      <c r="O200"/>
    </row>
    <row r="201" spans="1:15" x14ac:dyDescent="0.2">
      <c r="A201"/>
      <c r="B201"/>
      <c r="C201"/>
      <c r="F201"/>
      <c r="G201"/>
      <c r="H201"/>
      <c r="L201"/>
      <c r="M201"/>
      <c r="N201"/>
      <c r="O201"/>
    </row>
    <row r="202" spans="1:15" x14ac:dyDescent="0.2">
      <c r="A202"/>
      <c r="B202"/>
      <c r="C202"/>
      <c r="F202"/>
      <c r="G202"/>
      <c r="H202"/>
      <c r="I202"/>
      <c r="L202"/>
      <c r="N202"/>
      <c r="O202"/>
    </row>
    <row r="203" spans="1:15" x14ac:dyDescent="0.2">
      <c r="A203"/>
      <c r="B203"/>
      <c r="C203"/>
      <c r="F203"/>
      <c r="G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I208"/>
      <c r="L208"/>
      <c r="M208"/>
      <c r="N208"/>
      <c r="O208"/>
    </row>
    <row r="209" spans="1:15" x14ac:dyDescent="0.2">
      <c r="A209"/>
      <c r="B209"/>
      <c r="C209"/>
      <c r="F209"/>
      <c r="G209"/>
      <c r="I209"/>
      <c r="L209"/>
      <c r="M209"/>
      <c r="N209"/>
      <c r="O209"/>
    </row>
    <row r="210" spans="1:15" x14ac:dyDescent="0.2">
      <c r="A210"/>
      <c r="B210"/>
      <c r="C210"/>
      <c r="F210"/>
      <c r="G210"/>
      <c r="H210"/>
      <c r="I210"/>
      <c r="L210"/>
      <c r="M210"/>
      <c r="N210"/>
      <c r="O210"/>
    </row>
    <row r="211" spans="1:15" x14ac:dyDescent="0.2">
      <c r="A211"/>
      <c r="B211"/>
      <c r="C211"/>
      <c r="F211"/>
      <c r="G211"/>
      <c r="H211"/>
      <c r="I211"/>
      <c r="J211"/>
      <c r="K211"/>
      <c r="L211"/>
      <c r="M211"/>
      <c r="N211"/>
      <c r="O211"/>
    </row>
    <row r="212" spans="1:15" x14ac:dyDescent="0.2">
      <c r="A212"/>
      <c r="B212"/>
      <c r="C212"/>
      <c r="F212"/>
      <c r="G212"/>
      <c r="L212"/>
      <c r="M212"/>
      <c r="N212"/>
      <c r="O212"/>
    </row>
    <row r="213" spans="1:15" x14ac:dyDescent="0.2">
      <c r="A213"/>
      <c r="B213"/>
      <c r="C213"/>
      <c r="F213"/>
      <c r="G213"/>
      <c r="H213"/>
      <c r="I213"/>
      <c r="L213"/>
      <c r="M213"/>
      <c r="N213"/>
      <c r="O213"/>
    </row>
    <row r="214" spans="1:15" x14ac:dyDescent="0.2">
      <c r="A214"/>
      <c r="B214"/>
      <c r="C214"/>
      <c r="F214"/>
      <c r="G214"/>
      <c r="H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L218"/>
      <c r="M218"/>
      <c r="N218"/>
      <c r="O218"/>
    </row>
    <row r="219" spans="1:15" x14ac:dyDescent="0.2">
      <c r="A219"/>
      <c r="B219"/>
      <c r="C219"/>
      <c r="F219"/>
      <c r="G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L223"/>
      <c r="M223"/>
      <c r="N223"/>
      <c r="O223"/>
    </row>
    <row r="224" spans="1:15" x14ac:dyDescent="0.2">
      <c r="A224"/>
      <c r="B224"/>
      <c r="C224"/>
      <c r="F224"/>
      <c r="G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L234"/>
      <c r="M234"/>
      <c r="N234"/>
      <c r="O234"/>
    </row>
    <row r="235" spans="1:15" x14ac:dyDescent="0.2">
      <c r="A235"/>
      <c r="B235"/>
      <c r="C235"/>
      <c r="F235"/>
      <c r="G235"/>
      <c r="H235"/>
      <c r="L235"/>
      <c r="M235"/>
      <c r="N235"/>
      <c r="O235"/>
    </row>
    <row r="236" spans="1:15" x14ac:dyDescent="0.2">
      <c r="A236"/>
      <c r="B236"/>
      <c r="C236"/>
      <c r="F236"/>
      <c r="G236"/>
      <c r="I236"/>
      <c r="L236"/>
      <c r="M236"/>
      <c r="N236"/>
      <c r="O236"/>
    </row>
    <row r="237" spans="1:15" x14ac:dyDescent="0.2">
      <c r="A237"/>
      <c r="B237"/>
      <c r="C237"/>
      <c r="F237"/>
      <c r="G237"/>
      <c r="H237"/>
      <c r="I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J242"/>
      <c r="K242"/>
      <c r="L242"/>
      <c r="M242"/>
      <c r="N242"/>
      <c r="O242"/>
    </row>
    <row r="243" spans="1:15" x14ac:dyDescent="0.2">
      <c r="A243"/>
      <c r="B243"/>
      <c r="C243"/>
      <c r="F243"/>
      <c r="G243"/>
      <c r="M243"/>
      <c r="N243"/>
      <c r="O243"/>
    </row>
    <row r="244" spans="1:15" x14ac:dyDescent="0.2">
      <c r="A244"/>
      <c r="B244"/>
      <c r="C244"/>
      <c r="F244"/>
      <c r="G244"/>
      <c r="H244"/>
      <c r="I244"/>
      <c r="L244"/>
      <c r="M244"/>
      <c r="N244"/>
      <c r="O244"/>
    </row>
    <row r="245" spans="1:15" x14ac:dyDescent="0.2">
      <c r="A245"/>
      <c r="B245"/>
      <c r="C245"/>
      <c r="F245"/>
      <c r="G245"/>
      <c r="L245"/>
      <c r="M245"/>
      <c r="N245"/>
      <c r="O245"/>
    </row>
    <row r="246" spans="1:15" x14ac:dyDescent="0.2">
      <c r="A246"/>
      <c r="B246"/>
      <c r="C246"/>
      <c r="F246"/>
      <c r="G246"/>
      <c r="H246"/>
      <c r="I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J249"/>
      <c r="K249"/>
      <c r="L249"/>
      <c r="M249"/>
      <c r="N249"/>
      <c r="O249"/>
    </row>
    <row r="250" spans="1:15" x14ac:dyDescent="0.2">
      <c r="A250"/>
      <c r="B250"/>
      <c r="C250"/>
      <c r="F250"/>
      <c r="G250"/>
      <c r="L250"/>
      <c r="M250"/>
      <c r="N250"/>
      <c r="O250"/>
    </row>
    <row r="251" spans="1:15" x14ac:dyDescent="0.2">
      <c r="A251"/>
      <c r="B251"/>
      <c r="C251"/>
      <c r="F251"/>
      <c r="G251"/>
      <c r="I251"/>
      <c r="L251"/>
      <c r="M251"/>
      <c r="N251"/>
      <c r="O251"/>
    </row>
    <row r="252" spans="1:15" x14ac:dyDescent="0.2">
      <c r="A252"/>
      <c r="B252"/>
      <c r="C252"/>
      <c r="F252"/>
      <c r="G252"/>
      <c r="H252"/>
      <c r="I252"/>
      <c r="L252"/>
      <c r="N252"/>
      <c r="O252"/>
    </row>
    <row r="253" spans="1:15" x14ac:dyDescent="0.2">
      <c r="A253"/>
      <c r="B253"/>
      <c r="C253"/>
      <c r="F253"/>
      <c r="G253"/>
      <c r="H253"/>
      <c r="J253"/>
      <c r="K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I256"/>
      <c r="L256"/>
      <c r="M256"/>
      <c r="N256"/>
      <c r="O256"/>
    </row>
    <row r="257" spans="1:15" x14ac:dyDescent="0.2">
      <c r="A257"/>
      <c r="B257"/>
      <c r="C257"/>
      <c r="F257"/>
      <c r="G257"/>
      <c r="H257"/>
      <c r="J257"/>
      <c r="K257"/>
      <c r="L257"/>
      <c r="M257"/>
      <c r="N257"/>
      <c r="O257"/>
    </row>
    <row r="258" spans="1:15" x14ac:dyDescent="0.2">
      <c r="A258"/>
      <c r="B258"/>
      <c r="C258"/>
      <c r="F258"/>
      <c r="G258"/>
      <c r="J258"/>
      <c r="L258"/>
      <c r="M258"/>
      <c r="N258"/>
      <c r="O258"/>
    </row>
    <row r="259" spans="1:15" x14ac:dyDescent="0.2">
      <c r="A259"/>
      <c r="B259"/>
      <c r="C259"/>
      <c r="F259"/>
      <c r="G259"/>
      <c r="I259"/>
      <c r="L259"/>
      <c r="M259"/>
      <c r="N259"/>
      <c r="O259"/>
    </row>
    <row r="260" spans="1:15" x14ac:dyDescent="0.2">
      <c r="A260"/>
      <c r="B260"/>
      <c r="C260"/>
      <c r="F260"/>
      <c r="G260"/>
      <c r="I260"/>
      <c r="L260"/>
      <c r="M260"/>
      <c r="N260"/>
      <c r="O260"/>
    </row>
    <row r="261" spans="1:15" x14ac:dyDescent="0.2">
      <c r="A261"/>
      <c r="B261"/>
      <c r="C261"/>
      <c r="F261"/>
      <c r="G261"/>
      <c r="L261"/>
      <c r="M261"/>
      <c r="N261"/>
      <c r="O261"/>
    </row>
    <row r="262" spans="1:15" x14ac:dyDescent="0.2">
      <c r="A262"/>
      <c r="B262"/>
      <c r="C262"/>
      <c r="F262"/>
      <c r="G262"/>
      <c r="H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H269"/>
      <c r="I269"/>
      <c r="L269"/>
      <c r="M269"/>
      <c r="N269"/>
      <c r="O269"/>
    </row>
    <row r="270" spans="1:15" x14ac:dyDescent="0.2">
      <c r="A270"/>
      <c r="B270"/>
      <c r="C270"/>
      <c r="F270"/>
      <c r="G270"/>
      <c r="H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I330"/>
      <c r="L330"/>
      <c r="M330"/>
      <c r="N330"/>
      <c r="O330"/>
    </row>
    <row r="331" spans="1:15" x14ac:dyDescent="0.2">
      <c r="A331"/>
      <c r="B331"/>
      <c r="C331"/>
      <c r="F331"/>
      <c r="G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J337"/>
      <c r="K337"/>
      <c r="L337"/>
      <c r="M337"/>
      <c r="N337"/>
      <c r="O337"/>
    </row>
    <row r="338" spans="1:15" x14ac:dyDescent="0.2">
      <c r="A338"/>
      <c r="B338"/>
      <c r="C338"/>
      <c r="F338"/>
      <c r="G338"/>
      <c r="H338"/>
      <c r="J338"/>
      <c r="K338"/>
      <c r="L338"/>
      <c r="M338"/>
      <c r="N338"/>
      <c r="O338"/>
    </row>
    <row r="339" spans="1:15" x14ac:dyDescent="0.2">
      <c r="A339"/>
      <c r="B339"/>
      <c r="C339"/>
      <c r="F339"/>
      <c r="G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L345"/>
      <c r="M345"/>
      <c r="N345"/>
      <c r="O345"/>
    </row>
    <row r="346" spans="1:15" x14ac:dyDescent="0.2">
      <c r="A346"/>
      <c r="B346"/>
      <c r="C346"/>
      <c r="F346"/>
      <c r="G346"/>
      <c r="H346"/>
      <c r="I346"/>
      <c r="J346"/>
      <c r="K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I351"/>
      <c r="L351"/>
      <c r="M351"/>
      <c r="N351"/>
      <c r="O351"/>
    </row>
    <row r="352" spans="1:15" x14ac:dyDescent="0.2">
      <c r="A352"/>
      <c r="B352"/>
      <c r="C352"/>
      <c r="F352"/>
      <c r="G352"/>
      <c r="J352"/>
      <c r="L352"/>
      <c r="M352"/>
      <c r="N352"/>
      <c r="O352"/>
    </row>
    <row r="353" spans="1:15" x14ac:dyDescent="0.2">
      <c r="A353"/>
      <c r="B353"/>
      <c r="C353"/>
      <c r="F353"/>
      <c r="G353"/>
      <c r="H353"/>
      <c r="I353"/>
      <c r="L353"/>
      <c r="M353"/>
      <c r="N353"/>
      <c r="O353"/>
    </row>
    <row r="354" spans="1:15" x14ac:dyDescent="0.2">
      <c r="A354"/>
      <c r="B354"/>
      <c r="C354"/>
      <c r="F354"/>
      <c r="G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N362"/>
      <c r="O362"/>
    </row>
    <row r="363" spans="1:15" x14ac:dyDescent="0.2">
      <c r="A363"/>
      <c r="B363"/>
      <c r="C363"/>
      <c r="F363"/>
      <c r="G363"/>
      <c r="H363"/>
      <c r="I363"/>
      <c r="L363"/>
      <c r="M363"/>
      <c r="N363"/>
      <c r="O363"/>
    </row>
    <row r="364" spans="1:15" x14ac:dyDescent="0.2">
      <c r="A364"/>
      <c r="B364"/>
      <c r="C364"/>
      <c r="F364"/>
      <c r="G364"/>
      <c r="L364"/>
      <c r="M364"/>
      <c r="N364"/>
      <c r="O364"/>
    </row>
    <row r="365" spans="1:15" x14ac:dyDescent="0.2">
      <c r="A365"/>
      <c r="B365"/>
      <c r="C365"/>
      <c r="F365"/>
      <c r="G365"/>
      <c r="I365"/>
      <c r="L365"/>
      <c r="M365"/>
      <c r="N365"/>
      <c r="O365"/>
    </row>
    <row r="366" spans="1:15" x14ac:dyDescent="0.2">
      <c r="A366"/>
      <c r="B366"/>
      <c r="C366"/>
      <c r="F366"/>
      <c r="G366"/>
      <c r="H366"/>
      <c r="I366"/>
      <c r="L366"/>
      <c r="N366"/>
      <c r="O366"/>
    </row>
    <row r="367" spans="1:15" x14ac:dyDescent="0.2">
      <c r="A367"/>
      <c r="B367"/>
      <c r="C367"/>
      <c r="F367"/>
      <c r="G367"/>
      <c r="I367"/>
      <c r="L367"/>
      <c r="M367"/>
      <c r="N367"/>
      <c r="O367"/>
    </row>
    <row r="368" spans="1:15" x14ac:dyDescent="0.2">
      <c r="A368"/>
      <c r="B368"/>
      <c r="C368"/>
      <c r="F368"/>
      <c r="G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I372"/>
      <c r="L372"/>
      <c r="M372"/>
      <c r="N372"/>
      <c r="O372"/>
    </row>
    <row r="373" spans="1:15" x14ac:dyDescent="0.2">
      <c r="A373"/>
      <c r="B373"/>
      <c r="C373"/>
      <c r="F373"/>
      <c r="G373"/>
      <c r="I373"/>
      <c r="L373"/>
      <c r="M373"/>
      <c r="N373"/>
      <c r="O373"/>
    </row>
    <row r="374" spans="1:15" x14ac:dyDescent="0.2">
      <c r="A374"/>
      <c r="B374"/>
      <c r="C374"/>
      <c r="F374"/>
      <c r="G374"/>
      <c r="L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J379"/>
      <c r="K379"/>
      <c r="L379"/>
      <c r="M379"/>
      <c r="N379"/>
      <c r="O379"/>
    </row>
    <row r="380" spans="1:15" x14ac:dyDescent="0.2">
      <c r="A380"/>
      <c r="B380"/>
      <c r="C380"/>
      <c r="F380"/>
      <c r="G380"/>
      <c r="I380"/>
      <c r="L380"/>
      <c r="M380"/>
      <c r="N380"/>
      <c r="O380"/>
    </row>
    <row r="381" spans="1:15" x14ac:dyDescent="0.2">
      <c r="A381"/>
      <c r="B381"/>
      <c r="C381"/>
      <c r="F381"/>
      <c r="G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M385"/>
      <c r="N385"/>
      <c r="O385"/>
    </row>
    <row r="386" spans="1:15" x14ac:dyDescent="0.2">
      <c r="A386"/>
      <c r="B386"/>
      <c r="C386"/>
      <c r="F386"/>
      <c r="G386"/>
      <c r="J386"/>
      <c r="K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J391"/>
      <c r="K391"/>
      <c r="L391"/>
      <c r="M391"/>
      <c r="N391"/>
      <c r="O391"/>
    </row>
    <row r="392" spans="1:15" x14ac:dyDescent="0.2">
      <c r="A392"/>
      <c r="B392"/>
      <c r="C392"/>
      <c r="F392"/>
      <c r="G392"/>
      <c r="I392"/>
      <c r="L392"/>
      <c r="M392"/>
      <c r="N392"/>
      <c r="O392"/>
    </row>
    <row r="393" spans="1:15" x14ac:dyDescent="0.2">
      <c r="A393"/>
      <c r="B393"/>
      <c r="C393"/>
      <c r="F393"/>
      <c r="G393"/>
      <c r="H393"/>
      <c r="I393"/>
      <c r="L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H400"/>
      <c r="J400"/>
      <c r="K400"/>
      <c r="L400"/>
      <c r="M400"/>
      <c r="N400"/>
      <c r="O400"/>
    </row>
    <row r="401" spans="1:15" x14ac:dyDescent="0.2">
      <c r="A401"/>
      <c r="B401"/>
      <c r="C401"/>
      <c r="F401"/>
      <c r="G401"/>
      <c r="H401"/>
      <c r="J401"/>
      <c r="K401"/>
      <c r="L401"/>
      <c r="M401"/>
      <c r="N401"/>
      <c r="O401"/>
    </row>
    <row r="402" spans="1:15" x14ac:dyDescent="0.2">
      <c r="A402"/>
      <c r="B402"/>
      <c r="C402"/>
      <c r="F402"/>
      <c r="G402"/>
      <c r="H402"/>
      <c r="L402"/>
      <c r="M402"/>
      <c r="N402"/>
      <c r="O402"/>
    </row>
    <row r="403" spans="1:15" x14ac:dyDescent="0.2">
      <c r="A403"/>
      <c r="B403"/>
      <c r="C403"/>
      <c r="F403"/>
      <c r="G403"/>
      <c r="J403"/>
      <c r="K403"/>
      <c r="L403"/>
      <c r="M403"/>
      <c r="N403"/>
      <c r="O403"/>
    </row>
    <row r="404" spans="1:15" x14ac:dyDescent="0.2">
      <c r="A404"/>
      <c r="B404"/>
      <c r="C404"/>
      <c r="F404"/>
      <c r="G404"/>
      <c r="H404"/>
      <c r="J404"/>
      <c r="K404"/>
      <c r="L404"/>
      <c r="M404"/>
      <c r="N404"/>
      <c r="O404"/>
    </row>
    <row r="405" spans="1:15" x14ac:dyDescent="0.2">
      <c r="A405"/>
      <c r="B405"/>
      <c r="C405"/>
      <c r="G405"/>
      <c r="M405"/>
      <c r="N405"/>
      <c r="O405"/>
    </row>
    <row r="406" spans="1:15" x14ac:dyDescent="0.2">
      <c r="A406"/>
      <c r="B406"/>
      <c r="C406"/>
      <c r="F406"/>
      <c r="G406"/>
      <c r="H406"/>
      <c r="J406"/>
      <c r="K406"/>
      <c r="L406"/>
      <c r="M406"/>
      <c r="N406"/>
      <c r="O406"/>
    </row>
    <row r="407" spans="1:15" x14ac:dyDescent="0.2">
      <c r="A407"/>
      <c r="B407"/>
      <c r="C407"/>
      <c r="F407"/>
      <c r="G407"/>
      <c r="H407"/>
      <c r="K407"/>
      <c r="L407"/>
      <c r="M407"/>
      <c r="N407"/>
      <c r="O407"/>
    </row>
    <row r="408" spans="1:15" x14ac:dyDescent="0.2">
      <c r="A408"/>
      <c r="B408"/>
      <c r="C408"/>
      <c r="F408"/>
      <c r="G408"/>
      <c r="H408"/>
      <c r="I408"/>
      <c r="L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M414"/>
      <c r="N414"/>
      <c r="O414"/>
    </row>
    <row r="415" spans="1:15" x14ac:dyDescent="0.2">
      <c r="A415"/>
      <c r="B415"/>
      <c r="C415"/>
      <c r="F415"/>
      <c r="G415"/>
      <c r="H415"/>
      <c r="J415"/>
      <c r="K415"/>
      <c r="L415"/>
      <c r="M415"/>
      <c r="N415"/>
      <c r="O415"/>
    </row>
    <row r="416" spans="1:15" x14ac:dyDescent="0.2">
      <c r="A416"/>
      <c r="B416"/>
      <c r="C416"/>
      <c r="F416"/>
      <c r="G416"/>
      <c r="H416"/>
      <c r="I416"/>
      <c r="L416"/>
      <c r="M416"/>
      <c r="N416"/>
      <c r="O416"/>
    </row>
    <row r="417" spans="1:15" x14ac:dyDescent="0.2">
      <c r="A417"/>
      <c r="B417"/>
      <c r="C417"/>
      <c r="F417"/>
      <c r="G417"/>
      <c r="H417"/>
      <c r="I417"/>
      <c r="L417"/>
      <c r="M417"/>
      <c r="N417"/>
      <c r="O417"/>
    </row>
    <row r="418" spans="1:15" x14ac:dyDescent="0.2">
      <c r="A418"/>
      <c r="B418"/>
      <c r="C418"/>
      <c r="F418"/>
      <c r="G418"/>
      <c r="L418"/>
      <c r="M418"/>
      <c r="N418"/>
      <c r="O418"/>
    </row>
    <row r="419" spans="1:15" x14ac:dyDescent="0.2">
      <c r="A419"/>
      <c r="B419"/>
      <c r="C419"/>
      <c r="F419"/>
      <c r="G419"/>
      <c r="I419"/>
      <c r="L419"/>
      <c r="M419"/>
      <c r="N419"/>
      <c r="O419"/>
    </row>
    <row r="420" spans="1:15" x14ac:dyDescent="0.2">
      <c r="A420"/>
      <c r="B420"/>
      <c r="C420"/>
      <c r="F420"/>
      <c r="G420"/>
      <c r="H420"/>
      <c r="I420"/>
      <c r="L420"/>
      <c r="N420"/>
      <c r="O420"/>
    </row>
    <row r="421" spans="1:15" x14ac:dyDescent="0.2">
      <c r="A421"/>
      <c r="B421"/>
      <c r="C421"/>
      <c r="F421"/>
      <c r="G421"/>
      <c r="I421"/>
      <c r="L421"/>
      <c r="M421"/>
      <c r="N421"/>
      <c r="O421"/>
    </row>
    <row r="422" spans="1:15" x14ac:dyDescent="0.2">
      <c r="A422"/>
      <c r="B422"/>
      <c r="C422"/>
      <c r="F422"/>
      <c r="G422"/>
      <c r="I422"/>
      <c r="L422"/>
      <c r="M422"/>
      <c r="N422"/>
      <c r="O422"/>
    </row>
    <row r="423" spans="1:15" x14ac:dyDescent="0.2">
      <c r="A423"/>
      <c r="B423"/>
      <c r="C423"/>
      <c r="F423"/>
      <c r="G423"/>
      <c r="H423"/>
      <c r="I423"/>
      <c r="L423"/>
      <c r="M423"/>
      <c r="N423"/>
      <c r="O423"/>
    </row>
    <row r="424" spans="1:15" x14ac:dyDescent="0.2">
      <c r="A424"/>
      <c r="B424"/>
      <c r="C424"/>
      <c r="F424"/>
      <c r="G424"/>
      <c r="H424"/>
      <c r="I424"/>
      <c r="L424"/>
      <c r="M424"/>
      <c r="N424"/>
      <c r="O424"/>
    </row>
    <row r="425" spans="1:15" x14ac:dyDescent="0.2">
      <c r="A425"/>
      <c r="B425"/>
      <c r="C425"/>
      <c r="F425"/>
      <c r="G425"/>
      <c r="H425"/>
      <c r="I425"/>
      <c r="L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N433"/>
      <c r="O433"/>
    </row>
    <row r="434" spans="1:15" x14ac:dyDescent="0.2">
      <c r="A434"/>
      <c r="B434"/>
      <c r="C434"/>
      <c r="F434"/>
      <c r="G434"/>
      <c r="H434"/>
      <c r="I434"/>
      <c r="L434"/>
      <c r="N434"/>
      <c r="O434"/>
    </row>
    <row r="435" spans="1:15" x14ac:dyDescent="0.2">
      <c r="A435"/>
      <c r="B435"/>
      <c r="C435"/>
      <c r="F435"/>
      <c r="G435"/>
      <c r="I435"/>
      <c r="L435"/>
      <c r="M435"/>
      <c r="N435"/>
      <c r="O435"/>
    </row>
    <row r="436" spans="1:15" x14ac:dyDescent="0.2">
      <c r="A436"/>
      <c r="B436"/>
      <c r="C436"/>
      <c r="F436"/>
      <c r="G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I454"/>
      <c r="L454"/>
      <c r="M454"/>
      <c r="N454"/>
      <c r="O454"/>
    </row>
    <row r="455" spans="1:15" x14ac:dyDescent="0.2">
      <c r="A455"/>
      <c r="B455"/>
      <c r="C455"/>
      <c r="F455"/>
      <c r="G455"/>
      <c r="I455"/>
      <c r="L455"/>
      <c r="M455"/>
      <c r="N455"/>
      <c r="O455"/>
    </row>
    <row r="456" spans="1:15" x14ac:dyDescent="0.2">
      <c r="A456"/>
      <c r="B456"/>
      <c r="C456"/>
      <c r="F456"/>
      <c r="G456"/>
      <c r="M456"/>
      <c r="N456"/>
      <c r="O456"/>
    </row>
    <row r="457" spans="1:15" x14ac:dyDescent="0.2">
      <c r="A457"/>
      <c r="B457"/>
      <c r="C457"/>
      <c r="F457"/>
      <c r="G457"/>
      <c r="H457"/>
      <c r="I457"/>
      <c r="L457"/>
      <c r="M457"/>
      <c r="N457"/>
      <c r="O457"/>
    </row>
    <row r="458" spans="1:15" x14ac:dyDescent="0.2">
      <c r="A458"/>
      <c r="B458"/>
      <c r="C458"/>
      <c r="F458"/>
      <c r="G458"/>
      <c r="M458"/>
      <c r="N458"/>
      <c r="O458"/>
    </row>
    <row r="459" spans="1:15" x14ac:dyDescent="0.2">
      <c r="A459"/>
      <c r="B459"/>
      <c r="C459"/>
      <c r="F459"/>
      <c r="G459"/>
      <c r="I459"/>
      <c r="L459"/>
      <c r="M459"/>
      <c r="N459"/>
      <c r="O459"/>
    </row>
    <row r="460" spans="1:15" x14ac:dyDescent="0.2">
      <c r="A460"/>
      <c r="B460"/>
      <c r="C460"/>
      <c r="F460"/>
      <c r="G460"/>
      <c r="H460"/>
      <c r="I460"/>
      <c r="J460"/>
      <c r="K460"/>
      <c r="L460"/>
      <c r="M460"/>
      <c r="N460"/>
      <c r="O460"/>
    </row>
    <row r="461" spans="1:15" x14ac:dyDescent="0.2">
      <c r="A461"/>
      <c r="B461"/>
      <c r="C461"/>
      <c r="F461"/>
      <c r="G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J468"/>
      <c r="K468"/>
      <c r="L468"/>
      <c r="M468"/>
      <c r="N468"/>
      <c r="O468"/>
    </row>
    <row r="469" spans="1:15" x14ac:dyDescent="0.2">
      <c r="A469"/>
      <c r="B469"/>
      <c r="C469"/>
      <c r="F469"/>
      <c r="G469"/>
      <c r="H469"/>
      <c r="J469"/>
      <c r="K469"/>
      <c r="L469"/>
      <c r="M469"/>
      <c r="N469"/>
      <c r="O469"/>
    </row>
    <row r="470" spans="1:15" x14ac:dyDescent="0.2">
      <c r="A470"/>
      <c r="B470"/>
      <c r="C470"/>
      <c r="F470"/>
      <c r="G470"/>
      <c r="J470"/>
      <c r="K470"/>
      <c r="L470"/>
      <c r="M470"/>
      <c r="N470"/>
      <c r="O470"/>
    </row>
    <row r="471" spans="1:15" x14ac:dyDescent="0.2">
      <c r="A471"/>
      <c r="B471"/>
      <c r="C471"/>
      <c r="F471"/>
      <c r="G471"/>
      <c r="J471"/>
      <c r="K471"/>
      <c r="L471"/>
      <c r="M471"/>
      <c r="N471"/>
      <c r="O471"/>
    </row>
    <row r="472" spans="1:15" x14ac:dyDescent="0.2">
      <c r="A472"/>
      <c r="B472"/>
      <c r="C472"/>
      <c r="F472"/>
      <c r="G472"/>
      <c r="H472"/>
      <c r="I472"/>
      <c r="L472"/>
      <c r="N472"/>
      <c r="O472"/>
    </row>
    <row r="473" spans="1:15" x14ac:dyDescent="0.2">
      <c r="A473"/>
      <c r="B473"/>
      <c r="C473"/>
      <c r="F473"/>
      <c r="G473"/>
      <c r="J473"/>
      <c r="K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L476"/>
      <c r="M476"/>
      <c r="N476"/>
      <c r="O476"/>
    </row>
    <row r="477" spans="1:15" x14ac:dyDescent="0.2">
      <c r="A477"/>
      <c r="B477"/>
      <c r="C477"/>
      <c r="F477"/>
      <c r="G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I482"/>
      <c r="L482"/>
      <c r="M482"/>
      <c r="N482"/>
      <c r="O482"/>
    </row>
    <row r="483" spans="1:15" x14ac:dyDescent="0.2">
      <c r="A483"/>
      <c r="B483"/>
      <c r="C483"/>
      <c r="F483"/>
      <c r="G483"/>
      <c r="I483"/>
      <c r="L483"/>
      <c r="M483"/>
      <c r="N483"/>
      <c r="O483"/>
    </row>
    <row r="484" spans="1:15" x14ac:dyDescent="0.2">
      <c r="A484"/>
      <c r="B484"/>
      <c r="C484"/>
      <c r="F484"/>
      <c r="G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J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J499"/>
      <c r="K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H505"/>
      <c r="J505"/>
      <c r="K505"/>
      <c r="L505"/>
      <c r="M505"/>
      <c r="N505"/>
      <c r="O505"/>
    </row>
    <row r="506" spans="1:15" x14ac:dyDescent="0.2">
      <c r="A506"/>
      <c r="B506"/>
      <c r="C506"/>
      <c r="F506"/>
      <c r="G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J525"/>
      <c r="L525"/>
      <c r="M525"/>
      <c r="N525"/>
      <c r="O525"/>
    </row>
    <row r="526" spans="1:15" x14ac:dyDescent="0.2">
      <c r="A526"/>
      <c r="B526"/>
      <c r="C526"/>
      <c r="F526"/>
      <c r="G526"/>
      <c r="H526"/>
      <c r="L526"/>
      <c r="M526"/>
      <c r="N526"/>
      <c r="O526"/>
    </row>
    <row r="527" spans="1:15" x14ac:dyDescent="0.2">
      <c r="A527"/>
      <c r="B527"/>
      <c r="C527"/>
      <c r="F527"/>
      <c r="G527"/>
      <c r="J527"/>
      <c r="K527"/>
      <c r="L527"/>
      <c r="M527"/>
      <c r="N527"/>
      <c r="O527"/>
    </row>
    <row r="528" spans="1:15" x14ac:dyDescent="0.2">
      <c r="A528"/>
      <c r="B528"/>
      <c r="C528"/>
      <c r="F528"/>
      <c r="G528"/>
      <c r="L528"/>
      <c r="M528"/>
      <c r="N528"/>
      <c r="O528"/>
    </row>
    <row r="529" spans="1:15" x14ac:dyDescent="0.2">
      <c r="A529"/>
      <c r="B529"/>
      <c r="C529"/>
      <c r="F529"/>
      <c r="G529"/>
      <c r="H529"/>
      <c r="J529"/>
      <c r="K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I537"/>
      <c r="L537"/>
      <c r="M537"/>
      <c r="N537"/>
      <c r="O537"/>
    </row>
    <row r="538" spans="1:15" x14ac:dyDescent="0.2">
      <c r="A538"/>
      <c r="B538"/>
      <c r="C538"/>
      <c r="F538"/>
      <c r="G538"/>
      <c r="I538"/>
      <c r="L538"/>
      <c r="M538"/>
      <c r="N538"/>
      <c r="O538"/>
    </row>
    <row r="539" spans="1:15" x14ac:dyDescent="0.2">
      <c r="A539"/>
      <c r="B539"/>
      <c r="C539"/>
      <c r="F539"/>
      <c r="G539"/>
      <c r="I539"/>
      <c r="L539"/>
      <c r="M539"/>
      <c r="N539"/>
      <c r="O539"/>
    </row>
    <row r="540" spans="1:15" x14ac:dyDescent="0.2">
      <c r="A540"/>
      <c r="B540"/>
      <c r="C540"/>
      <c r="F540"/>
      <c r="G540"/>
      <c r="H540"/>
      <c r="I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H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H546"/>
      <c r="I546"/>
      <c r="L546"/>
      <c r="M546"/>
      <c r="N546"/>
      <c r="O546"/>
    </row>
    <row r="547" spans="1:15" x14ac:dyDescent="0.2">
      <c r="A547"/>
      <c r="B547"/>
      <c r="C547"/>
      <c r="F547"/>
      <c r="G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L557"/>
      <c r="M557"/>
      <c r="N557"/>
      <c r="O557"/>
    </row>
    <row r="558" spans="1:15" x14ac:dyDescent="0.2">
      <c r="A558"/>
      <c r="B558"/>
      <c r="C558"/>
      <c r="F558"/>
      <c r="G558"/>
      <c r="I558"/>
      <c r="L558"/>
      <c r="M558"/>
      <c r="N558"/>
      <c r="O558"/>
    </row>
    <row r="559" spans="1:15" x14ac:dyDescent="0.2">
      <c r="A559"/>
      <c r="B559"/>
      <c r="C559"/>
      <c r="F559"/>
      <c r="G559"/>
      <c r="H559"/>
      <c r="I559"/>
      <c r="L559"/>
      <c r="N559"/>
      <c r="O559"/>
    </row>
    <row r="560" spans="1:15" x14ac:dyDescent="0.2">
      <c r="A560"/>
      <c r="B560"/>
      <c r="C560"/>
      <c r="F560"/>
      <c r="G560"/>
      <c r="H560"/>
      <c r="I560"/>
      <c r="L560"/>
      <c r="N560"/>
      <c r="O560"/>
    </row>
    <row r="561" spans="1:15" x14ac:dyDescent="0.2">
      <c r="A561"/>
      <c r="B561"/>
      <c r="C561"/>
      <c r="F561"/>
      <c r="G561"/>
      <c r="M561"/>
      <c r="N561"/>
      <c r="O561"/>
    </row>
    <row r="562" spans="1:15" x14ac:dyDescent="0.2">
      <c r="A562"/>
      <c r="B562"/>
      <c r="C562"/>
      <c r="F562"/>
      <c r="G562"/>
      <c r="I562"/>
      <c r="L562"/>
      <c r="M562"/>
      <c r="N562"/>
      <c r="O562"/>
    </row>
    <row r="563" spans="1:15" x14ac:dyDescent="0.2">
      <c r="A563"/>
      <c r="B563"/>
      <c r="C563"/>
      <c r="F563"/>
      <c r="G563"/>
      <c r="H563"/>
      <c r="I563"/>
      <c r="L563"/>
      <c r="M563"/>
      <c r="N563"/>
      <c r="O563"/>
    </row>
    <row r="564" spans="1:15" x14ac:dyDescent="0.2">
      <c r="A564"/>
      <c r="B564"/>
      <c r="C564"/>
      <c r="F564"/>
      <c r="G564"/>
      <c r="L564"/>
      <c r="M564"/>
      <c r="N564"/>
      <c r="O564"/>
    </row>
    <row r="565" spans="1:15" x14ac:dyDescent="0.2">
      <c r="A565"/>
      <c r="B565"/>
      <c r="C565"/>
      <c r="F565"/>
      <c r="G565"/>
      <c r="H565"/>
      <c r="I565"/>
      <c r="L565"/>
      <c r="M565"/>
      <c r="N565"/>
      <c r="O565"/>
    </row>
    <row r="566" spans="1:15" x14ac:dyDescent="0.2">
      <c r="A566"/>
      <c r="B566"/>
      <c r="C566"/>
      <c r="F566"/>
      <c r="G566"/>
      <c r="J566"/>
      <c r="K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J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H574"/>
      <c r="I574"/>
      <c r="L574"/>
      <c r="N574"/>
      <c r="O574"/>
    </row>
    <row r="575" spans="1:15" x14ac:dyDescent="0.2">
      <c r="A575"/>
      <c r="B575"/>
      <c r="C575"/>
      <c r="F575"/>
      <c r="G575"/>
      <c r="H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H583"/>
      <c r="J583"/>
      <c r="K583"/>
      <c r="L583"/>
      <c r="M583"/>
      <c r="N583"/>
      <c r="O583"/>
    </row>
    <row r="584" spans="1:15" x14ac:dyDescent="0.2">
      <c r="A584"/>
      <c r="B584"/>
      <c r="C584"/>
      <c r="F584"/>
      <c r="G584"/>
      <c r="H584"/>
      <c r="J584"/>
      <c r="K584"/>
      <c r="L584"/>
      <c r="M584"/>
      <c r="N584"/>
      <c r="O584"/>
    </row>
    <row r="585" spans="1:15" x14ac:dyDescent="0.2">
      <c r="A585"/>
      <c r="B585"/>
      <c r="C585"/>
      <c r="F585"/>
      <c r="G585"/>
      <c r="L585"/>
      <c r="M585"/>
      <c r="N585"/>
      <c r="O585"/>
    </row>
    <row r="586" spans="1:15" x14ac:dyDescent="0.2">
      <c r="A586"/>
      <c r="B586"/>
      <c r="C586"/>
      <c r="F586"/>
      <c r="G586"/>
      <c r="J586"/>
      <c r="K586"/>
      <c r="L586"/>
      <c r="M586"/>
      <c r="N586"/>
      <c r="O586"/>
    </row>
    <row r="587" spans="1:15" x14ac:dyDescent="0.2">
      <c r="A587"/>
      <c r="B587"/>
      <c r="C587"/>
      <c r="F587"/>
      <c r="G587"/>
      <c r="H587"/>
      <c r="I587"/>
      <c r="L587"/>
      <c r="M587"/>
      <c r="N587"/>
      <c r="O587"/>
    </row>
    <row r="588" spans="1:15" x14ac:dyDescent="0.2">
      <c r="A588"/>
      <c r="B588"/>
      <c r="C588"/>
      <c r="F588"/>
      <c r="G588"/>
      <c r="I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J591"/>
      <c r="K591"/>
      <c r="L591"/>
      <c r="M591"/>
      <c r="N591"/>
      <c r="O591"/>
    </row>
    <row r="592" spans="1:15" x14ac:dyDescent="0.2">
      <c r="A592"/>
      <c r="B592"/>
      <c r="C592"/>
      <c r="F592"/>
      <c r="G592"/>
      <c r="M592"/>
      <c r="N592"/>
      <c r="O592"/>
    </row>
    <row r="593" spans="1:15" x14ac:dyDescent="0.2">
      <c r="A593"/>
      <c r="B593"/>
      <c r="C593"/>
      <c r="F593"/>
      <c r="G593"/>
      <c r="L593"/>
      <c r="M593"/>
      <c r="N593"/>
      <c r="O593"/>
    </row>
    <row r="594" spans="1:15" x14ac:dyDescent="0.2">
      <c r="A594"/>
      <c r="B594"/>
      <c r="C594"/>
      <c r="F594"/>
      <c r="G594"/>
      <c r="H594"/>
      <c r="I594"/>
      <c r="L594"/>
      <c r="N594"/>
      <c r="O594"/>
    </row>
    <row r="595" spans="1:15" x14ac:dyDescent="0.2">
      <c r="A595"/>
      <c r="B595"/>
      <c r="C595"/>
      <c r="F595"/>
      <c r="G595"/>
      <c r="H595"/>
      <c r="I595"/>
      <c r="L595"/>
      <c r="M595"/>
      <c r="N595"/>
      <c r="O595"/>
    </row>
    <row r="596" spans="1:15" x14ac:dyDescent="0.2">
      <c r="A596"/>
      <c r="B596"/>
      <c r="C596"/>
      <c r="F596"/>
      <c r="G596"/>
      <c r="L596"/>
      <c r="M596"/>
      <c r="N596"/>
      <c r="O596"/>
    </row>
    <row r="597" spans="1:15" x14ac:dyDescent="0.2">
      <c r="A597"/>
      <c r="B597"/>
      <c r="C597"/>
      <c r="F597"/>
      <c r="G597"/>
      <c r="H597"/>
      <c r="I597"/>
      <c r="L597"/>
      <c r="M597"/>
      <c r="N597"/>
      <c r="O597"/>
    </row>
    <row r="598" spans="1:15" x14ac:dyDescent="0.2">
      <c r="A598"/>
      <c r="B598"/>
      <c r="C598"/>
      <c r="F598"/>
      <c r="G598"/>
      <c r="I598"/>
      <c r="L598"/>
      <c r="M598"/>
      <c r="N598"/>
      <c r="O598"/>
    </row>
    <row r="599" spans="1:15" x14ac:dyDescent="0.2">
      <c r="A599"/>
      <c r="B599"/>
      <c r="C599"/>
      <c r="F599"/>
      <c r="G599"/>
      <c r="I599"/>
      <c r="L599"/>
      <c r="M599"/>
      <c r="N599"/>
      <c r="O599"/>
    </row>
    <row r="600" spans="1:15" x14ac:dyDescent="0.2">
      <c r="A600"/>
      <c r="B600"/>
      <c r="C600"/>
      <c r="F600"/>
      <c r="G600"/>
      <c r="H600"/>
      <c r="L600"/>
      <c r="M600"/>
      <c r="N600"/>
      <c r="O600"/>
    </row>
    <row r="601" spans="1:15" x14ac:dyDescent="0.2">
      <c r="A601"/>
      <c r="B601"/>
      <c r="C601"/>
      <c r="F601"/>
      <c r="G601"/>
      <c r="H601"/>
      <c r="I601"/>
      <c r="L601"/>
      <c r="M601"/>
      <c r="N601"/>
      <c r="O601"/>
    </row>
    <row r="602" spans="1:15" x14ac:dyDescent="0.2">
      <c r="A602"/>
      <c r="B602"/>
      <c r="C602"/>
      <c r="F602"/>
      <c r="G602"/>
      <c r="H602"/>
      <c r="I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M607"/>
      <c r="N607"/>
      <c r="O607"/>
    </row>
    <row r="608" spans="1:15" x14ac:dyDescent="0.2">
      <c r="A608"/>
      <c r="B608"/>
      <c r="C608"/>
      <c r="F608"/>
      <c r="G608"/>
      <c r="I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L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L623"/>
      <c r="M623"/>
      <c r="N623"/>
      <c r="O623"/>
    </row>
    <row r="624" spans="1:15" x14ac:dyDescent="0.2">
      <c r="A624"/>
      <c r="B624"/>
      <c r="C624"/>
      <c r="F624"/>
      <c r="G624"/>
      <c r="J624"/>
      <c r="K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L630"/>
      <c r="M630"/>
      <c r="N630"/>
      <c r="O630"/>
    </row>
    <row r="631" spans="1:15" x14ac:dyDescent="0.2">
      <c r="A631"/>
      <c r="B631"/>
      <c r="C631"/>
      <c r="F631"/>
      <c r="G631"/>
      <c r="H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H636"/>
      <c r="J636"/>
      <c r="K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H642"/>
      <c r="I642"/>
      <c r="L642"/>
      <c r="N642"/>
      <c r="O642"/>
    </row>
    <row r="643" spans="1:15" x14ac:dyDescent="0.2">
      <c r="A643"/>
      <c r="B643"/>
      <c r="C643"/>
      <c r="F643"/>
      <c r="G643"/>
      <c r="H643"/>
      <c r="I643"/>
      <c r="L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J659"/>
      <c r="K659"/>
      <c r="L659"/>
      <c r="M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H673"/>
      <c r="J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M676"/>
      <c r="N676"/>
      <c r="O676"/>
    </row>
    <row r="677" spans="1:15" x14ac:dyDescent="0.2">
      <c r="A677"/>
      <c r="B677"/>
      <c r="C677"/>
      <c r="F677"/>
      <c r="G677"/>
      <c r="H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M681"/>
      <c r="N681"/>
      <c r="O681"/>
    </row>
    <row r="682" spans="1:15" x14ac:dyDescent="0.2">
      <c r="A682"/>
      <c r="B682"/>
      <c r="C682"/>
      <c r="F682"/>
      <c r="G682"/>
      <c r="H682"/>
      <c r="I682"/>
      <c r="L682"/>
      <c r="M682"/>
      <c r="N682"/>
      <c r="O682"/>
    </row>
    <row r="683" spans="1:15" x14ac:dyDescent="0.2">
      <c r="A683"/>
      <c r="B683"/>
      <c r="C683"/>
      <c r="F683"/>
      <c r="G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M688"/>
      <c r="N688"/>
      <c r="O688"/>
    </row>
    <row r="689" spans="1:15" x14ac:dyDescent="0.2">
      <c r="A689"/>
      <c r="B689"/>
      <c r="C689"/>
      <c r="F689"/>
      <c r="G689"/>
      <c r="L689"/>
      <c r="M689"/>
      <c r="N689"/>
      <c r="O689"/>
    </row>
    <row r="690" spans="1:15" x14ac:dyDescent="0.2">
      <c r="A690"/>
      <c r="B690"/>
      <c r="C690"/>
      <c r="F690"/>
      <c r="G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N695"/>
      <c r="O695"/>
    </row>
    <row r="696" spans="1:15" x14ac:dyDescent="0.2">
      <c r="A696"/>
      <c r="B696"/>
      <c r="C696"/>
      <c r="F696"/>
      <c r="G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I700"/>
      <c r="L700"/>
      <c r="M700"/>
      <c r="N700"/>
      <c r="O700"/>
    </row>
    <row r="701" spans="1:15" x14ac:dyDescent="0.2">
      <c r="A701"/>
      <c r="B701"/>
      <c r="C701"/>
      <c r="F701"/>
      <c r="G701"/>
      <c r="J701"/>
      <c r="K701"/>
      <c r="L701"/>
      <c r="M701"/>
      <c r="N701"/>
      <c r="O701"/>
    </row>
    <row r="702" spans="1:15" x14ac:dyDescent="0.2">
      <c r="A702"/>
      <c r="B702"/>
      <c r="C702"/>
      <c r="F702"/>
      <c r="G702"/>
      <c r="H702"/>
      <c r="I702"/>
      <c r="L702"/>
      <c r="M702"/>
      <c r="N702"/>
      <c r="O702"/>
    </row>
    <row r="703" spans="1:15" x14ac:dyDescent="0.2">
      <c r="A703"/>
      <c r="B703"/>
      <c r="C703"/>
      <c r="F703"/>
      <c r="G703"/>
      <c r="I703"/>
      <c r="L703"/>
      <c r="M703"/>
      <c r="N703"/>
      <c r="O703"/>
    </row>
    <row r="704" spans="1:15" x14ac:dyDescent="0.2">
      <c r="A704"/>
      <c r="B704"/>
      <c r="C704"/>
      <c r="F704"/>
      <c r="G704"/>
      <c r="L704"/>
      <c r="M704"/>
      <c r="N704"/>
      <c r="O704"/>
    </row>
    <row r="705" spans="1:15" x14ac:dyDescent="0.2">
      <c r="A705"/>
      <c r="B705"/>
      <c r="C705"/>
      <c r="F705"/>
      <c r="G705"/>
      <c r="H705"/>
      <c r="J705"/>
      <c r="K705"/>
      <c r="L705"/>
      <c r="M705"/>
      <c r="N705"/>
      <c r="O705"/>
    </row>
    <row r="706" spans="1:15" x14ac:dyDescent="0.2">
      <c r="A706"/>
      <c r="B706"/>
      <c r="C706"/>
      <c r="F706"/>
      <c r="G706"/>
      <c r="H706"/>
      <c r="J706"/>
      <c r="K706"/>
      <c r="L706"/>
      <c r="M706"/>
      <c r="N706"/>
      <c r="O706"/>
    </row>
    <row r="707" spans="1:15" x14ac:dyDescent="0.2">
      <c r="A707"/>
      <c r="B707"/>
      <c r="C707"/>
      <c r="F707"/>
      <c r="G707"/>
      <c r="H707"/>
      <c r="J707"/>
      <c r="K707"/>
      <c r="L707"/>
      <c r="M707"/>
      <c r="N707"/>
      <c r="O707"/>
    </row>
    <row r="708" spans="1:15" x14ac:dyDescent="0.2">
      <c r="A708"/>
      <c r="B708"/>
      <c r="C708"/>
      <c r="F708"/>
      <c r="G708"/>
      <c r="I708"/>
      <c r="L708"/>
      <c r="M708"/>
      <c r="N708"/>
      <c r="O708"/>
    </row>
    <row r="709" spans="1:15" x14ac:dyDescent="0.2">
      <c r="A709"/>
      <c r="B709"/>
      <c r="C709"/>
      <c r="F709"/>
      <c r="G709"/>
      <c r="I709"/>
      <c r="L709"/>
      <c r="M709"/>
      <c r="N709"/>
      <c r="O709"/>
    </row>
    <row r="710" spans="1:15" x14ac:dyDescent="0.2">
      <c r="A710"/>
      <c r="B710"/>
      <c r="C710"/>
      <c r="F710"/>
      <c r="G710"/>
      <c r="J710"/>
      <c r="K710"/>
      <c r="L710"/>
      <c r="M710"/>
      <c r="N710"/>
      <c r="O710"/>
    </row>
    <row r="711" spans="1:15" x14ac:dyDescent="0.2">
      <c r="A711"/>
      <c r="B711"/>
      <c r="C711"/>
      <c r="F711"/>
      <c r="G711"/>
      <c r="H711"/>
      <c r="I711"/>
      <c r="J711"/>
      <c r="K711"/>
      <c r="L711"/>
      <c r="M711"/>
      <c r="N711"/>
      <c r="O711"/>
    </row>
    <row r="712" spans="1:15" x14ac:dyDescent="0.2">
      <c r="A712"/>
      <c r="B712"/>
      <c r="C712"/>
      <c r="F712"/>
      <c r="G712"/>
      <c r="H712"/>
      <c r="I712"/>
      <c r="L712"/>
      <c r="M712"/>
      <c r="N712"/>
      <c r="O712"/>
    </row>
    <row r="713" spans="1:15" x14ac:dyDescent="0.2">
      <c r="A713"/>
      <c r="B713"/>
      <c r="C713"/>
      <c r="F713"/>
      <c r="G713"/>
      <c r="H713"/>
      <c r="I713"/>
      <c r="J713"/>
      <c r="K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I726"/>
      <c r="L726"/>
      <c r="M726"/>
      <c r="N726"/>
      <c r="O726"/>
    </row>
    <row r="727" spans="1:15" x14ac:dyDescent="0.2">
      <c r="A727"/>
      <c r="B727"/>
      <c r="C727"/>
      <c r="F727"/>
      <c r="G727"/>
      <c r="L727"/>
      <c r="M727"/>
      <c r="N727"/>
      <c r="O727"/>
    </row>
    <row r="728" spans="1:15" x14ac:dyDescent="0.2">
      <c r="A728"/>
      <c r="B728"/>
      <c r="C728"/>
      <c r="F728"/>
      <c r="G728"/>
      <c r="H728"/>
      <c r="J728"/>
      <c r="K728"/>
      <c r="L728"/>
      <c r="M728"/>
      <c r="N728"/>
      <c r="O728"/>
    </row>
    <row r="729" spans="1:15" x14ac:dyDescent="0.2">
      <c r="A729"/>
      <c r="B729"/>
      <c r="C729"/>
      <c r="F729"/>
      <c r="G729"/>
      <c r="H729"/>
      <c r="I729"/>
      <c r="L729"/>
      <c r="M729"/>
      <c r="N729"/>
      <c r="O729"/>
    </row>
    <row r="730" spans="1:15" x14ac:dyDescent="0.2">
      <c r="A730"/>
      <c r="B730"/>
      <c r="C730"/>
      <c r="F730"/>
      <c r="G730"/>
      <c r="J730"/>
      <c r="K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K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J736"/>
      <c r="L736"/>
      <c r="M736"/>
      <c r="N736"/>
      <c r="O736"/>
    </row>
    <row r="737" spans="1:15" x14ac:dyDescent="0.2">
      <c r="A737"/>
      <c r="B737"/>
      <c r="C737"/>
      <c r="F737"/>
      <c r="G737"/>
      <c r="H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J740"/>
      <c r="K740"/>
      <c r="L740"/>
      <c r="M740"/>
      <c r="N740"/>
      <c r="O740"/>
    </row>
    <row r="741" spans="1:15" x14ac:dyDescent="0.2">
      <c r="A741"/>
      <c r="B741"/>
      <c r="C741"/>
      <c r="F741"/>
      <c r="G741"/>
      <c r="H741"/>
      <c r="I741"/>
      <c r="L741"/>
      <c r="M741"/>
      <c r="N741"/>
      <c r="O741"/>
    </row>
    <row r="742" spans="1:15" x14ac:dyDescent="0.2">
      <c r="A742"/>
      <c r="B742"/>
      <c r="C742"/>
      <c r="F742"/>
      <c r="G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L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J761"/>
      <c r="K761"/>
      <c r="L761"/>
      <c r="M761"/>
      <c r="N761"/>
      <c r="O761"/>
    </row>
    <row r="762" spans="1:15" x14ac:dyDescent="0.2">
      <c r="A762"/>
      <c r="B762"/>
      <c r="C762"/>
      <c r="F762"/>
      <c r="G762"/>
      <c r="H762"/>
      <c r="L762"/>
      <c r="M762"/>
      <c r="N762"/>
      <c r="O762"/>
    </row>
    <row r="763" spans="1:15" x14ac:dyDescent="0.2">
      <c r="A763"/>
      <c r="B763"/>
      <c r="C763"/>
      <c r="F763"/>
      <c r="G763"/>
      <c r="H763"/>
      <c r="I763"/>
      <c r="L763"/>
      <c r="M763"/>
      <c r="N763"/>
      <c r="O763"/>
    </row>
    <row r="764" spans="1:15" x14ac:dyDescent="0.2">
      <c r="A764"/>
      <c r="B764"/>
      <c r="C764"/>
      <c r="F764"/>
      <c r="G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M770"/>
      <c r="N770"/>
      <c r="O770"/>
    </row>
    <row r="771" spans="1:15" x14ac:dyDescent="0.2">
      <c r="A771"/>
      <c r="B771"/>
      <c r="C771"/>
      <c r="F771"/>
      <c r="G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L775"/>
      <c r="M775"/>
      <c r="N775"/>
      <c r="O775"/>
    </row>
    <row r="776" spans="1:15" x14ac:dyDescent="0.2">
      <c r="A776"/>
      <c r="B776"/>
      <c r="C776"/>
      <c r="F776"/>
      <c r="G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L779"/>
      <c r="M779"/>
      <c r="N779"/>
      <c r="O779"/>
    </row>
    <row r="780" spans="1:15" x14ac:dyDescent="0.2">
      <c r="A780"/>
      <c r="B780"/>
      <c r="C780"/>
      <c r="F780"/>
      <c r="G780"/>
      <c r="M780"/>
      <c r="N780"/>
      <c r="O780"/>
    </row>
    <row r="781" spans="1:15" x14ac:dyDescent="0.2">
      <c r="A781"/>
      <c r="B781"/>
      <c r="C781"/>
      <c r="F781"/>
      <c r="G781"/>
      <c r="H781"/>
      <c r="I781"/>
      <c r="L781"/>
      <c r="N781"/>
      <c r="O781"/>
    </row>
    <row r="782" spans="1:15" x14ac:dyDescent="0.2">
      <c r="A782"/>
      <c r="B782"/>
      <c r="C782"/>
      <c r="F782"/>
      <c r="G782"/>
      <c r="H782"/>
      <c r="J782"/>
      <c r="K782"/>
      <c r="L782"/>
      <c r="M782"/>
      <c r="N782"/>
      <c r="O782"/>
    </row>
    <row r="783" spans="1:15" x14ac:dyDescent="0.2">
      <c r="A783"/>
      <c r="B783"/>
      <c r="C783"/>
      <c r="F783"/>
      <c r="G783"/>
      <c r="H783"/>
      <c r="J783"/>
      <c r="K783"/>
      <c r="L783"/>
      <c r="M783"/>
      <c r="N783"/>
      <c r="O783"/>
    </row>
    <row r="784" spans="1:15" x14ac:dyDescent="0.2">
      <c r="A784"/>
      <c r="B784"/>
      <c r="C784"/>
      <c r="F784"/>
      <c r="G784"/>
      <c r="H784"/>
      <c r="J784"/>
      <c r="K784"/>
      <c r="L784"/>
      <c r="M784"/>
      <c r="N784"/>
      <c r="O784"/>
    </row>
    <row r="785" spans="1:15" x14ac:dyDescent="0.2">
      <c r="A785"/>
      <c r="B785"/>
      <c r="C785"/>
      <c r="F785"/>
      <c r="G785"/>
      <c r="J785"/>
      <c r="K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N793"/>
      <c r="O793"/>
    </row>
    <row r="794" spans="1:15" x14ac:dyDescent="0.2">
      <c r="A794"/>
      <c r="B794"/>
      <c r="C794"/>
      <c r="F794"/>
      <c r="G794"/>
      <c r="H794"/>
      <c r="L794"/>
      <c r="M794"/>
      <c r="N794"/>
      <c r="O794"/>
    </row>
    <row r="795" spans="1:15" x14ac:dyDescent="0.2">
      <c r="A795"/>
      <c r="B795"/>
      <c r="C795"/>
      <c r="F795"/>
      <c r="G795"/>
      <c r="L795"/>
      <c r="M795"/>
      <c r="N795"/>
      <c r="O795"/>
    </row>
    <row r="796" spans="1:15" x14ac:dyDescent="0.2">
      <c r="A796"/>
      <c r="B796"/>
      <c r="C796"/>
      <c r="F796"/>
      <c r="G796"/>
      <c r="I796"/>
      <c r="L796"/>
      <c r="M796"/>
      <c r="N796"/>
      <c r="O796"/>
    </row>
    <row r="797" spans="1:15" x14ac:dyDescent="0.2">
      <c r="A797"/>
      <c r="B797"/>
      <c r="C797"/>
      <c r="F797"/>
      <c r="G797"/>
      <c r="L797"/>
      <c r="M797"/>
      <c r="N797"/>
      <c r="O797"/>
    </row>
    <row r="798" spans="1:15" x14ac:dyDescent="0.2">
      <c r="A798"/>
      <c r="B798"/>
      <c r="C798"/>
      <c r="F798"/>
      <c r="G798"/>
      <c r="H798"/>
      <c r="I798"/>
      <c r="J798"/>
      <c r="K798"/>
      <c r="L798"/>
      <c r="M798"/>
      <c r="N798"/>
      <c r="O798"/>
    </row>
    <row r="799" spans="1:15" x14ac:dyDescent="0.2">
      <c r="A799"/>
      <c r="B799"/>
      <c r="C799"/>
      <c r="F799"/>
      <c r="G799"/>
      <c r="J799"/>
      <c r="M799"/>
      <c r="N799"/>
      <c r="O799"/>
    </row>
    <row r="800" spans="1:15" x14ac:dyDescent="0.2">
      <c r="A800"/>
      <c r="B800"/>
      <c r="C800"/>
      <c r="F800"/>
      <c r="G800"/>
      <c r="I800"/>
      <c r="L800"/>
      <c r="M800"/>
      <c r="N800"/>
      <c r="O800"/>
    </row>
    <row r="801" spans="1:15" x14ac:dyDescent="0.2">
      <c r="A801"/>
      <c r="B801"/>
      <c r="C801"/>
      <c r="F801"/>
      <c r="G801"/>
      <c r="H801"/>
      <c r="J801"/>
      <c r="K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J804"/>
      <c r="K804"/>
      <c r="L804"/>
      <c r="M804"/>
      <c r="N804"/>
      <c r="O804"/>
    </row>
    <row r="805" spans="1:15" x14ac:dyDescent="0.2">
      <c r="A805"/>
      <c r="B805"/>
      <c r="C805"/>
      <c r="F805"/>
      <c r="G805"/>
      <c r="H805"/>
      <c r="I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H811"/>
      <c r="J811"/>
      <c r="K811"/>
      <c r="L811"/>
      <c r="M811"/>
      <c r="N811"/>
      <c r="O811"/>
    </row>
    <row r="812" spans="1:15" x14ac:dyDescent="0.2">
      <c r="A812"/>
      <c r="B812"/>
      <c r="C812"/>
      <c r="F812"/>
      <c r="G812"/>
      <c r="H812"/>
      <c r="I812"/>
      <c r="L812"/>
      <c r="M812"/>
      <c r="N812"/>
      <c r="O812"/>
    </row>
    <row r="813" spans="1:15" x14ac:dyDescent="0.2">
      <c r="A813"/>
      <c r="B813"/>
      <c r="C813"/>
      <c r="F813"/>
      <c r="G813"/>
      <c r="I813"/>
      <c r="L813"/>
      <c r="M813"/>
      <c r="N813"/>
      <c r="O813"/>
    </row>
    <row r="814" spans="1:15" x14ac:dyDescent="0.2">
      <c r="A814"/>
      <c r="B814"/>
      <c r="C814"/>
      <c r="F814"/>
      <c r="G814"/>
      <c r="H814"/>
      <c r="I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I817"/>
      <c r="L817"/>
      <c r="M817"/>
      <c r="N817"/>
      <c r="O817"/>
    </row>
    <row r="818" spans="1:15" x14ac:dyDescent="0.2">
      <c r="A818"/>
      <c r="B818"/>
      <c r="C818"/>
      <c r="F818"/>
      <c r="G818"/>
      <c r="J818"/>
      <c r="K818"/>
      <c r="L818"/>
      <c r="M818"/>
      <c r="N818"/>
      <c r="O818"/>
    </row>
    <row r="819" spans="1:15" x14ac:dyDescent="0.2">
      <c r="A819"/>
      <c r="B819"/>
      <c r="C819"/>
      <c r="F819"/>
      <c r="G819"/>
      <c r="L819"/>
      <c r="M819"/>
      <c r="N819"/>
      <c r="O819"/>
    </row>
    <row r="820" spans="1:15" x14ac:dyDescent="0.2">
      <c r="A820"/>
      <c r="B820"/>
      <c r="C820"/>
      <c r="F820"/>
      <c r="G820"/>
      <c r="M820"/>
      <c r="N820"/>
      <c r="O820"/>
    </row>
    <row r="821" spans="1:15" x14ac:dyDescent="0.2">
      <c r="A821"/>
      <c r="B821"/>
      <c r="C821"/>
      <c r="F821"/>
      <c r="G821"/>
      <c r="H821"/>
      <c r="I821"/>
      <c r="L821"/>
      <c r="M821"/>
      <c r="N821"/>
      <c r="O821"/>
    </row>
    <row r="822" spans="1:15" x14ac:dyDescent="0.2">
      <c r="A822"/>
      <c r="B822"/>
      <c r="C822"/>
      <c r="F822"/>
      <c r="G822"/>
      <c r="H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I826"/>
      <c r="L826"/>
      <c r="M826"/>
      <c r="N826"/>
      <c r="O826"/>
    </row>
    <row r="827" spans="1:15" x14ac:dyDescent="0.2">
      <c r="A827"/>
      <c r="B827"/>
      <c r="C827"/>
      <c r="F827"/>
      <c r="G827"/>
      <c r="H827"/>
      <c r="I827"/>
      <c r="L827"/>
      <c r="N827"/>
      <c r="O827"/>
    </row>
    <row r="828" spans="1:15" x14ac:dyDescent="0.2">
      <c r="A828"/>
      <c r="B828"/>
      <c r="C828"/>
      <c r="F828"/>
      <c r="G828"/>
      <c r="I828"/>
      <c r="L828"/>
      <c r="M828"/>
      <c r="N828"/>
      <c r="O828"/>
    </row>
    <row r="829" spans="1:15" x14ac:dyDescent="0.2">
      <c r="A829"/>
      <c r="B829"/>
      <c r="C829"/>
      <c r="F829"/>
      <c r="G829"/>
      <c r="H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M834"/>
      <c r="N834"/>
      <c r="O834"/>
    </row>
    <row r="835" spans="1:15" x14ac:dyDescent="0.2">
      <c r="A835"/>
      <c r="B835"/>
      <c r="C835"/>
      <c r="F835"/>
      <c r="G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L840"/>
      <c r="M840"/>
      <c r="N840"/>
      <c r="O840"/>
    </row>
    <row r="841" spans="1:15" x14ac:dyDescent="0.2">
      <c r="A841"/>
      <c r="B841"/>
      <c r="C841"/>
      <c r="F841"/>
      <c r="G841"/>
      <c r="H841"/>
      <c r="I841"/>
      <c r="L841"/>
      <c r="M841"/>
      <c r="N841"/>
      <c r="O841"/>
    </row>
    <row r="842" spans="1:15" x14ac:dyDescent="0.2">
      <c r="A842"/>
      <c r="B842"/>
      <c r="C842"/>
      <c r="F842"/>
      <c r="G842"/>
      <c r="L842"/>
      <c r="M842"/>
      <c r="N842"/>
      <c r="O842"/>
    </row>
    <row r="843" spans="1:15" x14ac:dyDescent="0.2">
      <c r="A843"/>
      <c r="B843"/>
      <c r="C843"/>
      <c r="F843"/>
      <c r="G843"/>
      <c r="L843"/>
      <c r="M843"/>
      <c r="N843"/>
      <c r="O843"/>
    </row>
    <row r="844" spans="1:15" x14ac:dyDescent="0.2">
      <c r="A844"/>
      <c r="B844"/>
      <c r="C844"/>
      <c r="F844"/>
      <c r="G844"/>
      <c r="H844"/>
      <c r="I844"/>
      <c r="J844"/>
      <c r="K844"/>
      <c r="L844"/>
      <c r="M844"/>
      <c r="N844"/>
      <c r="O844"/>
    </row>
    <row r="845" spans="1:15" x14ac:dyDescent="0.2">
      <c r="A845"/>
      <c r="B845"/>
      <c r="C845"/>
      <c r="F845"/>
      <c r="G845"/>
      <c r="I845"/>
      <c r="L845"/>
      <c r="M845"/>
      <c r="N845"/>
      <c r="O845"/>
    </row>
    <row r="846" spans="1:15" x14ac:dyDescent="0.2">
      <c r="A846"/>
      <c r="B846"/>
      <c r="C846"/>
      <c r="F846"/>
      <c r="G846"/>
      <c r="H846"/>
      <c r="I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L849"/>
      <c r="M849"/>
      <c r="N849"/>
      <c r="O849"/>
    </row>
    <row r="850" spans="1:15" x14ac:dyDescent="0.2">
      <c r="A850"/>
      <c r="B850"/>
      <c r="C850"/>
      <c r="F850"/>
      <c r="G850"/>
      <c r="J850"/>
      <c r="K850"/>
      <c r="L850"/>
      <c r="M850"/>
      <c r="N850"/>
      <c r="O850"/>
    </row>
    <row r="851" spans="1:15" x14ac:dyDescent="0.2">
      <c r="A851"/>
      <c r="B851"/>
      <c r="C851"/>
      <c r="F851"/>
      <c r="G851"/>
      <c r="I851"/>
      <c r="L851"/>
      <c r="M851"/>
      <c r="N851"/>
      <c r="O851"/>
    </row>
    <row r="852" spans="1:15" x14ac:dyDescent="0.2">
      <c r="A852"/>
      <c r="B852"/>
      <c r="C852"/>
      <c r="F852"/>
      <c r="G852"/>
      <c r="H852"/>
      <c r="I852"/>
      <c r="L852"/>
      <c r="N852"/>
      <c r="O852"/>
    </row>
    <row r="853" spans="1:15" x14ac:dyDescent="0.2">
      <c r="A853"/>
      <c r="B853"/>
      <c r="C853"/>
      <c r="F853"/>
      <c r="G853"/>
      <c r="H853"/>
      <c r="I853"/>
      <c r="L853"/>
      <c r="M853"/>
      <c r="N853"/>
      <c r="O853"/>
    </row>
    <row r="854" spans="1:15" x14ac:dyDescent="0.2">
      <c r="A854"/>
      <c r="B854"/>
      <c r="C854"/>
      <c r="F854"/>
      <c r="G854"/>
      <c r="J854"/>
      <c r="K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L857"/>
      <c r="M857"/>
      <c r="N857"/>
      <c r="O857"/>
    </row>
    <row r="858" spans="1:15" x14ac:dyDescent="0.2">
      <c r="A858"/>
      <c r="B858"/>
      <c r="C858"/>
      <c r="F858"/>
      <c r="G858"/>
      <c r="L858"/>
      <c r="M858"/>
      <c r="N858"/>
      <c r="O858"/>
    </row>
    <row r="859" spans="1:15" x14ac:dyDescent="0.2">
      <c r="A859"/>
      <c r="B859"/>
      <c r="C859"/>
      <c r="F859"/>
      <c r="G859"/>
      <c r="H859"/>
      <c r="J859"/>
      <c r="K859"/>
      <c r="L859"/>
      <c r="M859"/>
      <c r="N859"/>
      <c r="O859"/>
    </row>
    <row r="860" spans="1:15" x14ac:dyDescent="0.2">
      <c r="A860"/>
      <c r="B860"/>
      <c r="C860"/>
      <c r="F860"/>
      <c r="G860"/>
      <c r="J860"/>
      <c r="K860"/>
      <c r="L860"/>
      <c r="M860"/>
      <c r="N860"/>
      <c r="O860"/>
    </row>
    <row r="861" spans="1:15" x14ac:dyDescent="0.2">
      <c r="A861"/>
      <c r="B861"/>
      <c r="C861"/>
      <c r="F861"/>
      <c r="G861"/>
      <c r="H861"/>
      <c r="J861"/>
      <c r="K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I865"/>
      <c r="L865"/>
      <c r="N865"/>
      <c r="O865"/>
    </row>
    <row r="866" spans="1:15" x14ac:dyDescent="0.2">
      <c r="A866"/>
      <c r="B866"/>
      <c r="C866"/>
      <c r="F866"/>
      <c r="G866"/>
      <c r="I866"/>
      <c r="L866"/>
      <c r="M866"/>
      <c r="N866"/>
      <c r="O866"/>
    </row>
    <row r="867" spans="1:15" x14ac:dyDescent="0.2">
      <c r="A867"/>
      <c r="B867"/>
      <c r="C867"/>
      <c r="F867"/>
      <c r="G867"/>
      <c r="L867"/>
      <c r="M867"/>
      <c r="N867"/>
      <c r="O867"/>
    </row>
    <row r="868" spans="1:15" x14ac:dyDescent="0.2">
      <c r="A868"/>
      <c r="B868"/>
      <c r="C868"/>
      <c r="F868"/>
      <c r="G868"/>
      <c r="H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I874"/>
      <c r="L874"/>
      <c r="M874"/>
      <c r="N874"/>
      <c r="O874"/>
    </row>
    <row r="875" spans="1:15" x14ac:dyDescent="0.2">
      <c r="A875"/>
      <c r="B875"/>
      <c r="C875"/>
      <c r="F875"/>
      <c r="G875"/>
      <c r="L875"/>
      <c r="M875"/>
      <c r="N875"/>
      <c r="O875"/>
    </row>
    <row r="876" spans="1:15" x14ac:dyDescent="0.2">
      <c r="A876"/>
      <c r="B876"/>
      <c r="C876"/>
      <c r="F876"/>
      <c r="G876"/>
      <c r="H876"/>
      <c r="J876"/>
      <c r="K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M879"/>
      <c r="N879"/>
      <c r="O879"/>
    </row>
    <row r="880" spans="1:15" x14ac:dyDescent="0.2">
      <c r="A880"/>
      <c r="B880"/>
      <c r="C880"/>
      <c r="F880"/>
      <c r="G880"/>
      <c r="I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H886"/>
      <c r="I886"/>
      <c r="L886"/>
      <c r="M886"/>
      <c r="N886"/>
      <c r="O886"/>
    </row>
    <row r="887" spans="1:15" x14ac:dyDescent="0.2">
      <c r="A887"/>
      <c r="B887"/>
      <c r="C887"/>
      <c r="F887"/>
      <c r="G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L896"/>
      <c r="M896"/>
      <c r="N896"/>
      <c r="O896"/>
    </row>
    <row r="897" spans="1:15" x14ac:dyDescent="0.2">
      <c r="A897"/>
      <c r="B897"/>
      <c r="C897"/>
      <c r="F897"/>
      <c r="G897"/>
      <c r="I897"/>
      <c r="J897"/>
      <c r="K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J910"/>
      <c r="K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I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J918"/>
      <c r="K918"/>
      <c r="L918"/>
      <c r="M918"/>
      <c r="N918"/>
      <c r="O918"/>
    </row>
    <row r="919" spans="1:15" x14ac:dyDescent="0.2">
      <c r="A919"/>
      <c r="B919"/>
      <c r="C919"/>
      <c r="F919"/>
      <c r="G919"/>
      <c r="J919"/>
      <c r="K919"/>
      <c r="L919"/>
      <c r="M919"/>
      <c r="N919"/>
      <c r="O919"/>
    </row>
    <row r="920" spans="1:15" x14ac:dyDescent="0.2">
      <c r="A920"/>
      <c r="B920"/>
      <c r="C920"/>
      <c r="F920"/>
      <c r="G920"/>
      <c r="H920"/>
      <c r="J920"/>
      <c r="K920"/>
      <c r="L920"/>
      <c r="M920"/>
      <c r="N920"/>
      <c r="O920"/>
    </row>
    <row r="921" spans="1:15" x14ac:dyDescent="0.2">
      <c r="A921"/>
      <c r="B921"/>
      <c r="C921"/>
      <c r="F921"/>
      <c r="G921"/>
      <c r="L921"/>
      <c r="M921"/>
      <c r="N921"/>
      <c r="O921"/>
    </row>
    <row r="922" spans="1:15" x14ac:dyDescent="0.2">
      <c r="A922"/>
      <c r="B922"/>
      <c r="C922"/>
      <c r="F922"/>
      <c r="G922"/>
      <c r="H922"/>
      <c r="J922"/>
      <c r="K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J927"/>
      <c r="K927"/>
      <c r="L927"/>
      <c r="M927"/>
      <c r="N927"/>
      <c r="O927"/>
    </row>
    <row r="928" spans="1:15" x14ac:dyDescent="0.2">
      <c r="A928"/>
      <c r="B928"/>
      <c r="C928"/>
      <c r="F928"/>
      <c r="G928"/>
      <c r="H928"/>
      <c r="I928"/>
      <c r="L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L931"/>
      <c r="M931"/>
      <c r="N931"/>
      <c r="O931"/>
    </row>
    <row r="932" spans="1:15" x14ac:dyDescent="0.2">
      <c r="A932"/>
      <c r="B932"/>
      <c r="C932"/>
      <c r="F932"/>
      <c r="G932"/>
      <c r="I932"/>
      <c r="L932"/>
      <c r="M932"/>
      <c r="N932"/>
      <c r="O932"/>
    </row>
    <row r="933" spans="1:15" x14ac:dyDescent="0.2">
      <c r="A933"/>
      <c r="B933"/>
      <c r="C933"/>
      <c r="F933"/>
      <c r="G933"/>
      <c r="H933"/>
      <c r="I933"/>
      <c r="L933"/>
      <c r="M933"/>
      <c r="N933"/>
      <c r="O933"/>
    </row>
    <row r="934" spans="1:15" x14ac:dyDescent="0.2">
      <c r="A934"/>
      <c r="B934"/>
      <c r="C934"/>
      <c r="F934"/>
      <c r="G934"/>
      <c r="L934"/>
      <c r="M934"/>
      <c r="N934"/>
      <c r="O934"/>
    </row>
    <row r="935" spans="1:15" x14ac:dyDescent="0.2">
      <c r="A935"/>
      <c r="B935"/>
      <c r="C935"/>
      <c r="F935"/>
      <c r="G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J951"/>
      <c r="K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J957"/>
      <c r="K957"/>
      <c r="L957"/>
      <c r="M957"/>
      <c r="N957"/>
      <c r="O957"/>
    </row>
    <row r="958" spans="1:15" x14ac:dyDescent="0.2">
      <c r="A958"/>
      <c r="B958"/>
      <c r="C958"/>
      <c r="F958"/>
      <c r="G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J966"/>
      <c r="K966"/>
      <c r="L966"/>
      <c r="M966"/>
      <c r="N966"/>
      <c r="O966"/>
    </row>
    <row r="967" spans="1:15" x14ac:dyDescent="0.2">
      <c r="A967"/>
      <c r="B967"/>
      <c r="C967"/>
      <c r="F967"/>
      <c r="G967"/>
      <c r="H967"/>
      <c r="J967"/>
      <c r="K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M982"/>
      <c r="N982"/>
      <c r="O982"/>
    </row>
    <row r="983" spans="1:15" x14ac:dyDescent="0.2">
      <c r="A983"/>
      <c r="B983"/>
      <c r="C983"/>
      <c r="F983"/>
      <c r="G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J991"/>
      <c r="K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I1012"/>
      <c r="J1012"/>
      <c r="K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J1022"/>
      <c r="K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H1031"/>
      <c r="I1031"/>
      <c r="L1031"/>
      <c r="M1031"/>
      <c r="N1031"/>
      <c r="O1031"/>
    </row>
    <row r="1032" spans="1:15" x14ac:dyDescent="0.2">
      <c r="A1032"/>
      <c r="B1032"/>
      <c r="C1032"/>
      <c r="F1032"/>
      <c r="G1032"/>
      <c r="I1032"/>
      <c r="L1032"/>
      <c r="M1032"/>
      <c r="N1032"/>
      <c r="O1032"/>
    </row>
    <row r="1033" spans="1:15" x14ac:dyDescent="0.2">
      <c r="A1033"/>
      <c r="B1033"/>
      <c r="C1033"/>
      <c r="F1033"/>
      <c r="G1033"/>
      <c r="I1033"/>
      <c r="L1033"/>
      <c r="M1033"/>
      <c r="N1033"/>
      <c r="O1033"/>
    </row>
    <row r="1034" spans="1:15" x14ac:dyDescent="0.2">
      <c r="A1034"/>
      <c r="B1034"/>
      <c r="C1034"/>
      <c r="F1034"/>
      <c r="G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J1038"/>
      <c r="K1038"/>
      <c r="L1038"/>
      <c r="M1038"/>
      <c r="N1038"/>
      <c r="O1038"/>
    </row>
    <row r="1039" spans="1:15" x14ac:dyDescent="0.2">
      <c r="A1039"/>
      <c r="B1039"/>
      <c r="C1039"/>
      <c r="F1039"/>
      <c r="G1039"/>
      <c r="I1039"/>
      <c r="L1039"/>
      <c r="M1039"/>
      <c r="N1039"/>
      <c r="O1039"/>
    </row>
    <row r="1040" spans="1:15" x14ac:dyDescent="0.2">
      <c r="A1040"/>
      <c r="B1040"/>
      <c r="C1040"/>
      <c r="F1040"/>
      <c r="G1040"/>
      <c r="H1040"/>
      <c r="I1040"/>
      <c r="J1040"/>
      <c r="K1040"/>
      <c r="L1040"/>
      <c r="M1040"/>
      <c r="N1040"/>
      <c r="O1040"/>
    </row>
    <row r="1041" spans="1:15" x14ac:dyDescent="0.2">
      <c r="A1041"/>
      <c r="B1041"/>
      <c r="C1041"/>
      <c r="F1041"/>
      <c r="G1041"/>
      <c r="H1041"/>
      <c r="I1041"/>
      <c r="L1041"/>
      <c r="M1041"/>
      <c r="N1041"/>
      <c r="O1041"/>
    </row>
    <row r="1042" spans="1:15" x14ac:dyDescent="0.2">
      <c r="A1042"/>
      <c r="B1042"/>
      <c r="C1042"/>
      <c r="F1042"/>
      <c r="G1042"/>
      <c r="J1042"/>
      <c r="K1042"/>
      <c r="L1042"/>
      <c r="M1042"/>
      <c r="N1042"/>
      <c r="O1042"/>
    </row>
    <row r="1043" spans="1:15" x14ac:dyDescent="0.2">
      <c r="A1043"/>
      <c r="B1043"/>
      <c r="C1043"/>
      <c r="F1043"/>
      <c r="G1043"/>
      <c r="H1043"/>
      <c r="I1043"/>
      <c r="L1043"/>
      <c r="M1043"/>
      <c r="N1043"/>
      <c r="O1043"/>
    </row>
    <row r="1044" spans="1:15" x14ac:dyDescent="0.2">
      <c r="A1044"/>
      <c r="B1044"/>
      <c r="C1044"/>
      <c r="F1044"/>
      <c r="G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J1047"/>
      <c r="K1047"/>
      <c r="L1047"/>
      <c r="M1047"/>
      <c r="N1047"/>
      <c r="O1047"/>
    </row>
    <row r="1048" spans="1:15" x14ac:dyDescent="0.2">
      <c r="A1048"/>
      <c r="B1048"/>
      <c r="C1048"/>
      <c r="F1048"/>
      <c r="G1048"/>
      <c r="H1048"/>
      <c r="J1048"/>
      <c r="K1048"/>
      <c r="L1048"/>
      <c r="M1048"/>
      <c r="N1048"/>
      <c r="O1048"/>
    </row>
    <row r="1049" spans="1:15" x14ac:dyDescent="0.2">
      <c r="A1049"/>
      <c r="B1049"/>
      <c r="C1049"/>
      <c r="F1049"/>
      <c r="G1049"/>
      <c r="H1049"/>
      <c r="I1049"/>
      <c r="L1049"/>
      <c r="N1049"/>
      <c r="O1049"/>
    </row>
    <row r="1050" spans="1:15" x14ac:dyDescent="0.2">
      <c r="A1050"/>
      <c r="B1050"/>
      <c r="C1050"/>
      <c r="F1050"/>
      <c r="G1050"/>
      <c r="H1050"/>
      <c r="J1050"/>
      <c r="K1050"/>
      <c r="L1050"/>
      <c r="M1050"/>
      <c r="N1050"/>
      <c r="O1050"/>
    </row>
    <row r="1051" spans="1:15" x14ac:dyDescent="0.2">
      <c r="A1051"/>
      <c r="B1051"/>
      <c r="C1051"/>
      <c r="F1051"/>
      <c r="G1051"/>
      <c r="H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G1056"/>
      <c r="J1056"/>
      <c r="K1056"/>
      <c r="L1056"/>
      <c r="M1056"/>
      <c r="N1056"/>
      <c r="O1056"/>
    </row>
    <row r="1057" spans="1:15" x14ac:dyDescent="0.2">
      <c r="A1057"/>
      <c r="B1057"/>
      <c r="C1057"/>
      <c r="F1057"/>
      <c r="G1057"/>
      <c r="H1057"/>
      <c r="I1057"/>
      <c r="L1057"/>
      <c r="N1057"/>
      <c r="O1057"/>
    </row>
    <row r="1058" spans="1:15" x14ac:dyDescent="0.2">
      <c r="A1058"/>
      <c r="B1058"/>
      <c r="C1058"/>
      <c r="F1058"/>
      <c r="G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L1062"/>
      <c r="M1062"/>
      <c r="N1062"/>
      <c r="O1062"/>
    </row>
    <row r="1063" spans="1:15" x14ac:dyDescent="0.2">
      <c r="A1063"/>
      <c r="B1063"/>
      <c r="C1063"/>
      <c r="F1063"/>
      <c r="G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M1066"/>
      <c r="N1066"/>
      <c r="O1066"/>
    </row>
    <row r="1067" spans="1:15" x14ac:dyDescent="0.2">
      <c r="A1067"/>
      <c r="B1067"/>
      <c r="C1067"/>
      <c r="F1067"/>
      <c r="G1067"/>
      <c r="N1067"/>
      <c r="O1067"/>
    </row>
    <row r="1068" spans="1:15" x14ac:dyDescent="0.2">
      <c r="A1068"/>
      <c r="B1068"/>
      <c r="C1068"/>
      <c r="F1068"/>
      <c r="G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N1072"/>
      <c r="O1072"/>
    </row>
    <row r="1073" spans="1:15" x14ac:dyDescent="0.2">
      <c r="A1073"/>
      <c r="B1073"/>
      <c r="C1073"/>
      <c r="F1073"/>
      <c r="G1073"/>
      <c r="I1073"/>
      <c r="L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I1076"/>
      <c r="L1076"/>
      <c r="M1076"/>
      <c r="N1076"/>
      <c r="O1076"/>
    </row>
    <row r="1077" spans="1:15" x14ac:dyDescent="0.2">
      <c r="A1077"/>
      <c r="B1077"/>
      <c r="C1077"/>
      <c r="F1077"/>
      <c r="G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L1080"/>
      <c r="M1080"/>
      <c r="N1080"/>
      <c r="O1080"/>
    </row>
    <row r="1081" spans="1:15" x14ac:dyDescent="0.2">
      <c r="A1081"/>
      <c r="B1081"/>
      <c r="C1081"/>
      <c r="F1081"/>
      <c r="G1081"/>
      <c r="H1081"/>
      <c r="I1081"/>
      <c r="L1081"/>
      <c r="M1081"/>
      <c r="N1081"/>
      <c r="O1081"/>
    </row>
    <row r="1082" spans="1:15" x14ac:dyDescent="0.2">
      <c r="A1082"/>
      <c r="B1082"/>
      <c r="C1082"/>
      <c r="F1082"/>
      <c r="G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H1087"/>
      <c r="J1087"/>
      <c r="K1087"/>
      <c r="L1087"/>
      <c r="M1087"/>
      <c r="N1087"/>
      <c r="O1087"/>
    </row>
    <row r="1088" spans="1:15" x14ac:dyDescent="0.2">
      <c r="A1088"/>
      <c r="B1088"/>
      <c r="C1088"/>
      <c r="F1088"/>
      <c r="G1088"/>
      <c r="H1088"/>
      <c r="J1088"/>
      <c r="K1088"/>
      <c r="L1088"/>
      <c r="M1088"/>
      <c r="N1088"/>
      <c r="O1088"/>
    </row>
    <row r="1089" spans="1:15" x14ac:dyDescent="0.2">
      <c r="A1089"/>
      <c r="B1089"/>
      <c r="C1089"/>
      <c r="F1089"/>
      <c r="G1089"/>
      <c r="H1089"/>
      <c r="J1089"/>
      <c r="K1089"/>
      <c r="L1089"/>
      <c r="M1089"/>
      <c r="N1089"/>
      <c r="O1089"/>
    </row>
    <row r="1090" spans="1:15" x14ac:dyDescent="0.2">
      <c r="A1090"/>
      <c r="B1090"/>
      <c r="C1090"/>
      <c r="F1090"/>
      <c r="G1090"/>
      <c r="H1090"/>
      <c r="L1090"/>
      <c r="M1090"/>
      <c r="N1090"/>
      <c r="O1090"/>
    </row>
    <row r="1091" spans="1:15" x14ac:dyDescent="0.2">
      <c r="A1091"/>
      <c r="B1091"/>
      <c r="C1091"/>
      <c r="F1091"/>
      <c r="G1091"/>
      <c r="I1091"/>
      <c r="L1091"/>
      <c r="M1091"/>
      <c r="N1091"/>
      <c r="O1091"/>
    </row>
    <row r="1092" spans="1:15" x14ac:dyDescent="0.2">
      <c r="A1092"/>
      <c r="B1092"/>
      <c r="C1092"/>
      <c r="F1092"/>
      <c r="G1092"/>
      <c r="I1092"/>
      <c r="L1092"/>
      <c r="M1092"/>
      <c r="N1092"/>
      <c r="O1092"/>
    </row>
    <row r="1093" spans="1:15" x14ac:dyDescent="0.2">
      <c r="A1093"/>
      <c r="B1093"/>
      <c r="C1093"/>
      <c r="F1093"/>
      <c r="G1093"/>
      <c r="M1093"/>
      <c r="N1093"/>
      <c r="O1093"/>
    </row>
    <row r="1094" spans="1:15" x14ac:dyDescent="0.2">
      <c r="A1094"/>
      <c r="B1094"/>
      <c r="C1094"/>
      <c r="F1094"/>
      <c r="G1094"/>
      <c r="H1094"/>
      <c r="I1094"/>
      <c r="L1094"/>
      <c r="M1094"/>
      <c r="N1094"/>
      <c r="O1094"/>
    </row>
    <row r="1095" spans="1:15" x14ac:dyDescent="0.2">
      <c r="A1095"/>
      <c r="B1095"/>
      <c r="C1095"/>
      <c r="F1095"/>
      <c r="G1095"/>
      <c r="J1095"/>
      <c r="K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H1098"/>
      <c r="J1098"/>
      <c r="K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I1101"/>
      <c r="L1101"/>
      <c r="M1101"/>
      <c r="N1101"/>
      <c r="O1101"/>
    </row>
    <row r="1102" spans="1:15" x14ac:dyDescent="0.2">
      <c r="A1102"/>
      <c r="B1102"/>
      <c r="C1102"/>
      <c r="F1102"/>
      <c r="G1102"/>
      <c r="L1102"/>
      <c r="M1102"/>
      <c r="N1102"/>
      <c r="O1102"/>
    </row>
    <row r="1103" spans="1:15" x14ac:dyDescent="0.2">
      <c r="A1103"/>
      <c r="B1103"/>
      <c r="C1103"/>
      <c r="F1103"/>
      <c r="G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I1106"/>
      <c r="L1106"/>
      <c r="M1106"/>
      <c r="N1106"/>
      <c r="O1106"/>
    </row>
    <row r="1107" spans="1:15" x14ac:dyDescent="0.2">
      <c r="A1107"/>
      <c r="B1107"/>
      <c r="C1107"/>
      <c r="F1107"/>
      <c r="G1107"/>
      <c r="I1107"/>
      <c r="L1107"/>
      <c r="M1107"/>
      <c r="N1107"/>
      <c r="O1107"/>
    </row>
    <row r="1108" spans="1:15" x14ac:dyDescent="0.2">
      <c r="A1108"/>
      <c r="B1108"/>
      <c r="C1108"/>
      <c r="F1108"/>
      <c r="G1108"/>
      <c r="H1108"/>
      <c r="I1108"/>
      <c r="L1108"/>
      <c r="M1108"/>
      <c r="N1108"/>
      <c r="O1108"/>
    </row>
    <row r="1109" spans="1:15" x14ac:dyDescent="0.2">
      <c r="A1109"/>
      <c r="B1109"/>
      <c r="C1109"/>
      <c r="F1109"/>
      <c r="G1109"/>
      <c r="I1109"/>
      <c r="L1109"/>
      <c r="M1109"/>
      <c r="N1109"/>
      <c r="O1109"/>
    </row>
    <row r="1110" spans="1:15" x14ac:dyDescent="0.2">
      <c r="A1110"/>
      <c r="B1110"/>
      <c r="C1110"/>
      <c r="F1110"/>
      <c r="G1110"/>
      <c r="H1110"/>
      <c r="L1110"/>
      <c r="M1110"/>
      <c r="N1110"/>
      <c r="O1110"/>
    </row>
    <row r="1111" spans="1:15" x14ac:dyDescent="0.2">
      <c r="A1111"/>
      <c r="B1111"/>
      <c r="C1111"/>
      <c r="F1111"/>
      <c r="G1111"/>
      <c r="N1111"/>
      <c r="O1111"/>
    </row>
    <row r="1112" spans="1:15" x14ac:dyDescent="0.2">
      <c r="A1112"/>
      <c r="B1112"/>
      <c r="C1112"/>
      <c r="F1112"/>
      <c r="G1112"/>
      <c r="I1112"/>
      <c r="L1112"/>
      <c r="M1112"/>
      <c r="N1112"/>
      <c r="O1112"/>
    </row>
    <row r="1113" spans="1:15" x14ac:dyDescent="0.2">
      <c r="A1113"/>
      <c r="B1113"/>
      <c r="C1113"/>
      <c r="F1113"/>
      <c r="G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J1116"/>
      <c r="K1116"/>
      <c r="L1116"/>
      <c r="M1116"/>
      <c r="N1116"/>
      <c r="O1116"/>
    </row>
    <row r="1117" spans="1:15" x14ac:dyDescent="0.2">
      <c r="A1117"/>
      <c r="B1117"/>
      <c r="C1117"/>
      <c r="F1117"/>
      <c r="G1117"/>
      <c r="I1117"/>
      <c r="L1117"/>
      <c r="M1117"/>
      <c r="N1117"/>
      <c r="O1117"/>
    </row>
    <row r="1118" spans="1:15" x14ac:dyDescent="0.2">
      <c r="A1118"/>
      <c r="B1118"/>
      <c r="C1118"/>
      <c r="F1118"/>
      <c r="G1118"/>
      <c r="J1118"/>
      <c r="K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M1121"/>
      <c r="N1121"/>
      <c r="O1121"/>
    </row>
    <row r="1122" spans="1:15" x14ac:dyDescent="0.2">
      <c r="A1122"/>
      <c r="B1122"/>
      <c r="C1122"/>
      <c r="F1122"/>
      <c r="G1122"/>
      <c r="H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H1125"/>
      <c r="I1125"/>
      <c r="L1125"/>
      <c r="M1125"/>
      <c r="N1125"/>
      <c r="O1125"/>
    </row>
    <row r="1126" spans="1:15" x14ac:dyDescent="0.2">
      <c r="A1126"/>
      <c r="B1126"/>
      <c r="C1126"/>
      <c r="F1126"/>
      <c r="G1126"/>
      <c r="H1126"/>
      <c r="J1126"/>
      <c r="K1126"/>
      <c r="L1126"/>
      <c r="M1126"/>
      <c r="N1126"/>
      <c r="O1126"/>
    </row>
    <row r="1127" spans="1:15" x14ac:dyDescent="0.2">
      <c r="A1127"/>
      <c r="B1127"/>
      <c r="C1127"/>
      <c r="F1127"/>
      <c r="G1127"/>
      <c r="L1127"/>
      <c r="M1127"/>
      <c r="N1127"/>
      <c r="O1127"/>
    </row>
    <row r="1128" spans="1:15" x14ac:dyDescent="0.2">
      <c r="A1128"/>
      <c r="B1128"/>
      <c r="C1128"/>
      <c r="F1128"/>
      <c r="G1128"/>
      <c r="H1128"/>
      <c r="L1128"/>
      <c r="M1128"/>
      <c r="N1128"/>
      <c r="O1128"/>
    </row>
    <row r="1129" spans="1:15" x14ac:dyDescent="0.2">
      <c r="A1129"/>
      <c r="B1129"/>
      <c r="C1129"/>
      <c r="F1129"/>
      <c r="G1129"/>
      <c r="J1129"/>
      <c r="K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H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L1135"/>
      <c r="M1135"/>
      <c r="N1135"/>
      <c r="O1135"/>
    </row>
    <row r="1136" spans="1:15" x14ac:dyDescent="0.2">
      <c r="A1136"/>
      <c r="B1136"/>
      <c r="C1136"/>
      <c r="F1136"/>
      <c r="G1136"/>
      <c r="H1136"/>
      <c r="I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N1146"/>
      <c r="O1146"/>
    </row>
    <row r="1147" spans="1:15" x14ac:dyDescent="0.2">
      <c r="A1147"/>
      <c r="B1147"/>
      <c r="C1147"/>
      <c r="F1147"/>
      <c r="G1147"/>
      <c r="I1147"/>
      <c r="L1147"/>
      <c r="M1147"/>
      <c r="N1147"/>
      <c r="O1147"/>
    </row>
    <row r="1148" spans="1:15" x14ac:dyDescent="0.2">
      <c r="A1148"/>
      <c r="B1148"/>
      <c r="C1148"/>
      <c r="F1148"/>
      <c r="G1148"/>
      <c r="I1148"/>
      <c r="L1148"/>
      <c r="M1148"/>
      <c r="N1148"/>
      <c r="O1148"/>
    </row>
    <row r="1149" spans="1:15" x14ac:dyDescent="0.2">
      <c r="A1149"/>
      <c r="B1149"/>
      <c r="C1149"/>
      <c r="F1149"/>
      <c r="G1149"/>
      <c r="J1149"/>
      <c r="K1149"/>
      <c r="L1149"/>
      <c r="M1149"/>
      <c r="N1149"/>
      <c r="O1149"/>
    </row>
    <row r="1150" spans="1:15" x14ac:dyDescent="0.2">
      <c r="A1150"/>
      <c r="B1150"/>
      <c r="C1150"/>
      <c r="F1150"/>
      <c r="G1150"/>
      <c r="I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I1154"/>
      <c r="L1154"/>
      <c r="M1154"/>
      <c r="N1154"/>
      <c r="O1154"/>
    </row>
    <row r="1155" spans="1:15" x14ac:dyDescent="0.2">
      <c r="A1155"/>
      <c r="B1155"/>
      <c r="C1155"/>
      <c r="F1155"/>
      <c r="G1155"/>
      <c r="H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L1161"/>
      <c r="M1161"/>
      <c r="N1161"/>
      <c r="O1161"/>
    </row>
    <row r="1162" spans="1:15" x14ac:dyDescent="0.2">
      <c r="A1162"/>
      <c r="B1162"/>
      <c r="C1162"/>
      <c r="F1162"/>
      <c r="G1162"/>
      <c r="H1162"/>
      <c r="L1162"/>
      <c r="M1162"/>
      <c r="N1162"/>
      <c r="O1162"/>
    </row>
    <row r="1163" spans="1:15" x14ac:dyDescent="0.2">
      <c r="A1163"/>
      <c r="B1163"/>
      <c r="C1163"/>
      <c r="F1163"/>
      <c r="G1163"/>
      <c r="H1163"/>
      <c r="I1163"/>
      <c r="L1163"/>
      <c r="M1163"/>
      <c r="N1163"/>
      <c r="O1163"/>
    </row>
    <row r="1164" spans="1:15" x14ac:dyDescent="0.2">
      <c r="A1164"/>
      <c r="B1164"/>
      <c r="C1164"/>
      <c r="F1164"/>
      <c r="G1164"/>
      <c r="H1164"/>
      <c r="J1164"/>
      <c r="K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M1167"/>
      <c r="N1167"/>
      <c r="O1167"/>
    </row>
    <row r="1168" spans="1:15" x14ac:dyDescent="0.2">
      <c r="A1168"/>
      <c r="B1168"/>
      <c r="C1168"/>
      <c r="F1168"/>
      <c r="G1168"/>
      <c r="H1168"/>
      <c r="I1168"/>
      <c r="L1168"/>
      <c r="M1168"/>
      <c r="N1168"/>
      <c r="O1168"/>
    </row>
    <row r="1169" spans="1:15" x14ac:dyDescent="0.2">
      <c r="A1169"/>
      <c r="B1169"/>
      <c r="C1169"/>
      <c r="F1169"/>
      <c r="G1169"/>
      <c r="H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I1172"/>
      <c r="L1172"/>
      <c r="M1172"/>
      <c r="N1172"/>
      <c r="O1172"/>
    </row>
    <row r="1173" spans="1:15" x14ac:dyDescent="0.2">
      <c r="A1173"/>
      <c r="B1173"/>
      <c r="C1173"/>
      <c r="F1173"/>
      <c r="G1173"/>
      <c r="H1173"/>
      <c r="J1173"/>
      <c r="K1173"/>
      <c r="L1173"/>
      <c r="M1173"/>
      <c r="N1173"/>
      <c r="O1173"/>
    </row>
    <row r="1174" spans="1:15" x14ac:dyDescent="0.2">
      <c r="A1174"/>
      <c r="B1174"/>
      <c r="C1174"/>
      <c r="F1174"/>
      <c r="G1174"/>
      <c r="L1174"/>
      <c r="M1174"/>
      <c r="N1174"/>
      <c r="O1174"/>
    </row>
    <row r="1175" spans="1:15" x14ac:dyDescent="0.2">
      <c r="A1175"/>
      <c r="B1175"/>
      <c r="C1175"/>
      <c r="F1175"/>
      <c r="G1175"/>
      <c r="H1175"/>
      <c r="J1175"/>
      <c r="K1175"/>
      <c r="L1175"/>
      <c r="M1175"/>
      <c r="N1175"/>
      <c r="O1175"/>
    </row>
    <row r="1176" spans="1:15" x14ac:dyDescent="0.2">
      <c r="A1176"/>
      <c r="B1176"/>
      <c r="C1176"/>
      <c r="F1176"/>
      <c r="G1176"/>
      <c r="H1176"/>
      <c r="J1176"/>
      <c r="K1176"/>
      <c r="L1176"/>
      <c r="M1176"/>
      <c r="N1176"/>
      <c r="O1176"/>
    </row>
    <row r="1177" spans="1:15" x14ac:dyDescent="0.2">
      <c r="A1177"/>
      <c r="B1177"/>
      <c r="C1177"/>
      <c r="F1177"/>
      <c r="G1177"/>
      <c r="H1177"/>
      <c r="L1177"/>
      <c r="M1177"/>
      <c r="N1177"/>
      <c r="O1177"/>
    </row>
    <row r="1178" spans="1:15" x14ac:dyDescent="0.2">
      <c r="A1178"/>
      <c r="B1178"/>
      <c r="C1178"/>
      <c r="F1178"/>
      <c r="G1178"/>
      <c r="H1178"/>
      <c r="J1178"/>
      <c r="K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J1184"/>
      <c r="K1184"/>
      <c r="L1184"/>
      <c r="M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J1190"/>
      <c r="K1190"/>
      <c r="L1190"/>
      <c r="M1190"/>
      <c r="N1190"/>
      <c r="O1190"/>
    </row>
    <row r="1191" spans="1:15" x14ac:dyDescent="0.2">
      <c r="A1191"/>
      <c r="B1191"/>
      <c r="C1191"/>
      <c r="F1191"/>
      <c r="G1191"/>
      <c r="H1191"/>
      <c r="I1191"/>
      <c r="L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J1195"/>
      <c r="K1195"/>
      <c r="L1195"/>
      <c r="M1195"/>
      <c r="N1195"/>
      <c r="O1195"/>
    </row>
    <row r="1196" spans="1:15" x14ac:dyDescent="0.2">
      <c r="A1196"/>
      <c r="B1196"/>
      <c r="C1196"/>
      <c r="F1196"/>
      <c r="G1196"/>
      <c r="L1196"/>
      <c r="M1196"/>
      <c r="N1196"/>
      <c r="O1196"/>
    </row>
    <row r="1197" spans="1:15" x14ac:dyDescent="0.2">
      <c r="A1197"/>
      <c r="B1197"/>
      <c r="C1197"/>
      <c r="F1197"/>
      <c r="G1197"/>
      <c r="H1197"/>
      <c r="I1197"/>
      <c r="L1197"/>
      <c r="M1197"/>
      <c r="N1197"/>
      <c r="O1197"/>
    </row>
    <row r="1198" spans="1:15" x14ac:dyDescent="0.2">
      <c r="A1198"/>
      <c r="B1198"/>
      <c r="C1198"/>
      <c r="F1198"/>
      <c r="G1198"/>
      <c r="I1198"/>
      <c r="L1198"/>
      <c r="M1198"/>
      <c r="N1198"/>
      <c r="O1198"/>
    </row>
    <row r="1199" spans="1:15" x14ac:dyDescent="0.2">
      <c r="A1199"/>
      <c r="B1199"/>
      <c r="C1199"/>
      <c r="F1199"/>
      <c r="G1199"/>
      <c r="I1199"/>
      <c r="L1199"/>
      <c r="M1199"/>
      <c r="N1199"/>
      <c r="O1199"/>
    </row>
    <row r="1200" spans="1:15" x14ac:dyDescent="0.2">
      <c r="A1200"/>
      <c r="B1200"/>
      <c r="C1200"/>
      <c r="F1200"/>
      <c r="G1200"/>
      <c r="H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L1217"/>
      <c r="M1217"/>
      <c r="N1217"/>
      <c r="O1217"/>
    </row>
    <row r="1218" spans="1:15" x14ac:dyDescent="0.2">
      <c r="A1218"/>
      <c r="B1218"/>
      <c r="C1218"/>
      <c r="F1218"/>
      <c r="G1218"/>
      <c r="H1218"/>
      <c r="M1218"/>
      <c r="N1218"/>
      <c r="O1218"/>
    </row>
    <row r="1219" spans="1:15" x14ac:dyDescent="0.2">
      <c r="A1219"/>
      <c r="B1219"/>
      <c r="C1219"/>
      <c r="F1219"/>
      <c r="G1219"/>
      <c r="H1219"/>
      <c r="I1219"/>
      <c r="L1219"/>
      <c r="M1219"/>
      <c r="N1219"/>
      <c r="O1219"/>
    </row>
    <row r="1220" spans="1:15" x14ac:dyDescent="0.2">
      <c r="A1220"/>
      <c r="B1220"/>
      <c r="C1220"/>
      <c r="F1220"/>
      <c r="G1220"/>
      <c r="H1220"/>
      <c r="I1220"/>
      <c r="L1220"/>
      <c r="M1220"/>
      <c r="N1220"/>
      <c r="O1220"/>
    </row>
    <row r="1221" spans="1:15" x14ac:dyDescent="0.2">
      <c r="A1221"/>
      <c r="B1221"/>
      <c r="C1221"/>
      <c r="F1221"/>
      <c r="G1221"/>
      <c r="L1221"/>
      <c r="M1221"/>
      <c r="N1221"/>
      <c r="O1221"/>
    </row>
    <row r="1222" spans="1:15" x14ac:dyDescent="0.2">
      <c r="A1222"/>
      <c r="B1222"/>
      <c r="C1222"/>
      <c r="F1222"/>
      <c r="G1222"/>
      <c r="H1222"/>
      <c r="I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J1225"/>
      <c r="K1225"/>
      <c r="L1225"/>
      <c r="M1225"/>
      <c r="N1225"/>
      <c r="O1225"/>
    </row>
    <row r="1226" spans="1:15" x14ac:dyDescent="0.2">
      <c r="A1226"/>
      <c r="B1226"/>
      <c r="C1226"/>
      <c r="F1226"/>
      <c r="G1226"/>
      <c r="H1226"/>
      <c r="J1226"/>
      <c r="K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J1229"/>
      <c r="K1229"/>
      <c r="L1229"/>
      <c r="M1229"/>
      <c r="N1229"/>
      <c r="O1229"/>
    </row>
    <row r="1230" spans="1:15" x14ac:dyDescent="0.2">
      <c r="A1230"/>
      <c r="B1230"/>
      <c r="C1230"/>
      <c r="F1230"/>
      <c r="G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C1234"/>
      <c r="F1234"/>
      <c r="G1234"/>
      <c r="H1234"/>
      <c r="J1234"/>
      <c r="K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H1238"/>
      <c r="I1238"/>
      <c r="L1238"/>
      <c r="M1238"/>
      <c r="N1238"/>
      <c r="O1238"/>
    </row>
    <row r="1239" spans="1:15" x14ac:dyDescent="0.2">
      <c r="A1239"/>
      <c r="B1239"/>
      <c r="C1239"/>
      <c r="F1239"/>
      <c r="G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I1242"/>
      <c r="L1242"/>
      <c r="M1242"/>
      <c r="N1242"/>
      <c r="O1242"/>
    </row>
    <row r="1243" spans="1:15" x14ac:dyDescent="0.2">
      <c r="A1243"/>
      <c r="B1243"/>
      <c r="C1243"/>
      <c r="F1243"/>
      <c r="G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I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H1249"/>
      <c r="I1249"/>
      <c r="L1249"/>
      <c r="M1249"/>
      <c r="N1249"/>
      <c r="O1249"/>
    </row>
    <row r="1250" spans="1:15" x14ac:dyDescent="0.2">
      <c r="A1250"/>
      <c r="B1250"/>
      <c r="C1250"/>
      <c r="F1250"/>
      <c r="G1250"/>
      <c r="I1250"/>
      <c r="L1250"/>
      <c r="M1250"/>
      <c r="N1250"/>
      <c r="O1250"/>
    </row>
    <row r="1251" spans="1:15" x14ac:dyDescent="0.2">
      <c r="A1251"/>
      <c r="B1251"/>
      <c r="C1251"/>
      <c r="F1251"/>
      <c r="G1251"/>
      <c r="I1251"/>
      <c r="L1251"/>
      <c r="M1251"/>
      <c r="N1251"/>
      <c r="O1251"/>
    </row>
    <row r="1252" spans="1:15" x14ac:dyDescent="0.2">
      <c r="A1252"/>
      <c r="B1252"/>
      <c r="C1252"/>
      <c r="F1252"/>
      <c r="G1252"/>
      <c r="H1252"/>
      <c r="I1252"/>
      <c r="L1252"/>
      <c r="M1252"/>
      <c r="N1252"/>
      <c r="O1252"/>
    </row>
    <row r="1253" spans="1:15" x14ac:dyDescent="0.2">
      <c r="A1253"/>
      <c r="B1253"/>
      <c r="C1253"/>
      <c r="F1253"/>
      <c r="G1253"/>
      <c r="L1253"/>
      <c r="M1253"/>
      <c r="N1253"/>
      <c r="O1253"/>
    </row>
    <row r="1254" spans="1:15" x14ac:dyDescent="0.2">
      <c r="A1254"/>
      <c r="B1254"/>
      <c r="C1254"/>
      <c r="F1254"/>
      <c r="G1254"/>
      <c r="H1254"/>
      <c r="I1254"/>
      <c r="L1254"/>
      <c r="M1254"/>
      <c r="N1254"/>
      <c r="O1254"/>
    </row>
    <row r="1255" spans="1:15" x14ac:dyDescent="0.2">
      <c r="A1255"/>
      <c r="B1255"/>
      <c r="C1255"/>
      <c r="F1255"/>
      <c r="G1255"/>
      <c r="I1255"/>
      <c r="L1255"/>
      <c r="M1255"/>
      <c r="N1255"/>
      <c r="O1255"/>
    </row>
    <row r="1256" spans="1:15" x14ac:dyDescent="0.2">
      <c r="A1256"/>
      <c r="B1256"/>
      <c r="C1256"/>
      <c r="F1256"/>
      <c r="G1256"/>
      <c r="H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I1266"/>
      <c r="L1266"/>
      <c r="M1266"/>
      <c r="N1266"/>
      <c r="O1266"/>
    </row>
    <row r="1267" spans="1:15" x14ac:dyDescent="0.2">
      <c r="A1267"/>
      <c r="B1267"/>
      <c r="C1267"/>
      <c r="F1267"/>
      <c r="G1267"/>
      <c r="H1267"/>
      <c r="I1267"/>
      <c r="L1267"/>
      <c r="M1267"/>
      <c r="N1267"/>
      <c r="O1267"/>
    </row>
    <row r="1268" spans="1:15" x14ac:dyDescent="0.2">
      <c r="A1268"/>
      <c r="B1268"/>
      <c r="C1268"/>
      <c r="F1268"/>
      <c r="G1268"/>
      <c r="J1268"/>
      <c r="K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H1271"/>
      <c r="I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J1274"/>
      <c r="K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I1294"/>
      <c r="L1294"/>
      <c r="M1294"/>
      <c r="N1294"/>
      <c r="O1294"/>
    </row>
    <row r="1295" spans="1:15" x14ac:dyDescent="0.2">
      <c r="A1295"/>
      <c r="B1295"/>
      <c r="C1295"/>
      <c r="F1295"/>
      <c r="G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H1303"/>
      <c r="J1303"/>
      <c r="K1303"/>
      <c r="L1303"/>
      <c r="M1303"/>
      <c r="N1303"/>
      <c r="O1303"/>
    </row>
    <row r="1304" spans="1:15" x14ac:dyDescent="0.2">
      <c r="A1304"/>
      <c r="B1304"/>
      <c r="C1304"/>
      <c r="F1304"/>
      <c r="G1304"/>
      <c r="J1304"/>
      <c r="K1304"/>
      <c r="L1304"/>
      <c r="M1304"/>
      <c r="N1304"/>
      <c r="O1304"/>
    </row>
    <row r="1305" spans="1:15" x14ac:dyDescent="0.2">
      <c r="A1305"/>
      <c r="B1305"/>
      <c r="C1305"/>
      <c r="F1305"/>
      <c r="G1305"/>
      <c r="H1305"/>
      <c r="I1305"/>
      <c r="L1305"/>
      <c r="N1305"/>
      <c r="O1305"/>
    </row>
    <row r="1306" spans="1:15" x14ac:dyDescent="0.2">
      <c r="A1306"/>
      <c r="B1306"/>
      <c r="C1306"/>
      <c r="F1306"/>
      <c r="G1306"/>
      <c r="I1306"/>
      <c r="L1306"/>
      <c r="M1306"/>
      <c r="N1306"/>
      <c r="O1306"/>
    </row>
    <row r="1307" spans="1:15" x14ac:dyDescent="0.2">
      <c r="A1307"/>
      <c r="B1307"/>
      <c r="C1307"/>
      <c r="F1307"/>
      <c r="G1307"/>
      <c r="L1307"/>
      <c r="M1307"/>
      <c r="N1307"/>
      <c r="O1307"/>
    </row>
    <row r="1308" spans="1:15" x14ac:dyDescent="0.2">
      <c r="A1308"/>
      <c r="B1308"/>
      <c r="C1308"/>
      <c r="F1308"/>
      <c r="G1308"/>
      <c r="H1308"/>
      <c r="I1308"/>
      <c r="L1308"/>
      <c r="M1308"/>
      <c r="N1308"/>
      <c r="O1308"/>
    </row>
    <row r="1309" spans="1:15" x14ac:dyDescent="0.2">
      <c r="A1309"/>
      <c r="B1309"/>
      <c r="C1309"/>
      <c r="F1309"/>
      <c r="G1309"/>
      <c r="L1309"/>
      <c r="M1309"/>
      <c r="N1309"/>
      <c r="O1309"/>
    </row>
    <row r="1310" spans="1:15" x14ac:dyDescent="0.2">
      <c r="A1310"/>
      <c r="B1310"/>
      <c r="C1310"/>
      <c r="F1310"/>
      <c r="G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J1323"/>
      <c r="K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L1329"/>
      <c r="M1329"/>
      <c r="N1329"/>
      <c r="O1329"/>
    </row>
    <row r="1330" spans="1:15" x14ac:dyDescent="0.2">
      <c r="A1330"/>
      <c r="B1330"/>
      <c r="C1330"/>
      <c r="F1330"/>
      <c r="G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I1333"/>
      <c r="L1333"/>
      <c r="M1333"/>
      <c r="N1333"/>
      <c r="O1333"/>
    </row>
    <row r="1334" spans="1:15" x14ac:dyDescent="0.2">
      <c r="A1334"/>
      <c r="B1334"/>
      <c r="C1334"/>
      <c r="F1334"/>
      <c r="G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I1340"/>
      <c r="L1340"/>
      <c r="M1340"/>
      <c r="N1340"/>
      <c r="O1340"/>
    </row>
    <row r="1341" spans="1:15" x14ac:dyDescent="0.2">
      <c r="A1341"/>
      <c r="B1341"/>
      <c r="C1341"/>
      <c r="F1341"/>
      <c r="G1341"/>
      <c r="I1341"/>
      <c r="L1341"/>
      <c r="M1341"/>
      <c r="N1341"/>
      <c r="O1341"/>
    </row>
    <row r="1342" spans="1:15" x14ac:dyDescent="0.2">
      <c r="A1342"/>
      <c r="B1342"/>
      <c r="C1342"/>
      <c r="F1342"/>
      <c r="G1342"/>
      <c r="H1342"/>
      <c r="I1342"/>
      <c r="L1342"/>
      <c r="M1342"/>
      <c r="N1342"/>
      <c r="O1342"/>
    </row>
    <row r="1343" spans="1:15" x14ac:dyDescent="0.2">
      <c r="A1343"/>
      <c r="B1343"/>
      <c r="C1343"/>
      <c r="F1343"/>
      <c r="G1343"/>
      <c r="J1343"/>
      <c r="K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L1346"/>
      <c r="M1346"/>
      <c r="N1346"/>
      <c r="O1346"/>
    </row>
    <row r="1347" spans="1:15" x14ac:dyDescent="0.2">
      <c r="A1347"/>
      <c r="B1347"/>
      <c r="C1347"/>
      <c r="F1347"/>
      <c r="G1347"/>
      <c r="H1347"/>
      <c r="I1347"/>
      <c r="L1347"/>
      <c r="M1347"/>
      <c r="N1347"/>
      <c r="O1347"/>
    </row>
    <row r="1348" spans="1:15" x14ac:dyDescent="0.2">
      <c r="A1348"/>
      <c r="B1348"/>
      <c r="C1348"/>
      <c r="F1348"/>
      <c r="G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L1357"/>
      <c r="M1357"/>
      <c r="N1357"/>
      <c r="O1357"/>
    </row>
    <row r="1358" spans="1:15" x14ac:dyDescent="0.2">
      <c r="A1358"/>
      <c r="B1358"/>
      <c r="C1358"/>
      <c r="F1358"/>
      <c r="G1358"/>
      <c r="H1358"/>
      <c r="J1358"/>
      <c r="K1358"/>
      <c r="L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H1363"/>
      <c r="I1363"/>
      <c r="L1363"/>
      <c r="M1363"/>
      <c r="N1363"/>
      <c r="O1363"/>
    </row>
    <row r="1364" spans="1:15" x14ac:dyDescent="0.2">
      <c r="A1364"/>
      <c r="B1364"/>
      <c r="C1364"/>
      <c r="F1364"/>
      <c r="G1364"/>
      <c r="L1364"/>
      <c r="M1364"/>
      <c r="N1364"/>
      <c r="O1364"/>
    </row>
    <row r="1365" spans="1:15" x14ac:dyDescent="0.2">
      <c r="A1365"/>
      <c r="B1365"/>
      <c r="C1365"/>
      <c r="F1365"/>
      <c r="G1365"/>
      <c r="H1365"/>
      <c r="J1365"/>
      <c r="K1365"/>
      <c r="L1365"/>
      <c r="N1365"/>
      <c r="O1365"/>
    </row>
    <row r="1366" spans="1:15" x14ac:dyDescent="0.2">
      <c r="A1366"/>
      <c r="B1366"/>
      <c r="C1366"/>
      <c r="F1366"/>
      <c r="G1366"/>
      <c r="L1366"/>
      <c r="M1366"/>
      <c r="N1366"/>
      <c r="O1366"/>
    </row>
    <row r="1367" spans="1:15" x14ac:dyDescent="0.2">
      <c r="A1367"/>
      <c r="B1367"/>
      <c r="C1367"/>
      <c r="F1367"/>
      <c r="G1367"/>
      <c r="H1367"/>
      <c r="I1367"/>
      <c r="L1367"/>
      <c r="M1367"/>
      <c r="N1367"/>
      <c r="O1367"/>
    </row>
    <row r="1368" spans="1:15" x14ac:dyDescent="0.2">
      <c r="A1368"/>
      <c r="B1368"/>
      <c r="C1368"/>
      <c r="F1368"/>
      <c r="G1368"/>
      <c r="H1368"/>
      <c r="I1368"/>
      <c r="L1368"/>
      <c r="M1368"/>
      <c r="N1368"/>
      <c r="O1368"/>
    </row>
    <row r="1369" spans="1:15" x14ac:dyDescent="0.2">
      <c r="A1369"/>
      <c r="B1369"/>
      <c r="C1369"/>
      <c r="F1369"/>
      <c r="G1369"/>
      <c r="L1369"/>
      <c r="M1369"/>
      <c r="N1369"/>
      <c r="O1369"/>
    </row>
    <row r="1370" spans="1:15" x14ac:dyDescent="0.2">
      <c r="A1370"/>
      <c r="B1370"/>
      <c r="C1370"/>
      <c r="F1370"/>
      <c r="G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I1377"/>
      <c r="L1377"/>
      <c r="M1377"/>
      <c r="N1377"/>
      <c r="O1377"/>
    </row>
    <row r="1378" spans="1:15" x14ac:dyDescent="0.2">
      <c r="A1378"/>
      <c r="B1378"/>
      <c r="C1378"/>
      <c r="F1378"/>
      <c r="G1378"/>
      <c r="H1378"/>
      <c r="L1378"/>
      <c r="M1378"/>
      <c r="N1378"/>
      <c r="O1378"/>
    </row>
    <row r="1379" spans="1:15" x14ac:dyDescent="0.2">
      <c r="A1379"/>
      <c r="B1379"/>
      <c r="C1379"/>
      <c r="F1379"/>
      <c r="G1379"/>
      <c r="H1379"/>
      <c r="I1379"/>
      <c r="L1379"/>
      <c r="M1379"/>
      <c r="N1379"/>
      <c r="O1379"/>
    </row>
    <row r="1380" spans="1:15" x14ac:dyDescent="0.2">
      <c r="A1380"/>
      <c r="B1380"/>
      <c r="C1380"/>
      <c r="F1380"/>
      <c r="G1380"/>
      <c r="H1380"/>
      <c r="M1380"/>
      <c r="N1380"/>
      <c r="O1380"/>
    </row>
    <row r="1381" spans="1:15" x14ac:dyDescent="0.2">
      <c r="A1381"/>
      <c r="B1381"/>
      <c r="C1381"/>
      <c r="F1381"/>
      <c r="G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H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I1403"/>
      <c r="L1403"/>
      <c r="M1403"/>
      <c r="N1403"/>
      <c r="O1403"/>
    </row>
    <row r="1404" spans="1:15" x14ac:dyDescent="0.2">
      <c r="A1404"/>
      <c r="B1404"/>
      <c r="C1404"/>
      <c r="F1404"/>
      <c r="G1404"/>
      <c r="H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N1411"/>
      <c r="O1411"/>
    </row>
    <row r="1412" spans="1:15" x14ac:dyDescent="0.2">
      <c r="A1412"/>
      <c r="B1412"/>
      <c r="C1412"/>
      <c r="F1412"/>
      <c r="G1412"/>
      <c r="J1412"/>
      <c r="K1412"/>
      <c r="L1412"/>
      <c r="M1412"/>
      <c r="N1412"/>
      <c r="O1412"/>
    </row>
    <row r="1413" spans="1:15" x14ac:dyDescent="0.2">
      <c r="A1413"/>
      <c r="B1413"/>
      <c r="C1413"/>
      <c r="F1413"/>
      <c r="G1413"/>
      <c r="H1413"/>
      <c r="J1413"/>
      <c r="K1413"/>
      <c r="L1413"/>
      <c r="M1413"/>
      <c r="N1413"/>
      <c r="O1413"/>
    </row>
    <row r="1414" spans="1:15" x14ac:dyDescent="0.2">
      <c r="A1414"/>
      <c r="B1414"/>
      <c r="C1414"/>
      <c r="F1414"/>
      <c r="G1414"/>
      <c r="L1414"/>
      <c r="M1414"/>
      <c r="N1414"/>
      <c r="O1414"/>
    </row>
    <row r="1415" spans="1:15" x14ac:dyDescent="0.2">
      <c r="A1415"/>
      <c r="B1415"/>
      <c r="C1415"/>
      <c r="F1415"/>
      <c r="G1415"/>
      <c r="H1415"/>
      <c r="I1415"/>
      <c r="J1415"/>
      <c r="K1415"/>
      <c r="L1415"/>
      <c r="M1415"/>
      <c r="N1415"/>
      <c r="O1415"/>
    </row>
    <row r="1416" spans="1:15" x14ac:dyDescent="0.2">
      <c r="A1416"/>
      <c r="B1416"/>
      <c r="C1416"/>
      <c r="F1416"/>
      <c r="G1416"/>
      <c r="H1416"/>
      <c r="J1416"/>
      <c r="K1416"/>
      <c r="M1416"/>
      <c r="N1416"/>
      <c r="O1416"/>
    </row>
    <row r="1417" spans="1:15" x14ac:dyDescent="0.2">
      <c r="A1417"/>
      <c r="B1417"/>
      <c r="C1417"/>
      <c r="F1417"/>
      <c r="G1417"/>
      <c r="H1417"/>
      <c r="J1417"/>
      <c r="K1417"/>
      <c r="L1417"/>
      <c r="M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H1420"/>
      <c r="I1420"/>
      <c r="J1420"/>
      <c r="K1420"/>
      <c r="L1420"/>
      <c r="M1420"/>
      <c r="N1420"/>
      <c r="O1420"/>
    </row>
    <row r="1421" spans="1:15" x14ac:dyDescent="0.2">
      <c r="A1421"/>
      <c r="B1421"/>
      <c r="C1421"/>
      <c r="F1421"/>
      <c r="G1421"/>
      <c r="J1421"/>
      <c r="L1421"/>
      <c r="M1421"/>
      <c r="N1421"/>
      <c r="O1421"/>
    </row>
    <row r="1422" spans="1:15" x14ac:dyDescent="0.2">
      <c r="A1422"/>
      <c r="B1422"/>
      <c r="C1422"/>
      <c r="F1422"/>
      <c r="G1422"/>
      <c r="I1422"/>
      <c r="L1422"/>
      <c r="N1422"/>
      <c r="O1422"/>
    </row>
    <row r="1423" spans="1:15" x14ac:dyDescent="0.2">
      <c r="A1423"/>
      <c r="B1423"/>
      <c r="C1423"/>
      <c r="F1423"/>
      <c r="G1423"/>
      <c r="L1423"/>
      <c r="M1423"/>
      <c r="N1423"/>
      <c r="O1423"/>
    </row>
    <row r="1424" spans="1:15" x14ac:dyDescent="0.2">
      <c r="A1424"/>
      <c r="B1424"/>
      <c r="C1424"/>
      <c r="F1424"/>
      <c r="G1424"/>
      <c r="H1424"/>
      <c r="J1424"/>
      <c r="K1424"/>
      <c r="L1424"/>
      <c r="M1424"/>
      <c r="N1424"/>
      <c r="O1424"/>
    </row>
    <row r="1425" spans="1:15" x14ac:dyDescent="0.2">
      <c r="A1425"/>
      <c r="B1425"/>
      <c r="C1425"/>
      <c r="F1425"/>
      <c r="G1425"/>
      <c r="J1425"/>
      <c r="K1425"/>
      <c r="L1425"/>
      <c r="M1425"/>
      <c r="N1425"/>
      <c r="O1425"/>
    </row>
    <row r="1426" spans="1:15" x14ac:dyDescent="0.2">
      <c r="A1426"/>
      <c r="B1426"/>
      <c r="C1426"/>
      <c r="F1426"/>
      <c r="G1426"/>
      <c r="H1426"/>
      <c r="I1426"/>
      <c r="L1426"/>
      <c r="M1426"/>
      <c r="N1426"/>
      <c r="O1426"/>
    </row>
    <row r="1427" spans="1:15" x14ac:dyDescent="0.2">
      <c r="A1427"/>
      <c r="B1427"/>
      <c r="C1427"/>
      <c r="F1427"/>
      <c r="G1427"/>
      <c r="H1427"/>
      <c r="L1427"/>
      <c r="M1427"/>
      <c r="N1427"/>
      <c r="O1427"/>
    </row>
    <row r="1428" spans="1:15" x14ac:dyDescent="0.2">
      <c r="A1428"/>
      <c r="B1428"/>
      <c r="C1428"/>
      <c r="F1428"/>
      <c r="G1428"/>
      <c r="H1428"/>
      <c r="I1428"/>
      <c r="L1428"/>
      <c r="N1428"/>
      <c r="O1428"/>
    </row>
    <row r="1429" spans="1:15" x14ac:dyDescent="0.2">
      <c r="A1429"/>
      <c r="B1429"/>
      <c r="C1429"/>
      <c r="F1429"/>
      <c r="G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H1432"/>
      <c r="I1432"/>
      <c r="L1432"/>
      <c r="M1432"/>
      <c r="N1432"/>
      <c r="O1432"/>
    </row>
    <row r="1433" spans="1:15" x14ac:dyDescent="0.2">
      <c r="A1433"/>
      <c r="B1433"/>
      <c r="C1433"/>
      <c r="F1433"/>
      <c r="G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I1448"/>
      <c r="L1448"/>
      <c r="M1448"/>
      <c r="N1448"/>
      <c r="O1448"/>
    </row>
    <row r="1449" spans="1:15" x14ac:dyDescent="0.2">
      <c r="A1449"/>
      <c r="B1449"/>
      <c r="C1449"/>
      <c r="F1449"/>
      <c r="G1449"/>
      <c r="L1449"/>
      <c r="M1449"/>
      <c r="N1449"/>
      <c r="O1449"/>
    </row>
    <row r="1450" spans="1:15" x14ac:dyDescent="0.2">
      <c r="A1450"/>
      <c r="B1450"/>
      <c r="C1450"/>
      <c r="F1450"/>
      <c r="G1450"/>
      <c r="H1450"/>
      <c r="I1450"/>
      <c r="L1450"/>
      <c r="M1450"/>
      <c r="N1450"/>
      <c r="O1450"/>
    </row>
    <row r="1451" spans="1:15" x14ac:dyDescent="0.2">
      <c r="A1451"/>
      <c r="B1451"/>
      <c r="C1451"/>
      <c r="F1451"/>
      <c r="G1451"/>
      <c r="H1451"/>
      <c r="J1451"/>
      <c r="K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M1454"/>
      <c r="N1454"/>
      <c r="O1454"/>
    </row>
    <row r="1455" spans="1:15" x14ac:dyDescent="0.2">
      <c r="A1455"/>
      <c r="B1455"/>
      <c r="C1455"/>
      <c r="F1455"/>
      <c r="G1455"/>
      <c r="H1455"/>
      <c r="L1455"/>
      <c r="M1455"/>
      <c r="N1455"/>
      <c r="O1455"/>
    </row>
    <row r="1456" spans="1:15" x14ac:dyDescent="0.2">
      <c r="A1456"/>
      <c r="B1456"/>
      <c r="C1456"/>
      <c r="F1456"/>
      <c r="G1456"/>
      <c r="H1456"/>
      <c r="I1456"/>
      <c r="L1456"/>
      <c r="M1456"/>
      <c r="N1456"/>
      <c r="O1456"/>
    </row>
    <row r="1457" spans="1:15" x14ac:dyDescent="0.2">
      <c r="A1457"/>
      <c r="B1457"/>
      <c r="C1457"/>
      <c r="F1457"/>
      <c r="G1457"/>
      <c r="H1457"/>
      <c r="I1457"/>
      <c r="L1457"/>
      <c r="N1457"/>
      <c r="O1457"/>
    </row>
    <row r="1458" spans="1:15" x14ac:dyDescent="0.2">
      <c r="A1458"/>
      <c r="B1458"/>
      <c r="C1458"/>
      <c r="F1458"/>
      <c r="G1458"/>
      <c r="H1458"/>
      <c r="I1458"/>
      <c r="L1458"/>
      <c r="M1458"/>
      <c r="N1458"/>
      <c r="O1458"/>
    </row>
    <row r="1459" spans="1:15" x14ac:dyDescent="0.2">
      <c r="A1459"/>
      <c r="B1459"/>
      <c r="C1459"/>
      <c r="F1459"/>
      <c r="G1459"/>
      <c r="H1459"/>
      <c r="I1459"/>
      <c r="J1459"/>
      <c r="K1459"/>
      <c r="L1459"/>
      <c r="M1459"/>
      <c r="N1459"/>
      <c r="O1459"/>
    </row>
    <row r="1460" spans="1:15" x14ac:dyDescent="0.2">
      <c r="A1460"/>
      <c r="B1460"/>
      <c r="C1460"/>
      <c r="F1460"/>
      <c r="G1460"/>
      <c r="H1460"/>
      <c r="J1460"/>
      <c r="K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M1463"/>
      <c r="N1463"/>
      <c r="O1463"/>
    </row>
    <row r="1464" spans="1:15" x14ac:dyDescent="0.2">
      <c r="A1464"/>
      <c r="B1464"/>
      <c r="C1464"/>
      <c r="F1464"/>
      <c r="G1464"/>
      <c r="L1464"/>
      <c r="M1464"/>
      <c r="N1464"/>
      <c r="O1464"/>
    </row>
    <row r="1465" spans="1:15" x14ac:dyDescent="0.2">
      <c r="A1465"/>
      <c r="B1465"/>
      <c r="C1465"/>
      <c r="F1465"/>
      <c r="G1465"/>
      <c r="M1465"/>
      <c r="N1465"/>
      <c r="O1465"/>
    </row>
    <row r="1466" spans="1:15" x14ac:dyDescent="0.2">
      <c r="A1466"/>
      <c r="B1466"/>
      <c r="C1466"/>
      <c r="F1466"/>
      <c r="G1466"/>
      <c r="L1466"/>
      <c r="M1466"/>
      <c r="N1466"/>
      <c r="O1466"/>
    </row>
    <row r="1467" spans="1:15" x14ac:dyDescent="0.2">
      <c r="A1467"/>
      <c r="B1467"/>
      <c r="C1467"/>
      <c r="F1467"/>
      <c r="G1467"/>
      <c r="H1467"/>
      <c r="I1467"/>
      <c r="L1467"/>
      <c r="N1467"/>
      <c r="O1467"/>
    </row>
    <row r="1468" spans="1:15" x14ac:dyDescent="0.2">
      <c r="A1468"/>
      <c r="B1468"/>
      <c r="C1468"/>
      <c r="F1468"/>
      <c r="G1468"/>
      <c r="L1468"/>
      <c r="M1468"/>
      <c r="N1468"/>
      <c r="O1468"/>
    </row>
    <row r="1469" spans="1:15" x14ac:dyDescent="0.2">
      <c r="A1469"/>
      <c r="B1469"/>
      <c r="C1469"/>
      <c r="F1469"/>
      <c r="G1469"/>
      <c r="J1469"/>
      <c r="K1469"/>
      <c r="L1469"/>
      <c r="M1469"/>
      <c r="N1469"/>
      <c r="O1469"/>
    </row>
    <row r="1470" spans="1:15" x14ac:dyDescent="0.2">
      <c r="A1470"/>
      <c r="B1470"/>
      <c r="C1470"/>
      <c r="F1470"/>
      <c r="G1470"/>
      <c r="H1470"/>
      <c r="I1470"/>
      <c r="L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L1477"/>
      <c r="M1477"/>
      <c r="N1477"/>
      <c r="O1477"/>
    </row>
    <row r="1478" spans="1:15" x14ac:dyDescent="0.2">
      <c r="A1478"/>
      <c r="B1478"/>
      <c r="C1478"/>
      <c r="F1478"/>
      <c r="G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L1487"/>
      <c r="M1487"/>
      <c r="N1487"/>
      <c r="O1487"/>
    </row>
    <row r="1488" spans="1:15" x14ac:dyDescent="0.2">
      <c r="A1488"/>
      <c r="B1488"/>
      <c r="C1488"/>
      <c r="F1488"/>
      <c r="G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I1494"/>
      <c r="L1494"/>
      <c r="M1494"/>
      <c r="N1494"/>
      <c r="O1494"/>
    </row>
    <row r="1495" spans="1:15" x14ac:dyDescent="0.2">
      <c r="A1495"/>
      <c r="B1495"/>
      <c r="C1495"/>
      <c r="F1495"/>
      <c r="G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J1498"/>
      <c r="K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L1501"/>
      <c r="M1501"/>
      <c r="N1501"/>
      <c r="O1501"/>
    </row>
    <row r="1502" spans="1:15" x14ac:dyDescent="0.2">
      <c r="A1502"/>
      <c r="B1502"/>
      <c r="C1502"/>
      <c r="F1502"/>
      <c r="G1502"/>
      <c r="H1502"/>
      <c r="I1502"/>
      <c r="J1502"/>
      <c r="K1502"/>
      <c r="L1502"/>
      <c r="M1502"/>
      <c r="N1502"/>
      <c r="O1502"/>
    </row>
    <row r="1503" spans="1:15" x14ac:dyDescent="0.2">
      <c r="A1503"/>
      <c r="B1503"/>
      <c r="C1503"/>
      <c r="F1503"/>
      <c r="G1503"/>
      <c r="I1503"/>
      <c r="L1503"/>
      <c r="M1503"/>
      <c r="N1503"/>
      <c r="O1503"/>
    </row>
    <row r="1504" spans="1:15" x14ac:dyDescent="0.2">
      <c r="A1504"/>
      <c r="B1504"/>
      <c r="C1504"/>
      <c r="F1504"/>
      <c r="G1504"/>
      <c r="I1504"/>
      <c r="L1504"/>
      <c r="M1504"/>
      <c r="N1504"/>
      <c r="O1504"/>
    </row>
    <row r="1505" spans="1:15" x14ac:dyDescent="0.2">
      <c r="A1505"/>
      <c r="B1505"/>
      <c r="C1505"/>
      <c r="F1505"/>
      <c r="G1505"/>
      <c r="N1505"/>
      <c r="O1505"/>
    </row>
    <row r="1506" spans="1:15" x14ac:dyDescent="0.2">
      <c r="A1506"/>
      <c r="B1506"/>
      <c r="C1506"/>
      <c r="F1506"/>
      <c r="G1506"/>
      <c r="H1506"/>
      <c r="I1506"/>
      <c r="L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J1509"/>
      <c r="K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M1526"/>
      <c r="N1526"/>
      <c r="O1526"/>
    </row>
    <row r="1527" spans="1:15" x14ac:dyDescent="0.2">
      <c r="A1527"/>
      <c r="B1527"/>
      <c r="C1527"/>
      <c r="F1527"/>
      <c r="G1527"/>
      <c r="L1527"/>
      <c r="M1527"/>
      <c r="N1527"/>
      <c r="O1527"/>
    </row>
    <row r="1528" spans="1:15" x14ac:dyDescent="0.2">
      <c r="A1528"/>
      <c r="B1528"/>
      <c r="C1528"/>
      <c r="F1528"/>
      <c r="G1528"/>
      <c r="H1528"/>
      <c r="I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H1531"/>
      <c r="J1531"/>
      <c r="K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H1533"/>
      <c r="J1533"/>
      <c r="K1533"/>
      <c r="L1533"/>
      <c r="M1533"/>
      <c r="N1533"/>
      <c r="O1533"/>
    </row>
    <row r="1534" spans="1:15" x14ac:dyDescent="0.2">
      <c r="A1534"/>
      <c r="B1534"/>
      <c r="C1534"/>
      <c r="F1534"/>
      <c r="G1534"/>
      <c r="L1534"/>
      <c r="M1534"/>
      <c r="N1534"/>
      <c r="O1534"/>
    </row>
    <row r="1535" spans="1:15" x14ac:dyDescent="0.2">
      <c r="A1535"/>
      <c r="B1535"/>
      <c r="C1535"/>
      <c r="F1535"/>
      <c r="G1535"/>
      <c r="H1535"/>
      <c r="J1535"/>
      <c r="K1535"/>
      <c r="L1535"/>
      <c r="M1535"/>
      <c r="N1535"/>
      <c r="O1535"/>
    </row>
    <row r="1536" spans="1:15" x14ac:dyDescent="0.2">
      <c r="A1536"/>
      <c r="B1536"/>
      <c r="C1536"/>
      <c r="F1536"/>
      <c r="G1536"/>
      <c r="H1536"/>
      <c r="L1536"/>
      <c r="M1536"/>
      <c r="N1536"/>
      <c r="O1536"/>
    </row>
    <row r="1537" spans="1:15" x14ac:dyDescent="0.2">
      <c r="A1537"/>
      <c r="B1537"/>
      <c r="C1537"/>
      <c r="F1537"/>
      <c r="G1537"/>
      <c r="H1537"/>
      <c r="I1537"/>
      <c r="L1537"/>
      <c r="M1537"/>
      <c r="N1537"/>
      <c r="O1537"/>
    </row>
    <row r="1538" spans="1:15" x14ac:dyDescent="0.2">
      <c r="A1538"/>
      <c r="B1538"/>
      <c r="C1538"/>
      <c r="F1538"/>
      <c r="G1538"/>
      <c r="J1538"/>
      <c r="K1538"/>
      <c r="L1538"/>
      <c r="M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I1544"/>
      <c r="L1544"/>
      <c r="M1544"/>
      <c r="N1544"/>
      <c r="O1544"/>
    </row>
    <row r="1545" spans="1:15" x14ac:dyDescent="0.2">
      <c r="A1545"/>
      <c r="B1545"/>
      <c r="C1545"/>
      <c r="F1545"/>
      <c r="G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I1549"/>
      <c r="L1549"/>
      <c r="M1549"/>
      <c r="N1549"/>
      <c r="O1549"/>
    </row>
    <row r="1550" spans="1:15" x14ac:dyDescent="0.2">
      <c r="A1550"/>
      <c r="B1550"/>
      <c r="C1550"/>
      <c r="F1550"/>
      <c r="G1550"/>
      <c r="I1550"/>
      <c r="L1550"/>
      <c r="M1550"/>
      <c r="N1550"/>
      <c r="O1550"/>
    </row>
    <row r="1551" spans="1:15" x14ac:dyDescent="0.2">
      <c r="A1551"/>
      <c r="B1551"/>
      <c r="C1551"/>
      <c r="F1551"/>
      <c r="G1551"/>
      <c r="H1551"/>
      <c r="I1551"/>
      <c r="L1551"/>
      <c r="M1551"/>
      <c r="N1551"/>
      <c r="O1551"/>
    </row>
    <row r="1552" spans="1:15" x14ac:dyDescent="0.2">
      <c r="A1552"/>
      <c r="B1552"/>
      <c r="C1552"/>
      <c r="F1552"/>
      <c r="G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I1555"/>
      <c r="L1555"/>
      <c r="M1555"/>
      <c r="N1555"/>
      <c r="O1555"/>
    </row>
    <row r="1556" spans="1:15" x14ac:dyDescent="0.2">
      <c r="A1556"/>
      <c r="B1556"/>
      <c r="C1556"/>
      <c r="F1556"/>
      <c r="G1556"/>
      <c r="H1556"/>
      <c r="J1556"/>
      <c r="K1556"/>
      <c r="L1556"/>
      <c r="M1556"/>
      <c r="N1556"/>
      <c r="O1556"/>
    </row>
    <row r="1557" spans="1:15" x14ac:dyDescent="0.2">
      <c r="A1557"/>
      <c r="B1557"/>
      <c r="C1557"/>
      <c r="F1557"/>
      <c r="G1557"/>
      <c r="H1557"/>
      <c r="I1557"/>
      <c r="L1557"/>
      <c r="M1557"/>
      <c r="N1557"/>
      <c r="O1557"/>
    </row>
    <row r="1558" spans="1:15" x14ac:dyDescent="0.2">
      <c r="A1558"/>
      <c r="B1558"/>
      <c r="C1558"/>
      <c r="F1558"/>
      <c r="G1558"/>
      <c r="H1558"/>
      <c r="J1558"/>
      <c r="K1558"/>
      <c r="L1558"/>
      <c r="M1558"/>
      <c r="N1558"/>
      <c r="O1558"/>
    </row>
    <row r="1559" spans="1:15" x14ac:dyDescent="0.2">
      <c r="A1559"/>
      <c r="B1559"/>
      <c r="C1559"/>
      <c r="F1559"/>
      <c r="G1559"/>
      <c r="J1559"/>
      <c r="K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I1565"/>
      <c r="L1565"/>
      <c r="N1565"/>
      <c r="O1565"/>
    </row>
    <row r="1566" spans="1:15" x14ac:dyDescent="0.2">
      <c r="A1566"/>
      <c r="B1566"/>
      <c r="C1566"/>
      <c r="F1566"/>
      <c r="G1566"/>
      <c r="H1566"/>
      <c r="I1566"/>
      <c r="L1566"/>
      <c r="M1566"/>
      <c r="N1566"/>
      <c r="O1566"/>
    </row>
    <row r="1567" spans="1:15" x14ac:dyDescent="0.2">
      <c r="A1567"/>
      <c r="B1567"/>
      <c r="C1567"/>
      <c r="F1567"/>
      <c r="G1567"/>
      <c r="H1567"/>
      <c r="I1567"/>
      <c r="L1567"/>
      <c r="N1567"/>
      <c r="O1567"/>
    </row>
    <row r="1568" spans="1:15" x14ac:dyDescent="0.2">
      <c r="A1568"/>
      <c r="B1568"/>
      <c r="C1568"/>
      <c r="F1568"/>
      <c r="G1568"/>
      <c r="I1568"/>
      <c r="L1568"/>
      <c r="M1568"/>
      <c r="N1568"/>
      <c r="O1568"/>
    </row>
    <row r="1569" spans="1:15" x14ac:dyDescent="0.2">
      <c r="A1569"/>
      <c r="B1569"/>
      <c r="C1569"/>
      <c r="F1569"/>
      <c r="G1569"/>
      <c r="H1569"/>
      <c r="I1569"/>
      <c r="L1569"/>
      <c r="M1569"/>
      <c r="N1569"/>
      <c r="O1569"/>
    </row>
    <row r="1570" spans="1:15" x14ac:dyDescent="0.2">
      <c r="A1570"/>
      <c r="B1570"/>
      <c r="C1570"/>
      <c r="F1570"/>
      <c r="G1570"/>
      <c r="I1570"/>
      <c r="L1570"/>
      <c r="M1570"/>
      <c r="N1570"/>
      <c r="O1570"/>
    </row>
    <row r="1571" spans="1:15" x14ac:dyDescent="0.2">
      <c r="A1571"/>
      <c r="B1571"/>
      <c r="C1571"/>
      <c r="F1571"/>
      <c r="G1571"/>
      <c r="I1571"/>
      <c r="L1571"/>
      <c r="M1571"/>
      <c r="N1571"/>
      <c r="O1571"/>
    </row>
    <row r="1572" spans="1:15" x14ac:dyDescent="0.2">
      <c r="A1572"/>
      <c r="B1572"/>
      <c r="C1572"/>
      <c r="F1572"/>
      <c r="G1572"/>
      <c r="I1572"/>
      <c r="L1572"/>
      <c r="M1572"/>
      <c r="N1572"/>
      <c r="O1572"/>
    </row>
    <row r="1573" spans="1:15" x14ac:dyDescent="0.2">
      <c r="A1573"/>
      <c r="B1573"/>
      <c r="C1573"/>
      <c r="F1573"/>
      <c r="G1573"/>
      <c r="H1573"/>
      <c r="I1573"/>
      <c r="L1573"/>
      <c r="M1573"/>
      <c r="N1573"/>
      <c r="O1573"/>
    </row>
    <row r="1574" spans="1:15" x14ac:dyDescent="0.2">
      <c r="A1574"/>
      <c r="B1574"/>
      <c r="C1574"/>
      <c r="F1574"/>
      <c r="G1574"/>
      <c r="L1574"/>
      <c r="M1574"/>
      <c r="N1574"/>
      <c r="O1574"/>
    </row>
    <row r="1575" spans="1:15" x14ac:dyDescent="0.2">
      <c r="A1575"/>
      <c r="B1575"/>
      <c r="C1575"/>
      <c r="F1575"/>
      <c r="G1575"/>
      <c r="H1575"/>
      <c r="I1575"/>
      <c r="L1575"/>
      <c r="M1575"/>
      <c r="N1575"/>
      <c r="O1575"/>
    </row>
    <row r="1576" spans="1:15" x14ac:dyDescent="0.2">
      <c r="A1576"/>
      <c r="B1576"/>
      <c r="C1576"/>
      <c r="F1576"/>
      <c r="G1576"/>
      <c r="J1576"/>
      <c r="K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N1578"/>
      <c r="O1578"/>
    </row>
    <row r="1579" spans="1:15" x14ac:dyDescent="0.2">
      <c r="A1579"/>
      <c r="B1579"/>
      <c r="C1579"/>
      <c r="F1579"/>
      <c r="G1579"/>
      <c r="M1579"/>
      <c r="N1579"/>
      <c r="O1579"/>
    </row>
    <row r="1580" spans="1:15" x14ac:dyDescent="0.2">
      <c r="A1580"/>
      <c r="B1580"/>
      <c r="C1580"/>
      <c r="F1580"/>
      <c r="G1580"/>
      <c r="M1580"/>
      <c r="N1580"/>
      <c r="O1580"/>
    </row>
    <row r="1581" spans="1:15" x14ac:dyDescent="0.2">
      <c r="A1581"/>
      <c r="B1581"/>
      <c r="C1581"/>
      <c r="F1581"/>
      <c r="G1581"/>
      <c r="H1581"/>
      <c r="I1581"/>
      <c r="L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L1590"/>
      <c r="M1590"/>
      <c r="N1590"/>
      <c r="O1590"/>
    </row>
    <row r="1591" spans="1:15" x14ac:dyDescent="0.2">
      <c r="A1591"/>
      <c r="B1591"/>
      <c r="C1591"/>
      <c r="F1591"/>
      <c r="G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H1595"/>
      <c r="I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I1601"/>
      <c r="L1601"/>
      <c r="M1601"/>
      <c r="N1601"/>
      <c r="O1601"/>
    </row>
    <row r="1602" spans="1:15" x14ac:dyDescent="0.2">
      <c r="A1602"/>
      <c r="B1602"/>
      <c r="C1602"/>
      <c r="F1602"/>
      <c r="G1602"/>
      <c r="J1602"/>
      <c r="K1602"/>
      <c r="L1602"/>
      <c r="M1602"/>
      <c r="N1602"/>
      <c r="O1602"/>
    </row>
    <row r="1603" spans="1:15" x14ac:dyDescent="0.2">
      <c r="A1603"/>
      <c r="B1603"/>
      <c r="C1603"/>
      <c r="F1603"/>
      <c r="G1603"/>
      <c r="L1603"/>
      <c r="M1603"/>
      <c r="N1603"/>
      <c r="O1603"/>
    </row>
    <row r="1604" spans="1:15" x14ac:dyDescent="0.2">
      <c r="A1604"/>
      <c r="B1604"/>
      <c r="C1604"/>
      <c r="F1604"/>
      <c r="G1604"/>
      <c r="H1604"/>
      <c r="I1604"/>
      <c r="L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J1610"/>
      <c r="K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L1618"/>
      <c r="M1618"/>
      <c r="N1618"/>
      <c r="O1618"/>
    </row>
    <row r="1619" spans="1:15" x14ac:dyDescent="0.2">
      <c r="A1619"/>
      <c r="B1619"/>
      <c r="C1619"/>
      <c r="F1619"/>
      <c r="G1619"/>
      <c r="L1619"/>
      <c r="M1619"/>
      <c r="N1619"/>
      <c r="O1619"/>
    </row>
    <row r="1620" spans="1:15" x14ac:dyDescent="0.2">
      <c r="A1620"/>
      <c r="B1620"/>
      <c r="C1620"/>
      <c r="F1620"/>
      <c r="G1620"/>
      <c r="H1620"/>
      <c r="L1620"/>
      <c r="M1620"/>
      <c r="N1620"/>
      <c r="O1620"/>
    </row>
    <row r="1621" spans="1:15" x14ac:dyDescent="0.2">
      <c r="A1621"/>
      <c r="B1621"/>
      <c r="C1621"/>
      <c r="F1621"/>
      <c r="G1621"/>
      <c r="H1621"/>
      <c r="I1621"/>
      <c r="L1621"/>
      <c r="M1621"/>
      <c r="N1621"/>
      <c r="O1621"/>
    </row>
    <row r="1622" spans="1:15" x14ac:dyDescent="0.2">
      <c r="A1622"/>
      <c r="B1622"/>
      <c r="C1622"/>
      <c r="F1622"/>
      <c r="G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L1634"/>
      <c r="M1634"/>
      <c r="N1634"/>
      <c r="O1634"/>
    </row>
    <row r="1635" spans="1:15" x14ac:dyDescent="0.2">
      <c r="A1635"/>
      <c r="B1635"/>
      <c r="C1635"/>
      <c r="F1635"/>
      <c r="G1635"/>
      <c r="I1635"/>
      <c r="L1635"/>
      <c r="M1635"/>
      <c r="N1635"/>
      <c r="O1635"/>
    </row>
    <row r="1636" spans="1:15" x14ac:dyDescent="0.2">
      <c r="A1636"/>
      <c r="B1636"/>
      <c r="C1636"/>
      <c r="F1636"/>
      <c r="G1636"/>
      <c r="H1636"/>
      <c r="I1636"/>
      <c r="L1636"/>
      <c r="M1636"/>
      <c r="N1636"/>
      <c r="O1636"/>
    </row>
    <row r="1637" spans="1:15" x14ac:dyDescent="0.2">
      <c r="A1637"/>
      <c r="B1637"/>
      <c r="C1637"/>
      <c r="F1637"/>
      <c r="G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J1647"/>
      <c r="K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J1651"/>
      <c r="K1651"/>
      <c r="L1651"/>
      <c r="M1651"/>
      <c r="N1651"/>
      <c r="O1651"/>
    </row>
    <row r="1652" spans="1:15" x14ac:dyDescent="0.2">
      <c r="A1652"/>
      <c r="B1652"/>
      <c r="C1652"/>
      <c r="F1652"/>
      <c r="G1652"/>
      <c r="H1652"/>
      <c r="J1652"/>
      <c r="K1652"/>
      <c r="L1652"/>
      <c r="M1652"/>
      <c r="N1652"/>
      <c r="O1652"/>
    </row>
    <row r="1653" spans="1:15" x14ac:dyDescent="0.2">
      <c r="A1653"/>
      <c r="B1653"/>
      <c r="C1653"/>
      <c r="F1653"/>
      <c r="G1653"/>
      <c r="H1653"/>
      <c r="J1653"/>
      <c r="K1653"/>
      <c r="L1653"/>
      <c r="M1653"/>
      <c r="N1653"/>
      <c r="O1653"/>
    </row>
    <row r="1654" spans="1:15" x14ac:dyDescent="0.2">
      <c r="A1654"/>
      <c r="B1654"/>
      <c r="C1654"/>
      <c r="F1654"/>
      <c r="G1654"/>
      <c r="H1654"/>
      <c r="L1654"/>
      <c r="M1654"/>
      <c r="N1654"/>
      <c r="O1654"/>
    </row>
    <row r="1655" spans="1:15" x14ac:dyDescent="0.2">
      <c r="A1655"/>
      <c r="B1655"/>
      <c r="C1655"/>
      <c r="F1655"/>
      <c r="G1655"/>
      <c r="H1655"/>
      <c r="J1655"/>
      <c r="K1655"/>
      <c r="L1655"/>
      <c r="M1655"/>
      <c r="N1655"/>
      <c r="O1655"/>
    </row>
    <row r="1656" spans="1:15" x14ac:dyDescent="0.2">
      <c r="A1656"/>
      <c r="B1656"/>
      <c r="C1656"/>
      <c r="F1656"/>
      <c r="G1656"/>
      <c r="H1656"/>
      <c r="L1656"/>
      <c r="M1656"/>
      <c r="N1656"/>
      <c r="O1656"/>
    </row>
    <row r="1657" spans="1:15" x14ac:dyDescent="0.2">
      <c r="A1657"/>
      <c r="B1657"/>
      <c r="C1657"/>
      <c r="F1657"/>
      <c r="G1657"/>
      <c r="H1657"/>
      <c r="J1657"/>
      <c r="K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N1666"/>
      <c r="O1666"/>
    </row>
    <row r="1667" spans="1:15" x14ac:dyDescent="0.2">
      <c r="A1667"/>
      <c r="B1667"/>
      <c r="C1667"/>
      <c r="F1667"/>
      <c r="G1667"/>
      <c r="H1667"/>
      <c r="I1667"/>
      <c r="L1667"/>
      <c r="M1667"/>
      <c r="N1667"/>
      <c r="O1667"/>
    </row>
    <row r="1668" spans="1:15" x14ac:dyDescent="0.2">
      <c r="A1668"/>
      <c r="B1668"/>
      <c r="C1668"/>
      <c r="F1668"/>
      <c r="G1668"/>
      <c r="H1668"/>
      <c r="I1668"/>
      <c r="L1668"/>
      <c r="N1668"/>
      <c r="O166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5" zoomScaleNormal="100" workbookViewId="0">
      <selection activeCell="I26" sqref="I26"/>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c r="N13" s="39"/>
      <c r="O13" s="39"/>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bNp41g+jb8BPiL7XGX7WYyFJuMmuTrY0Np1KrLiQNulF7I/z4YV7NoQwgiUftmGFvXqnb5kS39ESniyYCnErQ==" saltValue="QMbLlk1x1hj4qbkSqCdu6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D20" sqref="D20"/>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6u0hOZ55IcuwUPkFYAW2w1ToAkSk5TBJzZgY6JZn4Bcrg8h01qOMHxMVN1sVny+JyFiFKP2BvLMuoW2oozRPRA==" saltValue="BuEGErHywJNNpCpcGB2YA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R9" sqref="R9"/>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shnii27F1tQi8ZbjZp5Er3VXQq3Bdt3usteF+INjaCsep6EhHXG7kNoWLbh8AvrlvPOx5AsxA9bv1qouodT4dw==" saltValue="ZXf9pARCyKvDOca5WqcUF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wRpqNOEWJgoXYC5jQOHQYoLkO6arr+Beiyj4Xgu8XMBZnBko87BM/iNWmA8KuBBbyQQXovR88qgUKJL6+8C1EA==" saltValue="luk0jdECGOow13giHpUbDQ==" spinCount="100000" sheet="1" objects="1" scenarios="1" selectLockedCells="1" autoFilter="0"/>
  <mergeCells count="2">
    <mergeCell ref="D32:M34"/>
    <mergeCell ref="C37:M40"/>
  </mergeCells>
  <phoneticPr fontId="20"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8">
    <cfRule type="expression" dxfId="49" priority="61">
      <formula>ISERROR(SEARCH(1,$G$19))</formula>
    </cfRule>
    <cfRule type="expression" dxfId="48" priority="62">
      <formula>ISNUMBER(SEARCH(1,$G$19))</formula>
    </cfRule>
  </conditionalFormatting>
  <conditionalFormatting sqref="J14:J18">
    <cfRule type="expression" dxfId="47" priority="57">
      <formula>ISERROR(SEARCH(1,$J$19))</formula>
    </cfRule>
    <cfRule type="expression" dxfId="46" priority="58">
      <formula>ISNUMBER(SEARCH(1,$J$19))</formula>
    </cfRule>
  </conditionalFormatting>
  <conditionalFormatting sqref="M14:M18">
    <cfRule type="expression" dxfId="45" priority="53">
      <formula>ISERROR(SEARCH(1,$M$19))</formula>
    </cfRule>
    <cfRule type="expression" dxfId="44" priority="54">
      <formula>ISNUMBER(SEARCH(1,$M$19))</formula>
    </cfRule>
  </conditionalFormatting>
  <conditionalFormatting sqref="G26:G30">
    <cfRule type="expression" dxfId="43" priority="45">
      <formula>ISERROR(SEARCH(1,$G$31))</formula>
    </cfRule>
    <cfRule type="expression" dxfId="42" priority="46">
      <formula>ISNUMBER(SEARCH(1,$G$31))</formula>
    </cfRule>
  </conditionalFormatting>
  <conditionalFormatting sqref="J26:J30">
    <cfRule type="expression" dxfId="41" priority="41">
      <formula>ISERROR(SEARCH(1,$J$31))</formula>
    </cfRule>
    <cfRule type="expression" dxfId="40" priority="42">
      <formula>ISNUMBER(SEARCH(1,$J$31))</formula>
    </cfRule>
  </conditionalFormatting>
  <conditionalFormatting sqref="M26:M30">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D10">
    <cfRule type="expression" dxfId="33" priority="29">
      <formula>ISERROR(SEARCH(1,$G$19))</formula>
    </cfRule>
    <cfRule type="expression" dxfId="32" priority="30">
      <formula>ISNUMBER(SEARCH(1,$G$19))</formula>
    </cfRule>
  </conditionalFormatting>
  <conditionalFormatting sqref="G11:G13">
    <cfRule type="expression" dxfId="31" priority="27">
      <formula>ISERROR(SEARCH(1,$G$19))</formula>
    </cfRule>
    <cfRule type="expression" dxfId="30" priority="28">
      <formula>ISNUMBER(SEARCH(1,$G$19))</formula>
    </cfRule>
  </conditionalFormatting>
  <conditionalFormatting sqref="G10">
    <cfRule type="expression" dxfId="29" priority="25">
      <formula>ISERROR(SEARCH(1,$G$19))</formula>
    </cfRule>
    <cfRule type="expression" dxfId="28" priority="26">
      <formula>ISNUMBER(SEARCH(1,$G$19))</formula>
    </cfRule>
  </conditionalFormatting>
  <conditionalFormatting sqref="J11:J13">
    <cfRule type="expression" dxfId="27" priority="23">
      <formula>ISERROR(SEARCH(1,$G$19))</formula>
    </cfRule>
    <cfRule type="expression" dxfId="26" priority="24">
      <formula>ISNUMBER(SEARCH(1,$G$19))</formula>
    </cfRule>
  </conditionalFormatting>
  <conditionalFormatting sqref="J10">
    <cfRule type="expression" dxfId="25" priority="21">
      <formula>ISERROR(SEARCH(1,$G$19))</formula>
    </cfRule>
    <cfRule type="expression" dxfId="24" priority="22">
      <formula>ISNUMBER(SEARCH(1,$G$19))</formula>
    </cfRule>
  </conditionalFormatting>
  <conditionalFormatting sqref="M11:M13">
    <cfRule type="expression" dxfId="23" priority="19">
      <formula>ISERROR(SEARCH(1,$G$19))</formula>
    </cfRule>
    <cfRule type="expression" dxfId="22" priority="20">
      <formula>ISNUMBER(SEARCH(1,$G$19))</formula>
    </cfRule>
  </conditionalFormatting>
  <conditionalFormatting sqref="M10">
    <cfRule type="expression" dxfId="21" priority="17">
      <formula>ISERROR(SEARCH(1,$G$19))</formula>
    </cfRule>
    <cfRule type="expression" dxfId="20" priority="18">
      <formula>ISNUMBER(SEARCH(1,$G$19))</formula>
    </cfRule>
  </conditionalFormatting>
  <conditionalFormatting sqref="D23:D25">
    <cfRule type="expression" dxfId="19" priority="15">
      <formula>ISERROR(SEARCH(1,$G$19))</formula>
    </cfRule>
    <cfRule type="expression" dxfId="18" priority="16">
      <formula>ISNUMBER(SEARCH(1,$G$19))</formula>
    </cfRule>
  </conditionalFormatting>
  <conditionalFormatting sqref="D22">
    <cfRule type="expression" dxfId="17" priority="13">
      <formula>ISERROR(SEARCH(1,$G$19))</formula>
    </cfRule>
    <cfRule type="expression" dxfId="16" priority="14">
      <formula>ISNUMBER(SEARCH(1,$G$19))</formula>
    </cfRule>
  </conditionalFormatting>
  <conditionalFormatting sqref="G23:G25">
    <cfRule type="expression" dxfId="15" priority="11">
      <formula>ISERROR(SEARCH(1,$G$19))</formula>
    </cfRule>
    <cfRule type="expression" dxfId="14" priority="12">
      <formula>ISNUMBER(SEARCH(1,$G$19))</formula>
    </cfRule>
  </conditionalFormatting>
  <conditionalFormatting sqref="G22">
    <cfRule type="expression" dxfId="13" priority="9">
      <formula>ISERROR(SEARCH(1,$G$19))</formula>
    </cfRule>
    <cfRule type="expression" dxfId="12" priority="10">
      <formula>ISNUMBER(SEARCH(1,$G$19))</formula>
    </cfRule>
  </conditionalFormatting>
  <conditionalFormatting sqref="J23:J25">
    <cfRule type="expression" dxfId="11" priority="7">
      <formula>ISERROR(SEARCH(1,$G$19))</formula>
    </cfRule>
    <cfRule type="expression" dxfId="10" priority="8">
      <formula>ISNUMBER(SEARCH(1,$G$19))</formula>
    </cfRule>
  </conditionalFormatting>
  <conditionalFormatting sqref="J22">
    <cfRule type="expression" dxfId="9" priority="5">
      <formula>ISERROR(SEARCH(1,$G$19))</formula>
    </cfRule>
    <cfRule type="expression" dxfId="8" priority="6">
      <formula>ISNUMBER(SEARCH(1,$G$19))</formula>
    </cfRule>
  </conditionalFormatting>
  <conditionalFormatting sqref="M23:M25">
    <cfRule type="expression" dxfId="7" priority="3">
      <formula>ISERROR(SEARCH(1,$G$19))</formula>
    </cfRule>
    <cfRule type="expression" dxfId="6" priority="4">
      <formula>ISNUMBER(SEARCH(1,$G$19))</formula>
    </cfRule>
  </conditionalFormatting>
  <conditionalFormatting sqref="M22">
    <cfRule type="expression" dxfId="5" priority="1">
      <formula>ISERROR(SEARCH(1,$G$19))</formula>
    </cfRule>
    <cfRule type="expression" dxfId="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345</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63" t="s">
        <v>347</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333</v>
      </c>
      <c r="I30" s="658"/>
      <c r="J30" s="665" t="s">
        <v>380</v>
      </c>
      <c r="K30" s="666"/>
      <c r="L30" s="667"/>
      <c r="M30" s="266"/>
      <c r="O30" s="659" t="s">
        <v>383</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48" t="s">
        <v>388</v>
      </c>
      <c r="K31" s="649"/>
      <c r="L31" s="650"/>
      <c r="M31" s="267" t="str">
        <f>IF(Main!S49="","",Main!S49)</f>
        <v/>
      </c>
      <c r="O31" s="569" t="s">
        <v>390</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1" t="s">
        <v>336</v>
      </c>
      <c r="K32" s="652"/>
      <c r="L32" s="653"/>
      <c r="M32" s="262"/>
      <c r="O32" s="651" t="s">
        <v>336</v>
      </c>
      <c r="P32" s="652"/>
      <c r="Q32" s="653"/>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4" t="s">
        <v>389</v>
      </c>
      <c r="K33" s="655"/>
      <c r="L33" s="656"/>
      <c r="M33" s="261" t="str">
        <f>IF(Main!S51="","",Main!S51)</f>
        <v/>
      </c>
      <c r="O33" s="654" t="s">
        <v>391</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1" t="s">
        <v>336</v>
      </c>
      <c r="K34" s="652"/>
      <c r="L34" s="653"/>
      <c r="O34" s="651" t="s">
        <v>336</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40" t="s">
        <v>392</v>
      </c>
      <c r="K35" s="641"/>
      <c r="L35" s="642"/>
      <c r="M35" s="270" t="str">
        <f>IF(Main!S53="","",Main!S53)</f>
        <v/>
      </c>
      <c r="O35" s="640" t="s">
        <v>393</v>
      </c>
      <c r="P35" s="641"/>
      <c r="Q35" s="642"/>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R2QIB+aE4ct4XpHaak1Id51wfW8LWw830TDOJuIH8WW+wXdk5KIIf/laYfkwTKW2/RgEluzVfFodQqih4NMXJw==" saltValue="uXZwYeM2Sk58K4blP3v1k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ler1dUca2MHPXoLRCS5RIFAn0VsR6HOfqs39E4RtJwlT78ft4MXZkt5jHYCnf9/MsWnUtk8P/444vRd2q1FX3A==" saltValue="tJHAmju4ypVHu2uZyCCYj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156</v>
      </c>
      <c r="G1" s="605" t="s">
        <v>68</v>
      </c>
      <c r="H1" s="605"/>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yT/ozVrpUfpD07km44ut32JN/XdSKqK6IPmHN0jAP5JqQ1YWIF4IewtebaYiIUuo0OAHMllfTSDlbLohxGRlsQ==" saltValue="/4n0WQqz6IYnu5GcKxacD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2025-09-11T01:31:48Z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