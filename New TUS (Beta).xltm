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9.xml" ContentType="application/vnd.openxmlformats-officedocument.spreadsheetml.queryTable+xml"/>
  <Override PartName="/xl/tables/table14.xml" ContentType="application/vnd.openxmlformats-officedocument.spreadsheetml.table+xml"/>
  <Override PartName="/xl/queryTables/queryTable10.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5.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19.xml" ContentType="application/vnd.openxmlformats-officedocument.spreadsheetml.table+xml"/>
  <Override PartName="/xl/queryTables/queryTable11.xml" ContentType="application/vnd.openxmlformats-officedocument.spreadsheetml.queryTable+xml"/>
  <Override PartName="/xl/tables/table20.xml" ContentType="application/vnd.openxmlformats-officedocument.spreadsheetml.table+xml"/>
  <Override PartName="/xl/queryTables/queryTable12.xml" ContentType="application/vnd.openxmlformats-officedocument.spreadsheetml.queryTable+xml"/>
  <Override PartName="/xl/tables/table21.xml" ContentType="application/vnd.openxmlformats-officedocument.spreadsheetml.table+xml"/>
  <Override PartName="/xl/queryTables/queryTable13.xml" ContentType="application/vnd.openxmlformats-officedocument.spreadsheetml.queryTable+xml"/>
  <Override PartName="/xl/tables/table22.xml" ContentType="application/vnd.openxmlformats-officedocument.spreadsheetml.table+xml"/>
  <Override PartName="/xl/queryTables/queryTable14.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3.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65467D72-605D-429A-9940-7AE3135DC2CA}" xr6:coauthVersionLast="47" xr6:coauthVersionMax="47" xr10:uidLastSave="{00000000-0000-0000-0000-000000000000}"/>
  <bookViews>
    <workbookView xWindow="28680" yWindow="-120" windowWidth="29040" windowHeight="15720" tabRatio="892" firstSheet="13" activeTab="13"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ComparisonTable" sheetId="93" state="hidden" r:id="rId12"/>
    <sheet name="Header_Info" sheetId="77" state="hidden" r:id="rId13"/>
    <sheet name="Main" sheetId="8" r:id="rId14"/>
    <sheet name="UserSettings" sheetId="94" state="veryHidden" r:id="rId15"/>
    <sheet name="DaqBook_RAW_Data" sheetId="9" r:id="rId16"/>
    <sheet name="Packet_Content" sheetId="19" r:id="rId17"/>
    <sheet name="CERT" sheetId="26" r:id="rId18"/>
    <sheet name="Customer Table" sheetId="29" state="hidden" r:id="rId19"/>
    <sheet name="AssetPool" sheetId="35" state="hidden" r:id="rId20"/>
    <sheet name="DaqbookServiceRecords" sheetId="54" state="hidden" r:id="rId21"/>
    <sheet name="Employees" sheetId="38" state="hidden" r:id="rId22"/>
    <sheet name="Data_Sheet" sheetId="13" r:id="rId23"/>
    <sheet name="Data_Sheet_15_28" sheetId="14" r:id="rId24"/>
    <sheet name="Data_Sheet_29_40" sheetId="15" r:id="rId25"/>
    <sheet name="Comparison_Report" sheetId="4" r:id="rId26"/>
    <sheet name="TUS_Worksheet" sheetId="5" r:id="rId27"/>
    <sheet name="Interp" sheetId="21" r:id="rId28"/>
    <sheet name="Standards_Info" sheetId="12" state="hidden" r:id="rId29"/>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ll" hidden="1" xlm="1">#NAME?</definedName>
    <definedName name="_xlpm.avgVa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deviations" hidden="1" xlm="1">#NAME?</definedName>
    <definedName name="_xlpm.dotPos" hidden="1" xlm="1">#NAME?</definedName>
    <definedName name="_xlpm.hasPrefix" hidden="1" xlm="1">#NAME?</definedName>
    <definedName name="_xlpm.hdrs" hidden="1" xlm="1">#NAME?</definedName>
    <definedName name="_xlpm.indices" hidden="1" xlm="1">#NAME?</definedName>
    <definedName name="_xlpm.keep"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reconstructed" hidden="1" xlm="1">#NAME?</definedName>
    <definedName name="_xlpm.tbl" hidden="1" xlm="1">#NAME?</definedName>
    <definedName name="_xlpm.temps" hidden="1" xlm="1">#NAME?</definedName>
    <definedName name="_xlpm.tol" hidden="1" xlm="1">#NAME?</definedName>
    <definedName name="_xlpm.tp" hidden="1" xlm="1">#NAME?</definedName>
    <definedName name="_xlpm.txt" hidden="1" xlm="1">#NAME?</definedName>
    <definedName name="_xlpm.val" hidden="1" xlm="1">#NAME?</definedName>
    <definedName name="_xlpm.validChild" hidden="1" xlm="1">#NAME?</definedName>
    <definedName name="_xlpm.validMain" hidden="1" xlm="1">#NAME?</definedName>
    <definedName name="AddressLine1">Header_Info!$AT$2</definedName>
    <definedName name="AddressLine2">Header_Info!$AU$2</definedName>
    <definedName name="AddressLine3">Header_Info!$AV$2</definedName>
    <definedName name="AssetId" comment="Client Asset Id">WorkItemDetails!$D$2</definedName>
    <definedName name="Assets_GetAssetByAssetPool" localSheetId="19" hidden="1">AssetPool!$A$1:$Q$64</definedName>
    <definedName name="Base₂">Survey!$J$5</definedName>
    <definedName name="CalInterval">Header_Info!$BJ$2</definedName>
    <definedName name="CalMethod">Header_Info!$AX$2</definedName>
    <definedName name="CheckRec">Header_Info!$CB$2</definedName>
    <definedName name="Class">Header_Info!$BD$2</definedName>
    <definedName name="clientCompanyId">WorkItemDetails!$E$2</definedName>
    <definedName name="companyName">'Customer Table'!$Q$2</definedName>
    <definedName name="Comparison_Report_Data">Main!$A$36:$L$44</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DoF">Survey!$J$2</definedName>
    <definedName name="ExpendableWireData">Main!$C$47:$I$57</definedName>
    <definedName name="ExternalData_1" localSheetId="11" hidden="1">ComparisonTable!$A$1:$H$2</definedName>
    <definedName name="ExternalData_1" localSheetId="20" hidden="1">DaqbookServiceRecords!$A$1:$B$39</definedName>
    <definedName name="ExternalData_1" localSheetId="3" hidden="1">Employee!$A$1:$D$2</definedName>
    <definedName name="ExternalData_1" localSheetId="21" hidden="1">Employees!$A$1:$D$55</definedName>
    <definedName name="ExternalData_1" localSheetId="12" hidden="1">Header_Info!$A$1:$AO$405</definedName>
    <definedName name="ExternalData_1" localSheetId="6" hidden="1">Survey!$A$1:$E$2</definedName>
    <definedName name="ExternalData_1" localSheetId="9" hidden="1">UncBudgets!$A$1:$I$13</definedName>
    <definedName name="ExternalData_1" localSheetId="4" hidden="1">WireCertData!$A$1:$AL$67</definedName>
    <definedName name="ExternalData_1" localSheetId="2" hidden="1">WireOffsets!$A$1:$C$36</definedName>
    <definedName name="ExternalData_1" localSheetId="0" hidden="1">WireSets!$A$1:$I$29</definedName>
    <definedName name="ExternalData_1" localSheetId="1" hidden="1">WorkItemDetails!$A$1:$B$2</definedName>
    <definedName name="ExternalData_2" localSheetId="8" hidden="1">AllDaqbookOffsets!$A$1:$E$7556</definedName>
    <definedName name="ExternalData_2" localSheetId="7" hidden="1">'CorrectionFactors'!$A$1:$F$2</definedName>
    <definedName name="FormNumber">Header_Info!$AW$2</definedName>
    <definedName name="Furnace">Header_Info!$AS$2</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k">Survey!$J$3</definedName>
    <definedName name="LagLimit">Header_Info!$CD$2</definedName>
    <definedName name="ListCompRange">Comparison_Report!$S$25:$S$26</definedName>
    <definedName name="ListNameRange">_xlfn.ANCHORARRAY(Standards_Info!$A$2)</definedName>
    <definedName name="Load">Header_Info!$CC$2</definedName>
    <definedName name="Load_Type">Standards_Info!$Q$2:$Q$5</definedName>
    <definedName name="ModelNumber">Header_Info!$BA$2</definedName>
    <definedName name="no_of_Test_Points">Main!$D$17</definedName>
    <definedName name="NominalTemp">Main!$D$16</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17">CERT!$A$1:$O$80</definedName>
    <definedName name="_xlnm.Print_Area" localSheetId="25">Comparison_Report!$A$1:$N$40</definedName>
    <definedName name="_xlnm.Print_Area" localSheetId="22">Data_Sheet!$A$1:$P$49</definedName>
    <definedName name="_xlnm.Print_Area" localSheetId="23">Data_Sheet_15_28!$A$1:$P$49</definedName>
    <definedName name="_xlnm.Print_Area" localSheetId="24">Data_Sheet_29_40!$A$1:$P$49</definedName>
    <definedName name="_xlnm.Print_Area" localSheetId="16">Packet_Content!$A$1:$I$43</definedName>
    <definedName name="_xlnm.Print_Area" localSheetId="26">TUS_Worksheet!$A$1:$R$56</definedName>
    <definedName name="PT_index_offset">Main!$V$20</definedName>
    <definedName name="PT_Range_Selection">Main!$L$20</definedName>
    <definedName name="Query___customers" localSheetId="18" hidden="1">'Customer Table'!$A$1:$O$1658</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et_Point">Main!$D$15</definedName>
    <definedName name="sp²">Survey!$J$4</definedName>
    <definedName name="Spec_Class">Standards_Info!$S$2:$S$4</definedName>
    <definedName name="Survey_End_Time">Main!$D$31</definedName>
    <definedName name="TestLocation">Header_Info!$BT$2</definedName>
    <definedName name="TestTemp">Main!$D$16</definedName>
    <definedName name="TN">Main!$D$14</definedName>
    <definedName name="Tolerance">Main!$G$97</definedName>
    <definedName name="TolSource">Header_Info!$AY$2</definedName>
    <definedName name="Tracability">Standards_Info!$K$2:$K$6</definedName>
    <definedName name="TUS_Start_Time">Main!$D$30</definedName>
    <definedName name="UnitNumber">Header_Info!$BC$2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Header_Info!$BH$2</definedName>
    <definedName name="WorkItemNumber" comment="Filter by CustomOrderNumber or CertificateNumber">Main!$G$1</definedName>
  </definedNames>
  <calcPr calcId="191029"/>
  <fileRecoveryPr autoRecover="0"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4" i="8" l="1"/>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V21" i="8"/>
  <c r="M69" i="26"/>
  <c r="K69" i="26"/>
  <c r="I69" i="26"/>
  <c r="I68" i="26"/>
  <c r="I67" i="26"/>
  <c r="F69" i="26"/>
  <c r="F68" i="26"/>
  <c r="F67" i="26"/>
  <c r="F66" i="26"/>
  <c r="F65" i="26"/>
  <c r="F64" i="26"/>
  <c r="F63" i="26"/>
  <c r="J19" i="8"/>
  <c r="V19" i="8"/>
  <c r="V20" i="8" s="1"/>
  <c r="V23" i="8" l="1"/>
  <c r="V22" i="8"/>
  <c r="V24" i="8" l="1"/>
  <c r="I2" i="92" a="1"/>
  <c r="I2" i="92" s="1"/>
  <c r="K18" i="5" l="1"/>
  <c r="N18" i="5"/>
  <c r="O18" i="5"/>
  <c r="K12" i="5"/>
  <c r="L12" i="5"/>
  <c r="P12" i="5"/>
  <c r="F12" i="5"/>
  <c r="G12" i="5"/>
  <c r="M18" i="5"/>
  <c r="M12" i="5"/>
  <c r="N12" i="5"/>
  <c r="O12" i="5"/>
  <c r="L18" i="5"/>
  <c r="H12" i="5"/>
  <c r="I12" i="5"/>
  <c r="J12" i="5"/>
  <c r="P18" i="5"/>
  <c r="N24" i="5"/>
  <c r="D23" i="5"/>
  <c r="H24" i="5"/>
  <c r="L24" i="5"/>
  <c r="M11" i="5"/>
  <c r="M24" i="5"/>
  <c r="E18" i="5"/>
  <c r="E12" i="5"/>
  <c r="L11" i="5"/>
  <c r="J18" i="5"/>
  <c r="F24" i="5"/>
  <c r="D12" i="5"/>
  <c r="E24" i="5"/>
  <c r="K24" i="5"/>
  <c r="J11" i="5"/>
  <c r="J13" i="5" s="1"/>
  <c r="J24" i="5"/>
  <c r="D24" i="5"/>
  <c r="O11" i="5"/>
  <c r="I11" i="5"/>
  <c r="G18" i="5"/>
  <c r="N17" i="5"/>
  <c r="N19" i="5" s="1"/>
  <c r="N11" i="5"/>
  <c r="N23" i="5"/>
  <c r="F18" i="5"/>
  <c r="H11" i="5"/>
  <c r="G24" i="5"/>
  <c r="M17" i="5"/>
  <c r="D18" i="5"/>
  <c r="M23" i="5"/>
  <c r="K11" i="5"/>
  <c r="G11" i="5"/>
  <c r="P17" i="5"/>
  <c r="L17" i="5"/>
  <c r="O17" i="5"/>
  <c r="O19" i="5" s="1"/>
  <c r="L23" i="5"/>
  <c r="J23" i="5"/>
  <c r="F11" i="5"/>
  <c r="D11" i="5"/>
  <c r="K17" i="5"/>
  <c r="I17" i="5"/>
  <c r="K23" i="5"/>
  <c r="H23" i="5"/>
  <c r="E11" i="5"/>
  <c r="E13" i="5" s="1"/>
  <c r="C17" i="5"/>
  <c r="J17" i="5"/>
  <c r="G17" i="5"/>
  <c r="C12" i="5"/>
  <c r="C18" i="5"/>
  <c r="I23" i="5"/>
  <c r="F17" i="5"/>
  <c r="C11" i="5"/>
  <c r="C23" i="5"/>
  <c r="H17" i="5"/>
  <c r="E17" i="5"/>
  <c r="G23" i="5"/>
  <c r="E23" i="5"/>
  <c r="F23" i="5"/>
  <c r="I18" i="5"/>
  <c r="C24" i="5"/>
  <c r="P11" i="5"/>
  <c r="H18" i="5"/>
  <c r="I24" i="5"/>
  <c r="D17" i="5"/>
  <c r="D25" i="5" l="1"/>
  <c r="G19" i="5"/>
  <c r="L13" i="5"/>
  <c r="I19" i="5"/>
  <c r="F13" i="5"/>
  <c r="G13" i="5"/>
  <c r="J19" i="5"/>
  <c r="L19" i="5"/>
  <c r="D19" i="5"/>
  <c r="P13" i="5"/>
  <c r="H25" i="5"/>
  <c r="K13" i="5"/>
  <c r="P19" i="5"/>
  <c r="M13" i="5"/>
  <c r="J25" i="5"/>
  <c r="C19" i="5"/>
  <c r="K19" i="5"/>
  <c r="M19" i="5"/>
  <c r="D13" i="5"/>
  <c r="L25" i="5"/>
  <c r="K25" i="5"/>
  <c r="M25" i="5"/>
  <c r="F25" i="5"/>
  <c r="H13" i="5"/>
  <c r="E25" i="5"/>
  <c r="G25" i="5"/>
  <c r="N25" i="5"/>
  <c r="E19" i="5"/>
  <c r="N13" i="5"/>
  <c r="H19" i="5"/>
  <c r="C13" i="5"/>
  <c r="I13" i="5"/>
  <c r="F19" i="5"/>
  <c r="O13" i="5"/>
  <c r="I25" i="5"/>
  <c r="T62" i="26" l="1"/>
  <c r="R62" i="26"/>
  <c r="F62" i="26" a="1"/>
  <c r="F62" i="26" s="1"/>
  <c r="C2" i="12" a="1"/>
  <c r="C2" i="12" s="1"/>
  <c r="B2" i="12" a="1"/>
  <c r="B2" i="12" s="1"/>
  <c r="A2" i="12" a="1"/>
  <c r="A2" i="12" s="1"/>
  <c r="E9" i="8" a="1"/>
  <c r="E9" i="8" s="1"/>
  <c r="A37" i="8"/>
  <c r="D19" i="4" s="1"/>
  <c r="D7" i="8" a="1"/>
  <c r="D7" i="8" s="1"/>
  <c r="E2" i="71" l="1"/>
  <c r="Q2" i="29" s="1" a="1"/>
  <c r="D2" i="71"/>
  <c r="AQ2" i="77" s="1" a="1"/>
  <c r="D6" i="8"/>
  <c r="D11" i="8"/>
  <c r="J8" i="90"/>
  <c r="J5" i="90" a="1"/>
  <c r="J5" i="90" s="1"/>
  <c r="A38" i="8"/>
  <c r="G19" i="4" s="1"/>
  <c r="A39" i="8"/>
  <c r="J19" i="4" s="1"/>
  <c r="A40" i="8"/>
  <c r="M19" i="4" s="1"/>
  <c r="A41" i="8"/>
  <c r="D31" i="4" s="1"/>
  <c r="A42" i="8"/>
  <c r="G31" i="4" s="1"/>
  <c r="A43" i="8"/>
  <c r="J31" i="4" s="1"/>
  <c r="A44" i="8"/>
  <c r="M31" i="4" s="1"/>
  <c r="L22" i="4" a="1"/>
  <c r="L22" i="4" s="1"/>
  <c r="L21" i="4" a="1"/>
  <c r="L21" i="4" s="1"/>
  <c r="I22" i="4" a="1"/>
  <c r="I22" i="4" s="1"/>
  <c r="I21" i="4" a="1"/>
  <c r="I21" i="4" s="1"/>
  <c r="F22" i="4" a="1"/>
  <c r="F22" i="4" s="1"/>
  <c r="F21" i="4" a="1"/>
  <c r="F21" i="4" s="1"/>
  <c r="C22" i="4" a="1"/>
  <c r="C22" i="4" s="1"/>
  <c r="C21" i="4" a="1"/>
  <c r="C21" i="4" s="1"/>
  <c r="L10" i="4" a="1"/>
  <c r="L10" i="4" s="1"/>
  <c r="L9" i="4" a="1"/>
  <c r="L9" i="4" s="1"/>
  <c r="I10" i="4" a="1"/>
  <c r="I10" i="4" s="1"/>
  <c r="I9" i="4" a="1"/>
  <c r="I9" i="4" s="1"/>
  <c r="F10" i="4" a="1"/>
  <c r="F10" i="4" s="1"/>
  <c r="F9" i="4" a="1"/>
  <c r="F9" i="4" s="1"/>
  <c r="C10" i="4" a="1"/>
  <c r="C10" i="4" s="1"/>
  <c r="C9" i="4" a="1"/>
  <c r="C9" i="4" s="1"/>
  <c r="B11" i="26" a="1"/>
  <c r="B10" i="26" a="1"/>
  <c r="AQ2" i="77" l="1"/>
  <c r="B54" i="26"/>
  <c r="B10" i="26"/>
  <c r="B11" i="26"/>
  <c r="Q2" i="29"/>
  <c r="D5" i="8" s="1"/>
  <c r="G97" i="8" a="1"/>
  <c r="G97" i="8" s="1"/>
  <c r="E19" i="4"/>
  <c r="K19" i="4"/>
  <c r="N19" i="4"/>
  <c r="P3" i="90" l="1"/>
  <c r="M3" i="90" s="1"/>
  <c r="P2" i="90"/>
  <c r="Q2" i="90" s="1"/>
  <c r="D36" i="8"/>
  <c r="E36" i="8" s="1"/>
  <c r="F36" i="8" s="1"/>
  <c r="G36" i="8" s="1"/>
  <c r="J2" i="90"/>
  <c r="O9" i="90" l="1" a="1"/>
  <c r="O9" i="90" s="1"/>
  <c r="O4" i="90" a="1"/>
  <c r="O4" i="90" s="1"/>
  <c r="O5" i="90" a="1"/>
  <c r="O5" i="90" s="1"/>
  <c r="O7" i="90" a="1"/>
  <c r="O7" i="90" s="1"/>
  <c r="O6" i="90" a="1"/>
  <c r="O6" i="90" s="1"/>
  <c r="O11" i="90" a="1"/>
  <c r="O11" i="90" s="1"/>
  <c r="O12" i="90" a="1"/>
  <c r="O12" i="90" s="1"/>
  <c r="O10" i="90" a="1"/>
  <c r="O10" i="90" s="1"/>
  <c r="O13" i="90" a="1"/>
  <c r="O13" i="90" s="1"/>
  <c r="O8" i="90" a="1"/>
  <c r="O8" i="90" s="1"/>
  <c r="J3" i="90"/>
  <c r="J4" i="90" a="1"/>
  <c r="J4" i="90" s="1"/>
  <c r="J6" i="90" s="1"/>
  <c r="Q3" i="90"/>
  <c r="M2" i="90"/>
  <c r="O43" i="90"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G14" i="8"/>
  <c r="G13" i="8"/>
  <c r="G12" i="8"/>
  <c r="B33" i="26"/>
  <c r="J7" i="90" l="1"/>
  <c r="J9" i="90" s="1"/>
  <c r="N3" i="90"/>
  <c r="N2" i="90"/>
  <c r="C25" i="5" l="1"/>
  <c r="L4" i="8"/>
  <c r="L5" i="8"/>
  <c r="S29" i="8" a="1"/>
  <c r="S29" i="8" l="1"/>
  <c r="L6" i="8"/>
  <c r="N24" i="26"/>
  <c r="R34" i="8" a="1"/>
  <c r="R20" i="8" a="1"/>
  <c r="S32" i="8" a="1"/>
  <c r="R13" i="8" a="1"/>
  <c r="S39" i="8" a="1"/>
  <c r="S11" i="8" a="1"/>
  <c r="R38" i="8" a="1"/>
  <c r="R21" i="8" a="1"/>
  <c r="R28" i="8" a="1"/>
  <c r="S23" i="8" a="1"/>
  <c r="R5" i="8" a="1"/>
  <c r="S31" i="8" a="1"/>
  <c r="S21" i="8" a="1"/>
  <c r="R29" i="8" a="1"/>
  <c r="S25" i="8" a="1"/>
  <c r="S12" i="8" a="1"/>
  <c r="S36" i="8" a="1"/>
  <c r="R14" i="8" a="1"/>
  <c r="S14" i="8" a="1"/>
  <c r="R43" i="8" a="1"/>
  <c r="S10" i="8" a="1"/>
  <c r="S16" i="8" a="1"/>
  <c r="R18" i="8" a="1"/>
  <c r="R10" i="8" a="1"/>
  <c r="R30" i="8" a="1"/>
  <c r="R27" i="8" a="1"/>
  <c r="S37" i="8" a="1"/>
  <c r="R33" i="8" a="1"/>
  <c r="R8" i="8" a="1"/>
  <c r="S20" i="8" a="1"/>
  <c r="R35" i="8" a="1"/>
  <c r="R25" i="8" a="1"/>
  <c r="R15" i="8" a="1"/>
  <c r="S28" i="8" a="1"/>
  <c r="S19" i="8" a="1"/>
  <c r="S38" i="8" a="1"/>
  <c r="S34" i="8" a="1"/>
  <c r="R42" i="8" a="1"/>
  <c r="S13" i="8" a="1"/>
  <c r="R26" i="8" a="1"/>
  <c r="R22" i="8" a="1"/>
  <c r="S27" i="8" a="1"/>
  <c r="R32" i="8" a="1"/>
  <c r="S5" i="8" a="1"/>
  <c r="R31" i="8" a="1"/>
  <c r="R40" i="8" a="1"/>
  <c r="R12" i="8" a="1"/>
  <c r="S17" i="8" a="1"/>
  <c r="R41" i="8" a="1"/>
  <c r="S30" i="8" a="1"/>
  <c r="R6" i="8" a="1"/>
  <c r="S41" i="8" a="1"/>
  <c r="R17" i="8" a="1"/>
  <c r="R44" i="8" a="1"/>
  <c r="R39" i="8" a="1"/>
  <c r="S8" i="8" a="1"/>
  <c r="S40" i="8" a="1"/>
  <c r="S6" i="8" a="1"/>
  <c r="S15" i="8" a="1"/>
  <c r="R23" i="8" a="1"/>
  <c r="R36" i="8" a="1"/>
  <c r="S18" i="8" a="1"/>
  <c r="R24" i="8" a="1"/>
  <c r="R19" i="8" a="1"/>
  <c r="S7" i="8" a="1"/>
  <c r="R37" i="8" a="1"/>
  <c r="R7" i="8" a="1"/>
  <c r="R11" i="8" a="1"/>
  <c r="S33" i="8" a="1"/>
  <c r="S22" i="8" a="1"/>
  <c r="S42" i="8" a="1"/>
  <c r="S24" i="8" a="1"/>
  <c r="S35" i="8" a="1"/>
  <c r="R16" i="8" a="1"/>
  <c r="R9" i="8" a="1"/>
  <c r="S43" i="8" a="1"/>
  <c r="S9" i="8" a="1"/>
  <c r="S44" i="8" a="1"/>
  <c r="S26"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B14" i="14" a="1"/>
  <c r="B14" i="14" s="1"/>
  <c r="B14" i="15" a="1"/>
  <c r="B14" i="15" s="1"/>
  <c r="B1" i="15"/>
  <c r="H83" i="8"/>
  <c r="H86" i="8" s="1"/>
  <c r="H89" i="8" l="1"/>
  <c r="H88" i="8"/>
  <c r="H91" i="8"/>
  <c r="H90" i="8"/>
  <c r="H87" i="8"/>
  <c r="G93" i="8" s="1"/>
  <c r="G95" i="8" l="1"/>
  <c r="G94" i="8"/>
  <c r="D29" i="8"/>
  <c r="B12" i="15" a="1"/>
  <c r="B12" i="15" s="1"/>
  <c r="B12" i="14" a="1"/>
  <c r="B12" i="14" s="1"/>
  <c r="B12" i="13" a="1"/>
  <c r="B12" i="13" s="1"/>
  <c r="O13" i="13"/>
  <c r="AG2" i="12" l="1" a="1"/>
  <c r="AG2" i="12" s="1"/>
  <c r="L36" i="8" l="1"/>
  <c r="K36" i="8"/>
  <c r="J36" i="8"/>
  <c r="I36" i="8"/>
  <c r="H36" i="8"/>
  <c r="G1" i="8" a="1"/>
  <c r="T67" i="26" l="1"/>
  <c r="R67" i="26"/>
  <c r="R65" i="26"/>
  <c r="T65" i="26"/>
  <c r="R63" i="26"/>
  <c r="T63" i="26"/>
  <c r="R64" i="26"/>
  <c r="T64" i="26"/>
  <c r="T66" i="26"/>
  <c r="R66" i="26"/>
  <c r="R68" i="26"/>
  <c r="T68" i="26"/>
  <c r="A10" i="4" a="1"/>
  <c r="A10" i="4" s="1"/>
  <c r="A22" i="4" a="1"/>
  <c r="A22" i="4" s="1"/>
  <c r="G1" i="8"/>
  <c r="E6" i="26" s="1"/>
  <c r="D54" i="8"/>
  <c r="E54" i="8"/>
  <c r="N53" i="8" l="1"/>
  <c r="D4" i="8"/>
  <c r="N51" i="8"/>
  <c r="N49" i="8"/>
  <c r="F8" i="8" s="1"/>
  <c r="N50" i="8"/>
  <c r="N52" i="8"/>
  <c r="G28" i="8"/>
  <c r="G27" i="8" s="1"/>
  <c r="D2" i="12"/>
  <c r="D3" i="12"/>
  <c r="D6" i="12"/>
  <c r="D8" i="12"/>
  <c r="D4" i="12"/>
  <c r="D7" i="12"/>
  <c r="D9" i="12"/>
  <c r="D5" i="12"/>
  <c r="G17" i="8"/>
  <c r="J6" i="5"/>
  <c r="B7" i="5"/>
  <c r="B5" i="5"/>
  <c r="K13" i="8"/>
  <c r="AQ1" i="77" a="1"/>
  <c r="AQ1" i="77" s="1"/>
  <c r="K3" i="4" l="1"/>
  <c r="B6" i="5"/>
  <c r="E4" i="4"/>
  <c r="M26" i="26"/>
  <c r="J5" i="5"/>
  <c r="B17" i="26"/>
  <c r="B16" i="26"/>
  <c r="B18" i="26"/>
  <c r="B14" i="26"/>
  <c r="B15" i="26"/>
  <c r="H27" i="8"/>
  <c r="B21" i="26"/>
  <c r="B22" i="26"/>
  <c r="G21" i="26"/>
  <c r="G22" i="26"/>
  <c r="K21" i="26"/>
  <c r="K22" i="26"/>
  <c r="H18" i="26"/>
  <c r="H14" i="26"/>
  <c r="H15" i="26"/>
  <c r="H16" i="26"/>
  <c r="H17" i="26"/>
  <c r="L11" i="26"/>
  <c r="L9" i="26"/>
  <c r="L8" i="26"/>
  <c r="B30" i="26"/>
  <c r="L30" i="26"/>
  <c r="H30" i="26"/>
  <c r="Q68" i="26"/>
  <c r="Q67" i="26"/>
  <c r="Q66" i="26"/>
  <c r="Q65" i="26"/>
  <c r="Q64" i="26"/>
  <c r="R7" i="26"/>
  <c r="N26" i="26" l="1"/>
  <c r="A62" i="26"/>
  <c r="D14" i="8"/>
  <c r="D13" i="8"/>
  <c r="G11" i="8" s="1"/>
  <c r="D12" i="8"/>
  <c r="E47" i="8"/>
  <c r="I47" i="8"/>
  <c r="H47" i="8"/>
  <c r="M62" i="26" l="1"/>
  <c r="K62" i="26"/>
  <c r="I62" i="26"/>
  <c r="Q62" i="26"/>
  <c r="D47" i="8"/>
  <c r="F47" i="8"/>
  <c r="G47" i="8"/>
  <c r="I55" i="8"/>
  <c r="H55" i="8"/>
  <c r="G55" i="8"/>
  <c r="F55" i="8"/>
  <c r="E55" i="8"/>
  <c r="D55" i="8"/>
  <c r="I54" i="8"/>
  <c r="H54" i="8"/>
  <c r="G54" i="8"/>
  <c r="F54" i="8"/>
  <c r="I50" i="8"/>
  <c r="H50" i="8"/>
  <c r="G50" i="8"/>
  <c r="F50" i="8"/>
  <c r="E50" i="8"/>
  <c r="D50" i="8"/>
  <c r="I49" i="8"/>
  <c r="H49" i="8"/>
  <c r="G49" i="8"/>
  <c r="F49" i="8"/>
  <c r="E49" i="8"/>
  <c r="D49" i="8"/>
  <c r="B24" i="26" l="1"/>
  <c r="J7" i="21"/>
  <c r="I10" i="15" l="1"/>
  <c r="E30" i="8" l="1"/>
  <c r="I10" i="14"/>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K67" i="26"/>
  <c r="M64" i="26"/>
  <c r="I64" i="26"/>
  <c r="A64" i="26"/>
  <c r="K64" i="26"/>
  <c r="M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D30" i="26"/>
  <c r="H24" i="26"/>
  <c r="B25" i="26"/>
  <c r="N15" i="26" l="1"/>
  <c r="N16" i="26" s="1"/>
  <c r="N14" i="26"/>
  <c r="I35" i="5" l="1"/>
  <c r="I33" i="5"/>
  <c r="I34" i="5"/>
  <c r="I32" i="5"/>
  <c r="N22" i="26"/>
  <c r="N21" i="26"/>
  <c r="B9" i="26"/>
  <c r="I31" i="5" l="1"/>
  <c r="D20" i="8" l="1"/>
  <c r="E6" i="4"/>
  <c r="D11" i="19" l="1"/>
  <c r="L17" i="8" l="1"/>
  <c r="G19" i="8" l="1"/>
  <c r="I19" i="8" s="1"/>
  <c r="H26" i="26" l="1"/>
  <c r="W2" i="12" l="1"/>
  <c r="U9" i="12" l="1"/>
  <c r="U8" i="12"/>
  <c r="N13" i="13" l="1"/>
  <c r="M13" i="13"/>
  <c r="J7" i="13"/>
  <c r="J6" i="13"/>
  <c r="J5" i="13"/>
  <c r="C7" i="13"/>
  <c r="C6" i="13"/>
  <c r="C5" i="13"/>
  <c r="D2" i="13"/>
  <c r="B2" i="13"/>
  <c r="B1" i="13"/>
  <c r="E1" i="13" l="1"/>
  <c r="C2" i="13"/>
  <c r="E2" i="13"/>
  <c r="C1" i="13"/>
  <c r="N59" i="8" l="1"/>
  <c r="I9" i="13" s="1"/>
  <c r="N61" i="8"/>
  <c r="I10" i="13" s="1"/>
  <c r="N60" i="8"/>
  <c r="I9" i="15" l="1"/>
  <c r="I9" i="14"/>
  <c r="D2" i="15" l="1"/>
  <c r="D2" i="14"/>
  <c r="C6" i="21" l="1"/>
  <c r="C8" i="21"/>
  <c r="C7" i="21"/>
  <c r="J6" i="21"/>
  <c r="G30" i="8" l="1"/>
  <c r="F31" i="8" s="1"/>
  <c r="E29" i="8"/>
  <c r="H25" i="26" s="1"/>
  <c r="B20" i="8" l="1"/>
  <c r="N13" i="15" l="1"/>
  <c r="M13" i="15"/>
  <c r="J7" i="15"/>
  <c r="C7" i="15"/>
  <c r="J6" i="15"/>
  <c r="C6" i="15"/>
  <c r="J5" i="15"/>
  <c r="C5" i="15"/>
  <c r="B2" i="15"/>
  <c r="O13" i="14"/>
  <c r="N13" i="14"/>
  <c r="M13" i="14"/>
  <c r="J7" i="14"/>
  <c r="C7" i="14"/>
  <c r="J6" i="14"/>
  <c r="C6" i="14"/>
  <c r="J5" i="14"/>
  <c r="C5" i="14"/>
  <c r="B2" i="14"/>
  <c r="B1" i="14"/>
  <c r="K5" i="4"/>
  <c r="S12" i="4" s="1" a="1"/>
  <c r="S12" i="4" s="1"/>
  <c r="E5" i="4"/>
  <c r="K4" i="4"/>
  <c r="E3" i="4"/>
  <c r="D10" i="19"/>
  <c r="D9" i="19"/>
  <c r="L35" i="8"/>
  <c r="K35" i="8"/>
  <c r="J35" i="8"/>
  <c r="I35" i="8"/>
  <c r="H35" i="8"/>
  <c r="D31" i="8"/>
  <c r="E26" i="8"/>
  <c r="A14" i="13" l="1" a="1"/>
  <c r="A14" i="13" s="1"/>
  <c r="A14" i="15" a="1"/>
  <c r="A14" i="15" s="1"/>
  <c r="A14" i="14" a="1"/>
  <c r="A14" i="14" s="1"/>
  <c r="E2" i="14"/>
  <c r="E1" i="14"/>
  <c r="E2" i="15"/>
  <c r="E1" i="15"/>
  <c r="C2" i="14"/>
  <c r="C1" i="14"/>
  <c r="C2" i="15"/>
  <c r="C1" i="15"/>
  <c r="T4" i="4" l="1" a="1"/>
  <c r="T4" i="4" s="1"/>
  <c r="P2" i="14"/>
  <c r="Q2" i="14" s="1"/>
  <c r="P1" i="14"/>
  <c r="Q1" i="14" s="1"/>
  <c r="P1" i="15"/>
  <c r="Q1" i="15" s="1"/>
  <c r="P2" i="13"/>
  <c r="Q2" i="13" s="1"/>
  <c r="P2" i="15"/>
  <c r="Q2" i="15" s="1"/>
  <c r="P1" i="13"/>
  <c r="Q1" i="13" s="1"/>
  <c r="H19" i="4" a="1"/>
  <c r="H19" i="4" s="1"/>
  <c r="T3" i="4" l="1" a="1"/>
  <c r="T3" i="4" s="1"/>
  <c r="R5" i="4" s="1"/>
  <c r="O22" i="4" s="1"/>
  <c r="U4" i="4" a="1"/>
  <c r="U4" i="4" s="1"/>
  <c r="R8" i="4" s="1"/>
  <c r="O25" i="4" s="1"/>
  <c r="R7" i="4"/>
  <c r="O24" i="4" s="1"/>
  <c r="U1" i="4" a="1"/>
  <c r="U1" i="4" s="1"/>
  <c r="R2" i="4" s="1"/>
  <c r="T2" i="4" l="1" a="1"/>
  <c r="T2" i="4" s="1"/>
  <c r="R3" i="4" s="1"/>
  <c r="T1" i="4" a="1"/>
  <c r="T1" i="4" s="1"/>
  <c r="R1" i="4" s="1"/>
  <c r="U2" i="4" a="1"/>
  <c r="U2" i="4" s="1"/>
  <c r="R4" i="4" s="1"/>
  <c r="O13" i="4" l="1"/>
  <c r="O12" i="4"/>
  <c r="U3" i="4" l="1" a="1"/>
  <c r="U3" i="4" s="1"/>
  <c r="R6" i="4" s="1"/>
  <c r="O11" i="4"/>
  <c r="O23" i="4" l="1"/>
  <c r="O10" i="4"/>
  <c r="G6" i="4"/>
  <c r="F32" i="8"/>
  <c r="G10"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tc={D4D3909A-71EB-4102-B2D0-0FF48A8A55B5}</author>
  </authors>
  <commentList>
    <comment ref="G97" authorId="0" shapeId="0" xr:uid="{D4D3909A-71EB-4102-B2D0-0FF48A8A55B5}">
      <text>
        <t>[Threaded comment]
Your version of Excel allows you to read this threaded comment; however, any edits to it will get removed if the file is opened in a newer version of Excel. Learn more: https://go.microsoft.com/fwlink/?linkid=870924
Comment:
    HACK: We might get away with this in most situations, but a proper lookup will have to consider which Header_Info!Range the NominalTemp falls into, and find the corresponding Tolerance.
This also is limited to +/- style tolerances, and does not handle MAX tolerances at all.</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BF4B4FFC-CC37-4C97-8B67-80D03CCD9B58}" keepAlive="1" name="Query - Comparison" description="Connection to the 'Comparison' query in the workbook." type="5" refreshedVersion="8" background="1" saveData="1">
    <dbPr connection="Provider=Microsoft.Mashup.OleDb.1;Data Source=$Workbook$;Location=Comparison;Extended Properties=&quot;&quot;" command="SELECT * FROM [Comparison]"/>
  </connection>
  <connection id="6"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7"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8"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9"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3"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4"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5"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6"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<sst xmlns="http://schemas.openxmlformats.org/spreadsheetml/2006/main" count="1921" uniqueCount="957">
  <si>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</si>
  <si>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</si>
  <si>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</si>
  <si>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</si>
  <si>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</si>
  <si>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</si>
  <si>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</si>
  <si>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</si>
  <si>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</si>
  <si>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</si>
  <si>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</si>
  <si>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</si>
  <si>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</si>
  <si>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</si>
  <si>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</si>
  <si>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</si>
  <si>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</si>
  <si>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</si>
  <si>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</si>
  <si>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</si>
  <si>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</si>
  <si>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</si>
  <si>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</si>
  <si>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</si>
  <si>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</si>
  <si>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</si>
  <si>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</si>
  <si>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</si>
  <si>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</si>
  <si>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</si>
  <si>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</si>
  <si>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</si>
  <si>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</si>
  <si>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</si>
  <si>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</si>
  <si>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</si>
  <si>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</si>
  <si>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</si>
  <si>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</si>
  <si>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</si>
  <si>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</si>
  <si>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</si>
  <si>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</si>
  <si>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</si>
  <si>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</si>
  <si>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</si>
  <si>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</si>
  <si>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</si>
  <si>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</si>
  <si>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</si>
  <si>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</si>
  <si>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</si>
  <si>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</si>
  <si>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</si>
  <si>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</si>
  <si>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</si>
  <si>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</si>
  <si>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</si>
  <si>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</si>
  <si>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</si>
  <si>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</si>
  <si>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</si>
  <si>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</si>
  <si>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</si>
  <si>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</si>
  <si>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</si>
  <si>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</si>
  <si>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</si>
  <si>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</si>
  <si>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</si>
  <si>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</si>
  <si>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</si>
  <si>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</si>
  <si>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</si>
  <si>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</si>
  <si>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</si>
  <si>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</si>
  <si>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</si>
  <si>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</si>
  <si>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</si>
  <si>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</si>
  <si>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</si>
  <si>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</si>
  <si>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</si>
  <si>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</si>
  <si>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</si>
  <si>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</si>
  <si>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</si>
  <si>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</si>
  <si>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</si>
  <si>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</si>
  <si>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</si>
  <si>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</si>
  <si>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</si>
  <si>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</si>
  <si>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</si>
  <si>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</si>
  <si>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</si>
  <si>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</si>
  <si>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</si>
  <si>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</si>
  <si>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</si>
  <si>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</si>
  <si>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</si>
  <si>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</si>
  <si>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</si>
  <si>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</si>
  <si>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</si>
  <si>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</si>
  <si>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</si>
  <si>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</si>
  <si>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</si>
  <si>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</si>
  <si>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</si>
  <si>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</si>
  <si>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</si>
  <si>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</si>
  <si>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</si>
  <si>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</si>
  <si>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</si>
  <si>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</si>
  <si>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</si>
  <si>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</si>
  <si>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</si>
  <si>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</si>
  <si>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</si>
  <si>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</si>
  <si>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</si>
  <si>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</si>
  <si>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</si>
  <si>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</si>
  <si>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</si>
  <si>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</si>
  <si>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</si>
  <si>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</si>
  <si>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</si>
  <si>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</si>
  <si>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</si>
  <si>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</si>
  <si>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</si>
  <si>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</si>
  <si>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</si>
  <si>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</si>
  <si>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</si>
  <si>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</si>
  <si>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</si>
  <si>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</si>
  <si>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</si>
  <si>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</si>
  <si>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</si>
  <si>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</si>
  <si>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</si>
  <si>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</si>
  <si>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</si>
  <si>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</si>
  <si>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</si>
  <si>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</si>
  <si>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</si>
  <si>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</si>
  <si>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</si>
  <si>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</si>
  <si>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</si>
  <si>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</si>
  <si>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</si>
  <si>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</si>
  <si>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</si>
  <si>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</si>
  <si>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</si>
  <si>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</si>
  <si>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</si>
  <si>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</si>
  <si>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</si>
  <si>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</si>
  <si>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</si>
  <si>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</si>
  <si>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</si>
  <si>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</si>
  <si>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</si>
  <si>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</si>
  <si>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</si>
  <si>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</si>
  <si>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</si>
  <si>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</si>
  <si>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</si>
  <si>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</si>
  <si>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</si>
  <si>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</si>
  <si>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</si>
  <si>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</si>
  <si>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</si>
  <si>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</si>
  <si>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</si>
  <si>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</si>
  <si>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</si>
  <si>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</si>
  <si>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</si>
  <si>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</si>
  <si>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</si>
  <si>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</si>
  <si>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</si>
  <si>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</si>
  <si>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</si>
  <si>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</si>
  <si>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</si>
  <si>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</si>
  <si>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</si>
  <si>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</si>
  <si>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</si>
  <si>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</si>
  <si>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</si>
  <si>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</si>
  <si>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</si>
  <si>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</si>
  <si>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</si>
  <si>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</si>
  <si>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</si>
  <si>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</si>
  <si>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</si>
  <si>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</si>
  <si>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</si>
  <si>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</si>
  <si>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</si>
  <si>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</si>
  <si>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</si>
  <si>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</si>
  <si>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</si>
  <si>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</si>
  <si>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</si>
  <si>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</si>
  <si>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</si>
  <si>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</si>
  <si>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</si>
  <si>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</si>
  <si>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</si>
  <si>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</si>
  <si>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</si>
  <si>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</si>
  <si>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</si>
  <si>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</si>
  <si>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</si>
  <si>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</si>
  <si>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</si>
  <si>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</si>
  <si>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</si>
  <si>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</si>
  <si>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</si>
  <si>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</si>
  <si>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</si>
  <si>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</si>
  <si>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</si>
  <si>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</si>
  <si>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</si>
  <si>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</si>
  <si>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</si>
  <si>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</si>
  <si>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</si>
  <si>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</si>
  <si>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</si>
  <si>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</si>
  <si>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</si>
  <si>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</si>
  <si>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</si>
  <si>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</si>
  <si>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</si>
  <si>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</si>
  <si>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</si>
  <si>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</si>
  <si>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</si>
  <si>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</si>
  <si>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</si>
  <si>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</si>
  <si>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</si>
  <si>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</si>
  <si>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</si>
  <si>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</si>
  <si>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</si>
  <si>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</si>
  <si>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</si>
  <si>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</si>
  <si>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</si>
  <si>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</si>
  <si>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</si>
  <si>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</si>
  <si>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</si>
  <si>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</si>
  <si>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</si>
  <si>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</si>
  <si>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</si>
  <si>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</si>
  <si>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</si>
  <si>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</si>
  <si>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</si>
  <si>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</si>
  <si>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</si>
  <si>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</si>
  <si>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</si>
  <si>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</si>
  <si>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</si>
  <si>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</si>
  <si>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</si>
  <si>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</si>
  <si>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</si>
  <si>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</si>
  <si>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</si>
  <si>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</si>
  <si>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</si>
  <si>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</si>
  <si>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</si>
  <si>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</si>
  <si>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</si>
  <si>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</si>
  <si>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</si>
  <si>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</si>
  <si>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</si>
  <si>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</si>
  <si>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</si>
  <si>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</si>
  <si>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</si>
  <si>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</si>
  <si>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</si>
  <si>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</si>
  <si>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</si>
  <si>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</si>
  <si>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</si>
  <si>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</si>
  <si>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</si>
  <si>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</si>
  <si>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</si>
  <si>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</si>
  <si>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</si>
  <si>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</si>
  <si>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</si>
  <si>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</si>
  <si>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</si>
  <si>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</si>
  <si>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</si>
  <si>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</si>
  <si>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</si>
  <si>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</si>
  <si>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</si>
  <si>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</si>
  <si>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</si>
  <si>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</si>
  <si>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</si>
  <si>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</si>
  <si>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</si>
  <si>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</si>
  <si>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</si>
  <si>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</si>
  <si>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</si>
  <si>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</si>
  <si>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</si>
  <si>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</si>
  <si>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</si>
  <si>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</si>
  <si>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</si>
  <si>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</si>
  <si>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</si>
  <si>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</si>
  <si>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</si>
  <si>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</si>
  <si>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</si>
  <si>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</si>
  <si>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</si>
  <si>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</si>
  <si>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</si>
  <si>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</si>
  <si>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</si>
  <si>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</si>
  <si>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</si>
  <si>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</si>
  <si>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</si>
  <si>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</si>
  <si>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</si>
  <si>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</si>
  <si>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</si>
  <si>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</si>
  <si>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</si>
  <si>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</si>
  <si>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</si>
  <si>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</si>
  <si>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</si>
  <si>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</si>
  <si>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</si>
  <si>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</si>
  <si>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</si>
  <si>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</si>
  <si>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</si>
  <si>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</si>
  <si>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</si>
  <si>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</si>
  <si>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</si>
  <si>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</si>
  <si>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</si>
  <si>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</si>
  <si>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</si>
  <si>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</si>
  <si>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</si>
  <si>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</si>
  <si>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</si>
  <si>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</si>
  <si>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</si>
  <si>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</si>
  <si>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</si>
  <si>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</si>
  <si>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</si>
  <si>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</si>
  <si>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</si>
  <si>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</si>
  <si>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</si>
  <si>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</si>
  <si>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</si>
  <si>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</si>
  <si>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</si>
  <si>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</si>
  <si>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</si>
  <si>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</si>
  <si>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</si>
  <si>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</si>
  <si>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</si>
  <si>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</si>
  <si>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</si>
  <si>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</si>
  <si>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</si>
  <si>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</si>
  <si>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</si>
  <si>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</si>
  <si>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</si>
  <si>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</si>
  <si>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</si>
  <si>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</si>
  <si>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</si>
  <si>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</si>
  <si>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</si>
  <si>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</si>
  <si>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</si>
  <si>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</si>
  <si>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</si>
  <si>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</si>
  <si>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</si>
  <si>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</si>
  <si>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</si>
  <si>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</si>
  <si>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</si>
  <si>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</si>
  <si>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</si>
  <si>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</si>
  <si>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</si>
  <si>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</si>
  <si>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</si>
  <si>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</si>
  <si>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</si>
  <si>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</si>
  <si>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</si>
  <si>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</si>
  <si>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</si>
  <si>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</si>
  <si>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</si>
  <si>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</si>
  <si>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</si>
  <si>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</si>
  <si>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</si>
  <si>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</si>
  <si>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</si>
  <si>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</si>
  <si>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</si>
  <si>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</si>
  <si>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</si>
  <si>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</si>
  <si>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</si>
  <si>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</si>
  <si>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</si>
  <si>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</si>
  <si>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</si>
  <si>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</si>
  <si>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</si>
  <si>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</si>
  <si>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</si>
  <si>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</si>
  <si>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</si>
  <si>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</si>
  <si>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</si>
  <si>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</si>
  <si>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</si>
  <si>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</si>
  <si>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</si>
  <si>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</si>
  <si>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</si>
  <si>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</si>
  <si>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</si>
  <si>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</si>
  <si>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</si>
  <si>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</si>
  <si>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</si>
  <si>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</si>
  <si>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</si>
  <si>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</si>
  <si>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</si>
  <si>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</si>
  <si>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</si>
  <si>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</si>
  <si>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</si>
  <si>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</si>
  <si>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</si>
  <si>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</si>
  <si>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</si>
  <si>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</si>
  <si>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</si>
  <si>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</si>
  <si>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</si>
  <si>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</si>
  <si>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</si>
  <si>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</si>
  <si>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</si>
  <si>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</si>
  <si>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</si>
  <si>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</si>
  <si>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</si>
  <si>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</si>
  <si>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</si>
  <si>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</si>
  <si>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</si>
  <si>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</si>
  <si>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</si>
  <si>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</si>
  <si>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</si>
  <si>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</si>
  <si>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</si>
  <si>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</si>
  <si>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</si>
  <si>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</si>
  <si>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</si>
  <si>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</si>
  <si>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</si>
  <si>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</si>
  <si>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</si>
  <si>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</si>
  <si>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</si>
  <si>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</si>
  <si>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</si>
  <si>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</si>
  <si>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</si>
  <si>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</si>
  <si>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</si>
  <si>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</si>
  <si>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</si>
  <si>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</si>
  <si>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</si>
  <si>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</si>
  <si>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</si>
  <si>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</si>
  <si>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</si>
  <si>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</si>
  <si>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</si>
  <si>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</si>
  <si>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</si>
  <si>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</si>
  <si>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</si>
  <si>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</si>
  <si>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</si>
  <si>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</si>
  <si>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</si>
  <si>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</si>
  <si>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</si>
  <si>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</si>
  <si>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</si>
  <si>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</si>
  <si>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</si>
  <si>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</si>
  <si>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</si>
  <si>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</si>
  <si>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</si>
  <si>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</si>
  <si>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</si>
  <si>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</si>
  <si>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</si>
  <si>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</si>
  <si>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</si>
  <si>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</si>
  <si>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</si>
  <si>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</si>
  <si>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</si>
  <si>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</si>
  <si>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</si>
  <si>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</si>
  <si>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</si>
  <si>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</si>
  <si>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</si>
  <si>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</si>
  <si>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</si>
  <si>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</si>
  <si>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</si>
  <si>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</si>
  <si>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</si>
  <si>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</si>
  <si>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</si>
  <si>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</si>
  <si>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</si>
  <si>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</si>
  <si>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</si>
  <si>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</si>
  <si>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</si>
  <si>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</si>
  <si>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</si>
  <si>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</si>
  <si>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</si>
  <si>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</si>
  <si>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</si>
  <si>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</si>
  <si>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</si>
  <si>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</si>
  <si>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</si>
  <si>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</si>
  <si>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</si>
  <si>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</si>
  <si>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</si>
  <si>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</si>
  <si>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</si>
  <si>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</si>
  <si>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</si>
  <si>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</si>
  <si>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</si>
  <si>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</si>
  <si>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</si>
  <si>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</si>
  <si>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</si>
  <si>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</si>
  <si>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</si>
  <si>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</si>
  <si>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</si>
  <si>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</si>
  <si>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</si>
  <si>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</si>
  <si>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</si>
  <si>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</si>
  <si>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</si>
  <si>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</si>
  <si>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</si>
  <si>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</si>
  <si>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</si>
  <si>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</si>
  <si>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</si>
  <si>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</si>
  <si>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</si>
  <si>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</si>
  <si>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</si>
  <si>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</si>
  <si>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</si>
  <si>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</si>
  <si>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</si>
  <si>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</si>
  <si>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</si>
  <si>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</si>
  <si>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</si>
  <si>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</si>
  <si>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</si>
  <si>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</si>
  <si>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</si>
  <si>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</si>
  <si>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</si>
  <si>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</si>
  <si>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</si>
  <si>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</si>
  <si>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</si>
  <si>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</si>
  <si>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</si>
  <si>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</si>
  <si>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</si>
  <si>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</si>
  <si>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</si>
  <si>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</si>
  <si>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</si>
  <si>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</si>
  <si>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</si>
  <si>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</si>
  <si>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</si>
  <si>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</si>
  <si>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</si>
  <si>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</si>
  <si>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</si>
  <si>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</si>
  <si>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</si>
  <si>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</si>
  <si>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</si>
  <si>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</si>
  <si>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</si>
  <si>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</si>
  <si>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</si>
  <si>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</si>
  <si>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</si>
  <si>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</si>
  <si>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</si>
  <si>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</si>
  <si>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</si>
  <si>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</si>
  <si>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</si>
  <si>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</si>
  <si>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</si>
  <si>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</si>
  <si>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</si>
  <si>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</si>
  <si>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</si>
  <si>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</si>
  <si>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</si>
  <si>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</si>
  <si>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</si>
  <si>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</si>
  <si>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</si>
  <si>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</si>
  <si>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</si>
  <si>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</si>
  <si>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</si>
  <si>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</si>
  <si>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</si>
  <si>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</si>
  <si>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</si>
  <si>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</si>
  <si>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</si>
  <si>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</si>
  <si>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</si>
  <si>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</si>
  <si>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</si>
  <si>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</si>
  <si>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</si>
  <si>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</si>
  <si>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</si>
  <si>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</si>
  <si>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</si>
  <si>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</si>
  <si>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</si>
  <si>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</si>
  <si>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</si>
  <si>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</si>
  <si>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</si>
  <si>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</si>
  <si>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</si>
  <si>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</si>
  <si>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</si>
  <si>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</si>
  <si>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</si>
  <si>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</si>
  <si>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</si>
  <si>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</si>
  <si>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</si>
  <si>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</si>
  <si>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</si>
  <si>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</si>
  <si>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</si>
  <si>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</si>
  <si>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</si>
  <si>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</si>
  <si>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</si>
  <si>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</si>
  <si>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</si>
  <si>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</si>
  <si>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</si>
  <si>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</si>
  <si>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</si>
  <si>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</si>
  <si>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</si>
  <si>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</si>
  <si>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</si>
  <si>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</si>
  <si>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</si>
  <si>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</si>
  <si>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</si>
  <si>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</si>
  <si>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</si>
  <si>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</si>
  <si>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</si>
  <si>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</si>
  <si>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</si>
  <si>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</si>
  <si>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</si>
  <si>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</si>
  <si>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</si>
  <si>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</si>
  <si>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</si>
  <si>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</si>
  <si>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</si>
  <si>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</si>
  <si>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</si>
  <si>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</si>
  <si>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</si>
  <si>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</si>
  <si>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</si>
  <si>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</si>
  <si>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</si>
  <si>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</si>
  <si>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</si>
  <si>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</si>
  <si>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</si>
  <si>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</si>
  <si>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</si>
  <si>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</si>
  <si>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</si>
  <si>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</si>
  <si>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</si>
  <si>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</si>
  <si>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</si>
  <si>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</si>
  <si>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</si>
  <si>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</si>
  <si>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</si>
  <si>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</si>
  <si>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</si>
  <si>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</si>
  <si>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</si>
  <si>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</si>
  <si>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</si>
  <si>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</si>
  <si>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</si>
  <si>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</si>
  <si>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</si>
  <si>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</si>
  <si>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</si>
  <si>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</si>
  <si>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</si>
  <si>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</si>
  <si>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</si>
  <si>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</si>
  <si>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</si>
  <si>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</si>
  <si>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</si>
  <si>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</si>
  <si>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</si>
  <si>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</si>
  <si>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</si>
  <si>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</si>
  <si>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</si>
  <si>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</si>
  <si>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</si>
  <si>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</si>
  <si>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</si>
  <si>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</si>
  <si>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</si>
  <si>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</si>
  <si>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</si>
  <si>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</si>
  <si>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</si>
  <si>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</si>
  <si>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</si>
  <si>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</si>
  <si>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</si>
  <si>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</si>
  <si>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</si>
  <si>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</si>
  <si>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</si>
  <si>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</si>
  <si>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</si>
  <si>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</si>
  <si>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</si>
  <si>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</si>
  <si>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</si>
  <si>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</si>
  <si>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</si>
  <si>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</si>
  <si>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</si>
  <si>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</si>
  <si>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</si>
  <si>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</si>
  <si>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</si>
  <si>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</si>
  <si>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</si>
  <si>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</si>
  <si>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</si>
  <si>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</si>
  <si>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</si>
  <si>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</si>
  <si>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</si>
  <si>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</si>
  <si>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</si>
  <si>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</si>
  <si>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</si>
  <si>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</si>
  <si>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</si>
  <si>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</si>
  <si>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</si>
  <si>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</si>
  <si>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</si>
  <si>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</si>
  <si>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</si>
  <si>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</si>
  <si>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</si>
  <si>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</si>
  <si>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</si>
  <si>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</si>
  <si>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</si>
  <si>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</si>
  <si>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</si>
  <si>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</si>
  <si>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</si>
  <si>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</si>
  <si>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</si>
  <si>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</si>
  <si>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</si>
  <si>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</si>
  <si>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</si>
  <si>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</si>
  <si>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</si>
  <si>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</si>
  <si>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</si>
  <si>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</si>
  <si>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</si>
  <si>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</si>
  <si>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</si>
  <si>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</si>
  <si>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</si>
  <si>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</si>
  <si>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BaseTempFactor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</si>
  <si>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</si>
  <si>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</si>
  <si>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</si>
  <si>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</si>
  <si>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</si>
  <si>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</si>
  <si>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</si>
  <si>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</si>
  <si>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</si>
  <si>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</si>
  <si>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</si>
  <si>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</si>
  <si>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</si>
  <si>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</si>
  <si>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</si>
  <si>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Numeric Tol</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</si>
  <si>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</si>
  <si>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</si>
  <si>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</si>
  <si>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</si>
  <si>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</si>
  <si>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</si>
  <si>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</si>
  <si>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</si>
  <si>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</si>
  <si>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</si>
  <si>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</si>
  <si>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</si>
  <si>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</si>
  <si>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</si>
  <si>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</si>
  <si>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</si>
  <si>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</si>
  <si>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</si>
  <si>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</si>
  <si>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point</t>
  </si>
  <si>
    <t>WireLotNumber</t>
  </si>
  <si>
    <t>DaqbookOffset</t>
  </si>
  <si>
    <t>TCOffset</t>
  </si>
  <si>
    <t>CummulativeOffset</t>
  </si>
  <si>
    <t>Comment:</t>
  </si>
  <si>
    <t>Max:</t>
  </si>
  <si>
    <t>Min:</t>
  </si>
  <si>
    <t>Count:</t>
  </si>
  <si>
    <t>PT index offset:</t>
  </si>
  <si>
    <t>Radio selection:</t>
  </si>
  <si>
    <t>Ver. 07.16.25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</si>
</sst>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2"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3" fillId="0" borderId="0" applyNumberFormat="0" applyFill="0" applyBorder="0" applyAlignment="0" applyProtection="0"/>
  </cellStyleXfs>
  <cellXfs count="672">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50" fillId="0" borderId="1" xfId="1" applyBorder="1" applyAlignment="1">
      <alignment horizontal="center"/>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14" fontId="0" fillId="0" borderId="0" xfId="0" applyNumberFormat="1"/>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2"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6" fontId="77" fillId="5" borderId="4" xfId="0" applyNumberFormat="1" applyFont="1" applyFill="1" applyBorder="1" applyAlignment="1">
      <alignment horizontal="left"/>
    </xf>
    <xf numFmtId="172"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2" fontId="77" fillId="5" borderId="4" xfId="0" applyNumberFormat="1" applyFont="1" applyFill="1" applyBorder="1"/>
    <xf numFmtId="172"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74" fillId="3" borderId="8" xfId="0" applyFont="1" applyFill="1" applyBorder="1" applyProtection="1">
      <protection locked="0"/>
    </xf>
    <xf numFmtId="0" fontId="74" fillId="3" borderId="4" xfId="0" applyFont="1" applyFill="1" applyBorder="1" applyAlignment="1" applyProtection="1">
      <alignment horizontal="right" vertical="top"/>
      <protection locked="0"/>
    </xf>
    <xf numFmtId="0" fontId="74" fillId="3" borderId="4" xfId="0" applyFont="1" applyFill="1" applyBorder="1" applyAlignment="1" applyProtection="1">
      <alignment horizontal="right"/>
      <protection locked="0"/>
    </xf>
    <xf numFmtId="0" fontId="74" fillId="3" borderId="4" xfId="0" applyFont="1" applyFill="1" applyBorder="1" applyProtection="1">
      <protection locked="0"/>
    </xf>
    <xf numFmtId="0" fontId="91" fillId="8" borderId="4" xfId="0" applyFont="1" applyFill="1" applyBorder="1" applyAlignment="1">
      <alignment horizontal="left"/>
    </xf>
    <xf numFmtId="0" fontId="92" fillId="8" borderId="4" xfId="0" applyFont="1" applyFill="1" applyBorder="1" applyAlignment="1">
      <alignment horizontal="right"/>
    </xf>
    <xf numFmtId="0" fontId="92" fillId="8" borderId="7" xfId="0" applyFont="1" applyFill="1" applyBorder="1"/>
    <xf numFmtId="0" fontId="92" fillId="8" borderId="13" xfId="0" applyFont="1" applyFill="1" applyBorder="1"/>
    <xf numFmtId="0" fontId="92" fillId="8" borderId="16" xfId="0" applyFont="1" applyFill="1" applyBorder="1"/>
    <xf numFmtId="0" fontId="91" fillId="8" borderId="4" xfId="0" applyFont="1" applyFill="1" applyBorder="1"/>
    <xf numFmtId="0" fontId="69" fillId="2" borderId="0" xfId="0" applyFont="1" applyFill="1" applyAlignment="1" applyProtection="1">
      <alignment horizontal="left" vertical="top"/>
      <protection locked="0"/>
    </xf>
    <xf numFmtId="0" fontId="92" fillId="8" borderId="7" xfId="0" applyFont="1" applyFill="1" applyBorder="1" applyAlignment="1">
      <alignment horizontal="left"/>
    </xf>
    <xf numFmtId="0" fontId="92" fillId="8" borderId="13" xfId="0" applyFont="1" applyFill="1" applyBorder="1" applyAlignment="1">
      <alignment horizontal="right"/>
    </xf>
    <xf numFmtId="0" fontId="92" fillId="8" borderId="12" xfId="0" applyFont="1" applyFill="1" applyBorder="1" applyAlignment="1">
      <alignment horizontal="right"/>
    </xf>
    <xf numFmtId="0" fontId="91"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0" fillId="3" borderId="8" xfId="0" applyFont="1" applyFill="1" applyBorder="1" applyAlignment="1" applyProtection="1">
      <alignment horizontal="right"/>
      <protection locked="0"/>
    </xf>
    <xf numFmtId="0" fontId="20" fillId="3" borderId="4" xfId="0" applyFont="1" applyFill="1" applyBorder="1" applyAlignment="1" applyProtection="1">
      <alignment horizontal="right"/>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9" fillId="11" borderId="7" xfId="0" applyFont="1" applyFill="1" applyBorder="1" applyAlignment="1">
      <alignment horizontal="left" vertical="top"/>
    </xf>
    <xf numFmtId="0" fontId="101" fillId="0" borderId="0" xfId="1" applyFont="1"/>
    <xf numFmtId="0" fontId="101" fillId="0" borderId="0" xfId="1" applyFont="1" applyAlignment="1">
      <alignment horizontal="center"/>
    </xf>
    <xf numFmtId="0" fontId="100" fillId="0" borderId="0" xfId="1" applyFont="1"/>
    <xf numFmtId="0" fontId="102" fillId="0" borderId="0" xfId="0" applyFont="1" applyAlignment="1">
      <alignment horizontal="center"/>
    </xf>
    <xf numFmtId="0" fontId="20" fillId="3" borderId="8" xfId="0" applyFont="1" applyFill="1" applyBorder="1" applyAlignment="1" applyProtection="1">
      <alignment horizontal="right" vertical="top"/>
      <protection locked="0"/>
    </xf>
    <xf numFmtId="0" fontId="20" fillId="3" borderId="8" xfId="0" applyFont="1" applyFill="1" applyBorder="1" applyProtection="1">
      <protection locked="0"/>
    </xf>
    <xf numFmtId="0" fontId="20"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4" fillId="0" borderId="15" xfId="0" applyNumberFormat="1" applyFont="1" applyBorder="1"/>
    <xf numFmtId="181" fontId="104" fillId="0" borderId="0" xfId="0" applyNumberFormat="1" applyFont="1"/>
    <xf numFmtId="0" fontId="104" fillId="0" borderId="0" xfId="0" applyFont="1"/>
    <xf numFmtId="0" fontId="61" fillId="0" borderId="9" xfId="0" applyFont="1" applyBorder="1"/>
    <xf numFmtId="0" fontId="61" fillId="0" borderId="18" xfId="0" applyFont="1" applyBorder="1"/>
    <xf numFmtId="0" fontId="108" fillId="0" borderId="0" xfId="0" applyFont="1" applyAlignment="1">
      <alignment horizontal="center"/>
    </xf>
    <xf numFmtId="0" fontId="109" fillId="0" borderId="0" xfId="0" applyFont="1"/>
    <xf numFmtId="0" fontId="38" fillId="0" borderId="0" xfId="0" applyFont="1" applyAlignment="1">
      <alignment horizontal="right"/>
    </xf>
    <xf numFmtId="0" fontId="111" fillId="0" borderId="0" xfId="0" applyFont="1"/>
    <xf numFmtId="0" fontId="104" fillId="0" borderId="15" xfId="0" applyFont="1" applyBorder="1" applyAlignment="1">
      <alignment horizontal="left"/>
    </xf>
    <xf numFmtId="0" fontId="104" fillId="0" borderId="15" xfId="0" applyFont="1" applyBorder="1"/>
    <xf numFmtId="0" fontId="104"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4" fillId="0" borderId="21" xfId="0" applyFont="1" applyBorder="1" applyAlignment="1">
      <alignment horizontal="left"/>
    </xf>
    <xf numFmtId="180" fontId="104"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4" fillId="0" borderId="15" xfId="0" applyNumberFormat="1" applyFont="1" applyBorder="1"/>
    <xf numFmtId="166" fontId="104" fillId="0" borderId="0" xfId="0" applyNumberFormat="1" applyFont="1"/>
    <xf numFmtId="0" fontId="107" fillId="0" borderId="0" xfId="0" applyFont="1"/>
    <xf numFmtId="0" fontId="112" fillId="0" borderId="0" xfId="0" applyFont="1"/>
    <xf numFmtId="0" fontId="104" fillId="0" borderId="21" xfId="0" applyFont="1" applyBorder="1"/>
    <xf numFmtId="180" fontId="104" fillId="0" borderId="15" xfId="0" applyNumberFormat="1" applyFont="1" applyBorder="1" applyAlignment="1">
      <alignment horizontal="left"/>
    </xf>
    <xf numFmtId="180" fontId="104" fillId="0" borderId="21" xfId="0" applyNumberFormat="1" applyFont="1" applyBorder="1" applyAlignment="1">
      <alignment horizontal="left"/>
    </xf>
    <xf numFmtId="0" fontId="115"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11" fillId="0" borderId="0" xfId="0" applyFont="1" applyAlignment="1">
      <alignment horizontal="left"/>
    </xf>
    <xf numFmtId="182" fontId="50" fillId="0" borderId="0" xfId="1" applyNumberFormat="1" applyAlignment="1">
      <alignment horizontal="left"/>
    </xf>
    <xf numFmtId="0" fontId="122"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4" fillId="0" borderId="0" xfId="1" applyFont="1"/>
    <xf numFmtId="0" fontId="125" fillId="0" borderId="0" xfId="1" applyFont="1"/>
    <xf numFmtId="0" fontId="124" fillId="0" borderId="0" xfId="1" applyFont="1" applyAlignment="1">
      <alignment horizontal="center"/>
    </xf>
    <xf numFmtId="0" fontId="125" fillId="0" borderId="0" xfId="1" applyFont="1" applyAlignment="1">
      <alignment horizontal="center"/>
    </xf>
    <xf numFmtId="0" fontId="126" fillId="0" borderId="0" xfId="0" applyFont="1"/>
    <xf numFmtId="172" fontId="77" fillId="5" borderId="4" xfId="0" applyNumberFormat="1" applyFont="1" applyFill="1" applyBorder="1" applyAlignment="1">
      <alignment horizontal="left"/>
    </xf>
    <xf numFmtId="0" fontId="124"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9"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9"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2"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2" fontId="84" fillId="2" borderId="0" xfId="0" applyNumberFormat="1" applyFont="1" applyFill="1"/>
    <xf numFmtId="0" fontId="73" fillId="2" borderId="0" xfId="0" applyFont="1" applyFill="1" applyAlignment="1">
      <alignment horizontal="right" wrapText="1"/>
    </xf>
    <xf numFmtId="0" fontId="85" fillId="2" borderId="0" xfId="0" applyFont="1" applyFill="1"/>
    <xf numFmtId="172" fontId="80" fillId="2" borderId="0" xfId="0" applyNumberFormat="1" applyFont="1" applyFill="1"/>
    <xf numFmtId="178" fontId="76" fillId="2" borderId="0" xfId="0" applyNumberFormat="1" applyFont="1" applyFill="1"/>
    <xf numFmtId="175" fontId="119" fillId="2" borderId="0" xfId="0" applyNumberFormat="1" applyFont="1" applyFill="1"/>
    <xf numFmtId="1" fontId="72" fillId="2" borderId="0" xfId="0" applyNumberFormat="1" applyFont="1" applyFill="1"/>
    <xf numFmtId="0" fontId="118" fillId="2" borderId="0" xfId="0" applyFont="1" applyFill="1"/>
    <xf numFmtId="0" fontId="120" fillId="2" borderId="0" xfId="0" applyFont="1" applyFill="1"/>
    <xf numFmtId="176" fontId="119"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9" fillId="2" borderId="0" xfId="0" applyFont="1" applyFill="1" applyAlignment="1">
      <alignment vertical="top"/>
    </xf>
    <xf numFmtId="0" fontId="74" fillId="2" borderId="0" xfId="0" applyFont="1" applyFill="1" applyAlignment="1">
      <alignment vertical="top"/>
    </xf>
    <xf numFmtId="0" fontId="25" fillId="9" borderId="21" xfId="0" applyFont="1" applyFill="1" applyBorder="1" applyAlignment="1">
      <alignment horizontal="center"/>
    </xf>
    <xf numFmtId="0" fontId="73"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8" fillId="2" borderId="0" xfId="0" applyFont="1" applyFill="1"/>
    <xf numFmtId="0" fontId="25" fillId="9" borderId="0" xfId="0" applyFont="1" applyFill="1" applyAlignment="1">
      <alignment horizontal="center" vertical="top" wrapText="1"/>
    </xf>
    <xf numFmtId="0" fontId="99" fillId="2" borderId="0" xfId="0" applyFont="1" applyFill="1"/>
    <xf numFmtId="0" fontId="20" fillId="9" borderId="20" xfId="0" applyFont="1" applyFill="1" applyBorder="1" applyAlignment="1">
      <alignment horizontal="center"/>
    </xf>
    <xf numFmtId="0" fontId="90" fillId="2" borderId="0" xfId="0" applyFont="1" applyFill="1" applyAlignment="1">
      <alignment horizontal="left" vertical="top"/>
    </xf>
    <xf numFmtId="0" fontId="98" fillId="2" borderId="0" xfId="0" applyFont="1" applyFill="1"/>
    <xf numFmtId="164" fontId="6" fillId="9" borderId="20" xfId="0" applyNumberFormat="1" applyFont="1" applyFill="1" applyBorder="1"/>
    <xf numFmtId="0" fontId="89" fillId="2" borderId="0" xfId="0" applyFont="1" applyFill="1" applyAlignment="1">
      <alignment wrapText="1"/>
    </xf>
    <xf numFmtId="0" fontId="53" fillId="2" borderId="0" xfId="0" applyFont="1" applyFill="1"/>
    <xf numFmtId="0" fontId="116" fillId="2" borderId="0" xfId="0" applyFont="1" applyFill="1"/>
    <xf numFmtId="0" fontId="117" fillId="2" borderId="0" xfId="0" applyFont="1" applyFill="1" applyAlignment="1">
      <alignment horizontal="right"/>
    </xf>
    <xf numFmtId="0" fontId="93" fillId="2" borderId="0" xfId="0" applyFont="1" applyFill="1" applyAlignment="1">
      <alignment wrapText="1"/>
    </xf>
    <xf numFmtId="0" fontId="74" fillId="2" borderId="0" xfId="0" applyFont="1" applyFill="1" applyAlignment="1">
      <alignment wrapText="1"/>
    </xf>
    <xf numFmtId="0" fontId="74" fillId="2" borderId="0" xfId="0" applyFont="1" applyFill="1"/>
    <xf numFmtId="0" fontId="73" fillId="2" borderId="0" xfId="0" applyFont="1" applyFill="1" applyAlignment="1">
      <alignment wrapText="1"/>
    </xf>
    <xf numFmtId="164" fontId="73" fillId="2" borderId="0" xfId="0" applyNumberFormat="1" applyFont="1" applyFill="1"/>
    <xf numFmtId="0" fontId="90" fillId="2" borderId="0" xfId="0" applyFont="1" applyFill="1" applyAlignment="1">
      <alignment horizontal="right" wrapText="1"/>
    </xf>
    <xf numFmtId="0" fontId="94" fillId="2" borderId="0" xfId="0" applyFont="1" applyFill="1" applyAlignment="1">
      <alignment horizontal="right" wrapText="1"/>
    </xf>
    <xf numFmtId="0" fontId="94" fillId="2" borderId="0" xfId="0" applyFont="1" applyFill="1" applyAlignment="1">
      <alignment horizontal="left" vertical="top"/>
    </xf>
    <xf numFmtId="0" fontId="94" fillId="2" borderId="0" xfId="0" applyFont="1" applyFill="1" applyAlignment="1">
      <alignment horizontal="left"/>
    </xf>
    <xf numFmtId="0" fontId="94" fillId="2" borderId="0" xfId="0" applyFont="1" applyFill="1"/>
    <xf numFmtId="164" fontId="95"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6" fillId="2" borderId="0" xfId="0" applyFont="1" applyFill="1" applyAlignment="1">
      <alignment horizontal="right" wrapText="1"/>
    </xf>
    <xf numFmtId="0" fontId="97" fillId="2" borderId="0" xfId="0" applyFont="1" applyFill="1" applyAlignment="1">
      <alignment horizontal="left" vertical="top"/>
    </xf>
    <xf numFmtId="0" fontId="97" fillId="2" borderId="0" xfId="0" applyFont="1" applyFill="1" applyAlignment="1">
      <alignment horizontal="left"/>
    </xf>
    <xf numFmtId="0" fontId="97" fillId="2" borderId="0" xfId="0" applyFont="1" applyFill="1"/>
    <xf numFmtId="0" fontId="97" fillId="2" borderId="0" xfId="0" applyFont="1" applyFill="1" applyAlignment="1">
      <alignment horizontal="right" wrapText="1"/>
    </xf>
    <xf numFmtId="0" fontId="96" fillId="2" borderId="0" xfId="0" applyFont="1" applyFill="1" applyAlignment="1">
      <alignment horizontal="left" vertical="top"/>
    </xf>
    <xf numFmtId="0" fontId="96" fillId="2" borderId="0" xfId="0" applyFont="1" applyFill="1" applyAlignment="1">
      <alignment horizontal="left"/>
    </xf>
    <xf numFmtId="0" fontId="96" fillId="2" borderId="0" xfId="0" applyFont="1" applyFill="1"/>
    <xf numFmtId="164" fontId="94" fillId="2" borderId="0" xfId="0" applyNumberFormat="1" applyFont="1" applyFill="1"/>
    <xf numFmtId="0" fontId="76" fillId="2" borderId="0" xfId="0" applyFont="1" applyFill="1" applyAlignment="1">
      <alignment horizontal="right" wrapText="1"/>
    </xf>
    <xf numFmtId="0" fontId="76" fillId="2" borderId="0" xfId="0" applyFont="1" applyFill="1" applyAlignment="1">
      <alignment horizontal="left" vertical="top"/>
    </xf>
    <xf numFmtId="0" fontId="76"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3" fillId="0" borderId="0" xfId="6"/>
    <xf numFmtId="169" fontId="83"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9" fillId="11" borderId="7" xfId="0" applyNumberFormat="1" applyFont="1" applyFill="1" applyBorder="1"/>
    <xf numFmtId="164" fontId="99" fillId="11" borderId="13" xfId="0" applyNumberFormat="1" applyFont="1" applyFill="1" applyBorder="1"/>
    <xf numFmtId="164" fontId="121" fillId="11" borderId="12" xfId="0" applyNumberFormat="1" applyFont="1" applyFill="1" applyBorder="1" applyAlignment="1">
      <alignment horizontal="right"/>
    </xf>
    <xf numFmtId="0" fontId="99" fillId="11" borderId="7" xfId="0" applyFont="1" applyFill="1" applyBorder="1"/>
    <xf numFmtId="0" fontId="99" fillId="11" borderId="13" xfId="0" applyFont="1" applyFill="1" applyBorder="1"/>
    <xf numFmtId="0" fontId="121" fillId="11" borderId="12" xfId="0" applyFont="1" applyFill="1" applyBorder="1" applyAlignment="1">
      <alignment horizontal="right"/>
    </xf>
    <xf numFmtId="0" fontId="98" fillId="11" borderId="7" xfId="0" applyFont="1" applyFill="1" applyBorder="1"/>
    <xf numFmtId="0" fontId="98"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7"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9"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66" fontId="51"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8" fillId="14" borderId="0" xfId="0" applyFont="1" applyFill="1" applyAlignment="1">
      <alignment horizontal="center"/>
    </xf>
    <xf numFmtId="0" fontId="128"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5" fillId="4" borderId="4" xfId="0" applyNumberFormat="1" applyFont="1" applyFill="1" applyBorder="1" applyAlignment="1">
      <alignment horizontal="center"/>
    </xf>
    <xf numFmtId="164" fontId="79"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9" fillId="2" borderId="0" xfId="0" applyFont="1" applyFill="1" applyAlignment="1" applyProtection="1">
      <alignment horizontal="right" wrapText="1"/>
      <protection locked="0" hidden="1"/>
    </xf>
    <xf numFmtId="0" fontId="119" fillId="2" borderId="0" xfId="0" applyFont="1" applyFill="1" applyProtection="1">
      <protection locked="0" hidden="1"/>
    </xf>
    <xf numFmtId="0" fontId="80" fillId="2" borderId="0" xfId="0" applyFont="1" applyFill="1" applyProtection="1">
      <protection locked="0" hidden="1"/>
    </xf>
    <xf numFmtId="0" fontId="129" fillId="0" borderId="0" xfId="1" applyFont="1"/>
    <xf numFmtId="165" fontId="130" fillId="0" borderId="0" xfId="1" applyNumberFormat="1" applyFont="1"/>
    <xf numFmtId="165" fontId="130" fillId="0" borderId="1" xfId="1" applyNumberFormat="1" applyFont="1" applyBorder="1"/>
    <xf numFmtId="169" fontId="94" fillId="2" borderId="0" xfId="0" applyNumberFormat="1" applyFont="1" applyFill="1"/>
    <xf numFmtId="22" fontId="69" fillId="2" borderId="0" xfId="0" applyNumberFormat="1" applyFont="1" applyFill="1"/>
    <xf numFmtId="169" fontId="20" fillId="3" borderId="4" xfId="0" applyNumberFormat="1" applyFont="1" applyFill="1" applyBorder="1" applyAlignment="1" applyProtection="1">
      <alignment horizontal="left"/>
      <protection locked="0"/>
    </xf>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31" fillId="0" borderId="0" xfId="0" applyNumberFormat="1" applyFont="1" applyProtection="1">
      <protection locked="0"/>
    </xf>
    <xf numFmtId="49" fontId="20" fillId="10" borderId="4" xfId="0" applyNumberFormat="1" applyFont="1" applyFill="1" applyBorder="1" applyAlignment="1">
      <alignment horizontal="left"/>
    </xf>
    <xf numFmtId="0" fontId="94" fillId="2" borderId="0" xfId="0" applyFont="1" applyFill="1" applyAlignment="1" applyProtection="1">
      <alignment horizontal="left" vertical="top"/>
      <protection hidden="1"/>
    </xf>
    <xf numFmtId="0" fontId="128" fillId="17" borderId="14" xfId="0" applyFont="1" applyFill="1" applyBorder="1" applyAlignment="1">
      <alignment horizontal="center"/>
    </xf>
    <xf numFmtId="0" fontId="128" fillId="17" borderId="16" xfId="0" applyFont="1" applyFill="1" applyBorder="1" applyAlignment="1">
      <alignment horizontal="center"/>
    </xf>
    <xf numFmtId="0" fontId="6" fillId="0" borderId="0" xfId="0" applyFont="1" applyAlignment="1">
      <alignment horizontal="right" vertical="center"/>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6" fontId="77" fillId="5" borderId="7" xfId="0" applyNumberFormat="1" applyFont="1" applyFill="1" applyBorder="1" applyAlignment="1">
      <alignment horizontal="center"/>
    </xf>
    <xf numFmtId="176" fontId="77" fillId="5" borderId="12" xfId="0" applyNumberFormat="1" applyFont="1" applyFill="1" applyBorder="1" applyAlignment="1">
      <alignment horizontal="center"/>
    </xf>
    <xf numFmtId="176" fontId="81" fillId="13" borderId="7" xfId="0" applyNumberFormat="1" applyFont="1" applyFill="1" applyBorder="1" applyAlignment="1" applyProtection="1">
      <alignment horizontal="left"/>
      <protection locked="0"/>
    </xf>
    <xf numFmtId="176" fontId="81" fillId="13" borderId="12" xfId="0" applyNumberFormat="1" applyFont="1" applyFill="1" applyBorder="1" applyAlignment="1" applyProtection="1">
      <alignment horizontal="left"/>
      <protection locked="0"/>
    </xf>
    <xf numFmtId="0" fontId="73" fillId="4" borderId="7" xfId="0" applyFont="1" applyFill="1" applyBorder="1" applyAlignment="1">
      <alignment horizontal="right" wrapText="1"/>
    </xf>
    <xf numFmtId="0" fontId="73" fillId="4" borderId="12" xfId="0" applyFont="1" applyFill="1" applyBorder="1" applyAlignment="1">
      <alignment horizontal="right" wrapText="1"/>
    </xf>
    <xf numFmtId="0" fontId="25" fillId="4" borderId="7"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71" fontId="74" fillId="3" borderId="7" xfId="0" applyNumberFormat="1" applyFont="1" applyFill="1" applyBorder="1" applyAlignment="1">
      <alignment horizontal="left"/>
    </xf>
    <xf numFmtId="171" fontId="74" fillId="3" borderId="13" xfId="0" applyNumberFormat="1" applyFont="1" applyFill="1" applyBorder="1" applyAlignment="1">
      <alignment horizontal="left"/>
    </xf>
    <xf numFmtId="171" fontId="74"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79" fillId="5" borderId="7" xfId="0" applyFont="1" applyFill="1" applyBorder="1" applyAlignment="1">
      <alignment horizontal="left"/>
    </xf>
    <xf numFmtId="0" fontId="79" fillId="5" borderId="12" xfId="0" applyFont="1" applyFill="1" applyBorder="1" applyAlignment="1">
      <alignment horizontal="left"/>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 fillId="0" borderId="0" xfId="0" applyFont="1" applyAlignment="1">
      <alignment horizontal="left" vertical="top" wrapText="1"/>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6"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13" fillId="0" borderId="0" xfId="0" applyFont="1" applyAlignment="1">
      <alignment horizontal="left" vertical="top"/>
    </xf>
    <xf numFmtId="0" fontId="108"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5" fillId="12" borderId="21" xfId="0" applyFont="1" applyFill="1" applyBorder="1" applyAlignment="1">
      <alignment horizontal="center"/>
    </xf>
    <xf numFmtId="0" fontId="105" fillId="12" borderId="14" xfId="0" applyFont="1" applyFill="1" applyBorder="1" applyAlignment="1">
      <alignment horizontal="center"/>
    </xf>
    <xf numFmtId="0" fontId="105" fillId="12" borderId="15" xfId="0" applyFont="1" applyFill="1" applyBorder="1" applyAlignment="1">
      <alignment horizontal="center"/>
    </xf>
    <xf numFmtId="0" fontId="105" fillId="12" borderId="16" xfId="0" applyFont="1" applyFill="1" applyBorder="1" applyAlignment="1">
      <alignment horizontal="center"/>
    </xf>
    <xf numFmtId="0" fontId="0" fillId="0" borderId="0" xfId="0" applyAlignment="1">
      <alignment horizontal="center"/>
    </xf>
    <xf numFmtId="0" fontId="114" fillId="0" borderId="21" xfId="0" applyFont="1" applyBorder="1" applyAlignment="1">
      <alignment horizontal="center"/>
    </xf>
    <xf numFmtId="0" fontId="104" fillId="0" borderId="0" xfId="0" applyFont="1" applyAlignment="1">
      <alignment horizontal="left" vertical="top" wrapText="1"/>
    </xf>
    <xf numFmtId="0" fontId="104" fillId="0" borderId="0" xfId="0" applyFont="1" applyAlignment="1">
      <alignment horizontal="left"/>
    </xf>
    <xf numFmtId="0" fontId="104" fillId="0" borderId="15" xfId="0" applyFont="1" applyBorder="1" applyAlignment="1">
      <alignment horizontal="left"/>
    </xf>
    <xf numFmtId="0" fontId="104" fillId="0" borderId="21" xfId="0" applyFont="1" applyBorder="1" applyAlignment="1">
      <alignment horizontal="left"/>
    </xf>
    <xf numFmtId="0" fontId="110"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105" fillId="12" borderId="0" xfId="0" applyFont="1" applyFill="1" applyAlignment="1">
      <alignment horizontal="center"/>
    </xf>
    <xf numFmtId="0" fontId="104"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3" fillId="0" borderId="7" xfId="0" applyNumberFormat="1" applyFont="1" applyBorder="1" applyAlignment="1">
      <alignment horizontal="center"/>
    </xf>
    <xf numFmtId="164" fontId="123" fillId="0" borderId="13" xfId="0" applyNumberFormat="1" applyFont="1" applyBorder="1" applyAlignment="1">
      <alignment horizontal="center"/>
    </xf>
    <xf numFmtId="164" fontId="123"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23" fillId="0" borderId="7" xfId="0" applyFont="1" applyBorder="1" applyAlignment="1">
      <alignment horizontal="center" vertical="top" wrapText="1"/>
    </xf>
    <xf numFmtId="0" fontId="123" fillId="0" borderId="13" xfId="0" applyFont="1" applyBorder="1" applyAlignment="1">
      <alignment horizontal="center" vertical="top" wrapText="1"/>
    </xf>
    <xf numFmtId="0" fontId="123"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23" fillId="0" borderId="7" xfId="0" applyFont="1" applyBorder="1" applyAlignment="1">
      <alignment horizontal="center"/>
    </xf>
    <xf numFmtId="0" fontId="123" fillId="0" borderId="13" xfId="0" applyFont="1" applyBorder="1" applyAlignment="1">
      <alignment horizontal="center"/>
    </xf>
    <xf numFmtId="0" fontId="123" fillId="0" borderId="12" xfId="0" applyFont="1" applyBorder="1" applyAlignment="1">
      <alignment horizontal="center"/>
    </xf>
    <xf numFmtId="0" fontId="0" fillId="0" borderId="20" xfId="0" applyBorder="1" applyAlignment="1">
      <alignment horizontal="center"/>
    </xf>
    <xf numFmtId="0" fontId="72" fillId="2" borderId="0" xfId="0" applyFont="1" applyFill="1" applyProtection="1">
      <protection hidden="1"/>
    </xf>
    <xf numFmtId="0" fontId="76" fillId="2" borderId="0" xfId="0" applyFont="1" applyFill="1" applyProtection="1">
      <protection hidden="1"/>
    </xf>
    <xf numFmtId="1" fontId="20" fillId="2" borderId="0" xfId="0" applyNumberFormat="1" applyFont="1" applyFill="1" applyAlignment="1">
      <alignment horizontal="right" vertical="center"/>
    </xf>
    <xf numFmtId="172" fontId="6" fillId="0" borderId="0" xfId="3" applyNumberFormat="1" applyFill="1" applyProtection="1">
      <protection locked="0"/>
    </xf>
    <xf numFmtId="164" fontId="6" fillId="0" borderId="0" xfId="3" applyNumberFormat="1" applyFill="1" applyProtection="1">
      <protection locked="0"/>
    </xf>
    <xf numFmtId="0" fontId="0" fillId="0" borderId="0" xfId="0" applyNumberFormat="1"/>
    <xf numFmtId="1" fontId="119" fillId="2" borderId="0" xfId="0" applyNumberFormat="1" applyFont="1" applyFill="1" applyProtection="1">
      <protection hidden="1"/>
    </xf>
    <xf numFmtId="0" fontId="3" fillId="2" borderId="0" xfId="0" applyFont="1" applyFill="1" applyAlignment="1">
      <alignment horizontal="left"/>
    </xf>
    <xf numFmtId="0" fontId="75" fillId="4" borderId="16" xfId="0" applyFont="1" applyFill="1" applyBorder="1" applyAlignment="1">
      <alignment wrapText="1"/>
    </xf>
    <xf numFmtId="0" fontId="75" fillId="4" borderId="37" xfId="0" applyFont="1" applyFill="1" applyBorder="1" applyAlignment="1">
      <alignment wrapText="1"/>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81">
    <dxf>
      <numFmt numFmtId="184" formatCode="[$-F400]h:mm:ss\ AM/PM"/>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fill>
        <patternFill patternType="darkUp">
          <fgColor theme="1"/>
        </patternFill>
      </fill>
    </dxf>
    <dxf>
      <numFmt numFmtId="184" formatCode="[$-F400]h:mm:ss\ AM/PM"/>
    </dxf>
    <dxf>
      <numFmt numFmtId="0" formatCode="General"/>
    </dxf>
    <dxf>
      <numFmt numFmtId="0" formatCode="General"/>
    </dxf>
    <dxf>
      <numFmt numFmtId="2" formatCode="0.00"/>
    </dxf>
    <dxf>
      <numFmt numFmtId="1" formatCode="0"/>
    </dxf>
    <dxf>
      <numFmt numFmtId="19" formatCode="m/d/yyyy"/>
    </dxf>
    <dxf>
      <numFmt numFmtId="19" formatCode="m/d/yyyy"/>
    </dxf>
    <dxf>
      <numFmt numFmtId="30" formatCode="@"/>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2.xml"/></Relationships>
</file>

<file path=xl/ctrlProps/ctrlProp1.xml><?xml version="1.0" encoding="utf-8"?>
<formControlPr xmlns="http://schemas.microsoft.com/office/spreadsheetml/2009/9/main" objectType="CheckBox" fmlaLink="E20"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H$15" lockText="1" noThreeD="1"/>
</file>

<file path=xl/ctrlProps/ctrlProp4.xml><?xml version="1.0" encoding="utf-8"?>
<formControlPr xmlns="http://schemas.microsoft.com/office/spreadsheetml/2009/9/main" objectType="Radio" checked="Checked" firstButton="1" fmlaLink="$L$20"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18</xdr:row>
          <xdr:rowOff>152400</xdr:rowOff>
        </xdr:from>
        <xdr:to>
          <xdr:col>6</xdr:col>
          <xdr:colOff>981075</xdr:colOff>
          <xdr:row>20</xdr:row>
          <xdr:rowOff>9525</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D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D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D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D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D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D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F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F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F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F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F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F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F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5" xr16:uid="{3C77389E-BDB0-4756-B310-F8920156A8F5}" autoFormatId="16" applyNumberFormats="0" applyBorderFormats="0" applyFontFormats="0" applyPatternFormats="0" applyAlignmentFormats="0" applyWidthHeightFormats="0">
  <queryTableRefresh nextId="61">
    <queryTableFields count="9">
      <queryTableField id="9" name="type" tableColumnId="9"/>
      <queryTableField id="8" name="wire_roll_cert_number" tableColumnId="8"/>
      <queryTableField id="7" name="certificate_number" tableColumnId="7"/>
      <queryTableField id="6" name="next_service_date" tableColumnId="6"/>
      <queryTableField id="5" name="service_date" tableColumnId="5"/>
      <queryTableField id="4" name="custom_order_number" tableColumnId="4"/>
      <queryTableField id="3" name="asset_tag" tableColumnId="3"/>
      <queryTableField id="2" name="serial_number" tableColumnId="2"/>
      <queryTableField id="1" name="asset_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6"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6">
    <queryTableFields count="3">
      <queryTableField id="1" name="traceability_no" tableColumnId="1"/>
      <queryTableField id="4" name="Temp" tableColumnId="2"/>
      <queryTableField id="5"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9" xr16:uid="{D38AD765-3A8F-4974-81AC-B4C7D336B4B5}" autoFormatId="16" applyNumberFormats="0" applyBorderFormats="0" applyFontFormats="0" applyPatternFormats="0" applyAlignmentFormats="0" applyWidthHeightFormats="0">
  <queryTableRefresh nextId="14">
    <queryTableFields count="4">
      <queryTableField id="10" name="employee_id" tableColumnId="1"/>
      <queryTableField id="11" name="Name" tableColumnId="2"/>
      <queryTableField id="12" name="login_email" tableColumnId="3"/>
      <queryTableField id="13" name="IsPyro"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4" xr16:uid="{DBC169E9-2D46-4522-ABA6-B557C1D42332}" autoFormatId="16" applyNumberFormats="0" applyBorderFormats="0" applyFontFormats="0" applyPatternFormats="0" applyAlignmentFormats="0" applyWidthHeightFormats="0">
  <queryTableRefresh nextId="11" unboundColumnsRight="2">
    <queryTableFields count="7">
      <queryTableField id="1" name="Time" tableColumnId="1"/>
      <queryTableField id="2" name="TestPoint" tableColumnId="2"/>
      <queryTableField id="6" name="RawTemp" tableColumnId="6"/>
      <queryTableField id="9" name="CummulativeOffset" tableColumnId="3"/>
      <queryTableField id="10" name="CorrectedTemp" tableColumnId="9"/>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6" xr16:uid="{B7FB7185-1B75-4099-8DF4-84D7A9E90641}" autoFormatId="16" applyNumberFormats="0" applyBorderFormats="0" applyFontFormats="0" applyPatternFormats="0" applyAlignmentFormats="0" applyWidthHeightFormats="0">
  <queryTableRefresh nextId="9">
    <queryTableFields count="6">
      <queryTableField id="7" name="point" tableColumnId="7"/>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3"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5" xr16:uid="{02243753-11C5-49ED-8AFA-7E41E7A73C4A}" autoFormatId="16" applyNumberFormats="0" applyBorderFormats="0" applyFontFormats="0" applyPatternFormats="0" applyAlignmentFormats="0" applyWidthHeightFormats="0">
  <queryTableRefresh nextId="41">
    <queryTableFields count="8">
      <queryTableField id="39" name="Resolution" tableColumnId="34"/>
      <queryTableField id="29" name="TUS Point #" tableColumnId="29"/>
      <queryTableField id="30" name="Item Name" tableColumnId="30"/>
      <queryTableField id="28" name="Index" tableColumnId="28"/>
      <queryTableField id="14" name="Time" tableColumnId="14"/>
      <queryTableField id="31" name="Value" tableColumnId="31"/>
      <queryTableField id="32" name="CorrectedTemp" tableColumnId="32"/>
      <queryTableField id="33" name="Deviation" tableColumnId="3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75">
    <queryTableFields count="17">
      <queryTableField id="58" name="asset_description" tableColumnId="1"/>
      <queryTableField id="59" name="asset_id" tableColumnId="2"/>
      <queryTableField id="60" name="asset_maker" tableColumnId="3"/>
      <queryTableField id="61" name="asset_name" tableColumnId="4"/>
      <queryTableField id="62" name="asset_tag" tableColumnId="5"/>
      <queryTableField id="63" name="asset_user" tableColumnId="6"/>
      <queryTableField id="64" name="category_name" tableColumnId="7"/>
      <queryTableField id="65" name="custodian_first_name" tableColumnId="8"/>
      <queryTableField id="66" name="custodian_last_name" tableColumnId="9"/>
      <queryTableField id="67" name="department" tableColumnId="10"/>
      <queryTableField id="68" name="manufacturer_part_number" tableColumnId="11"/>
      <queryTableField id="69" name="notes" tableColumnId="12"/>
      <queryTableField id="70" name="product_description" tableColumnId="13"/>
      <queryTableField id="71" name="product_manufacturer" tableColumnId="14"/>
      <queryTableField id="72" name="product_name" tableColumnId="15"/>
      <queryTableField id="73" name="root_category_name" tableColumnId="16"/>
      <queryTableField id="74" name="serial_number" tableColumnId="17"/>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8"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9" tableType="queryTable" totalsRowShown="0">
  <autoFilter ref="A1:I29" xr:uid="{2F912760-816C-4002-B982-1183C623C4D4}"/>
  <tableColumns count="9">
    <tableColumn id="9" xr3:uid="{5B17E9FC-0D68-4EA9-9145-B5DC8FAF5A93}" uniqueName="9" name="type" queryTableFieldId="9" dataDxfId="74"/>
    <tableColumn id="8" xr3:uid="{7C740CB9-37DA-435E-A87E-AF050E31623C}" uniqueName="8" name="wire_roll_cert_number" queryTableFieldId="8" dataDxfId="180"/>
    <tableColumn id="7" xr3:uid="{297A4F29-F6E9-4BD3-A7A2-5F1039480BAE}" uniqueName="7" name="certificate_number" queryTableFieldId="7" dataDxfId="179"/>
    <tableColumn id="6" xr3:uid="{B359FFDA-2633-4F67-9E7E-BA0BB88ADA64}" uniqueName="6" name="next_service_date" queryTableFieldId="6" dataDxfId="73"/>
    <tableColumn id="5" xr3:uid="{412A70E1-7452-417E-A3A9-BD3499EBD33C}" uniqueName="5" name="service_date" queryTableFieldId="5" dataDxfId="72"/>
    <tableColumn id="4" xr3:uid="{44F03B5B-6C09-4D5C-B2E2-D809B4EDF2B0}" uniqueName="4" name="custom_order_number" queryTableFieldId="4" dataDxfId="178"/>
    <tableColumn id="3" xr3:uid="{D963BD5C-EE98-4CDD-ABAE-5315BBDA1135}" uniqueName="3" name="asset_tag" queryTableFieldId="3" dataDxfId="177"/>
    <tableColumn id="2" xr3:uid="{D07D770F-21F7-425E-8CCA-AA85FFD513A3}" uniqueName="2" name="serial_number" queryTableFieldId="2" dataDxfId="176"/>
    <tableColumn id="1" xr3:uid="{4CB1C976-73DA-4579-B7F8-9D891581EA5A}" uniqueName="1" name="asset_id" queryTableFieldId="1" dataDxfId="7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dataDxfId="68"/>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36" tableType="queryTable" totalsRowShown="0">
  <autoFilter ref="A1:C36" xr:uid="{DD841DB9-A242-4050-A7E6-984852778526}"/>
  <tableColumns count="3">
    <tableColumn id="1" xr3:uid="{9BEB240E-CB20-4420-A1FC-EDB14262D496}" uniqueName="1" name="traceability_no" queryTableFieldId="1" dataDxfId="175"/>
    <tableColumn id="2" xr3:uid="{44100894-4C9D-4514-95AC-618BC19E5917}" uniqueName="2" name="Temp" queryTableFieldId="4" dataDxfId="174"/>
    <tableColumn id="3" xr3:uid="{ECB904AC-F679-49D7-806F-647089E4822A}" uniqueName="3" name="Offset" queryTableFieldId="5" dataDxfId="173"/>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96F1093-DEC9-4DB0-940B-D9245D1CD980}" uniqueName="1" name="employee_id" queryTableFieldId="10"/>
    <tableColumn id="2" xr3:uid="{FDB84640-01A7-4118-B268-2F4CF01D10BB}" uniqueName="2" name="Name" queryTableFieldId="11" dataDxfId="172"/>
    <tableColumn id="3" xr3:uid="{5A7694DA-28F6-45C3-AA3A-8F5C42BC36CB}" uniqueName="3" name="login_email" queryTableFieldId="12"/>
    <tableColumn id="4" xr3:uid="{E8A7333A-3221-4D58-96FF-11D069828831}" uniqueName="4" name="IsPyro" queryTableFieldId="13" dataDxfId="171"/>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70">
  <autoFilter ref="A1:C9" xr:uid="{8AF992F3-27EF-4265-960D-70EC6F74FAFA}"/>
  <sortState xmlns:xlrd2="http://schemas.microsoft.com/office/spreadsheetml/2017/richdata2" ref="A2:C9">
    <sortCondition ref="B1:B9"/>
  </sortState>
  <tableColumns count="3">
    <tableColumn id="1" xr3:uid="{1F7D0D09-7152-4679-B25C-65CF0E0AB2D4}" name="Type" dataDxfId="169"/>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dataDxfId="67"/>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9" xr3:uid="{5AD1EBC1-3752-4DE9-B1C5-5415ED199498}" uniqueName="9" name="CorrectedTemp" queryTableFieldId="10"/>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ABS(Survey[[#This Row],[Deviations]])&gt;Main!$G$97</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68">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67">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4" xr3:uid="{45C74F14-F9B6-4270-B94C-6C1EBDE5792F}" uniqueName="4" name="DaqbookOffset" queryTableFieldId="4"/>
    <tableColumn id="5" xr3:uid="{8C3B2595-3D87-4CE9-8B3F-223828BB281B}" uniqueName="5" name="TCOffset" queryTableFieldId="5"/>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7556" tableType="queryTable" totalsRowShown="0">
  <autoFilter ref="A1:E7556" xr:uid="{D6C2FE1D-589C-41D2-816C-0CAA3105D507}"/>
  <tableColumns count="5">
    <tableColumn id="1" xr3:uid="{B4839395-B86E-4AA6-ADFB-57CDD2F7F61D}" uniqueName="1" name="point" queryTableFieldId="1"/>
    <tableColumn id="2" xr3:uid="{80F1DE28-79AD-483F-A7F0-673E715EECBE}" uniqueName="2" name="reading" queryTableFieldId="2" dataDxfId="166"/>
    <tableColumn id="3" xr3:uid="{2724CA85-C781-4E38-A0DA-097BFEEFE8B1}" uniqueName="3" name="Temp" queryTableFieldId="3" dataDxfId="165"/>
    <tableColumn id="6" xr3:uid="{12D5EB84-2052-49F7-A25B-127266D7FB89}" uniqueName="6" name="traceability_no" queryTableFieldId="6" dataDxfId="164"/>
    <tableColumn id="5" xr3:uid="{D8FBA668-C3CE-41DC-B112-B2663A4558F7}" uniqueName="5" name="Offset" queryTableFieldId="5" dataDxfId="163"/>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2"/>
    <tableColumn id="5" xr3:uid="{27363C9A-3D85-416E-8BCC-52B2C8D77A72}" uniqueName="5" name="Uncert Units" queryTableFieldId="5" dataDxfId="161"/>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70"/>
    <tableColumn id="9" xr3:uid="{70463AB5-A50D-48D5-9E26-8919276C1D2D}" uniqueName="9" name="Mult 2" queryTableFieldId="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0">
  <autoFilter ref="A3:C8" xr:uid="{5AC13131-9A1C-4C12-B4F9-A393708ED370}"/>
  <tableColumns count="3">
    <tableColumn id="1" xr3:uid="{97181276-3609-45C8-AD82-B2880A7AEDE4}" name="Min" dataDxfId="159"/>
    <tableColumn id="2" xr3:uid="{FCA9B2A8-03BC-4152-9483-74D5E30011E8}" name="Max" dataDxfId="158"/>
    <tableColumn id="3" xr3:uid="{53EFB432-094F-4AB8-B706-DACB84CFAD58}" name="CMC" dataDxfId="157"/>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CA6D89-994E-4201-8E95-D8C32FB6E999}" name="Comparison" displayName="Comparison" ref="A1:H2" tableType="queryTable" insertRow="1" totalsRowShown="0">
  <autoFilter ref="A1:H2" xr:uid="{DCCA6D89-994E-4201-8E95-D8C32FB6E999}"/>
  <tableColumns count="8">
    <tableColumn id="34" xr3:uid="{CD820390-8BAB-459B-B89B-86AC091A4266}" uniqueName="34" name="Resolution" queryTableFieldId="39"/>
    <tableColumn id="29" xr3:uid="{CB707240-419B-4516-A5BE-537A9002CAC3}" uniqueName="29" name="TUS Point #" queryTableFieldId="29"/>
    <tableColumn id="30" xr3:uid="{729865C0-36EA-4DD0-8ED8-CEAB4F1B54D7}" uniqueName="30" name="Item Name" queryTableFieldId="30"/>
    <tableColumn id="28" xr3:uid="{945A657C-E3A1-4578-946C-B4CB1781C386}" uniqueName="28" name="Index" queryTableFieldId="28"/>
    <tableColumn id="14" xr3:uid="{34584841-738C-4F96-9B03-4D58CCBD6262}" uniqueName="14" name="Time" queryTableFieldId="14" dataDxfId="0"/>
    <tableColumn id="31" xr3:uid="{C2B6D23D-17FE-4FFD-8A93-6E18AD4CFD0C}" uniqueName="31" name="Value" queryTableFieldId="31"/>
    <tableColumn id="32" xr3:uid="{71DF1A21-7E9C-4525-846D-54AAEFCCE176}" uniqueName="32" name="CorrectedTemp" queryTableFieldId="32"/>
    <tableColumn id="33" xr3:uid="{E00CBE81-F99D-4866-B017-736B8163D32E}" uniqueName="33" name="Deviation" queryTableFieldId="33"/>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O405" tableType="queryTable" totalsRowShown="0">
  <autoFilter ref="A1:AO40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156"/>
    <tableColumn id="7" xr3:uid="{3E130632-D63E-485B-AA7F-FF01BB115CD8}" uniqueName="7" name="AddressLine2" queryTableFieldId="7" dataDxfId="155"/>
    <tableColumn id="8" xr3:uid="{B07B805E-B475-4FEF-A83E-C870164F0C1C}" uniqueName="8" name="AddressLine3" queryTableFieldId="8" dataDxfId="154"/>
    <tableColumn id="9" xr3:uid="{3603DEDD-08A6-4233-A5D5-79D5A1A0055E}" uniqueName="9" name="FormNumber" queryTableFieldId="9" dataDxfId="153"/>
    <tableColumn id="10" xr3:uid="{B63B6E05-D199-4BCD-9A28-28B5F5832CE0}" uniqueName="10" name="CalibrationMethod" queryTableFieldId="10" dataDxfId="152"/>
    <tableColumn id="11" xr3:uid="{EC51B02C-FD97-492B-BF24-15D683C6ED4C}" uniqueName="11" name="ToleranceSource" queryTableFieldId="11" dataDxfId="151"/>
    <tableColumn id="12" xr3:uid="{706BF144-B069-4B3F-AFB9-7848E93D758C}" uniqueName="12" name="Item" queryTableFieldId="12" dataDxfId="150"/>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149"/>
    <tableColumn id="18" xr3:uid="{2B4941C4-9755-4A0D-86C3-2C668815DEF2}" uniqueName="18" name="Tolerance" queryTableFieldId="18" dataDxfId="148"/>
    <tableColumn id="19" xr3:uid="{756D3CB6-E1A4-4B24-93A7-8AB4732E9BE6}" uniqueName="19" name="HeatingMethod" queryTableFieldId="19" dataDxfId="147"/>
    <tableColumn id="20" xr3:uid="{A46E5597-E3E9-444B-8D64-D35898DCC2B4}" uniqueName="20" name="WorkingZoneSize" queryTableFieldId="20" dataDxfId="146"/>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145"/>
    <tableColumn id="32" xr3:uid="{1852EB3E-F034-42EA-8A35-98DDD1845F7B}" uniqueName="32" name="TestLocation" queryTableFieldId="32" dataDxfId="144"/>
    <tableColumn id="33" xr3:uid="{15129CDA-47B3-4B02-8524-3F9672DC4216}" uniqueName="33" name="OvenLocation" queryTableFieldId="33" dataDxfId="143"/>
    <tableColumn id="34" xr3:uid="{F4A9D00F-E54E-4736-976C-15166BF81AEF}" uniqueName="34" name="Condition" queryTableFieldId="34" dataDxfId="142"/>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141"/>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140"/>
    <tableColumn id="3" xr3:uid="{E88E0260-3227-45C4-8780-42D2D8D460DF}" name="SAT TOL" dataDxfId="139">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8" dataDxfId="137" tableBorderDxfId="136">
  <autoFilter ref="AG2:AS3" xr:uid="{B114758F-16E1-4C54-AA0B-E7F64DE85242}"/>
  <tableColumns count="13">
    <tableColumn id="1" xr3:uid="{0D0312AF-C987-4CC8-97F8-A45434AD138A}" name="Time" dataDxfId="135" dataCellStyle="Normal 3"/>
    <tableColumn id="2" xr3:uid="{E5CD88A1-1988-41C9-8D07-30908E60C0B6}" name="29" dataDxfId="134" dataCellStyle="Normal 3"/>
    <tableColumn id="3" xr3:uid="{52334E52-C590-4A01-82BC-CCC9DA2C2817}" name="30" dataDxfId="133" dataCellStyle="Normal 3"/>
    <tableColumn id="4" xr3:uid="{145DAD22-055B-47E2-958D-C0E0B68ECCC8}" name="31" dataDxfId="132" dataCellStyle="Normal 3"/>
    <tableColumn id="5" xr3:uid="{09C3BF4E-C2AE-4497-AAA2-CF5A8A70B030}" name="32" dataDxfId="131" dataCellStyle="Normal 3"/>
    <tableColumn id="6" xr3:uid="{E9F444F5-7F75-4B80-BC2D-E9E92BB7C32D}" name="33" dataDxfId="130" dataCellStyle="Normal 3"/>
    <tableColumn id="7" xr3:uid="{C42F56B6-C38E-41DC-811A-50AF69D04B80}" name="34" dataDxfId="129" dataCellStyle="Normal 3"/>
    <tableColumn id="8" xr3:uid="{1930235F-D2C0-482D-8CC0-6B3AC765E7EA}" name="35" dataDxfId="128" dataCellStyle="Normal 3"/>
    <tableColumn id="9" xr3:uid="{6FCF613B-A86F-4DC6-9CC5-0A1E44E3DFE0}" name="36" dataDxfId="127" dataCellStyle="Normal 3"/>
    <tableColumn id="10" xr3:uid="{19EA3429-FD7E-4BA0-96B7-70F520D9FE0F}" name="37" dataDxfId="126" dataCellStyle="Normal 3"/>
    <tableColumn id="11" xr3:uid="{A5D0DAE1-1017-4DE3-AEA6-1BAF97E0FBDC}" name="38" dataDxfId="125" dataCellStyle="Normal 3"/>
    <tableColumn id="12" xr3:uid="{ABC8E507-1120-436F-9E9F-E3A8852E2E1A}" name="39" dataDxfId="124"/>
    <tableColumn id="13" xr3:uid="{C69AC669-10C2-4E64-9F60-B4AA135FB3DF}" name="40" dataDxfId="12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2" tableBorderDxfId="121">
  <autoFilter ref="Q2:AE3" xr:uid="{6D9D14EA-1966-4240-9028-DABDD72BB7BC}"/>
  <tableColumns count="15">
    <tableColumn id="1" xr3:uid="{F199066A-0899-4173-8784-FC618D5EFA3C}" name="Time" dataDxfId="120" dataCellStyle="Normal 3"/>
    <tableColumn id="2" xr3:uid="{DB040280-BEC7-49AA-A925-A050027B33E3}" name="15" dataDxfId="119" dataCellStyle="Normal 3"/>
    <tableColumn id="3" xr3:uid="{5D74EEBF-1FB4-4DF9-8EDD-C656F929ADA2}" name="16" dataDxfId="118" dataCellStyle="Normal 3"/>
    <tableColumn id="4" xr3:uid="{B1176DF8-22B4-4741-A534-22D0C72EF1F0}" name="17" dataDxfId="117" dataCellStyle="Normal 3"/>
    <tableColumn id="5" xr3:uid="{1E29EA65-5182-4B3E-817F-0D30B2884EC7}" name="18" dataDxfId="116" dataCellStyle="Normal 3"/>
    <tableColumn id="6" xr3:uid="{AF53AEFB-F310-4F08-91BC-82FB0F484ECA}" name="19" dataDxfId="115" dataCellStyle="Normal 3"/>
    <tableColumn id="7" xr3:uid="{EE472F61-D1B5-43CF-A661-FA1D47001C17}" name="20" dataDxfId="114" dataCellStyle="Normal 3"/>
    <tableColumn id="8" xr3:uid="{841D54C1-AB74-4CB1-8C7F-C38D11EFAD3F}" name="21" dataDxfId="113" dataCellStyle="Normal 3"/>
    <tableColumn id="9" xr3:uid="{F1FB485B-DEAA-4958-8C40-80934EA1437F}" name="22" dataDxfId="112" dataCellStyle="Normal 3"/>
    <tableColumn id="10" xr3:uid="{5C552A76-BD54-46C5-93AD-8F25289FA051}" name="23" dataDxfId="111" dataCellStyle="Normal 3"/>
    <tableColumn id="11" xr3:uid="{B20FA5F1-0522-49D0-9B5A-34570A8AE6EA}" name="24" dataDxfId="110" dataCellStyle="Normal 3"/>
    <tableColumn id="12" xr3:uid="{0BC87A98-B9AC-4CD6-9F9B-D04190073E2A}" name="25" dataDxfId="109"/>
    <tableColumn id="13" xr3:uid="{D62EA80B-BBE3-4A29-89AB-EE04C6E03547}" name="26" dataDxfId="108"/>
    <tableColumn id="14" xr3:uid="{6D7DE537-763F-40F1-AC16-33F228CBC8D1}" name="27" dataDxfId="107"/>
    <tableColumn id="15" xr3:uid="{F8FA9620-DB21-4BAE-8D97-FF38B70679C9}" name="28" dataDxfId="106"/>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5" dataDxfId="104" tableBorderDxfId="103">
  <autoFilter ref="A2:O3" xr:uid="{73A9D9BA-FF58-4A3F-98F7-9A835492E25D}"/>
  <tableColumns count="15">
    <tableColumn id="1" xr3:uid="{73B888B4-4146-4E26-9B39-0FC537A113C8}" name="Time" dataDxfId="102" dataCellStyle="Normal 3"/>
    <tableColumn id="2" xr3:uid="{6F1EF879-7C87-4A56-A394-30C6E5BDB32A}" name="1" dataDxfId="101" dataCellStyle="Normal 3"/>
    <tableColumn id="3" xr3:uid="{B2FA8A6A-D50A-41E8-942A-379C757B6A2B}" name="2" dataDxfId="100" dataCellStyle="Normal 3"/>
    <tableColumn id="4" xr3:uid="{F92FE975-D84B-4B73-B49D-3B746FAA3D21}" name="3" dataDxfId="99" dataCellStyle="Normal 3"/>
    <tableColumn id="5" xr3:uid="{7820E0E9-F621-4361-A572-234B3CB7F864}" name="4" dataDxfId="98" dataCellStyle="Normal 3"/>
    <tableColumn id="6" xr3:uid="{A46C0BCA-2139-4CD3-B02F-C4D3F8E65309}" name="5" dataDxfId="97" dataCellStyle="Normal 3"/>
    <tableColumn id="7" xr3:uid="{334BDF50-1D79-41BC-BA09-7B69018332AE}" name="6" dataDxfId="96" dataCellStyle="Normal 3"/>
    <tableColumn id="8" xr3:uid="{6C11BC6A-3E21-4CDE-9CD4-C8EBCF50B6DB}" name="7" dataDxfId="95" dataCellStyle="Normal 3"/>
    <tableColumn id="9" xr3:uid="{1EEEA607-5177-4C19-A1BC-B12D19FF055B}" name="8" dataDxfId="94" dataCellStyle="Normal 3"/>
    <tableColumn id="10" xr3:uid="{ACF909CE-C221-4157-9298-18F2C140C147}" name="9" dataDxfId="93" dataCellStyle="Normal 3"/>
    <tableColumn id="11" xr3:uid="{182688D3-AD0D-4518-A7FE-0C281ABCDF76}" name="10" dataDxfId="92" dataCellStyle="Normal 3"/>
    <tableColumn id="12" xr3:uid="{54AFFA30-00C2-440A-92A2-139F62F751BE}" name="11" dataDxfId="91"/>
    <tableColumn id="13" xr3:uid="{DCF0B43C-F320-4031-91C6-8514285AF6CA}" name="12" dataDxfId="90"/>
    <tableColumn id="14" xr3:uid="{53A56FC8-0536-4D94-A335-FFCBCBEAF45E}" name="13" dataDxfId="89"/>
    <tableColumn id="15" xr3:uid="{F49FEB6E-05C2-4E90-A6CE-A0C9C694642A}" name="14" dataDxfId="88"/>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8" tableType="queryTable" totalsRowShown="0" headerRowDxfId="87" dataDxfId="86">
  <autoFilter ref="A1:O1658" xr:uid="{7FFB3A25-33B3-41D4-A4EC-161ECACD71F3}"/>
  <tableColumns count="15">
    <tableColumn id="1" xr3:uid="{11D744F1-EDFB-47DE-B384-CF9869615081}" uniqueName="1" name="company_name" queryTableFieldId="80"/>
    <tableColumn id="2" xr3:uid="{39B8308C-AB2D-4935-AB6D-60659663F9DB}" uniqueName="2" name="Address1" queryTableFieldId="81" dataDxfId="85"/>
    <tableColumn id="3" xr3:uid="{5F5E8FED-27C7-498A-86F2-8DE1BF0A773A}" uniqueName="3" name="Address2" queryTableFieldId="82" dataDxfId="84"/>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83"/>
    <tableColumn id="15" xr3:uid="{806049C8-25E1-4EB2-AF25-C8D85CBE6DFA}" uniqueName="15" name="company_id" queryTableFieldId="94"/>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64" tableType="queryTable" totalsRowShown="0" headerRowDxfId="82" dataDxfId="81">
  <autoFilter ref="A1:Q64" xr:uid="{B7DAA5D0-88EA-445C-9A72-D29C019D034E}"/>
  <tableColumns count="17">
    <tableColumn id="1" xr3:uid="{EC52CCCF-C5C4-446E-9124-AE3016ED6D9A}" uniqueName="1" name="asset_description" queryTableFieldId="58"/>
    <tableColumn id="2" xr3:uid="{337A00D2-9506-4139-9C8A-2F0CA0D18736}" uniqueName="2" name="asset_id" queryTableFieldId="59"/>
    <tableColumn id="3" xr3:uid="{6E1C2317-F8C0-422D-84C4-17F5D54C6E58}" uniqueName="3" name="asset_maker" queryTableFieldId="60"/>
    <tableColumn id="4" xr3:uid="{FCBBD1C4-F6B8-4D24-B660-5DDB55DEE391}" uniqueName="4" name="asset_name" queryTableFieldId="61"/>
    <tableColumn id="5" xr3:uid="{1AF63083-55F9-4D19-9F61-660CBC72C5B3}" uniqueName="5" name="asset_tag" queryTableFieldId="62"/>
    <tableColumn id="6" xr3:uid="{F539A85F-05D9-4DD3-9A10-2D2AF8D8C1CA}" uniqueName="6" name="asset_user" queryTableFieldId="63"/>
    <tableColumn id="7" xr3:uid="{6883B867-9F34-4145-AE6D-19039D1563E9}" uniqueName="7" name="category_name" queryTableFieldId="64"/>
    <tableColumn id="8" xr3:uid="{A0F4BEA7-3F81-4FCA-8A35-F62C4613F4C2}" uniqueName="8" name="custodian_first_name" queryTableFieldId="65"/>
    <tableColumn id="9" xr3:uid="{2D159587-0369-4690-9685-B72BFB594B64}" uniqueName="9" name="custodian_last_name" queryTableFieldId="66"/>
    <tableColumn id="10" xr3:uid="{C120A691-ED41-4BA5-B999-6647266BDDAE}" uniqueName="10" name="department" queryTableFieldId="67"/>
    <tableColumn id="11" xr3:uid="{C1AE1413-C237-4AD6-84F8-F8D0DEA3C71F}" uniqueName="11" name="manufacturer_part_number" queryTableFieldId="68"/>
    <tableColumn id="12" xr3:uid="{1B270BB1-E15B-41E9-AAF0-11CDC2E48035}" uniqueName="12" name="notes" queryTableFieldId="69"/>
    <tableColumn id="13" xr3:uid="{9417BA6F-483C-45A3-91DE-CB2FADDA07A4}" uniqueName="13" name="product_description" queryTableFieldId="70"/>
    <tableColumn id="14" xr3:uid="{B2CEB4B1-4ED5-4143-9FE7-179125DDCE36}" uniqueName="14" name="product_manufacturer" queryTableFieldId="71"/>
    <tableColumn id="15" xr3:uid="{32EEDFF0-392D-450B-8FAC-6ECAF57AFCC5}" uniqueName="15" name="product_name" queryTableFieldId="72"/>
    <tableColumn id="16" xr3:uid="{A8016384-DA1C-46BB-97BC-D908EA501AC5}" uniqueName="16" name="root_category_name" queryTableFieldId="73"/>
    <tableColumn id="17" xr3:uid="{8AE029C9-35D5-4EE1-BE4C-FF67AC0D2566}" uniqueName="17" name="serial_number" queryTableFieldId="74"/>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39" tableType="queryTable" totalsRowShown="0">
  <autoFilter ref="A1:B39" xr:uid="{1CE1DBB2-2AA3-42B7-8518-C658ECC5D815}"/>
  <tableColumns count="2">
    <tableColumn id="1" xr3:uid="{C3A12520-C80C-499B-A147-D868CCECFA37}" uniqueName="1" name="Name" queryTableFieldId="5" dataDxfId="69"/>
    <tableColumn id="2" xr3:uid="{13E1EACD-74B4-495C-B0AC-D9A56A9A74AE}" uniqueName="2" name="Value" queryTableFieldId="6"/>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80"/>
    <tableColumn id="3" xr3:uid="{A4F2902A-51C9-47F2-ABB5-33476BF6B798}" uniqueName="3" name="login_email" queryTableFieldId="5"/>
    <tableColumn id="4" xr3:uid="{93F361AC-D356-4A7B-A6F2-34FB0F71E2F6}" uniqueName="4" name="IsPyro" queryTableFieldId="7" dataDxfId="79"/>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8" dataDxfId="77" headerRowCellStyle="Normal 2" dataCellStyle="Normal 2">
  <autoFilter ref="U11:V25" xr:uid="{DCCFF26E-EC5C-4962-98DB-A7DA1F3C8CE2}"/>
  <tableColumns count="2">
    <tableColumn id="1" xr3:uid="{DFC40837-B092-4826-9847-4A23BE22020F}" name="4" dataDxfId="76" dataCellStyle="Normal 2"/>
    <tableColumn id="2" xr3:uid="{0711DB07-19DA-4D5E-A417-C242A0304453}" name="10" dataDxfId="75"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97" dT="2025-07-04T21:57:01.33" personId="{47AE60F1-2E89-491E-9094-CDE4326C95FE}" id="{D4D3909A-71EB-4102-B2D0-0FF48A8A55B5}">
    <text>HACK: We might get away with this in most situations, but a proper lookup will have to consider which Header_Info!Range the NominalTemp falls into, and find the corresponding Tolerance.
This also is limited to +/- style tolerances, and does not handle MAX tolerances at all.</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table" Target="../tables/table15.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microsoft.com/office/2017/10/relationships/threadedComment" Target="../threadedComments/threadedComment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omments" Target="../comments1.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table" Target="../tables/table16.xml"/><Relationship Id="rId3" Type="http://schemas.openxmlformats.org/officeDocument/2006/relationships/customProperty" Target="../customProperty4.bin"/><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vmlDrawing" Target="../drawings/vmlDrawing2.vml"/><Relationship Id="rId15" Type="http://schemas.openxmlformats.org/officeDocument/2006/relationships/table" Target="../tables/table18.xml"/><Relationship Id="rId10" Type="http://schemas.openxmlformats.org/officeDocument/2006/relationships/ctrlProp" Target="../ctrlProps/ctrlProp11.xml"/><Relationship Id="rId4" Type="http://schemas.openxmlformats.org/officeDocument/2006/relationships/drawing" Target="../drawings/drawing3.xml"/><Relationship Id="rId9" Type="http://schemas.openxmlformats.org/officeDocument/2006/relationships/ctrlProp" Target="../ctrlProps/ctrlProp10.xml"/><Relationship Id="rId14" Type="http://schemas.openxmlformats.org/officeDocument/2006/relationships/table" Target="../tables/table17.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19.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3.xml"/></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9"/>
  <sheetViews>
    <sheetView workbookViewId="0"/>
  </sheetViews>
  <sheetFormatPr defaultRowHeight="12.75" x14ac:dyDescent="0.2"/>
  <cols>
    <col min="1" max="1" width="11" bestFit="1" customWidth="1"/>
    <col min="2" max="2" width="24.140625" bestFit="1" customWidth="1"/>
    <col min="3" max="3" width="20.5703125" bestFit="1" customWidth="1"/>
    <col min="4" max="4" width="20" bestFit="1" customWidth="1"/>
    <col min="5" max="5" width="14.7109375" bestFit="1" customWidth="1"/>
    <col min="6" max="6" width="24" bestFit="1" customWidth="1"/>
    <col min="7" max="7" width="12" bestFit="1" customWidth="1"/>
    <col min="8" max="8" width="16.42578125" bestFit="1" customWidth="1"/>
    <col min="9" max="9" width="10.5703125" bestFit="1" customWidth="1"/>
    <col min="10" max="12" width="12.28515625" bestFit="1" customWidth="1"/>
    <col min="13" max="13" width="6.5703125" bestFit="1" customWidth="1"/>
    <col min="14" max="14" width="7.140625" bestFit="1" customWidth="1"/>
    <col min="15" max="15" width="12.28515625" bestFit="1" customWidth="1"/>
    <col min="16" max="16" width="6.5703125" bestFit="1" customWidth="1"/>
    <col min="17" max="17" width="7.140625" customWidth="1"/>
  </cols>
  <sheetData>
    <row r="1" spans="1:9" x14ac:dyDescent="0.2">
      <c r="A1"/>
      <c r="B1"/>
      <c r="C1"/>
      <c r="D1"/>
      <c r="E1"/>
      <c r="F1"/>
      <c r="G1"/>
      <c r="H1"/>
      <c r="I1"/>
    </row>
    <row r="2" spans="1:9" x14ac:dyDescent="0.2">
      <c r="A2" s="75"/>
      <c r="B2"/>
      <c r="C2"/>
      <c r="D2" s="86"/>
      <c r="E2" s="86"/>
      <c r="F2"/>
      <c r="G2"/>
      <c r="H2"/>
      <c r="I2" s="140"/>
    </row>
    <row r="3" spans="1:9" x14ac:dyDescent="0.2">
      <c r="A3" s="75"/>
      <c r="B3"/>
      <c r="C3"/>
      <c r="D3" s="86"/>
      <c r="E3" s="86"/>
      <c r="F3"/>
      <c r="G3"/>
      <c r="H3"/>
      <c r="I3" s="140"/>
    </row>
    <row r="4" spans="1:9" x14ac:dyDescent="0.2">
      <c r="A4" s="75"/>
      <c r="B4"/>
      <c r="C4"/>
      <c r="D4" s="86"/>
      <c r="E4" s="86"/>
      <c r="F4"/>
      <c r="G4"/>
      <c r="H4"/>
      <c r="I4" s="140"/>
    </row>
    <row r="5" spans="1:9" x14ac:dyDescent="0.2">
      <c r="A5" s="75"/>
      <c r="C5"/>
      <c r="D5" s="86"/>
      <c r="E5" s="86"/>
      <c r="F5"/>
      <c r="G5"/>
      <c r="H5"/>
      <c r="I5" s="140"/>
    </row>
    <row r="6" spans="1:9" x14ac:dyDescent="0.2">
      <c r="A6" s="75"/>
      <c r="B6"/>
      <c r="C6"/>
      <c r="D6" s="86"/>
      <c r="E6" s="86"/>
      <c r="F6"/>
      <c r="G6"/>
      <c r="H6"/>
      <c r="I6" s="140"/>
    </row>
    <row r="7" spans="1:9" x14ac:dyDescent="0.2">
      <c r="A7" s="75"/>
      <c r="B7"/>
      <c r="C7"/>
      <c r="D7" s="86"/>
      <c r="E7" s="86"/>
      <c r="F7"/>
      <c r="G7"/>
      <c r="H7"/>
      <c r="I7" s="140"/>
    </row>
    <row r="8" spans="1:9" x14ac:dyDescent="0.2">
      <c r="A8" s="75"/>
      <c r="B8"/>
      <c r="C8"/>
      <c r="D8" s="86"/>
      <c r="E8" s="86"/>
      <c r="F8"/>
      <c r="G8"/>
      <c r="H8"/>
      <c r="I8" s="140"/>
    </row>
    <row r="9" spans="1:9" x14ac:dyDescent="0.2">
      <c r="A9" s="75"/>
      <c r="B9"/>
      <c r="C9"/>
      <c r="D9" s="86"/>
      <c r="E9" s="86"/>
      <c r="F9"/>
      <c r="G9"/>
      <c r="H9"/>
      <c r="I9" s="140"/>
    </row>
    <row r="10" spans="1:9" x14ac:dyDescent="0.2">
      <c r="A10" s="75"/>
      <c r="B10"/>
      <c r="C10"/>
      <c r="D10" s="86"/>
      <c r="E10" s="86"/>
      <c r="F10"/>
      <c r="G10"/>
      <c r="H10"/>
      <c r="I10" s="140"/>
    </row>
    <row r="11" spans="1:9" x14ac:dyDescent="0.2">
      <c r="A11" s="75"/>
      <c r="B11"/>
      <c r="C11"/>
      <c r="D11" s="86"/>
      <c r="E11" s="86"/>
      <c r="F11"/>
      <c r="G11"/>
      <c r="H11"/>
      <c r="I11" s="140"/>
    </row>
    <row r="12" spans="1:9" x14ac:dyDescent="0.2">
      <c r="A12" s="75"/>
      <c r="B12"/>
      <c r="C12"/>
      <c r="D12" s="86"/>
      <c r="E12" s="86"/>
      <c r="F12"/>
      <c r="G12"/>
      <c r="H12"/>
      <c r="I12" s="140"/>
    </row>
    <row r="13" spans="1:9" x14ac:dyDescent="0.2">
      <c r="A13" s="75"/>
      <c r="B13"/>
      <c r="C13"/>
      <c r="D13" s="86"/>
      <c r="E13" s="86"/>
      <c r="F13"/>
      <c r="G13"/>
      <c r="H13"/>
      <c r="I13" s="140"/>
    </row>
    <row r="14" spans="1:9" x14ac:dyDescent="0.2">
      <c r="A14" s="75"/>
      <c r="B14"/>
      <c r="C14"/>
      <c r="D14" s="86"/>
      <c r="E14" s="86"/>
      <c r="F14"/>
      <c r="G14"/>
      <c r="H14"/>
      <c r="I14" s="140"/>
    </row>
    <row r="15" spans="1:9" x14ac:dyDescent="0.2">
      <c r="A15" s="75"/>
      <c r="B15"/>
      <c r="C15"/>
      <c r="D15" s="86"/>
      <c r="E15" s="86"/>
      <c r="F15"/>
      <c r="G15"/>
      <c r="H15"/>
      <c r="I15" s="140"/>
    </row>
    <row r="16" spans="1:9" x14ac:dyDescent="0.2">
      <c r="A16" s="75"/>
      <c r="B16"/>
      <c r="C16"/>
      <c r="D16" s="86"/>
      <c r="E16" s="86"/>
      <c r="F16"/>
      <c r="G16"/>
      <c r="H16"/>
      <c r="I16" s="140"/>
    </row>
    <row r="17" spans="1:9" x14ac:dyDescent="0.2">
      <c r="A17" s="75"/>
      <c r="B17"/>
      <c r="C17"/>
      <c r="D17" s="86"/>
      <c r="E17" s="86"/>
      <c r="F17"/>
      <c r="G17"/>
      <c r="H17"/>
      <c r="I17" s="140"/>
    </row>
    <row r="18" spans="1:9" x14ac:dyDescent="0.2">
      <c r="A18" s="75"/>
      <c r="B18"/>
      <c r="C18"/>
      <c r="D18" s="86"/>
      <c r="E18" s="86"/>
      <c r="F18"/>
      <c r="G18"/>
      <c r="H18"/>
      <c r="I18" s="140"/>
    </row>
    <row r="19" spans="1:9" x14ac:dyDescent="0.2">
      <c r="A19" s="75"/>
      <c r="B19"/>
      <c r="C19"/>
      <c r="D19" s="86"/>
      <c r="E19" s="86"/>
      <c r="F19"/>
      <c r="G19"/>
      <c r="H19"/>
      <c r="I19" s="140"/>
    </row>
    <row r="20" spans="1:9" x14ac:dyDescent="0.2">
      <c r="A20" s="75"/>
      <c r="B20"/>
      <c r="C20"/>
      <c r="D20" s="86"/>
      <c r="E20" s="86"/>
      <c r="F20"/>
      <c r="G20"/>
      <c r="H20"/>
      <c r="I20" s="140"/>
    </row>
    <row r="21" spans="1:9" x14ac:dyDescent="0.2">
      <c r="A21" s="75"/>
      <c r="C21"/>
      <c r="D21" s="86"/>
      <c r="E21" s="86"/>
      <c r="F21"/>
      <c r="G21"/>
      <c r="H21"/>
      <c r="I21" s="140"/>
    </row>
    <row r="22" spans="1:9" x14ac:dyDescent="0.2">
      <c r="A22" s="75"/>
      <c r="C22"/>
      <c r="D22" s="86"/>
      <c r="E22" s="86"/>
      <c r="F22"/>
      <c r="G22"/>
      <c r="H22"/>
      <c r="I22" s="140"/>
    </row>
    <row r="23" spans="1:9" x14ac:dyDescent="0.2">
      <c r="A23" s="75"/>
      <c r="B23"/>
      <c r="C23"/>
      <c r="D23" s="86"/>
      <c r="E23" s="86"/>
      <c r="F23"/>
      <c r="G23"/>
      <c r="H23"/>
      <c r="I23" s="140"/>
    </row>
    <row r="24" spans="1:9" x14ac:dyDescent="0.2">
      <c r="A24" s="75"/>
      <c r="B24"/>
      <c r="C24"/>
      <c r="D24" s="86"/>
      <c r="E24" s="86"/>
      <c r="F24"/>
      <c r="G24"/>
      <c r="H24"/>
      <c r="I24" s="140"/>
    </row>
    <row r="25" spans="1:9" x14ac:dyDescent="0.2">
      <c r="A25" s="75"/>
      <c r="D25" s="86"/>
      <c r="E25" s="86"/>
      <c r="H25"/>
      <c r="I25" s="140"/>
    </row>
    <row r="26" spans="1:9" x14ac:dyDescent="0.2">
      <c r="A26" s="75"/>
      <c r="B26"/>
      <c r="D26" s="86"/>
      <c r="E26" s="86"/>
      <c r="F26"/>
      <c r="H26"/>
      <c r="I26" s="140"/>
    </row>
    <row r="27" spans="1:9" x14ac:dyDescent="0.2">
      <c r="A27" s="75"/>
      <c r="D27" s="86"/>
      <c r="E27" s="86"/>
      <c r="H27"/>
      <c r="I27" s="140"/>
    </row>
    <row r="28" spans="1:9" x14ac:dyDescent="0.2">
      <c r="A28" s="75"/>
      <c r="D28" s="86"/>
      <c r="E28" s="86"/>
      <c r="H28"/>
      <c r="I28" s="140"/>
    </row>
    <row r="29" spans="1:9" x14ac:dyDescent="0.2">
      <c r="A29" s="75"/>
      <c r="C29"/>
      <c r="D29" s="86"/>
      <c r="E29" s="86"/>
      <c r="F29"/>
      <c r="G29"/>
      <c r="H29"/>
      <c r="I29" s="140"/>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6" t="s">
        <v>905</v>
      </c>
      <c r="E1" s="36" t="s">
        <v>906</v>
      </c>
    </row>
    <row r="2" spans="1:5" x14ac:dyDescent="0.2">
      <c r="A2" s="667"/>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6"/>
  <sheetViews>
    <sheetView workbookViewId="0">
      <selection activeCell="E27" sqref="E27"/>
    </sheetView>
  </sheetViews>
  <sheetFormatPr defaultRowHeight="12.75" x14ac:dyDescent="0.2"/>
  <cols>
    <col min="1" max="1" width="16.85546875" bestFit="1" customWidth="1"/>
    <col min="2" max="3" width="8.42578125" bestFit="1" customWidth="1"/>
    <col min="4" max="4" width="16.42578125" bestFit="1" customWidth="1"/>
    <col min="5" max="5"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row r="36" spans="1:3" x14ac:dyDescent="0.2">
      <c r="A36"/>
      <c r="B36"/>
      <c r="C36"/>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H10" sqref="H10"/>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8" width="11.28515625" bestFit="1" customWidth="1"/>
    <col min="9" max="9" width="15" bestFit="1" customWidth="1"/>
    <col min="10" max="10" width="8.5703125" bestFit="1" customWidth="1"/>
    <col min="11" max="11" width="17.85546875" bestFit="1" customWidth="1"/>
    <col min="12" max="12" width="8.85546875" bestFit="1" customWidth="1"/>
    <col min="13" max="13" width="27.140625" bestFit="1" customWidth="1"/>
  </cols>
  <sheetData>
    <row r="1" spans="1:4" x14ac:dyDescent="0.2">
      <c r="A1"/>
      <c r="B1"/>
      <c r="C1"/>
      <c r="D1"/>
    </row>
    <row r="2" spans="1:4" x14ac:dyDescent="0.2">
      <c r="A2"/>
      <c r="B2"/>
      <c r="C2"/>
      <c r="D2"/>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403</v>
      </c>
      <c r="B1" t="s">
        <v>544</v>
      </c>
      <c r="C1" t="s">
        <v>545</v>
      </c>
      <c r="D1" t="s">
        <v>546</v>
      </c>
      <c r="E1" t="s">
        <v>547</v>
      </c>
      <c r="F1" t="s">
        <v>542</v>
      </c>
      <c r="G1" t="s">
        <v>532</v>
      </c>
      <c r="H1" t="s">
        <v>513</v>
      </c>
      <c r="I1" t="s">
        <v>533</v>
      </c>
      <c r="J1" t="s">
        <v>518</v>
      </c>
      <c r="K1" t="s">
        <v>519</v>
      </c>
      <c r="L1" t="s">
        <v>520</v>
      </c>
      <c r="M1" t="s">
        <v>534</v>
      </c>
      <c r="N1" t="s">
        <v>401</v>
      </c>
      <c r="O1" t="s">
        <v>402</v>
      </c>
      <c r="P1" t="s">
        <v>404</v>
      </c>
      <c r="Q1" t="s">
        <v>522</v>
      </c>
      <c r="R1" t="s">
        <v>523</v>
      </c>
      <c r="S1" t="s">
        <v>524</v>
      </c>
      <c r="T1" t="s">
        <v>521</v>
      </c>
      <c r="U1" t="s">
        <v>535</v>
      </c>
      <c r="V1" t="s">
        <v>536</v>
      </c>
      <c r="W1" t="s">
        <v>525</v>
      </c>
      <c r="X1" t="s">
        <v>526</v>
      </c>
      <c r="Y1" t="s">
        <v>527</v>
      </c>
      <c r="Z1" t="s">
        <v>514</v>
      </c>
      <c r="AA1" t="s">
        <v>515</v>
      </c>
      <c r="AB1" t="s">
        <v>516</v>
      </c>
      <c r="AC1" t="s">
        <v>517</v>
      </c>
      <c r="AD1" t="s">
        <v>405</v>
      </c>
      <c r="AE1" t="s">
        <v>406</v>
      </c>
      <c r="AF1" t="s">
        <v>530</v>
      </c>
      <c r="AG1" t="s">
        <v>531</v>
      </c>
      <c r="AH1" t="s">
        <v>528</v>
      </c>
      <c r="AI1" t="s">
        <v>529</v>
      </c>
      <c r="AJ1" t="s">
        <v>543</v>
      </c>
      <c r="AK1" t="s">
        <v>548</v>
      </c>
      <c r="AL1" t="s">
        <v>549</v>
      </c>
    </row>
    <row r="2" spans="1:38" x14ac:dyDescent="0.2">
      <c r="A2">
        <v>1235344</v>
      </c>
      <c r="B2">
        <v>6864835</v>
      </c>
      <c r="C2">
        <v>7653243</v>
      </c>
      <c r="E2" t="b">
        <v>0</v>
      </c>
      <c r="G2" t="s">
        <v>572</v>
      </c>
      <c r="I2" t="s">
        <v>573</v>
      </c>
      <c r="J2" t="s">
        <v>537</v>
      </c>
      <c r="K2" t="s">
        <v>537</v>
      </c>
      <c r="L2" t="s">
        <v>537</v>
      </c>
      <c r="M2" t="s">
        <v>574</v>
      </c>
      <c r="N2" t="s">
        <v>407</v>
      </c>
      <c r="O2" t="s">
        <v>329</v>
      </c>
      <c r="P2" t="s">
        <v>115</v>
      </c>
      <c r="V2" t="s">
        <v>575</v>
      </c>
      <c r="Y2" t="s">
        <v>576</v>
      </c>
      <c r="AD2" t="s">
        <v>328</v>
      </c>
      <c r="AE2" t="s">
        <v>408</v>
      </c>
      <c r="AJ2" t="s">
        <v>577</v>
      </c>
      <c r="AK2" t="s">
        <v>578</v>
      </c>
      <c r="AL2" t="s">
        <v>579</v>
      </c>
    </row>
    <row r="3" spans="1:38" x14ac:dyDescent="0.2">
      <c r="A3">
        <v>1235555</v>
      </c>
      <c r="B3">
        <v>8036587</v>
      </c>
      <c r="C3">
        <v>7589603</v>
      </c>
      <c r="E3" t="b">
        <v>0</v>
      </c>
      <c r="F3">
        <v>72040</v>
      </c>
      <c r="G3" t="s">
        <v>580</v>
      </c>
      <c r="H3">
        <v>1</v>
      </c>
      <c r="I3" t="s">
        <v>581</v>
      </c>
      <c r="J3" t="s">
        <v>538</v>
      </c>
      <c r="K3" t="s">
        <v>537</v>
      </c>
      <c r="L3" t="s">
        <v>539</v>
      </c>
      <c r="M3" t="s">
        <v>582</v>
      </c>
      <c r="N3" t="s">
        <v>451</v>
      </c>
      <c r="O3" t="s">
        <v>221</v>
      </c>
      <c r="P3" t="s">
        <v>429</v>
      </c>
      <c r="S3" t="s">
        <v>583</v>
      </c>
      <c r="U3" t="s">
        <v>584</v>
      </c>
      <c r="V3" t="s">
        <v>585</v>
      </c>
      <c r="W3" t="s">
        <v>446</v>
      </c>
      <c r="X3" t="s">
        <v>540</v>
      </c>
      <c r="Y3" t="s">
        <v>586</v>
      </c>
      <c r="Z3" t="s">
        <v>552</v>
      </c>
      <c r="AB3" t="s">
        <v>578</v>
      </c>
      <c r="AD3" t="s">
        <v>541</v>
      </c>
      <c r="AE3" t="s">
        <v>541</v>
      </c>
      <c r="AF3">
        <v>0</v>
      </c>
      <c r="AG3">
        <v>0</v>
      </c>
      <c r="AH3">
        <v>46</v>
      </c>
      <c r="AI3">
        <v>0</v>
      </c>
      <c r="AJ3" t="s">
        <v>554</v>
      </c>
      <c r="AK3" t="s">
        <v>578</v>
      </c>
      <c r="AL3" t="s">
        <v>587</v>
      </c>
    </row>
    <row r="4" spans="1:38" x14ac:dyDescent="0.2">
      <c r="A4">
        <v>1235388</v>
      </c>
      <c r="B4">
        <v>7537859</v>
      </c>
      <c r="C4">
        <v>187510</v>
      </c>
      <c r="E4" t="b">
        <v>0</v>
      </c>
      <c r="F4">
        <v>62285</v>
      </c>
      <c r="G4" t="s">
        <v>588</v>
      </c>
      <c r="H4">
        <v>1</v>
      </c>
      <c r="I4" t="s">
        <v>589</v>
      </c>
      <c r="J4" t="s">
        <v>538</v>
      </c>
      <c r="K4" t="s">
        <v>537</v>
      </c>
      <c r="L4" t="s">
        <v>539</v>
      </c>
      <c r="M4" t="s">
        <v>590</v>
      </c>
      <c r="N4" t="s">
        <v>411</v>
      </c>
      <c r="O4" t="s">
        <v>229</v>
      </c>
      <c r="P4" t="s">
        <v>412</v>
      </c>
      <c r="S4" t="s">
        <v>591</v>
      </c>
      <c r="U4" t="s">
        <v>592</v>
      </c>
      <c r="V4" t="s">
        <v>593</v>
      </c>
      <c r="W4" t="s">
        <v>594</v>
      </c>
      <c r="X4" t="s">
        <v>540</v>
      </c>
      <c r="Y4" t="s">
        <v>586</v>
      </c>
      <c r="Z4" t="s">
        <v>552</v>
      </c>
      <c r="AA4" t="s">
        <v>22</v>
      </c>
      <c r="AB4" t="s">
        <v>595</v>
      </c>
      <c r="AD4" t="s">
        <v>228</v>
      </c>
      <c r="AE4" t="s">
        <v>413</v>
      </c>
      <c r="AF4">
        <v>0</v>
      </c>
      <c r="AG4">
        <v>0</v>
      </c>
      <c r="AH4">
        <v>70</v>
      </c>
      <c r="AI4">
        <v>0</v>
      </c>
      <c r="AJ4" t="s">
        <v>554</v>
      </c>
      <c r="AK4" t="s">
        <v>595</v>
      </c>
      <c r="AL4" t="s">
        <v>555</v>
      </c>
    </row>
    <row r="5" spans="1:38" x14ac:dyDescent="0.2">
      <c r="A5">
        <v>1235682</v>
      </c>
      <c r="B5">
        <v>7943647</v>
      </c>
      <c r="C5">
        <v>187508</v>
      </c>
      <c r="E5" t="b">
        <v>0</v>
      </c>
      <c r="F5">
        <v>69999</v>
      </c>
      <c r="G5" t="s">
        <v>596</v>
      </c>
      <c r="H5">
        <v>1</v>
      </c>
      <c r="I5" t="s">
        <v>597</v>
      </c>
      <c r="J5" t="s">
        <v>538</v>
      </c>
      <c r="K5" t="s">
        <v>539</v>
      </c>
      <c r="L5" t="s">
        <v>539</v>
      </c>
      <c r="M5" t="s">
        <v>598</v>
      </c>
      <c r="N5" t="s">
        <v>480</v>
      </c>
      <c r="O5" t="s">
        <v>47</v>
      </c>
      <c r="S5" t="s">
        <v>550</v>
      </c>
      <c r="U5" t="s">
        <v>599</v>
      </c>
      <c r="V5" t="s">
        <v>600</v>
      </c>
      <c r="W5" t="s">
        <v>446</v>
      </c>
      <c r="X5" t="s">
        <v>540</v>
      </c>
      <c r="Y5" t="s">
        <v>551</v>
      </c>
      <c r="Z5" t="s">
        <v>552</v>
      </c>
      <c r="AA5" t="s">
        <v>22</v>
      </c>
      <c r="AB5" t="s">
        <v>553</v>
      </c>
      <c r="AD5" t="s">
        <v>481</v>
      </c>
      <c r="AE5" t="s">
        <v>426</v>
      </c>
      <c r="AF5">
        <v>0</v>
      </c>
      <c r="AG5">
        <v>0</v>
      </c>
      <c r="AH5">
        <v>392.75</v>
      </c>
      <c r="AI5">
        <v>0</v>
      </c>
      <c r="AJ5" t="s">
        <v>554</v>
      </c>
      <c r="AK5" t="s">
        <v>553</v>
      </c>
      <c r="AL5" t="s">
        <v>555</v>
      </c>
    </row>
    <row r="6" spans="1:38" x14ac:dyDescent="0.2">
      <c r="A6">
        <v>1235426</v>
      </c>
      <c r="B6">
        <v>8035840</v>
      </c>
      <c r="C6">
        <v>187508</v>
      </c>
      <c r="E6" t="b">
        <v>0</v>
      </c>
      <c r="F6">
        <v>72024</v>
      </c>
      <c r="G6" t="s">
        <v>559</v>
      </c>
      <c r="H6">
        <v>1</v>
      </c>
      <c r="I6" t="s">
        <v>560</v>
      </c>
      <c r="J6" t="s">
        <v>538</v>
      </c>
      <c r="K6" t="s">
        <v>539</v>
      </c>
      <c r="L6" t="s">
        <v>539</v>
      </c>
      <c r="M6" t="s">
        <v>601</v>
      </c>
      <c r="N6" t="s">
        <v>424</v>
      </c>
      <c r="O6" t="s">
        <v>54</v>
      </c>
      <c r="S6" t="s">
        <v>550</v>
      </c>
      <c r="U6" t="s">
        <v>602</v>
      </c>
      <c r="V6" t="s">
        <v>603</v>
      </c>
      <c r="W6" t="s">
        <v>446</v>
      </c>
      <c r="X6" t="s">
        <v>540</v>
      </c>
      <c r="Y6" t="s">
        <v>551</v>
      </c>
      <c r="Z6" t="s">
        <v>552</v>
      </c>
      <c r="AA6" t="s">
        <v>22</v>
      </c>
      <c r="AB6" t="s">
        <v>553</v>
      </c>
      <c r="AD6" t="s">
        <v>425</v>
      </c>
      <c r="AE6" t="s">
        <v>426</v>
      </c>
      <c r="AF6">
        <v>0</v>
      </c>
      <c r="AG6">
        <v>0</v>
      </c>
      <c r="AH6">
        <v>392.75</v>
      </c>
      <c r="AI6">
        <v>0</v>
      </c>
      <c r="AJ6" t="s">
        <v>554</v>
      </c>
      <c r="AK6" t="s">
        <v>553</v>
      </c>
      <c r="AL6" t="s">
        <v>555</v>
      </c>
    </row>
    <row r="7" spans="1:38" x14ac:dyDescent="0.2">
      <c r="A7">
        <v>1235686</v>
      </c>
      <c r="B7">
        <v>8143520</v>
      </c>
      <c r="C7">
        <v>187508</v>
      </c>
      <c r="E7" t="b">
        <v>0</v>
      </c>
      <c r="F7">
        <v>73531</v>
      </c>
      <c r="G7" t="s">
        <v>557</v>
      </c>
      <c r="H7">
        <v>1</v>
      </c>
      <c r="I7" t="s">
        <v>558</v>
      </c>
      <c r="J7" t="s">
        <v>538</v>
      </c>
      <c r="K7" t="s">
        <v>539</v>
      </c>
      <c r="L7" t="s">
        <v>539</v>
      </c>
      <c r="M7" t="s">
        <v>604</v>
      </c>
      <c r="N7" t="s">
        <v>482</v>
      </c>
      <c r="O7" t="s">
        <v>55</v>
      </c>
      <c r="S7" t="s">
        <v>550</v>
      </c>
      <c r="U7" t="s">
        <v>605</v>
      </c>
      <c r="V7" t="s">
        <v>606</v>
      </c>
      <c r="W7" t="s">
        <v>446</v>
      </c>
      <c r="X7" t="s">
        <v>540</v>
      </c>
      <c r="Y7" t="s">
        <v>551</v>
      </c>
      <c r="Z7" t="s">
        <v>552</v>
      </c>
      <c r="AA7" t="s">
        <v>22</v>
      </c>
      <c r="AB7" t="s">
        <v>553</v>
      </c>
      <c r="AD7" t="s">
        <v>483</v>
      </c>
      <c r="AE7" t="s">
        <v>484</v>
      </c>
      <c r="AF7">
        <v>0</v>
      </c>
      <c r="AG7">
        <v>0</v>
      </c>
      <c r="AH7">
        <v>392.75</v>
      </c>
      <c r="AI7">
        <v>0</v>
      </c>
      <c r="AJ7" t="s">
        <v>554</v>
      </c>
      <c r="AK7" t="s">
        <v>553</v>
      </c>
      <c r="AL7" t="s">
        <v>555</v>
      </c>
    </row>
    <row r="8" spans="1:38" x14ac:dyDescent="0.2">
      <c r="A8">
        <v>1235630</v>
      </c>
      <c r="B8">
        <v>7925909</v>
      </c>
      <c r="C8">
        <v>187508</v>
      </c>
      <c r="E8" t="b">
        <v>0</v>
      </c>
      <c r="F8">
        <v>69663</v>
      </c>
      <c r="G8" t="s">
        <v>607</v>
      </c>
      <c r="H8">
        <v>1</v>
      </c>
      <c r="I8" t="s">
        <v>608</v>
      </c>
      <c r="J8" t="s">
        <v>538</v>
      </c>
      <c r="K8" t="s">
        <v>539</v>
      </c>
      <c r="L8" t="s">
        <v>539</v>
      </c>
      <c r="M8" t="s">
        <v>609</v>
      </c>
      <c r="N8" t="s">
        <v>469</v>
      </c>
      <c r="O8" t="s">
        <v>109</v>
      </c>
      <c r="S8" t="s">
        <v>550</v>
      </c>
      <c r="U8" t="s">
        <v>610</v>
      </c>
      <c r="V8" t="s">
        <v>611</v>
      </c>
      <c r="W8" t="s">
        <v>446</v>
      </c>
      <c r="X8" t="s">
        <v>540</v>
      </c>
      <c r="Y8" t="s">
        <v>551</v>
      </c>
      <c r="Z8" t="s">
        <v>552</v>
      </c>
      <c r="AA8" t="s">
        <v>22</v>
      </c>
      <c r="AB8" t="s">
        <v>553</v>
      </c>
      <c r="AD8" t="s">
        <v>470</v>
      </c>
      <c r="AE8" t="s">
        <v>426</v>
      </c>
      <c r="AF8">
        <v>0</v>
      </c>
      <c r="AG8">
        <v>0</v>
      </c>
      <c r="AH8">
        <v>392.75</v>
      </c>
      <c r="AI8">
        <v>0</v>
      </c>
      <c r="AJ8" t="s">
        <v>554</v>
      </c>
      <c r="AK8" t="s">
        <v>553</v>
      </c>
      <c r="AL8" t="s">
        <v>555</v>
      </c>
    </row>
    <row r="9" spans="1:38" x14ac:dyDescent="0.2">
      <c r="A9">
        <v>1235561</v>
      </c>
      <c r="B9">
        <v>7925915</v>
      </c>
      <c r="C9">
        <v>187508</v>
      </c>
      <c r="E9" t="b">
        <v>0</v>
      </c>
      <c r="F9">
        <v>69665</v>
      </c>
      <c r="G9" t="s">
        <v>612</v>
      </c>
      <c r="H9">
        <v>1</v>
      </c>
      <c r="I9" t="s">
        <v>613</v>
      </c>
      <c r="J9" t="s">
        <v>538</v>
      </c>
      <c r="K9" t="s">
        <v>539</v>
      </c>
      <c r="L9" t="s">
        <v>539</v>
      </c>
      <c r="M9" t="s">
        <v>614</v>
      </c>
      <c r="N9" t="s">
        <v>452</v>
      </c>
      <c r="O9" t="s">
        <v>113</v>
      </c>
      <c r="S9" t="s">
        <v>550</v>
      </c>
      <c r="U9" t="s">
        <v>610</v>
      </c>
      <c r="V9" t="s">
        <v>615</v>
      </c>
      <c r="W9" t="s">
        <v>446</v>
      </c>
      <c r="X9" t="s">
        <v>540</v>
      </c>
      <c r="Y9" t="s">
        <v>551</v>
      </c>
      <c r="Z9" t="s">
        <v>552</v>
      </c>
      <c r="AA9" t="s">
        <v>22</v>
      </c>
      <c r="AB9" t="s">
        <v>553</v>
      </c>
      <c r="AD9" t="s">
        <v>453</v>
      </c>
      <c r="AE9" t="s">
        <v>454</v>
      </c>
      <c r="AF9">
        <v>0</v>
      </c>
      <c r="AG9">
        <v>0</v>
      </c>
      <c r="AH9">
        <v>392.75</v>
      </c>
      <c r="AI9">
        <v>0</v>
      </c>
      <c r="AJ9" t="s">
        <v>554</v>
      </c>
      <c r="AK9" t="s">
        <v>553</v>
      </c>
      <c r="AL9" t="s">
        <v>555</v>
      </c>
    </row>
    <row r="10" spans="1:38" x14ac:dyDescent="0.2">
      <c r="A10">
        <v>1235543</v>
      </c>
      <c r="B10">
        <v>8075187</v>
      </c>
      <c r="C10">
        <v>187508</v>
      </c>
      <c r="E10" t="b">
        <v>0</v>
      </c>
      <c r="F10">
        <v>72822</v>
      </c>
      <c r="G10" t="s">
        <v>616</v>
      </c>
      <c r="H10">
        <v>1</v>
      </c>
      <c r="I10" t="s">
        <v>617</v>
      </c>
      <c r="J10" t="s">
        <v>538</v>
      </c>
      <c r="K10" t="s">
        <v>539</v>
      </c>
      <c r="L10" t="s">
        <v>539</v>
      </c>
      <c r="M10" t="s">
        <v>618</v>
      </c>
      <c r="N10" t="s">
        <v>449</v>
      </c>
      <c r="O10" t="s">
        <v>112</v>
      </c>
      <c r="S10" t="s">
        <v>550</v>
      </c>
      <c r="U10" t="s">
        <v>619</v>
      </c>
      <c r="V10" t="s">
        <v>620</v>
      </c>
      <c r="W10" t="s">
        <v>446</v>
      </c>
      <c r="X10" t="s">
        <v>540</v>
      </c>
      <c r="Y10" t="s">
        <v>551</v>
      </c>
      <c r="Z10" t="s">
        <v>552</v>
      </c>
      <c r="AA10" t="s">
        <v>22</v>
      </c>
      <c r="AB10" t="s">
        <v>553</v>
      </c>
      <c r="AD10" t="s">
        <v>425</v>
      </c>
      <c r="AE10" t="s">
        <v>450</v>
      </c>
      <c r="AF10">
        <v>0</v>
      </c>
      <c r="AG10">
        <v>0</v>
      </c>
      <c r="AH10">
        <v>392.75</v>
      </c>
      <c r="AI10">
        <v>0</v>
      </c>
      <c r="AJ10" t="s">
        <v>554</v>
      </c>
      <c r="AK10" t="s">
        <v>553</v>
      </c>
      <c r="AL10" t="s">
        <v>555</v>
      </c>
    </row>
    <row r="11" spans="1:38" x14ac:dyDescent="0.2">
      <c r="A11">
        <v>1235622</v>
      </c>
      <c r="B11">
        <v>7925914</v>
      </c>
      <c r="C11">
        <v>187508</v>
      </c>
      <c r="E11" t="b">
        <v>0</v>
      </c>
      <c r="F11">
        <v>69664</v>
      </c>
      <c r="G11" t="s">
        <v>621</v>
      </c>
      <c r="H11">
        <v>1</v>
      </c>
      <c r="I11" t="s">
        <v>622</v>
      </c>
      <c r="J11" t="s">
        <v>538</v>
      </c>
      <c r="K11" t="s">
        <v>539</v>
      </c>
      <c r="L11" t="s">
        <v>539</v>
      </c>
      <c r="M11" t="s">
        <v>623</v>
      </c>
      <c r="N11" t="s">
        <v>464</v>
      </c>
      <c r="O11" t="s">
        <v>157</v>
      </c>
      <c r="S11" t="s">
        <v>550</v>
      </c>
      <c r="U11" t="s">
        <v>610</v>
      </c>
      <c r="V11" t="s">
        <v>624</v>
      </c>
      <c r="W11" t="s">
        <v>446</v>
      </c>
      <c r="X11" t="s">
        <v>540</v>
      </c>
      <c r="Y11" t="s">
        <v>551</v>
      </c>
      <c r="Z11" t="s">
        <v>552</v>
      </c>
      <c r="AA11" t="s">
        <v>22</v>
      </c>
      <c r="AB11" t="s">
        <v>553</v>
      </c>
      <c r="AD11" t="s">
        <v>465</v>
      </c>
      <c r="AE11" t="s">
        <v>466</v>
      </c>
      <c r="AF11">
        <v>0</v>
      </c>
      <c r="AG11">
        <v>0</v>
      </c>
      <c r="AH11">
        <v>392.75</v>
      </c>
      <c r="AI11">
        <v>0</v>
      </c>
      <c r="AJ11" t="s">
        <v>554</v>
      </c>
      <c r="AK11" t="s">
        <v>553</v>
      </c>
      <c r="AL11" t="s">
        <v>555</v>
      </c>
    </row>
    <row r="12" spans="1:38" x14ac:dyDescent="0.2">
      <c r="A12">
        <v>1235403</v>
      </c>
      <c r="B12">
        <v>7975239</v>
      </c>
      <c r="C12">
        <v>187508</v>
      </c>
      <c r="E12" t="b">
        <v>0</v>
      </c>
      <c r="F12">
        <v>70613</v>
      </c>
      <c r="G12" t="s">
        <v>625</v>
      </c>
      <c r="H12">
        <v>3</v>
      </c>
      <c r="I12" t="s">
        <v>626</v>
      </c>
      <c r="J12" t="s">
        <v>538</v>
      </c>
      <c r="K12" t="s">
        <v>539</v>
      </c>
      <c r="L12" t="s">
        <v>539</v>
      </c>
      <c r="M12" t="s">
        <v>627</v>
      </c>
      <c r="N12" t="s">
        <v>419</v>
      </c>
      <c r="O12" t="s">
        <v>178</v>
      </c>
      <c r="P12" t="s">
        <v>107</v>
      </c>
      <c r="S12" t="s">
        <v>628</v>
      </c>
      <c r="U12" t="s">
        <v>629</v>
      </c>
      <c r="V12" t="s">
        <v>630</v>
      </c>
      <c r="W12" t="s">
        <v>446</v>
      </c>
      <c r="X12" t="s">
        <v>540</v>
      </c>
      <c r="Y12" t="s">
        <v>551</v>
      </c>
      <c r="Z12" t="s">
        <v>552</v>
      </c>
      <c r="AA12" t="s">
        <v>22</v>
      </c>
      <c r="AB12" t="s">
        <v>553</v>
      </c>
      <c r="AD12" t="s">
        <v>177</v>
      </c>
      <c r="AE12" t="s">
        <v>420</v>
      </c>
      <c r="AF12">
        <v>0</v>
      </c>
      <c r="AG12">
        <v>0</v>
      </c>
      <c r="AH12">
        <v>418.5</v>
      </c>
      <c r="AI12">
        <v>0</v>
      </c>
      <c r="AJ12" t="s">
        <v>554</v>
      </c>
      <c r="AK12" t="s">
        <v>553</v>
      </c>
      <c r="AL12" t="s">
        <v>555</v>
      </c>
    </row>
    <row r="13" spans="1:38" x14ac:dyDescent="0.2">
      <c r="A13">
        <v>1235569</v>
      </c>
      <c r="B13">
        <v>7975237</v>
      </c>
      <c r="C13">
        <v>187508</v>
      </c>
      <c r="E13" t="b">
        <v>0</v>
      </c>
      <c r="F13">
        <v>70613</v>
      </c>
      <c r="G13" t="s">
        <v>625</v>
      </c>
      <c r="H13">
        <v>1</v>
      </c>
      <c r="I13" t="s">
        <v>631</v>
      </c>
      <c r="J13" t="s">
        <v>538</v>
      </c>
      <c r="K13" t="s">
        <v>539</v>
      </c>
      <c r="L13" t="s">
        <v>539</v>
      </c>
      <c r="M13" t="s">
        <v>632</v>
      </c>
      <c r="N13" t="s">
        <v>459</v>
      </c>
      <c r="O13" t="s">
        <v>180</v>
      </c>
      <c r="P13" t="s">
        <v>460</v>
      </c>
      <c r="S13" t="s">
        <v>628</v>
      </c>
      <c r="U13" t="s">
        <v>629</v>
      </c>
      <c r="V13" t="s">
        <v>633</v>
      </c>
      <c r="W13" t="s">
        <v>446</v>
      </c>
      <c r="X13" t="s">
        <v>540</v>
      </c>
      <c r="Y13" t="s">
        <v>551</v>
      </c>
      <c r="Z13" t="s">
        <v>552</v>
      </c>
      <c r="AA13" t="s">
        <v>22</v>
      </c>
      <c r="AB13" t="s">
        <v>553</v>
      </c>
      <c r="AD13" t="s">
        <v>179</v>
      </c>
      <c r="AE13" t="s">
        <v>420</v>
      </c>
      <c r="AF13">
        <v>0</v>
      </c>
      <c r="AG13">
        <v>0</v>
      </c>
      <c r="AH13">
        <v>418.5</v>
      </c>
      <c r="AI13">
        <v>0</v>
      </c>
      <c r="AJ13" t="s">
        <v>554</v>
      </c>
      <c r="AK13" t="s">
        <v>553</v>
      </c>
      <c r="AL13" t="s">
        <v>555</v>
      </c>
    </row>
    <row r="14" spans="1:38" x14ac:dyDescent="0.2">
      <c r="A14">
        <v>1235743</v>
      </c>
      <c r="B14">
        <v>7975241</v>
      </c>
      <c r="C14">
        <v>187508</v>
      </c>
      <c r="E14" t="b">
        <v>0</v>
      </c>
      <c r="F14">
        <v>70613</v>
      </c>
      <c r="G14" t="s">
        <v>625</v>
      </c>
      <c r="H14">
        <v>5</v>
      </c>
      <c r="I14" t="s">
        <v>634</v>
      </c>
      <c r="J14" t="s">
        <v>538</v>
      </c>
      <c r="K14" t="s">
        <v>539</v>
      </c>
      <c r="L14" t="s">
        <v>539</v>
      </c>
      <c r="M14" t="s">
        <v>635</v>
      </c>
      <c r="N14" t="s">
        <v>486</v>
      </c>
      <c r="O14" t="s">
        <v>488</v>
      </c>
      <c r="P14" t="s">
        <v>487</v>
      </c>
      <c r="S14" t="s">
        <v>628</v>
      </c>
      <c r="U14" t="s">
        <v>629</v>
      </c>
      <c r="V14" t="s">
        <v>636</v>
      </c>
      <c r="W14" t="s">
        <v>446</v>
      </c>
      <c r="X14" t="s">
        <v>540</v>
      </c>
      <c r="Y14" t="s">
        <v>551</v>
      </c>
      <c r="Z14" t="s">
        <v>552</v>
      </c>
      <c r="AA14" t="s">
        <v>22</v>
      </c>
      <c r="AB14" t="s">
        <v>553</v>
      </c>
      <c r="AD14" t="s">
        <v>489</v>
      </c>
      <c r="AE14" t="s">
        <v>420</v>
      </c>
      <c r="AF14">
        <v>0</v>
      </c>
      <c r="AG14">
        <v>0</v>
      </c>
      <c r="AH14">
        <v>418.5</v>
      </c>
      <c r="AI14">
        <v>0</v>
      </c>
      <c r="AJ14" t="s">
        <v>554</v>
      </c>
      <c r="AK14" t="s">
        <v>553</v>
      </c>
      <c r="AL14" t="s">
        <v>555</v>
      </c>
    </row>
    <row r="15" spans="1:38" x14ac:dyDescent="0.2">
      <c r="A15">
        <v>2550412</v>
      </c>
      <c r="B15">
        <v>7975245</v>
      </c>
      <c r="C15">
        <v>187508</v>
      </c>
      <c r="E15" t="b">
        <v>0</v>
      </c>
      <c r="F15">
        <v>70613</v>
      </c>
      <c r="G15" t="s">
        <v>625</v>
      </c>
      <c r="H15">
        <v>9</v>
      </c>
      <c r="I15" t="s">
        <v>637</v>
      </c>
      <c r="J15" t="s">
        <v>538</v>
      </c>
      <c r="K15" t="s">
        <v>539</v>
      </c>
      <c r="L15" t="s">
        <v>539</v>
      </c>
      <c r="M15" t="s">
        <v>638</v>
      </c>
      <c r="N15" t="s">
        <v>503</v>
      </c>
      <c r="O15" t="s">
        <v>504</v>
      </c>
      <c r="P15" t="s">
        <v>379</v>
      </c>
      <c r="S15" t="s">
        <v>628</v>
      </c>
      <c r="U15" t="s">
        <v>629</v>
      </c>
      <c r="V15" t="s">
        <v>639</v>
      </c>
      <c r="W15" t="s">
        <v>446</v>
      </c>
      <c r="X15" t="s">
        <v>540</v>
      </c>
      <c r="Y15" t="s">
        <v>551</v>
      </c>
      <c r="Z15" t="s">
        <v>552</v>
      </c>
      <c r="AA15" t="s">
        <v>22</v>
      </c>
      <c r="AB15" t="s">
        <v>553</v>
      </c>
      <c r="AD15" t="s">
        <v>505</v>
      </c>
      <c r="AE15" t="s">
        <v>506</v>
      </c>
      <c r="AF15">
        <v>0</v>
      </c>
      <c r="AG15">
        <v>0</v>
      </c>
      <c r="AH15">
        <v>418.5</v>
      </c>
      <c r="AI15">
        <v>0</v>
      </c>
      <c r="AJ15" t="s">
        <v>554</v>
      </c>
      <c r="AK15" t="s">
        <v>553</v>
      </c>
      <c r="AL15" t="s">
        <v>555</v>
      </c>
    </row>
    <row r="16" spans="1:38" x14ac:dyDescent="0.2">
      <c r="A16">
        <v>1446161</v>
      </c>
      <c r="B16">
        <v>7975243</v>
      </c>
      <c r="C16">
        <v>187508</v>
      </c>
      <c r="E16" t="b">
        <v>0</v>
      </c>
      <c r="F16">
        <v>70613</v>
      </c>
      <c r="G16" t="s">
        <v>625</v>
      </c>
      <c r="H16">
        <v>7</v>
      </c>
      <c r="I16" t="s">
        <v>640</v>
      </c>
      <c r="J16" t="s">
        <v>538</v>
      </c>
      <c r="K16" t="s">
        <v>539</v>
      </c>
      <c r="L16" t="s">
        <v>539</v>
      </c>
      <c r="M16" t="s">
        <v>641</v>
      </c>
      <c r="N16" t="s">
        <v>495</v>
      </c>
      <c r="O16" t="s">
        <v>497</v>
      </c>
      <c r="P16" t="s">
        <v>496</v>
      </c>
      <c r="S16" t="s">
        <v>628</v>
      </c>
      <c r="U16" t="s">
        <v>629</v>
      </c>
      <c r="V16" t="s">
        <v>642</v>
      </c>
      <c r="W16" t="s">
        <v>446</v>
      </c>
      <c r="X16" t="s">
        <v>540</v>
      </c>
      <c r="Y16" t="s">
        <v>551</v>
      </c>
      <c r="Z16" t="s">
        <v>552</v>
      </c>
      <c r="AA16" t="s">
        <v>22</v>
      </c>
      <c r="AB16" t="s">
        <v>553</v>
      </c>
      <c r="AD16" t="s">
        <v>498</v>
      </c>
      <c r="AE16" t="s">
        <v>420</v>
      </c>
      <c r="AF16">
        <v>0</v>
      </c>
      <c r="AG16">
        <v>0</v>
      </c>
      <c r="AH16">
        <v>418.5</v>
      </c>
      <c r="AI16">
        <v>0</v>
      </c>
      <c r="AJ16" t="s">
        <v>554</v>
      </c>
      <c r="AK16" t="s">
        <v>553</v>
      </c>
      <c r="AL16" t="s">
        <v>555</v>
      </c>
    </row>
    <row r="17" spans="1:38" x14ac:dyDescent="0.2">
      <c r="A17">
        <v>2701517</v>
      </c>
      <c r="B17">
        <v>7975246</v>
      </c>
      <c r="C17">
        <v>187508</v>
      </c>
      <c r="E17" t="b">
        <v>0</v>
      </c>
      <c r="F17">
        <v>70613</v>
      </c>
      <c r="G17" t="s">
        <v>625</v>
      </c>
      <c r="H17">
        <v>10</v>
      </c>
      <c r="I17" t="s">
        <v>643</v>
      </c>
      <c r="J17" t="s">
        <v>538</v>
      </c>
      <c r="K17" t="s">
        <v>539</v>
      </c>
      <c r="L17" t="s">
        <v>539</v>
      </c>
      <c r="M17" t="s">
        <v>644</v>
      </c>
      <c r="N17" t="s">
        <v>508</v>
      </c>
      <c r="O17" t="s">
        <v>510</v>
      </c>
      <c r="P17" t="s">
        <v>509</v>
      </c>
      <c r="S17" t="s">
        <v>628</v>
      </c>
      <c r="U17" t="s">
        <v>629</v>
      </c>
      <c r="V17" t="s">
        <v>645</v>
      </c>
      <c r="W17" t="s">
        <v>446</v>
      </c>
      <c r="X17" t="s">
        <v>540</v>
      </c>
      <c r="Y17" t="s">
        <v>551</v>
      </c>
      <c r="Z17" t="s">
        <v>552</v>
      </c>
      <c r="AA17" t="s">
        <v>22</v>
      </c>
      <c r="AB17" t="s">
        <v>553</v>
      </c>
      <c r="AD17" t="s">
        <v>181</v>
      </c>
      <c r="AE17" t="s">
        <v>420</v>
      </c>
      <c r="AF17">
        <v>0</v>
      </c>
      <c r="AG17">
        <v>0</v>
      </c>
      <c r="AH17">
        <v>418.5</v>
      </c>
      <c r="AI17">
        <v>0</v>
      </c>
      <c r="AJ17" t="s">
        <v>554</v>
      </c>
      <c r="AK17" t="s">
        <v>553</v>
      </c>
      <c r="AL17" t="s">
        <v>555</v>
      </c>
    </row>
    <row r="18" spans="1:38" x14ac:dyDescent="0.2">
      <c r="A18">
        <v>2336905</v>
      </c>
      <c r="B18">
        <v>7975244</v>
      </c>
      <c r="C18">
        <v>187508</v>
      </c>
      <c r="E18" t="b">
        <v>0</v>
      </c>
      <c r="F18">
        <v>70613</v>
      </c>
      <c r="G18" t="s">
        <v>625</v>
      </c>
      <c r="H18">
        <v>8</v>
      </c>
      <c r="I18" t="s">
        <v>646</v>
      </c>
      <c r="J18" t="s">
        <v>538</v>
      </c>
      <c r="K18" t="s">
        <v>539</v>
      </c>
      <c r="L18" t="s">
        <v>539</v>
      </c>
      <c r="M18" t="s">
        <v>647</v>
      </c>
      <c r="N18" t="s">
        <v>499</v>
      </c>
      <c r="O18" t="s">
        <v>501</v>
      </c>
      <c r="P18" t="s">
        <v>500</v>
      </c>
      <c r="S18" t="s">
        <v>628</v>
      </c>
      <c r="U18" t="s">
        <v>629</v>
      </c>
      <c r="V18" t="s">
        <v>648</v>
      </c>
      <c r="W18" t="s">
        <v>446</v>
      </c>
      <c r="X18" t="s">
        <v>540</v>
      </c>
      <c r="Y18" t="s">
        <v>551</v>
      </c>
      <c r="Z18" t="s">
        <v>552</v>
      </c>
      <c r="AA18" t="s">
        <v>22</v>
      </c>
      <c r="AB18" t="s">
        <v>553</v>
      </c>
      <c r="AD18" t="s">
        <v>502</v>
      </c>
      <c r="AE18" t="s">
        <v>420</v>
      </c>
      <c r="AF18">
        <v>0</v>
      </c>
      <c r="AG18">
        <v>0</v>
      </c>
      <c r="AH18">
        <v>418.5</v>
      </c>
      <c r="AI18">
        <v>0</v>
      </c>
      <c r="AJ18" t="s">
        <v>554</v>
      </c>
      <c r="AK18" t="s">
        <v>553</v>
      </c>
      <c r="AL18" t="s">
        <v>555</v>
      </c>
    </row>
    <row r="19" spans="1:38" x14ac:dyDescent="0.2">
      <c r="A19">
        <v>1235639</v>
      </c>
      <c r="B19">
        <v>7975242</v>
      </c>
      <c r="C19">
        <v>187508</v>
      </c>
      <c r="E19" t="b">
        <v>0</v>
      </c>
      <c r="F19">
        <v>70613</v>
      </c>
      <c r="G19" t="s">
        <v>625</v>
      </c>
      <c r="H19">
        <v>6</v>
      </c>
      <c r="I19" t="s">
        <v>649</v>
      </c>
      <c r="J19" t="s">
        <v>538</v>
      </c>
      <c r="K19" t="s">
        <v>539</v>
      </c>
      <c r="L19" t="s">
        <v>539</v>
      </c>
      <c r="M19" t="s">
        <v>650</v>
      </c>
      <c r="N19" t="s">
        <v>471</v>
      </c>
      <c r="O19" t="s">
        <v>176</v>
      </c>
      <c r="P19" t="s">
        <v>472</v>
      </c>
      <c r="S19" t="s">
        <v>628</v>
      </c>
      <c r="U19" t="s">
        <v>629</v>
      </c>
      <c r="V19" t="s">
        <v>651</v>
      </c>
      <c r="W19" t="s">
        <v>446</v>
      </c>
      <c r="X19" t="s">
        <v>540</v>
      </c>
      <c r="Y19" t="s">
        <v>551</v>
      </c>
      <c r="Z19" t="s">
        <v>552</v>
      </c>
      <c r="AA19" t="s">
        <v>22</v>
      </c>
      <c r="AB19" t="s">
        <v>553</v>
      </c>
      <c r="AD19" t="s">
        <v>175</v>
      </c>
      <c r="AE19" t="s">
        <v>420</v>
      </c>
      <c r="AF19">
        <v>0</v>
      </c>
      <c r="AG19">
        <v>0</v>
      </c>
      <c r="AH19">
        <v>418.5</v>
      </c>
      <c r="AI19">
        <v>0</v>
      </c>
      <c r="AJ19" t="s">
        <v>554</v>
      </c>
      <c r="AK19" t="s">
        <v>553</v>
      </c>
      <c r="AL19" t="s">
        <v>555</v>
      </c>
    </row>
    <row r="20" spans="1:38" x14ac:dyDescent="0.2">
      <c r="A20">
        <v>1235626</v>
      </c>
      <c r="B20">
        <v>7975238</v>
      </c>
      <c r="C20">
        <v>187508</v>
      </c>
      <c r="E20" t="b">
        <v>0</v>
      </c>
      <c r="F20">
        <v>70613</v>
      </c>
      <c r="G20" t="s">
        <v>625</v>
      </c>
      <c r="H20">
        <v>2</v>
      </c>
      <c r="I20" t="s">
        <v>652</v>
      </c>
      <c r="J20" t="s">
        <v>538</v>
      </c>
      <c r="K20" t="s">
        <v>539</v>
      </c>
      <c r="L20" t="s">
        <v>539</v>
      </c>
      <c r="M20" t="s">
        <v>653</v>
      </c>
      <c r="N20" t="s">
        <v>467</v>
      </c>
      <c r="O20" t="s">
        <v>184</v>
      </c>
      <c r="P20" t="s">
        <v>468</v>
      </c>
      <c r="S20" t="s">
        <v>628</v>
      </c>
      <c r="U20" t="s">
        <v>629</v>
      </c>
      <c r="V20" t="s">
        <v>654</v>
      </c>
      <c r="W20" t="s">
        <v>446</v>
      </c>
      <c r="X20" t="s">
        <v>540</v>
      </c>
      <c r="Y20" t="s">
        <v>551</v>
      </c>
      <c r="Z20" t="s">
        <v>552</v>
      </c>
      <c r="AA20" t="s">
        <v>22</v>
      </c>
      <c r="AB20" t="s">
        <v>553</v>
      </c>
      <c r="AD20" t="s">
        <v>183</v>
      </c>
      <c r="AE20" t="s">
        <v>420</v>
      </c>
      <c r="AF20">
        <v>0</v>
      </c>
      <c r="AG20">
        <v>0</v>
      </c>
      <c r="AH20">
        <v>418.5</v>
      </c>
      <c r="AI20">
        <v>0</v>
      </c>
      <c r="AJ20" t="s">
        <v>554</v>
      </c>
      <c r="AK20" t="s">
        <v>553</v>
      </c>
      <c r="AL20" t="s">
        <v>555</v>
      </c>
    </row>
    <row r="21" spans="1:38" x14ac:dyDescent="0.2">
      <c r="A21">
        <v>1235522</v>
      </c>
      <c r="B21">
        <v>7975240</v>
      </c>
      <c r="C21">
        <v>187508</v>
      </c>
      <c r="E21" t="b">
        <v>0</v>
      </c>
      <c r="F21">
        <v>70613</v>
      </c>
      <c r="G21" t="s">
        <v>625</v>
      </c>
      <c r="H21">
        <v>4</v>
      </c>
      <c r="I21" t="s">
        <v>655</v>
      </c>
      <c r="J21" t="s">
        <v>538</v>
      </c>
      <c r="K21" t="s">
        <v>539</v>
      </c>
      <c r="L21" t="s">
        <v>539</v>
      </c>
      <c r="M21" t="s">
        <v>656</v>
      </c>
      <c r="N21" t="s">
        <v>445</v>
      </c>
      <c r="O21" t="s">
        <v>182</v>
      </c>
      <c r="P21" t="s">
        <v>446</v>
      </c>
      <c r="S21" t="s">
        <v>628</v>
      </c>
      <c r="U21" t="s">
        <v>629</v>
      </c>
      <c r="V21" t="s">
        <v>657</v>
      </c>
      <c r="W21" t="s">
        <v>446</v>
      </c>
      <c r="X21" t="s">
        <v>540</v>
      </c>
      <c r="Y21" t="s">
        <v>551</v>
      </c>
      <c r="Z21" t="s">
        <v>552</v>
      </c>
      <c r="AA21" t="s">
        <v>22</v>
      </c>
      <c r="AB21" t="s">
        <v>553</v>
      </c>
      <c r="AD21" t="s">
        <v>181</v>
      </c>
      <c r="AE21" t="s">
        <v>420</v>
      </c>
      <c r="AF21">
        <v>0</v>
      </c>
      <c r="AG21">
        <v>0</v>
      </c>
      <c r="AH21">
        <v>418.5</v>
      </c>
      <c r="AI21">
        <v>0</v>
      </c>
      <c r="AJ21" t="s">
        <v>554</v>
      </c>
      <c r="AK21" t="s">
        <v>553</v>
      </c>
      <c r="AL21" t="s">
        <v>555</v>
      </c>
    </row>
    <row r="23" spans="1:38" x14ac:dyDescent="0.2">
      <c r="A23">
        <v>1235770</v>
      </c>
      <c r="B23">
        <v>8030104</v>
      </c>
      <c r="C23">
        <v>187514</v>
      </c>
      <c r="E23" t="b">
        <v>0</v>
      </c>
      <c r="F23">
        <v>71864</v>
      </c>
      <c r="G23" t="s">
        <v>658</v>
      </c>
      <c r="H23">
        <v>1</v>
      </c>
      <c r="I23" t="s">
        <v>659</v>
      </c>
      <c r="J23" t="s">
        <v>538</v>
      </c>
      <c r="K23" t="s">
        <v>539</v>
      </c>
      <c r="L23" t="s">
        <v>539</v>
      </c>
      <c r="M23" t="s">
        <v>660</v>
      </c>
      <c r="N23" t="s">
        <v>490</v>
      </c>
      <c r="O23" t="s">
        <v>491</v>
      </c>
      <c r="U23" t="s">
        <v>661</v>
      </c>
      <c r="V23" t="s">
        <v>662</v>
      </c>
      <c r="W23" t="s">
        <v>496</v>
      </c>
      <c r="X23" t="s">
        <v>540</v>
      </c>
      <c r="Y23" t="s">
        <v>417</v>
      </c>
      <c r="Z23" t="s">
        <v>552</v>
      </c>
      <c r="AB23" t="s">
        <v>663</v>
      </c>
      <c r="AD23" t="s">
        <v>234</v>
      </c>
      <c r="AE23" t="s">
        <v>492</v>
      </c>
      <c r="AF23">
        <v>0</v>
      </c>
      <c r="AG23">
        <v>0</v>
      </c>
      <c r="AH23">
        <v>0</v>
      </c>
      <c r="AI23">
        <v>0</v>
      </c>
      <c r="AJ23" t="s">
        <v>554</v>
      </c>
      <c r="AK23" t="s">
        <v>663</v>
      </c>
      <c r="AL23" t="s">
        <v>555</v>
      </c>
    </row>
    <row r="24" spans="1:38" x14ac:dyDescent="0.2">
      <c r="A24">
        <v>1235767</v>
      </c>
    </row>
    <row r="25" spans="1:38" x14ac:dyDescent="0.2">
      <c r="A25">
        <v>1235772</v>
      </c>
    </row>
    <row r="26" spans="1:38" x14ac:dyDescent="0.2">
      <c r="A26">
        <v>1235660</v>
      </c>
      <c r="B26">
        <v>7612900</v>
      </c>
      <c r="C26">
        <v>187509</v>
      </c>
      <c r="E26" t="b">
        <v>0</v>
      </c>
      <c r="F26">
        <v>64197</v>
      </c>
      <c r="G26" t="s">
        <v>664</v>
      </c>
      <c r="H26">
        <v>1</v>
      </c>
      <c r="I26" t="s">
        <v>665</v>
      </c>
      <c r="J26" t="s">
        <v>538</v>
      </c>
      <c r="K26" t="s">
        <v>539</v>
      </c>
      <c r="L26" t="s">
        <v>539</v>
      </c>
      <c r="M26" t="s">
        <v>666</v>
      </c>
      <c r="N26" t="s">
        <v>200</v>
      </c>
      <c r="O26" t="s">
        <v>477</v>
      </c>
      <c r="U26" t="s">
        <v>667</v>
      </c>
      <c r="V26" t="s">
        <v>668</v>
      </c>
      <c r="W26" t="s">
        <v>107</v>
      </c>
      <c r="X26" t="s">
        <v>540</v>
      </c>
      <c r="Y26" t="s">
        <v>116</v>
      </c>
      <c r="AB26" t="s">
        <v>663</v>
      </c>
      <c r="AD26" t="s">
        <v>236</v>
      </c>
      <c r="AE26" t="s">
        <v>436</v>
      </c>
      <c r="AF26">
        <v>0</v>
      </c>
      <c r="AG26">
        <v>0</v>
      </c>
      <c r="AI26">
        <v>0</v>
      </c>
      <c r="AJ26" t="s">
        <v>554</v>
      </c>
      <c r="AK26" t="s">
        <v>663</v>
      </c>
      <c r="AL26" t="s">
        <v>587</v>
      </c>
    </row>
    <row r="27" spans="1:38" x14ac:dyDescent="0.2">
      <c r="A27">
        <v>1235502</v>
      </c>
      <c r="B27">
        <v>6008756</v>
      </c>
      <c r="C27">
        <v>187514</v>
      </c>
      <c r="E27" t="b">
        <v>0</v>
      </c>
      <c r="F27">
        <v>41783</v>
      </c>
      <c r="G27" t="s">
        <v>669</v>
      </c>
      <c r="H27">
        <v>1</v>
      </c>
      <c r="I27" t="s">
        <v>670</v>
      </c>
      <c r="J27" t="s">
        <v>538</v>
      </c>
      <c r="K27" t="s">
        <v>539</v>
      </c>
      <c r="L27" t="s">
        <v>539</v>
      </c>
      <c r="M27" t="s">
        <v>671</v>
      </c>
      <c r="N27" t="s">
        <v>201</v>
      </c>
      <c r="O27" t="s">
        <v>435</v>
      </c>
      <c r="U27" t="s">
        <v>672</v>
      </c>
      <c r="V27" t="s">
        <v>673</v>
      </c>
      <c r="W27" t="s">
        <v>168</v>
      </c>
      <c r="X27" t="s">
        <v>540</v>
      </c>
      <c r="Y27" t="s">
        <v>116</v>
      </c>
      <c r="Z27" t="s">
        <v>552</v>
      </c>
      <c r="AB27" t="s">
        <v>663</v>
      </c>
      <c r="AD27" t="s">
        <v>237</v>
      </c>
      <c r="AE27" t="s">
        <v>436</v>
      </c>
      <c r="AF27">
        <v>0</v>
      </c>
      <c r="AG27">
        <v>0</v>
      </c>
      <c r="AH27">
        <v>27.5</v>
      </c>
      <c r="AI27">
        <v>0</v>
      </c>
      <c r="AJ27" t="s">
        <v>554</v>
      </c>
      <c r="AK27" t="s">
        <v>663</v>
      </c>
      <c r="AL27" t="s">
        <v>555</v>
      </c>
    </row>
    <row r="28" spans="1:38" x14ac:dyDescent="0.2">
      <c r="A28">
        <v>1235505</v>
      </c>
      <c r="B28">
        <v>7971837</v>
      </c>
      <c r="C28">
        <v>187514</v>
      </c>
      <c r="E28" t="b">
        <v>0</v>
      </c>
      <c r="F28">
        <v>70496</v>
      </c>
      <c r="G28" t="s">
        <v>674</v>
      </c>
      <c r="H28">
        <v>1</v>
      </c>
      <c r="I28" t="s">
        <v>675</v>
      </c>
      <c r="J28" t="s">
        <v>538</v>
      </c>
      <c r="K28" t="s">
        <v>539</v>
      </c>
      <c r="L28" t="s">
        <v>539</v>
      </c>
      <c r="M28" t="s">
        <v>676</v>
      </c>
      <c r="N28" t="s">
        <v>202</v>
      </c>
      <c r="O28" t="s">
        <v>439</v>
      </c>
      <c r="S28" t="s">
        <v>677</v>
      </c>
      <c r="U28" t="s">
        <v>678</v>
      </c>
      <c r="V28" t="s">
        <v>679</v>
      </c>
      <c r="W28" t="s">
        <v>509</v>
      </c>
      <c r="X28" t="s">
        <v>540</v>
      </c>
      <c r="Y28" t="s">
        <v>417</v>
      </c>
      <c r="Z28" t="s">
        <v>552</v>
      </c>
      <c r="AB28" t="s">
        <v>663</v>
      </c>
      <c r="AD28" t="s">
        <v>238</v>
      </c>
      <c r="AE28" t="s">
        <v>436</v>
      </c>
      <c r="AF28">
        <v>0</v>
      </c>
      <c r="AG28">
        <v>0</v>
      </c>
      <c r="AH28">
        <v>75</v>
      </c>
      <c r="AI28">
        <v>0</v>
      </c>
      <c r="AJ28" t="s">
        <v>554</v>
      </c>
      <c r="AK28" t="s">
        <v>663</v>
      </c>
      <c r="AL28" t="s">
        <v>555</v>
      </c>
    </row>
    <row r="29" spans="1:38" x14ac:dyDescent="0.2">
      <c r="A29">
        <v>1235646</v>
      </c>
      <c r="B29">
        <v>6249107</v>
      </c>
      <c r="C29">
        <v>187514</v>
      </c>
      <c r="E29" t="b">
        <v>0</v>
      </c>
      <c r="F29">
        <v>46530</v>
      </c>
      <c r="G29" t="s">
        <v>680</v>
      </c>
      <c r="H29">
        <v>1</v>
      </c>
      <c r="I29" t="s">
        <v>681</v>
      </c>
      <c r="J29" t="s">
        <v>538</v>
      </c>
      <c r="K29" t="s">
        <v>539</v>
      </c>
      <c r="L29" t="s">
        <v>539</v>
      </c>
      <c r="M29" t="s">
        <v>682</v>
      </c>
      <c r="N29" t="s">
        <v>203</v>
      </c>
      <c r="O29" t="s">
        <v>473</v>
      </c>
      <c r="U29" t="s">
        <v>683</v>
      </c>
      <c r="V29" t="s">
        <v>684</v>
      </c>
      <c r="W29" t="s">
        <v>168</v>
      </c>
      <c r="X29" t="s">
        <v>540</v>
      </c>
      <c r="Y29" t="s">
        <v>551</v>
      </c>
      <c r="AB29" t="s">
        <v>663</v>
      </c>
      <c r="AD29" t="s">
        <v>239</v>
      </c>
      <c r="AE29" t="s">
        <v>474</v>
      </c>
      <c r="AF29">
        <v>0</v>
      </c>
      <c r="AG29">
        <v>0</v>
      </c>
      <c r="AI29">
        <v>0</v>
      </c>
      <c r="AJ29" t="s">
        <v>554</v>
      </c>
      <c r="AK29" t="s">
        <v>663</v>
      </c>
      <c r="AL29" t="s">
        <v>555</v>
      </c>
    </row>
    <row r="30" spans="1:38" x14ac:dyDescent="0.2">
      <c r="A30">
        <v>1235659</v>
      </c>
      <c r="B30">
        <v>8065644</v>
      </c>
      <c r="C30">
        <v>187514</v>
      </c>
      <c r="E30" t="b">
        <v>0</v>
      </c>
      <c r="F30">
        <v>72594</v>
      </c>
      <c r="G30" t="s">
        <v>685</v>
      </c>
      <c r="H30">
        <v>1</v>
      </c>
      <c r="I30" t="s">
        <v>686</v>
      </c>
      <c r="J30" t="s">
        <v>538</v>
      </c>
      <c r="K30" t="s">
        <v>539</v>
      </c>
      <c r="L30" t="s">
        <v>539</v>
      </c>
      <c r="M30" t="s">
        <v>687</v>
      </c>
      <c r="N30" t="s">
        <v>204</v>
      </c>
      <c r="O30" t="s">
        <v>475</v>
      </c>
      <c r="U30" t="s">
        <v>688</v>
      </c>
      <c r="V30" t="s">
        <v>689</v>
      </c>
      <c r="W30" t="s">
        <v>460</v>
      </c>
      <c r="X30" t="s">
        <v>540</v>
      </c>
      <c r="Y30" t="s">
        <v>417</v>
      </c>
      <c r="Z30" t="s">
        <v>552</v>
      </c>
      <c r="AB30" t="s">
        <v>663</v>
      </c>
      <c r="AD30" t="s">
        <v>240</v>
      </c>
      <c r="AE30" t="s">
        <v>476</v>
      </c>
      <c r="AF30">
        <v>0</v>
      </c>
      <c r="AG30">
        <v>0</v>
      </c>
      <c r="AH30">
        <v>0</v>
      </c>
      <c r="AI30">
        <v>0</v>
      </c>
      <c r="AJ30" t="s">
        <v>554</v>
      </c>
      <c r="AK30" t="s">
        <v>663</v>
      </c>
      <c r="AL30" t="s">
        <v>555</v>
      </c>
    </row>
    <row r="31" spans="1:38" x14ac:dyDescent="0.2">
      <c r="A31">
        <v>1235504</v>
      </c>
      <c r="B31">
        <v>6820976</v>
      </c>
      <c r="C31">
        <v>187514</v>
      </c>
      <c r="E31" t="b">
        <v>0</v>
      </c>
      <c r="F31">
        <v>50724</v>
      </c>
      <c r="G31" t="s">
        <v>690</v>
      </c>
      <c r="H31">
        <v>1</v>
      </c>
      <c r="I31" t="s">
        <v>691</v>
      </c>
      <c r="J31" t="s">
        <v>538</v>
      </c>
      <c r="K31" t="s">
        <v>539</v>
      </c>
      <c r="L31" t="s">
        <v>539</v>
      </c>
      <c r="M31" t="s">
        <v>692</v>
      </c>
      <c r="N31" t="s">
        <v>205</v>
      </c>
      <c r="O31" t="s">
        <v>438</v>
      </c>
      <c r="U31" t="s">
        <v>693</v>
      </c>
      <c r="V31" t="s">
        <v>694</v>
      </c>
      <c r="W31" t="s">
        <v>487</v>
      </c>
      <c r="X31" t="s">
        <v>540</v>
      </c>
      <c r="Y31" t="s">
        <v>551</v>
      </c>
      <c r="Z31" t="s">
        <v>552</v>
      </c>
      <c r="AB31" t="s">
        <v>663</v>
      </c>
      <c r="AD31" t="s">
        <v>241</v>
      </c>
      <c r="AE31" t="s">
        <v>436</v>
      </c>
      <c r="AF31">
        <v>0</v>
      </c>
      <c r="AG31">
        <v>0</v>
      </c>
      <c r="AH31">
        <v>27.5</v>
      </c>
      <c r="AI31">
        <v>0</v>
      </c>
      <c r="AJ31" t="s">
        <v>554</v>
      </c>
      <c r="AK31" t="s">
        <v>663</v>
      </c>
      <c r="AL31" t="s">
        <v>555</v>
      </c>
    </row>
    <row r="32" spans="1:38" x14ac:dyDescent="0.2">
      <c r="A32">
        <v>1235506</v>
      </c>
      <c r="B32">
        <v>7162110</v>
      </c>
      <c r="C32">
        <v>187514</v>
      </c>
      <c r="E32" t="b">
        <v>0</v>
      </c>
      <c r="F32">
        <v>57050</v>
      </c>
      <c r="G32" t="s">
        <v>695</v>
      </c>
      <c r="H32">
        <v>1</v>
      </c>
      <c r="I32" t="s">
        <v>696</v>
      </c>
      <c r="J32" t="s">
        <v>538</v>
      </c>
      <c r="K32" t="s">
        <v>539</v>
      </c>
      <c r="L32" t="s">
        <v>539</v>
      </c>
      <c r="M32" t="s">
        <v>697</v>
      </c>
      <c r="N32" t="s">
        <v>206</v>
      </c>
      <c r="O32" t="s">
        <v>440</v>
      </c>
      <c r="U32" t="s">
        <v>698</v>
      </c>
      <c r="V32" t="s">
        <v>699</v>
      </c>
      <c r="W32" t="s">
        <v>107</v>
      </c>
      <c r="X32" t="s">
        <v>540</v>
      </c>
      <c r="Y32" t="s">
        <v>551</v>
      </c>
      <c r="AB32" t="s">
        <v>663</v>
      </c>
      <c r="AD32" t="s">
        <v>242</v>
      </c>
      <c r="AE32" t="s">
        <v>436</v>
      </c>
      <c r="AF32">
        <v>0</v>
      </c>
      <c r="AG32">
        <v>0</v>
      </c>
      <c r="AI32">
        <v>0</v>
      </c>
      <c r="AJ32" t="s">
        <v>554</v>
      </c>
      <c r="AK32" t="s">
        <v>663</v>
      </c>
      <c r="AL32" t="s">
        <v>555</v>
      </c>
    </row>
    <row r="33" spans="1:38" x14ac:dyDescent="0.2">
      <c r="A33">
        <v>1235510</v>
      </c>
      <c r="B33">
        <v>6129692</v>
      </c>
      <c r="C33">
        <v>187514</v>
      </c>
      <c r="E33" t="b">
        <v>0</v>
      </c>
      <c r="F33">
        <v>44349</v>
      </c>
      <c r="G33" t="s">
        <v>700</v>
      </c>
      <c r="H33">
        <v>1</v>
      </c>
      <c r="I33" t="s">
        <v>701</v>
      </c>
      <c r="J33" t="s">
        <v>538</v>
      </c>
      <c r="K33" t="s">
        <v>539</v>
      </c>
      <c r="L33" t="s">
        <v>539</v>
      </c>
      <c r="M33" t="s">
        <v>702</v>
      </c>
      <c r="N33" t="s">
        <v>207</v>
      </c>
      <c r="O33" t="s">
        <v>444</v>
      </c>
      <c r="U33" t="s">
        <v>703</v>
      </c>
      <c r="V33" t="s">
        <v>704</v>
      </c>
      <c r="W33" t="s">
        <v>705</v>
      </c>
      <c r="X33" t="s">
        <v>540</v>
      </c>
      <c r="Y33" t="s">
        <v>551</v>
      </c>
      <c r="AB33" t="s">
        <v>663</v>
      </c>
      <c r="AD33" t="s">
        <v>243</v>
      </c>
      <c r="AE33" t="s">
        <v>436</v>
      </c>
      <c r="AF33">
        <v>0</v>
      </c>
      <c r="AG33">
        <v>0</v>
      </c>
      <c r="AI33">
        <v>0</v>
      </c>
      <c r="AJ33" t="s">
        <v>554</v>
      </c>
      <c r="AK33" t="s">
        <v>663</v>
      </c>
      <c r="AL33" t="s">
        <v>555</v>
      </c>
    </row>
    <row r="34" spans="1:38" x14ac:dyDescent="0.2">
      <c r="A34">
        <v>1235590</v>
      </c>
      <c r="B34">
        <v>7948956</v>
      </c>
      <c r="C34">
        <v>187514</v>
      </c>
      <c r="E34" t="b">
        <v>0</v>
      </c>
      <c r="F34">
        <v>70164</v>
      </c>
      <c r="G34" t="s">
        <v>706</v>
      </c>
      <c r="H34">
        <v>1</v>
      </c>
      <c r="I34" t="s">
        <v>707</v>
      </c>
      <c r="J34" t="s">
        <v>708</v>
      </c>
      <c r="K34" t="s">
        <v>539</v>
      </c>
      <c r="L34" t="s">
        <v>539</v>
      </c>
      <c r="M34" t="s">
        <v>709</v>
      </c>
      <c r="N34" t="s">
        <v>209</v>
      </c>
      <c r="O34" t="s">
        <v>208</v>
      </c>
      <c r="U34" t="s">
        <v>710</v>
      </c>
      <c r="X34" t="s">
        <v>540</v>
      </c>
      <c r="Y34" t="s">
        <v>116</v>
      </c>
      <c r="Z34" t="s">
        <v>552</v>
      </c>
      <c r="AD34" t="s">
        <v>244</v>
      </c>
      <c r="AE34" t="s">
        <v>436</v>
      </c>
      <c r="AJ34" t="s">
        <v>554</v>
      </c>
      <c r="AK34" t="s">
        <v>663</v>
      </c>
      <c r="AL34" t="s">
        <v>555</v>
      </c>
    </row>
    <row r="35" spans="1:38" x14ac:dyDescent="0.2">
      <c r="A35">
        <v>1235489</v>
      </c>
      <c r="B35">
        <v>7008912</v>
      </c>
      <c r="C35">
        <v>187510</v>
      </c>
      <c r="E35" t="b">
        <v>0</v>
      </c>
      <c r="F35">
        <v>53750</v>
      </c>
      <c r="G35" t="s">
        <v>711</v>
      </c>
      <c r="H35">
        <v>1</v>
      </c>
      <c r="I35" t="s">
        <v>712</v>
      </c>
      <c r="J35" t="s">
        <v>538</v>
      </c>
      <c r="K35" t="s">
        <v>537</v>
      </c>
      <c r="L35" t="s">
        <v>539</v>
      </c>
      <c r="M35" t="s">
        <v>713</v>
      </c>
      <c r="N35" t="s">
        <v>428</v>
      </c>
      <c r="O35" t="s">
        <v>430</v>
      </c>
      <c r="S35" t="s">
        <v>591</v>
      </c>
      <c r="U35" t="s">
        <v>714</v>
      </c>
      <c r="V35" t="s">
        <v>715</v>
      </c>
      <c r="W35" t="s">
        <v>446</v>
      </c>
      <c r="X35" t="s">
        <v>540</v>
      </c>
      <c r="Y35" t="s">
        <v>116</v>
      </c>
      <c r="Z35" t="s">
        <v>552</v>
      </c>
      <c r="AA35" t="s">
        <v>22</v>
      </c>
      <c r="AB35" t="s">
        <v>595</v>
      </c>
      <c r="AD35" t="s">
        <v>431</v>
      </c>
      <c r="AE35" t="s">
        <v>431</v>
      </c>
      <c r="AF35">
        <v>0</v>
      </c>
      <c r="AG35">
        <v>0</v>
      </c>
      <c r="AH35">
        <v>76.25</v>
      </c>
      <c r="AI35">
        <v>0</v>
      </c>
      <c r="AJ35" t="s">
        <v>554</v>
      </c>
      <c r="AK35" t="s">
        <v>595</v>
      </c>
      <c r="AL35" t="s">
        <v>555</v>
      </c>
    </row>
    <row r="36" spans="1:38" x14ac:dyDescent="0.2">
      <c r="A36">
        <v>1235508</v>
      </c>
      <c r="B36">
        <v>4996970</v>
      </c>
      <c r="C36">
        <v>187508</v>
      </c>
      <c r="E36" t="b">
        <v>0</v>
      </c>
      <c r="F36">
        <v>28336</v>
      </c>
      <c r="G36" t="s">
        <v>716</v>
      </c>
      <c r="H36">
        <v>1</v>
      </c>
      <c r="I36" t="s">
        <v>717</v>
      </c>
      <c r="J36" t="s">
        <v>538</v>
      </c>
      <c r="K36" t="s">
        <v>539</v>
      </c>
      <c r="L36" t="s">
        <v>539</v>
      </c>
      <c r="M36" t="s">
        <v>718</v>
      </c>
      <c r="N36" t="s">
        <v>719</v>
      </c>
      <c r="O36" t="s">
        <v>442</v>
      </c>
      <c r="U36" t="s">
        <v>720</v>
      </c>
      <c r="X36" t="s">
        <v>540</v>
      </c>
      <c r="Y36" t="s">
        <v>116</v>
      </c>
      <c r="Z36" t="s">
        <v>552</v>
      </c>
      <c r="AD36" t="s">
        <v>721</v>
      </c>
      <c r="AE36" t="s">
        <v>415</v>
      </c>
      <c r="AJ36" t="s">
        <v>554</v>
      </c>
      <c r="AK36" t="s">
        <v>553</v>
      </c>
      <c r="AL36" t="s">
        <v>555</v>
      </c>
    </row>
    <row r="37" spans="1:38" x14ac:dyDescent="0.2">
      <c r="A37">
        <v>1235777</v>
      </c>
      <c r="B37">
        <v>5034456</v>
      </c>
      <c r="C37">
        <v>187514</v>
      </c>
      <c r="E37" t="b">
        <v>0</v>
      </c>
      <c r="F37">
        <v>29273</v>
      </c>
      <c r="G37" t="s">
        <v>722</v>
      </c>
      <c r="H37">
        <v>1</v>
      </c>
      <c r="I37" t="s">
        <v>723</v>
      </c>
      <c r="J37" t="s">
        <v>538</v>
      </c>
      <c r="K37" t="s">
        <v>539</v>
      </c>
      <c r="L37" t="s">
        <v>539</v>
      </c>
      <c r="M37" t="s">
        <v>724</v>
      </c>
      <c r="N37" t="s">
        <v>210</v>
      </c>
      <c r="O37" t="s">
        <v>493</v>
      </c>
      <c r="S37" t="s">
        <v>677</v>
      </c>
      <c r="V37" t="s">
        <v>725</v>
      </c>
      <c r="W37" t="s">
        <v>726</v>
      </c>
      <c r="X37" t="s">
        <v>540</v>
      </c>
      <c r="Y37" t="s">
        <v>116</v>
      </c>
      <c r="Z37" t="s">
        <v>552</v>
      </c>
      <c r="AB37" t="s">
        <v>663</v>
      </c>
      <c r="AD37" t="s">
        <v>246</v>
      </c>
      <c r="AE37" t="s">
        <v>494</v>
      </c>
      <c r="AF37">
        <v>0</v>
      </c>
      <c r="AG37">
        <v>0</v>
      </c>
      <c r="AH37">
        <v>27.5</v>
      </c>
      <c r="AI37">
        <v>0</v>
      </c>
      <c r="AJ37" t="s">
        <v>554</v>
      </c>
      <c r="AK37" t="s">
        <v>663</v>
      </c>
      <c r="AL37" t="s">
        <v>555</v>
      </c>
    </row>
    <row r="38" spans="1:38" x14ac:dyDescent="0.2">
      <c r="A38">
        <v>1235400</v>
      </c>
      <c r="B38">
        <v>6119636</v>
      </c>
      <c r="C38">
        <v>187514</v>
      </c>
      <c r="E38" t="b">
        <v>0</v>
      </c>
      <c r="F38">
        <v>44172</v>
      </c>
      <c r="G38" t="s">
        <v>727</v>
      </c>
      <c r="H38">
        <v>1</v>
      </c>
      <c r="I38" t="s">
        <v>728</v>
      </c>
      <c r="J38" t="s">
        <v>538</v>
      </c>
      <c r="K38" t="s">
        <v>539</v>
      </c>
      <c r="L38" t="s">
        <v>539</v>
      </c>
      <c r="M38" t="s">
        <v>729</v>
      </c>
      <c r="N38" t="s">
        <v>211</v>
      </c>
      <c r="O38" t="s">
        <v>414</v>
      </c>
      <c r="U38" t="s">
        <v>730</v>
      </c>
      <c r="V38" t="s">
        <v>731</v>
      </c>
      <c r="W38" t="s">
        <v>705</v>
      </c>
      <c r="X38" t="s">
        <v>540</v>
      </c>
      <c r="Y38" t="s">
        <v>551</v>
      </c>
      <c r="AB38" t="s">
        <v>663</v>
      </c>
      <c r="AD38" t="s">
        <v>247</v>
      </c>
      <c r="AE38" t="s">
        <v>415</v>
      </c>
      <c r="AF38">
        <v>0</v>
      </c>
      <c r="AG38">
        <v>0</v>
      </c>
      <c r="AI38">
        <v>0</v>
      </c>
      <c r="AJ38" t="s">
        <v>554</v>
      </c>
      <c r="AK38" t="s">
        <v>663</v>
      </c>
      <c r="AL38" t="s">
        <v>555</v>
      </c>
    </row>
    <row r="39" spans="1:38" x14ac:dyDescent="0.2">
      <c r="A39">
        <v>1235661</v>
      </c>
      <c r="B39">
        <v>8074219</v>
      </c>
      <c r="C39">
        <v>187514</v>
      </c>
      <c r="E39" t="b">
        <v>0</v>
      </c>
      <c r="F39">
        <v>72769</v>
      </c>
      <c r="G39" t="s">
        <v>732</v>
      </c>
      <c r="H39">
        <v>1</v>
      </c>
      <c r="I39" t="s">
        <v>733</v>
      </c>
      <c r="J39" t="s">
        <v>538</v>
      </c>
      <c r="K39" t="s">
        <v>539</v>
      </c>
      <c r="L39" t="s">
        <v>539</v>
      </c>
      <c r="M39" t="s">
        <v>734</v>
      </c>
      <c r="N39" t="s">
        <v>212</v>
      </c>
      <c r="O39" t="s">
        <v>478</v>
      </c>
      <c r="S39" t="s">
        <v>677</v>
      </c>
      <c r="U39" t="s">
        <v>735</v>
      </c>
      <c r="V39" t="s">
        <v>736</v>
      </c>
      <c r="W39" t="s">
        <v>509</v>
      </c>
      <c r="X39" t="s">
        <v>540</v>
      </c>
      <c r="Y39" t="s">
        <v>551</v>
      </c>
      <c r="Z39" t="s">
        <v>552</v>
      </c>
      <c r="AB39" t="s">
        <v>663</v>
      </c>
      <c r="AD39" t="s">
        <v>248</v>
      </c>
      <c r="AE39" t="s">
        <v>415</v>
      </c>
      <c r="AF39">
        <v>0</v>
      </c>
      <c r="AG39">
        <v>0</v>
      </c>
      <c r="AH39">
        <v>0</v>
      </c>
      <c r="AI39">
        <v>0</v>
      </c>
      <c r="AJ39" t="s">
        <v>554</v>
      </c>
      <c r="AK39" t="s">
        <v>663</v>
      </c>
      <c r="AL39" t="s">
        <v>555</v>
      </c>
    </row>
    <row r="40" spans="1:38" x14ac:dyDescent="0.2">
      <c r="A40">
        <v>1235507</v>
      </c>
      <c r="B40">
        <v>8085736</v>
      </c>
      <c r="C40">
        <v>187514</v>
      </c>
      <c r="E40" t="b">
        <v>0</v>
      </c>
      <c r="F40">
        <v>72935</v>
      </c>
      <c r="G40" t="s">
        <v>737</v>
      </c>
      <c r="H40">
        <v>1</v>
      </c>
      <c r="I40" t="s">
        <v>738</v>
      </c>
      <c r="J40" t="s">
        <v>537</v>
      </c>
      <c r="K40" t="s">
        <v>537</v>
      </c>
      <c r="L40" t="s">
        <v>537</v>
      </c>
      <c r="M40" t="s">
        <v>739</v>
      </c>
      <c r="N40" t="s">
        <v>213</v>
      </c>
      <c r="O40" t="s">
        <v>441</v>
      </c>
      <c r="U40" t="s">
        <v>740</v>
      </c>
      <c r="V40" t="s">
        <v>741</v>
      </c>
      <c r="W40" t="s">
        <v>472</v>
      </c>
      <c r="X40" t="s">
        <v>540</v>
      </c>
      <c r="Y40" t="s">
        <v>551</v>
      </c>
      <c r="AB40" t="s">
        <v>663</v>
      </c>
      <c r="AD40" t="s">
        <v>249</v>
      </c>
      <c r="AE40" t="s">
        <v>415</v>
      </c>
      <c r="AF40">
        <v>0</v>
      </c>
      <c r="AG40">
        <v>0</v>
      </c>
      <c r="AI40">
        <v>0</v>
      </c>
      <c r="AJ40" t="s">
        <v>554</v>
      </c>
      <c r="AK40" t="s">
        <v>663</v>
      </c>
      <c r="AL40" t="s">
        <v>555</v>
      </c>
    </row>
    <row r="42" spans="1:38" x14ac:dyDescent="0.2">
      <c r="A42">
        <v>1235500</v>
      </c>
      <c r="B42">
        <v>8128420</v>
      </c>
      <c r="C42">
        <v>187514</v>
      </c>
      <c r="E42" t="b">
        <v>0</v>
      </c>
      <c r="F42">
        <v>73271</v>
      </c>
      <c r="G42" t="s">
        <v>742</v>
      </c>
      <c r="H42">
        <v>1</v>
      </c>
      <c r="I42" t="s">
        <v>743</v>
      </c>
      <c r="J42" t="s">
        <v>538</v>
      </c>
      <c r="K42" t="s">
        <v>537</v>
      </c>
      <c r="L42" t="s">
        <v>539</v>
      </c>
      <c r="M42" t="s">
        <v>744</v>
      </c>
      <c r="N42" t="s">
        <v>214</v>
      </c>
      <c r="O42" t="s">
        <v>433</v>
      </c>
      <c r="U42" t="s">
        <v>745</v>
      </c>
      <c r="V42" t="s">
        <v>746</v>
      </c>
      <c r="W42" t="s">
        <v>107</v>
      </c>
      <c r="X42" t="s">
        <v>540</v>
      </c>
      <c r="Y42" t="s">
        <v>116</v>
      </c>
      <c r="Z42" t="s">
        <v>552</v>
      </c>
      <c r="AB42" t="s">
        <v>663</v>
      </c>
      <c r="AD42" t="s">
        <v>250</v>
      </c>
      <c r="AE42" t="s">
        <v>415</v>
      </c>
      <c r="AF42">
        <v>0</v>
      </c>
      <c r="AG42">
        <v>0</v>
      </c>
      <c r="AH42">
        <v>0</v>
      </c>
      <c r="AI42">
        <v>0</v>
      </c>
      <c r="AJ42" t="s">
        <v>554</v>
      </c>
      <c r="AK42" t="s">
        <v>663</v>
      </c>
      <c r="AL42" t="s">
        <v>555</v>
      </c>
    </row>
    <row r="43" spans="1:38" x14ac:dyDescent="0.2">
      <c r="A43">
        <v>1235509</v>
      </c>
      <c r="B43">
        <v>6206718</v>
      </c>
      <c r="C43">
        <v>187514</v>
      </c>
      <c r="E43" t="b">
        <v>0</v>
      </c>
      <c r="F43">
        <v>46040</v>
      </c>
      <c r="G43" t="s">
        <v>747</v>
      </c>
      <c r="H43">
        <v>2</v>
      </c>
      <c r="I43" t="s">
        <v>748</v>
      </c>
      <c r="J43" t="s">
        <v>538</v>
      </c>
      <c r="K43" t="s">
        <v>539</v>
      </c>
      <c r="L43" t="s">
        <v>539</v>
      </c>
      <c r="M43" t="s">
        <v>749</v>
      </c>
      <c r="N43" t="s">
        <v>215</v>
      </c>
      <c r="O43" t="s">
        <v>443</v>
      </c>
      <c r="U43" t="s">
        <v>750</v>
      </c>
      <c r="V43" t="s">
        <v>751</v>
      </c>
      <c r="W43" t="s">
        <v>726</v>
      </c>
      <c r="X43" t="s">
        <v>540</v>
      </c>
      <c r="Y43" t="s">
        <v>551</v>
      </c>
      <c r="AB43" t="s">
        <v>663</v>
      </c>
      <c r="AD43" t="s">
        <v>251</v>
      </c>
      <c r="AE43" t="s">
        <v>415</v>
      </c>
      <c r="AF43">
        <v>0</v>
      </c>
      <c r="AG43">
        <v>0</v>
      </c>
      <c r="AI43">
        <v>0</v>
      </c>
      <c r="AJ43" t="s">
        <v>554</v>
      </c>
      <c r="AK43" t="s">
        <v>663</v>
      </c>
      <c r="AL43" t="s">
        <v>555</v>
      </c>
    </row>
    <row r="44" spans="1:38" x14ac:dyDescent="0.2">
      <c r="A44">
        <v>1235498</v>
      </c>
      <c r="B44">
        <v>4234901</v>
      </c>
      <c r="C44">
        <v>187508</v>
      </c>
      <c r="E44" t="b">
        <v>0</v>
      </c>
      <c r="F44">
        <v>24455</v>
      </c>
      <c r="G44" t="s">
        <v>752</v>
      </c>
      <c r="H44">
        <v>1</v>
      </c>
      <c r="I44" t="s">
        <v>753</v>
      </c>
      <c r="J44" t="s">
        <v>538</v>
      </c>
      <c r="K44" t="s">
        <v>539</v>
      </c>
      <c r="L44" t="s">
        <v>539</v>
      </c>
      <c r="M44" t="s">
        <v>754</v>
      </c>
      <c r="N44" t="s">
        <v>216</v>
      </c>
      <c r="O44" t="s">
        <v>432</v>
      </c>
      <c r="S44" t="s">
        <v>755</v>
      </c>
      <c r="U44" t="s">
        <v>756</v>
      </c>
      <c r="V44" t="s">
        <v>757</v>
      </c>
      <c r="W44" t="s">
        <v>758</v>
      </c>
      <c r="X44" t="s">
        <v>540</v>
      </c>
      <c r="Y44" t="s">
        <v>116</v>
      </c>
      <c r="Z44" t="s">
        <v>552</v>
      </c>
      <c r="AB44" t="s">
        <v>553</v>
      </c>
      <c r="AD44" t="s">
        <v>252</v>
      </c>
      <c r="AE44" t="s">
        <v>415</v>
      </c>
      <c r="AF44">
        <v>0</v>
      </c>
      <c r="AG44">
        <v>0</v>
      </c>
      <c r="AH44">
        <v>68</v>
      </c>
      <c r="AI44">
        <v>0</v>
      </c>
      <c r="AJ44" t="s">
        <v>554</v>
      </c>
      <c r="AK44" t="s">
        <v>553</v>
      </c>
      <c r="AL44" t="s">
        <v>555</v>
      </c>
    </row>
    <row r="45" spans="1:38" x14ac:dyDescent="0.2">
      <c r="A45">
        <v>1235401</v>
      </c>
      <c r="B45">
        <v>6140648</v>
      </c>
      <c r="C45">
        <v>187514</v>
      </c>
      <c r="E45" t="b">
        <v>0</v>
      </c>
      <c r="F45">
        <v>44618</v>
      </c>
      <c r="G45" t="s">
        <v>759</v>
      </c>
      <c r="H45">
        <v>1</v>
      </c>
      <c r="I45" t="s">
        <v>760</v>
      </c>
      <c r="J45" t="s">
        <v>538</v>
      </c>
      <c r="K45" t="s">
        <v>539</v>
      </c>
      <c r="L45" t="s">
        <v>539</v>
      </c>
      <c r="M45" t="s">
        <v>761</v>
      </c>
      <c r="N45" t="s">
        <v>217</v>
      </c>
      <c r="O45" t="s">
        <v>416</v>
      </c>
      <c r="P45" t="s">
        <v>115</v>
      </c>
      <c r="U45" t="s">
        <v>762</v>
      </c>
      <c r="V45" t="s">
        <v>763</v>
      </c>
      <c r="W45" t="s">
        <v>168</v>
      </c>
      <c r="X45" t="s">
        <v>540</v>
      </c>
      <c r="Y45" t="s">
        <v>116</v>
      </c>
      <c r="AB45" t="s">
        <v>663</v>
      </c>
      <c r="AD45" t="s">
        <v>253</v>
      </c>
      <c r="AE45" t="s">
        <v>415</v>
      </c>
      <c r="AF45">
        <v>0</v>
      </c>
      <c r="AG45">
        <v>0</v>
      </c>
      <c r="AI45">
        <v>0</v>
      </c>
      <c r="AJ45" t="s">
        <v>554</v>
      </c>
      <c r="AK45" t="s">
        <v>663</v>
      </c>
      <c r="AL45" t="s">
        <v>555</v>
      </c>
    </row>
    <row r="46" spans="1:38" x14ac:dyDescent="0.2">
      <c r="A46">
        <v>1235402</v>
      </c>
      <c r="B46">
        <v>8128495</v>
      </c>
      <c r="C46">
        <v>187514</v>
      </c>
      <c r="E46" t="b">
        <v>0</v>
      </c>
      <c r="F46">
        <v>73279</v>
      </c>
      <c r="G46" t="s">
        <v>764</v>
      </c>
      <c r="H46">
        <v>1</v>
      </c>
      <c r="I46" t="s">
        <v>765</v>
      </c>
      <c r="J46" t="s">
        <v>538</v>
      </c>
      <c r="K46" t="s">
        <v>539</v>
      </c>
      <c r="L46" t="s">
        <v>539</v>
      </c>
      <c r="M46" t="s">
        <v>766</v>
      </c>
      <c r="N46" t="s">
        <v>218</v>
      </c>
      <c r="O46" t="s">
        <v>418</v>
      </c>
      <c r="P46" t="s">
        <v>115</v>
      </c>
      <c r="U46" t="s">
        <v>767</v>
      </c>
      <c r="V46" t="s">
        <v>768</v>
      </c>
      <c r="W46" t="s">
        <v>107</v>
      </c>
      <c r="X46" t="s">
        <v>540</v>
      </c>
      <c r="Y46" t="s">
        <v>116</v>
      </c>
      <c r="Z46" t="s">
        <v>552</v>
      </c>
      <c r="AB46" t="s">
        <v>663</v>
      </c>
      <c r="AD46" t="s">
        <v>254</v>
      </c>
      <c r="AE46" t="s">
        <v>415</v>
      </c>
      <c r="AF46">
        <v>0</v>
      </c>
      <c r="AG46">
        <v>0</v>
      </c>
      <c r="AH46">
        <v>0</v>
      </c>
      <c r="AI46">
        <v>0</v>
      </c>
      <c r="AJ46" t="s">
        <v>554</v>
      </c>
      <c r="AK46" t="s">
        <v>663</v>
      </c>
      <c r="AL46" t="s">
        <v>555</v>
      </c>
    </row>
    <row r="47" spans="1:38" x14ac:dyDescent="0.2">
      <c r="A47">
        <v>1235610</v>
      </c>
      <c r="B47">
        <v>3518992</v>
      </c>
      <c r="E47" t="b">
        <v>0</v>
      </c>
      <c r="F47">
        <v>7771</v>
      </c>
      <c r="G47" t="s">
        <v>769</v>
      </c>
      <c r="H47">
        <v>1</v>
      </c>
      <c r="I47" t="s">
        <v>770</v>
      </c>
      <c r="J47" t="s">
        <v>538</v>
      </c>
      <c r="K47" t="s">
        <v>537</v>
      </c>
      <c r="L47" t="s">
        <v>539</v>
      </c>
      <c r="M47" t="s">
        <v>771</v>
      </c>
      <c r="N47" t="s">
        <v>224</v>
      </c>
      <c r="O47" t="s">
        <v>223</v>
      </c>
      <c r="P47" t="s">
        <v>462</v>
      </c>
      <c r="S47" t="s">
        <v>583</v>
      </c>
      <c r="V47" t="s">
        <v>772</v>
      </c>
      <c r="W47" t="s">
        <v>446</v>
      </c>
      <c r="X47" t="s">
        <v>540</v>
      </c>
      <c r="Y47" t="s">
        <v>116</v>
      </c>
      <c r="Z47" t="s">
        <v>552</v>
      </c>
      <c r="AD47" t="s">
        <v>222</v>
      </c>
      <c r="AE47" t="s">
        <v>463</v>
      </c>
      <c r="AF47">
        <v>0</v>
      </c>
      <c r="AG47">
        <v>0</v>
      </c>
      <c r="AH47">
        <v>41</v>
      </c>
      <c r="AI47">
        <v>0</v>
      </c>
      <c r="AJ47" t="s">
        <v>773</v>
      </c>
    </row>
    <row r="49" spans="1:38" x14ac:dyDescent="0.2">
      <c r="A49">
        <v>1235673</v>
      </c>
      <c r="B49">
        <v>7098933</v>
      </c>
      <c r="C49">
        <v>187514</v>
      </c>
      <c r="E49" t="b">
        <v>0</v>
      </c>
      <c r="F49">
        <v>55608</v>
      </c>
      <c r="G49" t="s">
        <v>774</v>
      </c>
      <c r="H49">
        <v>1</v>
      </c>
      <c r="I49" t="s">
        <v>775</v>
      </c>
      <c r="J49" t="s">
        <v>538</v>
      </c>
      <c r="K49" t="s">
        <v>539</v>
      </c>
      <c r="L49" t="s">
        <v>539</v>
      </c>
      <c r="M49" t="s">
        <v>776</v>
      </c>
      <c r="N49" t="s">
        <v>331</v>
      </c>
      <c r="O49" t="s">
        <v>479</v>
      </c>
      <c r="U49" t="s">
        <v>777</v>
      </c>
      <c r="V49" t="s">
        <v>778</v>
      </c>
      <c r="W49" t="s">
        <v>107</v>
      </c>
      <c r="X49" t="s">
        <v>540</v>
      </c>
      <c r="Y49" t="s">
        <v>551</v>
      </c>
      <c r="Z49" t="s">
        <v>552</v>
      </c>
      <c r="AB49" t="s">
        <v>663</v>
      </c>
      <c r="AD49" t="s">
        <v>330</v>
      </c>
      <c r="AE49" t="s">
        <v>448</v>
      </c>
      <c r="AF49">
        <v>0</v>
      </c>
      <c r="AG49">
        <v>0</v>
      </c>
      <c r="AH49">
        <v>27.5</v>
      </c>
      <c r="AI49">
        <v>0</v>
      </c>
      <c r="AJ49" t="s">
        <v>554</v>
      </c>
      <c r="AK49" t="s">
        <v>663</v>
      </c>
      <c r="AL49" t="s">
        <v>555</v>
      </c>
    </row>
    <row r="50" spans="1:38" x14ac:dyDescent="0.2">
      <c r="A50">
        <v>1235526</v>
      </c>
      <c r="B50">
        <v>6917566</v>
      </c>
      <c r="C50">
        <v>187514</v>
      </c>
      <c r="E50" t="b">
        <v>0</v>
      </c>
      <c r="F50">
        <v>51875</v>
      </c>
      <c r="G50" t="s">
        <v>779</v>
      </c>
      <c r="H50">
        <v>1</v>
      </c>
      <c r="I50" t="s">
        <v>780</v>
      </c>
      <c r="J50" t="s">
        <v>538</v>
      </c>
      <c r="K50" t="s">
        <v>539</v>
      </c>
      <c r="L50" t="s">
        <v>539</v>
      </c>
      <c r="M50" t="s">
        <v>781</v>
      </c>
      <c r="N50" t="s">
        <v>219</v>
      </c>
      <c r="O50" t="s">
        <v>447</v>
      </c>
      <c r="U50" t="s">
        <v>782</v>
      </c>
      <c r="V50" t="s">
        <v>783</v>
      </c>
      <c r="W50" t="s">
        <v>460</v>
      </c>
      <c r="X50" t="s">
        <v>540</v>
      </c>
      <c r="Y50" t="s">
        <v>551</v>
      </c>
      <c r="AB50" t="s">
        <v>663</v>
      </c>
      <c r="AD50" t="s">
        <v>255</v>
      </c>
      <c r="AE50" t="s">
        <v>448</v>
      </c>
      <c r="AF50">
        <v>0</v>
      </c>
      <c r="AG50">
        <v>0</v>
      </c>
      <c r="AI50">
        <v>0</v>
      </c>
      <c r="AJ50" t="s">
        <v>554</v>
      </c>
      <c r="AK50" t="s">
        <v>663</v>
      </c>
      <c r="AL50" t="s">
        <v>555</v>
      </c>
    </row>
    <row r="51" spans="1:38" x14ac:dyDescent="0.2">
      <c r="A51">
        <v>2635568</v>
      </c>
      <c r="B51">
        <v>7621062</v>
      </c>
      <c r="C51">
        <v>187514</v>
      </c>
      <c r="E51" t="b">
        <v>0</v>
      </c>
      <c r="F51">
        <v>64450</v>
      </c>
      <c r="G51" t="s">
        <v>784</v>
      </c>
      <c r="H51">
        <v>1</v>
      </c>
      <c r="I51" t="s">
        <v>785</v>
      </c>
      <c r="J51" t="s">
        <v>537</v>
      </c>
      <c r="K51" t="s">
        <v>537</v>
      </c>
      <c r="L51" t="s">
        <v>537</v>
      </c>
      <c r="M51" t="s">
        <v>786</v>
      </c>
      <c r="N51" t="s">
        <v>220</v>
      </c>
      <c r="O51" t="s">
        <v>507</v>
      </c>
      <c r="U51" t="s">
        <v>787</v>
      </c>
      <c r="V51" t="s">
        <v>788</v>
      </c>
      <c r="W51" t="s">
        <v>500</v>
      </c>
      <c r="X51" t="s">
        <v>540</v>
      </c>
      <c r="Y51" t="s">
        <v>417</v>
      </c>
      <c r="Z51" t="s">
        <v>552</v>
      </c>
      <c r="AB51" t="s">
        <v>663</v>
      </c>
      <c r="AD51" t="s">
        <v>256</v>
      </c>
      <c r="AE51" t="s">
        <v>448</v>
      </c>
      <c r="AF51">
        <v>0</v>
      </c>
      <c r="AG51">
        <v>0</v>
      </c>
      <c r="AH51">
        <v>27.5</v>
      </c>
      <c r="AI51">
        <v>0</v>
      </c>
      <c r="AJ51" t="s">
        <v>554</v>
      </c>
      <c r="AK51" t="s">
        <v>663</v>
      </c>
      <c r="AL51" t="s">
        <v>555</v>
      </c>
    </row>
    <row r="52" spans="1:38" x14ac:dyDescent="0.2">
      <c r="A52">
        <v>1235345</v>
      </c>
      <c r="B52">
        <v>7865996</v>
      </c>
      <c r="C52">
        <v>7654931</v>
      </c>
      <c r="E52" t="b">
        <v>0</v>
      </c>
      <c r="F52">
        <v>68489</v>
      </c>
      <c r="G52" t="s">
        <v>789</v>
      </c>
      <c r="H52">
        <v>1</v>
      </c>
      <c r="I52" t="s">
        <v>790</v>
      </c>
      <c r="J52" t="s">
        <v>538</v>
      </c>
      <c r="K52" t="s">
        <v>539</v>
      </c>
      <c r="L52" t="s">
        <v>539</v>
      </c>
      <c r="M52" t="s">
        <v>791</v>
      </c>
      <c r="N52" t="s">
        <v>186</v>
      </c>
      <c r="O52" t="s">
        <v>186</v>
      </c>
      <c r="P52" t="s">
        <v>409</v>
      </c>
      <c r="S52" t="s">
        <v>792</v>
      </c>
      <c r="U52" t="s">
        <v>793</v>
      </c>
      <c r="V52" t="s">
        <v>794</v>
      </c>
      <c r="W52" t="s">
        <v>795</v>
      </c>
      <c r="X52" t="s">
        <v>540</v>
      </c>
      <c r="Y52" t="s">
        <v>116</v>
      </c>
      <c r="Z52" t="s">
        <v>796</v>
      </c>
      <c r="AB52" t="s">
        <v>578</v>
      </c>
      <c r="AD52" t="s">
        <v>185</v>
      </c>
      <c r="AE52" t="s">
        <v>410</v>
      </c>
      <c r="AF52">
        <v>0</v>
      </c>
      <c r="AG52">
        <v>0</v>
      </c>
      <c r="AH52">
        <v>117.75</v>
      </c>
      <c r="AI52">
        <v>0</v>
      </c>
      <c r="AJ52" t="s">
        <v>554</v>
      </c>
      <c r="AK52" t="s">
        <v>578</v>
      </c>
      <c r="AL52" t="s">
        <v>797</v>
      </c>
    </row>
    <row r="53" spans="1:38" x14ac:dyDescent="0.2">
      <c r="A53">
        <v>1235444</v>
      </c>
      <c r="B53">
        <v>7855800</v>
      </c>
      <c r="C53">
        <v>187508</v>
      </c>
      <c r="E53" t="b">
        <v>0</v>
      </c>
      <c r="F53">
        <v>68290</v>
      </c>
      <c r="G53" t="s">
        <v>798</v>
      </c>
      <c r="H53">
        <v>1</v>
      </c>
      <c r="I53" t="s">
        <v>799</v>
      </c>
      <c r="J53" t="s">
        <v>538</v>
      </c>
      <c r="K53" t="s">
        <v>537</v>
      </c>
      <c r="L53" t="s">
        <v>539</v>
      </c>
      <c r="M53" t="s">
        <v>800</v>
      </c>
      <c r="N53" t="s">
        <v>190</v>
      </c>
      <c r="O53" t="s">
        <v>189</v>
      </c>
      <c r="P53" t="s">
        <v>115</v>
      </c>
      <c r="S53" t="s">
        <v>591</v>
      </c>
      <c r="U53" t="s">
        <v>801</v>
      </c>
      <c r="V53" t="s">
        <v>802</v>
      </c>
      <c r="W53" t="s">
        <v>446</v>
      </c>
      <c r="X53" t="s">
        <v>540</v>
      </c>
      <c r="Y53" t="s">
        <v>551</v>
      </c>
      <c r="Z53" t="s">
        <v>552</v>
      </c>
      <c r="AB53" t="s">
        <v>553</v>
      </c>
      <c r="AD53" t="s">
        <v>427</v>
      </c>
      <c r="AE53" t="s">
        <v>803</v>
      </c>
      <c r="AF53">
        <v>0</v>
      </c>
      <c r="AG53">
        <v>0</v>
      </c>
      <c r="AH53">
        <v>102</v>
      </c>
      <c r="AI53">
        <v>0</v>
      </c>
      <c r="AJ53" t="s">
        <v>554</v>
      </c>
      <c r="AK53" t="s">
        <v>553</v>
      </c>
      <c r="AL53" t="s">
        <v>555</v>
      </c>
    </row>
    <row r="54" spans="1:38" x14ac:dyDescent="0.2">
      <c r="A54">
        <v>1235564</v>
      </c>
      <c r="B54">
        <v>7890061</v>
      </c>
      <c r="C54">
        <v>187508</v>
      </c>
      <c r="E54" t="b">
        <v>0</v>
      </c>
      <c r="F54">
        <v>69031</v>
      </c>
      <c r="G54" t="s">
        <v>804</v>
      </c>
      <c r="H54">
        <v>1</v>
      </c>
      <c r="I54" t="s">
        <v>805</v>
      </c>
      <c r="J54" t="s">
        <v>538</v>
      </c>
      <c r="K54" t="s">
        <v>537</v>
      </c>
      <c r="L54" t="s">
        <v>539</v>
      </c>
      <c r="M54" t="s">
        <v>806</v>
      </c>
      <c r="N54" t="s">
        <v>195</v>
      </c>
      <c r="O54" t="s">
        <v>194</v>
      </c>
      <c r="S54" t="s">
        <v>807</v>
      </c>
      <c r="U54" t="s">
        <v>808</v>
      </c>
      <c r="V54" t="s">
        <v>809</v>
      </c>
      <c r="W54" t="s">
        <v>446</v>
      </c>
      <c r="X54" t="s">
        <v>540</v>
      </c>
      <c r="Y54" t="s">
        <v>551</v>
      </c>
      <c r="Z54" t="s">
        <v>552</v>
      </c>
      <c r="AB54" t="s">
        <v>553</v>
      </c>
      <c r="AD54" t="s">
        <v>193</v>
      </c>
      <c r="AE54" t="s">
        <v>458</v>
      </c>
      <c r="AF54">
        <v>0</v>
      </c>
      <c r="AG54">
        <v>0</v>
      </c>
      <c r="AH54">
        <v>75</v>
      </c>
      <c r="AI54">
        <v>0</v>
      </c>
      <c r="AJ54" t="s">
        <v>554</v>
      </c>
      <c r="AK54" t="s">
        <v>553</v>
      </c>
      <c r="AL54" t="s">
        <v>555</v>
      </c>
    </row>
    <row r="55" spans="1:38" x14ac:dyDescent="0.2">
      <c r="A55">
        <v>1235501</v>
      </c>
      <c r="B55">
        <v>8010165</v>
      </c>
      <c r="C55">
        <v>187508</v>
      </c>
      <c r="E55" t="b">
        <v>0</v>
      </c>
      <c r="F55">
        <v>71410</v>
      </c>
      <c r="G55" t="s">
        <v>810</v>
      </c>
      <c r="H55">
        <v>1</v>
      </c>
      <c r="I55" t="s">
        <v>811</v>
      </c>
      <c r="J55" t="s">
        <v>538</v>
      </c>
      <c r="K55" t="s">
        <v>537</v>
      </c>
      <c r="L55" t="s">
        <v>539</v>
      </c>
      <c r="M55" t="s">
        <v>812</v>
      </c>
      <c r="N55" t="s">
        <v>198</v>
      </c>
      <c r="O55" t="s">
        <v>197</v>
      </c>
      <c r="P55" t="s">
        <v>417</v>
      </c>
      <c r="S55" t="s">
        <v>591</v>
      </c>
      <c r="U55" t="s">
        <v>629</v>
      </c>
      <c r="V55" t="s">
        <v>813</v>
      </c>
      <c r="W55" t="s">
        <v>446</v>
      </c>
      <c r="X55" t="s">
        <v>540</v>
      </c>
      <c r="Y55" t="s">
        <v>551</v>
      </c>
      <c r="Z55" t="s">
        <v>552</v>
      </c>
      <c r="AB55" t="s">
        <v>553</v>
      </c>
      <c r="AD55" t="s">
        <v>196</v>
      </c>
      <c r="AE55" t="s">
        <v>434</v>
      </c>
      <c r="AF55">
        <v>0</v>
      </c>
      <c r="AG55">
        <v>0</v>
      </c>
      <c r="AH55">
        <v>75</v>
      </c>
      <c r="AI55">
        <v>0</v>
      </c>
      <c r="AJ55" t="s">
        <v>554</v>
      </c>
      <c r="AK55" t="s">
        <v>553</v>
      </c>
      <c r="AL55" t="s">
        <v>555</v>
      </c>
    </row>
    <row r="56" spans="1:38" x14ac:dyDescent="0.2">
      <c r="A56">
        <v>1235704</v>
      </c>
      <c r="B56">
        <v>8031653</v>
      </c>
      <c r="C56">
        <v>187514</v>
      </c>
      <c r="E56" t="b">
        <v>0</v>
      </c>
      <c r="F56">
        <v>71907</v>
      </c>
      <c r="G56" t="s">
        <v>814</v>
      </c>
      <c r="H56">
        <v>1</v>
      </c>
      <c r="I56" t="s">
        <v>815</v>
      </c>
      <c r="J56" t="s">
        <v>538</v>
      </c>
      <c r="K56" t="s">
        <v>539</v>
      </c>
      <c r="L56" t="s">
        <v>539</v>
      </c>
      <c r="M56" t="s">
        <v>816</v>
      </c>
      <c r="N56" t="s">
        <v>264</v>
      </c>
      <c r="O56" t="s">
        <v>485</v>
      </c>
      <c r="S56" t="s">
        <v>677</v>
      </c>
      <c r="U56" t="s">
        <v>817</v>
      </c>
      <c r="V56" t="s">
        <v>818</v>
      </c>
      <c r="W56" t="s">
        <v>379</v>
      </c>
      <c r="X56" t="s">
        <v>540</v>
      </c>
      <c r="Y56" t="s">
        <v>417</v>
      </c>
      <c r="Z56" t="s">
        <v>552</v>
      </c>
      <c r="AB56" t="s">
        <v>663</v>
      </c>
      <c r="AD56" t="s">
        <v>263</v>
      </c>
      <c r="AE56" t="s">
        <v>263</v>
      </c>
      <c r="AF56">
        <v>0</v>
      </c>
      <c r="AG56">
        <v>0</v>
      </c>
      <c r="AH56">
        <v>27.5</v>
      </c>
      <c r="AI56">
        <v>0</v>
      </c>
      <c r="AJ56" t="s">
        <v>554</v>
      </c>
      <c r="AK56" t="s">
        <v>663</v>
      </c>
      <c r="AL56" t="s">
        <v>555</v>
      </c>
    </row>
    <row r="57" spans="1:38" x14ac:dyDescent="0.2">
      <c r="A57">
        <v>1235563</v>
      </c>
      <c r="B57">
        <v>7009411</v>
      </c>
      <c r="C57">
        <v>7589603</v>
      </c>
      <c r="E57" t="b">
        <v>0</v>
      </c>
      <c r="F57">
        <v>53782</v>
      </c>
      <c r="G57" t="s">
        <v>819</v>
      </c>
      <c r="H57">
        <v>1</v>
      </c>
      <c r="I57" t="s">
        <v>820</v>
      </c>
      <c r="J57" t="s">
        <v>538</v>
      </c>
      <c r="K57" t="s">
        <v>537</v>
      </c>
      <c r="L57" t="s">
        <v>539</v>
      </c>
      <c r="M57" t="s">
        <v>821</v>
      </c>
      <c r="N57" t="s">
        <v>230</v>
      </c>
      <c r="O57" t="s">
        <v>230</v>
      </c>
      <c r="P57" t="s">
        <v>455</v>
      </c>
      <c r="S57" t="s">
        <v>583</v>
      </c>
      <c r="U57" t="s">
        <v>822</v>
      </c>
      <c r="V57" t="s">
        <v>823</v>
      </c>
      <c r="W57" t="s">
        <v>446</v>
      </c>
      <c r="X57" t="s">
        <v>540</v>
      </c>
      <c r="Y57" t="s">
        <v>116</v>
      </c>
      <c r="Z57" t="s">
        <v>552</v>
      </c>
      <c r="AB57" t="s">
        <v>578</v>
      </c>
      <c r="AD57" t="s">
        <v>456</v>
      </c>
      <c r="AE57" t="s">
        <v>457</v>
      </c>
      <c r="AF57">
        <v>0</v>
      </c>
      <c r="AG57">
        <v>0</v>
      </c>
      <c r="AH57">
        <v>46</v>
      </c>
      <c r="AI57">
        <v>0</v>
      </c>
      <c r="AJ57" t="s">
        <v>554</v>
      </c>
      <c r="AK57" t="s">
        <v>578</v>
      </c>
      <c r="AL57" t="s">
        <v>587</v>
      </c>
    </row>
    <row r="58" spans="1:38" x14ac:dyDescent="0.2">
      <c r="A58">
        <v>1235428</v>
      </c>
      <c r="B58">
        <v>3934094</v>
      </c>
      <c r="C58">
        <v>7589603</v>
      </c>
      <c r="E58" t="b">
        <v>0</v>
      </c>
      <c r="F58">
        <v>17702</v>
      </c>
      <c r="G58" t="s">
        <v>824</v>
      </c>
      <c r="H58">
        <v>1</v>
      </c>
      <c r="I58" t="s">
        <v>825</v>
      </c>
      <c r="J58" t="s">
        <v>538</v>
      </c>
      <c r="K58" t="s">
        <v>539</v>
      </c>
      <c r="L58" t="s">
        <v>539</v>
      </c>
      <c r="M58" t="s">
        <v>826</v>
      </c>
      <c r="N58" t="s">
        <v>231</v>
      </c>
      <c r="O58" t="s">
        <v>231</v>
      </c>
      <c r="P58" t="s">
        <v>758</v>
      </c>
      <c r="S58" t="s">
        <v>583</v>
      </c>
      <c r="V58" t="s">
        <v>827</v>
      </c>
      <c r="W58" t="s">
        <v>446</v>
      </c>
      <c r="X58" t="s">
        <v>540</v>
      </c>
      <c r="Y58" t="s">
        <v>116</v>
      </c>
      <c r="Z58" t="s">
        <v>552</v>
      </c>
      <c r="AB58" t="s">
        <v>578</v>
      </c>
      <c r="AD58" t="s">
        <v>828</v>
      </c>
      <c r="AE58" t="s">
        <v>829</v>
      </c>
      <c r="AF58">
        <v>0</v>
      </c>
      <c r="AG58">
        <v>0</v>
      </c>
      <c r="AH58">
        <v>41</v>
      </c>
      <c r="AI58">
        <v>0</v>
      </c>
      <c r="AJ58" t="s">
        <v>554</v>
      </c>
      <c r="AK58" t="s">
        <v>578</v>
      </c>
      <c r="AL58" t="s">
        <v>587</v>
      </c>
    </row>
    <row r="59" spans="1:38" x14ac:dyDescent="0.2">
      <c r="A59">
        <v>2822437</v>
      </c>
    </row>
    <row r="60" spans="1:38" x14ac:dyDescent="0.2">
      <c r="A60">
        <v>1235598</v>
      </c>
      <c r="B60">
        <v>7490110</v>
      </c>
      <c r="C60">
        <v>7589602</v>
      </c>
      <c r="E60" t="b">
        <v>0</v>
      </c>
      <c r="F60">
        <v>61175</v>
      </c>
      <c r="G60" t="s">
        <v>830</v>
      </c>
      <c r="H60">
        <v>1</v>
      </c>
      <c r="I60" t="s">
        <v>831</v>
      </c>
      <c r="J60" t="s">
        <v>538</v>
      </c>
      <c r="K60" t="s">
        <v>537</v>
      </c>
      <c r="L60" t="s">
        <v>539</v>
      </c>
      <c r="M60" t="s">
        <v>832</v>
      </c>
      <c r="N60" t="s">
        <v>187</v>
      </c>
      <c r="O60" t="s">
        <v>187</v>
      </c>
      <c r="P60" t="s">
        <v>446</v>
      </c>
      <c r="S60" t="s">
        <v>591</v>
      </c>
      <c r="U60" t="s">
        <v>833</v>
      </c>
      <c r="V60" t="s">
        <v>834</v>
      </c>
      <c r="W60" t="s">
        <v>446</v>
      </c>
      <c r="X60" t="s">
        <v>540</v>
      </c>
      <c r="Y60" t="s">
        <v>116</v>
      </c>
      <c r="Z60" t="s">
        <v>552</v>
      </c>
      <c r="AA60" t="s">
        <v>22</v>
      </c>
      <c r="AB60" t="s">
        <v>595</v>
      </c>
      <c r="AD60" t="s">
        <v>461</v>
      </c>
      <c r="AE60" t="s">
        <v>461</v>
      </c>
      <c r="AF60">
        <v>0</v>
      </c>
      <c r="AG60">
        <v>0</v>
      </c>
      <c r="AH60">
        <v>76.25</v>
      </c>
      <c r="AI60">
        <v>0</v>
      </c>
      <c r="AJ60" t="s">
        <v>554</v>
      </c>
      <c r="AK60" t="s">
        <v>595</v>
      </c>
      <c r="AL60" t="s">
        <v>587</v>
      </c>
    </row>
    <row r="61" spans="1:38" x14ac:dyDescent="0.2">
      <c r="A61">
        <v>1235517</v>
      </c>
      <c r="B61">
        <v>6829128</v>
      </c>
      <c r="C61">
        <v>187510</v>
      </c>
      <c r="E61" t="b">
        <v>0</v>
      </c>
      <c r="F61">
        <v>50907</v>
      </c>
      <c r="G61" t="s">
        <v>835</v>
      </c>
      <c r="H61">
        <v>1</v>
      </c>
      <c r="I61" t="s">
        <v>836</v>
      </c>
      <c r="J61" t="s">
        <v>538</v>
      </c>
      <c r="K61" t="s">
        <v>537</v>
      </c>
      <c r="L61" t="s">
        <v>539</v>
      </c>
      <c r="M61" t="s">
        <v>837</v>
      </c>
      <c r="N61" t="s">
        <v>188</v>
      </c>
      <c r="O61" t="s">
        <v>188</v>
      </c>
      <c r="P61" t="s">
        <v>107</v>
      </c>
      <c r="S61" t="s">
        <v>591</v>
      </c>
      <c r="U61" t="s">
        <v>838</v>
      </c>
      <c r="V61" t="s">
        <v>839</v>
      </c>
      <c r="W61" t="s">
        <v>446</v>
      </c>
      <c r="X61" t="s">
        <v>540</v>
      </c>
      <c r="Y61" t="s">
        <v>116</v>
      </c>
      <c r="Z61" t="s">
        <v>552</v>
      </c>
      <c r="AA61" t="s">
        <v>22</v>
      </c>
      <c r="AB61" t="s">
        <v>595</v>
      </c>
      <c r="AD61" t="s">
        <v>840</v>
      </c>
      <c r="AE61" t="s">
        <v>840</v>
      </c>
      <c r="AF61">
        <v>0</v>
      </c>
      <c r="AG61">
        <v>0</v>
      </c>
      <c r="AH61">
        <v>74.75</v>
      </c>
      <c r="AI61">
        <v>0</v>
      </c>
      <c r="AJ61" t="s">
        <v>554</v>
      </c>
      <c r="AK61" t="s">
        <v>595</v>
      </c>
      <c r="AL61" t="s">
        <v>555</v>
      </c>
    </row>
    <row r="62" spans="1:38" x14ac:dyDescent="0.2">
      <c r="A62">
        <v>2822784</v>
      </c>
      <c r="B62">
        <v>8069275</v>
      </c>
      <c r="E62" t="b">
        <v>0</v>
      </c>
      <c r="F62">
        <v>72690</v>
      </c>
      <c r="G62" t="s">
        <v>841</v>
      </c>
      <c r="H62">
        <v>1</v>
      </c>
      <c r="I62" t="s">
        <v>842</v>
      </c>
      <c r="J62" t="s">
        <v>538</v>
      </c>
      <c r="K62" t="s">
        <v>539</v>
      </c>
      <c r="L62" t="s">
        <v>539</v>
      </c>
      <c r="M62" t="s">
        <v>843</v>
      </c>
      <c r="N62" t="s">
        <v>511</v>
      </c>
      <c r="O62" t="s">
        <v>511</v>
      </c>
      <c r="P62" t="s">
        <v>148</v>
      </c>
      <c r="S62" t="s">
        <v>844</v>
      </c>
      <c r="V62" t="s">
        <v>845</v>
      </c>
      <c r="W62" t="s">
        <v>446</v>
      </c>
      <c r="X62" t="s">
        <v>540</v>
      </c>
      <c r="Y62" t="s">
        <v>586</v>
      </c>
      <c r="Z62" t="s">
        <v>552</v>
      </c>
      <c r="AA62" t="s">
        <v>22</v>
      </c>
      <c r="AD62" t="s">
        <v>512</v>
      </c>
      <c r="AE62" t="s">
        <v>512</v>
      </c>
      <c r="AF62">
        <v>0</v>
      </c>
      <c r="AG62">
        <v>0</v>
      </c>
      <c r="AH62">
        <v>76.25</v>
      </c>
      <c r="AI62">
        <v>0</v>
      </c>
      <c r="AJ62" t="s">
        <v>554</v>
      </c>
    </row>
    <row r="63" spans="1:38" x14ac:dyDescent="0.2">
      <c r="A63">
        <v>1235416</v>
      </c>
      <c r="B63">
        <v>7618351</v>
      </c>
      <c r="C63">
        <v>187510</v>
      </c>
      <c r="E63" t="b">
        <v>0</v>
      </c>
      <c r="F63">
        <v>64375</v>
      </c>
      <c r="G63" t="s">
        <v>846</v>
      </c>
      <c r="H63">
        <v>1</v>
      </c>
      <c r="I63" t="s">
        <v>847</v>
      </c>
      <c r="J63" t="s">
        <v>538</v>
      </c>
      <c r="K63" t="s">
        <v>848</v>
      </c>
      <c r="L63" t="s">
        <v>539</v>
      </c>
      <c r="M63" t="s">
        <v>849</v>
      </c>
      <c r="N63" t="s">
        <v>421</v>
      </c>
      <c r="O63" t="s">
        <v>421</v>
      </c>
      <c r="P63" t="s">
        <v>422</v>
      </c>
      <c r="S63" t="s">
        <v>850</v>
      </c>
      <c r="U63" t="s">
        <v>851</v>
      </c>
      <c r="V63" t="s">
        <v>852</v>
      </c>
      <c r="W63" t="s">
        <v>446</v>
      </c>
      <c r="X63" t="s">
        <v>540</v>
      </c>
      <c r="Y63" t="s">
        <v>116</v>
      </c>
      <c r="Z63" t="s">
        <v>552</v>
      </c>
      <c r="AA63" t="s">
        <v>22</v>
      </c>
      <c r="AB63" t="s">
        <v>595</v>
      </c>
      <c r="AD63" t="s">
        <v>423</v>
      </c>
      <c r="AE63" t="s">
        <v>423</v>
      </c>
      <c r="AF63">
        <v>0</v>
      </c>
      <c r="AG63">
        <v>0</v>
      </c>
      <c r="AH63">
        <v>76.25</v>
      </c>
      <c r="AI63">
        <v>0</v>
      </c>
      <c r="AJ63" t="s">
        <v>554</v>
      </c>
      <c r="AK63" t="s">
        <v>595</v>
      </c>
      <c r="AL63" t="s">
        <v>555</v>
      </c>
    </row>
    <row r="64" spans="1:38" x14ac:dyDescent="0.2">
      <c r="A64">
        <v>1235503</v>
      </c>
      <c r="B64">
        <v>8035837</v>
      </c>
      <c r="C64">
        <v>187508</v>
      </c>
      <c r="E64" t="b">
        <v>0</v>
      </c>
      <c r="F64">
        <v>72022</v>
      </c>
      <c r="G64" t="s">
        <v>853</v>
      </c>
      <c r="H64">
        <v>1</v>
      </c>
      <c r="I64" t="s">
        <v>854</v>
      </c>
      <c r="J64" t="s">
        <v>538</v>
      </c>
      <c r="K64" t="s">
        <v>537</v>
      </c>
      <c r="L64" t="s">
        <v>539</v>
      </c>
      <c r="M64" t="s">
        <v>855</v>
      </c>
      <c r="N64" t="s">
        <v>269</v>
      </c>
      <c r="O64" t="s">
        <v>191</v>
      </c>
      <c r="P64" t="s">
        <v>417</v>
      </c>
      <c r="S64" t="s">
        <v>856</v>
      </c>
      <c r="U64" t="s">
        <v>857</v>
      </c>
      <c r="V64" t="s">
        <v>858</v>
      </c>
      <c r="W64" t="s">
        <v>446</v>
      </c>
      <c r="X64" t="s">
        <v>540</v>
      </c>
      <c r="Y64" t="s">
        <v>551</v>
      </c>
      <c r="Z64" t="s">
        <v>552</v>
      </c>
      <c r="AB64" t="s">
        <v>553</v>
      </c>
      <c r="AD64" t="s">
        <v>270</v>
      </c>
      <c r="AE64" t="s">
        <v>437</v>
      </c>
      <c r="AF64">
        <v>0</v>
      </c>
      <c r="AG64">
        <v>0</v>
      </c>
      <c r="AH64">
        <v>97</v>
      </c>
      <c r="AI64">
        <v>0</v>
      </c>
      <c r="AJ64" t="s">
        <v>554</v>
      </c>
      <c r="AK64" t="s">
        <v>553</v>
      </c>
      <c r="AL64" t="s">
        <v>555</v>
      </c>
    </row>
    <row r="65" spans="1:1" x14ac:dyDescent="0.2">
      <c r="A65">
        <v>1235768</v>
      </c>
    </row>
    <row r="66" spans="1:1" x14ac:dyDescent="0.2">
      <c r="A66">
        <v>1235769</v>
      </c>
    </row>
    <row r="67" spans="1:1" x14ac:dyDescent="0.2">
      <c r="A67">
        <v>1235540</v>
      </c>
    </row>
  </sheetData>
  <sheetProtection algorithmName="SHA-512" hashValue="/GXAzyrOHTcfIZ+xei+fZI30AIcICwJAwgb0tG37+ZT2LB19RMpu7MIytR3B3rT/Tiu7g+T66RH7fkk+bQ5cUA==" saltValue="MHdTbBDQx+b3rn9sBRW+EA=="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9" t="s">
        <v>571</v>
      </c>
      <c r="B1" s="39" t="s">
        <v>569</v>
      </c>
      <c r="C1" s="39" t="s">
        <v>570</v>
      </c>
    </row>
    <row r="2" spans="1:3" x14ac:dyDescent="0.2">
      <c r="A2" s="39" t="s">
        <v>568</v>
      </c>
      <c r="B2">
        <v>-100</v>
      </c>
      <c r="C2">
        <v>450</v>
      </c>
    </row>
    <row r="3" spans="1:3" x14ac:dyDescent="0.2">
      <c r="A3" s="39" t="s">
        <v>562</v>
      </c>
      <c r="B3">
        <v>-50</v>
      </c>
      <c r="C3">
        <v>450</v>
      </c>
    </row>
    <row r="4" spans="1:3" x14ac:dyDescent="0.2">
      <c r="A4" s="39" t="s">
        <v>561</v>
      </c>
      <c r="B4">
        <v>70</v>
      </c>
      <c r="C4">
        <v>500</v>
      </c>
    </row>
    <row r="5" spans="1:3" x14ac:dyDescent="0.2">
      <c r="A5" s="39" t="s">
        <v>563</v>
      </c>
      <c r="B5">
        <v>70</v>
      </c>
      <c r="C5">
        <v>450</v>
      </c>
    </row>
    <row r="6" spans="1:3" x14ac:dyDescent="0.2">
      <c r="A6" s="39" t="s">
        <v>565</v>
      </c>
      <c r="B6">
        <v>70</v>
      </c>
      <c r="C6">
        <v>1000</v>
      </c>
    </row>
    <row r="7" spans="1:3" x14ac:dyDescent="0.2">
      <c r="A7" s="39" t="s">
        <v>566</v>
      </c>
      <c r="B7">
        <v>200</v>
      </c>
      <c r="C7">
        <v>1850</v>
      </c>
    </row>
    <row r="8" spans="1:3" x14ac:dyDescent="0.2">
      <c r="A8" s="39" t="s">
        <v>564</v>
      </c>
      <c r="B8">
        <v>700</v>
      </c>
      <c r="C8">
        <v>2200</v>
      </c>
    </row>
    <row r="9" spans="1:3" x14ac:dyDescent="0.2">
      <c r="A9" s="39" t="s">
        <v>567</v>
      </c>
      <c r="B9">
        <v>700</v>
      </c>
      <c r="C9">
        <v>2200</v>
      </c>
    </row>
  </sheetData>
  <sheetProtection algorithmName="SHA-512" hashValue="rRtV74h1aCncRYMrveLaq4PHsupTYNkHjDE+uWcYbvNi5jY6JO5pBwBkHp0mWSqF2JqHiOnGN5uAaUu+vsNR8A==" saltValue="DeRitLBFnhb/D0VuU3EXUg=="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I19" sqref="I19"/>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9.42578125" bestFit="1" customWidth="1"/>
    <col min="14" max="14" width="9.5703125" bestFit="1" customWidth="1"/>
    <col min="15" max="15" width="5.28515625" bestFit="1" customWidth="1"/>
    <col min="16" max="16" width="7.42578125" bestFit="1" customWidth="1"/>
    <col min="17" max="17" width="11.5703125" customWidth="1"/>
    <col min="18" max="20" width="9.140625" customWidth="1"/>
  </cols>
  <sheetData>
    <row r="1" spans="1:17" ht="13.5" thickBot="1" x14ac:dyDescent="0.25">
      <c r="A1" s="39"/>
      <c r="B1" s="39"/>
      <c r="C1" s="39"/>
      <c r="D1" s="39"/>
      <c r="E1" s="39"/>
      <c r="F1" s="39" t="s">
        <v>918</v>
      </c>
      <c r="G1" s="39" t="s">
        <v>921</v>
      </c>
      <c r="I1" s="495" t="s">
        <v>915</v>
      </c>
      <c r="J1" s="496"/>
      <c r="L1" s="36"/>
      <c r="M1" s="453" t="s">
        <v>910</v>
      </c>
      <c r="N1" s="454" t="s">
        <v>15</v>
      </c>
      <c r="O1" s="454" t="s">
        <v>914</v>
      </c>
      <c r="P1" s="454" t="s">
        <v>904</v>
      </c>
      <c r="Q1" s="454" t="s">
        <v>14</v>
      </c>
    </row>
    <row r="2" spans="1:17" ht="13.5" thickTop="1" x14ac:dyDescent="0.2">
      <c r="A2" s="440"/>
      <c r="I2" s="464" t="s">
        <v>911</v>
      </c>
      <c r="J2" s="465">
        <f>COUNTIF(Survey[TestPoint],"&lt;=5")-1</f>
        <v>-1</v>
      </c>
      <c r="L2" s="476" t="s">
        <v>1</v>
      </c>
      <c r="M2" s="460" t="e">
        <f>_xlfn.XLOOKUP(P2,Survey[CorrectedTemp],Survey[TestPoint])</f>
        <v>#N/A</v>
      </c>
      <c r="N2" s="455">
        <f>P2-NominalTemp</f>
        <v>0</v>
      </c>
      <c r="O2" s="456" t="s">
        <v>272</v>
      </c>
      <c r="P2" s="455">
        <f>MAX(Survey[CorrectedTemp])</f>
        <v>0</v>
      </c>
      <c r="Q2" s="457" t="e">
        <f>_xlfn.XLOOKUP(P2,Survey[CorrectedTemp],Survey[Time])</f>
        <v>#N/A</v>
      </c>
    </row>
    <row r="3" spans="1:17" x14ac:dyDescent="0.2">
      <c r="I3" s="470" t="s">
        <v>919</v>
      </c>
      <c r="J3" s="471" t="e">
        <f>_xlfn.T.INV.2T(1-0.9545, DoF)</f>
        <v>#NUM!</v>
      </c>
      <c r="L3" s="476" t="s">
        <v>2</v>
      </c>
      <c r="M3" s="461" t="e">
        <f>_xlfn.XLOOKUP(P3,Survey[CorrectedTemp],Survey[TestPoint])</f>
        <v>#N/A</v>
      </c>
      <c r="N3" s="458">
        <f>P3-NominalTemp</f>
        <v>0</v>
      </c>
      <c r="O3" s="447" t="s">
        <v>273</v>
      </c>
      <c r="P3" s="458">
        <f>MIN(Survey[CorrectedTemp])</f>
        <v>0</v>
      </c>
      <c r="Q3" s="459" t="e">
        <f>_xlfn.XLOOKUP(P3,Survey[CorrectedTemp],Survey[Time])</f>
        <v>#N/A</v>
      </c>
    </row>
    <row r="4" spans="1:17" x14ac:dyDescent="0.2">
      <c r="I4" s="466" t="s">
        <v>923</v>
      </c>
      <c r="J4" s="467" cm="1">
        <f t="array" ref="J4">SUM(_xlfn._xlws.FILTER(Survey[Deviations],Survey[TestPoint]&lt;=5)^2)/DoF</f>
        <v>0</v>
      </c>
      <c r="L4" s="497" t="s">
        <v>916</v>
      </c>
      <c r="M4" s="140">
        <v>1</v>
      </c>
      <c r="O4" t="str" cm="1">
        <f t="array" ref="O4">IF(
  Main!O5 = "",
  "",
  IF(
    COUNTIF(Survey[TestPoint], Alerts[[#This Row],[TestPoint]]) = 0,
    "DROPPED",
    IF(
      OR(
        _xlfn._xlws.FILTER(
          Survey[OutOfTolerance],
          Survey[TestPoint] = Alerts[[#This Row],[TestPoint]]
        )
      ),
      "Out of Tol",
      ""
    )
  )
)</f>
        <v/>
      </c>
    </row>
    <row r="5" spans="1:17" x14ac:dyDescent="0.2">
      <c r="I5" s="470" t="s">
        <v>924</v>
      </c>
      <c r="J5" s="472" cm="1">
        <f t="array" ref="J5">VLOOKUP(NominalTemp,_xlfn._xlws.FILTER(MUG[],MUG[Meas Units]="°F"),8,TRUE)</f>
        <v>0.66776102980616914</v>
      </c>
      <c r="L5" s="497"/>
      <c r="M5" s="140">
        <v>2</v>
      </c>
      <c r="O5" t="str" cm="1">
        <f t="array" ref="O5">IF(
  Main!O6 = "",
  "",
  IF(
    COUNTIF(Survey[TestPoint], Alerts[[#This Row],[TestPoint]]) = 0,
    "DROPPED",
    IF(
      OR(
        _xlfn._xlws.FILTER(
          Survey[OutOfTolerance],
          Survey[TestPoint] = Alerts[[#This Row],[TestPoint]]
        )
      ),
      "Out of Tol",
      ""
    )
  )
)</f>
        <v/>
      </c>
    </row>
    <row r="6" spans="1:17" x14ac:dyDescent="0.2">
      <c r="I6" s="466" t="s">
        <v>922</v>
      </c>
      <c r="J6" s="467">
        <f>SQRT(Base₂^2+sp²)</f>
        <v>0.66776102980616914</v>
      </c>
      <c r="L6" s="497"/>
      <c r="M6" s="140">
        <v>3</v>
      </c>
      <c r="O6" t="str" cm="1">
        <f t="array" ref="O6">IF(
  Main!O7 = "",
  "",
  IF(
    COUNTIF(Survey[TestPoint], Alerts[[#This Row],[TestPoint]]) = 0,
    "DROPPED",
    IF(
      OR(
        _xlfn._xlws.FILTER(
          Survey[OutOfTolerance],
          Survey[TestPoint] = Alerts[[#This Row],[TestPoint]]
        )
      ),
      "Out of Tol",
      ""
    )
  )
)</f>
        <v/>
      </c>
    </row>
    <row r="7" spans="1:17" x14ac:dyDescent="0.2">
      <c r="I7" s="470" t="s">
        <v>912</v>
      </c>
      <c r="J7" s="473" t="e">
        <f>J6*k</f>
        <v>#NUM!</v>
      </c>
      <c r="L7" s="497"/>
      <c r="M7" s="140">
        <v>4</v>
      </c>
      <c r="O7" t="str" cm="1">
        <f t="array" ref="O7">IF(
  Main!O8 = "",
  "",
  IF(
    COUNTIF(Survey[TestPoint], Alerts[[#This Row],[TestPoint]]) = 0,
    "DROPPED",
    IF(
      OR(
        _xlfn._xlws.FILTER(
          Survey[OutOfTolerance],
          Survey[TestPoint] = Alerts[[#This Row],[TestPoint]]
        )
      ),
      "Out of Tol",
      ""
    )
  )
)</f>
        <v/>
      </c>
    </row>
    <row r="8" spans="1:17" ht="13.5" thickBot="1" x14ac:dyDescent="0.25">
      <c r="I8" s="468" t="s">
        <v>913</v>
      </c>
      <c r="J8" s="469">
        <f>VLOOKUP(NominalTemp,CMCs[],3,TRUE)</f>
        <v>1.6</v>
      </c>
      <c r="L8" s="497"/>
      <c r="M8" s="140">
        <v>5</v>
      </c>
      <c r="O8" t="str" cm="1">
        <f t="array" ref="O8">IF(
  Main!O9 = "",
  "",
  IF(
    COUNTIF(Survey[TestPoint], Alerts[[#This Row],[TestPoint]]) = 0,
    "DROPPED",
    IF(
      OR(
        _xlfn._xlws.FILTER(
          Survey[OutOfTolerance],
          Survey[TestPoint] = Alerts[[#This Row],[TestPoint]]
        )
      ),
      "Out of Tol",
      ""
    )
  )
)</f>
        <v/>
      </c>
    </row>
    <row r="9" spans="1:17" ht="13.5" thickTop="1" x14ac:dyDescent="0.2">
      <c r="I9" s="474" t="s">
        <v>920</v>
      </c>
      <c r="J9" s="475" t="e">
        <f>MAX(J7,J8)</f>
        <v>#NUM!</v>
      </c>
      <c r="L9" s="497"/>
      <c r="M9" s="140">
        <v>6</v>
      </c>
      <c r="O9" t="str" cm="1">
        <f t="array" ref="O9">IF(
  Main!O10 = "",
  "",
  IF(
    COUNTIF(Survey[TestPoint], Alerts[[#This Row],[TestPoint]]) = 0,
    "DROPPED",
    IF(
      OR(
        _xlfn._xlws.FILTER(
          Survey[OutOfTolerance],
          Survey[TestPoint] = Alerts[[#This Row],[TestPoint]]
        )
      ),
      "Out of Tol",
      ""
    )
  )
)</f>
        <v/>
      </c>
    </row>
    <row r="10" spans="1:17" x14ac:dyDescent="0.2">
      <c r="L10" s="497"/>
      <c r="M10" s="140">
        <v>7</v>
      </c>
      <c r="O10" t="str" cm="1">
        <f t="array" ref="O10">IF(
  Main!O11 = "",
  "",
  IF(
    COUNTIF(Survey[TestPoint], Alerts[[#This Row],[TestPoint]]) = 0,
    "DROPPED",
    IF(
      OR(
        _xlfn._xlws.FILTER(
          Survey[OutOfTolerance],
          Survey[TestPoint] = Alerts[[#This Row],[TestPoint]]
        )
      ),
      "Out of Tol",
      ""
    )
  )
)</f>
        <v/>
      </c>
    </row>
    <row r="11" spans="1:17" x14ac:dyDescent="0.2">
      <c r="L11" s="497"/>
      <c r="M11" s="140">
        <v>8</v>
      </c>
      <c r="O11" t="str" cm="1">
        <f t="array" ref="O11">IF(
  Main!O12 = "",
  "",
  IF(
    COUNTIF(Survey[TestPoint], Alerts[[#This Row],[TestPoint]]) = 0,
    "DROPPED",
    IF(
      OR(
        _xlfn._xlws.FILTER(
          Survey[OutOfTolerance],
          Survey[TestPoint] = Alerts[[#This Row],[TestPoint]]
        )
      ),
      "Out of Tol",
      ""
    )
  )
)</f>
        <v/>
      </c>
    </row>
    <row r="12" spans="1:17" x14ac:dyDescent="0.2">
      <c r="L12" s="497"/>
      <c r="M12" s="140">
        <v>9</v>
      </c>
      <c r="O12" t="str" cm="1">
        <f t="array" ref="O12">IF(
  Main!O13 = "",
  "",
  IF(
    COUNTIF(Survey[TestPoint], Alerts[[#This Row],[TestPoint]]) = 0,
    "DROPPED",
    IF(
      OR(
        _xlfn._xlws.FILTER(
          Survey[OutOfTolerance],
          Survey[TestPoint] = Alerts[[#This Row],[TestPoint]]
        )
      ),
      "Out of Tol",
      ""
    )
  )
)</f>
        <v/>
      </c>
    </row>
    <row r="13" spans="1:17" x14ac:dyDescent="0.2">
      <c r="L13" s="497"/>
      <c r="M13" s="140">
        <v>10</v>
      </c>
      <c r="O13" t="str" cm="1">
        <f t="array" ref="O13">IF(
  Main!O14 = "",
  "",
  IF(
    COUNTIF(Survey[TestPoint], Alerts[[#This Row],[TestPoint]]) = 0,
    "DROPPED",
    IF(
      OR(
        _xlfn._xlws.FILTER(
          Survey[OutOfTolerance],
          Survey[TestPoint] = Alerts[[#This Row],[TestPoint]]
        )
      ),
      "Out of Tol",
      ""
    )
  )
)</f>
        <v/>
      </c>
    </row>
    <row r="14" spans="1:17" x14ac:dyDescent="0.2">
      <c r="L14" s="497"/>
      <c r="M14" s="140">
        <v>11</v>
      </c>
      <c r="O14" t="str" cm="1">
        <f t="array" ref="O14">IF(
  Main!O15 = "",
  "",
  IF(
    COUNTIF(Survey[TestPoint], Alerts[[#This Row],[TestPoint]]) = 0,
    "DROPPED",
    IF(
      OR(
        _xlfn._xlws.FILTER(
          Survey[OutOfTolerance],
          Survey[TestPoint] = Alerts[[#This Row],[TestPoint]]
        )
      ),
      "Out of Tol",
      ""
    )
  )
)</f>
        <v/>
      </c>
    </row>
    <row r="15" spans="1:17" x14ac:dyDescent="0.2">
      <c r="L15" s="497"/>
      <c r="M15" s="140">
        <v>12</v>
      </c>
      <c r="O15" t="str" cm="1">
        <f t="array" ref="O15">IF(
  Main!O16 = "",
  "",
  IF(
    COUNTIF(Survey[TestPoint], Alerts[[#This Row],[TestPoint]]) = 0,
    "DROPPED",
    IF(
      OR(
        _xlfn._xlws.FILTER(
          Survey[OutOfTolerance],
          Survey[TestPoint] = Alerts[[#This Row],[TestPoint]]
        )
      ),
      "Out of Tol",
      ""
    )
  )
)</f>
        <v/>
      </c>
    </row>
    <row r="16" spans="1:17" x14ac:dyDescent="0.2">
      <c r="L16" s="497"/>
      <c r="M16" s="140">
        <v>13</v>
      </c>
      <c r="O16" t="str" cm="1">
        <f t="array" ref="O16">IF(
  Main!O17 = "",
  "",
  IF(
    COUNTIF(Survey[TestPoint], Alerts[[#This Row],[TestPoint]]) = 0,
    "DROPPED",
    IF(
      OR(
        _xlfn._xlws.FILTER(
          Survey[OutOfTolerance],
          Survey[TestPoint] = Alerts[[#This Row],[TestPoint]]
        )
      ),
      "Out of Tol",
      ""
    )
  )
)</f>
        <v/>
      </c>
    </row>
    <row r="17" spans="12:15" x14ac:dyDescent="0.2">
      <c r="L17" s="497"/>
      <c r="M17" s="140">
        <v>14</v>
      </c>
      <c r="O17" t="str" cm="1">
        <f t="array" ref="O17">IF(
  Main!O18 = "",
  "",
  IF(
    COUNTIF(Survey[TestPoint], Alerts[[#This Row],[TestPoint]]) = 0,
    "DROPPED",
    IF(
      OR(
        _xlfn._xlws.FILTER(
          Survey[OutOfTolerance],
          Survey[TestPoint] = Alerts[[#This Row],[TestPoint]]
        )
      ),
      "Out of Tol",
      ""
    )
  )
)</f>
        <v/>
      </c>
    </row>
    <row r="18" spans="12:15" x14ac:dyDescent="0.2">
      <c r="L18" s="497"/>
      <c r="M18" s="140">
        <v>15</v>
      </c>
      <c r="O18" t="str" cm="1">
        <f t="array" ref="O18">IF(
  Main!O19 = "",
  "",
  IF(
    COUNTIF(Survey[TestPoint], Alerts[[#This Row],[TestPoint]]) = 0,
    "DROPPED",
    IF(
      OR(
        _xlfn._xlws.FILTER(
          Survey[OutOfTolerance],
          Survey[TestPoint] = Alerts[[#This Row],[TestPoint]]
        )
      ),
      "Out of Tol",
      ""
    )
  )
)</f>
        <v/>
      </c>
    </row>
    <row r="19" spans="12:15" x14ac:dyDescent="0.2">
      <c r="L19" s="497"/>
      <c r="M19" s="140">
        <v>16</v>
      </c>
      <c r="O19" t="str" cm="1">
        <f t="array" ref="O19">IF(
  Main!O20 = "",
  "",
  IF(
    COUNTIF(Survey[TestPoint], Alerts[[#This Row],[TestPoint]]) = 0,
    "DROPPED",
    IF(
      OR(
        _xlfn._xlws.FILTER(
          Survey[OutOfTolerance],
          Survey[TestPoint] = Alerts[[#This Row],[TestPoint]]
        )
      ),
      "Out of Tol",
      ""
    )
  )
)</f>
        <v/>
      </c>
    </row>
    <row r="20" spans="12:15" x14ac:dyDescent="0.2">
      <c r="L20" s="497"/>
      <c r="M20" s="140">
        <v>17</v>
      </c>
      <c r="O20" t="str" cm="1">
        <f t="array" ref="O20">IF(
  Main!O21 = "",
  "",
  IF(
    COUNTIF(Survey[TestPoint], Alerts[[#This Row],[TestPoint]]) = 0,
    "DROPPED",
    IF(
      OR(
        _xlfn._xlws.FILTER(
          Survey[OutOfTolerance],
          Survey[TestPoint] = Alerts[[#This Row],[TestPoint]]
        )
      ),
      "Out of Tol",
      ""
    )
  )
)</f>
        <v/>
      </c>
    </row>
    <row r="21" spans="12:15" x14ac:dyDescent="0.2">
      <c r="L21" s="497"/>
      <c r="M21" s="140">
        <v>18</v>
      </c>
      <c r="O21" t="str" cm="1">
        <f t="array" ref="O21">IF(
  Main!O22 = "",
  "",
  IF(
    COUNTIF(Survey[TestPoint], Alerts[[#This Row],[TestPoint]]) = 0,
    "DROPPED",
    IF(
      OR(
        _xlfn._xlws.FILTER(
          Survey[OutOfTolerance],
          Survey[TestPoint] = Alerts[[#This Row],[TestPoint]]
        )
      ),
      "Out of Tol",
      ""
    )
  )
)</f>
        <v/>
      </c>
    </row>
    <row r="22" spans="12:15" x14ac:dyDescent="0.2">
      <c r="L22" s="497"/>
      <c r="M22" s="140">
        <v>19</v>
      </c>
      <c r="O22" t="str" cm="1">
        <f t="array" ref="O22">IF(
  Main!O23 = "",
  "",
  IF(
    COUNTIF(Survey[TestPoint], Alerts[[#This Row],[TestPoint]]) = 0,
    "DROPPED",
    IF(
      OR(
        _xlfn._xlws.FILTER(
          Survey[OutOfTolerance],
          Survey[TestPoint] = Alerts[[#This Row],[TestPoint]]
        )
      ),
      "Out of Tol",
      ""
    )
  )
)</f>
        <v/>
      </c>
    </row>
    <row r="23" spans="12:15" x14ac:dyDescent="0.2">
      <c r="L23" s="497"/>
      <c r="M23" s="140">
        <v>20</v>
      </c>
      <c r="O23" t="str" cm="1">
        <f t="array" ref="O23">IF(
  Main!O24 = "",
  "",
  IF(
    COUNTIF(Survey[TestPoint], Alerts[[#This Row],[TestPoint]]) = 0,
    "DROPPED",
    IF(
      OR(
        _xlfn._xlws.FILTER(
          Survey[OutOfTolerance],
          Survey[TestPoint] = Alerts[[#This Row],[TestPoint]]
        )
      ),
      "Out of Tol",
      ""
    )
  )
)</f>
        <v/>
      </c>
    </row>
    <row r="24" spans="12:15" x14ac:dyDescent="0.2">
      <c r="L24" s="497"/>
      <c r="M24" s="140">
        <v>21</v>
      </c>
      <c r="O24" t="str" cm="1">
        <f t="array" ref="O24">IF(
  Main!O25 = "",
  "",
  IF(
    COUNTIF(Survey[TestPoint], Alerts[[#This Row],[TestPoint]]) = 0,
    "DROPPED",
    IF(
      OR(
        _xlfn._xlws.FILTER(
          Survey[OutOfTolerance],
          Survey[TestPoint] = Alerts[[#This Row],[TestPoint]]
        )
      ),
      "Out of Tol",
      ""
    )
  )
)</f>
        <v/>
      </c>
    </row>
    <row r="25" spans="12:15" x14ac:dyDescent="0.2">
      <c r="L25" s="497"/>
      <c r="M25" s="140">
        <v>22</v>
      </c>
      <c r="O25" t="str" cm="1">
        <f t="array" ref="O25">IF(
  Main!O26 = "",
  "",
  IF(
    COUNTIF(Survey[TestPoint], Alerts[[#This Row],[TestPoint]]) = 0,
    "DROPPED",
    IF(
      OR(
        _xlfn._xlws.FILTER(
          Survey[OutOfTolerance],
          Survey[TestPoint] = Alerts[[#This Row],[TestPoint]]
        )
      ),
      "Out of Tol",
      ""
    )
  )
)</f>
        <v/>
      </c>
    </row>
    <row r="26" spans="12:15" x14ac:dyDescent="0.2">
      <c r="L26" s="497"/>
      <c r="M26" s="140">
        <v>23</v>
      </c>
      <c r="O26" t="str" cm="1">
        <f t="array" ref="O26">IF(
  Main!O27 = "",
  "",
  IF(
    COUNTIF(Survey[TestPoint], Alerts[[#This Row],[TestPoint]]) = 0,
    "DROPPED",
    IF(
      OR(
        _xlfn._xlws.FILTER(
          Survey[OutOfTolerance],
          Survey[TestPoint] = Alerts[[#This Row],[TestPoint]]
        )
      ),
      "Out of Tol",
      ""
    )
  )
)</f>
        <v/>
      </c>
    </row>
    <row r="27" spans="12:15" x14ac:dyDescent="0.2">
      <c r="L27" s="497"/>
      <c r="M27" s="140">
        <v>24</v>
      </c>
      <c r="O27" t="str" cm="1">
        <f t="array" ref="O27">IF(
  Main!O28 = "",
  "",
  IF(
    COUNTIF(Survey[TestPoint], Alerts[[#This Row],[TestPoint]]) = 0,
    "DROPPED",
    IF(
      OR(
        _xlfn._xlws.FILTER(
          Survey[OutOfTolerance],
          Survey[TestPoint] = Alerts[[#This Row],[TestPoint]]
        )
      ),
      "Out of Tol",
      ""
    )
  )
)</f>
        <v/>
      </c>
    </row>
    <row r="28" spans="12:15" x14ac:dyDescent="0.2">
      <c r="L28" s="497"/>
      <c r="M28" s="140">
        <v>25</v>
      </c>
      <c r="O28" t="str" cm="1">
        <f t="array" ref="O28">IF(
  Main!O29 = "",
  "",
  IF(
    COUNTIF(Survey[TestPoint], Alerts[[#This Row],[TestPoint]]) = 0,
    "DROPPED",
    IF(
      OR(
        _xlfn._xlws.FILTER(
          Survey[OutOfTolerance],
          Survey[TestPoint] = Alerts[[#This Row],[TestPoint]]
        )
      ),
      "Out of Tol",
      ""
    )
  )
)</f>
        <v/>
      </c>
    </row>
    <row r="29" spans="12:15" x14ac:dyDescent="0.2">
      <c r="L29" s="497"/>
      <c r="M29" s="140">
        <v>26</v>
      </c>
      <c r="O29" t="str" cm="1">
        <f t="array" ref="O29">IF(
  Main!O30 = "",
  "",
  IF(
    COUNTIF(Survey[TestPoint], Alerts[[#This Row],[TestPoint]]) = 0,
    "DROPPED",
    IF(
      OR(
        _xlfn._xlws.FILTER(
          Survey[OutOfTolerance],
          Survey[TestPoint] = Alerts[[#This Row],[TestPoint]]
        )
      ),
      "Out of Tol",
      ""
    )
  )
)</f>
        <v/>
      </c>
    </row>
    <row r="30" spans="12:15" x14ac:dyDescent="0.2">
      <c r="L30" s="497"/>
      <c r="M30" s="140">
        <v>27</v>
      </c>
      <c r="O30" t="str" cm="1">
        <f t="array" ref="O30">IF(
  Main!O31 = "",
  "",
  IF(
    COUNTIF(Survey[TestPoint], Alerts[[#This Row],[TestPoint]]) = 0,
    "DROPPED",
    IF(
      OR(
        _xlfn._xlws.FILTER(
          Survey[OutOfTolerance],
          Survey[TestPoint] = Alerts[[#This Row],[TestPoint]]
        )
      ),
      "Out of Tol",
      ""
    )
  )
)</f>
        <v/>
      </c>
    </row>
    <row r="31" spans="12:15" x14ac:dyDescent="0.2">
      <c r="L31" s="497"/>
      <c r="M31" s="140">
        <v>28</v>
      </c>
      <c r="O31" t="str" cm="1">
        <f t="array" ref="O31">IF(
  Main!O32 = "",
  "",
  IF(
    COUNTIF(Survey[TestPoint], Alerts[[#This Row],[TestPoint]]) = 0,
    "DROPPED",
    IF(
      OR(
        _xlfn._xlws.FILTER(
          Survey[OutOfTolerance],
          Survey[TestPoint] = Alerts[[#This Row],[TestPoint]]
        )
      ),
      "Out of Tol",
      ""
    )
  )
)</f>
        <v/>
      </c>
    </row>
    <row r="32" spans="12:15" x14ac:dyDescent="0.2">
      <c r="L32" s="497"/>
      <c r="M32" s="140">
        <v>29</v>
      </c>
      <c r="O32" t="str" cm="1">
        <f t="array" ref="O32">IF(
  Main!O33 = "",
  "",
  IF(
    COUNTIF(Survey[TestPoint], Alerts[[#This Row],[TestPoint]]) = 0,
    "DROPPED",
    IF(
      OR(
        _xlfn._xlws.FILTER(
          Survey[OutOfTolerance],
          Survey[TestPoint] = Alerts[[#This Row],[TestPoint]]
        )
      ),
      "Out of Tol",
      ""
    )
  )
)</f>
        <v/>
      </c>
    </row>
    <row r="33" spans="12:15" x14ac:dyDescent="0.2">
      <c r="L33" s="497"/>
      <c r="M33" s="140">
        <v>30</v>
      </c>
      <c r="O33" t="str" cm="1">
        <f t="array" ref="O33">IF(
  Main!O34 = "",
  "",
  IF(
    COUNTIF(Survey[TestPoint], Alerts[[#This Row],[TestPoint]]) = 0,
    "DROPPED",
    IF(
      OR(
        _xlfn._xlws.FILTER(
          Survey[OutOfTolerance],
          Survey[TestPoint] = Alerts[[#This Row],[TestPoint]]
        )
      ),
      "Out of Tol",
      ""
    )
  )
)</f>
        <v/>
      </c>
    </row>
    <row r="34" spans="12:15" x14ac:dyDescent="0.2">
      <c r="L34" s="497"/>
      <c r="M34" s="140">
        <v>31</v>
      </c>
      <c r="O34" t="str" cm="1">
        <f t="array" ref="O34">IF(
  Main!O35 = "",
  "",
  IF(
    COUNTIF(Survey[TestPoint], Alerts[[#This Row],[TestPoint]]) = 0,
    "DROPPED",
    IF(
      OR(
        _xlfn._xlws.FILTER(
          Survey[OutOfTolerance],
          Survey[TestPoint] = Alerts[[#This Row],[TestPoint]]
        )
      ),
      "Out of Tol",
      ""
    )
  )
)</f>
        <v/>
      </c>
    </row>
    <row r="35" spans="12:15" x14ac:dyDescent="0.2">
      <c r="L35" s="497"/>
      <c r="M35" s="140">
        <v>32</v>
      </c>
      <c r="O35" t="str" cm="1">
        <f t="array" ref="O35">IF(
  Main!O36 = "",
  "",
  IF(
    COUNTIF(Survey[TestPoint], Alerts[[#This Row],[TestPoint]]) = 0,
    "DROPPED",
    IF(
      OR(
        _xlfn._xlws.FILTER(
          Survey[OutOfTolerance],
          Survey[TestPoint] = Alerts[[#This Row],[TestPoint]]
        )
      ),
      "Out of Tol",
      ""
    )
  )
)</f>
        <v/>
      </c>
    </row>
    <row r="36" spans="12:15" x14ac:dyDescent="0.2">
      <c r="L36" s="497"/>
      <c r="M36" s="140">
        <v>33</v>
      </c>
      <c r="O36" t="str" cm="1">
        <f t="array" ref="O36">IF(
  Main!O37 = "",
  "",
  IF(
    COUNTIF(Survey[TestPoint], Alerts[[#This Row],[TestPoint]]) = 0,
    "DROPPED",
    IF(
      OR(
        _xlfn._xlws.FILTER(
          Survey[OutOfTolerance],
          Survey[TestPoint] = Alerts[[#This Row],[TestPoint]]
        )
      ),
      "Out of Tol",
      ""
    )
  )
)</f>
        <v/>
      </c>
    </row>
    <row r="37" spans="12:15" x14ac:dyDescent="0.2">
      <c r="L37" s="497"/>
      <c r="M37" s="140">
        <v>34</v>
      </c>
      <c r="O37" t="str" cm="1">
        <f t="array" ref="O37">IF(
  Main!O38 = "",
  "",
  IF(
    COUNTIF(Survey[TestPoint], Alerts[[#This Row],[TestPoint]]) = 0,
    "DROPPED",
    IF(
      OR(
        _xlfn._xlws.FILTER(
          Survey[OutOfTolerance],
          Survey[TestPoint] = Alerts[[#This Row],[TestPoint]]
        )
      ),
      "Out of Tol",
      ""
    )
  )
)</f>
        <v/>
      </c>
    </row>
    <row r="38" spans="12:15" x14ac:dyDescent="0.2">
      <c r="L38" s="497"/>
      <c r="M38" s="140">
        <v>35</v>
      </c>
      <c r="O38" t="str" cm="1">
        <f t="array" ref="O38">IF(
  Main!O39 = "",
  "",
  IF(
    COUNTIF(Survey[TestPoint], Alerts[[#This Row],[TestPoint]]) = 0,
    "DROPPED",
    IF(
      OR(
        _xlfn._xlws.FILTER(
          Survey[OutOfTolerance],
          Survey[TestPoint] = Alerts[[#This Row],[TestPoint]]
        )
      ),
      "Out of Tol",
      ""
    )
  )
)</f>
        <v/>
      </c>
    </row>
    <row r="39" spans="12:15" x14ac:dyDescent="0.2">
      <c r="L39" s="497"/>
      <c r="M39" s="140">
        <v>36</v>
      </c>
      <c r="O39" t="str" cm="1">
        <f t="array" ref="O39">IF(
  Main!O40 = "",
  "",
  IF(
    COUNTIF(Survey[TestPoint], Alerts[[#This Row],[TestPoint]]) = 0,
    "DROPPED",
    IF(
      OR(
        _xlfn._xlws.FILTER(
          Survey[OutOfTolerance],
          Survey[TestPoint] = Alerts[[#This Row],[TestPoint]]
        )
      ),
      "Out of Tol",
      ""
    )
  )
)</f>
        <v/>
      </c>
    </row>
    <row r="40" spans="12:15" x14ac:dyDescent="0.2">
      <c r="L40" s="497"/>
      <c r="M40" s="140">
        <v>37</v>
      </c>
      <c r="O40" t="str" cm="1">
        <f t="array" ref="O40">IF(
  Main!O41 = "",
  "",
  IF(
    COUNTIF(Survey[TestPoint], Alerts[[#This Row],[TestPoint]]) = 0,
    "DROPPED",
    IF(
      OR(
        _xlfn._xlws.FILTER(
          Survey[OutOfTolerance],
          Survey[TestPoint] = Alerts[[#This Row],[TestPoint]]
        )
      ),
      "Out of Tol",
      ""
    )
  )
)</f>
        <v/>
      </c>
    </row>
    <row r="41" spans="12:15" x14ac:dyDescent="0.2">
      <c r="L41" s="497"/>
      <c r="M41" s="140">
        <v>38</v>
      </c>
      <c r="O41" t="str" cm="1">
        <f t="array" ref="O41">IF(
  Main!O42 = "",
  "",
  IF(
    COUNTIF(Survey[TestPoint], Alerts[[#This Row],[TestPoint]]) = 0,
    "DROPPED",
    IF(
      OR(
        _xlfn._xlws.FILTER(
          Survey[OutOfTolerance],
          Survey[TestPoint] = Alerts[[#This Row],[TestPoint]]
        )
      ),
      "Out of Tol",
      ""
    )
  )
)</f>
        <v/>
      </c>
    </row>
    <row r="42" spans="12:15" x14ac:dyDescent="0.2">
      <c r="L42" s="497"/>
      <c r="M42" s="140">
        <v>39</v>
      </c>
      <c r="O42" t="str" cm="1">
        <f t="array" ref="O42">IF(
  Main!O43 = "",
  "",
  IF(
    COUNTIF(Survey[TestPoint], Alerts[[#This Row],[TestPoint]]) = 0,
    "DROPPED",
    IF(
      OR(
        _xlfn._xlws.FILTER(
          Survey[OutOfTolerance],
          Survey[TestPoint] = Alerts[[#This Row],[TestPoint]]
        )
      ),
      "Out of Tol",
      ""
    )
  )
)</f>
        <v/>
      </c>
    </row>
    <row r="43" spans="12:15" x14ac:dyDescent="0.2">
      <c r="L43" s="497"/>
      <c r="M43" s="140">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honeticPr fontId="20" type="noConversion"/>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I7"/>
  <sheetViews>
    <sheetView topLeftCell="B1" workbookViewId="0">
      <selection activeCell="I2" sqref="I2"/>
    </sheetView>
  </sheetViews>
  <sheetFormatPr defaultRowHeight="12.75" x14ac:dyDescent="0.2"/>
  <cols>
    <col min="1" max="1" width="7.85546875" bestFit="1" customWidth="1"/>
    <col min="2" max="2" width="16.5703125" bestFit="1" customWidth="1"/>
    <col min="3" max="3" width="17.7109375" bestFit="1" customWidth="1"/>
    <col min="4" max="4" width="16.5703125" bestFit="1" customWidth="1"/>
    <col min="5" max="5" width="10.85546875" bestFit="1" customWidth="1"/>
    <col min="6" max="7" width="20.7109375" bestFit="1" customWidth="1"/>
    <col min="8" max="8" width="20.7109375" customWidth="1"/>
  </cols>
  <sheetData>
    <row r="1" spans="1:9" x14ac:dyDescent="0.2">
      <c r="A1"/>
      <c r="B1"/>
      <c r="C1"/>
      <c r="D1"/>
      <c r="E1"/>
      <c r="F1"/>
    </row>
    <row r="2" spans="1:9" x14ac:dyDescent="0.2">
      <c r="H2" t="s">
        <v>945</v>
      </c>
      <c r="I2" t="str" cm="1">
        <f t="array" ref="I2">TRANSPOSE(_xlfn._xlws.FILTER(CorrectionFactors[], (CorrectionFactors[point]&gt;=Main!V22) * (CorrectionFactors[point]&lt;=Main!V23), ""))</f>
        <v/>
      </c>
    </row>
    <row r="3" spans="1:9" x14ac:dyDescent="0.2">
      <c r="H3" t="s">
        <v>310</v>
      </c>
    </row>
    <row r="4" spans="1:9" x14ac:dyDescent="0.2">
      <c r="H4" t="s">
        <v>946</v>
      </c>
    </row>
    <row r="5" spans="1:9" x14ac:dyDescent="0.2">
      <c r="H5" t="s">
        <v>947</v>
      </c>
    </row>
    <row r="6" spans="1:9" x14ac:dyDescent="0.2">
      <c r="H6" t="s">
        <v>948</v>
      </c>
    </row>
    <row r="7" spans="1:9" x14ac:dyDescent="0.2">
      <c r="H7" t="s">
        <v>949</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7556"/>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row r="1609" spans="1:5" x14ac:dyDescent="0.2">
      <c r="A1609"/>
      <c r="B1609"/>
      <c r="C1609"/>
      <c r="D1609"/>
      <c r="E1609"/>
    </row>
    <row r="1610" spans="1:5" x14ac:dyDescent="0.2">
      <c r="A1610"/>
      <c r="B1610"/>
      <c r="C1610"/>
      <c r="D1610"/>
      <c r="E1610"/>
    </row>
    <row r="1611" spans="1:5" x14ac:dyDescent="0.2">
      <c r="A1611"/>
      <c r="B1611"/>
      <c r="C1611"/>
      <c r="D1611"/>
      <c r="E1611"/>
    </row>
    <row r="1612" spans="1:5" x14ac:dyDescent="0.2">
      <c r="A1612"/>
      <c r="B1612"/>
      <c r="C1612"/>
      <c r="D1612"/>
      <c r="E1612"/>
    </row>
    <row r="1613" spans="1:5" x14ac:dyDescent="0.2">
      <c r="A1613"/>
      <c r="B1613"/>
      <c r="C1613"/>
      <c r="D1613"/>
      <c r="E1613"/>
    </row>
    <row r="1614" spans="1:5" x14ac:dyDescent="0.2">
      <c r="A1614"/>
      <c r="B1614"/>
      <c r="C1614"/>
      <c r="D1614"/>
      <c r="E1614"/>
    </row>
    <row r="1615" spans="1:5" x14ac:dyDescent="0.2">
      <c r="A1615"/>
      <c r="B1615"/>
      <c r="C1615"/>
      <c r="D1615"/>
      <c r="E1615"/>
    </row>
    <row r="1616" spans="1:5" x14ac:dyDescent="0.2">
      <c r="A1616"/>
      <c r="B1616"/>
      <c r="C1616"/>
      <c r="D1616"/>
      <c r="E1616"/>
    </row>
    <row r="1617" spans="1:5" x14ac:dyDescent="0.2">
      <c r="A1617"/>
      <c r="B1617"/>
      <c r="C1617"/>
      <c r="D1617"/>
      <c r="E1617"/>
    </row>
    <row r="1618" spans="1:5" x14ac:dyDescent="0.2">
      <c r="A1618"/>
      <c r="B1618"/>
      <c r="C1618"/>
      <c r="D1618"/>
      <c r="E1618"/>
    </row>
    <row r="1619" spans="1:5" x14ac:dyDescent="0.2">
      <c r="A1619"/>
      <c r="B1619"/>
      <c r="C1619"/>
      <c r="D1619"/>
      <c r="E1619"/>
    </row>
    <row r="1620" spans="1:5" x14ac:dyDescent="0.2">
      <c r="A1620"/>
      <c r="B1620"/>
      <c r="C1620"/>
      <c r="D1620"/>
      <c r="E1620"/>
    </row>
    <row r="1621" spans="1:5" x14ac:dyDescent="0.2">
      <c r="A1621"/>
      <c r="B1621"/>
      <c r="C1621"/>
      <c r="D1621"/>
      <c r="E1621"/>
    </row>
    <row r="1622" spans="1:5" x14ac:dyDescent="0.2">
      <c r="A1622"/>
      <c r="B1622"/>
      <c r="C1622"/>
      <c r="D1622"/>
      <c r="E1622"/>
    </row>
    <row r="1623" spans="1:5" x14ac:dyDescent="0.2">
      <c r="A1623"/>
      <c r="B1623"/>
      <c r="C1623"/>
      <c r="D1623"/>
      <c r="E1623"/>
    </row>
    <row r="1624" spans="1:5" x14ac:dyDescent="0.2">
      <c r="A1624"/>
      <c r="B1624"/>
      <c r="C1624"/>
      <c r="D1624"/>
      <c r="E1624"/>
    </row>
    <row r="1625" spans="1:5" x14ac:dyDescent="0.2">
      <c r="A1625"/>
      <c r="B1625"/>
      <c r="C1625"/>
      <c r="D1625"/>
      <c r="E1625"/>
    </row>
    <row r="1626" spans="1:5" x14ac:dyDescent="0.2">
      <c r="A1626"/>
      <c r="B1626"/>
      <c r="C1626"/>
      <c r="D1626"/>
      <c r="E1626"/>
    </row>
    <row r="1627" spans="1:5" x14ac:dyDescent="0.2">
      <c r="A1627"/>
      <c r="B1627"/>
      <c r="C1627"/>
      <c r="D1627"/>
      <c r="E1627"/>
    </row>
    <row r="1628" spans="1:5" x14ac:dyDescent="0.2">
      <c r="A1628"/>
      <c r="B1628"/>
      <c r="C1628"/>
      <c r="D1628"/>
      <c r="E1628"/>
    </row>
    <row r="1629" spans="1:5" x14ac:dyDescent="0.2">
      <c r="A1629"/>
      <c r="B1629"/>
      <c r="C1629"/>
      <c r="D1629"/>
      <c r="E1629"/>
    </row>
    <row r="1630" spans="1:5" x14ac:dyDescent="0.2">
      <c r="A1630"/>
      <c r="B1630"/>
      <c r="C1630"/>
      <c r="D1630"/>
      <c r="E1630"/>
    </row>
    <row r="1631" spans="1:5" x14ac:dyDescent="0.2">
      <c r="A1631"/>
      <c r="B1631"/>
      <c r="C1631"/>
      <c r="D1631"/>
      <c r="E1631"/>
    </row>
    <row r="1632" spans="1:5" x14ac:dyDescent="0.2">
      <c r="A1632"/>
      <c r="B1632"/>
      <c r="C1632"/>
      <c r="D1632"/>
      <c r="E1632"/>
    </row>
    <row r="1633" spans="1:5" x14ac:dyDescent="0.2">
      <c r="A1633"/>
      <c r="B1633"/>
      <c r="C1633"/>
      <c r="D1633"/>
      <c r="E1633"/>
    </row>
    <row r="1634" spans="1:5" x14ac:dyDescent="0.2">
      <c r="A1634"/>
      <c r="B1634"/>
      <c r="C1634"/>
      <c r="D1634"/>
      <c r="E1634"/>
    </row>
    <row r="1635" spans="1:5" x14ac:dyDescent="0.2">
      <c r="A1635"/>
      <c r="B1635"/>
      <c r="C1635"/>
      <c r="D1635"/>
      <c r="E1635"/>
    </row>
    <row r="1636" spans="1:5" x14ac:dyDescent="0.2">
      <c r="A1636"/>
      <c r="B1636"/>
      <c r="C1636"/>
      <c r="D1636"/>
      <c r="E1636"/>
    </row>
    <row r="1637" spans="1:5" x14ac:dyDescent="0.2">
      <c r="A1637"/>
      <c r="B1637"/>
      <c r="C1637"/>
      <c r="D1637"/>
      <c r="E1637"/>
    </row>
    <row r="1638" spans="1:5" x14ac:dyDescent="0.2">
      <c r="A1638"/>
      <c r="B1638"/>
      <c r="C1638"/>
      <c r="D1638"/>
      <c r="E1638"/>
    </row>
    <row r="1639" spans="1:5" x14ac:dyDescent="0.2">
      <c r="A1639"/>
      <c r="B1639"/>
      <c r="C1639"/>
      <c r="D1639"/>
      <c r="E1639"/>
    </row>
    <row r="1640" spans="1:5" x14ac:dyDescent="0.2">
      <c r="A1640"/>
      <c r="B1640"/>
      <c r="C1640"/>
      <c r="D1640"/>
      <c r="E1640"/>
    </row>
    <row r="1641" spans="1:5" x14ac:dyDescent="0.2">
      <c r="A1641"/>
      <c r="B1641"/>
      <c r="C1641"/>
      <c r="D1641"/>
      <c r="E1641"/>
    </row>
    <row r="1642" spans="1:5" x14ac:dyDescent="0.2">
      <c r="A1642"/>
      <c r="B1642"/>
      <c r="C1642"/>
      <c r="D1642"/>
      <c r="E1642"/>
    </row>
    <row r="1643" spans="1:5" x14ac:dyDescent="0.2">
      <c r="A1643"/>
      <c r="B1643"/>
      <c r="C1643"/>
      <c r="D1643"/>
      <c r="E1643"/>
    </row>
    <row r="1644" spans="1:5" x14ac:dyDescent="0.2">
      <c r="A1644"/>
      <c r="B1644"/>
      <c r="C1644"/>
      <c r="D1644"/>
      <c r="E1644"/>
    </row>
    <row r="1645" spans="1:5" x14ac:dyDescent="0.2">
      <c r="A1645"/>
      <c r="B1645"/>
      <c r="C1645"/>
      <c r="D1645"/>
      <c r="E1645"/>
    </row>
    <row r="1646" spans="1:5" x14ac:dyDescent="0.2">
      <c r="A1646"/>
      <c r="B1646"/>
      <c r="C1646"/>
      <c r="D1646"/>
      <c r="E1646"/>
    </row>
    <row r="1647" spans="1:5" x14ac:dyDescent="0.2">
      <c r="A1647"/>
      <c r="B1647"/>
      <c r="C1647"/>
      <c r="D1647"/>
      <c r="E1647"/>
    </row>
    <row r="1648" spans="1:5" x14ac:dyDescent="0.2">
      <c r="A1648"/>
      <c r="B1648"/>
      <c r="C1648"/>
      <c r="D1648"/>
      <c r="E1648"/>
    </row>
    <row r="1649" spans="1:5" x14ac:dyDescent="0.2">
      <c r="A1649"/>
      <c r="B1649"/>
      <c r="C1649"/>
      <c r="D1649"/>
      <c r="E1649"/>
    </row>
    <row r="1650" spans="1:5" x14ac:dyDescent="0.2">
      <c r="A1650"/>
      <c r="B1650"/>
      <c r="C1650"/>
      <c r="D1650"/>
      <c r="E1650"/>
    </row>
    <row r="1651" spans="1:5" x14ac:dyDescent="0.2">
      <c r="A1651"/>
      <c r="B1651"/>
      <c r="C1651"/>
      <c r="D1651"/>
      <c r="E1651"/>
    </row>
    <row r="1652" spans="1:5" x14ac:dyDescent="0.2">
      <c r="A1652"/>
      <c r="B1652"/>
      <c r="C1652"/>
      <c r="D1652"/>
      <c r="E1652"/>
    </row>
    <row r="1653" spans="1:5" x14ac:dyDescent="0.2">
      <c r="A1653"/>
      <c r="B1653"/>
      <c r="C1653"/>
      <c r="D1653"/>
      <c r="E1653"/>
    </row>
    <row r="1654" spans="1:5" x14ac:dyDescent="0.2">
      <c r="A1654"/>
      <c r="B1654"/>
      <c r="C1654"/>
      <c r="D1654"/>
      <c r="E1654"/>
    </row>
    <row r="1655" spans="1:5" x14ac:dyDescent="0.2">
      <c r="A1655"/>
      <c r="B1655"/>
      <c r="C1655"/>
      <c r="D1655"/>
      <c r="E1655"/>
    </row>
    <row r="1656" spans="1:5" x14ac:dyDescent="0.2">
      <c r="A1656"/>
      <c r="B1656"/>
      <c r="C1656"/>
      <c r="D1656"/>
      <c r="E1656"/>
    </row>
    <row r="1657" spans="1:5" x14ac:dyDescent="0.2">
      <c r="A1657"/>
      <c r="B1657"/>
      <c r="C1657"/>
      <c r="D1657"/>
      <c r="E1657"/>
    </row>
    <row r="1658" spans="1:5" x14ac:dyDescent="0.2">
      <c r="A1658"/>
      <c r="B1658"/>
      <c r="C1658"/>
      <c r="D1658"/>
      <c r="E1658"/>
    </row>
    <row r="1659" spans="1:5" x14ac:dyDescent="0.2">
      <c r="A1659"/>
      <c r="B1659"/>
      <c r="C1659"/>
      <c r="D1659"/>
      <c r="E1659"/>
    </row>
    <row r="1660" spans="1:5" x14ac:dyDescent="0.2">
      <c r="A1660"/>
      <c r="B1660"/>
      <c r="C1660"/>
      <c r="D1660"/>
      <c r="E1660"/>
    </row>
    <row r="1661" spans="1:5" x14ac:dyDescent="0.2">
      <c r="A1661"/>
      <c r="B1661"/>
      <c r="C1661"/>
      <c r="D1661"/>
      <c r="E1661"/>
    </row>
    <row r="1662" spans="1:5" x14ac:dyDescent="0.2">
      <c r="A1662"/>
      <c r="B1662"/>
      <c r="C1662"/>
      <c r="D1662"/>
      <c r="E1662"/>
    </row>
    <row r="1663" spans="1:5" x14ac:dyDescent="0.2">
      <c r="A1663"/>
      <c r="B1663"/>
      <c r="C1663"/>
      <c r="D1663"/>
      <c r="E1663"/>
    </row>
    <row r="1664" spans="1:5" x14ac:dyDescent="0.2">
      <c r="A1664"/>
      <c r="B1664"/>
      <c r="C1664"/>
      <c r="D1664"/>
      <c r="E1664"/>
    </row>
    <row r="1665" spans="1:5" x14ac:dyDescent="0.2">
      <c r="A1665"/>
      <c r="B1665"/>
      <c r="C1665"/>
      <c r="D1665"/>
      <c r="E1665"/>
    </row>
    <row r="1666" spans="1:5" x14ac:dyDescent="0.2">
      <c r="A1666"/>
      <c r="B1666"/>
      <c r="C1666"/>
      <c r="D1666"/>
      <c r="E1666"/>
    </row>
    <row r="1667" spans="1:5" x14ac:dyDescent="0.2">
      <c r="A1667"/>
      <c r="B1667"/>
      <c r="C1667"/>
      <c r="D1667"/>
      <c r="E1667"/>
    </row>
    <row r="1668" spans="1:5" x14ac:dyDescent="0.2">
      <c r="A1668"/>
      <c r="B1668"/>
      <c r="C1668"/>
      <c r="D1668"/>
      <c r="E1668"/>
    </row>
    <row r="1669" spans="1:5" x14ac:dyDescent="0.2">
      <c r="A1669"/>
      <c r="B1669"/>
      <c r="C1669"/>
      <c r="D1669"/>
      <c r="E1669"/>
    </row>
    <row r="1670" spans="1:5" x14ac:dyDescent="0.2">
      <c r="A1670"/>
      <c r="B1670"/>
      <c r="C1670"/>
      <c r="D1670"/>
      <c r="E1670"/>
    </row>
    <row r="1671" spans="1:5" x14ac:dyDescent="0.2">
      <c r="A1671"/>
      <c r="B1671"/>
      <c r="C1671"/>
      <c r="D1671"/>
      <c r="E1671"/>
    </row>
    <row r="1672" spans="1:5" x14ac:dyDescent="0.2">
      <c r="A1672"/>
      <c r="B1672"/>
      <c r="C1672"/>
      <c r="D1672"/>
      <c r="E1672"/>
    </row>
    <row r="1673" spans="1:5" x14ac:dyDescent="0.2">
      <c r="A1673"/>
      <c r="B1673"/>
      <c r="C1673"/>
      <c r="D1673"/>
      <c r="E1673"/>
    </row>
    <row r="1674" spans="1:5" x14ac:dyDescent="0.2">
      <c r="A1674"/>
      <c r="B1674"/>
      <c r="C1674"/>
      <c r="D1674"/>
      <c r="E1674"/>
    </row>
    <row r="1675" spans="1:5" x14ac:dyDescent="0.2">
      <c r="A1675"/>
      <c r="B1675"/>
      <c r="C1675"/>
      <c r="D1675"/>
      <c r="E1675"/>
    </row>
    <row r="1676" spans="1:5" x14ac:dyDescent="0.2">
      <c r="A1676"/>
      <c r="B1676"/>
      <c r="C1676"/>
      <c r="D1676"/>
      <c r="E1676"/>
    </row>
    <row r="1677" spans="1:5" x14ac:dyDescent="0.2">
      <c r="A1677"/>
      <c r="B1677"/>
      <c r="C1677"/>
      <c r="D1677"/>
      <c r="E1677"/>
    </row>
    <row r="1678" spans="1:5" x14ac:dyDescent="0.2">
      <c r="A1678"/>
      <c r="B1678"/>
      <c r="C1678"/>
      <c r="D1678"/>
      <c r="E1678"/>
    </row>
    <row r="1679" spans="1:5" x14ac:dyDescent="0.2">
      <c r="A1679"/>
      <c r="B1679"/>
      <c r="C1679"/>
      <c r="D1679"/>
      <c r="E1679"/>
    </row>
    <row r="1680" spans="1:5" x14ac:dyDescent="0.2">
      <c r="A1680"/>
      <c r="B1680"/>
      <c r="C1680"/>
      <c r="D1680"/>
      <c r="E1680"/>
    </row>
    <row r="1681" spans="1:5" x14ac:dyDescent="0.2">
      <c r="A1681"/>
      <c r="B1681"/>
      <c r="C1681"/>
      <c r="D1681"/>
      <c r="E1681"/>
    </row>
    <row r="1682" spans="1:5" x14ac:dyDescent="0.2">
      <c r="A1682"/>
      <c r="B1682"/>
      <c r="C1682"/>
      <c r="D1682"/>
      <c r="E1682"/>
    </row>
    <row r="1683" spans="1:5" x14ac:dyDescent="0.2">
      <c r="A1683"/>
      <c r="B1683"/>
      <c r="C1683"/>
      <c r="D1683"/>
      <c r="E1683"/>
    </row>
    <row r="1684" spans="1:5" x14ac:dyDescent="0.2">
      <c r="A1684"/>
      <c r="B1684"/>
      <c r="C1684"/>
      <c r="D1684"/>
      <c r="E1684"/>
    </row>
    <row r="1685" spans="1:5" x14ac:dyDescent="0.2">
      <c r="A1685"/>
      <c r="B1685"/>
      <c r="C1685"/>
      <c r="D1685"/>
      <c r="E1685"/>
    </row>
    <row r="1686" spans="1:5" x14ac:dyDescent="0.2">
      <c r="A1686"/>
      <c r="B1686"/>
      <c r="C1686"/>
      <c r="D1686"/>
      <c r="E1686"/>
    </row>
    <row r="1687" spans="1:5" x14ac:dyDescent="0.2">
      <c r="A1687"/>
      <c r="B1687"/>
      <c r="C1687"/>
      <c r="D1687"/>
      <c r="E1687"/>
    </row>
    <row r="1688" spans="1:5" x14ac:dyDescent="0.2">
      <c r="A1688"/>
      <c r="B1688"/>
      <c r="C1688"/>
      <c r="D1688"/>
      <c r="E1688"/>
    </row>
    <row r="1689" spans="1:5" x14ac:dyDescent="0.2">
      <c r="A1689"/>
      <c r="B1689"/>
      <c r="C1689"/>
      <c r="D1689"/>
      <c r="E1689"/>
    </row>
    <row r="1690" spans="1:5" x14ac:dyDescent="0.2">
      <c r="A1690"/>
      <c r="B1690"/>
      <c r="C1690"/>
      <c r="D1690"/>
      <c r="E1690"/>
    </row>
    <row r="1691" spans="1:5" x14ac:dyDescent="0.2">
      <c r="A1691"/>
      <c r="B1691"/>
      <c r="C1691"/>
      <c r="D1691"/>
      <c r="E1691"/>
    </row>
    <row r="1692" spans="1:5" x14ac:dyDescent="0.2">
      <c r="A1692"/>
      <c r="B1692"/>
      <c r="C1692"/>
      <c r="D1692"/>
      <c r="E1692"/>
    </row>
    <row r="1693" spans="1:5" x14ac:dyDescent="0.2">
      <c r="A1693"/>
      <c r="B1693"/>
      <c r="C1693"/>
      <c r="D1693"/>
      <c r="E1693"/>
    </row>
    <row r="1694" spans="1:5" x14ac:dyDescent="0.2">
      <c r="A1694"/>
      <c r="B1694"/>
      <c r="C1694"/>
      <c r="D1694"/>
      <c r="E1694"/>
    </row>
    <row r="1695" spans="1:5" x14ac:dyDescent="0.2">
      <c r="A1695"/>
      <c r="B1695"/>
      <c r="C1695"/>
      <c r="D1695"/>
      <c r="E1695"/>
    </row>
    <row r="1696" spans="1:5" x14ac:dyDescent="0.2">
      <c r="A1696"/>
      <c r="B1696"/>
      <c r="C1696"/>
      <c r="D1696"/>
      <c r="E1696"/>
    </row>
    <row r="1697" spans="1:5" x14ac:dyDescent="0.2">
      <c r="A1697"/>
      <c r="B1697"/>
      <c r="C1697"/>
      <c r="D1697"/>
      <c r="E1697"/>
    </row>
    <row r="1698" spans="1:5" x14ac:dyDescent="0.2">
      <c r="A1698"/>
      <c r="B1698"/>
      <c r="C1698"/>
      <c r="D1698"/>
      <c r="E1698"/>
    </row>
    <row r="1699" spans="1:5" x14ac:dyDescent="0.2">
      <c r="A1699"/>
      <c r="B1699"/>
      <c r="C1699"/>
      <c r="D1699"/>
      <c r="E1699"/>
    </row>
    <row r="1700" spans="1:5" x14ac:dyDescent="0.2">
      <c r="A1700"/>
      <c r="B1700"/>
      <c r="C1700"/>
      <c r="D1700"/>
      <c r="E1700"/>
    </row>
    <row r="1701" spans="1:5" x14ac:dyDescent="0.2">
      <c r="A1701"/>
      <c r="B1701"/>
      <c r="C1701"/>
      <c r="D1701"/>
      <c r="E1701"/>
    </row>
    <row r="1702" spans="1:5" x14ac:dyDescent="0.2">
      <c r="A1702"/>
      <c r="B1702"/>
      <c r="C1702"/>
      <c r="D1702"/>
      <c r="E1702"/>
    </row>
    <row r="1703" spans="1:5" x14ac:dyDescent="0.2">
      <c r="A1703"/>
      <c r="B1703"/>
      <c r="C1703"/>
      <c r="D1703"/>
      <c r="E1703"/>
    </row>
    <row r="1704" spans="1:5" x14ac:dyDescent="0.2">
      <c r="A1704"/>
      <c r="B1704"/>
      <c r="C1704"/>
      <c r="D1704"/>
      <c r="E1704"/>
    </row>
    <row r="1705" spans="1:5" x14ac:dyDescent="0.2">
      <c r="A1705"/>
      <c r="B1705"/>
      <c r="C1705"/>
      <c r="D1705"/>
      <c r="E1705"/>
    </row>
    <row r="1706" spans="1:5" x14ac:dyDescent="0.2">
      <c r="A1706"/>
      <c r="B1706"/>
      <c r="C1706"/>
      <c r="D1706"/>
      <c r="E1706"/>
    </row>
    <row r="1707" spans="1:5" x14ac:dyDescent="0.2">
      <c r="A1707"/>
      <c r="B1707"/>
      <c r="C1707"/>
      <c r="D1707"/>
      <c r="E1707"/>
    </row>
    <row r="1708" spans="1:5" x14ac:dyDescent="0.2">
      <c r="A1708"/>
      <c r="B1708"/>
      <c r="C1708"/>
      <c r="D1708"/>
      <c r="E1708"/>
    </row>
    <row r="1709" spans="1:5" x14ac:dyDescent="0.2">
      <c r="A1709"/>
      <c r="B1709"/>
      <c r="C1709"/>
      <c r="D1709"/>
      <c r="E1709"/>
    </row>
    <row r="1710" spans="1:5" x14ac:dyDescent="0.2">
      <c r="A1710"/>
      <c r="B1710"/>
      <c r="C1710"/>
      <c r="D1710"/>
      <c r="E1710"/>
    </row>
    <row r="1711" spans="1:5" x14ac:dyDescent="0.2">
      <c r="A1711"/>
      <c r="B1711"/>
      <c r="C1711"/>
      <c r="D1711"/>
      <c r="E1711"/>
    </row>
    <row r="1712" spans="1:5" x14ac:dyDescent="0.2">
      <c r="A1712"/>
      <c r="B1712"/>
      <c r="C1712"/>
      <c r="D1712"/>
      <c r="E1712"/>
    </row>
    <row r="1713" spans="1:5" x14ac:dyDescent="0.2">
      <c r="A1713"/>
      <c r="B1713"/>
      <c r="C1713"/>
      <c r="D1713"/>
      <c r="E1713"/>
    </row>
    <row r="1714" spans="1:5" x14ac:dyDescent="0.2">
      <c r="A1714"/>
      <c r="B1714"/>
      <c r="C1714"/>
      <c r="D1714"/>
      <c r="E1714"/>
    </row>
    <row r="1715" spans="1:5" x14ac:dyDescent="0.2">
      <c r="A1715"/>
      <c r="B1715"/>
      <c r="C1715"/>
      <c r="D1715"/>
      <c r="E1715"/>
    </row>
    <row r="1716" spans="1:5" x14ac:dyDescent="0.2">
      <c r="A1716"/>
      <c r="B1716"/>
      <c r="C1716"/>
      <c r="D1716"/>
      <c r="E1716"/>
    </row>
    <row r="1717" spans="1:5" x14ac:dyDescent="0.2">
      <c r="A1717"/>
      <c r="B1717"/>
      <c r="C1717"/>
      <c r="D1717"/>
      <c r="E1717"/>
    </row>
    <row r="1718" spans="1:5" x14ac:dyDescent="0.2">
      <c r="A1718"/>
      <c r="B1718"/>
      <c r="C1718"/>
      <c r="D1718"/>
      <c r="E1718"/>
    </row>
    <row r="1719" spans="1:5" x14ac:dyDescent="0.2">
      <c r="A1719"/>
      <c r="B1719"/>
      <c r="C1719"/>
      <c r="D1719"/>
      <c r="E1719"/>
    </row>
    <row r="1720" spans="1:5" x14ac:dyDescent="0.2">
      <c r="A1720"/>
      <c r="B1720"/>
      <c r="C1720"/>
      <c r="D1720"/>
      <c r="E1720"/>
    </row>
    <row r="1721" spans="1:5" x14ac:dyDescent="0.2">
      <c r="A1721"/>
      <c r="B1721"/>
      <c r="C1721"/>
      <c r="D1721"/>
      <c r="E1721"/>
    </row>
    <row r="1722" spans="1:5" x14ac:dyDescent="0.2">
      <c r="A1722"/>
      <c r="B1722"/>
      <c r="C1722"/>
      <c r="D1722"/>
      <c r="E1722"/>
    </row>
    <row r="1723" spans="1:5" x14ac:dyDescent="0.2">
      <c r="A1723"/>
      <c r="B1723"/>
      <c r="C1723"/>
      <c r="D1723"/>
      <c r="E1723"/>
    </row>
    <row r="1724" spans="1:5" x14ac:dyDescent="0.2">
      <c r="A1724"/>
      <c r="B1724"/>
      <c r="C1724"/>
      <c r="D1724"/>
      <c r="E1724"/>
    </row>
    <row r="1725" spans="1:5" x14ac:dyDescent="0.2">
      <c r="A1725"/>
      <c r="B1725"/>
      <c r="C1725"/>
      <c r="D1725"/>
      <c r="E1725"/>
    </row>
    <row r="1726" spans="1:5" x14ac:dyDescent="0.2">
      <c r="A1726"/>
      <c r="B1726"/>
      <c r="C1726"/>
      <c r="D1726"/>
      <c r="E1726"/>
    </row>
    <row r="1727" spans="1:5" x14ac:dyDescent="0.2">
      <c r="A1727"/>
      <c r="B1727"/>
      <c r="C1727"/>
      <c r="D1727"/>
      <c r="E1727"/>
    </row>
    <row r="1728" spans="1:5" x14ac:dyDescent="0.2">
      <c r="A1728"/>
      <c r="B1728"/>
      <c r="C1728"/>
      <c r="D1728"/>
      <c r="E1728"/>
    </row>
    <row r="1729" spans="1:5" x14ac:dyDescent="0.2">
      <c r="A1729"/>
      <c r="B1729"/>
      <c r="C1729"/>
      <c r="D1729"/>
      <c r="E1729"/>
    </row>
    <row r="1730" spans="1:5" x14ac:dyDescent="0.2">
      <c r="A1730"/>
      <c r="B1730"/>
      <c r="C1730"/>
      <c r="D1730"/>
      <c r="E1730"/>
    </row>
    <row r="1731" spans="1:5" x14ac:dyDescent="0.2">
      <c r="A1731"/>
      <c r="B1731"/>
      <c r="C1731"/>
      <c r="D1731"/>
      <c r="E1731"/>
    </row>
    <row r="1732" spans="1:5" x14ac:dyDescent="0.2">
      <c r="A1732"/>
      <c r="B1732"/>
      <c r="C1732"/>
      <c r="D1732"/>
      <c r="E1732"/>
    </row>
    <row r="1733" spans="1:5" x14ac:dyDescent="0.2">
      <c r="A1733"/>
      <c r="B1733"/>
      <c r="C1733"/>
      <c r="D1733"/>
      <c r="E1733"/>
    </row>
    <row r="1734" spans="1:5" x14ac:dyDescent="0.2">
      <c r="A1734"/>
      <c r="B1734"/>
      <c r="C1734"/>
      <c r="D1734"/>
      <c r="E1734"/>
    </row>
    <row r="1735" spans="1:5" x14ac:dyDescent="0.2">
      <c r="A1735"/>
      <c r="B1735"/>
      <c r="C1735"/>
      <c r="D1735"/>
      <c r="E1735"/>
    </row>
    <row r="1736" spans="1:5" x14ac:dyDescent="0.2">
      <c r="A1736"/>
      <c r="B1736"/>
      <c r="C1736"/>
      <c r="D1736"/>
      <c r="E1736"/>
    </row>
    <row r="1737" spans="1:5" x14ac:dyDescent="0.2">
      <c r="A1737"/>
      <c r="B1737"/>
      <c r="C1737"/>
      <c r="D1737"/>
      <c r="E1737"/>
    </row>
    <row r="1738" spans="1:5" x14ac:dyDescent="0.2">
      <c r="A1738"/>
      <c r="B1738"/>
      <c r="C1738"/>
      <c r="D1738"/>
      <c r="E1738"/>
    </row>
    <row r="1739" spans="1:5" x14ac:dyDescent="0.2">
      <c r="A1739"/>
      <c r="B1739"/>
      <c r="C1739"/>
      <c r="D1739"/>
      <c r="E1739"/>
    </row>
    <row r="1740" spans="1:5" x14ac:dyDescent="0.2">
      <c r="A1740"/>
      <c r="B1740"/>
      <c r="C1740"/>
      <c r="D1740"/>
      <c r="E1740"/>
    </row>
    <row r="1741" spans="1:5" x14ac:dyDescent="0.2">
      <c r="A1741"/>
      <c r="B1741"/>
      <c r="C1741"/>
      <c r="D1741"/>
      <c r="E1741"/>
    </row>
    <row r="1742" spans="1:5" x14ac:dyDescent="0.2">
      <c r="A1742"/>
      <c r="B1742"/>
      <c r="C1742"/>
      <c r="D1742"/>
      <c r="E1742"/>
    </row>
    <row r="1743" spans="1:5" x14ac:dyDescent="0.2">
      <c r="A1743"/>
      <c r="B1743"/>
      <c r="C1743"/>
      <c r="D1743"/>
      <c r="E1743"/>
    </row>
    <row r="1744" spans="1:5" x14ac:dyDescent="0.2">
      <c r="A1744"/>
      <c r="B1744"/>
      <c r="C1744"/>
      <c r="D1744"/>
      <c r="E1744"/>
    </row>
    <row r="1745" spans="1:5" x14ac:dyDescent="0.2">
      <c r="A1745"/>
      <c r="B1745"/>
      <c r="C1745"/>
      <c r="D1745"/>
      <c r="E1745"/>
    </row>
    <row r="1746" spans="1:5" x14ac:dyDescent="0.2">
      <c r="A1746"/>
      <c r="B1746"/>
      <c r="C1746"/>
      <c r="D1746"/>
      <c r="E1746"/>
    </row>
    <row r="1747" spans="1:5" x14ac:dyDescent="0.2">
      <c r="A1747"/>
      <c r="B1747"/>
      <c r="C1747"/>
      <c r="D1747"/>
      <c r="E1747"/>
    </row>
    <row r="1748" spans="1:5" x14ac:dyDescent="0.2">
      <c r="A1748"/>
      <c r="B1748"/>
      <c r="C1748"/>
      <c r="D1748"/>
      <c r="E1748"/>
    </row>
    <row r="1749" spans="1:5" x14ac:dyDescent="0.2">
      <c r="A1749"/>
      <c r="B1749"/>
      <c r="C1749"/>
      <c r="D1749"/>
      <c r="E1749"/>
    </row>
    <row r="1750" spans="1:5" x14ac:dyDescent="0.2">
      <c r="A1750"/>
      <c r="B1750"/>
      <c r="C1750"/>
      <c r="D1750"/>
      <c r="E1750"/>
    </row>
    <row r="1751" spans="1:5" x14ac:dyDescent="0.2">
      <c r="A1751"/>
      <c r="B1751"/>
      <c r="C1751"/>
      <c r="D1751"/>
      <c r="E1751"/>
    </row>
    <row r="1752" spans="1:5" x14ac:dyDescent="0.2">
      <c r="A1752"/>
      <c r="B1752"/>
      <c r="C1752"/>
      <c r="D1752"/>
      <c r="E1752"/>
    </row>
    <row r="1753" spans="1:5" x14ac:dyDescent="0.2">
      <c r="A1753"/>
      <c r="B1753"/>
      <c r="C1753"/>
      <c r="D1753"/>
      <c r="E1753"/>
    </row>
    <row r="1754" spans="1:5" x14ac:dyDescent="0.2">
      <c r="A1754"/>
      <c r="B1754"/>
      <c r="C1754"/>
      <c r="D1754"/>
      <c r="E1754"/>
    </row>
    <row r="1755" spans="1:5" x14ac:dyDescent="0.2">
      <c r="A1755"/>
      <c r="B1755"/>
      <c r="C1755"/>
      <c r="D1755"/>
      <c r="E1755"/>
    </row>
    <row r="1756" spans="1:5" x14ac:dyDescent="0.2">
      <c r="A1756"/>
      <c r="B1756"/>
      <c r="C1756"/>
      <c r="D1756"/>
      <c r="E1756"/>
    </row>
    <row r="1757" spans="1:5" x14ac:dyDescent="0.2">
      <c r="A1757"/>
      <c r="B1757"/>
      <c r="C1757"/>
      <c r="D1757"/>
      <c r="E1757"/>
    </row>
    <row r="1758" spans="1:5" x14ac:dyDescent="0.2">
      <c r="A1758"/>
      <c r="B1758"/>
      <c r="C1758"/>
      <c r="D1758"/>
      <c r="E1758"/>
    </row>
    <row r="1759" spans="1:5" x14ac:dyDescent="0.2">
      <c r="A1759"/>
      <c r="B1759"/>
      <c r="C1759"/>
      <c r="D1759"/>
      <c r="E1759"/>
    </row>
    <row r="1760" spans="1:5" x14ac:dyDescent="0.2">
      <c r="A1760"/>
      <c r="B1760"/>
      <c r="C1760"/>
      <c r="D1760"/>
      <c r="E1760"/>
    </row>
    <row r="1761" spans="1:5" x14ac:dyDescent="0.2">
      <c r="A1761"/>
      <c r="B1761"/>
      <c r="C1761"/>
      <c r="D1761"/>
      <c r="E1761"/>
    </row>
    <row r="1762" spans="1:5" x14ac:dyDescent="0.2">
      <c r="A1762"/>
      <c r="B1762"/>
      <c r="C1762"/>
      <c r="D1762"/>
      <c r="E1762"/>
    </row>
    <row r="1763" spans="1:5" x14ac:dyDescent="0.2">
      <c r="A1763"/>
      <c r="B1763"/>
      <c r="C1763"/>
      <c r="D1763"/>
      <c r="E1763"/>
    </row>
    <row r="1764" spans="1:5" x14ac:dyDescent="0.2">
      <c r="A1764"/>
      <c r="B1764"/>
      <c r="C1764"/>
      <c r="D1764"/>
      <c r="E1764"/>
    </row>
    <row r="1765" spans="1:5" x14ac:dyDescent="0.2">
      <c r="A1765"/>
      <c r="B1765"/>
      <c r="C1765"/>
      <c r="D1765"/>
      <c r="E1765"/>
    </row>
    <row r="1766" spans="1:5" x14ac:dyDescent="0.2">
      <c r="A1766"/>
      <c r="B1766"/>
      <c r="C1766"/>
      <c r="D1766"/>
      <c r="E1766"/>
    </row>
    <row r="1767" spans="1:5" x14ac:dyDescent="0.2">
      <c r="A1767"/>
      <c r="B1767"/>
      <c r="C1767"/>
      <c r="D1767"/>
      <c r="E1767"/>
    </row>
    <row r="1768" spans="1:5" x14ac:dyDescent="0.2">
      <c r="A1768"/>
      <c r="B1768"/>
      <c r="C1768"/>
      <c r="D1768"/>
      <c r="E1768"/>
    </row>
    <row r="1769" spans="1:5" x14ac:dyDescent="0.2">
      <c r="A1769"/>
      <c r="B1769"/>
      <c r="C1769"/>
      <c r="D1769"/>
      <c r="E1769"/>
    </row>
    <row r="1770" spans="1:5" x14ac:dyDescent="0.2">
      <c r="A1770"/>
      <c r="B1770"/>
      <c r="C1770"/>
      <c r="D1770"/>
      <c r="E1770"/>
    </row>
    <row r="1771" spans="1:5" x14ac:dyDescent="0.2">
      <c r="A1771"/>
      <c r="B1771"/>
      <c r="C1771"/>
      <c r="D1771"/>
      <c r="E1771"/>
    </row>
    <row r="1772" spans="1:5" x14ac:dyDescent="0.2">
      <c r="A1772"/>
      <c r="B1772"/>
      <c r="C1772"/>
      <c r="D1772"/>
      <c r="E1772"/>
    </row>
    <row r="1773" spans="1:5" x14ac:dyDescent="0.2">
      <c r="A1773"/>
      <c r="B1773"/>
      <c r="C1773"/>
      <c r="D1773"/>
      <c r="E1773"/>
    </row>
    <row r="1774" spans="1:5" x14ac:dyDescent="0.2">
      <c r="A1774"/>
      <c r="B1774"/>
      <c r="C1774"/>
      <c r="D1774"/>
      <c r="E1774"/>
    </row>
    <row r="1775" spans="1:5" x14ac:dyDescent="0.2">
      <c r="A1775"/>
      <c r="B1775"/>
      <c r="C1775"/>
      <c r="D1775"/>
      <c r="E1775"/>
    </row>
    <row r="1776" spans="1:5" x14ac:dyDescent="0.2">
      <c r="A1776"/>
      <c r="B1776"/>
      <c r="C1776"/>
      <c r="D1776"/>
      <c r="E1776"/>
    </row>
    <row r="1777" spans="1:5" x14ac:dyDescent="0.2">
      <c r="A1777"/>
      <c r="B1777"/>
      <c r="C1777"/>
      <c r="D1777"/>
      <c r="E1777"/>
    </row>
    <row r="1778" spans="1:5" x14ac:dyDescent="0.2">
      <c r="A1778"/>
      <c r="B1778"/>
      <c r="C1778"/>
      <c r="D1778"/>
      <c r="E1778"/>
    </row>
    <row r="1779" spans="1:5" x14ac:dyDescent="0.2">
      <c r="A1779"/>
      <c r="B1779"/>
      <c r="C1779"/>
      <c r="D1779"/>
      <c r="E1779"/>
    </row>
    <row r="1780" spans="1:5" x14ac:dyDescent="0.2">
      <c r="A1780"/>
      <c r="B1780"/>
      <c r="C1780"/>
      <c r="D1780"/>
      <c r="E1780"/>
    </row>
    <row r="1781" spans="1:5" x14ac:dyDescent="0.2">
      <c r="A1781"/>
      <c r="B1781"/>
      <c r="C1781"/>
      <c r="D1781"/>
      <c r="E1781"/>
    </row>
    <row r="1782" spans="1:5" x14ac:dyDescent="0.2">
      <c r="A1782"/>
      <c r="B1782"/>
      <c r="C1782"/>
      <c r="D1782"/>
      <c r="E1782"/>
    </row>
    <row r="1783" spans="1:5" x14ac:dyDescent="0.2">
      <c r="A1783"/>
      <c r="B1783"/>
      <c r="C1783"/>
      <c r="D1783"/>
      <c r="E1783"/>
    </row>
    <row r="1784" spans="1:5" x14ac:dyDescent="0.2">
      <c r="A1784"/>
      <c r="B1784"/>
      <c r="C1784"/>
      <c r="D1784"/>
      <c r="E1784"/>
    </row>
    <row r="1785" spans="1:5" x14ac:dyDescent="0.2">
      <c r="A1785"/>
      <c r="B1785"/>
      <c r="C1785"/>
      <c r="D1785"/>
      <c r="E1785"/>
    </row>
    <row r="1786" spans="1:5" x14ac:dyDescent="0.2">
      <c r="A1786"/>
      <c r="B1786"/>
      <c r="C1786"/>
      <c r="D1786"/>
      <c r="E1786"/>
    </row>
    <row r="1787" spans="1:5" x14ac:dyDescent="0.2">
      <c r="A1787"/>
      <c r="B1787"/>
      <c r="C1787"/>
      <c r="D1787"/>
      <c r="E1787"/>
    </row>
    <row r="1788" spans="1:5" x14ac:dyDescent="0.2">
      <c r="A1788"/>
      <c r="B1788"/>
      <c r="C1788"/>
      <c r="D1788"/>
      <c r="E1788"/>
    </row>
    <row r="1789" spans="1:5" x14ac:dyDescent="0.2">
      <c r="A1789"/>
      <c r="B1789"/>
      <c r="C1789"/>
      <c r="D1789"/>
      <c r="E1789"/>
    </row>
    <row r="1790" spans="1:5" x14ac:dyDescent="0.2">
      <c r="A1790"/>
      <c r="B1790"/>
      <c r="C1790"/>
      <c r="D1790"/>
      <c r="E1790"/>
    </row>
    <row r="1791" spans="1:5" x14ac:dyDescent="0.2">
      <c r="A1791"/>
      <c r="B1791"/>
      <c r="C1791"/>
      <c r="D1791"/>
      <c r="E1791"/>
    </row>
    <row r="1792" spans="1:5" x14ac:dyDescent="0.2">
      <c r="A1792"/>
      <c r="B1792"/>
      <c r="C1792"/>
      <c r="D1792"/>
      <c r="E1792"/>
    </row>
    <row r="1793" spans="1:5" x14ac:dyDescent="0.2">
      <c r="A1793"/>
      <c r="B1793"/>
      <c r="C1793"/>
      <c r="D1793"/>
      <c r="E1793"/>
    </row>
    <row r="1794" spans="1:5" x14ac:dyDescent="0.2">
      <c r="A1794"/>
      <c r="B1794"/>
      <c r="C1794"/>
      <c r="D1794"/>
      <c r="E1794"/>
    </row>
    <row r="1795" spans="1:5" x14ac:dyDescent="0.2">
      <c r="A1795"/>
      <c r="B1795"/>
      <c r="C1795"/>
      <c r="D1795"/>
      <c r="E1795"/>
    </row>
    <row r="1796" spans="1:5" x14ac:dyDescent="0.2">
      <c r="A1796"/>
      <c r="B1796"/>
      <c r="C1796"/>
      <c r="D1796"/>
      <c r="E1796"/>
    </row>
    <row r="1797" spans="1:5" x14ac:dyDescent="0.2">
      <c r="A1797"/>
      <c r="B1797"/>
      <c r="C1797"/>
      <c r="D1797"/>
      <c r="E1797"/>
    </row>
    <row r="1798" spans="1:5" x14ac:dyDescent="0.2">
      <c r="A1798"/>
      <c r="B1798"/>
      <c r="C1798"/>
      <c r="D1798"/>
      <c r="E1798"/>
    </row>
    <row r="1799" spans="1:5" x14ac:dyDescent="0.2">
      <c r="A1799"/>
      <c r="B1799"/>
      <c r="C1799"/>
      <c r="D1799"/>
      <c r="E1799"/>
    </row>
    <row r="1800" spans="1:5" x14ac:dyDescent="0.2">
      <c r="A1800"/>
      <c r="B1800"/>
      <c r="C1800"/>
      <c r="D1800"/>
      <c r="E1800"/>
    </row>
    <row r="1801" spans="1:5" x14ac:dyDescent="0.2">
      <c r="A1801"/>
      <c r="B1801"/>
      <c r="C1801"/>
      <c r="D1801"/>
      <c r="E1801"/>
    </row>
    <row r="1802" spans="1:5" x14ac:dyDescent="0.2">
      <c r="A1802"/>
      <c r="B1802"/>
      <c r="C1802"/>
      <c r="D1802"/>
      <c r="E1802"/>
    </row>
    <row r="1803" spans="1:5" x14ac:dyDescent="0.2">
      <c r="A1803"/>
      <c r="B1803"/>
      <c r="C1803"/>
      <c r="D1803"/>
      <c r="E1803"/>
    </row>
    <row r="1804" spans="1:5" x14ac:dyDescent="0.2">
      <c r="A1804"/>
      <c r="B1804"/>
      <c r="C1804"/>
      <c r="D1804"/>
      <c r="E1804"/>
    </row>
    <row r="1805" spans="1:5" x14ac:dyDescent="0.2">
      <c r="A1805"/>
      <c r="B1805"/>
      <c r="C1805"/>
      <c r="D1805"/>
      <c r="E1805"/>
    </row>
    <row r="1806" spans="1:5" x14ac:dyDescent="0.2">
      <c r="A1806"/>
      <c r="B1806"/>
      <c r="C1806"/>
      <c r="D1806"/>
      <c r="E1806"/>
    </row>
    <row r="1807" spans="1:5" x14ac:dyDescent="0.2">
      <c r="A1807"/>
      <c r="B1807"/>
      <c r="C1807"/>
      <c r="D1807"/>
      <c r="E1807"/>
    </row>
    <row r="1808" spans="1:5" x14ac:dyDescent="0.2">
      <c r="A1808"/>
      <c r="B1808"/>
      <c r="C1808"/>
      <c r="D1808"/>
      <c r="E1808"/>
    </row>
    <row r="1809" spans="1:5" x14ac:dyDescent="0.2">
      <c r="A1809"/>
      <c r="B1809"/>
      <c r="C1809"/>
      <c r="D1809"/>
      <c r="E1809"/>
    </row>
    <row r="1810" spans="1:5" x14ac:dyDescent="0.2">
      <c r="A1810"/>
      <c r="B1810"/>
      <c r="C1810"/>
      <c r="D1810"/>
      <c r="E1810"/>
    </row>
    <row r="1811" spans="1:5" x14ac:dyDescent="0.2">
      <c r="A1811"/>
      <c r="B1811"/>
      <c r="C1811"/>
      <c r="D1811"/>
      <c r="E1811"/>
    </row>
    <row r="1812" spans="1:5" x14ac:dyDescent="0.2">
      <c r="A1812"/>
      <c r="B1812"/>
      <c r="C1812"/>
      <c r="D1812"/>
      <c r="E1812"/>
    </row>
    <row r="1813" spans="1:5" x14ac:dyDescent="0.2">
      <c r="A1813"/>
      <c r="B1813"/>
      <c r="C1813"/>
      <c r="D1813"/>
      <c r="E1813"/>
    </row>
    <row r="1814" spans="1:5" x14ac:dyDescent="0.2">
      <c r="A1814"/>
      <c r="B1814"/>
      <c r="C1814"/>
      <c r="D1814"/>
      <c r="E1814"/>
    </row>
    <row r="1815" spans="1:5" x14ac:dyDescent="0.2">
      <c r="A1815"/>
      <c r="B1815"/>
      <c r="C1815"/>
      <c r="D1815"/>
      <c r="E1815"/>
    </row>
    <row r="1816" spans="1:5" x14ac:dyDescent="0.2">
      <c r="A1816"/>
      <c r="B1816"/>
      <c r="C1816"/>
      <c r="D1816"/>
      <c r="E1816"/>
    </row>
    <row r="1817" spans="1:5" x14ac:dyDescent="0.2">
      <c r="A1817"/>
      <c r="B1817"/>
      <c r="C1817"/>
      <c r="D1817"/>
      <c r="E1817"/>
    </row>
    <row r="1818" spans="1:5" x14ac:dyDescent="0.2">
      <c r="A1818"/>
      <c r="B1818"/>
      <c r="C1818"/>
      <c r="D1818"/>
      <c r="E1818"/>
    </row>
    <row r="1819" spans="1:5" x14ac:dyDescent="0.2">
      <c r="A1819"/>
      <c r="B1819"/>
      <c r="C1819"/>
      <c r="D1819"/>
      <c r="E1819"/>
    </row>
    <row r="1820" spans="1:5" x14ac:dyDescent="0.2">
      <c r="A1820"/>
      <c r="B1820"/>
      <c r="C1820"/>
      <c r="D1820"/>
      <c r="E1820"/>
    </row>
    <row r="1821" spans="1:5" x14ac:dyDescent="0.2">
      <c r="A1821"/>
      <c r="B1821"/>
      <c r="C1821"/>
      <c r="D1821"/>
      <c r="E1821"/>
    </row>
    <row r="1822" spans="1:5" x14ac:dyDescent="0.2">
      <c r="A1822"/>
      <c r="B1822"/>
      <c r="C1822"/>
      <c r="D1822"/>
      <c r="E1822"/>
    </row>
    <row r="1823" spans="1:5" x14ac:dyDescent="0.2">
      <c r="A1823"/>
      <c r="B1823"/>
      <c r="C1823"/>
      <c r="D1823"/>
      <c r="E1823"/>
    </row>
    <row r="1824" spans="1:5" x14ac:dyDescent="0.2">
      <c r="A1824"/>
      <c r="B1824"/>
      <c r="C1824"/>
      <c r="D1824"/>
      <c r="E1824"/>
    </row>
    <row r="1825" spans="1:5" x14ac:dyDescent="0.2">
      <c r="A1825"/>
      <c r="B1825"/>
      <c r="C1825"/>
      <c r="D1825"/>
      <c r="E1825"/>
    </row>
    <row r="1826" spans="1:5" x14ac:dyDescent="0.2">
      <c r="A1826"/>
      <c r="B1826"/>
      <c r="C1826"/>
      <c r="D1826"/>
      <c r="E1826"/>
    </row>
    <row r="1827" spans="1:5" x14ac:dyDescent="0.2">
      <c r="A1827"/>
      <c r="B1827"/>
      <c r="C1827"/>
      <c r="D1827"/>
      <c r="E1827"/>
    </row>
    <row r="1828" spans="1:5" x14ac:dyDescent="0.2">
      <c r="A1828"/>
      <c r="B1828"/>
      <c r="C1828"/>
      <c r="D1828"/>
      <c r="E1828"/>
    </row>
    <row r="1829" spans="1:5" x14ac:dyDescent="0.2">
      <c r="A1829"/>
      <c r="B1829"/>
      <c r="C1829"/>
      <c r="D1829"/>
      <c r="E1829"/>
    </row>
    <row r="1830" spans="1:5" x14ac:dyDescent="0.2">
      <c r="A1830"/>
      <c r="B1830"/>
      <c r="C1830"/>
      <c r="D1830"/>
      <c r="E1830"/>
    </row>
    <row r="1831" spans="1:5" x14ac:dyDescent="0.2">
      <c r="A1831"/>
      <c r="B1831"/>
      <c r="C1831"/>
      <c r="D1831"/>
      <c r="E1831"/>
    </row>
    <row r="1832" spans="1:5" x14ac:dyDescent="0.2">
      <c r="A1832"/>
      <c r="B1832"/>
      <c r="C1832"/>
      <c r="D1832"/>
      <c r="E1832"/>
    </row>
    <row r="1833" spans="1:5" x14ac:dyDescent="0.2">
      <c r="A1833"/>
      <c r="B1833"/>
      <c r="C1833"/>
      <c r="D1833"/>
      <c r="E1833"/>
    </row>
    <row r="1834" spans="1:5" x14ac:dyDescent="0.2">
      <c r="A1834"/>
      <c r="B1834"/>
      <c r="C1834"/>
      <c r="D1834"/>
      <c r="E1834"/>
    </row>
    <row r="1835" spans="1:5" x14ac:dyDescent="0.2">
      <c r="A1835"/>
      <c r="B1835"/>
      <c r="C1835"/>
      <c r="D1835"/>
      <c r="E1835"/>
    </row>
    <row r="1836" spans="1:5" x14ac:dyDescent="0.2">
      <c r="A1836"/>
      <c r="B1836"/>
      <c r="C1836"/>
      <c r="D1836"/>
      <c r="E1836"/>
    </row>
    <row r="1837" spans="1:5" x14ac:dyDescent="0.2">
      <c r="A1837"/>
      <c r="B1837"/>
      <c r="C1837"/>
      <c r="D1837"/>
      <c r="E1837"/>
    </row>
    <row r="1838" spans="1:5" x14ac:dyDescent="0.2">
      <c r="A1838"/>
      <c r="B1838"/>
      <c r="C1838"/>
      <c r="D1838"/>
      <c r="E1838"/>
    </row>
    <row r="1839" spans="1:5" x14ac:dyDescent="0.2">
      <c r="A1839"/>
      <c r="B1839"/>
      <c r="C1839"/>
      <c r="D1839"/>
      <c r="E1839"/>
    </row>
    <row r="1840" spans="1:5" x14ac:dyDescent="0.2">
      <c r="A1840"/>
      <c r="B1840"/>
      <c r="C1840"/>
      <c r="D1840"/>
      <c r="E1840"/>
    </row>
    <row r="1841" spans="1:5" x14ac:dyDescent="0.2">
      <c r="A1841"/>
      <c r="B1841"/>
      <c r="C1841"/>
      <c r="D1841"/>
      <c r="E1841"/>
    </row>
    <row r="1842" spans="1:5" x14ac:dyDescent="0.2">
      <c r="A1842"/>
      <c r="B1842"/>
      <c r="C1842"/>
      <c r="D1842"/>
      <c r="E1842"/>
    </row>
    <row r="1843" spans="1:5" x14ac:dyDescent="0.2">
      <c r="A1843"/>
      <c r="B1843"/>
      <c r="C1843"/>
      <c r="D1843"/>
      <c r="E1843"/>
    </row>
    <row r="1844" spans="1:5" x14ac:dyDescent="0.2">
      <c r="A1844"/>
      <c r="B1844"/>
      <c r="C1844"/>
      <c r="D1844"/>
      <c r="E1844"/>
    </row>
    <row r="1845" spans="1:5" x14ac:dyDescent="0.2">
      <c r="A1845"/>
      <c r="B1845"/>
      <c r="C1845"/>
      <c r="D1845"/>
      <c r="E1845"/>
    </row>
    <row r="1846" spans="1:5" x14ac:dyDescent="0.2">
      <c r="A1846"/>
      <c r="B1846"/>
      <c r="C1846"/>
      <c r="D1846"/>
      <c r="E1846"/>
    </row>
    <row r="1847" spans="1:5" x14ac:dyDescent="0.2">
      <c r="A1847"/>
      <c r="B1847"/>
      <c r="C1847"/>
      <c r="D1847"/>
      <c r="E1847"/>
    </row>
    <row r="1848" spans="1:5" x14ac:dyDescent="0.2">
      <c r="A1848"/>
      <c r="B1848"/>
      <c r="C1848"/>
      <c r="D1848"/>
      <c r="E1848"/>
    </row>
    <row r="1849" spans="1:5" x14ac:dyDescent="0.2">
      <c r="A1849"/>
      <c r="B1849"/>
      <c r="C1849"/>
      <c r="D1849"/>
      <c r="E1849"/>
    </row>
    <row r="1850" spans="1:5" x14ac:dyDescent="0.2">
      <c r="A1850"/>
      <c r="B1850"/>
      <c r="C1850"/>
      <c r="D1850"/>
      <c r="E1850"/>
    </row>
    <row r="1851" spans="1:5" x14ac:dyDescent="0.2">
      <c r="A1851"/>
      <c r="B1851"/>
      <c r="C1851"/>
      <c r="D1851"/>
      <c r="E1851"/>
    </row>
    <row r="1852" spans="1:5" x14ac:dyDescent="0.2">
      <c r="A1852"/>
      <c r="B1852"/>
      <c r="C1852"/>
      <c r="D1852"/>
      <c r="E1852"/>
    </row>
    <row r="1853" spans="1:5" x14ac:dyDescent="0.2">
      <c r="A1853"/>
      <c r="B1853"/>
      <c r="C1853"/>
      <c r="D1853"/>
      <c r="E1853"/>
    </row>
    <row r="1854" spans="1:5" x14ac:dyDescent="0.2">
      <c r="A1854"/>
      <c r="B1854"/>
      <c r="C1854"/>
      <c r="D1854"/>
      <c r="E1854"/>
    </row>
    <row r="1855" spans="1:5" x14ac:dyDescent="0.2">
      <c r="A1855"/>
      <c r="B1855"/>
      <c r="C1855"/>
      <c r="D1855"/>
      <c r="E1855"/>
    </row>
    <row r="1856" spans="1:5" x14ac:dyDescent="0.2">
      <c r="A1856"/>
      <c r="B1856"/>
      <c r="C1856"/>
      <c r="D1856"/>
      <c r="E1856"/>
    </row>
    <row r="1857" spans="1:5" x14ac:dyDescent="0.2">
      <c r="A1857"/>
      <c r="B1857"/>
      <c r="C1857"/>
      <c r="D1857"/>
      <c r="E1857"/>
    </row>
    <row r="1858" spans="1:5" x14ac:dyDescent="0.2">
      <c r="A1858"/>
      <c r="B1858"/>
      <c r="C1858"/>
      <c r="D1858"/>
      <c r="E1858"/>
    </row>
    <row r="1859" spans="1:5" x14ac:dyDescent="0.2">
      <c r="A1859"/>
      <c r="B1859"/>
      <c r="C1859"/>
      <c r="D1859"/>
      <c r="E1859"/>
    </row>
    <row r="1860" spans="1:5" x14ac:dyDescent="0.2">
      <c r="A1860"/>
      <c r="B1860"/>
      <c r="C1860"/>
      <c r="D1860"/>
      <c r="E1860"/>
    </row>
    <row r="1861" spans="1:5" x14ac:dyDescent="0.2">
      <c r="A1861"/>
      <c r="B1861"/>
      <c r="C1861"/>
      <c r="D1861"/>
      <c r="E1861"/>
    </row>
    <row r="1862" spans="1:5" x14ac:dyDescent="0.2">
      <c r="A1862"/>
      <c r="B1862"/>
      <c r="C1862"/>
      <c r="D1862"/>
      <c r="E1862"/>
    </row>
    <row r="1863" spans="1:5" x14ac:dyDescent="0.2">
      <c r="A1863"/>
      <c r="B1863"/>
      <c r="C1863"/>
      <c r="D1863"/>
      <c r="E1863"/>
    </row>
    <row r="1864" spans="1:5" x14ac:dyDescent="0.2">
      <c r="A1864"/>
      <c r="B1864"/>
      <c r="C1864"/>
      <c r="D1864"/>
      <c r="E1864"/>
    </row>
    <row r="1865" spans="1:5" x14ac:dyDescent="0.2">
      <c r="A1865"/>
      <c r="B1865"/>
      <c r="C1865"/>
      <c r="D1865"/>
      <c r="E1865"/>
    </row>
    <row r="1866" spans="1:5" x14ac:dyDescent="0.2">
      <c r="A1866"/>
      <c r="B1866"/>
      <c r="C1866"/>
      <c r="D1866"/>
      <c r="E1866"/>
    </row>
    <row r="1867" spans="1:5" x14ac:dyDescent="0.2">
      <c r="A1867"/>
      <c r="B1867"/>
      <c r="C1867"/>
      <c r="D1867"/>
      <c r="E1867"/>
    </row>
    <row r="1868" spans="1:5" x14ac:dyDescent="0.2">
      <c r="A1868"/>
      <c r="B1868"/>
      <c r="C1868"/>
      <c r="D1868"/>
      <c r="E1868"/>
    </row>
    <row r="1869" spans="1:5" x14ac:dyDescent="0.2">
      <c r="A1869"/>
      <c r="B1869"/>
      <c r="C1869"/>
      <c r="D1869"/>
      <c r="E1869"/>
    </row>
    <row r="1870" spans="1:5" x14ac:dyDescent="0.2">
      <c r="A1870"/>
      <c r="B1870"/>
      <c r="C1870"/>
      <c r="D1870"/>
      <c r="E1870"/>
    </row>
    <row r="1871" spans="1:5" x14ac:dyDescent="0.2">
      <c r="A1871"/>
      <c r="B1871"/>
      <c r="C1871"/>
      <c r="D1871"/>
      <c r="E1871"/>
    </row>
    <row r="1872" spans="1:5" x14ac:dyDescent="0.2">
      <c r="A1872"/>
      <c r="B1872"/>
      <c r="C1872"/>
      <c r="D1872"/>
      <c r="E1872"/>
    </row>
    <row r="1873" spans="1:5" x14ac:dyDescent="0.2">
      <c r="A1873"/>
      <c r="B1873"/>
      <c r="C1873"/>
      <c r="D1873"/>
      <c r="E1873"/>
    </row>
    <row r="1874" spans="1:5" x14ac:dyDescent="0.2">
      <c r="A1874"/>
      <c r="B1874"/>
      <c r="C1874"/>
      <c r="D1874"/>
      <c r="E1874"/>
    </row>
    <row r="1875" spans="1:5" x14ac:dyDescent="0.2">
      <c r="A1875"/>
      <c r="B1875"/>
      <c r="C1875"/>
      <c r="D1875"/>
      <c r="E1875"/>
    </row>
    <row r="1876" spans="1:5" x14ac:dyDescent="0.2">
      <c r="A1876"/>
      <c r="B1876"/>
      <c r="C1876"/>
      <c r="D1876"/>
      <c r="E1876"/>
    </row>
    <row r="1877" spans="1:5" x14ac:dyDescent="0.2">
      <c r="A1877"/>
      <c r="B1877"/>
      <c r="C1877"/>
      <c r="D1877"/>
      <c r="E1877"/>
    </row>
    <row r="1878" spans="1:5" x14ac:dyDescent="0.2">
      <c r="A1878"/>
      <c r="B1878"/>
      <c r="C1878"/>
      <c r="D1878"/>
      <c r="E1878"/>
    </row>
    <row r="1879" spans="1:5" x14ac:dyDescent="0.2">
      <c r="A1879"/>
      <c r="B1879"/>
      <c r="C1879"/>
      <c r="D1879"/>
      <c r="E1879"/>
    </row>
    <row r="1880" spans="1:5" x14ac:dyDescent="0.2">
      <c r="A1880"/>
      <c r="B1880"/>
      <c r="C1880"/>
      <c r="D1880"/>
      <c r="E1880"/>
    </row>
    <row r="1881" spans="1:5" x14ac:dyDescent="0.2">
      <c r="A1881"/>
      <c r="B1881"/>
      <c r="C1881"/>
      <c r="D1881"/>
      <c r="E1881"/>
    </row>
    <row r="1882" spans="1:5" x14ac:dyDescent="0.2">
      <c r="A1882"/>
      <c r="B1882"/>
      <c r="C1882"/>
      <c r="D1882"/>
      <c r="E1882"/>
    </row>
    <row r="1883" spans="1:5" x14ac:dyDescent="0.2">
      <c r="A1883"/>
      <c r="B1883"/>
      <c r="C1883"/>
      <c r="D1883"/>
      <c r="E1883"/>
    </row>
    <row r="1884" spans="1:5" x14ac:dyDescent="0.2">
      <c r="A1884"/>
      <c r="B1884"/>
      <c r="C1884"/>
      <c r="D1884"/>
      <c r="E1884"/>
    </row>
    <row r="1885" spans="1:5" x14ac:dyDescent="0.2">
      <c r="A1885"/>
      <c r="B1885"/>
      <c r="C1885"/>
      <c r="D1885"/>
      <c r="E1885"/>
    </row>
    <row r="1886" spans="1:5" x14ac:dyDescent="0.2">
      <c r="A1886"/>
      <c r="B1886"/>
      <c r="C1886"/>
      <c r="D1886"/>
      <c r="E1886"/>
    </row>
    <row r="1887" spans="1:5" x14ac:dyDescent="0.2">
      <c r="A1887"/>
      <c r="B1887"/>
      <c r="C1887"/>
      <c r="D1887"/>
      <c r="E1887"/>
    </row>
    <row r="1888" spans="1:5" x14ac:dyDescent="0.2">
      <c r="A1888"/>
      <c r="B1888"/>
      <c r="C1888"/>
      <c r="D1888"/>
      <c r="E1888"/>
    </row>
    <row r="1889" spans="1:5" x14ac:dyDescent="0.2">
      <c r="A1889"/>
      <c r="B1889"/>
      <c r="C1889"/>
      <c r="D1889"/>
      <c r="E1889"/>
    </row>
    <row r="1890" spans="1:5" x14ac:dyDescent="0.2">
      <c r="A1890"/>
      <c r="B1890"/>
      <c r="C1890"/>
      <c r="D1890"/>
      <c r="E1890"/>
    </row>
    <row r="1891" spans="1:5" x14ac:dyDescent="0.2">
      <c r="A1891"/>
      <c r="B1891"/>
      <c r="C1891"/>
      <c r="D1891"/>
      <c r="E1891"/>
    </row>
    <row r="1892" spans="1:5" x14ac:dyDescent="0.2">
      <c r="A1892"/>
      <c r="B1892"/>
      <c r="C1892"/>
      <c r="D1892"/>
      <c r="E1892"/>
    </row>
    <row r="1893" spans="1:5" x14ac:dyDescent="0.2">
      <c r="A1893"/>
      <c r="B1893"/>
      <c r="C1893"/>
      <c r="D1893"/>
      <c r="E1893"/>
    </row>
    <row r="1894" spans="1:5" x14ac:dyDescent="0.2">
      <c r="A1894"/>
      <c r="B1894"/>
      <c r="C1894"/>
      <c r="D1894"/>
      <c r="E1894"/>
    </row>
    <row r="1895" spans="1:5" x14ac:dyDescent="0.2">
      <c r="A1895"/>
      <c r="B1895"/>
      <c r="C1895"/>
      <c r="D1895"/>
      <c r="E1895"/>
    </row>
    <row r="1896" spans="1:5" x14ac:dyDescent="0.2">
      <c r="A1896"/>
      <c r="B1896"/>
      <c r="C1896"/>
      <c r="D1896"/>
      <c r="E1896"/>
    </row>
    <row r="1897" spans="1:5" x14ac:dyDescent="0.2">
      <c r="A1897"/>
      <c r="B1897"/>
      <c r="C1897"/>
      <c r="D1897"/>
      <c r="E1897"/>
    </row>
    <row r="1898" spans="1:5" x14ac:dyDescent="0.2">
      <c r="A1898"/>
      <c r="B1898"/>
      <c r="C1898"/>
      <c r="D1898"/>
      <c r="E1898"/>
    </row>
    <row r="1899" spans="1:5" x14ac:dyDescent="0.2">
      <c r="A1899"/>
      <c r="B1899"/>
      <c r="C1899"/>
      <c r="D1899"/>
      <c r="E1899"/>
    </row>
    <row r="1900" spans="1:5" x14ac:dyDescent="0.2">
      <c r="A1900"/>
      <c r="B1900"/>
      <c r="C1900"/>
      <c r="D1900"/>
      <c r="E1900"/>
    </row>
    <row r="1901" spans="1:5" x14ac:dyDescent="0.2">
      <c r="A1901"/>
      <c r="B1901"/>
      <c r="C1901"/>
      <c r="D1901"/>
      <c r="E1901"/>
    </row>
    <row r="1902" spans="1:5" x14ac:dyDescent="0.2">
      <c r="A1902"/>
      <c r="B1902"/>
      <c r="C1902"/>
      <c r="D1902"/>
      <c r="E1902"/>
    </row>
    <row r="1903" spans="1:5" x14ac:dyDescent="0.2">
      <c r="A1903"/>
      <c r="B1903"/>
      <c r="C1903"/>
      <c r="D1903"/>
      <c r="E1903"/>
    </row>
    <row r="1904" spans="1:5" x14ac:dyDescent="0.2">
      <c r="A1904"/>
      <c r="B1904"/>
      <c r="C1904"/>
      <c r="D1904"/>
      <c r="E1904"/>
    </row>
    <row r="1905" spans="1:5" x14ac:dyDescent="0.2">
      <c r="A1905"/>
      <c r="B1905"/>
      <c r="C1905"/>
      <c r="D1905"/>
      <c r="E1905"/>
    </row>
    <row r="1906" spans="1:5" x14ac:dyDescent="0.2">
      <c r="A1906"/>
      <c r="B1906"/>
      <c r="C1906"/>
      <c r="D1906"/>
      <c r="E1906"/>
    </row>
    <row r="1907" spans="1:5" x14ac:dyDescent="0.2">
      <c r="A1907"/>
      <c r="B1907"/>
      <c r="C1907"/>
      <c r="D1907"/>
      <c r="E1907"/>
    </row>
    <row r="1908" spans="1:5" x14ac:dyDescent="0.2">
      <c r="A1908"/>
      <c r="B1908"/>
      <c r="C1908"/>
      <c r="D1908"/>
      <c r="E1908"/>
    </row>
    <row r="1909" spans="1:5" x14ac:dyDescent="0.2">
      <c r="A1909"/>
      <c r="B1909"/>
      <c r="C1909"/>
      <c r="D1909"/>
      <c r="E1909"/>
    </row>
    <row r="1910" spans="1:5" x14ac:dyDescent="0.2">
      <c r="A1910"/>
      <c r="B1910"/>
      <c r="C1910"/>
      <c r="D1910"/>
      <c r="E1910"/>
    </row>
    <row r="1911" spans="1:5" x14ac:dyDescent="0.2">
      <c r="A1911"/>
      <c r="B1911"/>
      <c r="C1911"/>
      <c r="D1911"/>
      <c r="E1911"/>
    </row>
    <row r="1912" spans="1:5" x14ac:dyDescent="0.2">
      <c r="A1912"/>
      <c r="B1912"/>
      <c r="C1912"/>
      <c r="D1912"/>
      <c r="E1912"/>
    </row>
    <row r="1913" spans="1:5" x14ac:dyDescent="0.2">
      <c r="A1913"/>
      <c r="B1913"/>
      <c r="C1913"/>
      <c r="D1913"/>
      <c r="E1913"/>
    </row>
    <row r="1914" spans="1:5" x14ac:dyDescent="0.2">
      <c r="A1914"/>
      <c r="B1914"/>
      <c r="C1914"/>
      <c r="D1914"/>
      <c r="E1914"/>
    </row>
    <row r="1915" spans="1:5" x14ac:dyDescent="0.2">
      <c r="A1915"/>
      <c r="B1915"/>
      <c r="C1915"/>
      <c r="D1915"/>
      <c r="E1915"/>
    </row>
    <row r="1916" spans="1:5" x14ac:dyDescent="0.2">
      <c r="A1916"/>
      <c r="B1916"/>
      <c r="C1916"/>
      <c r="D1916"/>
      <c r="E1916"/>
    </row>
    <row r="1917" spans="1:5" x14ac:dyDescent="0.2">
      <c r="A1917"/>
      <c r="B1917"/>
      <c r="C1917"/>
      <c r="D1917"/>
      <c r="E1917"/>
    </row>
    <row r="1918" spans="1:5" x14ac:dyDescent="0.2">
      <c r="A1918"/>
      <c r="B1918"/>
      <c r="C1918"/>
      <c r="D1918"/>
      <c r="E1918"/>
    </row>
    <row r="1919" spans="1:5" x14ac:dyDescent="0.2">
      <c r="A1919"/>
      <c r="B1919"/>
      <c r="C1919"/>
      <c r="D1919"/>
      <c r="E1919"/>
    </row>
    <row r="1920" spans="1:5" x14ac:dyDescent="0.2">
      <c r="A1920"/>
      <c r="B1920"/>
      <c r="C1920"/>
      <c r="D1920"/>
      <c r="E1920"/>
    </row>
    <row r="1921" spans="1:5" x14ac:dyDescent="0.2">
      <c r="A1921"/>
      <c r="B1921"/>
      <c r="C1921"/>
      <c r="D1921"/>
      <c r="E1921"/>
    </row>
    <row r="1922" spans="1:5" x14ac:dyDescent="0.2">
      <c r="A1922"/>
      <c r="B1922"/>
      <c r="C1922"/>
      <c r="D1922"/>
      <c r="E1922"/>
    </row>
    <row r="1923" spans="1:5" x14ac:dyDescent="0.2">
      <c r="A1923"/>
      <c r="B1923"/>
      <c r="C1923"/>
      <c r="D1923"/>
      <c r="E1923"/>
    </row>
    <row r="1924" spans="1:5" x14ac:dyDescent="0.2">
      <c r="A1924"/>
      <c r="B1924"/>
      <c r="C1924"/>
      <c r="D1924"/>
      <c r="E1924"/>
    </row>
    <row r="1925" spans="1:5" x14ac:dyDescent="0.2">
      <c r="A1925"/>
      <c r="B1925"/>
      <c r="C1925"/>
      <c r="D1925"/>
      <c r="E1925"/>
    </row>
    <row r="1926" spans="1:5" x14ac:dyDescent="0.2">
      <c r="A1926"/>
      <c r="B1926"/>
      <c r="C1926"/>
      <c r="D1926"/>
      <c r="E1926"/>
    </row>
    <row r="1927" spans="1:5" x14ac:dyDescent="0.2">
      <c r="A1927"/>
      <c r="B1927"/>
      <c r="C1927"/>
      <c r="D1927"/>
      <c r="E1927"/>
    </row>
    <row r="1928" spans="1:5" x14ac:dyDescent="0.2">
      <c r="A1928"/>
      <c r="B1928"/>
      <c r="C1928"/>
      <c r="D1928"/>
      <c r="E1928"/>
    </row>
    <row r="1929" spans="1:5" x14ac:dyDescent="0.2">
      <c r="A1929"/>
      <c r="B1929"/>
      <c r="C1929"/>
      <c r="D1929"/>
      <c r="E1929"/>
    </row>
    <row r="1930" spans="1:5" x14ac:dyDescent="0.2">
      <c r="A1930"/>
      <c r="B1930"/>
      <c r="C1930"/>
      <c r="D1930"/>
      <c r="E1930"/>
    </row>
    <row r="1931" spans="1:5" x14ac:dyDescent="0.2">
      <c r="A1931"/>
      <c r="B1931"/>
      <c r="C1931"/>
      <c r="D1931"/>
      <c r="E1931"/>
    </row>
    <row r="1932" spans="1:5" x14ac:dyDescent="0.2">
      <c r="A1932"/>
      <c r="B1932"/>
      <c r="C1932"/>
      <c r="D1932"/>
      <c r="E1932"/>
    </row>
    <row r="1933" spans="1:5" x14ac:dyDescent="0.2">
      <c r="A1933"/>
      <c r="B1933"/>
      <c r="C1933"/>
      <c r="D1933"/>
      <c r="E1933"/>
    </row>
    <row r="1934" spans="1:5" x14ac:dyDescent="0.2">
      <c r="A1934"/>
      <c r="B1934"/>
      <c r="C1934"/>
      <c r="D1934"/>
      <c r="E1934"/>
    </row>
    <row r="1935" spans="1:5" x14ac:dyDescent="0.2">
      <c r="A1935"/>
      <c r="B1935"/>
      <c r="C1935"/>
      <c r="D1935"/>
      <c r="E1935"/>
    </row>
    <row r="1936" spans="1:5" x14ac:dyDescent="0.2">
      <c r="A1936"/>
      <c r="B1936"/>
      <c r="C1936"/>
      <c r="D1936"/>
      <c r="E1936"/>
    </row>
    <row r="1937" spans="1:5" x14ac:dyDescent="0.2">
      <c r="A1937"/>
      <c r="B1937"/>
      <c r="C1937"/>
      <c r="D1937"/>
      <c r="E1937"/>
    </row>
    <row r="1938" spans="1:5" x14ac:dyDescent="0.2">
      <c r="A1938"/>
      <c r="B1938"/>
      <c r="C1938"/>
      <c r="D1938"/>
      <c r="E1938"/>
    </row>
    <row r="1939" spans="1:5" x14ac:dyDescent="0.2">
      <c r="A1939"/>
      <c r="B1939"/>
      <c r="C1939"/>
      <c r="D1939"/>
      <c r="E1939"/>
    </row>
    <row r="1940" spans="1:5" x14ac:dyDescent="0.2">
      <c r="A1940"/>
      <c r="B1940"/>
      <c r="C1940"/>
      <c r="D1940"/>
      <c r="E1940"/>
    </row>
    <row r="1941" spans="1:5" x14ac:dyDescent="0.2">
      <c r="A1941"/>
      <c r="B1941"/>
      <c r="C1941"/>
      <c r="D1941"/>
      <c r="E1941"/>
    </row>
    <row r="1942" spans="1:5" x14ac:dyDescent="0.2">
      <c r="A1942"/>
      <c r="B1942"/>
      <c r="C1942"/>
      <c r="D1942"/>
      <c r="E1942"/>
    </row>
    <row r="1943" spans="1:5" x14ac:dyDescent="0.2">
      <c r="A1943"/>
      <c r="B1943"/>
      <c r="C1943"/>
      <c r="D1943"/>
      <c r="E1943"/>
    </row>
    <row r="1944" spans="1:5" x14ac:dyDescent="0.2">
      <c r="A1944"/>
      <c r="B1944"/>
      <c r="C1944"/>
      <c r="D1944"/>
      <c r="E1944"/>
    </row>
    <row r="1945" spans="1:5" x14ac:dyDescent="0.2">
      <c r="A1945"/>
      <c r="B1945"/>
      <c r="C1945"/>
      <c r="D1945"/>
      <c r="E1945"/>
    </row>
    <row r="1946" spans="1:5" x14ac:dyDescent="0.2">
      <c r="A1946"/>
      <c r="B1946"/>
      <c r="C1946"/>
      <c r="D1946"/>
      <c r="E1946"/>
    </row>
    <row r="1947" spans="1:5" x14ac:dyDescent="0.2">
      <c r="A1947"/>
      <c r="B1947"/>
      <c r="C1947"/>
      <c r="D1947"/>
      <c r="E1947"/>
    </row>
    <row r="1948" spans="1:5" x14ac:dyDescent="0.2">
      <c r="A1948"/>
      <c r="B1948"/>
      <c r="C1948"/>
      <c r="D1948"/>
      <c r="E1948"/>
    </row>
    <row r="1949" spans="1:5" x14ac:dyDescent="0.2">
      <c r="A1949"/>
      <c r="B1949"/>
      <c r="C1949"/>
      <c r="D1949"/>
      <c r="E1949"/>
    </row>
    <row r="1950" spans="1:5" x14ac:dyDescent="0.2">
      <c r="A1950"/>
      <c r="B1950"/>
      <c r="C1950"/>
      <c r="D1950"/>
      <c r="E1950"/>
    </row>
    <row r="1951" spans="1:5" x14ac:dyDescent="0.2">
      <c r="A1951"/>
      <c r="B1951"/>
      <c r="C1951"/>
      <c r="D1951"/>
      <c r="E1951"/>
    </row>
    <row r="1952" spans="1:5" x14ac:dyDescent="0.2">
      <c r="A1952"/>
      <c r="B1952"/>
      <c r="C1952"/>
      <c r="D1952"/>
      <c r="E1952"/>
    </row>
    <row r="1953" spans="1:5" x14ac:dyDescent="0.2">
      <c r="A1953"/>
      <c r="B1953"/>
      <c r="C1953"/>
      <c r="D1953"/>
      <c r="E1953"/>
    </row>
    <row r="1954" spans="1:5" x14ac:dyDescent="0.2">
      <c r="A1954"/>
      <c r="B1954"/>
      <c r="C1954"/>
      <c r="D1954"/>
      <c r="E1954"/>
    </row>
    <row r="1955" spans="1:5" x14ac:dyDescent="0.2">
      <c r="A1955"/>
      <c r="B1955"/>
      <c r="C1955"/>
      <c r="D1955"/>
      <c r="E1955"/>
    </row>
    <row r="1956" spans="1:5" x14ac:dyDescent="0.2">
      <c r="A1956"/>
      <c r="B1956"/>
      <c r="C1956"/>
      <c r="D1956"/>
      <c r="E1956"/>
    </row>
    <row r="1957" spans="1:5" x14ac:dyDescent="0.2">
      <c r="A1957"/>
      <c r="B1957"/>
      <c r="C1957"/>
      <c r="D1957"/>
      <c r="E1957"/>
    </row>
    <row r="1958" spans="1:5" x14ac:dyDescent="0.2">
      <c r="A1958"/>
      <c r="B1958"/>
      <c r="C1958"/>
      <c r="D1958"/>
      <c r="E1958"/>
    </row>
    <row r="1959" spans="1:5" x14ac:dyDescent="0.2">
      <c r="A1959"/>
      <c r="B1959"/>
      <c r="C1959"/>
      <c r="D1959"/>
      <c r="E1959"/>
    </row>
    <row r="1960" spans="1:5" x14ac:dyDescent="0.2">
      <c r="A1960"/>
      <c r="B1960"/>
      <c r="C1960"/>
      <c r="D1960"/>
      <c r="E1960"/>
    </row>
    <row r="1961" spans="1:5" x14ac:dyDescent="0.2">
      <c r="A1961"/>
      <c r="B1961"/>
      <c r="C1961"/>
      <c r="D1961"/>
      <c r="E1961"/>
    </row>
    <row r="1962" spans="1:5" x14ac:dyDescent="0.2">
      <c r="A1962"/>
      <c r="B1962"/>
      <c r="C1962"/>
      <c r="D1962"/>
      <c r="E1962"/>
    </row>
    <row r="1963" spans="1:5" x14ac:dyDescent="0.2">
      <c r="A1963"/>
      <c r="B1963"/>
      <c r="C1963"/>
      <c r="D1963"/>
      <c r="E1963"/>
    </row>
    <row r="1964" spans="1:5" x14ac:dyDescent="0.2">
      <c r="A1964"/>
      <c r="B1964"/>
      <c r="C1964"/>
      <c r="D1964"/>
      <c r="E1964"/>
    </row>
    <row r="1965" spans="1:5" x14ac:dyDescent="0.2">
      <c r="A1965"/>
      <c r="B1965"/>
      <c r="C1965"/>
      <c r="D1965"/>
      <c r="E1965"/>
    </row>
    <row r="1966" spans="1:5" x14ac:dyDescent="0.2">
      <c r="A1966"/>
      <c r="B1966"/>
      <c r="C1966"/>
      <c r="D1966"/>
      <c r="E1966"/>
    </row>
    <row r="1967" spans="1:5" x14ac:dyDescent="0.2">
      <c r="A1967"/>
      <c r="B1967"/>
      <c r="C1967"/>
      <c r="D1967"/>
      <c r="E1967"/>
    </row>
    <row r="1968" spans="1:5" x14ac:dyDescent="0.2">
      <c r="A1968"/>
      <c r="B1968"/>
      <c r="C1968"/>
      <c r="D1968"/>
      <c r="E1968"/>
    </row>
    <row r="1969" spans="1:5" x14ac:dyDescent="0.2">
      <c r="A1969"/>
      <c r="B1969"/>
      <c r="C1969"/>
      <c r="D1969"/>
      <c r="E1969"/>
    </row>
    <row r="1970" spans="1:5" x14ac:dyDescent="0.2">
      <c r="A1970"/>
      <c r="B1970"/>
      <c r="C1970"/>
      <c r="D1970"/>
      <c r="E1970"/>
    </row>
    <row r="1971" spans="1:5" x14ac:dyDescent="0.2">
      <c r="A1971"/>
      <c r="B1971"/>
      <c r="C1971"/>
      <c r="D1971"/>
      <c r="E1971"/>
    </row>
    <row r="1972" spans="1:5" x14ac:dyDescent="0.2">
      <c r="A1972"/>
      <c r="B1972"/>
      <c r="C1972"/>
      <c r="D1972"/>
      <c r="E1972"/>
    </row>
    <row r="1973" spans="1:5" x14ac:dyDescent="0.2">
      <c r="A1973"/>
      <c r="B1973"/>
      <c r="C1973"/>
      <c r="D1973"/>
      <c r="E1973"/>
    </row>
    <row r="1974" spans="1:5" x14ac:dyDescent="0.2">
      <c r="A1974"/>
      <c r="B1974"/>
      <c r="C1974"/>
      <c r="D1974"/>
      <c r="E1974"/>
    </row>
    <row r="1975" spans="1:5" x14ac:dyDescent="0.2">
      <c r="A1975"/>
      <c r="B1975"/>
      <c r="C1975"/>
      <c r="D1975"/>
      <c r="E1975"/>
    </row>
    <row r="1976" spans="1:5" x14ac:dyDescent="0.2">
      <c r="A1976"/>
      <c r="B1976"/>
      <c r="C1976"/>
      <c r="D1976"/>
      <c r="E1976"/>
    </row>
    <row r="1977" spans="1:5" x14ac:dyDescent="0.2">
      <c r="A1977"/>
      <c r="B1977"/>
      <c r="C1977"/>
      <c r="D1977"/>
      <c r="E1977"/>
    </row>
    <row r="1978" spans="1:5" x14ac:dyDescent="0.2">
      <c r="A1978"/>
      <c r="B1978"/>
      <c r="C1978"/>
      <c r="D1978"/>
      <c r="E1978"/>
    </row>
    <row r="1979" spans="1:5" x14ac:dyDescent="0.2">
      <c r="A1979"/>
      <c r="B1979"/>
      <c r="C1979"/>
      <c r="D1979"/>
      <c r="E1979"/>
    </row>
    <row r="1980" spans="1:5" x14ac:dyDescent="0.2">
      <c r="A1980"/>
      <c r="B1980"/>
      <c r="C1980"/>
      <c r="D1980"/>
      <c r="E1980"/>
    </row>
    <row r="1981" spans="1:5" x14ac:dyDescent="0.2">
      <c r="A1981"/>
      <c r="B1981"/>
      <c r="C1981"/>
      <c r="D1981"/>
      <c r="E1981"/>
    </row>
    <row r="1982" spans="1:5" x14ac:dyDescent="0.2">
      <c r="A1982"/>
      <c r="B1982"/>
      <c r="C1982"/>
      <c r="D1982"/>
      <c r="E1982"/>
    </row>
    <row r="1983" spans="1:5" x14ac:dyDescent="0.2">
      <c r="A1983"/>
      <c r="B1983"/>
      <c r="C1983"/>
      <c r="D1983"/>
      <c r="E1983"/>
    </row>
    <row r="1984" spans="1:5" x14ac:dyDescent="0.2">
      <c r="A1984"/>
      <c r="B1984"/>
      <c r="C1984"/>
      <c r="D1984"/>
      <c r="E1984"/>
    </row>
    <row r="1985" spans="1:5" x14ac:dyDescent="0.2">
      <c r="A1985"/>
      <c r="B1985"/>
      <c r="C1985"/>
      <c r="D1985"/>
      <c r="E1985"/>
    </row>
    <row r="1986" spans="1:5" x14ac:dyDescent="0.2">
      <c r="A1986"/>
      <c r="B1986"/>
      <c r="C1986"/>
      <c r="D1986"/>
      <c r="E1986"/>
    </row>
    <row r="1987" spans="1:5" x14ac:dyDescent="0.2">
      <c r="A1987"/>
      <c r="B1987"/>
      <c r="C1987"/>
      <c r="D1987"/>
      <c r="E1987"/>
    </row>
    <row r="1988" spans="1:5" x14ac:dyDescent="0.2">
      <c r="A1988"/>
      <c r="B1988"/>
      <c r="C1988"/>
      <c r="D1988"/>
      <c r="E1988"/>
    </row>
    <row r="1989" spans="1:5" x14ac:dyDescent="0.2">
      <c r="A1989"/>
      <c r="B1989"/>
      <c r="C1989"/>
      <c r="D1989"/>
      <c r="E1989"/>
    </row>
    <row r="1990" spans="1:5" x14ac:dyDescent="0.2">
      <c r="A1990"/>
      <c r="B1990"/>
      <c r="C1990"/>
      <c r="D1990"/>
      <c r="E1990"/>
    </row>
    <row r="1991" spans="1:5" x14ac:dyDescent="0.2">
      <c r="A1991"/>
      <c r="B1991"/>
      <c r="C1991"/>
      <c r="D1991"/>
      <c r="E1991"/>
    </row>
    <row r="1992" spans="1:5" x14ac:dyDescent="0.2">
      <c r="A1992"/>
      <c r="B1992"/>
      <c r="C1992"/>
      <c r="D1992"/>
      <c r="E1992"/>
    </row>
    <row r="1993" spans="1:5" x14ac:dyDescent="0.2">
      <c r="A1993"/>
      <c r="B1993"/>
      <c r="C1993"/>
      <c r="D1993"/>
      <c r="E1993"/>
    </row>
    <row r="1994" spans="1:5" x14ac:dyDescent="0.2">
      <c r="A1994"/>
      <c r="B1994"/>
      <c r="C1994"/>
      <c r="D1994"/>
      <c r="E1994"/>
    </row>
    <row r="1995" spans="1:5" x14ac:dyDescent="0.2">
      <c r="A1995"/>
      <c r="B1995"/>
      <c r="C1995"/>
      <c r="D1995"/>
      <c r="E1995"/>
    </row>
    <row r="1996" spans="1:5" x14ac:dyDescent="0.2">
      <c r="A1996"/>
      <c r="B1996"/>
      <c r="C1996"/>
      <c r="D1996"/>
      <c r="E1996"/>
    </row>
    <row r="1997" spans="1:5" x14ac:dyDescent="0.2">
      <c r="A1997"/>
      <c r="B1997"/>
      <c r="C1997"/>
      <c r="D1997"/>
      <c r="E1997"/>
    </row>
    <row r="1998" spans="1:5" x14ac:dyDescent="0.2">
      <c r="A1998"/>
      <c r="B1998"/>
      <c r="C1998"/>
      <c r="D1998"/>
      <c r="E1998"/>
    </row>
    <row r="1999" spans="1:5" x14ac:dyDescent="0.2">
      <c r="A1999"/>
      <c r="B1999"/>
      <c r="C1999"/>
      <c r="D1999"/>
      <c r="E1999"/>
    </row>
    <row r="2000" spans="1:5" x14ac:dyDescent="0.2">
      <c r="A2000"/>
      <c r="B2000"/>
      <c r="C2000"/>
      <c r="D2000"/>
      <c r="E2000"/>
    </row>
    <row r="2001" spans="1:5" x14ac:dyDescent="0.2">
      <c r="A2001"/>
      <c r="B2001"/>
      <c r="C2001"/>
      <c r="D2001"/>
      <c r="E2001"/>
    </row>
    <row r="2002" spans="1:5" x14ac:dyDescent="0.2">
      <c r="A2002"/>
      <c r="B2002"/>
      <c r="C2002"/>
      <c r="D2002"/>
      <c r="E2002"/>
    </row>
    <row r="2003" spans="1:5" x14ac:dyDescent="0.2">
      <c r="A2003"/>
      <c r="B2003"/>
      <c r="C2003"/>
      <c r="D2003"/>
      <c r="E2003"/>
    </row>
    <row r="2004" spans="1:5" x14ac:dyDescent="0.2">
      <c r="A2004"/>
      <c r="B2004"/>
      <c r="C2004"/>
      <c r="D2004"/>
      <c r="E2004"/>
    </row>
    <row r="2005" spans="1:5" x14ac:dyDescent="0.2">
      <c r="A2005"/>
      <c r="B2005"/>
      <c r="C2005"/>
      <c r="D2005"/>
      <c r="E2005"/>
    </row>
    <row r="2006" spans="1:5" x14ac:dyDescent="0.2">
      <c r="A2006"/>
      <c r="B2006"/>
      <c r="C2006"/>
      <c r="D2006"/>
      <c r="E2006"/>
    </row>
    <row r="2007" spans="1:5" x14ac:dyDescent="0.2">
      <c r="A2007"/>
      <c r="B2007"/>
      <c r="C2007"/>
      <c r="D2007"/>
      <c r="E2007"/>
    </row>
    <row r="2008" spans="1:5" x14ac:dyDescent="0.2">
      <c r="A2008"/>
      <c r="B2008"/>
      <c r="C2008"/>
      <c r="D2008"/>
      <c r="E2008"/>
    </row>
    <row r="2009" spans="1:5" x14ac:dyDescent="0.2">
      <c r="A2009"/>
      <c r="B2009"/>
      <c r="C2009"/>
      <c r="D2009"/>
      <c r="E2009"/>
    </row>
    <row r="2010" spans="1:5" x14ac:dyDescent="0.2">
      <c r="A2010"/>
      <c r="B2010"/>
      <c r="C2010"/>
      <c r="D2010"/>
      <c r="E2010"/>
    </row>
    <row r="2011" spans="1:5" x14ac:dyDescent="0.2">
      <c r="A2011"/>
      <c r="B2011"/>
      <c r="C2011"/>
      <c r="D2011"/>
      <c r="E2011"/>
    </row>
    <row r="2012" spans="1:5" x14ac:dyDescent="0.2">
      <c r="A2012"/>
      <c r="B2012"/>
      <c r="C2012"/>
      <c r="D2012"/>
      <c r="E2012"/>
    </row>
    <row r="2013" spans="1:5" x14ac:dyDescent="0.2">
      <c r="A2013"/>
      <c r="B2013"/>
      <c r="C2013"/>
      <c r="D2013"/>
      <c r="E2013"/>
    </row>
    <row r="2014" spans="1:5" x14ac:dyDescent="0.2">
      <c r="A2014"/>
      <c r="B2014"/>
      <c r="C2014"/>
      <c r="D2014"/>
      <c r="E2014"/>
    </row>
    <row r="2015" spans="1:5" x14ac:dyDescent="0.2">
      <c r="A2015"/>
      <c r="B2015"/>
      <c r="C2015"/>
      <c r="D2015"/>
      <c r="E2015"/>
    </row>
    <row r="2016" spans="1:5" x14ac:dyDescent="0.2">
      <c r="A2016"/>
      <c r="B2016"/>
      <c r="C2016"/>
      <c r="D2016"/>
      <c r="E2016"/>
    </row>
    <row r="2017" spans="1:5" x14ac:dyDescent="0.2">
      <c r="A2017"/>
      <c r="B2017"/>
      <c r="C2017"/>
      <c r="D2017"/>
      <c r="E2017"/>
    </row>
    <row r="2018" spans="1:5" x14ac:dyDescent="0.2">
      <c r="A2018"/>
      <c r="B2018"/>
      <c r="C2018"/>
      <c r="D2018"/>
      <c r="E2018"/>
    </row>
    <row r="2019" spans="1:5" x14ac:dyDescent="0.2">
      <c r="A2019"/>
      <c r="B2019"/>
      <c r="C2019"/>
      <c r="D2019"/>
      <c r="E2019"/>
    </row>
    <row r="2020" spans="1:5" x14ac:dyDescent="0.2">
      <c r="A2020"/>
      <c r="B2020"/>
      <c r="C2020"/>
      <c r="D2020"/>
      <c r="E2020"/>
    </row>
    <row r="2021" spans="1:5" x14ac:dyDescent="0.2">
      <c r="A2021"/>
      <c r="B2021"/>
      <c r="C2021"/>
      <c r="D2021"/>
      <c r="E2021"/>
    </row>
    <row r="2022" spans="1:5" x14ac:dyDescent="0.2">
      <c r="A2022"/>
      <c r="B2022"/>
      <c r="C2022"/>
      <c r="D2022"/>
      <c r="E2022"/>
    </row>
    <row r="2023" spans="1:5" x14ac:dyDescent="0.2">
      <c r="A2023"/>
      <c r="B2023"/>
      <c r="C2023"/>
      <c r="D2023"/>
      <c r="E2023"/>
    </row>
    <row r="2024" spans="1:5" x14ac:dyDescent="0.2">
      <c r="A2024"/>
      <c r="B2024"/>
      <c r="C2024"/>
      <c r="D2024"/>
      <c r="E2024"/>
    </row>
    <row r="2025" spans="1:5" x14ac:dyDescent="0.2">
      <c r="A2025"/>
      <c r="B2025"/>
      <c r="C2025"/>
      <c r="D2025"/>
      <c r="E2025"/>
    </row>
    <row r="2026" spans="1:5" x14ac:dyDescent="0.2">
      <c r="A2026"/>
      <c r="B2026"/>
      <c r="C2026"/>
      <c r="D2026"/>
      <c r="E2026"/>
    </row>
    <row r="2027" spans="1:5" x14ac:dyDescent="0.2">
      <c r="A2027"/>
      <c r="B2027"/>
      <c r="C2027"/>
      <c r="D2027"/>
      <c r="E2027"/>
    </row>
    <row r="2028" spans="1:5" x14ac:dyDescent="0.2">
      <c r="A2028"/>
      <c r="B2028"/>
      <c r="C2028"/>
      <c r="D2028"/>
      <c r="E2028"/>
    </row>
    <row r="2029" spans="1:5" x14ac:dyDescent="0.2">
      <c r="A2029"/>
      <c r="B2029"/>
      <c r="C2029"/>
      <c r="D2029"/>
      <c r="E2029"/>
    </row>
    <row r="2030" spans="1:5" x14ac:dyDescent="0.2">
      <c r="A2030"/>
      <c r="B2030"/>
      <c r="C2030"/>
      <c r="D2030"/>
      <c r="E2030"/>
    </row>
    <row r="2031" spans="1:5" x14ac:dyDescent="0.2">
      <c r="A2031"/>
      <c r="B2031"/>
      <c r="C2031"/>
      <c r="D2031"/>
      <c r="E2031"/>
    </row>
    <row r="2032" spans="1:5" x14ac:dyDescent="0.2">
      <c r="A2032"/>
      <c r="B2032"/>
      <c r="C2032"/>
      <c r="D2032"/>
      <c r="E2032"/>
    </row>
    <row r="2033" spans="1:5" x14ac:dyDescent="0.2">
      <c r="A2033"/>
      <c r="B2033"/>
      <c r="C2033"/>
      <c r="D2033"/>
      <c r="E2033"/>
    </row>
    <row r="2034" spans="1:5" x14ac:dyDescent="0.2">
      <c r="A2034"/>
      <c r="B2034"/>
      <c r="C2034"/>
      <c r="D2034"/>
      <c r="E2034"/>
    </row>
    <row r="2035" spans="1:5" x14ac:dyDescent="0.2">
      <c r="A2035"/>
      <c r="B2035"/>
      <c r="C2035"/>
      <c r="D2035"/>
      <c r="E2035"/>
    </row>
    <row r="2036" spans="1:5" x14ac:dyDescent="0.2">
      <c r="A2036"/>
      <c r="B2036"/>
      <c r="C2036"/>
      <c r="D2036"/>
      <c r="E2036"/>
    </row>
    <row r="2037" spans="1:5" x14ac:dyDescent="0.2">
      <c r="A2037"/>
      <c r="B2037"/>
      <c r="C2037"/>
      <c r="D2037"/>
      <c r="E2037"/>
    </row>
    <row r="2038" spans="1:5" x14ac:dyDescent="0.2">
      <c r="A2038"/>
      <c r="B2038"/>
      <c r="C2038"/>
      <c r="D2038"/>
      <c r="E2038"/>
    </row>
    <row r="2039" spans="1:5" x14ac:dyDescent="0.2">
      <c r="A2039"/>
      <c r="B2039"/>
      <c r="C2039"/>
      <c r="D2039"/>
      <c r="E2039"/>
    </row>
    <row r="2040" spans="1:5" x14ac:dyDescent="0.2">
      <c r="A2040"/>
      <c r="B2040"/>
      <c r="C2040"/>
      <c r="D2040"/>
      <c r="E2040"/>
    </row>
    <row r="2041" spans="1:5" x14ac:dyDescent="0.2">
      <c r="A2041"/>
      <c r="B2041"/>
      <c r="C2041"/>
      <c r="D2041"/>
      <c r="E2041"/>
    </row>
    <row r="2042" spans="1:5" x14ac:dyDescent="0.2">
      <c r="A2042"/>
      <c r="B2042"/>
      <c r="C2042"/>
      <c r="D2042"/>
      <c r="E2042"/>
    </row>
    <row r="2043" spans="1:5" x14ac:dyDescent="0.2">
      <c r="A2043"/>
      <c r="B2043"/>
      <c r="C2043"/>
      <c r="D2043"/>
      <c r="E2043"/>
    </row>
    <row r="2044" spans="1:5" x14ac:dyDescent="0.2">
      <c r="A2044"/>
      <c r="B2044"/>
      <c r="C2044"/>
      <c r="D2044"/>
      <c r="E2044"/>
    </row>
    <row r="2045" spans="1:5" x14ac:dyDescent="0.2">
      <c r="A2045"/>
      <c r="B2045"/>
      <c r="C2045"/>
      <c r="D2045"/>
      <c r="E2045"/>
    </row>
    <row r="2046" spans="1:5" x14ac:dyDescent="0.2">
      <c r="A2046"/>
      <c r="B2046"/>
      <c r="C2046"/>
      <c r="D2046"/>
      <c r="E2046"/>
    </row>
    <row r="2047" spans="1:5" x14ac:dyDescent="0.2">
      <c r="A2047"/>
      <c r="B2047"/>
      <c r="C2047"/>
      <c r="D2047"/>
      <c r="E2047"/>
    </row>
    <row r="2048" spans="1:5" x14ac:dyDescent="0.2">
      <c r="A2048"/>
      <c r="B2048"/>
      <c r="C2048"/>
      <c r="D2048"/>
      <c r="E2048"/>
    </row>
    <row r="2049" spans="1:5" x14ac:dyDescent="0.2">
      <c r="A2049"/>
      <c r="B2049"/>
      <c r="C2049"/>
      <c r="D2049"/>
      <c r="E2049"/>
    </row>
    <row r="2050" spans="1:5" x14ac:dyDescent="0.2">
      <c r="A2050"/>
      <c r="B2050"/>
      <c r="C2050"/>
      <c r="D2050"/>
      <c r="E2050"/>
    </row>
    <row r="2051" spans="1:5" x14ac:dyDescent="0.2">
      <c r="A2051"/>
      <c r="B2051"/>
      <c r="C2051"/>
      <c r="D2051"/>
      <c r="E2051"/>
    </row>
    <row r="2052" spans="1:5" x14ac:dyDescent="0.2">
      <c r="A2052"/>
      <c r="B2052"/>
      <c r="C2052"/>
      <c r="D2052"/>
      <c r="E2052"/>
    </row>
    <row r="2053" spans="1:5" x14ac:dyDescent="0.2">
      <c r="A2053"/>
      <c r="B2053"/>
      <c r="C2053"/>
      <c r="D2053"/>
      <c r="E2053"/>
    </row>
    <row r="2054" spans="1:5" x14ac:dyDescent="0.2">
      <c r="A2054"/>
      <c r="B2054"/>
      <c r="C2054"/>
      <c r="D2054"/>
      <c r="E2054"/>
    </row>
    <row r="2055" spans="1:5" x14ac:dyDescent="0.2">
      <c r="A2055"/>
      <c r="B2055"/>
      <c r="C2055"/>
      <c r="D2055"/>
      <c r="E2055"/>
    </row>
    <row r="2056" spans="1:5" x14ac:dyDescent="0.2">
      <c r="A2056"/>
      <c r="B2056"/>
      <c r="C2056"/>
      <c r="D2056"/>
      <c r="E2056"/>
    </row>
    <row r="2057" spans="1:5" x14ac:dyDescent="0.2">
      <c r="A2057"/>
      <c r="B2057"/>
      <c r="C2057"/>
      <c r="D2057"/>
      <c r="E2057"/>
    </row>
    <row r="2058" spans="1:5" x14ac:dyDescent="0.2">
      <c r="A2058"/>
      <c r="B2058"/>
      <c r="C2058"/>
      <c r="D2058"/>
      <c r="E2058"/>
    </row>
    <row r="2059" spans="1:5" x14ac:dyDescent="0.2">
      <c r="A2059"/>
      <c r="B2059"/>
      <c r="C2059"/>
      <c r="D2059"/>
      <c r="E2059"/>
    </row>
    <row r="2060" spans="1:5" x14ac:dyDescent="0.2">
      <c r="A2060"/>
      <c r="B2060"/>
      <c r="C2060"/>
      <c r="D2060"/>
      <c r="E2060"/>
    </row>
    <row r="2061" spans="1:5" x14ac:dyDescent="0.2">
      <c r="A2061"/>
      <c r="B2061"/>
      <c r="C2061"/>
      <c r="D2061"/>
      <c r="E2061"/>
    </row>
    <row r="2062" spans="1:5" x14ac:dyDescent="0.2">
      <c r="A2062"/>
      <c r="B2062"/>
      <c r="C2062"/>
      <c r="D2062"/>
      <c r="E2062"/>
    </row>
    <row r="2063" spans="1:5" x14ac:dyDescent="0.2">
      <c r="A2063"/>
      <c r="B2063"/>
      <c r="C2063"/>
      <c r="D2063"/>
      <c r="E2063"/>
    </row>
    <row r="2064" spans="1:5" x14ac:dyDescent="0.2">
      <c r="A2064"/>
      <c r="B2064"/>
      <c r="C2064"/>
      <c r="D2064"/>
      <c r="E2064"/>
    </row>
    <row r="2065" spans="1:5" x14ac:dyDescent="0.2">
      <c r="A2065"/>
      <c r="B2065"/>
      <c r="C2065"/>
      <c r="D2065"/>
      <c r="E2065"/>
    </row>
    <row r="2066" spans="1:5" x14ac:dyDescent="0.2">
      <c r="A2066"/>
      <c r="B2066"/>
      <c r="C2066"/>
      <c r="D2066"/>
      <c r="E2066"/>
    </row>
    <row r="2067" spans="1:5" x14ac:dyDescent="0.2">
      <c r="A2067"/>
      <c r="B2067"/>
      <c r="C2067"/>
      <c r="D2067"/>
      <c r="E2067"/>
    </row>
    <row r="2068" spans="1:5" x14ac:dyDescent="0.2">
      <c r="A2068"/>
      <c r="B2068"/>
      <c r="C2068"/>
      <c r="D2068"/>
      <c r="E2068"/>
    </row>
    <row r="2069" spans="1:5" x14ac:dyDescent="0.2">
      <c r="A2069"/>
      <c r="B2069"/>
      <c r="C2069"/>
      <c r="D2069"/>
      <c r="E2069"/>
    </row>
    <row r="2070" spans="1:5" x14ac:dyDescent="0.2">
      <c r="A2070"/>
      <c r="B2070"/>
      <c r="C2070"/>
      <c r="D2070"/>
      <c r="E2070"/>
    </row>
    <row r="2071" spans="1:5" x14ac:dyDescent="0.2">
      <c r="A2071"/>
      <c r="B2071"/>
      <c r="C2071"/>
      <c r="D2071"/>
      <c r="E2071"/>
    </row>
    <row r="2072" spans="1:5" x14ac:dyDescent="0.2">
      <c r="A2072"/>
      <c r="B2072"/>
      <c r="C2072"/>
      <c r="D2072"/>
      <c r="E2072"/>
    </row>
    <row r="2073" spans="1:5" x14ac:dyDescent="0.2">
      <c r="A2073"/>
      <c r="B2073"/>
      <c r="C2073"/>
      <c r="D2073"/>
      <c r="E2073"/>
    </row>
    <row r="2074" spans="1:5" x14ac:dyDescent="0.2">
      <c r="A2074"/>
      <c r="B2074"/>
      <c r="C2074"/>
      <c r="D2074"/>
      <c r="E2074"/>
    </row>
    <row r="2075" spans="1:5" x14ac:dyDescent="0.2">
      <c r="A2075"/>
      <c r="B2075"/>
      <c r="C2075"/>
      <c r="D2075"/>
      <c r="E2075"/>
    </row>
    <row r="2076" spans="1:5" x14ac:dyDescent="0.2">
      <c r="A2076"/>
      <c r="B2076"/>
      <c r="C2076"/>
      <c r="D2076"/>
      <c r="E2076"/>
    </row>
    <row r="2077" spans="1:5" x14ac:dyDescent="0.2">
      <c r="A2077"/>
      <c r="B2077"/>
      <c r="C2077"/>
      <c r="D2077"/>
      <c r="E2077"/>
    </row>
    <row r="2078" spans="1:5" x14ac:dyDescent="0.2">
      <c r="A2078"/>
      <c r="B2078"/>
      <c r="C2078"/>
      <c r="D2078"/>
      <c r="E2078"/>
    </row>
    <row r="2079" spans="1:5" x14ac:dyDescent="0.2">
      <c r="A2079"/>
      <c r="B2079"/>
      <c r="C2079"/>
      <c r="D2079"/>
      <c r="E2079"/>
    </row>
    <row r="2080" spans="1:5" x14ac:dyDescent="0.2">
      <c r="A2080"/>
      <c r="B2080"/>
      <c r="C2080"/>
      <c r="D2080"/>
      <c r="E2080"/>
    </row>
    <row r="2081" spans="1:5" x14ac:dyDescent="0.2">
      <c r="A2081"/>
      <c r="B2081"/>
      <c r="C2081"/>
      <c r="D2081"/>
      <c r="E2081"/>
    </row>
    <row r="2082" spans="1:5" x14ac:dyDescent="0.2">
      <c r="A2082"/>
      <c r="B2082"/>
      <c r="C2082"/>
      <c r="D2082"/>
      <c r="E2082"/>
    </row>
    <row r="2083" spans="1:5" x14ac:dyDescent="0.2">
      <c r="A2083"/>
      <c r="B2083"/>
      <c r="C2083"/>
      <c r="D2083"/>
      <c r="E2083"/>
    </row>
    <row r="2084" spans="1:5" x14ac:dyDescent="0.2">
      <c r="A2084"/>
      <c r="B2084"/>
      <c r="C2084"/>
      <c r="D2084"/>
      <c r="E2084"/>
    </row>
    <row r="2085" spans="1:5" x14ac:dyDescent="0.2">
      <c r="A2085"/>
      <c r="B2085"/>
      <c r="C2085"/>
      <c r="D2085"/>
      <c r="E2085"/>
    </row>
    <row r="2086" spans="1:5" x14ac:dyDescent="0.2">
      <c r="A2086"/>
      <c r="B2086"/>
      <c r="C2086"/>
      <c r="D2086"/>
      <c r="E2086"/>
    </row>
    <row r="2087" spans="1:5" x14ac:dyDescent="0.2">
      <c r="A2087"/>
      <c r="B2087"/>
      <c r="C2087"/>
      <c r="D2087"/>
      <c r="E2087"/>
    </row>
    <row r="2088" spans="1:5" x14ac:dyDescent="0.2">
      <c r="A2088"/>
      <c r="B2088"/>
      <c r="C2088"/>
      <c r="D2088"/>
      <c r="E2088"/>
    </row>
    <row r="2089" spans="1:5" x14ac:dyDescent="0.2">
      <c r="A2089"/>
      <c r="B2089"/>
      <c r="C2089"/>
      <c r="D2089"/>
      <c r="E2089"/>
    </row>
    <row r="2090" spans="1:5" x14ac:dyDescent="0.2">
      <c r="A2090"/>
      <c r="B2090"/>
      <c r="C2090"/>
      <c r="D2090"/>
      <c r="E2090"/>
    </row>
    <row r="2091" spans="1:5" x14ac:dyDescent="0.2">
      <c r="A2091"/>
      <c r="B2091"/>
      <c r="C2091"/>
      <c r="D2091"/>
      <c r="E2091"/>
    </row>
    <row r="2092" spans="1:5" x14ac:dyDescent="0.2">
      <c r="A2092"/>
      <c r="B2092"/>
      <c r="C2092"/>
      <c r="D2092"/>
      <c r="E2092"/>
    </row>
    <row r="2093" spans="1:5" x14ac:dyDescent="0.2">
      <c r="A2093"/>
      <c r="B2093"/>
      <c r="C2093"/>
      <c r="D2093"/>
      <c r="E2093"/>
    </row>
    <row r="2094" spans="1:5" x14ac:dyDescent="0.2">
      <c r="A2094"/>
      <c r="B2094"/>
      <c r="C2094"/>
      <c r="D2094"/>
      <c r="E2094"/>
    </row>
    <row r="2095" spans="1:5" x14ac:dyDescent="0.2">
      <c r="A2095"/>
      <c r="B2095"/>
      <c r="C2095"/>
      <c r="D2095"/>
      <c r="E2095"/>
    </row>
    <row r="2096" spans="1:5" x14ac:dyDescent="0.2">
      <c r="A2096"/>
      <c r="B2096"/>
      <c r="C2096"/>
      <c r="D2096"/>
      <c r="E2096"/>
    </row>
    <row r="2097" spans="1:5" x14ac:dyDescent="0.2">
      <c r="A2097"/>
      <c r="B2097"/>
      <c r="C2097"/>
      <c r="D2097"/>
      <c r="E2097"/>
    </row>
    <row r="2098" spans="1:5" x14ac:dyDescent="0.2">
      <c r="A2098"/>
      <c r="B2098"/>
      <c r="C2098"/>
      <c r="D2098"/>
      <c r="E2098"/>
    </row>
    <row r="2099" spans="1:5" x14ac:dyDescent="0.2">
      <c r="A2099"/>
      <c r="B2099"/>
      <c r="C2099"/>
      <c r="D2099"/>
      <c r="E2099"/>
    </row>
    <row r="2100" spans="1:5" x14ac:dyDescent="0.2">
      <c r="A2100"/>
      <c r="B2100"/>
      <c r="C2100"/>
      <c r="D2100"/>
      <c r="E2100"/>
    </row>
    <row r="2101" spans="1:5" x14ac:dyDescent="0.2">
      <c r="A2101"/>
      <c r="B2101"/>
      <c r="C2101"/>
      <c r="D2101"/>
      <c r="E2101"/>
    </row>
    <row r="2102" spans="1:5" x14ac:dyDescent="0.2">
      <c r="A2102"/>
      <c r="B2102"/>
      <c r="C2102"/>
      <c r="D2102"/>
      <c r="E2102"/>
    </row>
    <row r="2103" spans="1:5" x14ac:dyDescent="0.2">
      <c r="A2103"/>
      <c r="B2103"/>
      <c r="C2103"/>
      <c r="D2103"/>
      <c r="E2103"/>
    </row>
    <row r="2104" spans="1:5" x14ac:dyDescent="0.2">
      <c r="A2104"/>
      <c r="B2104"/>
      <c r="C2104"/>
      <c r="D2104"/>
      <c r="E2104"/>
    </row>
    <row r="2105" spans="1:5" x14ac:dyDescent="0.2">
      <c r="A2105"/>
      <c r="B2105"/>
      <c r="C2105"/>
      <c r="D2105"/>
      <c r="E2105"/>
    </row>
    <row r="2106" spans="1:5" x14ac:dyDescent="0.2">
      <c r="A2106"/>
      <c r="B2106"/>
      <c r="C2106"/>
      <c r="D2106"/>
      <c r="E2106"/>
    </row>
    <row r="2107" spans="1:5" x14ac:dyDescent="0.2">
      <c r="A2107"/>
      <c r="B2107"/>
      <c r="C2107"/>
      <c r="D2107"/>
      <c r="E2107"/>
    </row>
    <row r="2108" spans="1:5" x14ac:dyDescent="0.2">
      <c r="A2108"/>
      <c r="B2108"/>
      <c r="C2108"/>
      <c r="D2108"/>
      <c r="E2108"/>
    </row>
    <row r="2109" spans="1:5" x14ac:dyDescent="0.2">
      <c r="A2109"/>
      <c r="B2109"/>
      <c r="C2109"/>
      <c r="D2109"/>
      <c r="E2109"/>
    </row>
    <row r="2110" spans="1:5" x14ac:dyDescent="0.2">
      <c r="A2110"/>
      <c r="B2110"/>
      <c r="C2110"/>
      <c r="D2110"/>
      <c r="E2110"/>
    </row>
    <row r="2111" spans="1:5" x14ac:dyDescent="0.2">
      <c r="A2111"/>
      <c r="B2111"/>
      <c r="C2111"/>
      <c r="D2111"/>
      <c r="E2111"/>
    </row>
    <row r="2112" spans="1:5" x14ac:dyDescent="0.2">
      <c r="A2112"/>
      <c r="B2112"/>
      <c r="C2112"/>
      <c r="D2112"/>
      <c r="E2112"/>
    </row>
    <row r="2113" spans="1:5" x14ac:dyDescent="0.2">
      <c r="A2113"/>
      <c r="B2113"/>
      <c r="C2113"/>
      <c r="D2113"/>
      <c r="E2113"/>
    </row>
    <row r="2114" spans="1:5" x14ac:dyDescent="0.2">
      <c r="A2114"/>
      <c r="B2114"/>
      <c r="C2114"/>
      <c r="D2114"/>
      <c r="E2114"/>
    </row>
    <row r="2115" spans="1:5" x14ac:dyDescent="0.2">
      <c r="A2115"/>
      <c r="B2115"/>
      <c r="C2115"/>
      <c r="D2115"/>
      <c r="E2115"/>
    </row>
    <row r="2116" spans="1:5" x14ac:dyDescent="0.2">
      <c r="A2116"/>
      <c r="B2116"/>
      <c r="C2116"/>
      <c r="D2116"/>
      <c r="E2116"/>
    </row>
    <row r="2117" spans="1:5" x14ac:dyDescent="0.2">
      <c r="A2117"/>
      <c r="B2117"/>
      <c r="C2117"/>
      <c r="D2117"/>
      <c r="E2117"/>
    </row>
    <row r="2118" spans="1:5" x14ac:dyDescent="0.2">
      <c r="A2118"/>
      <c r="B2118"/>
      <c r="C2118"/>
      <c r="D2118"/>
      <c r="E2118"/>
    </row>
    <row r="2119" spans="1:5" x14ac:dyDescent="0.2">
      <c r="A2119"/>
      <c r="B2119"/>
      <c r="C2119"/>
      <c r="D2119"/>
      <c r="E2119"/>
    </row>
    <row r="2120" spans="1:5" x14ac:dyDescent="0.2">
      <c r="A2120"/>
      <c r="B2120"/>
      <c r="C2120"/>
      <c r="D2120"/>
      <c r="E2120"/>
    </row>
    <row r="2121" spans="1:5" x14ac:dyDescent="0.2">
      <c r="A2121"/>
      <c r="B2121"/>
      <c r="C2121"/>
      <c r="D2121"/>
      <c r="E2121"/>
    </row>
    <row r="2122" spans="1:5" x14ac:dyDescent="0.2">
      <c r="A2122"/>
      <c r="B2122"/>
      <c r="C2122"/>
      <c r="D2122"/>
      <c r="E2122"/>
    </row>
    <row r="2123" spans="1:5" x14ac:dyDescent="0.2">
      <c r="A2123"/>
      <c r="B2123"/>
      <c r="C2123"/>
      <c r="D2123"/>
      <c r="E2123"/>
    </row>
    <row r="2124" spans="1:5" x14ac:dyDescent="0.2">
      <c r="A2124"/>
      <c r="B2124"/>
      <c r="C2124"/>
      <c r="D2124"/>
      <c r="E2124"/>
    </row>
    <row r="2125" spans="1:5" x14ac:dyDescent="0.2">
      <c r="A2125"/>
      <c r="B2125"/>
      <c r="C2125"/>
      <c r="D2125"/>
      <c r="E2125"/>
    </row>
    <row r="2126" spans="1:5" x14ac:dyDescent="0.2">
      <c r="A2126"/>
      <c r="B2126"/>
      <c r="C2126"/>
      <c r="D2126"/>
      <c r="E2126"/>
    </row>
    <row r="2127" spans="1:5" x14ac:dyDescent="0.2">
      <c r="A2127"/>
      <c r="B2127"/>
      <c r="C2127"/>
      <c r="D2127"/>
      <c r="E2127"/>
    </row>
    <row r="2128" spans="1:5" x14ac:dyDescent="0.2">
      <c r="A2128"/>
      <c r="B2128"/>
      <c r="C2128"/>
      <c r="D2128"/>
      <c r="E2128"/>
    </row>
    <row r="2129" spans="1:5" x14ac:dyDescent="0.2">
      <c r="A2129"/>
      <c r="B2129"/>
      <c r="C2129"/>
      <c r="D2129"/>
      <c r="E2129"/>
    </row>
    <row r="2130" spans="1:5" x14ac:dyDescent="0.2">
      <c r="A2130"/>
      <c r="B2130"/>
      <c r="C2130"/>
      <c r="D2130"/>
      <c r="E2130"/>
    </row>
    <row r="2131" spans="1:5" x14ac:dyDescent="0.2">
      <c r="A2131"/>
      <c r="B2131"/>
      <c r="C2131"/>
      <c r="D2131"/>
      <c r="E2131"/>
    </row>
    <row r="2132" spans="1:5" x14ac:dyDescent="0.2">
      <c r="A2132"/>
      <c r="B2132"/>
      <c r="C2132"/>
      <c r="D2132"/>
      <c r="E2132"/>
    </row>
    <row r="2133" spans="1:5" x14ac:dyDescent="0.2">
      <c r="A2133"/>
      <c r="B2133"/>
      <c r="C2133"/>
      <c r="D2133"/>
      <c r="E2133"/>
    </row>
    <row r="2134" spans="1:5" x14ac:dyDescent="0.2">
      <c r="A2134"/>
      <c r="B2134"/>
      <c r="C2134"/>
      <c r="D2134"/>
      <c r="E2134"/>
    </row>
    <row r="2135" spans="1:5" x14ac:dyDescent="0.2">
      <c r="A2135"/>
      <c r="B2135"/>
      <c r="C2135"/>
      <c r="D2135"/>
      <c r="E2135"/>
    </row>
    <row r="2136" spans="1:5" x14ac:dyDescent="0.2">
      <c r="A2136"/>
      <c r="B2136"/>
      <c r="C2136"/>
      <c r="D2136"/>
      <c r="E2136"/>
    </row>
    <row r="2137" spans="1:5" x14ac:dyDescent="0.2">
      <c r="A2137"/>
      <c r="B2137"/>
      <c r="C2137"/>
      <c r="D2137"/>
      <c r="E2137"/>
    </row>
    <row r="2138" spans="1:5" x14ac:dyDescent="0.2">
      <c r="A2138"/>
      <c r="B2138"/>
      <c r="C2138"/>
      <c r="D2138"/>
      <c r="E2138"/>
    </row>
    <row r="2139" spans="1:5" x14ac:dyDescent="0.2">
      <c r="A2139"/>
      <c r="B2139"/>
      <c r="C2139"/>
      <c r="D2139"/>
      <c r="E2139"/>
    </row>
    <row r="2140" spans="1:5" x14ac:dyDescent="0.2">
      <c r="A2140"/>
      <c r="B2140"/>
      <c r="C2140"/>
      <c r="D2140"/>
      <c r="E2140"/>
    </row>
    <row r="2141" spans="1:5" x14ac:dyDescent="0.2">
      <c r="A2141"/>
      <c r="B2141"/>
      <c r="C2141"/>
      <c r="D2141"/>
      <c r="E2141"/>
    </row>
    <row r="2142" spans="1:5" x14ac:dyDescent="0.2">
      <c r="A2142"/>
      <c r="B2142"/>
      <c r="C2142"/>
      <c r="D2142"/>
      <c r="E2142"/>
    </row>
    <row r="2143" spans="1:5" x14ac:dyDescent="0.2">
      <c r="A2143"/>
      <c r="B2143"/>
      <c r="C2143"/>
      <c r="D2143"/>
      <c r="E2143"/>
    </row>
    <row r="2144" spans="1:5" x14ac:dyDescent="0.2">
      <c r="A2144"/>
      <c r="B2144"/>
      <c r="C2144"/>
      <c r="D2144"/>
      <c r="E2144"/>
    </row>
    <row r="2145" spans="1:5" x14ac:dyDescent="0.2">
      <c r="A2145"/>
      <c r="B2145"/>
      <c r="C2145"/>
      <c r="D2145"/>
      <c r="E2145"/>
    </row>
    <row r="2146" spans="1:5" x14ac:dyDescent="0.2">
      <c r="A2146"/>
      <c r="B2146"/>
      <c r="C2146"/>
      <c r="D2146"/>
      <c r="E2146"/>
    </row>
    <row r="2147" spans="1:5" x14ac:dyDescent="0.2">
      <c r="A2147"/>
      <c r="B2147"/>
      <c r="C2147"/>
      <c r="D2147"/>
      <c r="E2147"/>
    </row>
    <row r="2148" spans="1:5" x14ac:dyDescent="0.2">
      <c r="A2148"/>
      <c r="B2148"/>
      <c r="C2148"/>
      <c r="D2148"/>
      <c r="E2148"/>
    </row>
    <row r="2149" spans="1:5" x14ac:dyDescent="0.2">
      <c r="A2149"/>
      <c r="B2149"/>
      <c r="C2149"/>
      <c r="D2149"/>
      <c r="E2149"/>
    </row>
    <row r="2150" spans="1:5" x14ac:dyDescent="0.2">
      <c r="A2150"/>
      <c r="B2150"/>
      <c r="C2150"/>
      <c r="D2150"/>
      <c r="E2150"/>
    </row>
    <row r="2151" spans="1:5" x14ac:dyDescent="0.2">
      <c r="A2151"/>
      <c r="B2151"/>
      <c r="C2151"/>
      <c r="D2151"/>
      <c r="E2151"/>
    </row>
    <row r="2152" spans="1:5" x14ac:dyDescent="0.2">
      <c r="A2152"/>
      <c r="B2152"/>
      <c r="C2152"/>
      <c r="D2152"/>
      <c r="E2152"/>
    </row>
    <row r="2153" spans="1:5" x14ac:dyDescent="0.2">
      <c r="A2153"/>
      <c r="B2153"/>
      <c r="C2153"/>
      <c r="D2153"/>
      <c r="E2153"/>
    </row>
    <row r="2154" spans="1:5" x14ac:dyDescent="0.2">
      <c r="A2154"/>
      <c r="B2154"/>
      <c r="C2154"/>
      <c r="D2154"/>
      <c r="E2154"/>
    </row>
    <row r="2155" spans="1:5" x14ac:dyDescent="0.2">
      <c r="A2155"/>
      <c r="B2155"/>
      <c r="C2155"/>
      <c r="D2155"/>
      <c r="E2155"/>
    </row>
    <row r="2156" spans="1:5" x14ac:dyDescent="0.2">
      <c r="A2156"/>
      <c r="B2156"/>
      <c r="C2156"/>
      <c r="D2156"/>
      <c r="E2156"/>
    </row>
    <row r="2157" spans="1:5" x14ac:dyDescent="0.2">
      <c r="A2157"/>
      <c r="B2157"/>
      <c r="C2157"/>
      <c r="D2157"/>
      <c r="E2157"/>
    </row>
    <row r="2158" spans="1:5" x14ac:dyDescent="0.2">
      <c r="A2158"/>
      <c r="B2158"/>
      <c r="C2158"/>
      <c r="D2158"/>
      <c r="E2158"/>
    </row>
    <row r="2159" spans="1:5" x14ac:dyDescent="0.2">
      <c r="A2159"/>
      <c r="B2159"/>
      <c r="C2159"/>
      <c r="D2159"/>
      <c r="E2159"/>
    </row>
    <row r="2160" spans="1:5" x14ac:dyDescent="0.2">
      <c r="A2160"/>
      <c r="B2160"/>
      <c r="C2160"/>
      <c r="D2160"/>
      <c r="E2160"/>
    </row>
    <row r="2161" spans="1:5" x14ac:dyDescent="0.2">
      <c r="A2161"/>
      <c r="B2161"/>
      <c r="C2161"/>
      <c r="D2161"/>
      <c r="E2161"/>
    </row>
    <row r="2162" spans="1:5" x14ac:dyDescent="0.2">
      <c r="A2162"/>
      <c r="B2162"/>
      <c r="C2162"/>
      <c r="D2162"/>
      <c r="E2162"/>
    </row>
    <row r="2163" spans="1:5" x14ac:dyDescent="0.2">
      <c r="A2163"/>
      <c r="B2163"/>
      <c r="C2163"/>
      <c r="D2163"/>
      <c r="E2163"/>
    </row>
    <row r="2164" spans="1:5" x14ac:dyDescent="0.2">
      <c r="A2164"/>
      <c r="B2164"/>
      <c r="C2164"/>
      <c r="D2164"/>
      <c r="E2164"/>
    </row>
    <row r="2165" spans="1:5" x14ac:dyDescent="0.2">
      <c r="A2165"/>
      <c r="B2165"/>
      <c r="C2165"/>
      <c r="D2165"/>
      <c r="E2165"/>
    </row>
    <row r="2166" spans="1:5" x14ac:dyDescent="0.2">
      <c r="A2166"/>
      <c r="B2166"/>
      <c r="C2166"/>
      <c r="D2166"/>
      <c r="E2166"/>
    </row>
    <row r="2167" spans="1:5" x14ac:dyDescent="0.2">
      <c r="A2167"/>
      <c r="B2167"/>
      <c r="C2167"/>
      <c r="D2167"/>
      <c r="E2167"/>
    </row>
    <row r="2168" spans="1:5" x14ac:dyDescent="0.2">
      <c r="A2168"/>
      <c r="B2168"/>
      <c r="C2168"/>
      <c r="D2168"/>
      <c r="E2168"/>
    </row>
    <row r="2169" spans="1:5" x14ac:dyDescent="0.2">
      <c r="A2169"/>
      <c r="B2169"/>
      <c r="C2169"/>
      <c r="D2169"/>
      <c r="E2169"/>
    </row>
    <row r="2170" spans="1:5" x14ac:dyDescent="0.2">
      <c r="A2170"/>
      <c r="B2170"/>
      <c r="C2170"/>
      <c r="D2170"/>
      <c r="E2170"/>
    </row>
    <row r="2171" spans="1:5" x14ac:dyDescent="0.2">
      <c r="A2171"/>
      <c r="B2171"/>
      <c r="C2171"/>
      <c r="D2171"/>
      <c r="E2171"/>
    </row>
    <row r="2172" spans="1:5" x14ac:dyDescent="0.2">
      <c r="A2172"/>
      <c r="B2172"/>
      <c r="C2172"/>
      <c r="D2172"/>
      <c r="E2172"/>
    </row>
    <row r="2173" spans="1:5" x14ac:dyDescent="0.2">
      <c r="A2173"/>
      <c r="B2173"/>
      <c r="C2173"/>
      <c r="D2173"/>
      <c r="E2173"/>
    </row>
    <row r="2174" spans="1:5" x14ac:dyDescent="0.2">
      <c r="A2174"/>
      <c r="B2174"/>
      <c r="C2174"/>
      <c r="D2174"/>
      <c r="E2174"/>
    </row>
    <row r="2175" spans="1:5" x14ac:dyDescent="0.2">
      <c r="A2175"/>
      <c r="B2175"/>
      <c r="C2175"/>
      <c r="D2175"/>
      <c r="E2175"/>
    </row>
    <row r="2176" spans="1:5" x14ac:dyDescent="0.2">
      <c r="A2176"/>
      <c r="B2176"/>
      <c r="C2176"/>
      <c r="D2176"/>
      <c r="E2176"/>
    </row>
    <row r="2177" spans="1:5" x14ac:dyDescent="0.2">
      <c r="A2177"/>
      <c r="B2177"/>
      <c r="C2177"/>
      <c r="D2177"/>
      <c r="E2177"/>
    </row>
    <row r="2178" spans="1:5" x14ac:dyDescent="0.2">
      <c r="A2178"/>
      <c r="B2178"/>
      <c r="C2178"/>
      <c r="D2178"/>
      <c r="E2178"/>
    </row>
    <row r="2179" spans="1:5" x14ac:dyDescent="0.2">
      <c r="A2179"/>
      <c r="B2179"/>
      <c r="C2179"/>
      <c r="D2179"/>
      <c r="E2179"/>
    </row>
    <row r="2180" spans="1:5" x14ac:dyDescent="0.2">
      <c r="A2180"/>
      <c r="B2180"/>
      <c r="C2180"/>
      <c r="D2180"/>
      <c r="E2180"/>
    </row>
    <row r="2181" spans="1:5" x14ac:dyDescent="0.2">
      <c r="A2181"/>
      <c r="B2181"/>
      <c r="C2181"/>
      <c r="D2181"/>
      <c r="E2181"/>
    </row>
    <row r="2182" spans="1:5" x14ac:dyDescent="0.2">
      <c r="A2182"/>
      <c r="B2182"/>
      <c r="C2182"/>
      <c r="D2182"/>
      <c r="E2182"/>
    </row>
    <row r="2183" spans="1:5" x14ac:dyDescent="0.2">
      <c r="A2183"/>
      <c r="B2183"/>
      <c r="C2183"/>
      <c r="D2183"/>
      <c r="E2183"/>
    </row>
    <row r="2184" spans="1:5" x14ac:dyDescent="0.2">
      <c r="A2184"/>
      <c r="B2184"/>
      <c r="C2184"/>
      <c r="D2184"/>
      <c r="E2184"/>
    </row>
    <row r="2185" spans="1:5" x14ac:dyDescent="0.2">
      <c r="A2185"/>
      <c r="B2185"/>
      <c r="C2185"/>
      <c r="D2185"/>
      <c r="E2185"/>
    </row>
    <row r="2186" spans="1:5" x14ac:dyDescent="0.2">
      <c r="A2186"/>
      <c r="B2186"/>
      <c r="C2186"/>
      <c r="D2186"/>
      <c r="E2186"/>
    </row>
    <row r="2187" spans="1:5" x14ac:dyDescent="0.2">
      <c r="A2187"/>
      <c r="B2187"/>
      <c r="C2187"/>
      <c r="D2187"/>
      <c r="E2187"/>
    </row>
    <row r="2188" spans="1:5" x14ac:dyDescent="0.2">
      <c r="A2188"/>
      <c r="B2188"/>
      <c r="C2188"/>
      <c r="D2188"/>
      <c r="E2188"/>
    </row>
    <row r="2189" spans="1:5" x14ac:dyDescent="0.2">
      <c r="A2189"/>
      <c r="B2189"/>
      <c r="C2189"/>
      <c r="D2189"/>
      <c r="E2189"/>
    </row>
    <row r="2190" spans="1:5" x14ac:dyDescent="0.2">
      <c r="A2190"/>
      <c r="B2190"/>
      <c r="C2190"/>
      <c r="D2190"/>
      <c r="E2190"/>
    </row>
    <row r="2191" spans="1:5" x14ac:dyDescent="0.2">
      <c r="A2191"/>
      <c r="B2191"/>
      <c r="C2191"/>
      <c r="D2191"/>
      <c r="E2191"/>
    </row>
    <row r="2192" spans="1:5" x14ac:dyDescent="0.2">
      <c r="A2192"/>
      <c r="B2192"/>
      <c r="C2192"/>
      <c r="D2192"/>
      <c r="E2192"/>
    </row>
    <row r="2193" spans="1:5" x14ac:dyDescent="0.2">
      <c r="A2193"/>
      <c r="B2193"/>
      <c r="C2193"/>
      <c r="D2193"/>
      <c r="E2193"/>
    </row>
    <row r="2194" spans="1:5" x14ac:dyDescent="0.2">
      <c r="A2194"/>
      <c r="B2194"/>
      <c r="C2194"/>
      <c r="D2194"/>
      <c r="E2194"/>
    </row>
    <row r="2195" spans="1:5" x14ac:dyDescent="0.2">
      <c r="A2195"/>
      <c r="B2195"/>
      <c r="C2195"/>
      <c r="D2195"/>
      <c r="E2195"/>
    </row>
    <row r="2196" spans="1:5" x14ac:dyDescent="0.2">
      <c r="A2196"/>
      <c r="B2196"/>
      <c r="C2196"/>
      <c r="D2196"/>
      <c r="E2196"/>
    </row>
    <row r="2197" spans="1:5" x14ac:dyDescent="0.2">
      <c r="A2197"/>
      <c r="B2197"/>
      <c r="C2197"/>
      <c r="D2197"/>
      <c r="E2197"/>
    </row>
    <row r="2198" spans="1:5" x14ac:dyDescent="0.2">
      <c r="A2198"/>
      <c r="B2198"/>
      <c r="C2198"/>
      <c r="D2198"/>
      <c r="E2198"/>
    </row>
    <row r="2199" spans="1:5" x14ac:dyDescent="0.2">
      <c r="A2199"/>
      <c r="B2199"/>
      <c r="C2199"/>
      <c r="D2199"/>
      <c r="E2199"/>
    </row>
    <row r="2200" spans="1:5" x14ac:dyDescent="0.2">
      <c r="A2200"/>
      <c r="B2200"/>
      <c r="C2200"/>
      <c r="D2200"/>
      <c r="E2200"/>
    </row>
    <row r="2201" spans="1:5" x14ac:dyDescent="0.2">
      <c r="A2201"/>
      <c r="B2201"/>
      <c r="C2201"/>
      <c r="D2201"/>
      <c r="E2201"/>
    </row>
    <row r="2202" spans="1:5" x14ac:dyDescent="0.2">
      <c r="A2202"/>
      <c r="B2202"/>
      <c r="C2202"/>
      <c r="D2202"/>
      <c r="E2202"/>
    </row>
    <row r="2203" spans="1:5" x14ac:dyDescent="0.2">
      <c r="A2203"/>
      <c r="B2203"/>
      <c r="C2203"/>
      <c r="D2203"/>
      <c r="E2203"/>
    </row>
    <row r="2204" spans="1:5" x14ac:dyDescent="0.2">
      <c r="A2204"/>
      <c r="B2204"/>
      <c r="C2204"/>
      <c r="D2204"/>
      <c r="E2204"/>
    </row>
    <row r="2205" spans="1:5" x14ac:dyDescent="0.2">
      <c r="A2205"/>
      <c r="B2205"/>
      <c r="C2205"/>
      <c r="D2205"/>
      <c r="E2205"/>
    </row>
    <row r="2206" spans="1:5" x14ac:dyDescent="0.2">
      <c r="A2206"/>
      <c r="B2206"/>
      <c r="C2206"/>
      <c r="D2206"/>
      <c r="E2206"/>
    </row>
    <row r="2207" spans="1:5" x14ac:dyDescent="0.2">
      <c r="A2207"/>
      <c r="B2207"/>
      <c r="C2207"/>
      <c r="D2207"/>
      <c r="E2207"/>
    </row>
    <row r="2208" spans="1:5" x14ac:dyDescent="0.2">
      <c r="A2208"/>
      <c r="B2208"/>
      <c r="C2208"/>
      <c r="D2208"/>
      <c r="E2208"/>
    </row>
    <row r="2209" spans="1:5" x14ac:dyDescent="0.2">
      <c r="A2209"/>
      <c r="B2209"/>
      <c r="C2209"/>
      <c r="D2209"/>
      <c r="E2209"/>
    </row>
    <row r="2210" spans="1:5" x14ac:dyDescent="0.2">
      <c r="A2210"/>
      <c r="B2210"/>
      <c r="C2210"/>
      <c r="D2210"/>
      <c r="E2210"/>
    </row>
    <row r="2211" spans="1:5" x14ac:dyDescent="0.2">
      <c r="A2211"/>
      <c r="B2211"/>
      <c r="C2211"/>
      <c r="D2211"/>
      <c r="E2211"/>
    </row>
    <row r="2212" spans="1:5" x14ac:dyDescent="0.2">
      <c r="A2212"/>
      <c r="B2212"/>
      <c r="C2212"/>
      <c r="D2212"/>
      <c r="E2212"/>
    </row>
    <row r="2213" spans="1:5" x14ac:dyDescent="0.2">
      <c r="A2213"/>
      <c r="B2213"/>
      <c r="C2213"/>
      <c r="D2213"/>
      <c r="E2213"/>
    </row>
    <row r="2214" spans="1:5" x14ac:dyDescent="0.2">
      <c r="A2214"/>
      <c r="B2214"/>
      <c r="C2214"/>
      <c r="D2214"/>
      <c r="E2214"/>
    </row>
    <row r="2215" spans="1:5" x14ac:dyDescent="0.2">
      <c r="A2215"/>
      <c r="B2215"/>
      <c r="C2215"/>
      <c r="D2215"/>
      <c r="E2215"/>
    </row>
    <row r="2216" spans="1:5" x14ac:dyDescent="0.2">
      <c r="A2216"/>
      <c r="B2216"/>
      <c r="C2216"/>
      <c r="D2216"/>
      <c r="E2216"/>
    </row>
    <row r="2217" spans="1:5" x14ac:dyDescent="0.2">
      <c r="A2217"/>
      <c r="B2217"/>
      <c r="C2217"/>
      <c r="D2217"/>
      <c r="E2217"/>
    </row>
    <row r="2218" spans="1:5" x14ac:dyDescent="0.2">
      <c r="A2218"/>
      <c r="B2218"/>
      <c r="C2218"/>
      <c r="D2218"/>
      <c r="E2218"/>
    </row>
    <row r="2219" spans="1:5" x14ac:dyDescent="0.2">
      <c r="A2219"/>
      <c r="B2219"/>
      <c r="C2219"/>
      <c r="D2219"/>
      <c r="E2219"/>
    </row>
    <row r="2220" spans="1:5" x14ac:dyDescent="0.2">
      <c r="A2220"/>
      <c r="B2220"/>
      <c r="C2220"/>
      <c r="D2220"/>
      <c r="E2220"/>
    </row>
    <row r="2221" spans="1:5" x14ac:dyDescent="0.2">
      <c r="A2221"/>
      <c r="B2221"/>
      <c r="C2221"/>
      <c r="D2221"/>
      <c r="E2221"/>
    </row>
    <row r="2222" spans="1:5" x14ac:dyDescent="0.2">
      <c r="A2222"/>
      <c r="B2222"/>
      <c r="C2222"/>
      <c r="D2222"/>
      <c r="E2222"/>
    </row>
    <row r="2223" spans="1:5" x14ac:dyDescent="0.2">
      <c r="A2223"/>
      <c r="B2223"/>
      <c r="C2223"/>
      <c r="D2223"/>
      <c r="E2223"/>
    </row>
    <row r="2224" spans="1:5" x14ac:dyDescent="0.2">
      <c r="A2224"/>
      <c r="B2224"/>
      <c r="C2224"/>
      <c r="D2224"/>
      <c r="E2224"/>
    </row>
    <row r="2225" spans="1:5" x14ac:dyDescent="0.2">
      <c r="A2225"/>
      <c r="B2225"/>
      <c r="C2225"/>
      <c r="D2225"/>
      <c r="E2225"/>
    </row>
    <row r="2226" spans="1:5" x14ac:dyDescent="0.2">
      <c r="A2226"/>
      <c r="B2226"/>
      <c r="C2226"/>
      <c r="D2226"/>
      <c r="E2226"/>
    </row>
    <row r="2227" spans="1:5" x14ac:dyDescent="0.2">
      <c r="A2227"/>
      <c r="B2227"/>
      <c r="C2227"/>
      <c r="D2227"/>
      <c r="E2227"/>
    </row>
    <row r="2228" spans="1:5" x14ac:dyDescent="0.2">
      <c r="A2228"/>
      <c r="B2228"/>
      <c r="C2228"/>
      <c r="D2228"/>
      <c r="E2228"/>
    </row>
    <row r="2229" spans="1:5" x14ac:dyDescent="0.2">
      <c r="A2229"/>
      <c r="B2229"/>
      <c r="C2229"/>
      <c r="D2229"/>
      <c r="E2229"/>
    </row>
    <row r="2230" spans="1:5" x14ac:dyDescent="0.2">
      <c r="A2230"/>
      <c r="B2230"/>
      <c r="C2230"/>
      <c r="D2230"/>
      <c r="E2230"/>
    </row>
    <row r="2231" spans="1:5" x14ac:dyDescent="0.2">
      <c r="A2231"/>
      <c r="B2231"/>
      <c r="C2231"/>
      <c r="D2231"/>
      <c r="E2231"/>
    </row>
    <row r="2232" spans="1:5" x14ac:dyDescent="0.2">
      <c r="A2232"/>
      <c r="B2232"/>
      <c r="C2232"/>
      <c r="D2232"/>
      <c r="E2232"/>
    </row>
    <row r="2233" spans="1:5" x14ac:dyDescent="0.2">
      <c r="A2233"/>
      <c r="B2233"/>
      <c r="C2233"/>
      <c r="D2233"/>
      <c r="E2233"/>
    </row>
    <row r="2234" spans="1:5" x14ac:dyDescent="0.2">
      <c r="A2234"/>
      <c r="B2234"/>
      <c r="C2234"/>
      <c r="D2234"/>
      <c r="E2234"/>
    </row>
    <row r="2235" spans="1:5" x14ac:dyDescent="0.2">
      <c r="A2235"/>
      <c r="B2235"/>
      <c r="C2235"/>
      <c r="D2235"/>
      <c r="E2235"/>
    </row>
    <row r="2236" spans="1:5" x14ac:dyDescent="0.2">
      <c r="A2236"/>
      <c r="B2236"/>
      <c r="C2236"/>
      <c r="D2236"/>
      <c r="E2236"/>
    </row>
    <row r="2237" spans="1:5" x14ac:dyDescent="0.2">
      <c r="A2237"/>
      <c r="B2237"/>
      <c r="C2237"/>
      <c r="D2237"/>
      <c r="E2237"/>
    </row>
    <row r="2238" spans="1:5" x14ac:dyDescent="0.2">
      <c r="A2238"/>
      <c r="B2238"/>
      <c r="C2238"/>
      <c r="D2238"/>
      <c r="E2238"/>
    </row>
    <row r="2239" spans="1:5" x14ac:dyDescent="0.2">
      <c r="A2239"/>
      <c r="B2239"/>
      <c r="C2239"/>
      <c r="D2239"/>
      <c r="E2239"/>
    </row>
    <row r="2240" spans="1:5" x14ac:dyDescent="0.2">
      <c r="A2240"/>
      <c r="B2240"/>
      <c r="C2240"/>
      <c r="D2240"/>
      <c r="E2240"/>
    </row>
    <row r="2241" spans="1:5" x14ac:dyDescent="0.2">
      <c r="A2241"/>
      <c r="B2241"/>
      <c r="C2241"/>
      <c r="D2241"/>
      <c r="E2241"/>
    </row>
    <row r="2242" spans="1:5" x14ac:dyDescent="0.2">
      <c r="A2242"/>
      <c r="B2242"/>
      <c r="C2242"/>
      <c r="D2242"/>
      <c r="E2242"/>
    </row>
    <row r="2243" spans="1:5" x14ac:dyDescent="0.2">
      <c r="A2243"/>
      <c r="B2243"/>
      <c r="C2243"/>
      <c r="D2243"/>
      <c r="E2243"/>
    </row>
    <row r="2244" spans="1:5" x14ac:dyDescent="0.2">
      <c r="A2244"/>
      <c r="B2244"/>
      <c r="C2244"/>
      <c r="D2244"/>
      <c r="E2244"/>
    </row>
    <row r="2245" spans="1:5" x14ac:dyDescent="0.2">
      <c r="A2245"/>
      <c r="B2245"/>
      <c r="C2245"/>
      <c r="D2245"/>
      <c r="E2245"/>
    </row>
    <row r="2246" spans="1:5" x14ac:dyDescent="0.2">
      <c r="A2246"/>
      <c r="B2246"/>
      <c r="C2246"/>
      <c r="D2246"/>
      <c r="E2246"/>
    </row>
    <row r="2247" spans="1:5" x14ac:dyDescent="0.2">
      <c r="A2247"/>
      <c r="B2247"/>
      <c r="C2247"/>
      <c r="D2247"/>
      <c r="E2247"/>
    </row>
    <row r="2248" spans="1:5" x14ac:dyDescent="0.2">
      <c r="A2248"/>
      <c r="B2248"/>
      <c r="C2248"/>
      <c r="D2248"/>
      <c r="E2248"/>
    </row>
    <row r="2249" spans="1:5" x14ac:dyDescent="0.2">
      <c r="A2249"/>
      <c r="B2249"/>
      <c r="C2249"/>
      <c r="D2249"/>
      <c r="E2249"/>
    </row>
    <row r="2250" spans="1:5" x14ac:dyDescent="0.2">
      <c r="A2250"/>
      <c r="B2250"/>
      <c r="C2250"/>
      <c r="D2250"/>
      <c r="E2250"/>
    </row>
    <row r="2251" spans="1:5" x14ac:dyDescent="0.2">
      <c r="A2251"/>
      <c r="B2251"/>
      <c r="C2251"/>
      <c r="D2251"/>
      <c r="E2251"/>
    </row>
    <row r="2252" spans="1:5" x14ac:dyDescent="0.2">
      <c r="A2252"/>
      <c r="B2252"/>
      <c r="C2252"/>
      <c r="D2252"/>
      <c r="E2252"/>
    </row>
    <row r="2253" spans="1:5" x14ac:dyDescent="0.2">
      <c r="A2253"/>
      <c r="B2253"/>
      <c r="C2253"/>
      <c r="D2253"/>
      <c r="E2253"/>
    </row>
    <row r="2254" spans="1:5" x14ac:dyDescent="0.2">
      <c r="A2254"/>
      <c r="B2254"/>
      <c r="C2254"/>
      <c r="D2254"/>
      <c r="E2254"/>
    </row>
    <row r="2255" spans="1:5" x14ac:dyDescent="0.2">
      <c r="A2255"/>
      <c r="B2255"/>
      <c r="C2255"/>
      <c r="D2255"/>
      <c r="E2255"/>
    </row>
    <row r="2256" spans="1:5" x14ac:dyDescent="0.2">
      <c r="A2256"/>
      <c r="B2256"/>
      <c r="C2256"/>
      <c r="D2256"/>
      <c r="E2256"/>
    </row>
    <row r="2257" spans="1:5" x14ac:dyDescent="0.2">
      <c r="A2257"/>
      <c r="B2257"/>
      <c r="C2257"/>
      <c r="D2257"/>
      <c r="E2257"/>
    </row>
    <row r="2258" spans="1:5" x14ac:dyDescent="0.2">
      <c r="A2258"/>
      <c r="B2258"/>
      <c r="C2258"/>
      <c r="D2258"/>
      <c r="E2258"/>
    </row>
    <row r="2259" spans="1:5" x14ac:dyDescent="0.2">
      <c r="A2259"/>
      <c r="B2259"/>
      <c r="C2259"/>
      <c r="D2259"/>
      <c r="E2259"/>
    </row>
    <row r="2260" spans="1:5" x14ac:dyDescent="0.2">
      <c r="A2260"/>
      <c r="B2260"/>
      <c r="C2260"/>
      <c r="D2260"/>
      <c r="E2260"/>
    </row>
    <row r="2261" spans="1:5" x14ac:dyDescent="0.2">
      <c r="A2261"/>
      <c r="B2261"/>
      <c r="C2261"/>
      <c r="D2261"/>
      <c r="E2261"/>
    </row>
    <row r="2262" spans="1:5" x14ac:dyDescent="0.2">
      <c r="A2262"/>
      <c r="B2262"/>
      <c r="C2262"/>
      <c r="D2262"/>
      <c r="E2262"/>
    </row>
    <row r="2263" spans="1:5" x14ac:dyDescent="0.2">
      <c r="A2263"/>
      <c r="B2263"/>
      <c r="C2263"/>
      <c r="D2263"/>
      <c r="E2263"/>
    </row>
    <row r="2264" spans="1:5" x14ac:dyDescent="0.2">
      <c r="A2264"/>
      <c r="B2264"/>
      <c r="C2264"/>
      <c r="D2264"/>
      <c r="E2264"/>
    </row>
    <row r="2265" spans="1:5" x14ac:dyDescent="0.2">
      <c r="A2265"/>
      <c r="B2265"/>
      <c r="C2265"/>
      <c r="D2265"/>
      <c r="E2265"/>
    </row>
    <row r="2266" spans="1:5" x14ac:dyDescent="0.2">
      <c r="A2266"/>
      <c r="B2266"/>
      <c r="C2266"/>
      <c r="D2266"/>
      <c r="E2266"/>
    </row>
    <row r="2267" spans="1:5" x14ac:dyDescent="0.2">
      <c r="A2267"/>
      <c r="B2267"/>
      <c r="C2267"/>
      <c r="D2267"/>
      <c r="E2267"/>
    </row>
    <row r="2268" spans="1:5" x14ac:dyDescent="0.2">
      <c r="A2268"/>
      <c r="B2268"/>
      <c r="C2268"/>
      <c r="D2268"/>
      <c r="E2268"/>
    </row>
    <row r="2269" spans="1:5" x14ac:dyDescent="0.2">
      <c r="A2269"/>
      <c r="B2269"/>
      <c r="C2269"/>
      <c r="D2269"/>
      <c r="E2269"/>
    </row>
    <row r="2270" spans="1:5" x14ac:dyDescent="0.2">
      <c r="A2270"/>
      <c r="B2270"/>
      <c r="C2270"/>
      <c r="D2270"/>
      <c r="E2270"/>
    </row>
    <row r="2271" spans="1:5" x14ac:dyDescent="0.2">
      <c r="A2271"/>
      <c r="B2271"/>
      <c r="C2271"/>
      <c r="D2271"/>
      <c r="E2271"/>
    </row>
    <row r="2272" spans="1:5" x14ac:dyDescent="0.2">
      <c r="A2272"/>
      <c r="B2272"/>
      <c r="C2272"/>
      <c r="D2272"/>
      <c r="E2272"/>
    </row>
    <row r="2273" spans="1:5" x14ac:dyDescent="0.2">
      <c r="A2273"/>
      <c r="B2273"/>
      <c r="C2273"/>
      <c r="D2273"/>
      <c r="E2273"/>
    </row>
    <row r="2274" spans="1:5" x14ac:dyDescent="0.2">
      <c r="A2274"/>
      <c r="B2274"/>
      <c r="C2274"/>
      <c r="D2274"/>
      <c r="E2274"/>
    </row>
    <row r="2275" spans="1:5" x14ac:dyDescent="0.2">
      <c r="A2275"/>
      <c r="B2275"/>
      <c r="C2275"/>
      <c r="D2275"/>
      <c r="E2275"/>
    </row>
    <row r="2276" spans="1:5" x14ac:dyDescent="0.2">
      <c r="A2276"/>
      <c r="B2276"/>
      <c r="C2276"/>
      <c r="D2276"/>
      <c r="E2276"/>
    </row>
    <row r="2277" spans="1:5" x14ac:dyDescent="0.2">
      <c r="A2277"/>
      <c r="B2277"/>
      <c r="C2277"/>
      <c r="D2277"/>
      <c r="E2277"/>
    </row>
    <row r="2278" spans="1:5" x14ac:dyDescent="0.2">
      <c r="A2278"/>
      <c r="B2278"/>
      <c r="C2278"/>
      <c r="D2278"/>
      <c r="E2278"/>
    </row>
    <row r="2279" spans="1:5" x14ac:dyDescent="0.2">
      <c r="A2279"/>
      <c r="B2279"/>
      <c r="C2279"/>
      <c r="D2279"/>
      <c r="E2279"/>
    </row>
    <row r="2280" spans="1:5" x14ac:dyDescent="0.2">
      <c r="A2280"/>
      <c r="B2280"/>
      <c r="C2280"/>
      <c r="D2280"/>
      <c r="E2280"/>
    </row>
    <row r="2281" spans="1:5" x14ac:dyDescent="0.2">
      <c r="A2281"/>
      <c r="B2281"/>
      <c r="C2281"/>
      <c r="D2281"/>
      <c r="E2281"/>
    </row>
    <row r="2282" spans="1:5" x14ac:dyDescent="0.2">
      <c r="A2282"/>
      <c r="B2282"/>
      <c r="C2282"/>
      <c r="D2282"/>
      <c r="E2282"/>
    </row>
    <row r="2283" spans="1:5" x14ac:dyDescent="0.2">
      <c r="A2283"/>
      <c r="B2283"/>
      <c r="C2283"/>
      <c r="D2283"/>
      <c r="E2283"/>
    </row>
    <row r="2284" spans="1:5" x14ac:dyDescent="0.2">
      <c r="A2284"/>
      <c r="B2284"/>
      <c r="C2284"/>
      <c r="D2284"/>
      <c r="E2284"/>
    </row>
    <row r="2285" spans="1:5" x14ac:dyDescent="0.2">
      <c r="A2285"/>
      <c r="B2285"/>
      <c r="C2285"/>
      <c r="D2285"/>
      <c r="E2285"/>
    </row>
    <row r="2286" spans="1:5" x14ac:dyDescent="0.2">
      <c r="A2286"/>
      <c r="B2286"/>
      <c r="C2286"/>
      <c r="D2286"/>
      <c r="E2286"/>
    </row>
    <row r="2287" spans="1:5" x14ac:dyDescent="0.2">
      <c r="A2287"/>
      <c r="B2287"/>
      <c r="C2287"/>
      <c r="D2287"/>
      <c r="E2287"/>
    </row>
    <row r="2288" spans="1:5" x14ac:dyDescent="0.2">
      <c r="A2288"/>
      <c r="B2288"/>
      <c r="C2288"/>
      <c r="D2288"/>
      <c r="E2288"/>
    </row>
    <row r="2289" spans="1:5" x14ac:dyDescent="0.2">
      <c r="A2289"/>
      <c r="B2289"/>
      <c r="C2289"/>
      <c r="D2289"/>
      <c r="E2289"/>
    </row>
    <row r="2290" spans="1:5" x14ac:dyDescent="0.2">
      <c r="A2290"/>
      <c r="B2290"/>
      <c r="C2290"/>
      <c r="D2290"/>
      <c r="E2290"/>
    </row>
    <row r="2291" spans="1:5" x14ac:dyDescent="0.2">
      <c r="A2291"/>
      <c r="B2291"/>
      <c r="C2291"/>
      <c r="D2291"/>
      <c r="E2291"/>
    </row>
    <row r="2292" spans="1:5" x14ac:dyDescent="0.2">
      <c r="A2292"/>
      <c r="B2292"/>
      <c r="C2292"/>
      <c r="D2292"/>
      <c r="E2292"/>
    </row>
    <row r="2293" spans="1:5" x14ac:dyDescent="0.2">
      <c r="A2293"/>
      <c r="B2293"/>
      <c r="C2293"/>
      <c r="D2293"/>
      <c r="E2293"/>
    </row>
    <row r="2294" spans="1:5" x14ac:dyDescent="0.2">
      <c r="A2294"/>
      <c r="B2294"/>
      <c r="C2294"/>
      <c r="D2294"/>
      <c r="E2294"/>
    </row>
    <row r="2295" spans="1:5" x14ac:dyDescent="0.2">
      <c r="A2295"/>
      <c r="B2295"/>
      <c r="C2295"/>
      <c r="D2295"/>
      <c r="E2295"/>
    </row>
    <row r="2296" spans="1:5" x14ac:dyDescent="0.2">
      <c r="A2296"/>
      <c r="B2296"/>
      <c r="C2296"/>
      <c r="D2296"/>
      <c r="E2296"/>
    </row>
    <row r="2297" spans="1:5" x14ac:dyDescent="0.2">
      <c r="A2297"/>
      <c r="B2297"/>
      <c r="C2297"/>
      <c r="D2297"/>
      <c r="E2297"/>
    </row>
    <row r="2298" spans="1:5" x14ac:dyDescent="0.2">
      <c r="A2298"/>
      <c r="B2298"/>
      <c r="C2298"/>
      <c r="D2298"/>
      <c r="E2298"/>
    </row>
    <row r="2299" spans="1:5" x14ac:dyDescent="0.2">
      <c r="A2299"/>
      <c r="B2299"/>
      <c r="C2299"/>
      <c r="D2299"/>
      <c r="E2299"/>
    </row>
    <row r="2300" spans="1:5" x14ac:dyDescent="0.2">
      <c r="A2300"/>
      <c r="B2300"/>
      <c r="C2300"/>
      <c r="D2300"/>
      <c r="E2300"/>
    </row>
    <row r="2301" spans="1:5" x14ac:dyDescent="0.2">
      <c r="A2301"/>
      <c r="B2301"/>
      <c r="C2301"/>
      <c r="D2301"/>
      <c r="E2301"/>
    </row>
    <row r="2302" spans="1:5" x14ac:dyDescent="0.2">
      <c r="A2302"/>
      <c r="B2302"/>
      <c r="C2302"/>
      <c r="D2302"/>
      <c r="E2302"/>
    </row>
    <row r="2303" spans="1:5" x14ac:dyDescent="0.2">
      <c r="A2303"/>
      <c r="B2303"/>
      <c r="C2303"/>
      <c r="D2303"/>
      <c r="E2303"/>
    </row>
    <row r="2304" spans="1:5" x14ac:dyDescent="0.2">
      <c r="A2304"/>
      <c r="B2304"/>
      <c r="C2304"/>
      <c r="D2304"/>
      <c r="E2304"/>
    </row>
    <row r="2305" spans="1:5" x14ac:dyDescent="0.2">
      <c r="A2305"/>
      <c r="B2305"/>
      <c r="C2305"/>
      <c r="D2305"/>
      <c r="E2305"/>
    </row>
    <row r="2306" spans="1:5" x14ac:dyDescent="0.2">
      <c r="A2306"/>
      <c r="B2306"/>
      <c r="C2306"/>
      <c r="D2306"/>
      <c r="E2306"/>
    </row>
    <row r="2307" spans="1:5" x14ac:dyDescent="0.2">
      <c r="A2307"/>
      <c r="B2307"/>
      <c r="C2307"/>
      <c r="D2307"/>
      <c r="E2307"/>
    </row>
    <row r="2308" spans="1:5" x14ac:dyDescent="0.2">
      <c r="A2308"/>
      <c r="B2308"/>
      <c r="C2308"/>
      <c r="D2308"/>
      <c r="E2308"/>
    </row>
    <row r="2309" spans="1:5" x14ac:dyDescent="0.2">
      <c r="A2309"/>
      <c r="B2309"/>
      <c r="C2309"/>
      <c r="D2309"/>
      <c r="E2309"/>
    </row>
    <row r="2310" spans="1:5" x14ac:dyDescent="0.2">
      <c r="A2310"/>
      <c r="B2310"/>
      <c r="C2310"/>
      <c r="D2310"/>
      <c r="E2310"/>
    </row>
    <row r="2311" spans="1:5" x14ac:dyDescent="0.2">
      <c r="A2311"/>
      <c r="B2311"/>
      <c r="C2311"/>
      <c r="D2311"/>
      <c r="E2311"/>
    </row>
    <row r="2312" spans="1:5" x14ac:dyDescent="0.2">
      <c r="A2312"/>
      <c r="B2312"/>
      <c r="C2312"/>
      <c r="D2312"/>
      <c r="E2312"/>
    </row>
    <row r="2313" spans="1:5" x14ac:dyDescent="0.2">
      <c r="A2313"/>
      <c r="B2313"/>
      <c r="C2313"/>
      <c r="D2313"/>
      <c r="E2313"/>
    </row>
    <row r="2314" spans="1:5" x14ac:dyDescent="0.2">
      <c r="A2314"/>
      <c r="B2314"/>
      <c r="C2314"/>
      <c r="D2314"/>
      <c r="E2314"/>
    </row>
    <row r="2315" spans="1:5" x14ac:dyDescent="0.2">
      <c r="A2315"/>
      <c r="B2315"/>
      <c r="C2315"/>
      <c r="D2315"/>
      <c r="E2315"/>
    </row>
    <row r="2316" spans="1:5" x14ac:dyDescent="0.2">
      <c r="A2316"/>
      <c r="B2316"/>
      <c r="C2316"/>
      <c r="D2316"/>
      <c r="E2316"/>
    </row>
    <row r="2317" spans="1:5" x14ac:dyDescent="0.2">
      <c r="A2317"/>
      <c r="B2317"/>
      <c r="C2317"/>
      <c r="D2317"/>
      <c r="E2317"/>
    </row>
    <row r="2318" spans="1:5" x14ac:dyDescent="0.2">
      <c r="A2318"/>
      <c r="B2318"/>
      <c r="C2318"/>
      <c r="D2318"/>
      <c r="E2318"/>
    </row>
    <row r="2319" spans="1:5" x14ac:dyDescent="0.2">
      <c r="A2319"/>
      <c r="B2319"/>
      <c r="C2319"/>
      <c r="D2319"/>
      <c r="E2319"/>
    </row>
    <row r="2320" spans="1:5" x14ac:dyDescent="0.2">
      <c r="A2320"/>
      <c r="B2320"/>
      <c r="C2320"/>
      <c r="D2320"/>
      <c r="E2320"/>
    </row>
    <row r="2321" spans="1:5" x14ac:dyDescent="0.2">
      <c r="A2321"/>
      <c r="B2321"/>
      <c r="C2321"/>
      <c r="D2321"/>
      <c r="E2321"/>
    </row>
    <row r="2322" spans="1:5" x14ac:dyDescent="0.2">
      <c r="A2322"/>
      <c r="B2322"/>
      <c r="C2322"/>
      <c r="D2322"/>
      <c r="E2322"/>
    </row>
    <row r="2323" spans="1:5" x14ac:dyDescent="0.2">
      <c r="A2323"/>
      <c r="B2323"/>
      <c r="C2323"/>
      <c r="D2323"/>
      <c r="E2323"/>
    </row>
    <row r="2324" spans="1:5" x14ac:dyDescent="0.2">
      <c r="A2324"/>
      <c r="B2324"/>
      <c r="C2324"/>
      <c r="D2324"/>
      <c r="E2324"/>
    </row>
    <row r="2325" spans="1:5" x14ac:dyDescent="0.2">
      <c r="A2325"/>
      <c r="B2325"/>
      <c r="C2325"/>
      <c r="D2325"/>
      <c r="E2325"/>
    </row>
    <row r="2326" spans="1:5" x14ac:dyDescent="0.2">
      <c r="A2326"/>
      <c r="B2326"/>
      <c r="C2326"/>
      <c r="D2326"/>
      <c r="E2326"/>
    </row>
    <row r="2327" spans="1:5" x14ac:dyDescent="0.2">
      <c r="A2327"/>
      <c r="B2327"/>
      <c r="C2327"/>
      <c r="D2327"/>
      <c r="E2327"/>
    </row>
    <row r="2328" spans="1:5" x14ac:dyDescent="0.2">
      <c r="A2328"/>
      <c r="B2328"/>
      <c r="C2328"/>
      <c r="D2328"/>
      <c r="E2328"/>
    </row>
    <row r="2329" spans="1:5" x14ac:dyDescent="0.2">
      <c r="A2329"/>
      <c r="B2329"/>
      <c r="C2329"/>
      <c r="D2329"/>
      <c r="E2329"/>
    </row>
    <row r="2330" spans="1:5" x14ac:dyDescent="0.2">
      <c r="A2330"/>
      <c r="B2330"/>
      <c r="C2330"/>
      <c r="D2330"/>
      <c r="E2330"/>
    </row>
    <row r="2331" spans="1:5" x14ac:dyDescent="0.2">
      <c r="A2331"/>
      <c r="B2331"/>
      <c r="C2331"/>
      <c r="D2331"/>
      <c r="E2331"/>
    </row>
    <row r="2332" spans="1:5" x14ac:dyDescent="0.2">
      <c r="A2332"/>
      <c r="B2332"/>
      <c r="C2332"/>
      <c r="D2332"/>
      <c r="E2332"/>
    </row>
    <row r="2333" spans="1:5" x14ac:dyDescent="0.2">
      <c r="A2333"/>
      <c r="B2333"/>
      <c r="C2333"/>
      <c r="D2333"/>
      <c r="E2333"/>
    </row>
    <row r="2334" spans="1:5" x14ac:dyDescent="0.2">
      <c r="A2334"/>
      <c r="B2334"/>
      <c r="C2334"/>
      <c r="D2334"/>
      <c r="E2334"/>
    </row>
    <row r="2335" spans="1:5" x14ac:dyDescent="0.2">
      <c r="A2335"/>
      <c r="B2335"/>
      <c r="C2335"/>
      <c r="D2335"/>
      <c r="E2335"/>
    </row>
    <row r="2336" spans="1:5" x14ac:dyDescent="0.2">
      <c r="A2336"/>
      <c r="B2336"/>
      <c r="C2336"/>
      <c r="D2336"/>
      <c r="E2336"/>
    </row>
    <row r="2337" spans="1:5" x14ac:dyDescent="0.2">
      <c r="A2337"/>
      <c r="B2337"/>
      <c r="C2337"/>
      <c r="D2337"/>
      <c r="E2337"/>
    </row>
    <row r="2338" spans="1:5" x14ac:dyDescent="0.2">
      <c r="A2338"/>
      <c r="B2338"/>
      <c r="C2338"/>
      <c r="D2338"/>
      <c r="E2338"/>
    </row>
    <row r="2339" spans="1:5" x14ac:dyDescent="0.2">
      <c r="A2339"/>
      <c r="B2339"/>
      <c r="C2339"/>
      <c r="D2339"/>
      <c r="E2339"/>
    </row>
    <row r="2340" spans="1:5" x14ac:dyDescent="0.2">
      <c r="A2340"/>
      <c r="B2340"/>
      <c r="C2340"/>
      <c r="D2340"/>
      <c r="E2340"/>
    </row>
    <row r="2341" spans="1:5" x14ac:dyDescent="0.2">
      <c r="A2341"/>
      <c r="B2341"/>
      <c r="C2341"/>
      <c r="D2341"/>
      <c r="E2341"/>
    </row>
    <row r="2342" spans="1:5" x14ac:dyDescent="0.2">
      <c r="A2342"/>
      <c r="B2342"/>
      <c r="C2342"/>
      <c r="D2342"/>
      <c r="E2342"/>
    </row>
    <row r="2343" spans="1:5" x14ac:dyDescent="0.2">
      <c r="A2343"/>
      <c r="B2343"/>
      <c r="C2343"/>
      <c r="D2343"/>
      <c r="E2343"/>
    </row>
    <row r="2344" spans="1:5" x14ac:dyDescent="0.2">
      <c r="A2344"/>
      <c r="B2344"/>
      <c r="C2344"/>
      <c r="D2344"/>
      <c r="E2344"/>
    </row>
    <row r="2345" spans="1:5" x14ac:dyDescent="0.2">
      <c r="A2345"/>
      <c r="B2345"/>
      <c r="C2345"/>
      <c r="D2345"/>
      <c r="E2345"/>
    </row>
    <row r="2346" spans="1:5" x14ac:dyDescent="0.2">
      <c r="A2346"/>
      <c r="B2346"/>
      <c r="C2346"/>
      <c r="D2346"/>
      <c r="E2346"/>
    </row>
    <row r="2347" spans="1:5" x14ac:dyDescent="0.2">
      <c r="A2347"/>
      <c r="B2347"/>
      <c r="C2347"/>
      <c r="D2347"/>
      <c r="E2347"/>
    </row>
    <row r="2348" spans="1:5" x14ac:dyDescent="0.2">
      <c r="A2348"/>
      <c r="B2348"/>
      <c r="C2348"/>
      <c r="D2348"/>
      <c r="E2348"/>
    </row>
    <row r="2349" spans="1:5" x14ac:dyDescent="0.2">
      <c r="A2349"/>
      <c r="B2349"/>
      <c r="C2349"/>
      <c r="D2349"/>
      <c r="E2349"/>
    </row>
    <row r="2350" spans="1:5" x14ac:dyDescent="0.2">
      <c r="A2350"/>
      <c r="B2350"/>
      <c r="C2350"/>
      <c r="D2350"/>
      <c r="E2350"/>
    </row>
    <row r="2351" spans="1:5" x14ac:dyDescent="0.2">
      <c r="A2351"/>
      <c r="B2351"/>
      <c r="C2351"/>
      <c r="D2351"/>
      <c r="E2351"/>
    </row>
    <row r="2352" spans="1:5" x14ac:dyDescent="0.2">
      <c r="A2352"/>
      <c r="B2352"/>
      <c r="C2352"/>
      <c r="D2352"/>
      <c r="E2352"/>
    </row>
    <row r="2353" spans="1:5" x14ac:dyDescent="0.2">
      <c r="A2353"/>
      <c r="B2353"/>
      <c r="C2353"/>
      <c r="D2353"/>
      <c r="E2353"/>
    </row>
    <row r="2354" spans="1:5" x14ac:dyDescent="0.2">
      <c r="A2354"/>
      <c r="B2354"/>
      <c r="C2354"/>
      <c r="D2354"/>
      <c r="E2354"/>
    </row>
    <row r="2355" spans="1:5" x14ac:dyDescent="0.2">
      <c r="A2355"/>
      <c r="B2355"/>
      <c r="C2355"/>
      <c r="D2355"/>
      <c r="E2355"/>
    </row>
    <row r="2356" spans="1:5" x14ac:dyDescent="0.2">
      <c r="A2356"/>
      <c r="B2356"/>
      <c r="C2356"/>
      <c r="D2356"/>
      <c r="E2356"/>
    </row>
    <row r="2357" spans="1:5" x14ac:dyDescent="0.2">
      <c r="A2357"/>
      <c r="B2357"/>
      <c r="C2357"/>
      <c r="D2357"/>
      <c r="E2357"/>
    </row>
    <row r="2358" spans="1:5" x14ac:dyDescent="0.2">
      <c r="A2358"/>
      <c r="B2358"/>
      <c r="C2358"/>
      <c r="D2358"/>
      <c r="E2358"/>
    </row>
    <row r="2359" spans="1:5" x14ac:dyDescent="0.2">
      <c r="A2359"/>
      <c r="B2359"/>
      <c r="C2359"/>
      <c r="D2359"/>
      <c r="E2359"/>
    </row>
    <row r="2360" spans="1:5" x14ac:dyDescent="0.2">
      <c r="A2360"/>
      <c r="B2360"/>
      <c r="C2360"/>
      <c r="D2360"/>
      <c r="E2360"/>
    </row>
    <row r="2361" spans="1:5" x14ac:dyDescent="0.2">
      <c r="A2361"/>
      <c r="B2361"/>
      <c r="C2361"/>
      <c r="D2361"/>
      <c r="E2361"/>
    </row>
    <row r="2362" spans="1:5" x14ac:dyDescent="0.2">
      <c r="A2362"/>
      <c r="B2362"/>
      <c r="C2362"/>
      <c r="D2362"/>
      <c r="E2362"/>
    </row>
    <row r="2363" spans="1:5" x14ac:dyDescent="0.2">
      <c r="A2363"/>
      <c r="B2363"/>
      <c r="C2363"/>
      <c r="D2363"/>
      <c r="E2363"/>
    </row>
    <row r="2364" spans="1:5" x14ac:dyDescent="0.2">
      <c r="A2364"/>
      <c r="B2364"/>
      <c r="C2364"/>
      <c r="D2364"/>
      <c r="E2364"/>
    </row>
    <row r="2365" spans="1:5" x14ac:dyDescent="0.2">
      <c r="A2365"/>
      <c r="B2365"/>
      <c r="C2365"/>
      <c r="D2365"/>
      <c r="E2365"/>
    </row>
    <row r="2366" spans="1:5" x14ac:dyDescent="0.2">
      <c r="A2366"/>
      <c r="B2366"/>
      <c r="C2366"/>
      <c r="D2366"/>
      <c r="E2366"/>
    </row>
    <row r="2367" spans="1:5" x14ac:dyDescent="0.2">
      <c r="A2367"/>
      <c r="B2367"/>
      <c r="C2367"/>
      <c r="D2367"/>
      <c r="E2367"/>
    </row>
    <row r="2368" spans="1:5" x14ac:dyDescent="0.2">
      <c r="A2368"/>
      <c r="B2368"/>
      <c r="C2368"/>
      <c r="D2368"/>
      <c r="E2368"/>
    </row>
    <row r="2369" spans="1:5" x14ac:dyDescent="0.2">
      <c r="A2369"/>
      <c r="B2369"/>
      <c r="C2369"/>
      <c r="D2369"/>
      <c r="E2369"/>
    </row>
    <row r="2370" spans="1:5" x14ac:dyDescent="0.2">
      <c r="A2370"/>
      <c r="B2370"/>
      <c r="C2370"/>
      <c r="D2370"/>
      <c r="E2370"/>
    </row>
    <row r="2371" spans="1:5" x14ac:dyDescent="0.2">
      <c r="A2371"/>
      <c r="B2371"/>
      <c r="C2371"/>
      <c r="D2371"/>
      <c r="E2371"/>
    </row>
    <row r="2372" spans="1:5" x14ac:dyDescent="0.2">
      <c r="A2372"/>
      <c r="B2372"/>
      <c r="C2372"/>
      <c r="D2372"/>
      <c r="E2372"/>
    </row>
    <row r="2373" spans="1:5" x14ac:dyDescent="0.2">
      <c r="A2373"/>
      <c r="B2373"/>
      <c r="C2373"/>
      <c r="D2373"/>
      <c r="E2373"/>
    </row>
    <row r="2374" spans="1:5" x14ac:dyDescent="0.2">
      <c r="A2374"/>
      <c r="B2374"/>
      <c r="C2374"/>
      <c r="D2374"/>
      <c r="E2374"/>
    </row>
    <row r="2375" spans="1:5" x14ac:dyDescent="0.2">
      <c r="A2375"/>
      <c r="B2375"/>
      <c r="C2375"/>
      <c r="D2375"/>
      <c r="E2375"/>
    </row>
    <row r="2376" spans="1:5" x14ac:dyDescent="0.2">
      <c r="A2376"/>
      <c r="B2376"/>
      <c r="C2376"/>
      <c r="D2376"/>
      <c r="E2376"/>
    </row>
    <row r="2377" spans="1:5" x14ac:dyDescent="0.2">
      <c r="A2377"/>
      <c r="B2377"/>
      <c r="C2377"/>
      <c r="D2377"/>
      <c r="E2377"/>
    </row>
    <row r="2378" spans="1:5" x14ac:dyDescent="0.2">
      <c r="A2378"/>
      <c r="B2378"/>
      <c r="C2378"/>
      <c r="D2378"/>
      <c r="E2378"/>
    </row>
    <row r="2379" spans="1:5" x14ac:dyDescent="0.2">
      <c r="A2379"/>
      <c r="B2379"/>
      <c r="C2379"/>
      <c r="D2379"/>
      <c r="E2379"/>
    </row>
    <row r="2380" spans="1:5" x14ac:dyDescent="0.2">
      <c r="A2380"/>
      <c r="B2380"/>
      <c r="C2380"/>
      <c r="D2380"/>
      <c r="E2380"/>
    </row>
    <row r="2381" spans="1:5" x14ac:dyDescent="0.2">
      <c r="A2381"/>
      <c r="B2381"/>
      <c r="C2381"/>
      <c r="D2381"/>
      <c r="E2381"/>
    </row>
    <row r="2382" spans="1:5" x14ac:dyDescent="0.2">
      <c r="A2382"/>
      <c r="B2382"/>
      <c r="C2382"/>
      <c r="D2382"/>
      <c r="E2382"/>
    </row>
    <row r="2383" spans="1:5" x14ac:dyDescent="0.2">
      <c r="A2383"/>
      <c r="B2383"/>
      <c r="C2383"/>
      <c r="D2383"/>
      <c r="E2383"/>
    </row>
    <row r="2384" spans="1:5" x14ac:dyDescent="0.2">
      <c r="A2384"/>
      <c r="B2384"/>
      <c r="C2384"/>
      <c r="D2384"/>
      <c r="E2384"/>
    </row>
    <row r="2385" spans="1:5" x14ac:dyDescent="0.2">
      <c r="A2385"/>
      <c r="B2385"/>
      <c r="C2385"/>
      <c r="D2385"/>
      <c r="E2385"/>
    </row>
    <row r="2386" spans="1:5" x14ac:dyDescent="0.2">
      <c r="A2386"/>
      <c r="B2386"/>
      <c r="C2386"/>
      <c r="D2386"/>
      <c r="E2386"/>
    </row>
    <row r="2387" spans="1:5" x14ac:dyDescent="0.2">
      <c r="A2387"/>
      <c r="B2387"/>
      <c r="C2387"/>
      <c r="D2387"/>
      <c r="E2387"/>
    </row>
    <row r="2388" spans="1:5" x14ac:dyDescent="0.2">
      <c r="A2388"/>
      <c r="B2388"/>
      <c r="C2388"/>
      <c r="D2388"/>
      <c r="E2388"/>
    </row>
    <row r="2389" spans="1:5" x14ac:dyDescent="0.2">
      <c r="A2389"/>
      <c r="B2389"/>
      <c r="C2389"/>
      <c r="D2389"/>
      <c r="E2389"/>
    </row>
    <row r="2390" spans="1:5" x14ac:dyDescent="0.2">
      <c r="A2390"/>
      <c r="B2390"/>
      <c r="C2390"/>
      <c r="D2390"/>
      <c r="E2390"/>
    </row>
    <row r="2391" spans="1:5" x14ac:dyDescent="0.2">
      <c r="A2391"/>
      <c r="B2391"/>
      <c r="C2391"/>
      <c r="D2391"/>
      <c r="E2391"/>
    </row>
    <row r="2392" spans="1:5" x14ac:dyDescent="0.2">
      <c r="A2392"/>
      <c r="B2392"/>
      <c r="C2392"/>
      <c r="D2392"/>
      <c r="E2392"/>
    </row>
    <row r="2393" spans="1:5" x14ac:dyDescent="0.2">
      <c r="A2393"/>
      <c r="B2393"/>
      <c r="C2393"/>
      <c r="D2393"/>
      <c r="E2393"/>
    </row>
    <row r="2394" spans="1:5" x14ac:dyDescent="0.2">
      <c r="A2394"/>
      <c r="B2394"/>
      <c r="C2394"/>
      <c r="D2394"/>
      <c r="E2394"/>
    </row>
    <row r="2395" spans="1:5" x14ac:dyDescent="0.2">
      <c r="A2395"/>
      <c r="B2395"/>
      <c r="C2395"/>
      <c r="D2395"/>
      <c r="E2395"/>
    </row>
    <row r="2396" spans="1:5" x14ac:dyDescent="0.2">
      <c r="A2396"/>
      <c r="B2396"/>
      <c r="C2396"/>
      <c r="D2396"/>
      <c r="E2396"/>
    </row>
    <row r="2397" spans="1:5" x14ac:dyDescent="0.2">
      <c r="A2397"/>
      <c r="B2397"/>
      <c r="C2397"/>
      <c r="D2397"/>
      <c r="E2397"/>
    </row>
    <row r="2398" spans="1:5" x14ac:dyDescent="0.2">
      <c r="A2398"/>
      <c r="B2398"/>
      <c r="C2398"/>
      <c r="D2398"/>
      <c r="E2398"/>
    </row>
    <row r="2399" spans="1:5" x14ac:dyDescent="0.2">
      <c r="A2399"/>
      <c r="B2399"/>
      <c r="C2399"/>
      <c r="D2399"/>
      <c r="E2399"/>
    </row>
    <row r="2400" spans="1:5" x14ac:dyDescent="0.2">
      <c r="A2400"/>
      <c r="B2400"/>
      <c r="C2400"/>
      <c r="D2400"/>
      <c r="E2400"/>
    </row>
    <row r="2401" spans="1:5" x14ac:dyDescent="0.2">
      <c r="A2401"/>
      <c r="B2401"/>
      <c r="C2401"/>
      <c r="D2401"/>
      <c r="E2401"/>
    </row>
    <row r="2402" spans="1:5" x14ac:dyDescent="0.2">
      <c r="A2402"/>
      <c r="B2402"/>
      <c r="C2402"/>
      <c r="D2402"/>
      <c r="E2402"/>
    </row>
    <row r="2403" spans="1:5" x14ac:dyDescent="0.2">
      <c r="A2403"/>
      <c r="B2403"/>
      <c r="C2403"/>
      <c r="D2403"/>
      <c r="E2403"/>
    </row>
    <row r="2404" spans="1:5" x14ac:dyDescent="0.2">
      <c r="A2404"/>
      <c r="B2404"/>
      <c r="C2404"/>
      <c r="D2404"/>
      <c r="E2404"/>
    </row>
    <row r="2405" spans="1:5" x14ac:dyDescent="0.2">
      <c r="A2405"/>
      <c r="B2405"/>
      <c r="C2405"/>
      <c r="D2405"/>
      <c r="E2405"/>
    </row>
    <row r="2406" spans="1:5" x14ac:dyDescent="0.2">
      <c r="A2406"/>
      <c r="B2406"/>
      <c r="C2406"/>
      <c r="D2406"/>
      <c r="E2406"/>
    </row>
    <row r="2407" spans="1:5" x14ac:dyDescent="0.2">
      <c r="A2407"/>
      <c r="B2407"/>
      <c r="C2407"/>
      <c r="D2407"/>
      <c r="E2407"/>
    </row>
    <row r="2408" spans="1:5" x14ac:dyDescent="0.2">
      <c r="A2408"/>
      <c r="B2408"/>
      <c r="C2408"/>
      <c r="D2408"/>
      <c r="E2408"/>
    </row>
    <row r="2409" spans="1:5" x14ac:dyDescent="0.2">
      <c r="A2409"/>
      <c r="B2409"/>
      <c r="C2409"/>
      <c r="D2409"/>
      <c r="E2409"/>
    </row>
    <row r="2410" spans="1:5" x14ac:dyDescent="0.2">
      <c r="A2410"/>
      <c r="B2410"/>
      <c r="C2410"/>
      <c r="D2410"/>
      <c r="E2410"/>
    </row>
    <row r="2411" spans="1:5" x14ac:dyDescent="0.2">
      <c r="A2411"/>
      <c r="B2411"/>
      <c r="C2411"/>
      <c r="D2411"/>
      <c r="E2411"/>
    </row>
    <row r="2412" spans="1:5" x14ac:dyDescent="0.2">
      <c r="A2412"/>
      <c r="B2412"/>
      <c r="C2412"/>
      <c r="D2412"/>
      <c r="E2412"/>
    </row>
    <row r="2413" spans="1:5" x14ac:dyDescent="0.2">
      <c r="A2413"/>
      <c r="B2413"/>
      <c r="C2413"/>
      <c r="D2413"/>
      <c r="E2413"/>
    </row>
    <row r="2414" spans="1:5" x14ac:dyDescent="0.2">
      <c r="A2414"/>
      <c r="B2414"/>
      <c r="C2414"/>
      <c r="D2414"/>
      <c r="E2414"/>
    </row>
    <row r="2415" spans="1:5" x14ac:dyDescent="0.2">
      <c r="A2415"/>
      <c r="B2415"/>
      <c r="C2415"/>
      <c r="D2415"/>
      <c r="E2415"/>
    </row>
    <row r="2416" spans="1:5" x14ac:dyDescent="0.2">
      <c r="A2416"/>
      <c r="B2416"/>
      <c r="C2416"/>
      <c r="D2416"/>
      <c r="E2416"/>
    </row>
    <row r="2417" spans="1:5" x14ac:dyDescent="0.2">
      <c r="A2417"/>
      <c r="B2417"/>
      <c r="C2417"/>
      <c r="D2417"/>
      <c r="E2417"/>
    </row>
    <row r="2418" spans="1:5" x14ac:dyDescent="0.2">
      <c r="A2418"/>
      <c r="B2418"/>
      <c r="C2418"/>
      <c r="D2418"/>
      <c r="E2418"/>
    </row>
    <row r="2419" spans="1:5" x14ac:dyDescent="0.2">
      <c r="A2419"/>
      <c r="B2419"/>
      <c r="C2419"/>
      <c r="D2419"/>
      <c r="E2419"/>
    </row>
    <row r="2420" spans="1:5" x14ac:dyDescent="0.2">
      <c r="A2420"/>
      <c r="B2420"/>
      <c r="C2420"/>
      <c r="D2420"/>
      <c r="E2420"/>
    </row>
    <row r="2421" spans="1:5" x14ac:dyDescent="0.2">
      <c r="A2421"/>
      <c r="B2421"/>
      <c r="C2421"/>
      <c r="D2421"/>
      <c r="E2421"/>
    </row>
    <row r="2422" spans="1:5" x14ac:dyDescent="0.2">
      <c r="A2422"/>
      <c r="B2422"/>
      <c r="C2422"/>
      <c r="D2422"/>
      <c r="E2422"/>
    </row>
    <row r="2423" spans="1:5" x14ac:dyDescent="0.2">
      <c r="A2423"/>
      <c r="B2423"/>
      <c r="C2423"/>
      <c r="D2423"/>
      <c r="E2423"/>
    </row>
    <row r="2424" spans="1:5" x14ac:dyDescent="0.2">
      <c r="A2424"/>
      <c r="B2424"/>
      <c r="C2424"/>
      <c r="D2424"/>
      <c r="E2424"/>
    </row>
    <row r="2425" spans="1:5" x14ac:dyDescent="0.2">
      <c r="A2425"/>
      <c r="B2425"/>
      <c r="C2425"/>
      <c r="D2425"/>
      <c r="E2425"/>
    </row>
    <row r="2426" spans="1:5" x14ac:dyDescent="0.2">
      <c r="A2426"/>
      <c r="B2426"/>
      <c r="C2426"/>
      <c r="D2426"/>
      <c r="E2426"/>
    </row>
    <row r="2427" spans="1:5" x14ac:dyDescent="0.2">
      <c r="A2427"/>
      <c r="B2427"/>
      <c r="C2427"/>
      <c r="D2427"/>
      <c r="E2427"/>
    </row>
    <row r="2428" spans="1:5" x14ac:dyDescent="0.2">
      <c r="A2428"/>
      <c r="B2428"/>
      <c r="C2428"/>
      <c r="D2428"/>
      <c r="E2428"/>
    </row>
    <row r="2429" spans="1:5" x14ac:dyDescent="0.2">
      <c r="A2429"/>
      <c r="B2429"/>
      <c r="C2429"/>
      <c r="D2429"/>
      <c r="E2429"/>
    </row>
    <row r="2430" spans="1:5" x14ac:dyDescent="0.2">
      <c r="A2430"/>
      <c r="B2430"/>
      <c r="C2430"/>
      <c r="D2430"/>
      <c r="E2430"/>
    </row>
    <row r="2431" spans="1:5" x14ac:dyDescent="0.2">
      <c r="A2431"/>
      <c r="B2431"/>
      <c r="C2431"/>
      <c r="D2431"/>
      <c r="E2431"/>
    </row>
    <row r="2432" spans="1:5" x14ac:dyDescent="0.2">
      <c r="A2432"/>
      <c r="B2432"/>
      <c r="C2432"/>
      <c r="D2432"/>
      <c r="E2432"/>
    </row>
    <row r="2433" spans="1:5" x14ac:dyDescent="0.2">
      <c r="A2433"/>
      <c r="B2433"/>
      <c r="C2433"/>
      <c r="D2433"/>
      <c r="E2433"/>
    </row>
    <row r="2434" spans="1:5" x14ac:dyDescent="0.2">
      <c r="A2434"/>
      <c r="B2434"/>
      <c r="C2434"/>
      <c r="D2434"/>
      <c r="E2434"/>
    </row>
    <row r="2435" spans="1:5" x14ac:dyDescent="0.2">
      <c r="A2435"/>
      <c r="B2435"/>
      <c r="C2435"/>
      <c r="D2435"/>
      <c r="E2435"/>
    </row>
    <row r="2436" spans="1:5" x14ac:dyDescent="0.2">
      <c r="A2436"/>
      <c r="B2436"/>
      <c r="C2436"/>
      <c r="D2436"/>
      <c r="E2436"/>
    </row>
    <row r="2437" spans="1:5" x14ac:dyDescent="0.2">
      <c r="A2437"/>
      <c r="B2437"/>
      <c r="C2437"/>
      <c r="D2437"/>
      <c r="E2437"/>
    </row>
    <row r="2438" spans="1:5" x14ac:dyDescent="0.2">
      <c r="A2438"/>
      <c r="B2438"/>
      <c r="C2438"/>
      <c r="D2438"/>
      <c r="E2438"/>
    </row>
    <row r="2439" spans="1:5" x14ac:dyDescent="0.2">
      <c r="A2439"/>
      <c r="B2439"/>
      <c r="C2439"/>
      <c r="D2439"/>
      <c r="E2439"/>
    </row>
    <row r="2440" spans="1:5" x14ac:dyDescent="0.2">
      <c r="A2440"/>
      <c r="B2440"/>
      <c r="C2440"/>
      <c r="D2440"/>
      <c r="E2440"/>
    </row>
    <row r="2441" spans="1:5" x14ac:dyDescent="0.2">
      <c r="A2441"/>
      <c r="B2441"/>
      <c r="C2441"/>
      <c r="D2441"/>
      <c r="E2441"/>
    </row>
    <row r="2442" spans="1:5" x14ac:dyDescent="0.2">
      <c r="A2442"/>
      <c r="B2442"/>
      <c r="C2442"/>
      <c r="D2442"/>
      <c r="E2442"/>
    </row>
    <row r="2443" spans="1:5" x14ac:dyDescent="0.2">
      <c r="A2443"/>
      <c r="B2443"/>
      <c r="C2443"/>
      <c r="D2443"/>
      <c r="E2443"/>
    </row>
    <row r="2444" spans="1:5" x14ac:dyDescent="0.2">
      <c r="A2444"/>
      <c r="B2444"/>
      <c r="C2444"/>
      <c r="D2444"/>
      <c r="E2444"/>
    </row>
    <row r="2445" spans="1:5" x14ac:dyDescent="0.2">
      <c r="A2445"/>
      <c r="B2445"/>
      <c r="C2445"/>
      <c r="D2445"/>
      <c r="E2445"/>
    </row>
    <row r="2446" spans="1:5" x14ac:dyDescent="0.2">
      <c r="A2446"/>
      <c r="B2446"/>
      <c r="C2446"/>
      <c r="D2446"/>
      <c r="E2446"/>
    </row>
    <row r="2447" spans="1:5" x14ac:dyDescent="0.2">
      <c r="A2447"/>
      <c r="B2447"/>
      <c r="C2447"/>
      <c r="D2447"/>
      <c r="E2447"/>
    </row>
    <row r="2448" spans="1:5" x14ac:dyDescent="0.2">
      <c r="A2448"/>
      <c r="B2448"/>
      <c r="C2448"/>
      <c r="D2448"/>
      <c r="E2448"/>
    </row>
    <row r="2449" spans="1:5" x14ac:dyDescent="0.2">
      <c r="A2449"/>
      <c r="B2449"/>
      <c r="C2449"/>
      <c r="D2449"/>
      <c r="E2449"/>
    </row>
    <row r="2450" spans="1:5" x14ac:dyDescent="0.2">
      <c r="A2450"/>
      <c r="B2450"/>
      <c r="C2450"/>
      <c r="D2450"/>
      <c r="E2450"/>
    </row>
    <row r="2451" spans="1:5" x14ac:dyDescent="0.2">
      <c r="A2451"/>
      <c r="B2451"/>
      <c r="C2451"/>
      <c r="D2451"/>
      <c r="E2451"/>
    </row>
    <row r="2452" spans="1:5" x14ac:dyDescent="0.2">
      <c r="A2452"/>
      <c r="B2452"/>
      <c r="C2452"/>
      <c r="D2452"/>
      <c r="E2452"/>
    </row>
    <row r="2453" spans="1:5" x14ac:dyDescent="0.2">
      <c r="A2453"/>
      <c r="B2453"/>
      <c r="C2453"/>
      <c r="D2453"/>
      <c r="E2453"/>
    </row>
    <row r="2454" spans="1:5" x14ac:dyDescent="0.2">
      <c r="A2454"/>
      <c r="B2454"/>
      <c r="C2454"/>
      <c r="D2454"/>
      <c r="E2454"/>
    </row>
    <row r="2455" spans="1:5" x14ac:dyDescent="0.2">
      <c r="A2455"/>
      <c r="B2455"/>
      <c r="C2455"/>
      <c r="D2455"/>
      <c r="E2455"/>
    </row>
    <row r="2456" spans="1:5" x14ac:dyDescent="0.2">
      <c r="A2456"/>
      <c r="B2456"/>
      <c r="C2456"/>
      <c r="D2456"/>
      <c r="E2456"/>
    </row>
    <row r="2457" spans="1:5" x14ac:dyDescent="0.2">
      <c r="A2457"/>
      <c r="B2457"/>
      <c r="C2457"/>
      <c r="D2457"/>
      <c r="E2457"/>
    </row>
    <row r="2458" spans="1:5" x14ac:dyDescent="0.2">
      <c r="A2458"/>
      <c r="B2458"/>
      <c r="C2458"/>
      <c r="D2458"/>
      <c r="E2458"/>
    </row>
    <row r="2459" spans="1:5" x14ac:dyDescent="0.2">
      <c r="A2459"/>
      <c r="B2459"/>
      <c r="C2459"/>
      <c r="D2459"/>
      <c r="E2459"/>
    </row>
    <row r="2460" spans="1:5" x14ac:dyDescent="0.2">
      <c r="A2460"/>
      <c r="B2460"/>
      <c r="C2460"/>
      <c r="D2460"/>
      <c r="E2460"/>
    </row>
    <row r="2461" spans="1:5" x14ac:dyDescent="0.2">
      <c r="A2461"/>
      <c r="B2461"/>
      <c r="C2461"/>
      <c r="D2461"/>
      <c r="E2461"/>
    </row>
    <row r="2462" spans="1:5" x14ac:dyDescent="0.2">
      <c r="A2462"/>
      <c r="B2462"/>
      <c r="C2462"/>
      <c r="D2462"/>
      <c r="E2462"/>
    </row>
    <row r="2463" spans="1:5" x14ac:dyDescent="0.2">
      <c r="A2463"/>
      <c r="B2463"/>
      <c r="C2463"/>
      <c r="D2463"/>
      <c r="E2463"/>
    </row>
    <row r="2464" spans="1:5" x14ac:dyDescent="0.2">
      <c r="A2464"/>
      <c r="B2464"/>
      <c r="C2464"/>
      <c r="D2464"/>
      <c r="E2464"/>
    </row>
    <row r="2465" spans="1:5" x14ac:dyDescent="0.2">
      <c r="A2465"/>
      <c r="B2465"/>
      <c r="C2465"/>
      <c r="D2465"/>
      <c r="E2465"/>
    </row>
    <row r="2466" spans="1:5" x14ac:dyDescent="0.2">
      <c r="A2466"/>
      <c r="B2466"/>
      <c r="C2466"/>
      <c r="D2466"/>
      <c r="E2466"/>
    </row>
    <row r="2467" spans="1:5" x14ac:dyDescent="0.2">
      <c r="A2467"/>
      <c r="B2467"/>
      <c r="C2467"/>
      <c r="D2467"/>
      <c r="E2467"/>
    </row>
    <row r="2468" spans="1:5" x14ac:dyDescent="0.2">
      <c r="A2468"/>
      <c r="B2468"/>
      <c r="C2468"/>
      <c r="D2468"/>
      <c r="E2468"/>
    </row>
    <row r="2469" spans="1:5" x14ac:dyDescent="0.2">
      <c r="A2469"/>
      <c r="B2469"/>
      <c r="C2469"/>
      <c r="D2469"/>
      <c r="E2469"/>
    </row>
    <row r="2470" spans="1:5" x14ac:dyDescent="0.2">
      <c r="A2470"/>
      <c r="B2470"/>
      <c r="C2470"/>
      <c r="D2470"/>
      <c r="E2470"/>
    </row>
    <row r="2471" spans="1:5" x14ac:dyDescent="0.2">
      <c r="A2471"/>
      <c r="B2471"/>
      <c r="C2471"/>
      <c r="D2471"/>
      <c r="E2471"/>
    </row>
    <row r="2472" spans="1:5" x14ac:dyDescent="0.2">
      <c r="A2472"/>
      <c r="B2472"/>
      <c r="C2472"/>
      <c r="D2472"/>
      <c r="E2472"/>
    </row>
    <row r="2473" spans="1:5" x14ac:dyDescent="0.2">
      <c r="A2473"/>
      <c r="B2473"/>
      <c r="C2473"/>
      <c r="D2473"/>
      <c r="E2473"/>
    </row>
    <row r="2474" spans="1:5" x14ac:dyDescent="0.2">
      <c r="A2474"/>
      <c r="B2474"/>
      <c r="C2474"/>
      <c r="D2474"/>
      <c r="E2474"/>
    </row>
    <row r="2475" spans="1:5" x14ac:dyDescent="0.2">
      <c r="A2475"/>
      <c r="B2475"/>
      <c r="C2475"/>
      <c r="D2475"/>
      <c r="E2475"/>
    </row>
    <row r="2476" spans="1:5" x14ac:dyDescent="0.2">
      <c r="A2476"/>
      <c r="B2476"/>
      <c r="C2476"/>
      <c r="D2476"/>
      <c r="E2476"/>
    </row>
    <row r="2477" spans="1:5" x14ac:dyDescent="0.2">
      <c r="A2477"/>
      <c r="B2477"/>
      <c r="C2477"/>
      <c r="D2477"/>
      <c r="E2477"/>
    </row>
    <row r="2478" spans="1:5" x14ac:dyDescent="0.2">
      <c r="A2478"/>
      <c r="B2478"/>
      <c r="C2478"/>
      <c r="D2478"/>
      <c r="E2478"/>
    </row>
    <row r="2479" spans="1:5" x14ac:dyDescent="0.2">
      <c r="A2479"/>
      <c r="B2479"/>
      <c r="C2479"/>
      <c r="D2479"/>
      <c r="E2479"/>
    </row>
    <row r="2480" spans="1:5" x14ac:dyDescent="0.2">
      <c r="A2480"/>
      <c r="B2480"/>
      <c r="C2480"/>
      <c r="D2480"/>
      <c r="E2480"/>
    </row>
    <row r="2481" spans="1:5" x14ac:dyDescent="0.2">
      <c r="A2481"/>
      <c r="B2481"/>
      <c r="C2481"/>
      <c r="D2481"/>
      <c r="E2481"/>
    </row>
    <row r="2482" spans="1:5" x14ac:dyDescent="0.2">
      <c r="A2482"/>
      <c r="B2482"/>
      <c r="C2482"/>
      <c r="D2482"/>
      <c r="E2482"/>
    </row>
    <row r="2483" spans="1:5" x14ac:dyDescent="0.2">
      <c r="A2483"/>
      <c r="B2483"/>
      <c r="C2483"/>
      <c r="D2483"/>
      <c r="E2483"/>
    </row>
    <row r="2484" spans="1:5" x14ac:dyDescent="0.2">
      <c r="A2484"/>
      <c r="B2484"/>
      <c r="C2484"/>
      <c r="D2484"/>
      <c r="E2484"/>
    </row>
    <row r="2485" spans="1:5" x14ac:dyDescent="0.2">
      <c r="A2485"/>
      <c r="B2485"/>
      <c r="C2485"/>
      <c r="D2485"/>
      <c r="E2485"/>
    </row>
    <row r="2486" spans="1:5" x14ac:dyDescent="0.2">
      <c r="A2486"/>
      <c r="B2486"/>
      <c r="C2486"/>
      <c r="D2486"/>
      <c r="E2486"/>
    </row>
    <row r="2487" spans="1:5" x14ac:dyDescent="0.2">
      <c r="A2487"/>
      <c r="B2487"/>
      <c r="C2487"/>
      <c r="D2487"/>
      <c r="E2487"/>
    </row>
    <row r="2488" spans="1:5" x14ac:dyDescent="0.2">
      <c r="A2488"/>
      <c r="B2488"/>
      <c r="C2488"/>
      <c r="D2488"/>
      <c r="E2488"/>
    </row>
    <row r="2489" spans="1:5" x14ac:dyDescent="0.2">
      <c r="A2489"/>
      <c r="B2489"/>
      <c r="C2489"/>
      <c r="D2489"/>
      <c r="E2489"/>
    </row>
    <row r="2490" spans="1:5" x14ac:dyDescent="0.2">
      <c r="A2490"/>
      <c r="B2490"/>
      <c r="C2490"/>
      <c r="D2490"/>
      <c r="E2490"/>
    </row>
    <row r="2491" spans="1:5" x14ac:dyDescent="0.2">
      <c r="A2491"/>
      <c r="B2491"/>
      <c r="C2491"/>
      <c r="D2491"/>
      <c r="E2491"/>
    </row>
    <row r="2492" spans="1:5" x14ac:dyDescent="0.2">
      <c r="A2492"/>
      <c r="B2492"/>
      <c r="C2492"/>
      <c r="D2492"/>
      <c r="E2492"/>
    </row>
    <row r="2493" spans="1:5" x14ac:dyDescent="0.2">
      <c r="A2493"/>
      <c r="B2493"/>
      <c r="C2493"/>
      <c r="D2493"/>
      <c r="E2493"/>
    </row>
    <row r="2494" spans="1:5" x14ac:dyDescent="0.2">
      <c r="A2494"/>
      <c r="B2494"/>
      <c r="C2494"/>
      <c r="D2494"/>
      <c r="E2494"/>
    </row>
    <row r="2495" spans="1:5" x14ac:dyDescent="0.2">
      <c r="A2495"/>
      <c r="B2495"/>
      <c r="C2495"/>
      <c r="D2495"/>
      <c r="E2495"/>
    </row>
    <row r="2496" spans="1:5" x14ac:dyDescent="0.2">
      <c r="A2496"/>
      <c r="B2496"/>
      <c r="C2496"/>
      <c r="D2496"/>
      <c r="E2496"/>
    </row>
    <row r="2497" spans="1:5" x14ac:dyDescent="0.2">
      <c r="A2497"/>
      <c r="B2497"/>
      <c r="C2497"/>
      <c r="D2497"/>
      <c r="E2497"/>
    </row>
    <row r="2498" spans="1:5" x14ac:dyDescent="0.2">
      <c r="A2498"/>
      <c r="B2498"/>
      <c r="C2498"/>
      <c r="D2498"/>
      <c r="E2498"/>
    </row>
    <row r="2499" spans="1:5" x14ac:dyDescent="0.2">
      <c r="A2499"/>
      <c r="B2499"/>
      <c r="C2499"/>
      <c r="D2499"/>
      <c r="E2499"/>
    </row>
    <row r="2500" spans="1:5" x14ac:dyDescent="0.2">
      <c r="A2500"/>
      <c r="B2500"/>
      <c r="C2500"/>
      <c r="D2500"/>
      <c r="E2500"/>
    </row>
    <row r="2501" spans="1:5" x14ac:dyDescent="0.2">
      <c r="A2501"/>
      <c r="B2501"/>
      <c r="C2501"/>
      <c r="D2501"/>
      <c r="E2501"/>
    </row>
    <row r="2502" spans="1:5" x14ac:dyDescent="0.2">
      <c r="A2502"/>
      <c r="B2502"/>
      <c r="C2502"/>
      <c r="D2502"/>
      <c r="E2502"/>
    </row>
    <row r="2503" spans="1:5" x14ac:dyDescent="0.2">
      <c r="A2503"/>
      <c r="B2503"/>
      <c r="C2503"/>
      <c r="D2503"/>
      <c r="E2503"/>
    </row>
    <row r="2504" spans="1:5" x14ac:dyDescent="0.2">
      <c r="A2504"/>
      <c r="B2504"/>
      <c r="C2504"/>
      <c r="D2504"/>
      <c r="E2504"/>
    </row>
    <row r="2505" spans="1:5" x14ac:dyDescent="0.2">
      <c r="A2505"/>
      <c r="B2505"/>
      <c r="C2505"/>
      <c r="D2505"/>
      <c r="E2505"/>
    </row>
    <row r="2506" spans="1:5" x14ac:dyDescent="0.2">
      <c r="A2506"/>
      <c r="B2506"/>
      <c r="C2506"/>
      <c r="D2506"/>
      <c r="E2506"/>
    </row>
    <row r="2507" spans="1:5" x14ac:dyDescent="0.2">
      <c r="A2507"/>
      <c r="B2507"/>
      <c r="C2507"/>
      <c r="D2507"/>
      <c r="E2507"/>
    </row>
    <row r="2508" spans="1:5" x14ac:dyDescent="0.2">
      <c r="A2508"/>
      <c r="B2508"/>
      <c r="C2508"/>
      <c r="D2508"/>
      <c r="E2508"/>
    </row>
    <row r="2509" spans="1:5" x14ac:dyDescent="0.2">
      <c r="A2509"/>
      <c r="B2509"/>
      <c r="C2509"/>
      <c r="D2509"/>
      <c r="E2509"/>
    </row>
    <row r="2510" spans="1:5" x14ac:dyDescent="0.2">
      <c r="A2510"/>
      <c r="B2510"/>
      <c r="C2510"/>
      <c r="D2510"/>
      <c r="E2510"/>
    </row>
    <row r="2511" spans="1:5" x14ac:dyDescent="0.2">
      <c r="A2511"/>
      <c r="B2511"/>
      <c r="C2511"/>
      <c r="D2511"/>
      <c r="E2511"/>
    </row>
    <row r="2512" spans="1:5" x14ac:dyDescent="0.2">
      <c r="A2512"/>
      <c r="B2512"/>
      <c r="C2512"/>
      <c r="D2512"/>
      <c r="E2512"/>
    </row>
    <row r="2513" spans="1:5" x14ac:dyDescent="0.2">
      <c r="A2513"/>
      <c r="B2513"/>
      <c r="C2513"/>
      <c r="D2513"/>
      <c r="E2513"/>
    </row>
    <row r="2514" spans="1:5" x14ac:dyDescent="0.2">
      <c r="A2514"/>
      <c r="B2514"/>
      <c r="C2514"/>
      <c r="D2514"/>
      <c r="E2514"/>
    </row>
    <row r="2515" spans="1:5" x14ac:dyDescent="0.2">
      <c r="A2515"/>
      <c r="B2515"/>
      <c r="C2515"/>
      <c r="D2515"/>
      <c r="E2515"/>
    </row>
    <row r="2516" spans="1:5" x14ac:dyDescent="0.2">
      <c r="A2516"/>
      <c r="B2516"/>
      <c r="C2516"/>
      <c r="D2516"/>
      <c r="E2516"/>
    </row>
    <row r="2517" spans="1:5" x14ac:dyDescent="0.2">
      <c r="A2517"/>
      <c r="B2517"/>
      <c r="C2517"/>
      <c r="D2517"/>
      <c r="E2517"/>
    </row>
    <row r="2518" spans="1:5" x14ac:dyDescent="0.2">
      <c r="A2518"/>
      <c r="B2518"/>
      <c r="C2518"/>
      <c r="D2518"/>
      <c r="E2518"/>
    </row>
    <row r="2519" spans="1:5" x14ac:dyDescent="0.2">
      <c r="A2519"/>
      <c r="B2519"/>
      <c r="C2519"/>
      <c r="D2519"/>
      <c r="E2519"/>
    </row>
    <row r="2520" spans="1:5" x14ac:dyDescent="0.2">
      <c r="A2520"/>
      <c r="B2520"/>
      <c r="C2520"/>
      <c r="D2520"/>
      <c r="E2520"/>
    </row>
    <row r="2521" spans="1:5" x14ac:dyDescent="0.2">
      <c r="A2521"/>
      <c r="B2521"/>
      <c r="C2521"/>
      <c r="D2521"/>
      <c r="E2521"/>
    </row>
    <row r="2522" spans="1:5" x14ac:dyDescent="0.2">
      <c r="A2522"/>
      <c r="B2522"/>
      <c r="C2522"/>
      <c r="D2522"/>
      <c r="E2522"/>
    </row>
    <row r="2523" spans="1:5" x14ac:dyDescent="0.2">
      <c r="A2523"/>
      <c r="B2523"/>
      <c r="C2523"/>
      <c r="D2523"/>
      <c r="E2523"/>
    </row>
    <row r="2524" spans="1:5" x14ac:dyDescent="0.2">
      <c r="A2524"/>
      <c r="B2524"/>
      <c r="C2524"/>
      <c r="D2524"/>
      <c r="E2524"/>
    </row>
    <row r="2525" spans="1:5" x14ac:dyDescent="0.2">
      <c r="A2525"/>
      <c r="B2525"/>
      <c r="C2525"/>
      <c r="D2525"/>
      <c r="E2525"/>
    </row>
    <row r="2526" spans="1:5" x14ac:dyDescent="0.2">
      <c r="A2526"/>
      <c r="B2526"/>
      <c r="C2526"/>
      <c r="D2526"/>
      <c r="E2526"/>
    </row>
    <row r="2527" spans="1:5" x14ac:dyDescent="0.2">
      <c r="A2527"/>
      <c r="B2527"/>
      <c r="C2527"/>
      <c r="D2527"/>
      <c r="E2527"/>
    </row>
    <row r="2528" spans="1:5" x14ac:dyDescent="0.2">
      <c r="A2528"/>
      <c r="B2528"/>
      <c r="C2528"/>
      <c r="D2528"/>
      <c r="E2528"/>
    </row>
    <row r="2529" spans="1:5" x14ac:dyDescent="0.2">
      <c r="A2529"/>
      <c r="B2529"/>
      <c r="C2529"/>
      <c r="D2529"/>
      <c r="E2529"/>
    </row>
    <row r="2530" spans="1:5" x14ac:dyDescent="0.2">
      <c r="A2530"/>
      <c r="B2530"/>
      <c r="C2530"/>
      <c r="D2530"/>
      <c r="E2530"/>
    </row>
    <row r="2531" spans="1:5" x14ac:dyDescent="0.2">
      <c r="A2531"/>
      <c r="B2531"/>
      <c r="C2531"/>
      <c r="D2531"/>
      <c r="E2531"/>
    </row>
    <row r="2532" spans="1:5" x14ac:dyDescent="0.2">
      <c r="A2532"/>
      <c r="B2532"/>
      <c r="C2532"/>
      <c r="D2532"/>
      <c r="E2532"/>
    </row>
    <row r="2533" spans="1:5" x14ac:dyDescent="0.2">
      <c r="A2533"/>
      <c r="B2533"/>
      <c r="C2533"/>
      <c r="D2533"/>
      <c r="E2533"/>
    </row>
    <row r="2534" spans="1:5" x14ac:dyDescent="0.2">
      <c r="A2534"/>
      <c r="B2534"/>
      <c r="C2534"/>
      <c r="D2534"/>
      <c r="E2534"/>
    </row>
    <row r="2535" spans="1:5" x14ac:dyDescent="0.2">
      <c r="A2535"/>
      <c r="B2535"/>
      <c r="C2535"/>
      <c r="D2535"/>
      <c r="E2535"/>
    </row>
    <row r="2536" spans="1:5" x14ac:dyDescent="0.2">
      <c r="A2536"/>
      <c r="B2536"/>
      <c r="C2536"/>
      <c r="D2536"/>
      <c r="E2536"/>
    </row>
    <row r="2537" spans="1:5" x14ac:dyDescent="0.2">
      <c r="A2537"/>
      <c r="B2537"/>
      <c r="C2537"/>
      <c r="D2537"/>
      <c r="E2537"/>
    </row>
    <row r="2538" spans="1:5" x14ac:dyDescent="0.2">
      <c r="A2538"/>
      <c r="B2538"/>
      <c r="C2538"/>
      <c r="D2538"/>
      <c r="E2538"/>
    </row>
    <row r="2539" spans="1:5" x14ac:dyDescent="0.2">
      <c r="A2539"/>
      <c r="B2539"/>
      <c r="C2539"/>
      <c r="D2539"/>
      <c r="E2539"/>
    </row>
    <row r="2540" spans="1:5" x14ac:dyDescent="0.2">
      <c r="A2540"/>
      <c r="B2540"/>
      <c r="C2540"/>
      <c r="D2540"/>
      <c r="E2540"/>
    </row>
    <row r="2541" spans="1:5" x14ac:dyDescent="0.2">
      <c r="A2541"/>
      <c r="B2541"/>
      <c r="C2541"/>
      <c r="D2541"/>
      <c r="E2541"/>
    </row>
    <row r="2542" spans="1:5" x14ac:dyDescent="0.2">
      <c r="A2542"/>
      <c r="B2542"/>
      <c r="C2542"/>
      <c r="D2542"/>
      <c r="E2542"/>
    </row>
    <row r="2543" spans="1:5" x14ac:dyDescent="0.2">
      <c r="A2543"/>
      <c r="B2543"/>
      <c r="C2543"/>
      <c r="D2543"/>
      <c r="E2543"/>
    </row>
    <row r="2544" spans="1:5" x14ac:dyDescent="0.2">
      <c r="A2544"/>
      <c r="B2544"/>
      <c r="C2544"/>
      <c r="D2544"/>
      <c r="E2544"/>
    </row>
    <row r="2545" spans="1:5" x14ac:dyDescent="0.2">
      <c r="A2545"/>
      <c r="B2545"/>
      <c r="C2545"/>
      <c r="D2545"/>
      <c r="E2545"/>
    </row>
    <row r="2546" spans="1:5" x14ac:dyDescent="0.2">
      <c r="A2546"/>
      <c r="B2546"/>
      <c r="C2546"/>
      <c r="D2546"/>
      <c r="E2546"/>
    </row>
    <row r="2547" spans="1:5" x14ac:dyDescent="0.2">
      <c r="A2547"/>
      <c r="B2547"/>
      <c r="C2547"/>
      <c r="D2547"/>
      <c r="E2547"/>
    </row>
    <row r="2548" spans="1:5" x14ac:dyDescent="0.2">
      <c r="A2548"/>
      <c r="B2548"/>
      <c r="C2548"/>
      <c r="D2548"/>
      <c r="E2548"/>
    </row>
    <row r="2549" spans="1:5" x14ac:dyDescent="0.2">
      <c r="A2549"/>
      <c r="B2549"/>
      <c r="C2549"/>
      <c r="D2549"/>
      <c r="E2549"/>
    </row>
    <row r="2550" spans="1:5" x14ac:dyDescent="0.2">
      <c r="A2550"/>
      <c r="B2550"/>
      <c r="C2550"/>
      <c r="D2550"/>
      <c r="E2550"/>
    </row>
    <row r="2551" spans="1:5" x14ac:dyDescent="0.2">
      <c r="A2551"/>
      <c r="B2551"/>
      <c r="C2551"/>
      <c r="D2551"/>
      <c r="E2551"/>
    </row>
    <row r="2552" spans="1:5" x14ac:dyDescent="0.2">
      <c r="A2552"/>
      <c r="B2552"/>
      <c r="C2552"/>
      <c r="D2552"/>
      <c r="E2552"/>
    </row>
    <row r="2553" spans="1:5" x14ac:dyDescent="0.2">
      <c r="A2553"/>
      <c r="B2553"/>
      <c r="C2553"/>
      <c r="D2553"/>
      <c r="E2553"/>
    </row>
    <row r="2554" spans="1:5" x14ac:dyDescent="0.2">
      <c r="A2554"/>
      <c r="B2554"/>
      <c r="C2554"/>
      <c r="D2554"/>
      <c r="E2554"/>
    </row>
    <row r="2555" spans="1:5" x14ac:dyDescent="0.2">
      <c r="A2555"/>
      <c r="B2555"/>
      <c r="C2555"/>
      <c r="D2555"/>
      <c r="E2555"/>
    </row>
    <row r="2556" spans="1:5" x14ac:dyDescent="0.2">
      <c r="A2556"/>
      <c r="B2556"/>
      <c r="C2556"/>
      <c r="D2556"/>
      <c r="E2556"/>
    </row>
    <row r="2557" spans="1:5" x14ac:dyDescent="0.2">
      <c r="A2557"/>
      <c r="B2557"/>
      <c r="C2557"/>
      <c r="D2557"/>
      <c r="E2557"/>
    </row>
    <row r="2558" spans="1:5" x14ac:dyDescent="0.2">
      <c r="A2558"/>
      <c r="B2558"/>
      <c r="C2558"/>
      <c r="D2558"/>
      <c r="E2558"/>
    </row>
    <row r="2559" spans="1:5" x14ac:dyDescent="0.2">
      <c r="A2559"/>
      <c r="B2559"/>
      <c r="C2559"/>
      <c r="D2559"/>
      <c r="E2559"/>
    </row>
    <row r="2560" spans="1:5" x14ac:dyDescent="0.2">
      <c r="A2560"/>
      <c r="B2560"/>
      <c r="C2560"/>
      <c r="D2560"/>
      <c r="E2560"/>
    </row>
    <row r="2561" spans="1:5" x14ac:dyDescent="0.2">
      <c r="A2561"/>
      <c r="B2561"/>
      <c r="C2561"/>
      <c r="D2561"/>
      <c r="E2561"/>
    </row>
    <row r="2562" spans="1:5" x14ac:dyDescent="0.2">
      <c r="A2562"/>
      <c r="B2562"/>
      <c r="C2562"/>
      <c r="D2562"/>
      <c r="E2562"/>
    </row>
    <row r="2563" spans="1:5" x14ac:dyDescent="0.2">
      <c r="A2563"/>
      <c r="B2563"/>
      <c r="C2563"/>
      <c r="D2563"/>
      <c r="E2563"/>
    </row>
    <row r="2564" spans="1:5" x14ac:dyDescent="0.2">
      <c r="A2564"/>
      <c r="B2564"/>
      <c r="C2564"/>
      <c r="D2564"/>
      <c r="E2564"/>
    </row>
    <row r="2565" spans="1:5" x14ac:dyDescent="0.2">
      <c r="A2565"/>
      <c r="B2565"/>
      <c r="C2565"/>
      <c r="D2565"/>
      <c r="E2565"/>
    </row>
    <row r="2566" spans="1:5" x14ac:dyDescent="0.2">
      <c r="A2566"/>
      <c r="B2566"/>
      <c r="C2566"/>
      <c r="D2566"/>
      <c r="E2566"/>
    </row>
    <row r="2567" spans="1:5" x14ac:dyDescent="0.2">
      <c r="A2567"/>
      <c r="B2567"/>
      <c r="C2567"/>
      <c r="D2567"/>
      <c r="E2567"/>
    </row>
    <row r="2568" spans="1:5" x14ac:dyDescent="0.2">
      <c r="A2568"/>
      <c r="B2568"/>
      <c r="C2568"/>
      <c r="D2568"/>
      <c r="E2568"/>
    </row>
    <row r="2569" spans="1:5" x14ac:dyDescent="0.2">
      <c r="A2569"/>
      <c r="B2569"/>
      <c r="C2569"/>
      <c r="D2569"/>
      <c r="E2569"/>
    </row>
    <row r="2570" spans="1:5" x14ac:dyDescent="0.2">
      <c r="A2570"/>
      <c r="B2570"/>
      <c r="C2570"/>
      <c r="D2570"/>
      <c r="E2570"/>
    </row>
    <row r="2571" spans="1:5" x14ac:dyDescent="0.2">
      <c r="A2571"/>
      <c r="B2571"/>
      <c r="C2571"/>
      <c r="D2571"/>
      <c r="E2571"/>
    </row>
    <row r="2572" spans="1:5" x14ac:dyDescent="0.2">
      <c r="A2572"/>
      <c r="B2572"/>
      <c r="C2572"/>
      <c r="D2572"/>
      <c r="E2572"/>
    </row>
    <row r="2573" spans="1:5" x14ac:dyDescent="0.2">
      <c r="A2573"/>
      <c r="B2573"/>
      <c r="C2573"/>
      <c r="D2573"/>
      <c r="E2573"/>
    </row>
    <row r="2574" spans="1:5" x14ac:dyDescent="0.2">
      <c r="A2574"/>
      <c r="B2574"/>
      <c r="C2574"/>
      <c r="D2574"/>
      <c r="E2574"/>
    </row>
    <row r="2575" spans="1:5" x14ac:dyDescent="0.2">
      <c r="A2575"/>
      <c r="B2575"/>
      <c r="C2575"/>
      <c r="D2575"/>
      <c r="E2575"/>
    </row>
    <row r="2576" spans="1:5" x14ac:dyDescent="0.2">
      <c r="A2576"/>
      <c r="B2576"/>
      <c r="C2576"/>
      <c r="D2576"/>
      <c r="E2576"/>
    </row>
    <row r="2577" spans="1:5" x14ac:dyDescent="0.2">
      <c r="A2577"/>
      <c r="B2577"/>
      <c r="C2577"/>
      <c r="D2577"/>
      <c r="E2577"/>
    </row>
    <row r="2578" spans="1:5" x14ac:dyDescent="0.2">
      <c r="A2578"/>
      <c r="B2578"/>
      <c r="C2578"/>
      <c r="D2578"/>
      <c r="E2578"/>
    </row>
    <row r="2579" spans="1:5" x14ac:dyDescent="0.2">
      <c r="A2579"/>
      <c r="B2579"/>
      <c r="C2579"/>
      <c r="D2579"/>
      <c r="E2579"/>
    </row>
    <row r="2580" spans="1:5" x14ac:dyDescent="0.2">
      <c r="A2580"/>
      <c r="B2580"/>
      <c r="C2580"/>
      <c r="D2580"/>
      <c r="E2580"/>
    </row>
    <row r="2581" spans="1:5" x14ac:dyDescent="0.2">
      <c r="A2581"/>
      <c r="B2581"/>
      <c r="C2581"/>
      <c r="D2581"/>
      <c r="E2581"/>
    </row>
    <row r="2582" spans="1:5" x14ac:dyDescent="0.2">
      <c r="A2582"/>
      <c r="B2582"/>
      <c r="C2582"/>
      <c r="D2582"/>
      <c r="E2582"/>
    </row>
    <row r="2583" spans="1:5" x14ac:dyDescent="0.2">
      <c r="A2583"/>
      <c r="B2583"/>
      <c r="C2583"/>
      <c r="D2583"/>
      <c r="E2583"/>
    </row>
    <row r="2584" spans="1:5" x14ac:dyDescent="0.2">
      <c r="A2584"/>
      <c r="B2584"/>
      <c r="C2584"/>
      <c r="D2584"/>
      <c r="E2584"/>
    </row>
    <row r="2585" spans="1:5" x14ac:dyDescent="0.2">
      <c r="A2585"/>
      <c r="B2585"/>
      <c r="C2585"/>
      <c r="D2585"/>
      <c r="E2585"/>
    </row>
    <row r="2586" spans="1:5" x14ac:dyDescent="0.2">
      <c r="A2586"/>
      <c r="B2586"/>
      <c r="C2586"/>
      <c r="D2586"/>
      <c r="E2586"/>
    </row>
    <row r="2587" spans="1:5" x14ac:dyDescent="0.2">
      <c r="A2587"/>
      <c r="B2587"/>
      <c r="C2587"/>
      <c r="D2587"/>
      <c r="E2587"/>
    </row>
    <row r="2588" spans="1:5" x14ac:dyDescent="0.2">
      <c r="A2588"/>
      <c r="B2588"/>
      <c r="C2588"/>
      <c r="D2588"/>
      <c r="E2588"/>
    </row>
    <row r="2589" spans="1:5" x14ac:dyDescent="0.2">
      <c r="A2589"/>
      <c r="B2589"/>
      <c r="C2589"/>
      <c r="D2589"/>
      <c r="E2589"/>
    </row>
    <row r="2590" spans="1:5" x14ac:dyDescent="0.2">
      <c r="A2590"/>
      <c r="B2590"/>
      <c r="C2590"/>
      <c r="D2590"/>
      <c r="E2590"/>
    </row>
    <row r="2591" spans="1:5" x14ac:dyDescent="0.2">
      <c r="A2591"/>
      <c r="B2591"/>
      <c r="C2591"/>
      <c r="D2591"/>
      <c r="E2591"/>
    </row>
    <row r="2592" spans="1:5" x14ac:dyDescent="0.2">
      <c r="A2592"/>
      <c r="B2592"/>
      <c r="C2592"/>
      <c r="D2592"/>
      <c r="E2592"/>
    </row>
    <row r="2593" spans="1:5" x14ac:dyDescent="0.2">
      <c r="A2593"/>
      <c r="B2593"/>
      <c r="C2593"/>
      <c r="D2593"/>
      <c r="E2593"/>
    </row>
    <row r="2594" spans="1:5" x14ac:dyDescent="0.2">
      <c r="A2594"/>
      <c r="B2594"/>
      <c r="C2594"/>
      <c r="D2594"/>
      <c r="E2594"/>
    </row>
    <row r="2595" spans="1:5" x14ac:dyDescent="0.2">
      <c r="A2595"/>
      <c r="B2595"/>
      <c r="C2595"/>
      <c r="D2595"/>
      <c r="E2595"/>
    </row>
    <row r="2596" spans="1:5" x14ac:dyDescent="0.2">
      <c r="A2596"/>
      <c r="B2596"/>
      <c r="C2596"/>
      <c r="D2596"/>
      <c r="E2596"/>
    </row>
    <row r="2597" spans="1:5" x14ac:dyDescent="0.2">
      <c r="A2597"/>
      <c r="B2597"/>
      <c r="C2597"/>
      <c r="D2597"/>
      <c r="E2597"/>
    </row>
    <row r="2598" spans="1:5" x14ac:dyDescent="0.2">
      <c r="A2598"/>
      <c r="B2598"/>
      <c r="C2598"/>
      <c r="D2598"/>
      <c r="E2598"/>
    </row>
    <row r="2599" spans="1:5" x14ac:dyDescent="0.2">
      <c r="A2599"/>
      <c r="B2599"/>
      <c r="C2599"/>
      <c r="D2599"/>
      <c r="E2599"/>
    </row>
    <row r="2600" spans="1:5" x14ac:dyDescent="0.2">
      <c r="A2600"/>
      <c r="B2600"/>
      <c r="C2600"/>
      <c r="D2600"/>
      <c r="E2600"/>
    </row>
    <row r="2601" spans="1:5" x14ac:dyDescent="0.2">
      <c r="A2601"/>
      <c r="B2601"/>
      <c r="C2601"/>
      <c r="D2601"/>
      <c r="E2601"/>
    </row>
    <row r="2602" spans="1:5" x14ac:dyDescent="0.2">
      <c r="A2602"/>
      <c r="B2602"/>
      <c r="C2602"/>
      <c r="D2602"/>
      <c r="E2602"/>
    </row>
    <row r="2603" spans="1:5" x14ac:dyDescent="0.2">
      <c r="A2603"/>
      <c r="B2603"/>
      <c r="C2603"/>
      <c r="D2603"/>
      <c r="E2603"/>
    </row>
    <row r="2604" spans="1:5" x14ac:dyDescent="0.2">
      <c r="A2604"/>
      <c r="B2604"/>
      <c r="C2604"/>
      <c r="D2604"/>
      <c r="E2604"/>
    </row>
    <row r="2605" spans="1:5" x14ac:dyDescent="0.2">
      <c r="A2605"/>
      <c r="B2605"/>
      <c r="C2605"/>
      <c r="D2605"/>
      <c r="E2605"/>
    </row>
    <row r="2606" spans="1:5" x14ac:dyDescent="0.2">
      <c r="A2606"/>
      <c r="B2606"/>
      <c r="C2606"/>
      <c r="D2606"/>
      <c r="E2606"/>
    </row>
    <row r="2607" spans="1:5" x14ac:dyDescent="0.2">
      <c r="A2607"/>
      <c r="B2607"/>
      <c r="C2607"/>
      <c r="D2607"/>
      <c r="E2607"/>
    </row>
    <row r="2608" spans="1:5" x14ac:dyDescent="0.2">
      <c r="A2608"/>
      <c r="B2608"/>
      <c r="C2608"/>
      <c r="D2608"/>
      <c r="E2608"/>
    </row>
    <row r="2609" spans="1:5" x14ac:dyDescent="0.2">
      <c r="A2609"/>
      <c r="B2609"/>
      <c r="C2609"/>
      <c r="D2609"/>
      <c r="E2609"/>
    </row>
    <row r="2610" spans="1:5" x14ac:dyDescent="0.2">
      <c r="A2610"/>
      <c r="B2610"/>
      <c r="C2610"/>
      <c r="D2610"/>
      <c r="E2610"/>
    </row>
    <row r="2611" spans="1:5" x14ac:dyDescent="0.2">
      <c r="A2611"/>
      <c r="B2611"/>
      <c r="C2611"/>
      <c r="D2611"/>
      <c r="E2611"/>
    </row>
    <row r="2612" spans="1:5" x14ac:dyDescent="0.2">
      <c r="A2612"/>
      <c r="B2612"/>
      <c r="C2612"/>
      <c r="D2612"/>
      <c r="E2612"/>
    </row>
    <row r="2613" spans="1:5" x14ac:dyDescent="0.2">
      <c r="A2613"/>
      <c r="B2613"/>
      <c r="C2613"/>
      <c r="D2613"/>
      <c r="E2613"/>
    </row>
    <row r="2614" spans="1:5" x14ac:dyDescent="0.2">
      <c r="A2614"/>
      <c r="B2614"/>
      <c r="C2614"/>
      <c r="D2614"/>
      <c r="E2614"/>
    </row>
    <row r="2615" spans="1:5" x14ac:dyDescent="0.2">
      <c r="A2615"/>
      <c r="B2615"/>
      <c r="C2615"/>
      <c r="D2615"/>
      <c r="E2615"/>
    </row>
    <row r="2616" spans="1:5" x14ac:dyDescent="0.2">
      <c r="A2616"/>
      <c r="B2616"/>
      <c r="C2616"/>
      <c r="D2616"/>
      <c r="E2616"/>
    </row>
    <row r="2617" spans="1:5" x14ac:dyDescent="0.2">
      <c r="A2617"/>
      <c r="B2617"/>
      <c r="C2617"/>
      <c r="D2617"/>
      <c r="E2617"/>
    </row>
    <row r="2618" spans="1:5" x14ac:dyDescent="0.2">
      <c r="A2618"/>
      <c r="B2618"/>
      <c r="C2618"/>
      <c r="D2618"/>
      <c r="E2618"/>
    </row>
    <row r="2619" spans="1:5" x14ac:dyDescent="0.2">
      <c r="A2619"/>
      <c r="B2619"/>
      <c r="C2619"/>
      <c r="D2619"/>
      <c r="E2619"/>
    </row>
    <row r="2620" spans="1:5" x14ac:dyDescent="0.2">
      <c r="A2620"/>
      <c r="B2620"/>
      <c r="C2620"/>
      <c r="D2620"/>
      <c r="E2620"/>
    </row>
    <row r="2621" spans="1:5" x14ac:dyDescent="0.2">
      <c r="A2621"/>
      <c r="B2621"/>
      <c r="C2621"/>
      <c r="D2621"/>
      <c r="E2621"/>
    </row>
    <row r="2622" spans="1:5" x14ac:dyDescent="0.2">
      <c r="A2622"/>
      <c r="B2622"/>
      <c r="C2622"/>
      <c r="D2622"/>
      <c r="E2622"/>
    </row>
    <row r="2623" spans="1:5" x14ac:dyDescent="0.2">
      <c r="A2623"/>
      <c r="B2623"/>
      <c r="C2623"/>
      <c r="D2623"/>
      <c r="E2623"/>
    </row>
    <row r="2624" spans="1:5" x14ac:dyDescent="0.2">
      <c r="A2624"/>
      <c r="B2624"/>
      <c r="C2624"/>
      <c r="D2624"/>
      <c r="E2624"/>
    </row>
    <row r="2625" spans="1:5" x14ac:dyDescent="0.2">
      <c r="A2625"/>
      <c r="B2625"/>
      <c r="C2625"/>
      <c r="D2625"/>
      <c r="E2625"/>
    </row>
    <row r="2626" spans="1:5" x14ac:dyDescent="0.2">
      <c r="A2626"/>
      <c r="B2626"/>
      <c r="C2626"/>
      <c r="D2626"/>
      <c r="E2626"/>
    </row>
    <row r="2627" spans="1:5" x14ac:dyDescent="0.2">
      <c r="A2627"/>
      <c r="B2627"/>
      <c r="C2627"/>
      <c r="D2627"/>
      <c r="E2627"/>
    </row>
    <row r="2628" spans="1:5" x14ac:dyDescent="0.2">
      <c r="A2628"/>
      <c r="B2628"/>
      <c r="C2628"/>
      <c r="D2628"/>
      <c r="E2628"/>
    </row>
    <row r="2629" spans="1:5" x14ac:dyDescent="0.2">
      <c r="A2629"/>
      <c r="B2629"/>
      <c r="C2629"/>
      <c r="D2629"/>
      <c r="E2629"/>
    </row>
    <row r="2630" spans="1:5" x14ac:dyDescent="0.2">
      <c r="A2630"/>
      <c r="B2630"/>
      <c r="C2630"/>
      <c r="D2630"/>
      <c r="E2630"/>
    </row>
    <row r="2631" spans="1:5" x14ac:dyDescent="0.2">
      <c r="A2631"/>
      <c r="B2631"/>
      <c r="C2631"/>
      <c r="D2631"/>
      <c r="E2631"/>
    </row>
    <row r="2632" spans="1:5" x14ac:dyDescent="0.2">
      <c r="A2632"/>
      <c r="B2632"/>
      <c r="C2632"/>
      <c r="D2632"/>
      <c r="E2632"/>
    </row>
    <row r="2633" spans="1:5" x14ac:dyDescent="0.2">
      <c r="A2633"/>
      <c r="B2633"/>
      <c r="C2633"/>
      <c r="D2633"/>
      <c r="E2633"/>
    </row>
    <row r="2634" spans="1:5" x14ac:dyDescent="0.2">
      <c r="A2634"/>
      <c r="B2634"/>
      <c r="C2634"/>
      <c r="D2634"/>
      <c r="E2634"/>
    </row>
    <row r="2635" spans="1:5" x14ac:dyDescent="0.2">
      <c r="A2635"/>
      <c r="B2635"/>
      <c r="C2635"/>
      <c r="D2635"/>
      <c r="E2635"/>
    </row>
    <row r="2636" spans="1:5" x14ac:dyDescent="0.2">
      <c r="A2636"/>
      <c r="B2636"/>
      <c r="C2636"/>
      <c r="D2636"/>
      <c r="E2636"/>
    </row>
    <row r="2637" spans="1:5" x14ac:dyDescent="0.2">
      <c r="A2637"/>
      <c r="B2637"/>
      <c r="C2637"/>
      <c r="D2637"/>
      <c r="E2637"/>
    </row>
    <row r="2638" spans="1:5" x14ac:dyDescent="0.2">
      <c r="A2638"/>
      <c r="B2638"/>
      <c r="C2638"/>
      <c r="D2638"/>
      <c r="E2638"/>
    </row>
    <row r="2639" spans="1:5" x14ac:dyDescent="0.2">
      <c r="A2639"/>
      <c r="B2639"/>
      <c r="C2639"/>
      <c r="D2639"/>
      <c r="E2639"/>
    </row>
    <row r="2640" spans="1:5" x14ac:dyDescent="0.2">
      <c r="A2640"/>
      <c r="B2640"/>
      <c r="C2640"/>
      <c r="D2640"/>
      <c r="E2640"/>
    </row>
    <row r="2641" spans="1:5" x14ac:dyDescent="0.2">
      <c r="A2641"/>
      <c r="B2641"/>
      <c r="C2641"/>
      <c r="D2641"/>
      <c r="E2641"/>
    </row>
    <row r="2642" spans="1:5" x14ac:dyDescent="0.2">
      <c r="A2642"/>
      <c r="B2642"/>
      <c r="C2642"/>
      <c r="D2642"/>
      <c r="E2642"/>
    </row>
    <row r="2643" spans="1:5" x14ac:dyDescent="0.2">
      <c r="A2643"/>
      <c r="B2643"/>
      <c r="C2643"/>
      <c r="D2643"/>
      <c r="E2643"/>
    </row>
    <row r="2644" spans="1:5" x14ac:dyDescent="0.2">
      <c r="A2644"/>
      <c r="B2644"/>
      <c r="C2644"/>
      <c r="D2644"/>
      <c r="E2644"/>
    </row>
    <row r="2645" spans="1:5" x14ac:dyDescent="0.2">
      <c r="A2645"/>
      <c r="B2645"/>
      <c r="C2645"/>
      <c r="D2645"/>
      <c r="E2645"/>
    </row>
    <row r="2646" spans="1:5" x14ac:dyDescent="0.2">
      <c r="A2646"/>
      <c r="B2646"/>
      <c r="C2646"/>
      <c r="D2646"/>
      <c r="E2646"/>
    </row>
    <row r="2647" spans="1:5" x14ac:dyDescent="0.2">
      <c r="A2647"/>
      <c r="B2647"/>
      <c r="C2647"/>
      <c r="D2647"/>
      <c r="E2647"/>
    </row>
    <row r="2648" spans="1:5" x14ac:dyDescent="0.2">
      <c r="A2648"/>
      <c r="B2648"/>
      <c r="C2648"/>
      <c r="D2648"/>
      <c r="E2648"/>
    </row>
    <row r="2649" spans="1:5" x14ac:dyDescent="0.2">
      <c r="A2649"/>
      <c r="B2649"/>
      <c r="C2649"/>
      <c r="D2649"/>
      <c r="E2649"/>
    </row>
    <row r="2650" spans="1:5" x14ac:dyDescent="0.2">
      <c r="A2650"/>
      <c r="B2650"/>
      <c r="C2650"/>
      <c r="D2650"/>
      <c r="E2650"/>
    </row>
    <row r="2651" spans="1:5" x14ac:dyDescent="0.2">
      <c r="A2651"/>
      <c r="B2651"/>
      <c r="C2651"/>
      <c r="D2651"/>
      <c r="E2651"/>
    </row>
    <row r="2652" spans="1:5" x14ac:dyDescent="0.2">
      <c r="A2652"/>
      <c r="B2652"/>
      <c r="C2652"/>
      <c r="D2652"/>
      <c r="E2652"/>
    </row>
    <row r="2653" spans="1:5" x14ac:dyDescent="0.2">
      <c r="A2653"/>
      <c r="B2653"/>
      <c r="C2653"/>
      <c r="D2653"/>
      <c r="E2653"/>
    </row>
    <row r="2654" spans="1:5" x14ac:dyDescent="0.2">
      <c r="A2654"/>
      <c r="B2654"/>
      <c r="C2654"/>
      <c r="D2654"/>
      <c r="E2654"/>
    </row>
    <row r="2655" spans="1:5" x14ac:dyDescent="0.2">
      <c r="A2655"/>
      <c r="B2655"/>
      <c r="C2655"/>
      <c r="D2655"/>
      <c r="E2655"/>
    </row>
    <row r="2656" spans="1:5" x14ac:dyDescent="0.2">
      <c r="A2656"/>
      <c r="B2656"/>
      <c r="C2656"/>
      <c r="D2656"/>
      <c r="E2656"/>
    </row>
    <row r="2657" spans="1:5" x14ac:dyDescent="0.2">
      <c r="A2657"/>
      <c r="B2657"/>
      <c r="C2657"/>
      <c r="D2657"/>
      <c r="E2657"/>
    </row>
    <row r="2658" spans="1:5" x14ac:dyDescent="0.2">
      <c r="A2658"/>
      <c r="B2658"/>
      <c r="C2658"/>
      <c r="D2658"/>
      <c r="E2658"/>
    </row>
    <row r="2659" spans="1:5" x14ac:dyDescent="0.2">
      <c r="A2659"/>
      <c r="B2659"/>
      <c r="C2659"/>
      <c r="D2659"/>
      <c r="E2659"/>
    </row>
    <row r="2660" spans="1:5" x14ac:dyDescent="0.2">
      <c r="A2660"/>
      <c r="B2660"/>
      <c r="C2660"/>
      <c r="D2660"/>
      <c r="E2660"/>
    </row>
    <row r="2661" spans="1:5" x14ac:dyDescent="0.2">
      <c r="A2661"/>
      <c r="B2661"/>
      <c r="C2661"/>
      <c r="D2661"/>
      <c r="E2661"/>
    </row>
    <row r="2662" spans="1:5" x14ac:dyDescent="0.2">
      <c r="A2662"/>
      <c r="B2662"/>
      <c r="C2662"/>
      <c r="D2662"/>
      <c r="E2662"/>
    </row>
    <row r="2663" spans="1:5" x14ac:dyDescent="0.2">
      <c r="A2663"/>
      <c r="B2663"/>
      <c r="C2663"/>
      <c r="D2663"/>
      <c r="E2663"/>
    </row>
    <row r="2664" spans="1:5" x14ac:dyDescent="0.2">
      <c r="A2664"/>
      <c r="B2664"/>
      <c r="C2664"/>
      <c r="D2664"/>
      <c r="E2664"/>
    </row>
    <row r="2665" spans="1:5" x14ac:dyDescent="0.2">
      <c r="A2665"/>
      <c r="B2665"/>
      <c r="C2665"/>
      <c r="D2665"/>
      <c r="E2665"/>
    </row>
    <row r="2666" spans="1:5" x14ac:dyDescent="0.2">
      <c r="A2666"/>
      <c r="B2666"/>
      <c r="C2666"/>
      <c r="D2666"/>
      <c r="E2666"/>
    </row>
    <row r="2667" spans="1:5" x14ac:dyDescent="0.2">
      <c r="A2667"/>
      <c r="B2667"/>
      <c r="C2667"/>
      <c r="D2667"/>
      <c r="E2667"/>
    </row>
    <row r="2668" spans="1:5" x14ac:dyDescent="0.2">
      <c r="A2668"/>
      <c r="B2668"/>
      <c r="C2668"/>
      <c r="D2668"/>
      <c r="E2668"/>
    </row>
    <row r="2669" spans="1:5" x14ac:dyDescent="0.2">
      <c r="A2669"/>
      <c r="B2669"/>
      <c r="C2669"/>
      <c r="D2669"/>
      <c r="E2669"/>
    </row>
    <row r="2670" spans="1:5" x14ac:dyDescent="0.2">
      <c r="A2670"/>
      <c r="B2670"/>
      <c r="C2670"/>
      <c r="D2670"/>
      <c r="E2670"/>
    </row>
    <row r="2671" spans="1:5" x14ac:dyDescent="0.2">
      <c r="A2671"/>
      <c r="B2671"/>
      <c r="C2671"/>
      <c r="D2671"/>
      <c r="E2671"/>
    </row>
    <row r="2672" spans="1:5" x14ac:dyDescent="0.2">
      <c r="A2672"/>
      <c r="B2672"/>
      <c r="C2672"/>
      <c r="D2672"/>
      <c r="E2672"/>
    </row>
    <row r="2673" spans="1:5" x14ac:dyDescent="0.2">
      <c r="A2673"/>
      <c r="B2673"/>
      <c r="C2673"/>
      <c r="D2673"/>
      <c r="E2673"/>
    </row>
    <row r="2674" spans="1:5" x14ac:dyDescent="0.2">
      <c r="A2674"/>
      <c r="B2674"/>
      <c r="C2674"/>
      <c r="D2674"/>
      <c r="E2674"/>
    </row>
    <row r="2675" spans="1:5" x14ac:dyDescent="0.2">
      <c r="A2675"/>
      <c r="B2675"/>
      <c r="C2675"/>
      <c r="D2675"/>
      <c r="E2675"/>
    </row>
    <row r="2676" spans="1:5" x14ac:dyDescent="0.2">
      <c r="A2676"/>
      <c r="B2676"/>
      <c r="C2676"/>
      <c r="D2676"/>
      <c r="E2676"/>
    </row>
    <row r="2677" spans="1:5" x14ac:dyDescent="0.2">
      <c r="A2677"/>
      <c r="B2677"/>
      <c r="C2677"/>
      <c r="D2677"/>
      <c r="E2677"/>
    </row>
    <row r="2678" spans="1:5" x14ac:dyDescent="0.2">
      <c r="A2678"/>
      <c r="B2678"/>
      <c r="C2678"/>
      <c r="D2678"/>
      <c r="E2678"/>
    </row>
    <row r="2679" spans="1:5" x14ac:dyDescent="0.2">
      <c r="A2679"/>
      <c r="B2679"/>
      <c r="C2679"/>
      <c r="D2679"/>
      <c r="E2679"/>
    </row>
    <row r="2680" spans="1:5" x14ac:dyDescent="0.2">
      <c r="A2680"/>
      <c r="B2680"/>
      <c r="C2680"/>
      <c r="D2680"/>
      <c r="E2680"/>
    </row>
    <row r="2681" spans="1:5" x14ac:dyDescent="0.2">
      <c r="A2681"/>
      <c r="B2681"/>
      <c r="C2681"/>
      <c r="D2681"/>
      <c r="E2681"/>
    </row>
    <row r="2682" spans="1:5" x14ac:dyDescent="0.2">
      <c r="A2682"/>
      <c r="B2682"/>
      <c r="C2682"/>
      <c r="D2682"/>
      <c r="E2682"/>
    </row>
    <row r="2683" spans="1:5" x14ac:dyDescent="0.2">
      <c r="A2683"/>
      <c r="B2683"/>
      <c r="C2683"/>
      <c r="D2683"/>
      <c r="E2683"/>
    </row>
    <row r="2684" spans="1:5" x14ac:dyDescent="0.2">
      <c r="A2684"/>
      <c r="B2684"/>
      <c r="C2684"/>
      <c r="D2684"/>
      <c r="E2684"/>
    </row>
    <row r="2685" spans="1:5" x14ac:dyDescent="0.2">
      <c r="A2685"/>
      <c r="B2685"/>
      <c r="C2685"/>
      <c r="D2685"/>
      <c r="E2685"/>
    </row>
    <row r="2686" spans="1:5" x14ac:dyDescent="0.2">
      <c r="A2686"/>
      <c r="B2686"/>
      <c r="C2686"/>
      <c r="D2686"/>
      <c r="E2686"/>
    </row>
    <row r="2687" spans="1:5" x14ac:dyDescent="0.2">
      <c r="A2687"/>
      <c r="B2687"/>
      <c r="C2687"/>
      <c r="D2687"/>
      <c r="E2687"/>
    </row>
    <row r="2688" spans="1:5" x14ac:dyDescent="0.2">
      <c r="A2688"/>
      <c r="B2688"/>
      <c r="C2688"/>
      <c r="D2688"/>
      <c r="E2688"/>
    </row>
    <row r="2689" spans="1:5" x14ac:dyDescent="0.2">
      <c r="A2689"/>
      <c r="B2689"/>
      <c r="C2689"/>
      <c r="D2689"/>
      <c r="E2689"/>
    </row>
    <row r="2690" spans="1:5" x14ac:dyDescent="0.2">
      <c r="A2690"/>
      <c r="B2690"/>
      <c r="C2690"/>
      <c r="D2690"/>
      <c r="E2690"/>
    </row>
    <row r="2691" spans="1:5" x14ac:dyDescent="0.2">
      <c r="A2691"/>
      <c r="B2691"/>
      <c r="C2691"/>
      <c r="D2691"/>
      <c r="E2691"/>
    </row>
    <row r="2692" spans="1:5" x14ac:dyDescent="0.2">
      <c r="A2692"/>
      <c r="B2692"/>
      <c r="C2692"/>
      <c r="D2692"/>
      <c r="E2692"/>
    </row>
    <row r="2693" spans="1:5" x14ac:dyDescent="0.2">
      <c r="A2693"/>
      <c r="B2693"/>
      <c r="C2693"/>
      <c r="D2693"/>
      <c r="E2693"/>
    </row>
    <row r="2694" spans="1:5" x14ac:dyDescent="0.2">
      <c r="A2694"/>
      <c r="B2694"/>
      <c r="C2694"/>
      <c r="D2694"/>
      <c r="E2694"/>
    </row>
    <row r="2695" spans="1:5" x14ac:dyDescent="0.2">
      <c r="A2695"/>
      <c r="B2695"/>
      <c r="C2695"/>
      <c r="D2695"/>
      <c r="E2695"/>
    </row>
    <row r="2696" spans="1:5" x14ac:dyDescent="0.2">
      <c r="A2696"/>
      <c r="B2696"/>
      <c r="C2696"/>
      <c r="D2696"/>
      <c r="E2696"/>
    </row>
    <row r="2697" spans="1:5" x14ac:dyDescent="0.2">
      <c r="A2697"/>
      <c r="B2697"/>
      <c r="C2697"/>
      <c r="D2697"/>
      <c r="E2697"/>
    </row>
    <row r="2698" spans="1:5" x14ac:dyDescent="0.2">
      <c r="A2698"/>
      <c r="B2698"/>
      <c r="C2698"/>
      <c r="D2698"/>
      <c r="E2698"/>
    </row>
    <row r="2699" spans="1:5" x14ac:dyDescent="0.2">
      <c r="A2699"/>
      <c r="B2699"/>
      <c r="C2699"/>
      <c r="D2699"/>
      <c r="E2699"/>
    </row>
    <row r="2700" spans="1:5" x14ac:dyDescent="0.2">
      <c r="A2700"/>
      <c r="B2700"/>
      <c r="C2700"/>
      <c r="D2700"/>
      <c r="E2700"/>
    </row>
    <row r="2701" spans="1:5" x14ac:dyDescent="0.2">
      <c r="A2701"/>
      <c r="B2701"/>
      <c r="C2701"/>
      <c r="D2701"/>
      <c r="E2701"/>
    </row>
    <row r="2702" spans="1:5" x14ac:dyDescent="0.2">
      <c r="A2702"/>
      <c r="B2702"/>
      <c r="C2702"/>
      <c r="D2702"/>
      <c r="E2702"/>
    </row>
    <row r="2703" spans="1:5" x14ac:dyDescent="0.2">
      <c r="A2703"/>
      <c r="B2703"/>
      <c r="C2703"/>
      <c r="D2703"/>
      <c r="E2703"/>
    </row>
    <row r="2704" spans="1:5" x14ac:dyDescent="0.2">
      <c r="A2704"/>
      <c r="B2704"/>
      <c r="C2704"/>
      <c r="D2704"/>
      <c r="E2704"/>
    </row>
    <row r="2705" spans="1:5" x14ac:dyDescent="0.2">
      <c r="A2705"/>
      <c r="B2705"/>
      <c r="C2705"/>
      <c r="D2705"/>
      <c r="E2705"/>
    </row>
    <row r="2706" spans="1:5" x14ac:dyDescent="0.2">
      <c r="A2706"/>
      <c r="B2706"/>
      <c r="C2706"/>
      <c r="D2706"/>
      <c r="E2706"/>
    </row>
    <row r="2707" spans="1:5" x14ac:dyDescent="0.2">
      <c r="A2707"/>
      <c r="B2707"/>
      <c r="C2707"/>
      <c r="D2707"/>
      <c r="E2707"/>
    </row>
    <row r="2708" spans="1:5" x14ac:dyDescent="0.2">
      <c r="A2708"/>
      <c r="B2708"/>
      <c r="C2708"/>
      <c r="D2708"/>
      <c r="E2708"/>
    </row>
    <row r="2709" spans="1:5" x14ac:dyDescent="0.2">
      <c r="A2709"/>
      <c r="B2709"/>
      <c r="C2709"/>
      <c r="D2709"/>
      <c r="E2709"/>
    </row>
    <row r="2710" spans="1:5" x14ac:dyDescent="0.2">
      <c r="A2710"/>
      <c r="B2710"/>
      <c r="C2710"/>
      <c r="D2710"/>
      <c r="E2710"/>
    </row>
    <row r="2711" spans="1:5" x14ac:dyDescent="0.2">
      <c r="A2711"/>
      <c r="B2711"/>
      <c r="C2711"/>
      <c r="D2711"/>
      <c r="E2711"/>
    </row>
    <row r="2712" spans="1:5" x14ac:dyDescent="0.2">
      <c r="A2712"/>
      <c r="B2712"/>
      <c r="C2712"/>
      <c r="D2712"/>
      <c r="E2712"/>
    </row>
    <row r="2713" spans="1:5" x14ac:dyDescent="0.2">
      <c r="A2713"/>
      <c r="B2713"/>
      <c r="C2713"/>
      <c r="D2713"/>
      <c r="E2713"/>
    </row>
    <row r="2714" spans="1:5" x14ac:dyDescent="0.2">
      <c r="A2714"/>
      <c r="B2714"/>
      <c r="C2714"/>
      <c r="D2714"/>
      <c r="E2714"/>
    </row>
    <row r="2715" spans="1:5" x14ac:dyDescent="0.2">
      <c r="A2715"/>
      <c r="B2715"/>
      <c r="C2715"/>
      <c r="D2715"/>
      <c r="E2715"/>
    </row>
    <row r="2716" spans="1:5" x14ac:dyDescent="0.2">
      <c r="A2716"/>
      <c r="B2716"/>
      <c r="C2716"/>
      <c r="D2716"/>
      <c r="E2716"/>
    </row>
    <row r="2717" spans="1:5" x14ac:dyDescent="0.2">
      <c r="A2717"/>
      <c r="B2717"/>
      <c r="C2717"/>
      <c r="D2717"/>
      <c r="E2717"/>
    </row>
    <row r="2718" spans="1:5" x14ac:dyDescent="0.2">
      <c r="A2718"/>
      <c r="B2718"/>
      <c r="C2718"/>
      <c r="D2718"/>
      <c r="E2718"/>
    </row>
    <row r="2719" spans="1:5" x14ac:dyDescent="0.2">
      <c r="A2719"/>
      <c r="B2719"/>
      <c r="C2719"/>
      <c r="D2719"/>
      <c r="E2719"/>
    </row>
    <row r="2720" spans="1:5" x14ac:dyDescent="0.2">
      <c r="A2720"/>
      <c r="B2720"/>
      <c r="C2720"/>
      <c r="D2720"/>
      <c r="E2720"/>
    </row>
    <row r="2721" spans="1:5" x14ac:dyDescent="0.2">
      <c r="A2721"/>
      <c r="B2721"/>
      <c r="C2721"/>
      <c r="D2721"/>
      <c r="E2721"/>
    </row>
    <row r="2722" spans="1:5" x14ac:dyDescent="0.2">
      <c r="A2722"/>
      <c r="B2722"/>
      <c r="C2722"/>
      <c r="D2722"/>
      <c r="E2722"/>
    </row>
    <row r="2723" spans="1:5" x14ac:dyDescent="0.2">
      <c r="A2723"/>
      <c r="B2723"/>
      <c r="C2723"/>
      <c r="D2723"/>
      <c r="E2723"/>
    </row>
    <row r="2724" spans="1:5" x14ac:dyDescent="0.2">
      <c r="A2724"/>
      <c r="B2724"/>
      <c r="C2724"/>
      <c r="D2724"/>
      <c r="E2724"/>
    </row>
    <row r="2725" spans="1:5" x14ac:dyDescent="0.2">
      <c r="A2725"/>
      <c r="B2725"/>
      <c r="C2725"/>
      <c r="D2725"/>
      <c r="E2725"/>
    </row>
    <row r="2726" spans="1:5" x14ac:dyDescent="0.2">
      <c r="A2726"/>
      <c r="B2726"/>
      <c r="C2726"/>
      <c r="D2726"/>
      <c r="E2726"/>
    </row>
    <row r="2727" spans="1:5" x14ac:dyDescent="0.2">
      <c r="A2727"/>
      <c r="B2727"/>
      <c r="C2727"/>
      <c r="D2727"/>
      <c r="E2727"/>
    </row>
    <row r="2728" spans="1:5" x14ac:dyDescent="0.2">
      <c r="A2728"/>
      <c r="B2728"/>
      <c r="C2728"/>
      <c r="D2728"/>
      <c r="E2728"/>
    </row>
    <row r="2729" spans="1:5" x14ac:dyDescent="0.2">
      <c r="A2729"/>
      <c r="B2729"/>
      <c r="C2729"/>
      <c r="D2729"/>
      <c r="E2729"/>
    </row>
    <row r="2730" spans="1:5" x14ac:dyDescent="0.2">
      <c r="A2730"/>
      <c r="B2730"/>
      <c r="C2730"/>
      <c r="D2730"/>
      <c r="E2730"/>
    </row>
    <row r="2731" spans="1:5" x14ac:dyDescent="0.2">
      <c r="A2731"/>
      <c r="B2731"/>
      <c r="C2731"/>
      <c r="D2731"/>
      <c r="E2731"/>
    </row>
    <row r="2732" spans="1:5" x14ac:dyDescent="0.2">
      <c r="A2732"/>
      <c r="B2732"/>
      <c r="C2732"/>
      <c r="D2732"/>
      <c r="E2732"/>
    </row>
    <row r="2733" spans="1:5" x14ac:dyDescent="0.2">
      <c r="A2733"/>
      <c r="B2733"/>
      <c r="C2733"/>
      <c r="D2733"/>
      <c r="E2733"/>
    </row>
    <row r="2734" spans="1:5" x14ac:dyDescent="0.2">
      <c r="A2734"/>
      <c r="B2734"/>
      <c r="C2734"/>
      <c r="D2734"/>
      <c r="E2734"/>
    </row>
    <row r="2735" spans="1:5" x14ac:dyDescent="0.2">
      <c r="A2735"/>
      <c r="B2735"/>
      <c r="C2735"/>
      <c r="D2735"/>
      <c r="E2735"/>
    </row>
    <row r="2736" spans="1:5" x14ac:dyDescent="0.2">
      <c r="A2736"/>
      <c r="B2736"/>
      <c r="C2736"/>
      <c r="D2736"/>
      <c r="E2736"/>
    </row>
    <row r="2737" spans="1:5" x14ac:dyDescent="0.2">
      <c r="A2737"/>
      <c r="B2737"/>
      <c r="C2737"/>
      <c r="D2737"/>
      <c r="E2737"/>
    </row>
    <row r="2738" spans="1:5" x14ac:dyDescent="0.2">
      <c r="A2738"/>
      <c r="B2738"/>
      <c r="C2738"/>
      <c r="D2738"/>
      <c r="E2738"/>
    </row>
    <row r="2739" spans="1:5" x14ac:dyDescent="0.2">
      <c r="A2739"/>
      <c r="B2739"/>
      <c r="C2739"/>
      <c r="D2739"/>
      <c r="E2739"/>
    </row>
    <row r="2740" spans="1:5" x14ac:dyDescent="0.2">
      <c r="A2740"/>
      <c r="B2740"/>
      <c r="C2740"/>
      <c r="D2740"/>
      <c r="E2740"/>
    </row>
    <row r="2741" spans="1:5" x14ac:dyDescent="0.2">
      <c r="A2741"/>
      <c r="B2741"/>
      <c r="C2741"/>
      <c r="D2741"/>
      <c r="E2741"/>
    </row>
    <row r="2742" spans="1:5" x14ac:dyDescent="0.2">
      <c r="A2742"/>
      <c r="B2742"/>
      <c r="C2742"/>
      <c r="D2742"/>
      <c r="E2742"/>
    </row>
    <row r="2743" spans="1:5" x14ac:dyDescent="0.2">
      <c r="A2743"/>
      <c r="B2743"/>
      <c r="C2743"/>
      <c r="D2743"/>
      <c r="E2743"/>
    </row>
    <row r="2744" spans="1:5" x14ac:dyDescent="0.2">
      <c r="A2744"/>
      <c r="B2744"/>
      <c r="C2744"/>
      <c r="D2744"/>
      <c r="E2744"/>
    </row>
    <row r="2745" spans="1:5" x14ac:dyDescent="0.2">
      <c r="A2745"/>
      <c r="B2745"/>
      <c r="C2745"/>
      <c r="D2745"/>
      <c r="E2745"/>
    </row>
    <row r="2746" spans="1:5" x14ac:dyDescent="0.2">
      <c r="A2746"/>
      <c r="B2746"/>
      <c r="C2746"/>
      <c r="D2746"/>
      <c r="E2746"/>
    </row>
    <row r="2747" spans="1:5" x14ac:dyDescent="0.2">
      <c r="A2747"/>
      <c r="B2747"/>
      <c r="C2747"/>
      <c r="D2747"/>
      <c r="E2747"/>
    </row>
    <row r="2748" spans="1:5" x14ac:dyDescent="0.2">
      <c r="A2748"/>
      <c r="B2748"/>
      <c r="C2748"/>
      <c r="D2748"/>
      <c r="E2748"/>
    </row>
    <row r="2749" spans="1:5" x14ac:dyDescent="0.2">
      <c r="A2749"/>
      <c r="B2749"/>
      <c r="C2749"/>
      <c r="D2749"/>
      <c r="E2749"/>
    </row>
    <row r="2750" spans="1:5" x14ac:dyDescent="0.2">
      <c r="A2750"/>
      <c r="B2750"/>
      <c r="C2750"/>
      <c r="D2750"/>
      <c r="E2750"/>
    </row>
    <row r="2751" spans="1:5" x14ac:dyDescent="0.2">
      <c r="A2751"/>
      <c r="B2751"/>
      <c r="C2751"/>
      <c r="D2751"/>
      <c r="E2751"/>
    </row>
    <row r="2752" spans="1:5" x14ac:dyDescent="0.2">
      <c r="A2752"/>
      <c r="B2752"/>
      <c r="C2752"/>
      <c r="D2752"/>
      <c r="E2752"/>
    </row>
    <row r="2753" spans="1:5" x14ac:dyDescent="0.2">
      <c r="A2753"/>
      <c r="B2753"/>
      <c r="C2753"/>
      <c r="D2753"/>
      <c r="E2753"/>
    </row>
    <row r="2754" spans="1:5" x14ac:dyDescent="0.2">
      <c r="A2754"/>
      <c r="B2754"/>
      <c r="C2754"/>
      <c r="D2754"/>
      <c r="E2754"/>
    </row>
    <row r="2755" spans="1:5" x14ac:dyDescent="0.2">
      <c r="A2755"/>
      <c r="B2755"/>
      <c r="C2755"/>
      <c r="D2755"/>
      <c r="E2755"/>
    </row>
    <row r="2756" spans="1:5" x14ac:dyDescent="0.2">
      <c r="A2756"/>
      <c r="B2756"/>
      <c r="C2756"/>
      <c r="D2756"/>
      <c r="E2756"/>
    </row>
    <row r="2757" spans="1:5" x14ac:dyDescent="0.2">
      <c r="A2757"/>
      <c r="B2757"/>
      <c r="C2757"/>
      <c r="D2757"/>
      <c r="E2757"/>
    </row>
    <row r="2758" spans="1:5" x14ac:dyDescent="0.2">
      <c r="A2758"/>
      <c r="B2758"/>
      <c r="C2758"/>
      <c r="D2758"/>
      <c r="E2758"/>
    </row>
    <row r="2759" spans="1:5" x14ac:dyDescent="0.2">
      <c r="A2759"/>
      <c r="B2759"/>
      <c r="C2759"/>
      <c r="D2759"/>
      <c r="E2759"/>
    </row>
    <row r="2760" spans="1:5" x14ac:dyDescent="0.2">
      <c r="A2760"/>
      <c r="B2760"/>
      <c r="C2760"/>
      <c r="D2760"/>
      <c r="E2760"/>
    </row>
    <row r="2761" spans="1:5" x14ac:dyDescent="0.2">
      <c r="A2761"/>
      <c r="B2761"/>
      <c r="C2761"/>
      <c r="D2761"/>
      <c r="E2761"/>
    </row>
    <row r="2762" spans="1:5" x14ac:dyDescent="0.2">
      <c r="A2762"/>
      <c r="B2762"/>
      <c r="C2762"/>
      <c r="D2762"/>
      <c r="E2762"/>
    </row>
    <row r="2763" spans="1:5" x14ac:dyDescent="0.2">
      <c r="A2763"/>
      <c r="B2763"/>
      <c r="C2763"/>
      <c r="D2763"/>
      <c r="E2763"/>
    </row>
    <row r="2764" spans="1:5" x14ac:dyDescent="0.2">
      <c r="A2764"/>
      <c r="B2764"/>
      <c r="C2764"/>
      <c r="D2764"/>
      <c r="E2764"/>
    </row>
    <row r="2765" spans="1:5" x14ac:dyDescent="0.2">
      <c r="A2765"/>
      <c r="B2765"/>
      <c r="C2765"/>
      <c r="D2765"/>
      <c r="E2765"/>
    </row>
    <row r="2766" spans="1:5" x14ac:dyDescent="0.2">
      <c r="A2766"/>
      <c r="B2766"/>
      <c r="C2766"/>
      <c r="D2766"/>
      <c r="E2766"/>
    </row>
    <row r="2767" spans="1:5" x14ac:dyDescent="0.2">
      <c r="A2767"/>
      <c r="B2767"/>
      <c r="C2767"/>
      <c r="D2767"/>
      <c r="E2767"/>
    </row>
    <row r="2768" spans="1:5" x14ac:dyDescent="0.2">
      <c r="A2768"/>
      <c r="B2768"/>
      <c r="C2768"/>
      <c r="D2768"/>
      <c r="E2768"/>
    </row>
    <row r="2769" spans="1:5" x14ac:dyDescent="0.2">
      <c r="A2769"/>
      <c r="B2769"/>
      <c r="C2769"/>
      <c r="D2769"/>
      <c r="E2769"/>
    </row>
    <row r="2770" spans="1:5" x14ac:dyDescent="0.2">
      <c r="A2770"/>
      <c r="B2770"/>
      <c r="C2770"/>
      <c r="D2770"/>
      <c r="E2770"/>
    </row>
    <row r="2771" spans="1:5" x14ac:dyDescent="0.2">
      <c r="A2771"/>
      <c r="B2771"/>
      <c r="C2771"/>
      <c r="D2771"/>
      <c r="E2771"/>
    </row>
    <row r="2772" spans="1:5" x14ac:dyDescent="0.2">
      <c r="A2772"/>
      <c r="B2772"/>
      <c r="C2772"/>
      <c r="D2772"/>
      <c r="E2772"/>
    </row>
    <row r="2773" spans="1:5" x14ac:dyDescent="0.2">
      <c r="A2773"/>
      <c r="B2773"/>
      <c r="C2773"/>
      <c r="D2773"/>
      <c r="E2773"/>
    </row>
    <row r="2774" spans="1:5" x14ac:dyDescent="0.2">
      <c r="A2774"/>
      <c r="B2774"/>
      <c r="C2774"/>
      <c r="D2774"/>
      <c r="E2774"/>
    </row>
    <row r="2775" spans="1:5" x14ac:dyDescent="0.2">
      <c r="A2775"/>
      <c r="B2775"/>
      <c r="C2775"/>
      <c r="D2775"/>
      <c r="E2775"/>
    </row>
    <row r="2776" spans="1:5" x14ac:dyDescent="0.2">
      <c r="A2776"/>
      <c r="B2776"/>
      <c r="C2776"/>
      <c r="D2776"/>
      <c r="E2776"/>
    </row>
    <row r="2777" spans="1:5" x14ac:dyDescent="0.2">
      <c r="A2777"/>
      <c r="B2777"/>
      <c r="C2777"/>
      <c r="D2777"/>
      <c r="E2777"/>
    </row>
    <row r="2778" spans="1:5" x14ac:dyDescent="0.2">
      <c r="A2778"/>
      <c r="B2778"/>
      <c r="C2778"/>
      <c r="D2778"/>
      <c r="E2778"/>
    </row>
    <row r="2779" spans="1:5" x14ac:dyDescent="0.2">
      <c r="A2779"/>
      <c r="B2779"/>
      <c r="C2779"/>
      <c r="D2779"/>
      <c r="E2779"/>
    </row>
    <row r="2780" spans="1:5" x14ac:dyDescent="0.2">
      <c r="A2780"/>
      <c r="B2780"/>
      <c r="C2780"/>
      <c r="D2780"/>
      <c r="E2780"/>
    </row>
    <row r="2781" spans="1:5" x14ac:dyDescent="0.2">
      <c r="A2781"/>
      <c r="B2781"/>
      <c r="C2781"/>
      <c r="D2781"/>
      <c r="E2781"/>
    </row>
    <row r="2782" spans="1:5" x14ac:dyDescent="0.2">
      <c r="A2782"/>
      <c r="B2782"/>
      <c r="C2782"/>
      <c r="D2782"/>
      <c r="E2782"/>
    </row>
    <row r="2783" spans="1:5" x14ac:dyDescent="0.2">
      <c r="A2783"/>
      <c r="B2783"/>
      <c r="C2783"/>
      <c r="D2783"/>
      <c r="E2783"/>
    </row>
    <row r="2784" spans="1:5" x14ac:dyDescent="0.2">
      <c r="A2784"/>
      <c r="B2784"/>
      <c r="C2784"/>
      <c r="D2784"/>
      <c r="E2784"/>
    </row>
    <row r="2785" spans="1:5" x14ac:dyDescent="0.2">
      <c r="A2785"/>
      <c r="B2785"/>
      <c r="C2785"/>
      <c r="D2785"/>
      <c r="E2785"/>
    </row>
    <row r="2786" spans="1:5" x14ac:dyDescent="0.2">
      <c r="A2786"/>
      <c r="B2786"/>
      <c r="C2786"/>
      <c r="D2786"/>
      <c r="E2786"/>
    </row>
    <row r="2787" spans="1:5" x14ac:dyDescent="0.2">
      <c r="A2787"/>
      <c r="B2787"/>
      <c r="C2787"/>
      <c r="D2787"/>
      <c r="E2787"/>
    </row>
    <row r="2788" spans="1:5" x14ac:dyDescent="0.2">
      <c r="A2788"/>
      <c r="B2788"/>
      <c r="C2788"/>
      <c r="D2788"/>
      <c r="E2788"/>
    </row>
    <row r="2789" spans="1:5" x14ac:dyDescent="0.2">
      <c r="A2789"/>
      <c r="B2789"/>
      <c r="C2789"/>
      <c r="D2789"/>
      <c r="E2789"/>
    </row>
    <row r="2790" spans="1:5" x14ac:dyDescent="0.2">
      <c r="A2790"/>
      <c r="B2790"/>
      <c r="C2790"/>
      <c r="D2790"/>
      <c r="E2790"/>
    </row>
    <row r="2791" spans="1:5" x14ac:dyDescent="0.2">
      <c r="A2791"/>
      <c r="B2791"/>
      <c r="C2791"/>
      <c r="D2791"/>
      <c r="E2791"/>
    </row>
    <row r="2792" spans="1:5" x14ac:dyDescent="0.2">
      <c r="A2792"/>
      <c r="B2792"/>
      <c r="C2792"/>
      <c r="D2792"/>
      <c r="E2792"/>
    </row>
    <row r="2793" spans="1:5" x14ac:dyDescent="0.2">
      <c r="A2793"/>
      <c r="B2793"/>
      <c r="C2793"/>
      <c r="D2793"/>
      <c r="E2793"/>
    </row>
    <row r="2794" spans="1:5" x14ac:dyDescent="0.2">
      <c r="A2794"/>
      <c r="B2794"/>
      <c r="C2794"/>
      <c r="D2794"/>
      <c r="E2794"/>
    </row>
    <row r="2795" spans="1:5" x14ac:dyDescent="0.2">
      <c r="A2795"/>
      <c r="B2795"/>
      <c r="C2795"/>
      <c r="D2795"/>
      <c r="E2795"/>
    </row>
    <row r="2796" spans="1:5" x14ac:dyDescent="0.2">
      <c r="A2796"/>
      <c r="B2796"/>
      <c r="C2796"/>
      <c r="D2796"/>
      <c r="E2796"/>
    </row>
    <row r="2797" spans="1:5" x14ac:dyDescent="0.2">
      <c r="A2797"/>
      <c r="B2797"/>
      <c r="C2797"/>
      <c r="D2797"/>
      <c r="E2797"/>
    </row>
    <row r="2798" spans="1:5" x14ac:dyDescent="0.2">
      <c r="A2798"/>
      <c r="B2798"/>
      <c r="C2798"/>
      <c r="D2798"/>
      <c r="E2798"/>
    </row>
    <row r="2799" spans="1:5" x14ac:dyDescent="0.2">
      <c r="A2799"/>
      <c r="B2799"/>
      <c r="C2799"/>
      <c r="D2799"/>
      <c r="E2799"/>
    </row>
    <row r="2800" spans="1:5" x14ac:dyDescent="0.2">
      <c r="A2800"/>
      <c r="B2800"/>
      <c r="C2800"/>
      <c r="D2800"/>
      <c r="E2800"/>
    </row>
    <row r="2801" spans="1:5" x14ac:dyDescent="0.2">
      <c r="A2801"/>
      <c r="B2801"/>
      <c r="C2801"/>
      <c r="D2801"/>
      <c r="E2801"/>
    </row>
    <row r="2802" spans="1:5" x14ac:dyDescent="0.2">
      <c r="A2802"/>
      <c r="B2802"/>
      <c r="C2802"/>
      <c r="D2802"/>
      <c r="E2802"/>
    </row>
    <row r="2803" spans="1:5" x14ac:dyDescent="0.2">
      <c r="A2803"/>
      <c r="B2803"/>
      <c r="C2803"/>
      <c r="D2803"/>
      <c r="E2803"/>
    </row>
    <row r="2804" spans="1:5" x14ac:dyDescent="0.2">
      <c r="A2804"/>
      <c r="B2804"/>
      <c r="C2804"/>
      <c r="D2804"/>
      <c r="E2804"/>
    </row>
    <row r="2805" spans="1:5" x14ac:dyDescent="0.2">
      <c r="A2805"/>
      <c r="B2805"/>
      <c r="C2805"/>
      <c r="D2805"/>
      <c r="E2805"/>
    </row>
    <row r="2806" spans="1:5" x14ac:dyDescent="0.2">
      <c r="A2806"/>
      <c r="B2806"/>
      <c r="C2806"/>
      <c r="D2806"/>
      <c r="E2806"/>
    </row>
    <row r="2807" spans="1:5" x14ac:dyDescent="0.2">
      <c r="A2807"/>
      <c r="B2807"/>
      <c r="C2807"/>
      <c r="D2807"/>
      <c r="E2807"/>
    </row>
    <row r="2808" spans="1:5" x14ac:dyDescent="0.2">
      <c r="A2808"/>
      <c r="B2808"/>
      <c r="C2808"/>
      <c r="D2808"/>
      <c r="E2808"/>
    </row>
    <row r="2809" spans="1:5" x14ac:dyDescent="0.2">
      <c r="A2809"/>
      <c r="B2809"/>
      <c r="C2809"/>
      <c r="D2809"/>
      <c r="E2809"/>
    </row>
    <row r="2810" spans="1:5" x14ac:dyDescent="0.2">
      <c r="A2810"/>
      <c r="B2810"/>
      <c r="C2810"/>
      <c r="D2810"/>
      <c r="E2810"/>
    </row>
    <row r="2811" spans="1:5" x14ac:dyDescent="0.2">
      <c r="A2811"/>
      <c r="B2811"/>
      <c r="C2811"/>
      <c r="D2811"/>
      <c r="E2811"/>
    </row>
    <row r="2812" spans="1:5" x14ac:dyDescent="0.2">
      <c r="A2812"/>
      <c r="B2812"/>
      <c r="C2812"/>
      <c r="D2812"/>
      <c r="E2812"/>
    </row>
    <row r="2813" spans="1:5" x14ac:dyDescent="0.2">
      <c r="A2813"/>
      <c r="B2813"/>
      <c r="C2813"/>
      <c r="D2813"/>
      <c r="E2813"/>
    </row>
    <row r="2814" spans="1:5" x14ac:dyDescent="0.2">
      <c r="A2814"/>
      <c r="B2814"/>
      <c r="C2814"/>
      <c r="D2814"/>
      <c r="E2814"/>
    </row>
    <row r="2815" spans="1:5" x14ac:dyDescent="0.2">
      <c r="A2815"/>
      <c r="B2815"/>
      <c r="C2815"/>
      <c r="D2815"/>
      <c r="E2815"/>
    </row>
    <row r="2816" spans="1:5" x14ac:dyDescent="0.2">
      <c r="A2816"/>
      <c r="B2816"/>
      <c r="C2816"/>
      <c r="D2816"/>
      <c r="E2816"/>
    </row>
    <row r="2817" spans="1:5" x14ac:dyDescent="0.2">
      <c r="A2817"/>
      <c r="B2817"/>
      <c r="C2817"/>
      <c r="D2817"/>
      <c r="E2817"/>
    </row>
    <row r="2818" spans="1:5" x14ac:dyDescent="0.2">
      <c r="A2818"/>
      <c r="B2818"/>
      <c r="C2818"/>
      <c r="D2818"/>
      <c r="E2818"/>
    </row>
    <row r="2819" spans="1:5" x14ac:dyDescent="0.2">
      <c r="A2819"/>
      <c r="B2819"/>
      <c r="C2819"/>
      <c r="D2819"/>
      <c r="E2819"/>
    </row>
    <row r="2820" spans="1:5" x14ac:dyDescent="0.2">
      <c r="A2820"/>
      <c r="B2820"/>
      <c r="C2820"/>
      <c r="D2820"/>
      <c r="E2820"/>
    </row>
    <row r="2821" spans="1:5" x14ac:dyDescent="0.2">
      <c r="A2821"/>
      <c r="B2821"/>
      <c r="C2821"/>
      <c r="D2821"/>
      <c r="E2821"/>
    </row>
    <row r="2822" spans="1:5" x14ac:dyDescent="0.2">
      <c r="A2822"/>
      <c r="B2822"/>
      <c r="C2822"/>
      <c r="D2822"/>
      <c r="E2822"/>
    </row>
    <row r="2823" spans="1:5" x14ac:dyDescent="0.2">
      <c r="A2823"/>
      <c r="B2823"/>
      <c r="C2823"/>
      <c r="D2823"/>
      <c r="E2823"/>
    </row>
    <row r="2824" spans="1:5" x14ac:dyDescent="0.2">
      <c r="A2824"/>
      <c r="B2824"/>
      <c r="C2824"/>
      <c r="D2824"/>
      <c r="E2824"/>
    </row>
    <row r="2825" spans="1:5" x14ac:dyDescent="0.2">
      <c r="A2825"/>
      <c r="B2825"/>
      <c r="C2825"/>
      <c r="D2825"/>
      <c r="E2825"/>
    </row>
    <row r="2826" spans="1:5" x14ac:dyDescent="0.2">
      <c r="A2826"/>
      <c r="B2826"/>
      <c r="C2826"/>
      <c r="D2826"/>
      <c r="E2826"/>
    </row>
    <row r="2827" spans="1:5" x14ac:dyDescent="0.2">
      <c r="A2827"/>
      <c r="B2827"/>
      <c r="C2827"/>
      <c r="D2827"/>
      <c r="E2827"/>
    </row>
    <row r="2828" spans="1:5" x14ac:dyDescent="0.2">
      <c r="A2828"/>
      <c r="B2828"/>
      <c r="C2828"/>
      <c r="D2828"/>
      <c r="E2828"/>
    </row>
    <row r="2829" spans="1:5" x14ac:dyDescent="0.2">
      <c r="A2829"/>
      <c r="B2829"/>
      <c r="C2829"/>
      <c r="D2829"/>
      <c r="E2829"/>
    </row>
    <row r="2830" spans="1:5" x14ac:dyDescent="0.2">
      <c r="A2830"/>
      <c r="B2830"/>
      <c r="C2830"/>
      <c r="D2830"/>
      <c r="E2830"/>
    </row>
    <row r="2831" spans="1:5" x14ac:dyDescent="0.2">
      <c r="A2831"/>
      <c r="B2831"/>
      <c r="C2831"/>
      <c r="D2831"/>
      <c r="E2831"/>
    </row>
    <row r="2832" spans="1:5" x14ac:dyDescent="0.2">
      <c r="A2832"/>
      <c r="B2832"/>
      <c r="C2832"/>
      <c r="D2832"/>
      <c r="E2832"/>
    </row>
    <row r="2833" spans="1:5" x14ac:dyDescent="0.2">
      <c r="A2833"/>
      <c r="B2833"/>
      <c r="C2833"/>
      <c r="D2833"/>
      <c r="E2833"/>
    </row>
    <row r="2834" spans="1:5" x14ac:dyDescent="0.2">
      <c r="A2834"/>
      <c r="B2834"/>
      <c r="C2834"/>
      <c r="D2834"/>
      <c r="E2834"/>
    </row>
    <row r="2835" spans="1:5" x14ac:dyDescent="0.2">
      <c r="A2835"/>
      <c r="B2835"/>
      <c r="C2835"/>
      <c r="D2835"/>
      <c r="E2835"/>
    </row>
    <row r="2836" spans="1:5" x14ac:dyDescent="0.2">
      <c r="A2836"/>
      <c r="B2836"/>
      <c r="C2836"/>
      <c r="D2836"/>
      <c r="E2836"/>
    </row>
    <row r="2837" spans="1:5" x14ac:dyDescent="0.2">
      <c r="A2837"/>
      <c r="B2837"/>
      <c r="C2837"/>
      <c r="D2837"/>
      <c r="E2837"/>
    </row>
    <row r="2838" spans="1:5" x14ac:dyDescent="0.2">
      <c r="A2838"/>
      <c r="B2838"/>
      <c r="C2838"/>
      <c r="D2838"/>
      <c r="E2838"/>
    </row>
    <row r="2839" spans="1:5" x14ac:dyDescent="0.2">
      <c r="A2839"/>
      <c r="B2839"/>
      <c r="C2839"/>
      <c r="D2839"/>
      <c r="E2839"/>
    </row>
    <row r="2840" spans="1:5" x14ac:dyDescent="0.2">
      <c r="A2840"/>
      <c r="B2840"/>
      <c r="C2840"/>
      <c r="D2840"/>
      <c r="E2840"/>
    </row>
    <row r="2841" spans="1:5" x14ac:dyDescent="0.2">
      <c r="A2841"/>
      <c r="B2841"/>
      <c r="C2841"/>
      <c r="D2841"/>
      <c r="E2841"/>
    </row>
    <row r="2842" spans="1:5" x14ac:dyDescent="0.2">
      <c r="A2842"/>
      <c r="B2842"/>
      <c r="C2842"/>
      <c r="D2842"/>
      <c r="E2842"/>
    </row>
    <row r="2843" spans="1:5" x14ac:dyDescent="0.2">
      <c r="A2843"/>
      <c r="B2843"/>
      <c r="C2843"/>
      <c r="D2843"/>
      <c r="E2843"/>
    </row>
    <row r="2844" spans="1:5" x14ac:dyDescent="0.2">
      <c r="A2844"/>
      <c r="B2844"/>
      <c r="C2844"/>
      <c r="D2844"/>
      <c r="E2844"/>
    </row>
    <row r="2845" spans="1:5" x14ac:dyDescent="0.2">
      <c r="A2845"/>
      <c r="B2845"/>
      <c r="C2845"/>
      <c r="D2845"/>
      <c r="E2845"/>
    </row>
    <row r="2846" spans="1:5" x14ac:dyDescent="0.2">
      <c r="A2846"/>
      <c r="B2846"/>
      <c r="C2846"/>
      <c r="D2846"/>
      <c r="E2846"/>
    </row>
    <row r="2847" spans="1:5" x14ac:dyDescent="0.2">
      <c r="A2847"/>
      <c r="B2847"/>
      <c r="C2847"/>
      <c r="D2847"/>
      <c r="E2847"/>
    </row>
    <row r="2848" spans="1:5" x14ac:dyDescent="0.2">
      <c r="A2848"/>
      <c r="B2848"/>
      <c r="C2848"/>
      <c r="D2848"/>
      <c r="E2848"/>
    </row>
    <row r="2849" spans="1:5" x14ac:dyDescent="0.2">
      <c r="A2849"/>
      <c r="B2849"/>
      <c r="C2849"/>
      <c r="D2849"/>
      <c r="E2849"/>
    </row>
    <row r="2850" spans="1:5" x14ac:dyDescent="0.2">
      <c r="A2850"/>
      <c r="B2850"/>
      <c r="C2850"/>
      <c r="D2850"/>
      <c r="E2850"/>
    </row>
    <row r="2851" spans="1:5" x14ac:dyDescent="0.2">
      <c r="A2851"/>
      <c r="B2851"/>
      <c r="C2851"/>
      <c r="D2851"/>
      <c r="E2851"/>
    </row>
    <row r="2852" spans="1:5" x14ac:dyDescent="0.2">
      <c r="A2852"/>
      <c r="B2852"/>
      <c r="C2852"/>
      <c r="D2852"/>
      <c r="E2852"/>
    </row>
    <row r="2853" spans="1:5" x14ac:dyDescent="0.2">
      <c r="A2853"/>
      <c r="B2853"/>
      <c r="C2853"/>
      <c r="D2853"/>
      <c r="E2853"/>
    </row>
    <row r="2854" spans="1:5" x14ac:dyDescent="0.2">
      <c r="A2854"/>
      <c r="B2854"/>
      <c r="C2854"/>
      <c r="D2854"/>
      <c r="E2854"/>
    </row>
    <row r="2855" spans="1:5" x14ac:dyDescent="0.2">
      <c r="A2855"/>
      <c r="B2855"/>
      <c r="C2855"/>
      <c r="D2855"/>
      <c r="E2855"/>
    </row>
    <row r="2856" spans="1:5" x14ac:dyDescent="0.2">
      <c r="A2856"/>
      <c r="B2856"/>
      <c r="C2856"/>
      <c r="D2856"/>
      <c r="E2856"/>
    </row>
    <row r="2857" spans="1:5" x14ac:dyDescent="0.2">
      <c r="A2857"/>
      <c r="B2857"/>
      <c r="C2857"/>
      <c r="D2857"/>
      <c r="E2857"/>
    </row>
    <row r="2858" spans="1:5" x14ac:dyDescent="0.2">
      <c r="A2858"/>
      <c r="B2858"/>
      <c r="C2858"/>
      <c r="D2858"/>
      <c r="E2858"/>
    </row>
    <row r="2859" spans="1:5" x14ac:dyDescent="0.2">
      <c r="A2859"/>
      <c r="B2859"/>
      <c r="C2859"/>
      <c r="D2859"/>
      <c r="E2859"/>
    </row>
    <row r="2860" spans="1:5" x14ac:dyDescent="0.2">
      <c r="A2860"/>
      <c r="B2860"/>
      <c r="C2860"/>
      <c r="D2860"/>
      <c r="E2860"/>
    </row>
    <row r="2861" spans="1:5" x14ac:dyDescent="0.2">
      <c r="A2861"/>
      <c r="B2861"/>
      <c r="C2861"/>
      <c r="D2861"/>
      <c r="E2861"/>
    </row>
    <row r="2862" spans="1:5" x14ac:dyDescent="0.2">
      <c r="A2862"/>
      <c r="B2862"/>
      <c r="C2862"/>
      <c r="D2862"/>
      <c r="E2862"/>
    </row>
    <row r="2863" spans="1:5" x14ac:dyDescent="0.2">
      <c r="A2863"/>
      <c r="B2863"/>
      <c r="C2863"/>
      <c r="D2863"/>
      <c r="E2863"/>
    </row>
    <row r="2864" spans="1:5" x14ac:dyDescent="0.2">
      <c r="A2864"/>
      <c r="B2864"/>
      <c r="C2864"/>
      <c r="D2864"/>
      <c r="E2864"/>
    </row>
    <row r="2865" spans="1:5" x14ac:dyDescent="0.2">
      <c r="A2865"/>
      <c r="B2865"/>
      <c r="C2865"/>
      <c r="D2865"/>
      <c r="E2865"/>
    </row>
    <row r="2866" spans="1:5" x14ac:dyDescent="0.2">
      <c r="A2866"/>
      <c r="B2866"/>
      <c r="C2866"/>
      <c r="D2866"/>
      <c r="E2866"/>
    </row>
    <row r="2867" spans="1:5" x14ac:dyDescent="0.2">
      <c r="A2867"/>
      <c r="B2867"/>
      <c r="C2867"/>
      <c r="D2867"/>
      <c r="E2867"/>
    </row>
    <row r="2868" spans="1:5" x14ac:dyDescent="0.2">
      <c r="A2868"/>
      <c r="B2868"/>
      <c r="C2868"/>
      <c r="D2868"/>
      <c r="E2868"/>
    </row>
    <row r="2869" spans="1:5" x14ac:dyDescent="0.2">
      <c r="A2869"/>
      <c r="B2869"/>
      <c r="C2869"/>
      <c r="D2869"/>
      <c r="E2869"/>
    </row>
    <row r="2870" spans="1:5" x14ac:dyDescent="0.2">
      <c r="A2870"/>
      <c r="B2870"/>
      <c r="C2870"/>
      <c r="D2870"/>
      <c r="E2870"/>
    </row>
    <row r="2871" spans="1:5" x14ac:dyDescent="0.2">
      <c r="A2871"/>
      <c r="B2871"/>
      <c r="C2871"/>
      <c r="D2871"/>
      <c r="E2871"/>
    </row>
    <row r="2872" spans="1:5" x14ac:dyDescent="0.2">
      <c r="A2872"/>
      <c r="B2872"/>
      <c r="C2872"/>
      <c r="D2872"/>
      <c r="E2872"/>
    </row>
    <row r="2873" spans="1:5" x14ac:dyDescent="0.2">
      <c r="A2873"/>
      <c r="B2873"/>
      <c r="C2873"/>
      <c r="D2873"/>
      <c r="E2873"/>
    </row>
    <row r="2874" spans="1:5" x14ac:dyDescent="0.2">
      <c r="A2874"/>
      <c r="B2874"/>
      <c r="C2874"/>
      <c r="D2874"/>
      <c r="E2874"/>
    </row>
    <row r="2875" spans="1:5" x14ac:dyDescent="0.2">
      <c r="A2875"/>
      <c r="B2875"/>
      <c r="C2875"/>
      <c r="D2875"/>
      <c r="E2875"/>
    </row>
    <row r="2876" spans="1:5" x14ac:dyDescent="0.2">
      <c r="A2876"/>
      <c r="B2876"/>
      <c r="C2876"/>
      <c r="D2876"/>
      <c r="E2876"/>
    </row>
    <row r="2877" spans="1:5" x14ac:dyDescent="0.2">
      <c r="A2877"/>
      <c r="B2877"/>
      <c r="C2877"/>
      <c r="D2877"/>
      <c r="E2877"/>
    </row>
    <row r="2878" spans="1:5" x14ac:dyDescent="0.2">
      <c r="A2878"/>
      <c r="B2878"/>
      <c r="C2878"/>
      <c r="D2878"/>
      <c r="E2878"/>
    </row>
    <row r="2879" spans="1:5" x14ac:dyDescent="0.2">
      <c r="A2879"/>
      <c r="B2879"/>
      <c r="C2879"/>
      <c r="D2879"/>
      <c r="E2879"/>
    </row>
    <row r="2880" spans="1:5" x14ac:dyDescent="0.2">
      <c r="A2880"/>
      <c r="B2880"/>
      <c r="C2880"/>
      <c r="D2880"/>
      <c r="E2880"/>
    </row>
    <row r="2881" spans="1:5" x14ac:dyDescent="0.2">
      <c r="A2881"/>
      <c r="B2881"/>
      <c r="C2881"/>
      <c r="D2881"/>
      <c r="E2881"/>
    </row>
    <row r="2882" spans="1:5" x14ac:dyDescent="0.2">
      <c r="A2882"/>
      <c r="B2882"/>
      <c r="C2882"/>
      <c r="D2882"/>
      <c r="E2882"/>
    </row>
    <row r="2883" spans="1:5" x14ac:dyDescent="0.2">
      <c r="A2883"/>
      <c r="B2883"/>
      <c r="C2883"/>
      <c r="D2883"/>
      <c r="E2883"/>
    </row>
    <row r="2884" spans="1:5" x14ac:dyDescent="0.2">
      <c r="A2884"/>
      <c r="B2884"/>
      <c r="C2884"/>
      <c r="D2884"/>
      <c r="E2884"/>
    </row>
    <row r="2885" spans="1:5" x14ac:dyDescent="0.2">
      <c r="A2885"/>
      <c r="B2885"/>
      <c r="C2885"/>
      <c r="D2885"/>
      <c r="E2885"/>
    </row>
    <row r="2886" spans="1:5" x14ac:dyDescent="0.2">
      <c r="A2886"/>
      <c r="B2886"/>
      <c r="C2886"/>
      <c r="D2886"/>
      <c r="E2886"/>
    </row>
    <row r="2887" spans="1:5" x14ac:dyDescent="0.2">
      <c r="A2887"/>
      <c r="B2887"/>
      <c r="C2887"/>
      <c r="D2887"/>
      <c r="E2887"/>
    </row>
    <row r="2888" spans="1:5" x14ac:dyDescent="0.2">
      <c r="A2888"/>
      <c r="B2888"/>
      <c r="C2888"/>
      <c r="D2888"/>
      <c r="E2888"/>
    </row>
    <row r="2889" spans="1:5" x14ac:dyDescent="0.2">
      <c r="A2889"/>
      <c r="B2889"/>
      <c r="C2889"/>
      <c r="D2889"/>
      <c r="E2889"/>
    </row>
    <row r="2890" spans="1:5" x14ac:dyDescent="0.2">
      <c r="A2890"/>
      <c r="B2890"/>
      <c r="C2890"/>
      <c r="D2890"/>
      <c r="E2890"/>
    </row>
    <row r="2891" spans="1:5" x14ac:dyDescent="0.2">
      <c r="A2891"/>
      <c r="B2891"/>
      <c r="C2891"/>
      <c r="D2891"/>
      <c r="E2891"/>
    </row>
    <row r="2892" spans="1:5" x14ac:dyDescent="0.2">
      <c r="A2892"/>
      <c r="B2892"/>
      <c r="C2892"/>
      <c r="D2892"/>
      <c r="E2892"/>
    </row>
    <row r="2893" spans="1:5" x14ac:dyDescent="0.2">
      <c r="A2893"/>
      <c r="B2893"/>
      <c r="C2893"/>
      <c r="D2893"/>
      <c r="E2893"/>
    </row>
    <row r="2894" spans="1:5" x14ac:dyDescent="0.2">
      <c r="A2894"/>
      <c r="B2894"/>
      <c r="C2894"/>
      <c r="D2894"/>
      <c r="E2894"/>
    </row>
    <row r="2895" spans="1:5" x14ac:dyDescent="0.2">
      <c r="A2895"/>
      <c r="B2895"/>
      <c r="C2895"/>
      <c r="D2895"/>
      <c r="E2895"/>
    </row>
    <row r="2896" spans="1:5" x14ac:dyDescent="0.2">
      <c r="A2896"/>
      <c r="B2896"/>
      <c r="C2896"/>
      <c r="D2896"/>
      <c r="E2896"/>
    </row>
    <row r="2897" spans="1:5" x14ac:dyDescent="0.2">
      <c r="A2897"/>
      <c r="B2897"/>
      <c r="C2897"/>
      <c r="D2897"/>
      <c r="E2897"/>
    </row>
    <row r="2898" spans="1:5" x14ac:dyDescent="0.2">
      <c r="A2898"/>
      <c r="B2898"/>
      <c r="C2898"/>
      <c r="D2898"/>
      <c r="E2898"/>
    </row>
    <row r="2899" spans="1:5" x14ac:dyDescent="0.2">
      <c r="A2899"/>
      <c r="B2899"/>
      <c r="C2899"/>
      <c r="D2899"/>
      <c r="E2899"/>
    </row>
    <row r="2900" spans="1:5" x14ac:dyDescent="0.2">
      <c r="A2900"/>
      <c r="B2900"/>
      <c r="C2900"/>
      <c r="D2900"/>
      <c r="E2900"/>
    </row>
    <row r="2901" spans="1:5" x14ac:dyDescent="0.2">
      <c r="A2901"/>
      <c r="B2901"/>
      <c r="C2901"/>
      <c r="D2901"/>
      <c r="E2901"/>
    </row>
    <row r="2902" spans="1:5" x14ac:dyDescent="0.2">
      <c r="A2902"/>
      <c r="B2902"/>
      <c r="C2902"/>
      <c r="D2902"/>
      <c r="E2902"/>
    </row>
    <row r="2903" spans="1:5" x14ac:dyDescent="0.2">
      <c r="A2903"/>
      <c r="B2903"/>
      <c r="C2903"/>
      <c r="D2903"/>
      <c r="E2903"/>
    </row>
    <row r="2904" spans="1:5" x14ac:dyDescent="0.2">
      <c r="A2904"/>
      <c r="B2904"/>
      <c r="C2904"/>
      <c r="D2904"/>
      <c r="E2904"/>
    </row>
    <row r="2905" spans="1:5" x14ac:dyDescent="0.2">
      <c r="A2905"/>
      <c r="B2905"/>
      <c r="C2905"/>
      <c r="D2905"/>
      <c r="E2905"/>
    </row>
    <row r="2906" spans="1:5" x14ac:dyDescent="0.2">
      <c r="A2906"/>
      <c r="B2906"/>
      <c r="C2906"/>
      <c r="D2906"/>
      <c r="E2906"/>
    </row>
    <row r="2907" spans="1:5" x14ac:dyDescent="0.2">
      <c r="A2907"/>
      <c r="B2907"/>
      <c r="C2907"/>
      <c r="D2907"/>
      <c r="E2907"/>
    </row>
    <row r="2908" spans="1:5" x14ac:dyDescent="0.2">
      <c r="A2908"/>
      <c r="B2908"/>
      <c r="C2908"/>
      <c r="D2908"/>
      <c r="E2908"/>
    </row>
    <row r="2909" spans="1:5" x14ac:dyDescent="0.2">
      <c r="A2909"/>
      <c r="B2909"/>
      <c r="C2909"/>
      <c r="D2909"/>
      <c r="E2909"/>
    </row>
    <row r="2910" spans="1:5" x14ac:dyDescent="0.2">
      <c r="A2910"/>
      <c r="B2910"/>
      <c r="C2910"/>
      <c r="D2910"/>
      <c r="E2910"/>
    </row>
    <row r="2911" spans="1:5" x14ac:dyDescent="0.2">
      <c r="A2911"/>
      <c r="B2911"/>
      <c r="C2911"/>
      <c r="D2911"/>
      <c r="E2911"/>
    </row>
    <row r="2912" spans="1:5" x14ac:dyDescent="0.2">
      <c r="A2912"/>
      <c r="B2912"/>
      <c r="C2912"/>
      <c r="D2912"/>
      <c r="E2912"/>
    </row>
    <row r="2913" spans="1:5" x14ac:dyDescent="0.2">
      <c r="A2913"/>
      <c r="B2913"/>
      <c r="C2913"/>
      <c r="D2913"/>
      <c r="E2913"/>
    </row>
    <row r="2914" spans="1:5" x14ac:dyDescent="0.2">
      <c r="A2914"/>
      <c r="B2914"/>
      <c r="C2914"/>
      <c r="D2914"/>
      <c r="E2914"/>
    </row>
    <row r="2915" spans="1:5" x14ac:dyDescent="0.2">
      <c r="A2915"/>
      <c r="B2915"/>
      <c r="C2915"/>
      <c r="D2915"/>
      <c r="E2915"/>
    </row>
    <row r="2916" spans="1:5" x14ac:dyDescent="0.2">
      <c r="A2916"/>
      <c r="B2916"/>
      <c r="C2916"/>
      <c r="D2916"/>
      <c r="E2916"/>
    </row>
    <row r="2917" spans="1:5" x14ac:dyDescent="0.2">
      <c r="A2917"/>
      <c r="B2917"/>
      <c r="C2917"/>
      <c r="D2917"/>
      <c r="E2917"/>
    </row>
    <row r="2918" spans="1:5" x14ac:dyDescent="0.2">
      <c r="A2918"/>
      <c r="B2918"/>
      <c r="C2918"/>
      <c r="D2918"/>
      <c r="E2918"/>
    </row>
    <row r="2919" spans="1:5" x14ac:dyDescent="0.2">
      <c r="A2919"/>
      <c r="B2919"/>
      <c r="C2919"/>
      <c r="D2919"/>
      <c r="E2919"/>
    </row>
    <row r="2920" spans="1:5" x14ac:dyDescent="0.2">
      <c r="A2920"/>
      <c r="B2920"/>
      <c r="C2920"/>
      <c r="D2920"/>
      <c r="E2920"/>
    </row>
    <row r="2921" spans="1:5" x14ac:dyDescent="0.2">
      <c r="A2921"/>
      <c r="B2921"/>
      <c r="C2921"/>
      <c r="D2921"/>
      <c r="E2921"/>
    </row>
    <row r="2922" spans="1:5" x14ac:dyDescent="0.2">
      <c r="A2922"/>
      <c r="B2922"/>
      <c r="C2922"/>
      <c r="D2922"/>
      <c r="E2922"/>
    </row>
    <row r="2923" spans="1:5" x14ac:dyDescent="0.2">
      <c r="A2923"/>
      <c r="B2923"/>
      <c r="C2923"/>
      <c r="D2923"/>
      <c r="E2923"/>
    </row>
    <row r="2924" spans="1:5" x14ac:dyDescent="0.2">
      <c r="A2924"/>
      <c r="B2924"/>
      <c r="C2924"/>
      <c r="D2924"/>
      <c r="E2924"/>
    </row>
    <row r="2925" spans="1:5" x14ac:dyDescent="0.2">
      <c r="A2925"/>
      <c r="B2925"/>
      <c r="C2925"/>
      <c r="D2925"/>
      <c r="E2925"/>
    </row>
    <row r="2926" spans="1:5" x14ac:dyDescent="0.2">
      <c r="A2926"/>
      <c r="B2926"/>
      <c r="C2926"/>
      <c r="D2926"/>
      <c r="E2926"/>
    </row>
    <row r="2927" spans="1:5" x14ac:dyDescent="0.2">
      <c r="A2927"/>
      <c r="B2927"/>
      <c r="C2927"/>
      <c r="D2927"/>
      <c r="E2927"/>
    </row>
    <row r="2928" spans="1:5" x14ac:dyDescent="0.2">
      <c r="A2928"/>
      <c r="B2928"/>
      <c r="C2928"/>
      <c r="D2928"/>
      <c r="E2928"/>
    </row>
    <row r="2929" spans="1:5" x14ac:dyDescent="0.2">
      <c r="A2929"/>
      <c r="B2929"/>
      <c r="C2929"/>
      <c r="D2929"/>
      <c r="E2929"/>
    </row>
    <row r="2930" spans="1:5" x14ac:dyDescent="0.2">
      <c r="A2930"/>
      <c r="B2930"/>
      <c r="C2930"/>
      <c r="D2930"/>
      <c r="E2930"/>
    </row>
    <row r="2931" spans="1:5" x14ac:dyDescent="0.2">
      <c r="A2931"/>
      <c r="B2931"/>
      <c r="C2931"/>
      <c r="D2931"/>
      <c r="E2931"/>
    </row>
    <row r="2932" spans="1:5" x14ac:dyDescent="0.2">
      <c r="A2932"/>
      <c r="B2932"/>
      <c r="C2932"/>
      <c r="D2932"/>
      <c r="E2932"/>
    </row>
    <row r="2933" spans="1:5" x14ac:dyDescent="0.2">
      <c r="A2933"/>
      <c r="B2933"/>
      <c r="C2933"/>
      <c r="D2933"/>
      <c r="E2933"/>
    </row>
    <row r="2934" spans="1:5" x14ac:dyDescent="0.2">
      <c r="A2934"/>
      <c r="B2934"/>
      <c r="C2934"/>
      <c r="D2934"/>
      <c r="E2934"/>
    </row>
    <row r="2935" spans="1:5" x14ac:dyDescent="0.2">
      <c r="A2935"/>
      <c r="B2935"/>
      <c r="C2935"/>
      <c r="D2935"/>
      <c r="E2935"/>
    </row>
    <row r="2936" spans="1:5" x14ac:dyDescent="0.2">
      <c r="A2936"/>
      <c r="B2936"/>
      <c r="C2936"/>
      <c r="D2936"/>
      <c r="E2936"/>
    </row>
    <row r="2937" spans="1:5" x14ac:dyDescent="0.2">
      <c r="A2937"/>
      <c r="B2937"/>
      <c r="C2937"/>
      <c r="D2937"/>
      <c r="E2937"/>
    </row>
    <row r="2938" spans="1:5" x14ac:dyDescent="0.2">
      <c r="A2938"/>
      <c r="B2938"/>
      <c r="C2938"/>
      <c r="D2938"/>
      <c r="E2938"/>
    </row>
    <row r="2939" spans="1:5" x14ac:dyDescent="0.2">
      <c r="A2939"/>
      <c r="B2939"/>
      <c r="C2939"/>
      <c r="D2939"/>
      <c r="E2939"/>
    </row>
    <row r="2940" spans="1:5" x14ac:dyDescent="0.2">
      <c r="A2940"/>
      <c r="B2940"/>
      <c r="C2940"/>
      <c r="D2940"/>
      <c r="E2940"/>
    </row>
    <row r="2941" spans="1:5" x14ac:dyDescent="0.2">
      <c r="A2941"/>
      <c r="B2941"/>
      <c r="C2941"/>
      <c r="D2941"/>
      <c r="E2941"/>
    </row>
    <row r="2942" spans="1:5" x14ac:dyDescent="0.2">
      <c r="A2942"/>
      <c r="B2942"/>
      <c r="C2942"/>
      <c r="D2942"/>
      <c r="E2942"/>
    </row>
    <row r="2943" spans="1:5" x14ac:dyDescent="0.2">
      <c r="A2943"/>
      <c r="B2943"/>
      <c r="C2943"/>
      <c r="D2943"/>
      <c r="E2943"/>
    </row>
    <row r="2944" spans="1:5" x14ac:dyDescent="0.2">
      <c r="A2944"/>
      <c r="B2944"/>
      <c r="C2944"/>
      <c r="D2944"/>
      <c r="E2944"/>
    </row>
    <row r="2945" spans="1:5" x14ac:dyDescent="0.2">
      <c r="A2945"/>
      <c r="B2945"/>
      <c r="C2945"/>
      <c r="D2945"/>
      <c r="E2945"/>
    </row>
    <row r="2946" spans="1:5" x14ac:dyDescent="0.2">
      <c r="A2946"/>
      <c r="B2946"/>
      <c r="C2946"/>
      <c r="D2946"/>
      <c r="E2946"/>
    </row>
    <row r="2947" spans="1:5" x14ac:dyDescent="0.2">
      <c r="A2947"/>
      <c r="B2947"/>
      <c r="C2947"/>
      <c r="D2947"/>
      <c r="E2947"/>
    </row>
    <row r="2948" spans="1:5" x14ac:dyDescent="0.2">
      <c r="A2948"/>
      <c r="B2948"/>
      <c r="C2948"/>
      <c r="D2948"/>
      <c r="E2948"/>
    </row>
    <row r="2949" spans="1:5" x14ac:dyDescent="0.2">
      <c r="A2949"/>
      <c r="B2949"/>
      <c r="C2949"/>
      <c r="D2949"/>
      <c r="E2949"/>
    </row>
    <row r="2950" spans="1:5" x14ac:dyDescent="0.2">
      <c r="A2950"/>
      <c r="B2950"/>
      <c r="C2950"/>
      <c r="D2950"/>
      <c r="E2950"/>
    </row>
    <row r="2951" spans="1:5" x14ac:dyDescent="0.2">
      <c r="A2951"/>
      <c r="B2951"/>
      <c r="C2951"/>
      <c r="D2951"/>
      <c r="E2951"/>
    </row>
    <row r="2952" spans="1:5" x14ac:dyDescent="0.2">
      <c r="A2952"/>
      <c r="B2952"/>
      <c r="C2952"/>
      <c r="D2952"/>
      <c r="E2952"/>
    </row>
    <row r="2953" spans="1:5" x14ac:dyDescent="0.2">
      <c r="A2953"/>
      <c r="B2953"/>
      <c r="C2953"/>
      <c r="D2953"/>
      <c r="E2953"/>
    </row>
    <row r="2954" spans="1:5" x14ac:dyDescent="0.2">
      <c r="A2954"/>
      <c r="B2954"/>
      <c r="C2954"/>
      <c r="D2954"/>
      <c r="E2954"/>
    </row>
    <row r="2955" spans="1:5" x14ac:dyDescent="0.2">
      <c r="A2955"/>
      <c r="B2955"/>
      <c r="C2955"/>
      <c r="D2955"/>
      <c r="E2955"/>
    </row>
    <row r="2956" spans="1:5" x14ac:dyDescent="0.2">
      <c r="A2956"/>
      <c r="B2956"/>
      <c r="C2956"/>
      <c r="D2956"/>
      <c r="E2956"/>
    </row>
    <row r="2957" spans="1:5" x14ac:dyDescent="0.2">
      <c r="A2957"/>
      <c r="B2957"/>
      <c r="C2957"/>
      <c r="D2957"/>
      <c r="E2957"/>
    </row>
    <row r="2958" spans="1:5" x14ac:dyDescent="0.2">
      <c r="A2958"/>
      <c r="B2958"/>
      <c r="C2958"/>
      <c r="D2958"/>
      <c r="E2958"/>
    </row>
    <row r="2959" spans="1:5" x14ac:dyDescent="0.2">
      <c r="A2959"/>
      <c r="B2959"/>
      <c r="C2959"/>
      <c r="D2959"/>
      <c r="E2959"/>
    </row>
    <row r="2960" spans="1:5" x14ac:dyDescent="0.2">
      <c r="A2960"/>
      <c r="B2960"/>
      <c r="C2960"/>
      <c r="D2960"/>
      <c r="E2960"/>
    </row>
    <row r="2961" spans="1:5" x14ac:dyDescent="0.2">
      <c r="A2961"/>
      <c r="B2961"/>
      <c r="C2961"/>
      <c r="D2961"/>
      <c r="E2961"/>
    </row>
    <row r="2962" spans="1:5" x14ac:dyDescent="0.2">
      <c r="A2962"/>
      <c r="B2962"/>
      <c r="C2962"/>
      <c r="D2962"/>
      <c r="E2962"/>
    </row>
    <row r="2963" spans="1:5" x14ac:dyDescent="0.2">
      <c r="A2963"/>
      <c r="B2963"/>
      <c r="C2963"/>
      <c r="D2963"/>
      <c r="E2963"/>
    </row>
    <row r="2964" spans="1:5" x14ac:dyDescent="0.2">
      <c r="A2964"/>
      <c r="B2964"/>
      <c r="C2964"/>
      <c r="D2964"/>
      <c r="E2964"/>
    </row>
    <row r="2965" spans="1:5" x14ac:dyDescent="0.2">
      <c r="A2965"/>
      <c r="B2965"/>
      <c r="C2965"/>
      <c r="D2965"/>
      <c r="E2965"/>
    </row>
    <row r="2966" spans="1:5" x14ac:dyDescent="0.2">
      <c r="A2966"/>
      <c r="B2966"/>
      <c r="C2966"/>
      <c r="D2966"/>
      <c r="E2966"/>
    </row>
    <row r="2967" spans="1:5" x14ac:dyDescent="0.2">
      <c r="A2967"/>
      <c r="B2967"/>
      <c r="C2967"/>
      <c r="D2967"/>
      <c r="E2967"/>
    </row>
    <row r="2968" spans="1:5" x14ac:dyDescent="0.2">
      <c r="A2968"/>
      <c r="B2968"/>
      <c r="C2968"/>
      <c r="D2968"/>
      <c r="E2968"/>
    </row>
    <row r="2969" spans="1:5" x14ac:dyDescent="0.2">
      <c r="A2969"/>
      <c r="B2969"/>
      <c r="C2969"/>
      <c r="D2969"/>
      <c r="E2969"/>
    </row>
    <row r="2970" spans="1:5" x14ac:dyDescent="0.2">
      <c r="A2970"/>
      <c r="B2970"/>
      <c r="C2970"/>
      <c r="D2970"/>
      <c r="E2970"/>
    </row>
    <row r="2971" spans="1:5" x14ac:dyDescent="0.2">
      <c r="A2971"/>
      <c r="B2971"/>
      <c r="C2971"/>
      <c r="D2971"/>
      <c r="E2971"/>
    </row>
    <row r="2972" spans="1:5" x14ac:dyDescent="0.2">
      <c r="A2972"/>
      <c r="B2972"/>
      <c r="C2972"/>
      <c r="D2972"/>
      <c r="E2972"/>
    </row>
    <row r="2973" spans="1:5" x14ac:dyDescent="0.2">
      <c r="A2973"/>
      <c r="B2973"/>
      <c r="C2973"/>
      <c r="D2973"/>
      <c r="E2973"/>
    </row>
    <row r="2974" spans="1:5" x14ac:dyDescent="0.2">
      <c r="A2974"/>
      <c r="B2974"/>
      <c r="C2974"/>
      <c r="D2974"/>
      <c r="E2974"/>
    </row>
    <row r="2975" spans="1:5" x14ac:dyDescent="0.2">
      <c r="A2975"/>
      <c r="B2975"/>
      <c r="C2975"/>
      <c r="D2975"/>
      <c r="E2975"/>
    </row>
    <row r="2976" spans="1:5" x14ac:dyDescent="0.2">
      <c r="A2976"/>
      <c r="B2976"/>
      <c r="C2976"/>
      <c r="D2976"/>
      <c r="E2976"/>
    </row>
    <row r="2977" spans="1:5" x14ac:dyDescent="0.2">
      <c r="A2977"/>
      <c r="B2977"/>
      <c r="C2977"/>
      <c r="D2977"/>
      <c r="E2977"/>
    </row>
    <row r="2978" spans="1:5" x14ac:dyDescent="0.2">
      <c r="A2978"/>
      <c r="B2978"/>
      <c r="C2978"/>
      <c r="D2978"/>
      <c r="E2978"/>
    </row>
    <row r="2979" spans="1:5" x14ac:dyDescent="0.2">
      <c r="A2979"/>
      <c r="B2979"/>
      <c r="C2979"/>
      <c r="D2979"/>
      <c r="E2979"/>
    </row>
    <row r="2980" spans="1:5" x14ac:dyDescent="0.2">
      <c r="A2980"/>
      <c r="B2980"/>
      <c r="C2980"/>
      <c r="D2980"/>
      <c r="E2980"/>
    </row>
    <row r="2981" spans="1:5" x14ac:dyDescent="0.2">
      <c r="A2981"/>
      <c r="B2981"/>
      <c r="C2981"/>
      <c r="D2981"/>
      <c r="E2981"/>
    </row>
    <row r="2982" spans="1:5" x14ac:dyDescent="0.2">
      <c r="A2982"/>
      <c r="B2982"/>
      <c r="C2982"/>
      <c r="D2982"/>
      <c r="E2982"/>
    </row>
    <row r="2983" spans="1:5" x14ac:dyDescent="0.2">
      <c r="A2983"/>
      <c r="B2983"/>
      <c r="C2983"/>
      <c r="D2983"/>
      <c r="E2983"/>
    </row>
    <row r="2984" spans="1:5" x14ac:dyDescent="0.2">
      <c r="A2984"/>
      <c r="B2984"/>
      <c r="C2984"/>
      <c r="D2984"/>
      <c r="E2984"/>
    </row>
    <row r="2985" spans="1:5" x14ac:dyDescent="0.2">
      <c r="A2985"/>
      <c r="B2985"/>
      <c r="C2985"/>
      <c r="D2985"/>
      <c r="E2985"/>
    </row>
    <row r="2986" spans="1:5" x14ac:dyDescent="0.2">
      <c r="A2986"/>
      <c r="B2986"/>
      <c r="C2986"/>
      <c r="D2986"/>
      <c r="E2986"/>
    </row>
    <row r="2987" spans="1:5" x14ac:dyDescent="0.2">
      <c r="A2987"/>
      <c r="B2987"/>
      <c r="C2987"/>
      <c r="D2987"/>
      <c r="E2987"/>
    </row>
    <row r="2988" spans="1:5" x14ac:dyDescent="0.2">
      <c r="A2988"/>
      <c r="B2988"/>
      <c r="C2988"/>
      <c r="D2988"/>
      <c r="E2988"/>
    </row>
    <row r="2989" spans="1:5" x14ac:dyDescent="0.2">
      <c r="A2989"/>
      <c r="B2989"/>
      <c r="C2989"/>
      <c r="D2989"/>
      <c r="E2989"/>
    </row>
    <row r="2990" spans="1:5" x14ac:dyDescent="0.2">
      <c r="A2990"/>
      <c r="B2990"/>
      <c r="C2990"/>
      <c r="D2990"/>
      <c r="E2990"/>
    </row>
    <row r="2991" spans="1:5" x14ac:dyDescent="0.2">
      <c r="A2991"/>
      <c r="B2991"/>
      <c r="C2991"/>
      <c r="D2991"/>
      <c r="E2991"/>
    </row>
    <row r="2992" spans="1:5" x14ac:dyDescent="0.2">
      <c r="A2992"/>
      <c r="B2992"/>
      <c r="C2992"/>
      <c r="D2992"/>
      <c r="E2992"/>
    </row>
    <row r="2993" spans="1:5" x14ac:dyDescent="0.2">
      <c r="A2993"/>
      <c r="B2993"/>
      <c r="C2993"/>
      <c r="D2993"/>
      <c r="E2993"/>
    </row>
    <row r="2994" spans="1:5" x14ac:dyDescent="0.2">
      <c r="A2994"/>
      <c r="B2994"/>
      <c r="C2994"/>
      <c r="D2994"/>
      <c r="E2994"/>
    </row>
    <row r="2995" spans="1:5" x14ac:dyDescent="0.2">
      <c r="A2995"/>
      <c r="B2995"/>
      <c r="C2995"/>
      <c r="D2995"/>
      <c r="E2995"/>
    </row>
    <row r="2996" spans="1:5" x14ac:dyDescent="0.2">
      <c r="A2996"/>
      <c r="B2996"/>
      <c r="C2996"/>
      <c r="D2996"/>
      <c r="E2996"/>
    </row>
    <row r="2997" spans="1:5" x14ac:dyDescent="0.2">
      <c r="A2997"/>
      <c r="B2997"/>
      <c r="C2997"/>
      <c r="D2997"/>
      <c r="E2997"/>
    </row>
    <row r="2998" spans="1:5" x14ac:dyDescent="0.2">
      <c r="A2998"/>
      <c r="B2998"/>
      <c r="C2998"/>
      <c r="D2998"/>
      <c r="E2998"/>
    </row>
    <row r="2999" spans="1:5" x14ac:dyDescent="0.2">
      <c r="A2999"/>
      <c r="B2999"/>
      <c r="C2999"/>
      <c r="D2999"/>
      <c r="E2999"/>
    </row>
    <row r="3000" spans="1:5" x14ac:dyDescent="0.2">
      <c r="A3000"/>
      <c r="B3000"/>
      <c r="C3000"/>
      <c r="D3000"/>
      <c r="E3000"/>
    </row>
    <row r="3001" spans="1:5" x14ac:dyDescent="0.2">
      <c r="A3001"/>
      <c r="B3001"/>
      <c r="C3001"/>
      <c r="D3001"/>
      <c r="E3001"/>
    </row>
    <row r="3002" spans="1:5" x14ac:dyDescent="0.2">
      <c r="A3002"/>
      <c r="B3002"/>
      <c r="C3002"/>
      <c r="D3002"/>
      <c r="E3002"/>
    </row>
    <row r="3003" spans="1:5" x14ac:dyDescent="0.2">
      <c r="A3003"/>
      <c r="B3003"/>
      <c r="C3003"/>
      <c r="D3003"/>
      <c r="E3003"/>
    </row>
    <row r="3004" spans="1:5" x14ac:dyDescent="0.2">
      <c r="A3004"/>
      <c r="B3004"/>
      <c r="C3004"/>
      <c r="D3004"/>
      <c r="E3004"/>
    </row>
    <row r="3005" spans="1:5" x14ac:dyDescent="0.2">
      <c r="A3005"/>
      <c r="B3005"/>
      <c r="C3005"/>
      <c r="D3005"/>
      <c r="E3005"/>
    </row>
    <row r="3006" spans="1:5" x14ac:dyDescent="0.2">
      <c r="A3006"/>
      <c r="B3006"/>
      <c r="C3006"/>
      <c r="D3006"/>
      <c r="E3006"/>
    </row>
    <row r="3007" spans="1:5" x14ac:dyDescent="0.2">
      <c r="A3007"/>
      <c r="B3007"/>
      <c r="C3007"/>
      <c r="D3007"/>
      <c r="E3007"/>
    </row>
    <row r="3008" spans="1:5" x14ac:dyDescent="0.2">
      <c r="A3008"/>
      <c r="B3008"/>
      <c r="C3008"/>
      <c r="D3008"/>
      <c r="E3008"/>
    </row>
    <row r="3009" spans="1:5" x14ac:dyDescent="0.2">
      <c r="A3009"/>
      <c r="B3009"/>
      <c r="C3009"/>
      <c r="D3009"/>
      <c r="E3009"/>
    </row>
    <row r="3010" spans="1:5" x14ac:dyDescent="0.2">
      <c r="A3010"/>
      <c r="B3010"/>
      <c r="C3010"/>
      <c r="D3010"/>
      <c r="E3010"/>
    </row>
    <row r="3011" spans="1:5" x14ac:dyDescent="0.2">
      <c r="A3011"/>
      <c r="B3011"/>
      <c r="C3011"/>
      <c r="D3011"/>
      <c r="E3011"/>
    </row>
    <row r="3012" spans="1:5" x14ac:dyDescent="0.2">
      <c r="A3012"/>
      <c r="B3012"/>
      <c r="C3012"/>
      <c r="D3012"/>
      <c r="E3012"/>
    </row>
    <row r="3013" spans="1:5" x14ac:dyDescent="0.2">
      <c r="A3013"/>
      <c r="B3013"/>
      <c r="C3013"/>
      <c r="D3013"/>
      <c r="E3013"/>
    </row>
    <row r="3014" spans="1:5" x14ac:dyDescent="0.2">
      <c r="A3014"/>
      <c r="B3014"/>
      <c r="C3014"/>
      <c r="D3014"/>
      <c r="E3014"/>
    </row>
    <row r="3015" spans="1:5" x14ac:dyDescent="0.2">
      <c r="A3015"/>
      <c r="B3015"/>
      <c r="C3015"/>
      <c r="D3015"/>
      <c r="E3015"/>
    </row>
    <row r="3016" spans="1:5" x14ac:dyDescent="0.2">
      <c r="A3016"/>
      <c r="B3016"/>
      <c r="C3016"/>
      <c r="D3016"/>
      <c r="E3016"/>
    </row>
    <row r="3017" spans="1:5" x14ac:dyDescent="0.2">
      <c r="A3017"/>
      <c r="B3017"/>
      <c r="C3017"/>
      <c r="D3017"/>
      <c r="E3017"/>
    </row>
    <row r="3018" spans="1:5" x14ac:dyDescent="0.2">
      <c r="A3018"/>
      <c r="B3018"/>
      <c r="C3018"/>
      <c r="D3018"/>
      <c r="E3018"/>
    </row>
    <row r="3019" spans="1:5" x14ac:dyDescent="0.2">
      <c r="A3019"/>
      <c r="B3019"/>
      <c r="C3019"/>
      <c r="D3019"/>
      <c r="E3019"/>
    </row>
    <row r="3020" spans="1:5" x14ac:dyDescent="0.2">
      <c r="A3020"/>
      <c r="B3020"/>
      <c r="C3020"/>
      <c r="D3020"/>
      <c r="E3020"/>
    </row>
    <row r="3021" spans="1:5" x14ac:dyDescent="0.2">
      <c r="A3021"/>
      <c r="B3021"/>
      <c r="C3021"/>
      <c r="D3021"/>
      <c r="E3021"/>
    </row>
    <row r="3022" spans="1:5" x14ac:dyDescent="0.2">
      <c r="A3022"/>
      <c r="B3022"/>
      <c r="C3022"/>
      <c r="D3022"/>
      <c r="E3022"/>
    </row>
    <row r="3023" spans="1:5" x14ac:dyDescent="0.2">
      <c r="A3023"/>
      <c r="B3023"/>
      <c r="C3023"/>
      <c r="D3023"/>
      <c r="E3023"/>
    </row>
    <row r="3024" spans="1:5" x14ac:dyDescent="0.2">
      <c r="A3024"/>
      <c r="B3024"/>
      <c r="C3024"/>
      <c r="D3024"/>
      <c r="E3024"/>
    </row>
    <row r="3025" spans="1:5" x14ac:dyDescent="0.2">
      <c r="A3025"/>
      <c r="B3025"/>
      <c r="C3025"/>
      <c r="D3025"/>
      <c r="E3025"/>
    </row>
    <row r="3026" spans="1:5" x14ac:dyDescent="0.2">
      <c r="A3026"/>
      <c r="B3026"/>
      <c r="C3026"/>
      <c r="D3026"/>
      <c r="E3026"/>
    </row>
    <row r="3027" spans="1:5" x14ac:dyDescent="0.2">
      <c r="A3027"/>
      <c r="B3027"/>
      <c r="C3027"/>
      <c r="D3027"/>
      <c r="E3027"/>
    </row>
    <row r="3028" spans="1:5" x14ac:dyDescent="0.2">
      <c r="A3028"/>
      <c r="B3028"/>
      <c r="C3028"/>
      <c r="D3028"/>
      <c r="E3028"/>
    </row>
    <row r="3029" spans="1:5" x14ac:dyDescent="0.2">
      <c r="A3029"/>
      <c r="B3029"/>
      <c r="C3029"/>
      <c r="D3029"/>
      <c r="E3029"/>
    </row>
    <row r="3030" spans="1:5" x14ac:dyDescent="0.2">
      <c r="A3030"/>
      <c r="B3030"/>
      <c r="C3030"/>
      <c r="D3030"/>
      <c r="E3030"/>
    </row>
    <row r="3031" spans="1:5" x14ac:dyDescent="0.2">
      <c r="A3031"/>
      <c r="B3031"/>
      <c r="C3031"/>
      <c r="D3031"/>
      <c r="E3031"/>
    </row>
    <row r="3032" spans="1:5" x14ac:dyDescent="0.2">
      <c r="A3032"/>
      <c r="B3032"/>
      <c r="C3032"/>
      <c r="D3032"/>
      <c r="E3032"/>
    </row>
    <row r="3033" spans="1:5" x14ac:dyDescent="0.2">
      <c r="A3033"/>
      <c r="B3033"/>
      <c r="C3033"/>
      <c r="D3033"/>
      <c r="E3033"/>
    </row>
    <row r="3034" spans="1:5" x14ac:dyDescent="0.2">
      <c r="A3034"/>
      <c r="B3034"/>
      <c r="C3034"/>
      <c r="D3034"/>
      <c r="E3034"/>
    </row>
    <row r="3035" spans="1:5" x14ac:dyDescent="0.2">
      <c r="A3035"/>
      <c r="B3035"/>
      <c r="C3035"/>
      <c r="D3035"/>
      <c r="E3035"/>
    </row>
    <row r="3036" spans="1:5" x14ac:dyDescent="0.2">
      <c r="A3036"/>
      <c r="B3036"/>
      <c r="C3036"/>
      <c r="D3036"/>
      <c r="E3036"/>
    </row>
    <row r="3037" spans="1:5" x14ac:dyDescent="0.2">
      <c r="A3037"/>
      <c r="B3037"/>
      <c r="C3037"/>
      <c r="D3037"/>
      <c r="E3037"/>
    </row>
    <row r="3038" spans="1:5" x14ac:dyDescent="0.2">
      <c r="A3038"/>
      <c r="B3038"/>
      <c r="C3038"/>
      <c r="D3038"/>
      <c r="E3038"/>
    </row>
    <row r="3039" spans="1:5" x14ac:dyDescent="0.2">
      <c r="A3039"/>
      <c r="B3039"/>
      <c r="C3039"/>
      <c r="D3039"/>
      <c r="E3039"/>
    </row>
    <row r="3040" spans="1:5" x14ac:dyDescent="0.2">
      <c r="A3040"/>
      <c r="B3040"/>
      <c r="C3040"/>
      <c r="D3040"/>
      <c r="E3040"/>
    </row>
    <row r="3041" spans="1:5" x14ac:dyDescent="0.2">
      <c r="A3041"/>
      <c r="B3041"/>
      <c r="C3041"/>
      <c r="D3041"/>
      <c r="E3041"/>
    </row>
    <row r="3042" spans="1:5" x14ac:dyDescent="0.2">
      <c r="A3042"/>
      <c r="B3042"/>
      <c r="C3042"/>
      <c r="D3042"/>
      <c r="E3042"/>
    </row>
    <row r="3043" spans="1:5" x14ac:dyDescent="0.2">
      <c r="A3043"/>
      <c r="B3043"/>
      <c r="C3043"/>
      <c r="D3043"/>
      <c r="E3043"/>
    </row>
    <row r="3044" spans="1:5" x14ac:dyDescent="0.2">
      <c r="A3044"/>
      <c r="B3044"/>
      <c r="C3044"/>
      <c r="D3044"/>
      <c r="E3044"/>
    </row>
    <row r="3045" spans="1:5" x14ac:dyDescent="0.2">
      <c r="A3045"/>
      <c r="B3045"/>
      <c r="C3045"/>
      <c r="D3045"/>
      <c r="E3045"/>
    </row>
    <row r="3046" spans="1:5" x14ac:dyDescent="0.2">
      <c r="A3046"/>
      <c r="B3046"/>
      <c r="C3046"/>
      <c r="D3046"/>
      <c r="E3046"/>
    </row>
    <row r="3047" spans="1:5" x14ac:dyDescent="0.2">
      <c r="A3047"/>
      <c r="B3047"/>
      <c r="C3047"/>
      <c r="D3047"/>
      <c r="E3047"/>
    </row>
    <row r="3048" spans="1:5" x14ac:dyDescent="0.2">
      <c r="A3048"/>
      <c r="B3048"/>
      <c r="C3048"/>
      <c r="D3048"/>
      <c r="E3048"/>
    </row>
    <row r="3049" spans="1:5" x14ac:dyDescent="0.2">
      <c r="A3049"/>
      <c r="B3049"/>
      <c r="C3049"/>
      <c r="D3049"/>
      <c r="E3049"/>
    </row>
    <row r="3050" spans="1:5" x14ac:dyDescent="0.2">
      <c r="A3050"/>
      <c r="B3050"/>
      <c r="C3050"/>
      <c r="D3050"/>
      <c r="E3050"/>
    </row>
    <row r="3051" spans="1:5" x14ac:dyDescent="0.2">
      <c r="A3051"/>
      <c r="B3051"/>
      <c r="C3051"/>
      <c r="D3051"/>
      <c r="E3051"/>
    </row>
    <row r="3052" spans="1:5" x14ac:dyDescent="0.2">
      <c r="A3052"/>
      <c r="B3052"/>
      <c r="C3052"/>
      <c r="D3052"/>
      <c r="E3052"/>
    </row>
    <row r="3053" spans="1:5" x14ac:dyDescent="0.2">
      <c r="A3053"/>
      <c r="B3053"/>
      <c r="C3053"/>
      <c r="D3053"/>
      <c r="E3053"/>
    </row>
    <row r="3054" spans="1:5" x14ac:dyDescent="0.2">
      <c r="A3054"/>
      <c r="B3054"/>
      <c r="C3054"/>
      <c r="D3054"/>
      <c r="E3054"/>
    </row>
    <row r="3055" spans="1:5" x14ac:dyDescent="0.2">
      <c r="A3055"/>
      <c r="B3055"/>
      <c r="C3055"/>
      <c r="D3055"/>
      <c r="E3055"/>
    </row>
    <row r="3056" spans="1:5" x14ac:dyDescent="0.2">
      <c r="A3056"/>
      <c r="B3056"/>
      <c r="C3056"/>
      <c r="D3056"/>
      <c r="E3056"/>
    </row>
    <row r="3057" spans="1:5" x14ac:dyDescent="0.2">
      <c r="A3057"/>
      <c r="B3057"/>
      <c r="C3057"/>
      <c r="D3057"/>
      <c r="E3057"/>
    </row>
    <row r="3058" spans="1:5" x14ac:dyDescent="0.2">
      <c r="A3058"/>
      <c r="B3058"/>
      <c r="C3058"/>
      <c r="D3058"/>
      <c r="E3058"/>
    </row>
    <row r="3059" spans="1:5" x14ac:dyDescent="0.2">
      <c r="A3059"/>
      <c r="B3059"/>
      <c r="C3059"/>
      <c r="D3059"/>
      <c r="E3059"/>
    </row>
    <row r="3060" spans="1:5" x14ac:dyDescent="0.2">
      <c r="A3060"/>
      <c r="B3060"/>
      <c r="C3060"/>
      <c r="D3060"/>
      <c r="E3060"/>
    </row>
    <row r="3061" spans="1:5" x14ac:dyDescent="0.2">
      <c r="A3061"/>
      <c r="B3061"/>
      <c r="C3061"/>
      <c r="D3061"/>
      <c r="E3061"/>
    </row>
    <row r="3062" spans="1:5" x14ac:dyDescent="0.2">
      <c r="A3062"/>
      <c r="B3062"/>
      <c r="C3062"/>
      <c r="D3062"/>
      <c r="E3062"/>
    </row>
    <row r="3063" spans="1:5" x14ac:dyDescent="0.2">
      <c r="A3063"/>
      <c r="B3063"/>
      <c r="C3063"/>
      <c r="D3063"/>
      <c r="E3063"/>
    </row>
    <row r="3064" spans="1:5" x14ac:dyDescent="0.2">
      <c r="A3064"/>
      <c r="B3064"/>
      <c r="C3064"/>
      <c r="D3064"/>
      <c r="E3064"/>
    </row>
    <row r="3065" spans="1:5" x14ac:dyDescent="0.2">
      <c r="A3065"/>
      <c r="B3065"/>
      <c r="C3065"/>
      <c r="D3065"/>
      <c r="E3065"/>
    </row>
    <row r="3066" spans="1:5" x14ac:dyDescent="0.2">
      <c r="A3066"/>
      <c r="B3066"/>
      <c r="C3066"/>
      <c r="D3066"/>
      <c r="E3066"/>
    </row>
    <row r="3067" spans="1:5" x14ac:dyDescent="0.2">
      <c r="A3067"/>
      <c r="B3067"/>
      <c r="C3067"/>
      <c r="D3067"/>
      <c r="E3067"/>
    </row>
    <row r="3068" spans="1:5" x14ac:dyDescent="0.2">
      <c r="A3068"/>
      <c r="B3068"/>
      <c r="C3068"/>
      <c r="D3068"/>
      <c r="E3068"/>
    </row>
    <row r="3069" spans="1:5" x14ac:dyDescent="0.2">
      <c r="A3069"/>
      <c r="B3069"/>
      <c r="C3069"/>
      <c r="D3069"/>
      <c r="E3069"/>
    </row>
    <row r="3070" spans="1:5" x14ac:dyDescent="0.2">
      <c r="A3070"/>
      <c r="B3070"/>
      <c r="C3070"/>
      <c r="D3070"/>
      <c r="E3070"/>
    </row>
    <row r="3071" spans="1:5" x14ac:dyDescent="0.2">
      <c r="A3071"/>
      <c r="B3071"/>
      <c r="C3071"/>
      <c r="D3071"/>
      <c r="E3071"/>
    </row>
    <row r="3072" spans="1:5" x14ac:dyDescent="0.2">
      <c r="A3072"/>
      <c r="B3072"/>
      <c r="C3072"/>
      <c r="D3072"/>
      <c r="E3072"/>
    </row>
    <row r="3073" spans="1:5" x14ac:dyDescent="0.2">
      <c r="A3073"/>
      <c r="B3073"/>
      <c r="C3073"/>
      <c r="D3073"/>
      <c r="E3073"/>
    </row>
    <row r="3074" spans="1:5" x14ac:dyDescent="0.2">
      <c r="A3074"/>
      <c r="B3074"/>
      <c r="C3074"/>
      <c r="D3074"/>
      <c r="E3074"/>
    </row>
    <row r="3075" spans="1:5" x14ac:dyDescent="0.2">
      <c r="A3075"/>
      <c r="B3075"/>
      <c r="C3075"/>
      <c r="D3075"/>
      <c r="E3075"/>
    </row>
    <row r="3076" spans="1:5" x14ac:dyDescent="0.2">
      <c r="A3076"/>
      <c r="B3076"/>
      <c r="C3076"/>
      <c r="D3076"/>
      <c r="E3076"/>
    </row>
    <row r="3077" spans="1:5" x14ac:dyDescent="0.2">
      <c r="A3077"/>
      <c r="B3077"/>
      <c r="C3077"/>
      <c r="D3077"/>
      <c r="E3077"/>
    </row>
    <row r="3078" spans="1:5" x14ac:dyDescent="0.2">
      <c r="A3078"/>
      <c r="B3078"/>
      <c r="C3078"/>
      <c r="D3078"/>
      <c r="E3078"/>
    </row>
    <row r="3079" spans="1:5" x14ac:dyDescent="0.2">
      <c r="A3079"/>
      <c r="B3079"/>
      <c r="C3079"/>
      <c r="D3079"/>
      <c r="E3079"/>
    </row>
    <row r="3080" spans="1:5" x14ac:dyDescent="0.2">
      <c r="A3080"/>
      <c r="B3080"/>
      <c r="C3080"/>
      <c r="D3080"/>
      <c r="E3080"/>
    </row>
    <row r="3081" spans="1:5" x14ac:dyDescent="0.2">
      <c r="A3081"/>
      <c r="B3081"/>
      <c r="C3081"/>
      <c r="D3081"/>
      <c r="E3081"/>
    </row>
    <row r="3082" spans="1:5" x14ac:dyDescent="0.2">
      <c r="A3082"/>
      <c r="B3082"/>
      <c r="C3082"/>
      <c r="D3082"/>
      <c r="E3082"/>
    </row>
    <row r="3083" spans="1:5" x14ac:dyDescent="0.2">
      <c r="A3083"/>
      <c r="B3083"/>
      <c r="C3083"/>
      <c r="D3083"/>
      <c r="E3083"/>
    </row>
    <row r="3084" spans="1:5" x14ac:dyDescent="0.2">
      <c r="A3084"/>
      <c r="B3084"/>
      <c r="C3084"/>
      <c r="D3084"/>
      <c r="E3084"/>
    </row>
    <row r="3085" spans="1:5" x14ac:dyDescent="0.2">
      <c r="A3085"/>
      <c r="B3085"/>
      <c r="C3085"/>
      <c r="D3085"/>
      <c r="E3085"/>
    </row>
    <row r="3086" spans="1:5" x14ac:dyDescent="0.2">
      <c r="A3086"/>
      <c r="B3086"/>
      <c r="C3086"/>
      <c r="D3086"/>
      <c r="E3086"/>
    </row>
    <row r="3087" spans="1:5" x14ac:dyDescent="0.2">
      <c r="A3087"/>
      <c r="B3087"/>
      <c r="C3087"/>
      <c r="D3087"/>
      <c r="E3087"/>
    </row>
    <row r="3088" spans="1:5" x14ac:dyDescent="0.2">
      <c r="A3088"/>
      <c r="B3088"/>
      <c r="C3088"/>
      <c r="D3088"/>
      <c r="E3088"/>
    </row>
    <row r="3089" spans="1:5" x14ac:dyDescent="0.2">
      <c r="A3089"/>
      <c r="B3089"/>
      <c r="C3089"/>
      <c r="D3089"/>
      <c r="E3089"/>
    </row>
    <row r="3090" spans="1:5" x14ac:dyDescent="0.2">
      <c r="A3090"/>
      <c r="B3090"/>
      <c r="C3090"/>
      <c r="D3090"/>
      <c r="E3090"/>
    </row>
    <row r="3091" spans="1:5" x14ac:dyDescent="0.2">
      <c r="A3091"/>
      <c r="B3091"/>
      <c r="C3091"/>
      <c r="D3091"/>
      <c r="E3091"/>
    </row>
    <row r="3092" spans="1:5" x14ac:dyDescent="0.2">
      <c r="A3092"/>
      <c r="B3092"/>
      <c r="C3092"/>
      <c r="D3092"/>
      <c r="E3092"/>
    </row>
    <row r="3093" spans="1:5" x14ac:dyDescent="0.2">
      <c r="A3093"/>
      <c r="B3093"/>
      <c r="C3093"/>
      <c r="D3093"/>
      <c r="E3093"/>
    </row>
    <row r="3094" spans="1:5" x14ac:dyDescent="0.2">
      <c r="A3094"/>
      <c r="B3094"/>
      <c r="C3094"/>
      <c r="D3094"/>
      <c r="E3094"/>
    </row>
    <row r="3095" spans="1:5" x14ac:dyDescent="0.2">
      <c r="A3095"/>
      <c r="B3095"/>
      <c r="C3095"/>
      <c r="D3095"/>
      <c r="E3095"/>
    </row>
    <row r="3096" spans="1:5" x14ac:dyDescent="0.2">
      <c r="A3096"/>
      <c r="B3096"/>
      <c r="C3096"/>
      <c r="D3096"/>
      <c r="E3096"/>
    </row>
    <row r="3097" spans="1:5" x14ac:dyDescent="0.2">
      <c r="A3097"/>
      <c r="B3097"/>
      <c r="C3097"/>
      <c r="D3097"/>
      <c r="E3097"/>
    </row>
    <row r="3098" spans="1:5" x14ac:dyDescent="0.2">
      <c r="A3098"/>
      <c r="B3098"/>
      <c r="C3098"/>
      <c r="D3098"/>
      <c r="E3098"/>
    </row>
    <row r="3099" spans="1:5" x14ac:dyDescent="0.2">
      <c r="A3099"/>
      <c r="B3099"/>
      <c r="C3099"/>
      <c r="D3099"/>
      <c r="E3099"/>
    </row>
    <row r="3100" spans="1:5" x14ac:dyDescent="0.2">
      <c r="A3100"/>
      <c r="B3100"/>
      <c r="C3100"/>
      <c r="D3100"/>
      <c r="E3100"/>
    </row>
    <row r="3101" spans="1:5" x14ac:dyDescent="0.2">
      <c r="A3101"/>
      <c r="B3101"/>
      <c r="C3101"/>
      <c r="D3101"/>
      <c r="E3101"/>
    </row>
    <row r="3102" spans="1:5" x14ac:dyDescent="0.2">
      <c r="A3102"/>
      <c r="B3102"/>
      <c r="C3102"/>
      <c r="D3102"/>
      <c r="E3102"/>
    </row>
    <row r="3103" spans="1:5" x14ac:dyDescent="0.2">
      <c r="A3103"/>
      <c r="B3103"/>
      <c r="C3103"/>
      <c r="D3103"/>
      <c r="E3103"/>
    </row>
    <row r="3104" spans="1:5" x14ac:dyDescent="0.2">
      <c r="A3104"/>
      <c r="B3104"/>
      <c r="C3104"/>
      <c r="D3104"/>
      <c r="E3104"/>
    </row>
    <row r="3105" spans="1:5" x14ac:dyDescent="0.2">
      <c r="A3105"/>
      <c r="B3105"/>
      <c r="C3105"/>
      <c r="D3105"/>
      <c r="E3105"/>
    </row>
    <row r="3106" spans="1:5" x14ac:dyDescent="0.2">
      <c r="A3106"/>
      <c r="B3106"/>
      <c r="C3106"/>
      <c r="D3106"/>
      <c r="E3106"/>
    </row>
    <row r="3107" spans="1:5" x14ac:dyDescent="0.2">
      <c r="A3107"/>
      <c r="B3107"/>
      <c r="C3107"/>
      <c r="D3107"/>
      <c r="E3107"/>
    </row>
    <row r="3108" spans="1:5" x14ac:dyDescent="0.2">
      <c r="A3108"/>
      <c r="B3108"/>
      <c r="C3108"/>
      <c r="D3108"/>
      <c r="E3108"/>
    </row>
    <row r="3109" spans="1:5" x14ac:dyDescent="0.2">
      <c r="A3109"/>
      <c r="B3109"/>
      <c r="C3109"/>
      <c r="D3109"/>
      <c r="E3109"/>
    </row>
    <row r="3110" spans="1:5" x14ac:dyDescent="0.2">
      <c r="A3110"/>
      <c r="B3110"/>
      <c r="C3110"/>
      <c r="D3110"/>
      <c r="E3110"/>
    </row>
    <row r="3111" spans="1:5" x14ac:dyDescent="0.2">
      <c r="A3111"/>
      <c r="B3111"/>
      <c r="C3111"/>
      <c r="D3111"/>
      <c r="E3111"/>
    </row>
    <row r="3112" spans="1:5" x14ac:dyDescent="0.2">
      <c r="A3112"/>
      <c r="B3112"/>
      <c r="C3112"/>
      <c r="D3112"/>
      <c r="E3112"/>
    </row>
    <row r="3113" spans="1:5" x14ac:dyDescent="0.2">
      <c r="A3113"/>
      <c r="B3113"/>
      <c r="C3113"/>
      <c r="D3113"/>
      <c r="E3113"/>
    </row>
    <row r="3114" spans="1:5" x14ac:dyDescent="0.2">
      <c r="A3114"/>
      <c r="B3114"/>
      <c r="C3114"/>
      <c r="D3114"/>
      <c r="E3114"/>
    </row>
    <row r="3115" spans="1:5" x14ac:dyDescent="0.2">
      <c r="A3115"/>
      <c r="B3115"/>
      <c r="C3115"/>
      <c r="D3115"/>
      <c r="E3115"/>
    </row>
    <row r="3116" spans="1:5" x14ac:dyDescent="0.2">
      <c r="A3116"/>
      <c r="B3116"/>
      <c r="C3116"/>
      <c r="D3116"/>
      <c r="E3116"/>
    </row>
    <row r="3117" spans="1:5" x14ac:dyDescent="0.2">
      <c r="A3117"/>
      <c r="B3117"/>
      <c r="C3117"/>
      <c r="D3117"/>
      <c r="E3117"/>
    </row>
    <row r="3118" spans="1:5" x14ac:dyDescent="0.2">
      <c r="A3118"/>
      <c r="B3118"/>
      <c r="C3118"/>
      <c r="D3118"/>
      <c r="E3118"/>
    </row>
    <row r="3119" spans="1:5" x14ac:dyDescent="0.2">
      <c r="A3119"/>
      <c r="B3119"/>
      <c r="C3119"/>
      <c r="D3119"/>
      <c r="E3119"/>
    </row>
    <row r="3120" spans="1:5" x14ac:dyDescent="0.2">
      <c r="A3120"/>
      <c r="B3120"/>
      <c r="C3120"/>
      <c r="D3120"/>
      <c r="E3120"/>
    </row>
    <row r="3121" spans="1:5" x14ac:dyDescent="0.2">
      <c r="A3121"/>
      <c r="B3121"/>
      <c r="C3121"/>
      <c r="D3121"/>
      <c r="E3121"/>
    </row>
    <row r="3122" spans="1:5" x14ac:dyDescent="0.2">
      <c r="A3122"/>
      <c r="B3122"/>
      <c r="C3122"/>
      <c r="D3122"/>
      <c r="E3122"/>
    </row>
    <row r="3123" spans="1:5" x14ac:dyDescent="0.2">
      <c r="A3123"/>
      <c r="B3123"/>
      <c r="C3123"/>
      <c r="D3123"/>
      <c r="E3123"/>
    </row>
    <row r="3124" spans="1:5" x14ac:dyDescent="0.2">
      <c r="A3124"/>
      <c r="B3124"/>
      <c r="C3124"/>
      <c r="D3124"/>
      <c r="E3124"/>
    </row>
    <row r="3125" spans="1:5" x14ac:dyDescent="0.2">
      <c r="A3125"/>
      <c r="B3125"/>
      <c r="C3125"/>
      <c r="D3125"/>
      <c r="E3125"/>
    </row>
    <row r="3126" spans="1:5" x14ac:dyDescent="0.2">
      <c r="A3126"/>
      <c r="B3126"/>
      <c r="C3126"/>
      <c r="D3126"/>
      <c r="E3126"/>
    </row>
    <row r="3127" spans="1:5" x14ac:dyDescent="0.2">
      <c r="A3127"/>
      <c r="B3127"/>
      <c r="C3127"/>
      <c r="D3127"/>
      <c r="E3127"/>
    </row>
    <row r="3128" spans="1:5" x14ac:dyDescent="0.2">
      <c r="A3128"/>
      <c r="B3128"/>
      <c r="C3128"/>
      <c r="D3128"/>
      <c r="E3128"/>
    </row>
    <row r="3129" spans="1:5" x14ac:dyDescent="0.2">
      <c r="A3129"/>
      <c r="B3129"/>
      <c r="C3129"/>
      <c r="D3129"/>
      <c r="E3129"/>
    </row>
    <row r="3130" spans="1:5" x14ac:dyDescent="0.2">
      <c r="A3130"/>
      <c r="B3130"/>
      <c r="C3130"/>
      <c r="D3130"/>
      <c r="E3130"/>
    </row>
    <row r="3131" spans="1:5" x14ac:dyDescent="0.2">
      <c r="A3131"/>
      <c r="B3131"/>
      <c r="C3131"/>
      <c r="D3131"/>
      <c r="E3131"/>
    </row>
    <row r="3132" spans="1:5" x14ac:dyDescent="0.2">
      <c r="A3132"/>
      <c r="B3132"/>
      <c r="C3132"/>
      <c r="D3132"/>
      <c r="E3132"/>
    </row>
    <row r="3133" spans="1:5" x14ac:dyDescent="0.2">
      <c r="A3133"/>
      <c r="B3133"/>
      <c r="C3133"/>
      <c r="D3133"/>
      <c r="E3133"/>
    </row>
    <row r="3134" spans="1:5" x14ac:dyDescent="0.2">
      <c r="A3134"/>
      <c r="B3134"/>
      <c r="C3134"/>
      <c r="D3134"/>
      <c r="E3134"/>
    </row>
    <row r="3135" spans="1:5" x14ac:dyDescent="0.2">
      <c r="A3135"/>
      <c r="B3135"/>
      <c r="C3135"/>
      <c r="D3135"/>
      <c r="E3135"/>
    </row>
    <row r="3136" spans="1:5" x14ac:dyDescent="0.2">
      <c r="A3136"/>
      <c r="B3136"/>
      <c r="C3136"/>
      <c r="D3136"/>
      <c r="E3136"/>
    </row>
    <row r="3137" spans="1:5" x14ac:dyDescent="0.2">
      <c r="A3137"/>
      <c r="B3137"/>
      <c r="C3137"/>
      <c r="D3137"/>
      <c r="E3137"/>
    </row>
    <row r="3138" spans="1:5" x14ac:dyDescent="0.2">
      <c r="A3138"/>
      <c r="B3138"/>
      <c r="C3138"/>
      <c r="D3138"/>
      <c r="E3138"/>
    </row>
    <row r="3139" spans="1:5" x14ac:dyDescent="0.2">
      <c r="A3139"/>
      <c r="B3139"/>
      <c r="C3139"/>
      <c r="D3139"/>
      <c r="E3139"/>
    </row>
    <row r="3140" spans="1:5" x14ac:dyDescent="0.2">
      <c r="A3140"/>
      <c r="B3140"/>
      <c r="C3140"/>
      <c r="D3140"/>
      <c r="E3140"/>
    </row>
    <row r="3141" spans="1:5" x14ac:dyDescent="0.2">
      <c r="A3141"/>
      <c r="B3141"/>
      <c r="C3141"/>
      <c r="D3141"/>
      <c r="E3141"/>
    </row>
    <row r="3142" spans="1:5" x14ac:dyDescent="0.2">
      <c r="A3142"/>
      <c r="B3142"/>
      <c r="C3142"/>
      <c r="D3142"/>
      <c r="E3142"/>
    </row>
    <row r="3143" spans="1:5" x14ac:dyDescent="0.2">
      <c r="A3143"/>
      <c r="B3143"/>
      <c r="C3143"/>
      <c r="D3143"/>
      <c r="E3143"/>
    </row>
    <row r="3144" spans="1:5" x14ac:dyDescent="0.2">
      <c r="A3144"/>
      <c r="B3144"/>
      <c r="C3144"/>
      <c r="D3144"/>
      <c r="E3144"/>
    </row>
    <row r="3145" spans="1:5" x14ac:dyDescent="0.2">
      <c r="A3145"/>
      <c r="B3145"/>
      <c r="C3145"/>
      <c r="D3145"/>
      <c r="E3145"/>
    </row>
    <row r="3146" spans="1:5" x14ac:dyDescent="0.2">
      <c r="A3146"/>
      <c r="B3146"/>
      <c r="C3146"/>
      <c r="D3146"/>
      <c r="E3146"/>
    </row>
    <row r="3147" spans="1:5" x14ac:dyDescent="0.2">
      <c r="A3147"/>
      <c r="B3147"/>
      <c r="C3147"/>
      <c r="D3147"/>
      <c r="E3147"/>
    </row>
    <row r="3148" spans="1:5" x14ac:dyDescent="0.2">
      <c r="A3148"/>
      <c r="B3148"/>
      <c r="C3148"/>
      <c r="D3148"/>
      <c r="E3148"/>
    </row>
    <row r="3149" spans="1:5" x14ac:dyDescent="0.2">
      <c r="A3149"/>
      <c r="B3149"/>
      <c r="C3149"/>
      <c r="D3149"/>
      <c r="E3149"/>
    </row>
    <row r="3150" spans="1:5" x14ac:dyDescent="0.2">
      <c r="A3150"/>
      <c r="B3150"/>
      <c r="C3150"/>
      <c r="D3150"/>
      <c r="E3150"/>
    </row>
    <row r="3151" spans="1:5" x14ac:dyDescent="0.2">
      <c r="A3151"/>
      <c r="B3151"/>
      <c r="C3151"/>
      <c r="D3151"/>
      <c r="E3151"/>
    </row>
    <row r="3152" spans="1:5" x14ac:dyDescent="0.2">
      <c r="A3152"/>
      <c r="B3152"/>
      <c r="C3152"/>
      <c r="D3152"/>
      <c r="E3152"/>
    </row>
    <row r="3153" spans="1:5" x14ac:dyDescent="0.2">
      <c r="A3153"/>
      <c r="B3153"/>
      <c r="C3153"/>
      <c r="D3153"/>
      <c r="E3153"/>
    </row>
    <row r="3154" spans="1:5" x14ac:dyDescent="0.2">
      <c r="A3154"/>
      <c r="B3154"/>
      <c r="C3154"/>
      <c r="D3154"/>
      <c r="E3154"/>
    </row>
    <row r="3155" spans="1:5" x14ac:dyDescent="0.2">
      <c r="A3155"/>
      <c r="B3155"/>
      <c r="C3155"/>
      <c r="D3155"/>
      <c r="E3155"/>
    </row>
    <row r="3156" spans="1:5" x14ac:dyDescent="0.2">
      <c r="A3156"/>
      <c r="B3156"/>
      <c r="C3156"/>
      <c r="D3156"/>
      <c r="E3156"/>
    </row>
    <row r="3157" spans="1:5" x14ac:dyDescent="0.2">
      <c r="A3157"/>
      <c r="B3157"/>
      <c r="C3157"/>
      <c r="D3157"/>
      <c r="E3157"/>
    </row>
    <row r="3158" spans="1:5" x14ac:dyDescent="0.2">
      <c r="A3158"/>
      <c r="B3158"/>
      <c r="C3158"/>
      <c r="D3158"/>
      <c r="E3158"/>
    </row>
    <row r="3159" spans="1:5" x14ac:dyDescent="0.2">
      <c r="A3159"/>
      <c r="B3159"/>
      <c r="C3159"/>
      <c r="D3159"/>
      <c r="E3159"/>
    </row>
    <row r="3160" spans="1:5" x14ac:dyDescent="0.2">
      <c r="A3160"/>
      <c r="B3160"/>
      <c r="C3160"/>
      <c r="D3160"/>
      <c r="E3160"/>
    </row>
    <row r="3161" spans="1:5" x14ac:dyDescent="0.2">
      <c r="A3161"/>
      <c r="B3161"/>
      <c r="C3161"/>
      <c r="D3161"/>
      <c r="E3161"/>
    </row>
    <row r="3162" spans="1:5" x14ac:dyDescent="0.2">
      <c r="A3162"/>
      <c r="B3162"/>
      <c r="C3162"/>
      <c r="D3162"/>
      <c r="E3162"/>
    </row>
    <row r="3163" spans="1:5" x14ac:dyDescent="0.2">
      <c r="A3163"/>
      <c r="B3163"/>
      <c r="C3163"/>
      <c r="D3163"/>
      <c r="E3163"/>
    </row>
    <row r="3164" spans="1:5" x14ac:dyDescent="0.2">
      <c r="A3164"/>
      <c r="B3164"/>
      <c r="C3164"/>
      <c r="D3164"/>
      <c r="E3164"/>
    </row>
    <row r="3165" spans="1:5" x14ac:dyDescent="0.2">
      <c r="A3165"/>
      <c r="B3165"/>
      <c r="C3165"/>
      <c r="D3165"/>
      <c r="E3165"/>
    </row>
    <row r="3166" spans="1:5" x14ac:dyDescent="0.2">
      <c r="A3166"/>
      <c r="B3166"/>
      <c r="C3166"/>
      <c r="D3166"/>
      <c r="E3166"/>
    </row>
    <row r="3167" spans="1:5" x14ac:dyDescent="0.2">
      <c r="A3167"/>
      <c r="B3167"/>
      <c r="C3167"/>
      <c r="D3167"/>
      <c r="E3167"/>
    </row>
    <row r="3168" spans="1:5" x14ac:dyDescent="0.2">
      <c r="A3168"/>
      <c r="B3168"/>
      <c r="C3168"/>
      <c r="D3168"/>
      <c r="E3168"/>
    </row>
    <row r="3169" spans="1:5" x14ac:dyDescent="0.2">
      <c r="A3169"/>
      <c r="B3169"/>
      <c r="C3169"/>
      <c r="D3169"/>
      <c r="E3169"/>
    </row>
    <row r="3170" spans="1:5" x14ac:dyDescent="0.2">
      <c r="A3170"/>
      <c r="B3170"/>
      <c r="C3170"/>
      <c r="D3170"/>
      <c r="E3170"/>
    </row>
    <row r="3171" spans="1:5" x14ac:dyDescent="0.2">
      <c r="A3171"/>
      <c r="B3171"/>
      <c r="C3171"/>
      <c r="D3171"/>
      <c r="E3171"/>
    </row>
    <row r="3172" spans="1:5" x14ac:dyDescent="0.2">
      <c r="A3172"/>
      <c r="B3172"/>
      <c r="C3172"/>
      <c r="D3172"/>
      <c r="E3172"/>
    </row>
    <row r="3173" spans="1:5" x14ac:dyDescent="0.2">
      <c r="A3173"/>
      <c r="B3173"/>
      <c r="C3173"/>
      <c r="D3173"/>
      <c r="E3173"/>
    </row>
    <row r="3174" spans="1:5" x14ac:dyDescent="0.2">
      <c r="A3174"/>
      <c r="B3174"/>
      <c r="C3174"/>
      <c r="D3174"/>
      <c r="E3174"/>
    </row>
    <row r="3175" spans="1:5" x14ac:dyDescent="0.2">
      <c r="A3175"/>
      <c r="B3175"/>
      <c r="C3175"/>
      <c r="D3175"/>
      <c r="E3175"/>
    </row>
    <row r="3176" spans="1:5" x14ac:dyDescent="0.2">
      <c r="A3176"/>
      <c r="B3176"/>
      <c r="C3176"/>
      <c r="D3176"/>
      <c r="E3176"/>
    </row>
    <row r="3177" spans="1:5" x14ac:dyDescent="0.2">
      <c r="A3177"/>
      <c r="B3177"/>
      <c r="C3177"/>
      <c r="D3177"/>
      <c r="E3177"/>
    </row>
    <row r="3178" spans="1:5" x14ac:dyDescent="0.2">
      <c r="A3178"/>
      <c r="B3178"/>
      <c r="C3178"/>
      <c r="D3178"/>
      <c r="E3178"/>
    </row>
    <row r="3179" spans="1:5" x14ac:dyDescent="0.2">
      <c r="A3179"/>
      <c r="B3179"/>
      <c r="C3179"/>
      <c r="D3179"/>
      <c r="E3179"/>
    </row>
    <row r="3180" spans="1:5" x14ac:dyDescent="0.2">
      <c r="A3180"/>
      <c r="B3180"/>
      <c r="C3180"/>
      <c r="D3180"/>
      <c r="E3180"/>
    </row>
    <row r="3181" spans="1:5" x14ac:dyDescent="0.2">
      <c r="A3181"/>
      <c r="B3181"/>
      <c r="C3181"/>
      <c r="D3181"/>
      <c r="E3181"/>
    </row>
    <row r="3182" spans="1:5" x14ac:dyDescent="0.2">
      <c r="A3182"/>
      <c r="B3182"/>
      <c r="C3182"/>
      <c r="D3182"/>
      <c r="E3182"/>
    </row>
    <row r="3183" spans="1:5" x14ac:dyDescent="0.2">
      <c r="A3183"/>
      <c r="B3183"/>
      <c r="C3183"/>
      <c r="D3183"/>
      <c r="E3183"/>
    </row>
    <row r="3184" spans="1:5" x14ac:dyDescent="0.2">
      <c r="A3184"/>
      <c r="B3184"/>
      <c r="C3184"/>
      <c r="D3184"/>
      <c r="E3184"/>
    </row>
    <row r="3185" spans="1:5" x14ac:dyDescent="0.2">
      <c r="A3185"/>
      <c r="B3185"/>
      <c r="C3185"/>
      <c r="D3185"/>
      <c r="E3185"/>
    </row>
    <row r="3186" spans="1:5" x14ac:dyDescent="0.2">
      <c r="A3186"/>
      <c r="B3186"/>
      <c r="C3186"/>
      <c r="D3186"/>
      <c r="E3186"/>
    </row>
    <row r="3187" spans="1:5" x14ac:dyDescent="0.2">
      <c r="A3187"/>
      <c r="B3187"/>
      <c r="C3187"/>
      <c r="D3187"/>
      <c r="E3187"/>
    </row>
    <row r="3188" spans="1:5" x14ac:dyDescent="0.2">
      <c r="A3188"/>
      <c r="B3188"/>
      <c r="C3188"/>
      <c r="D3188"/>
      <c r="E3188"/>
    </row>
    <row r="3189" spans="1:5" x14ac:dyDescent="0.2">
      <c r="A3189"/>
      <c r="B3189"/>
      <c r="C3189"/>
      <c r="D3189"/>
      <c r="E3189"/>
    </row>
    <row r="3190" spans="1:5" x14ac:dyDescent="0.2">
      <c r="A3190"/>
      <c r="B3190"/>
      <c r="C3190"/>
      <c r="D3190"/>
      <c r="E3190"/>
    </row>
    <row r="3191" spans="1:5" x14ac:dyDescent="0.2">
      <c r="A3191"/>
      <c r="B3191"/>
      <c r="C3191"/>
      <c r="D3191"/>
      <c r="E3191"/>
    </row>
    <row r="3192" spans="1:5" x14ac:dyDescent="0.2">
      <c r="A3192"/>
      <c r="B3192"/>
      <c r="C3192"/>
      <c r="D3192"/>
      <c r="E3192"/>
    </row>
    <row r="3193" spans="1:5" x14ac:dyDescent="0.2">
      <c r="A3193"/>
      <c r="B3193"/>
      <c r="C3193"/>
      <c r="D3193"/>
      <c r="E3193"/>
    </row>
    <row r="3194" spans="1:5" x14ac:dyDescent="0.2">
      <c r="A3194"/>
      <c r="B3194"/>
      <c r="C3194"/>
      <c r="D3194"/>
      <c r="E3194"/>
    </row>
    <row r="3195" spans="1:5" x14ac:dyDescent="0.2">
      <c r="A3195"/>
      <c r="B3195"/>
      <c r="C3195"/>
      <c r="D3195"/>
      <c r="E3195"/>
    </row>
    <row r="3196" spans="1:5" x14ac:dyDescent="0.2">
      <c r="A3196"/>
      <c r="B3196"/>
      <c r="C3196"/>
      <c r="D3196"/>
      <c r="E3196"/>
    </row>
    <row r="3197" spans="1:5" x14ac:dyDescent="0.2">
      <c r="A3197"/>
      <c r="B3197"/>
      <c r="C3197"/>
      <c r="D3197"/>
      <c r="E3197"/>
    </row>
    <row r="3198" spans="1:5" x14ac:dyDescent="0.2">
      <c r="A3198"/>
      <c r="B3198"/>
      <c r="C3198"/>
      <c r="D3198"/>
      <c r="E3198"/>
    </row>
    <row r="3199" spans="1:5" x14ac:dyDescent="0.2">
      <c r="A3199"/>
      <c r="B3199"/>
      <c r="C3199"/>
      <c r="D3199"/>
      <c r="E3199"/>
    </row>
    <row r="3200" spans="1:5" x14ac:dyDescent="0.2">
      <c r="A3200"/>
      <c r="B3200"/>
      <c r="C3200"/>
      <c r="D3200"/>
      <c r="E3200"/>
    </row>
    <row r="3201" spans="1:5" x14ac:dyDescent="0.2">
      <c r="A3201"/>
      <c r="B3201"/>
      <c r="C3201"/>
      <c r="D3201"/>
      <c r="E3201"/>
    </row>
    <row r="3202" spans="1:5" x14ac:dyDescent="0.2">
      <c r="A3202"/>
      <c r="B3202"/>
      <c r="C3202"/>
      <c r="D3202"/>
      <c r="E3202"/>
    </row>
    <row r="3203" spans="1:5" x14ac:dyDescent="0.2">
      <c r="A3203"/>
      <c r="B3203"/>
      <c r="C3203"/>
      <c r="D3203"/>
      <c r="E3203"/>
    </row>
    <row r="3204" spans="1:5" x14ac:dyDescent="0.2">
      <c r="A3204"/>
      <c r="B3204"/>
      <c r="C3204"/>
      <c r="D3204"/>
      <c r="E3204"/>
    </row>
    <row r="3205" spans="1:5" x14ac:dyDescent="0.2">
      <c r="A3205"/>
      <c r="B3205"/>
      <c r="C3205"/>
      <c r="D3205"/>
      <c r="E3205"/>
    </row>
    <row r="3206" spans="1:5" x14ac:dyDescent="0.2">
      <c r="A3206"/>
      <c r="B3206"/>
      <c r="C3206"/>
      <c r="D3206"/>
      <c r="E3206"/>
    </row>
    <row r="3207" spans="1:5" x14ac:dyDescent="0.2">
      <c r="A3207"/>
      <c r="B3207"/>
      <c r="C3207"/>
      <c r="D3207"/>
      <c r="E3207"/>
    </row>
    <row r="3208" spans="1:5" x14ac:dyDescent="0.2">
      <c r="A3208"/>
      <c r="B3208"/>
      <c r="C3208"/>
      <c r="D3208"/>
      <c r="E3208"/>
    </row>
    <row r="3209" spans="1:5" x14ac:dyDescent="0.2">
      <c r="A3209"/>
      <c r="B3209"/>
      <c r="C3209"/>
      <c r="D3209"/>
      <c r="E3209"/>
    </row>
    <row r="3210" spans="1:5" x14ac:dyDescent="0.2">
      <c r="A3210"/>
      <c r="B3210"/>
      <c r="C3210"/>
      <c r="D3210"/>
      <c r="E3210"/>
    </row>
    <row r="3211" spans="1:5" x14ac:dyDescent="0.2">
      <c r="A3211"/>
      <c r="B3211"/>
      <c r="C3211"/>
      <c r="D3211"/>
      <c r="E3211"/>
    </row>
    <row r="3212" spans="1:5" x14ac:dyDescent="0.2">
      <c r="A3212"/>
      <c r="B3212"/>
      <c r="C3212"/>
      <c r="D3212"/>
      <c r="E3212"/>
    </row>
    <row r="3213" spans="1:5" x14ac:dyDescent="0.2">
      <c r="A3213"/>
      <c r="B3213"/>
      <c r="C3213"/>
      <c r="D3213"/>
      <c r="E3213"/>
    </row>
    <row r="3214" spans="1:5" x14ac:dyDescent="0.2">
      <c r="A3214"/>
      <c r="B3214"/>
      <c r="C3214"/>
      <c r="D3214"/>
      <c r="E3214"/>
    </row>
    <row r="3215" spans="1:5" x14ac:dyDescent="0.2">
      <c r="A3215"/>
      <c r="B3215"/>
      <c r="C3215"/>
      <c r="D3215"/>
      <c r="E3215"/>
    </row>
    <row r="3216" spans="1:5" x14ac:dyDescent="0.2">
      <c r="A3216"/>
      <c r="B3216"/>
      <c r="C3216"/>
      <c r="D3216"/>
      <c r="E3216"/>
    </row>
    <row r="3217" spans="1:5" x14ac:dyDescent="0.2">
      <c r="A3217"/>
      <c r="B3217"/>
      <c r="C3217"/>
      <c r="D3217"/>
      <c r="E3217"/>
    </row>
    <row r="3218" spans="1:5" x14ac:dyDescent="0.2">
      <c r="A3218"/>
      <c r="B3218"/>
      <c r="C3218"/>
      <c r="D3218"/>
      <c r="E3218"/>
    </row>
    <row r="3219" spans="1:5" x14ac:dyDescent="0.2">
      <c r="A3219"/>
      <c r="B3219"/>
      <c r="C3219"/>
      <c r="D3219"/>
      <c r="E3219"/>
    </row>
    <row r="3220" spans="1:5" x14ac:dyDescent="0.2">
      <c r="A3220"/>
      <c r="B3220"/>
      <c r="C3220"/>
      <c r="D3220"/>
      <c r="E3220"/>
    </row>
    <row r="3221" spans="1:5" x14ac:dyDescent="0.2">
      <c r="A3221"/>
      <c r="B3221"/>
      <c r="C3221"/>
      <c r="D3221"/>
      <c r="E3221"/>
    </row>
    <row r="3222" spans="1:5" x14ac:dyDescent="0.2">
      <c r="A3222"/>
      <c r="B3222"/>
      <c r="C3222"/>
      <c r="D3222"/>
      <c r="E3222"/>
    </row>
    <row r="3223" spans="1:5" x14ac:dyDescent="0.2">
      <c r="A3223"/>
      <c r="B3223"/>
      <c r="C3223"/>
      <c r="D3223"/>
      <c r="E3223"/>
    </row>
    <row r="3224" spans="1:5" x14ac:dyDescent="0.2">
      <c r="A3224"/>
      <c r="B3224"/>
      <c r="C3224"/>
      <c r="D3224"/>
      <c r="E3224"/>
    </row>
    <row r="3225" spans="1:5" x14ac:dyDescent="0.2">
      <c r="A3225"/>
      <c r="B3225"/>
      <c r="C3225"/>
      <c r="D3225"/>
      <c r="E3225"/>
    </row>
    <row r="3226" spans="1:5" x14ac:dyDescent="0.2">
      <c r="A3226"/>
      <c r="B3226"/>
      <c r="C3226"/>
      <c r="D3226"/>
      <c r="E3226"/>
    </row>
    <row r="3227" spans="1:5" x14ac:dyDescent="0.2">
      <c r="A3227"/>
      <c r="B3227"/>
      <c r="C3227"/>
      <c r="D3227"/>
      <c r="E3227"/>
    </row>
    <row r="3228" spans="1:5" x14ac:dyDescent="0.2">
      <c r="A3228"/>
      <c r="B3228"/>
      <c r="C3228"/>
      <c r="D3228"/>
      <c r="E3228"/>
    </row>
    <row r="3229" spans="1:5" x14ac:dyDescent="0.2">
      <c r="A3229"/>
      <c r="B3229"/>
      <c r="C3229"/>
      <c r="D3229"/>
      <c r="E3229"/>
    </row>
    <row r="3230" spans="1:5" x14ac:dyDescent="0.2">
      <c r="A3230"/>
      <c r="B3230"/>
      <c r="C3230"/>
      <c r="D3230"/>
      <c r="E3230"/>
    </row>
    <row r="3231" spans="1:5" x14ac:dyDescent="0.2">
      <c r="A3231"/>
      <c r="B3231"/>
      <c r="C3231"/>
      <c r="D3231"/>
      <c r="E3231"/>
    </row>
    <row r="3232" spans="1:5" x14ac:dyDescent="0.2">
      <c r="A3232"/>
      <c r="B3232"/>
      <c r="C3232"/>
      <c r="D3232"/>
      <c r="E3232"/>
    </row>
    <row r="3233" spans="1:5" x14ac:dyDescent="0.2">
      <c r="A3233"/>
      <c r="B3233"/>
      <c r="C3233"/>
      <c r="D3233"/>
      <c r="E3233"/>
    </row>
    <row r="3234" spans="1:5" x14ac:dyDescent="0.2">
      <c r="A3234"/>
      <c r="B3234"/>
      <c r="C3234"/>
      <c r="D3234"/>
      <c r="E3234"/>
    </row>
    <row r="3235" spans="1:5" x14ac:dyDescent="0.2">
      <c r="A3235"/>
      <c r="B3235"/>
      <c r="C3235"/>
      <c r="D3235"/>
      <c r="E3235"/>
    </row>
    <row r="3236" spans="1:5" x14ac:dyDescent="0.2">
      <c r="A3236"/>
      <c r="B3236"/>
      <c r="C3236"/>
      <c r="D3236"/>
      <c r="E3236"/>
    </row>
    <row r="3237" spans="1:5" x14ac:dyDescent="0.2">
      <c r="A3237"/>
      <c r="B3237"/>
      <c r="C3237"/>
      <c r="D3237"/>
      <c r="E3237"/>
    </row>
    <row r="3238" spans="1:5" x14ac:dyDescent="0.2">
      <c r="A3238"/>
      <c r="B3238"/>
      <c r="C3238"/>
      <c r="D3238"/>
      <c r="E3238"/>
    </row>
    <row r="3239" spans="1:5" x14ac:dyDescent="0.2">
      <c r="A3239"/>
      <c r="B3239"/>
      <c r="C3239"/>
      <c r="D3239"/>
      <c r="E3239"/>
    </row>
    <row r="3240" spans="1:5" x14ac:dyDescent="0.2">
      <c r="A3240"/>
      <c r="B3240"/>
      <c r="C3240"/>
      <c r="D3240"/>
      <c r="E3240"/>
    </row>
    <row r="3241" spans="1:5" x14ac:dyDescent="0.2">
      <c r="A3241"/>
      <c r="B3241"/>
      <c r="C3241"/>
      <c r="D3241"/>
      <c r="E3241"/>
    </row>
    <row r="3242" spans="1:5" x14ac:dyDescent="0.2">
      <c r="A3242"/>
      <c r="B3242"/>
      <c r="C3242"/>
      <c r="D3242"/>
      <c r="E3242"/>
    </row>
    <row r="3243" spans="1:5" x14ac:dyDescent="0.2">
      <c r="A3243"/>
      <c r="B3243"/>
      <c r="C3243"/>
      <c r="D3243"/>
      <c r="E3243"/>
    </row>
    <row r="3244" spans="1:5" x14ac:dyDescent="0.2">
      <c r="A3244"/>
      <c r="B3244"/>
      <c r="C3244"/>
      <c r="D3244"/>
      <c r="E3244"/>
    </row>
    <row r="3245" spans="1:5" x14ac:dyDescent="0.2">
      <c r="A3245"/>
      <c r="B3245"/>
      <c r="C3245"/>
      <c r="D3245"/>
      <c r="E3245"/>
    </row>
    <row r="3246" spans="1:5" x14ac:dyDescent="0.2">
      <c r="A3246"/>
      <c r="B3246"/>
      <c r="C3246"/>
      <c r="D3246"/>
      <c r="E3246"/>
    </row>
    <row r="3247" spans="1:5" x14ac:dyDescent="0.2">
      <c r="A3247"/>
      <c r="B3247"/>
      <c r="C3247"/>
      <c r="D3247"/>
      <c r="E3247"/>
    </row>
    <row r="3248" spans="1:5" x14ac:dyDescent="0.2">
      <c r="A3248"/>
      <c r="B3248"/>
      <c r="C3248"/>
      <c r="D3248"/>
      <c r="E3248"/>
    </row>
    <row r="3249" spans="1:5" x14ac:dyDescent="0.2">
      <c r="A3249"/>
      <c r="B3249"/>
      <c r="C3249"/>
      <c r="D3249"/>
      <c r="E3249"/>
    </row>
    <row r="3250" spans="1:5" x14ac:dyDescent="0.2">
      <c r="A3250"/>
      <c r="B3250"/>
      <c r="C3250"/>
      <c r="D3250"/>
      <c r="E3250"/>
    </row>
    <row r="3251" spans="1:5" x14ac:dyDescent="0.2">
      <c r="A3251"/>
      <c r="B3251"/>
      <c r="C3251"/>
      <c r="D3251"/>
      <c r="E3251"/>
    </row>
    <row r="3252" spans="1:5" x14ac:dyDescent="0.2">
      <c r="A3252"/>
      <c r="B3252"/>
      <c r="C3252"/>
      <c r="D3252"/>
      <c r="E3252"/>
    </row>
    <row r="3253" spans="1:5" x14ac:dyDescent="0.2">
      <c r="A3253"/>
      <c r="B3253"/>
      <c r="C3253"/>
      <c r="D3253"/>
      <c r="E3253"/>
    </row>
    <row r="3254" spans="1:5" x14ac:dyDescent="0.2">
      <c r="A3254"/>
      <c r="B3254"/>
      <c r="C3254"/>
      <c r="D3254"/>
      <c r="E3254"/>
    </row>
    <row r="3255" spans="1:5" x14ac:dyDescent="0.2">
      <c r="A3255"/>
      <c r="B3255"/>
      <c r="C3255"/>
      <c r="D3255"/>
      <c r="E3255"/>
    </row>
    <row r="3256" spans="1:5" x14ac:dyDescent="0.2">
      <c r="A3256"/>
      <c r="B3256"/>
      <c r="C3256"/>
      <c r="D3256"/>
      <c r="E3256"/>
    </row>
    <row r="3257" spans="1:5" x14ac:dyDescent="0.2">
      <c r="A3257"/>
      <c r="B3257"/>
      <c r="C3257"/>
      <c r="D3257"/>
      <c r="E3257"/>
    </row>
    <row r="3258" spans="1:5" x14ac:dyDescent="0.2">
      <c r="A3258"/>
      <c r="B3258"/>
      <c r="C3258"/>
      <c r="D3258"/>
      <c r="E3258"/>
    </row>
    <row r="3259" spans="1:5" x14ac:dyDescent="0.2">
      <c r="A3259"/>
      <c r="B3259"/>
      <c r="C3259"/>
      <c r="D3259"/>
      <c r="E3259"/>
    </row>
    <row r="3260" spans="1:5" x14ac:dyDescent="0.2">
      <c r="A3260"/>
      <c r="B3260"/>
      <c r="C3260"/>
      <c r="D3260"/>
      <c r="E3260"/>
    </row>
    <row r="3261" spans="1:5" x14ac:dyDescent="0.2">
      <c r="A3261"/>
      <c r="B3261"/>
      <c r="C3261"/>
      <c r="D3261"/>
      <c r="E3261"/>
    </row>
    <row r="3262" spans="1:5" x14ac:dyDescent="0.2">
      <c r="A3262"/>
      <c r="B3262"/>
      <c r="C3262"/>
      <c r="D3262"/>
      <c r="E3262"/>
    </row>
    <row r="3263" spans="1:5" x14ac:dyDescent="0.2">
      <c r="A3263"/>
      <c r="B3263"/>
      <c r="C3263"/>
      <c r="D3263"/>
      <c r="E3263"/>
    </row>
    <row r="3264" spans="1:5" x14ac:dyDescent="0.2">
      <c r="A3264"/>
      <c r="B3264"/>
      <c r="C3264"/>
      <c r="D3264"/>
      <c r="E3264"/>
    </row>
    <row r="3265" spans="1:5" x14ac:dyDescent="0.2">
      <c r="A3265"/>
      <c r="B3265"/>
      <c r="C3265"/>
      <c r="D3265"/>
      <c r="E3265"/>
    </row>
    <row r="3266" spans="1:5" x14ac:dyDescent="0.2">
      <c r="A3266"/>
      <c r="B3266"/>
      <c r="C3266"/>
      <c r="D3266"/>
      <c r="E3266"/>
    </row>
    <row r="3267" spans="1:5" x14ac:dyDescent="0.2">
      <c r="A3267"/>
      <c r="B3267"/>
      <c r="C3267"/>
      <c r="D3267"/>
      <c r="E3267"/>
    </row>
    <row r="3268" spans="1:5" x14ac:dyDescent="0.2">
      <c r="A3268"/>
      <c r="B3268"/>
      <c r="C3268"/>
      <c r="D3268"/>
      <c r="E3268"/>
    </row>
    <row r="3269" spans="1:5" x14ac:dyDescent="0.2">
      <c r="A3269"/>
      <c r="B3269"/>
      <c r="C3269"/>
      <c r="D3269"/>
      <c r="E3269"/>
    </row>
    <row r="3270" spans="1:5" x14ac:dyDescent="0.2">
      <c r="A3270"/>
      <c r="B3270"/>
      <c r="C3270"/>
      <c r="D3270"/>
      <c r="E3270"/>
    </row>
    <row r="3271" spans="1:5" x14ac:dyDescent="0.2">
      <c r="A3271"/>
      <c r="B3271"/>
      <c r="C3271"/>
      <c r="D3271"/>
      <c r="E3271"/>
    </row>
    <row r="3272" spans="1:5" x14ac:dyDescent="0.2">
      <c r="A3272"/>
      <c r="B3272"/>
      <c r="C3272"/>
      <c r="D3272"/>
      <c r="E3272"/>
    </row>
    <row r="3273" spans="1:5" x14ac:dyDescent="0.2">
      <c r="A3273"/>
      <c r="B3273"/>
      <c r="C3273"/>
      <c r="D3273"/>
      <c r="E3273"/>
    </row>
    <row r="3274" spans="1:5" x14ac:dyDescent="0.2">
      <c r="A3274"/>
      <c r="B3274"/>
      <c r="C3274"/>
      <c r="D3274"/>
      <c r="E3274"/>
    </row>
    <row r="3275" spans="1:5" x14ac:dyDescent="0.2">
      <c r="A3275"/>
      <c r="B3275"/>
      <c r="C3275"/>
      <c r="D3275"/>
      <c r="E3275"/>
    </row>
    <row r="3276" spans="1:5" x14ac:dyDescent="0.2">
      <c r="A3276"/>
      <c r="B3276"/>
      <c r="C3276"/>
      <c r="D3276"/>
      <c r="E3276"/>
    </row>
    <row r="3277" spans="1:5" x14ac:dyDescent="0.2">
      <c r="A3277"/>
      <c r="B3277"/>
      <c r="C3277"/>
      <c r="D3277"/>
      <c r="E3277"/>
    </row>
    <row r="3278" spans="1:5" x14ac:dyDescent="0.2">
      <c r="A3278"/>
      <c r="B3278"/>
      <c r="C3278"/>
      <c r="D3278"/>
      <c r="E3278"/>
    </row>
    <row r="3279" spans="1:5" x14ac:dyDescent="0.2">
      <c r="A3279"/>
      <c r="B3279"/>
      <c r="C3279"/>
      <c r="D3279"/>
      <c r="E3279"/>
    </row>
    <row r="3280" spans="1:5" x14ac:dyDescent="0.2">
      <c r="A3280"/>
      <c r="B3280"/>
      <c r="C3280"/>
      <c r="D3280"/>
      <c r="E3280"/>
    </row>
    <row r="3281" spans="1:5" x14ac:dyDescent="0.2">
      <c r="A3281"/>
      <c r="B3281"/>
      <c r="C3281"/>
      <c r="D3281"/>
      <c r="E3281"/>
    </row>
    <row r="3282" spans="1:5" x14ac:dyDescent="0.2">
      <c r="A3282"/>
      <c r="B3282"/>
      <c r="C3282"/>
      <c r="D3282"/>
      <c r="E3282"/>
    </row>
    <row r="3283" spans="1:5" x14ac:dyDescent="0.2">
      <c r="A3283"/>
      <c r="B3283"/>
      <c r="C3283"/>
      <c r="D3283"/>
      <c r="E3283"/>
    </row>
    <row r="3284" spans="1:5" x14ac:dyDescent="0.2">
      <c r="A3284"/>
      <c r="B3284"/>
      <c r="C3284"/>
      <c r="D3284"/>
      <c r="E3284"/>
    </row>
    <row r="3285" spans="1:5" x14ac:dyDescent="0.2">
      <c r="A3285"/>
      <c r="B3285"/>
      <c r="C3285"/>
      <c r="D3285"/>
      <c r="E3285"/>
    </row>
    <row r="3286" spans="1:5" x14ac:dyDescent="0.2">
      <c r="A3286"/>
      <c r="B3286"/>
      <c r="C3286"/>
      <c r="D3286"/>
      <c r="E3286"/>
    </row>
    <row r="3287" spans="1:5" x14ac:dyDescent="0.2">
      <c r="A3287"/>
      <c r="B3287"/>
      <c r="C3287"/>
      <c r="D3287"/>
      <c r="E3287"/>
    </row>
    <row r="3288" spans="1:5" x14ac:dyDescent="0.2">
      <c r="A3288"/>
      <c r="B3288"/>
      <c r="C3288"/>
      <c r="D3288"/>
      <c r="E3288"/>
    </row>
    <row r="3289" spans="1:5" x14ac:dyDescent="0.2">
      <c r="A3289"/>
      <c r="B3289"/>
      <c r="C3289"/>
      <c r="D3289"/>
      <c r="E3289"/>
    </row>
    <row r="3290" spans="1:5" x14ac:dyDescent="0.2">
      <c r="A3290"/>
      <c r="B3290"/>
      <c r="C3290"/>
      <c r="D3290"/>
      <c r="E3290"/>
    </row>
    <row r="3291" spans="1:5" x14ac:dyDescent="0.2">
      <c r="A3291"/>
      <c r="B3291"/>
      <c r="C3291"/>
      <c r="D3291"/>
      <c r="E3291"/>
    </row>
    <row r="3292" spans="1:5" x14ac:dyDescent="0.2">
      <c r="A3292"/>
      <c r="B3292"/>
      <c r="C3292"/>
      <c r="D3292"/>
      <c r="E3292"/>
    </row>
    <row r="3293" spans="1:5" x14ac:dyDescent="0.2">
      <c r="A3293"/>
      <c r="B3293"/>
      <c r="C3293"/>
      <c r="D3293"/>
      <c r="E3293"/>
    </row>
    <row r="3294" spans="1:5" x14ac:dyDescent="0.2">
      <c r="A3294"/>
      <c r="B3294"/>
      <c r="C3294"/>
      <c r="D3294"/>
      <c r="E3294"/>
    </row>
    <row r="3295" spans="1:5" x14ac:dyDescent="0.2">
      <c r="A3295"/>
      <c r="B3295"/>
      <c r="C3295"/>
      <c r="D3295"/>
      <c r="E3295"/>
    </row>
    <row r="3296" spans="1:5" x14ac:dyDescent="0.2">
      <c r="A3296"/>
      <c r="B3296"/>
      <c r="C3296"/>
      <c r="D3296"/>
      <c r="E3296"/>
    </row>
    <row r="3297" spans="1:5" x14ac:dyDescent="0.2">
      <c r="A3297"/>
      <c r="B3297"/>
      <c r="C3297"/>
      <c r="D3297"/>
      <c r="E3297"/>
    </row>
    <row r="3298" spans="1:5" x14ac:dyDescent="0.2">
      <c r="A3298"/>
      <c r="B3298"/>
      <c r="C3298"/>
      <c r="D3298"/>
      <c r="E3298"/>
    </row>
    <row r="3299" spans="1:5" x14ac:dyDescent="0.2">
      <c r="A3299"/>
      <c r="B3299"/>
      <c r="C3299"/>
      <c r="D3299"/>
      <c r="E3299"/>
    </row>
    <row r="3300" spans="1:5" x14ac:dyDescent="0.2">
      <c r="A3300"/>
      <c r="B3300"/>
      <c r="C3300"/>
      <c r="D3300"/>
      <c r="E3300"/>
    </row>
    <row r="3301" spans="1:5" x14ac:dyDescent="0.2">
      <c r="A3301"/>
      <c r="B3301"/>
      <c r="C3301"/>
      <c r="D3301"/>
      <c r="E3301"/>
    </row>
    <row r="3302" spans="1:5" x14ac:dyDescent="0.2">
      <c r="A3302"/>
      <c r="B3302"/>
      <c r="C3302"/>
      <c r="D3302"/>
      <c r="E3302"/>
    </row>
    <row r="3303" spans="1:5" x14ac:dyDescent="0.2">
      <c r="A3303"/>
      <c r="B3303"/>
      <c r="C3303"/>
      <c r="D3303"/>
      <c r="E3303"/>
    </row>
    <row r="3304" spans="1:5" x14ac:dyDescent="0.2">
      <c r="A3304"/>
      <c r="B3304"/>
      <c r="C3304"/>
      <c r="D3304"/>
      <c r="E3304"/>
    </row>
    <row r="3305" spans="1:5" x14ac:dyDescent="0.2">
      <c r="A3305"/>
      <c r="B3305"/>
      <c r="C3305"/>
      <c r="D3305"/>
      <c r="E3305"/>
    </row>
    <row r="3306" spans="1:5" x14ac:dyDescent="0.2">
      <c r="A3306"/>
      <c r="B3306"/>
      <c r="C3306"/>
      <c r="D3306"/>
      <c r="E3306"/>
    </row>
    <row r="3307" spans="1:5" x14ac:dyDescent="0.2">
      <c r="A3307"/>
      <c r="B3307"/>
      <c r="C3307"/>
      <c r="D3307"/>
      <c r="E3307"/>
    </row>
    <row r="3308" spans="1:5" x14ac:dyDescent="0.2">
      <c r="A3308"/>
      <c r="B3308"/>
      <c r="C3308"/>
      <c r="D3308"/>
      <c r="E3308"/>
    </row>
    <row r="3309" spans="1:5" x14ac:dyDescent="0.2">
      <c r="A3309"/>
      <c r="B3309"/>
      <c r="C3309"/>
      <c r="D3309"/>
      <c r="E3309"/>
    </row>
    <row r="3310" spans="1:5" x14ac:dyDescent="0.2">
      <c r="A3310"/>
      <c r="B3310"/>
      <c r="C3310"/>
      <c r="D3310"/>
      <c r="E3310"/>
    </row>
    <row r="3311" spans="1:5" x14ac:dyDescent="0.2">
      <c r="A3311"/>
      <c r="B3311"/>
      <c r="C3311"/>
      <c r="D3311"/>
      <c r="E3311"/>
    </row>
    <row r="3312" spans="1:5" x14ac:dyDescent="0.2">
      <c r="A3312"/>
      <c r="B3312"/>
      <c r="C3312"/>
      <c r="D3312"/>
      <c r="E3312"/>
    </row>
    <row r="3313" spans="1:5" x14ac:dyDescent="0.2">
      <c r="A3313"/>
      <c r="B3313"/>
      <c r="C3313"/>
      <c r="D3313"/>
      <c r="E3313"/>
    </row>
    <row r="3314" spans="1:5" x14ac:dyDescent="0.2">
      <c r="A3314"/>
      <c r="B3314"/>
      <c r="C3314"/>
      <c r="D3314"/>
      <c r="E3314"/>
    </row>
    <row r="3315" spans="1:5" x14ac:dyDescent="0.2">
      <c r="A3315"/>
      <c r="B3315"/>
      <c r="C3315"/>
      <c r="D3315"/>
      <c r="E3315"/>
    </row>
    <row r="3316" spans="1:5" x14ac:dyDescent="0.2">
      <c r="A3316"/>
      <c r="B3316"/>
      <c r="C3316"/>
      <c r="D3316"/>
      <c r="E3316"/>
    </row>
    <row r="3317" spans="1:5" x14ac:dyDescent="0.2">
      <c r="A3317"/>
      <c r="B3317"/>
      <c r="C3317"/>
      <c r="D3317"/>
      <c r="E3317"/>
    </row>
    <row r="3318" spans="1:5" x14ac:dyDescent="0.2">
      <c r="A3318"/>
      <c r="B3318"/>
      <c r="C3318"/>
      <c r="D3318"/>
      <c r="E3318"/>
    </row>
    <row r="3319" spans="1:5" x14ac:dyDescent="0.2">
      <c r="A3319"/>
      <c r="B3319"/>
      <c r="C3319"/>
      <c r="D3319"/>
      <c r="E3319"/>
    </row>
    <row r="3320" spans="1:5" x14ac:dyDescent="0.2">
      <c r="A3320"/>
      <c r="B3320"/>
      <c r="C3320"/>
      <c r="D3320"/>
      <c r="E3320"/>
    </row>
    <row r="3321" spans="1:5" x14ac:dyDescent="0.2">
      <c r="A3321"/>
      <c r="B3321"/>
      <c r="C3321"/>
      <c r="D3321"/>
      <c r="E3321"/>
    </row>
    <row r="3322" spans="1:5" x14ac:dyDescent="0.2">
      <c r="A3322"/>
      <c r="B3322"/>
      <c r="C3322"/>
      <c r="D3322"/>
      <c r="E3322"/>
    </row>
    <row r="3323" spans="1:5" x14ac:dyDescent="0.2">
      <c r="A3323"/>
      <c r="B3323"/>
      <c r="C3323"/>
      <c r="D3323"/>
      <c r="E3323"/>
    </row>
    <row r="3324" spans="1:5" x14ac:dyDescent="0.2">
      <c r="A3324"/>
      <c r="B3324"/>
      <c r="C3324"/>
      <c r="D3324"/>
      <c r="E3324"/>
    </row>
    <row r="3325" spans="1:5" x14ac:dyDescent="0.2">
      <c r="A3325"/>
      <c r="B3325"/>
      <c r="C3325"/>
      <c r="D3325"/>
      <c r="E3325"/>
    </row>
    <row r="3326" spans="1:5" x14ac:dyDescent="0.2">
      <c r="A3326"/>
      <c r="B3326"/>
      <c r="C3326"/>
      <c r="D3326"/>
      <c r="E3326"/>
    </row>
    <row r="3327" spans="1:5" x14ac:dyDescent="0.2">
      <c r="A3327"/>
      <c r="B3327"/>
      <c r="C3327"/>
      <c r="D3327"/>
      <c r="E3327"/>
    </row>
    <row r="3328" spans="1:5" x14ac:dyDescent="0.2">
      <c r="A3328"/>
      <c r="B3328"/>
      <c r="C3328"/>
      <c r="D3328"/>
      <c r="E3328"/>
    </row>
    <row r="3329" spans="1:5" x14ac:dyDescent="0.2">
      <c r="A3329"/>
      <c r="B3329"/>
      <c r="C3329"/>
      <c r="D3329"/>
      <c r="E3329"/>
    </row>
    <row r="3330" spans="1:5" x14ac:dyDescent="0.2">
      <c r="A3330"/>
      <c r="B3330"/>
      <c r="C3330"/>
      <c r="D3330"/>
      <c r="E3330"/>
    </row>
    <row r="3331" spans="1:5" x14ac:dyDescent="0.2">
      <c r="A3331"/>
      <c r="B3331"/>
      <c r="C3331"/>
      <c r="D3331"/>
      <c r="E3331"/>
    </row>
    <row r="3332" spans="1:5" x14ac:dyDescent="0.2">
      <c r="A3332"/>
      <c r="B3332"/>
      <c r="C3332"/>
      <c r="D3332"/>
      <c r="E3332"/>
    </row>
    <row r="3333" spans="1:5" x14ac:dyDescent="0.2">
      <c r="A3333"/>
      <c r="B3333"/>
      <c r="C3333"/>
      <c r="D3333"/>
      <c r="E3333"/>
    </row>
    <row r="3334" spans="1:5" x14ac:dyDescent="0.2">
      <c r="A3334"/>
      <c r="B3334"/>
      <c r="C3334"/>
      <c r="D3334"/>
      <c r="E3334"/>
    </row>
    <row r="3335" spans="1:5" x14ac:dyDescent="0.2">
      <c r="A3335"/>
      <c r="B3335"/>
      <c r="C3335"/>
      <c r="D3335"/>
      <c r="E3335"/>
    </row>
    <row r="3336" spans="1:5" x14ac:dyDescent="0.2">
      <c r="A3336"/>
      <c r="B3336"/>
      <c r="C3336"/>
      <c r="D3336"/>
      <c r="E3336"/>
    </row>
    <row r="3337" spans="1:5" x14ac:dyDescent="0.2">
      <c r="A3337"/>
      <c r="B3337"/>
      <c r="C3337"/>
      <c r="D3337"/>
      <c r="E3337"/>
    </row>
    <row r="3338" spans="1:5" x14ac:dyDescent="0.2">
      <c r="A3338"/>
      <c r="B3338"/>
      <c r="C3338"/>
      <c r="D3338"/>
      <c r="E3338"/>
    </row>
    <row r="3339" spans="1:5" x14ac:dyDescent="0.2">
      <c r="A3339"/>
      <c r="B3339"/>
      <c r="C3339"/>
      <c r="D3339"/>
      <c r="E3339"/>
    </row>
    <row r="3340" spans="1:5" x14ac:dyDescent="0.2">
      <c r="A3340"/>
      <c r="B3340"/>
      <c r="C3340"/>
      <c r="D3340"/>
      <c r="E3340"/>
    </row>
    <row r="3341" spans="1:5" x14ac:dyDescent="0.2">
      <c r="A3341"/>
      <c r="B3341"/>
      <c r="C3341"/>
      <c r="D3341"/>
      <c r="E3341"/>
    </row>
    <row r="3342" spans="1:5" x14ac:dyDescent="0.2">
      <c r="A3342"/>
      <c r="B3342"/>
      <c r="C3342"/>
      <c r="D3342"/>
      <c r="E3342"/>
    </row>
    <row r="3343" spans="1:5" x14ac:dyDescent="0.2">
      <c r="A3343"/>
      <c r="B3343"/>
      <c r="C3343"/>
      <c r="D3343"/>
      <c r="E3343"/>
    </row>
    <row r="3344" spans="1:5" x14ac:dyDescent="0.2">
      <c r="A3344"/>
      <c r="B3344"/>
      <c r="C3344"/>
      <c r="D3344"/>
      <c r="E3344"/>
    </row>
    <row r="3345" spans="1:5" x14ac:dyDescent="0.2">
      <c r="A3345"/>
      <c r="B3345"/>
      <c r="C3345"/>
      <c r="D3345"/>
      <c r="E3345"/>
    </row>
    <row r="3346" spans="1:5" x14ac:dyDescent="0.2">
      <c r="A3346"/>
      <c r="B3346"/>
      <c r="C3346"/>
      <c r="D3346"/>
      <c r="E3346"/>
    </row>
    <row r="3347" spans="1:5" x14ac:dyDescent="0.2">
      <c r="A3347"/>
      <c r="B3347"/>
      <c r="C3347"/>
      <c r="D3347"/>
      <c r="E3347"/>
    </row>
    <row r="3348" spans="1:5" x14ac:dyDescent="0.2">
      <c r="A3348"/>
      <c r="B3348"/>
      <c r="C3348"/>
      <c r="D3348"/>
      <c r="E3348"/>
    </row>
    <row r="3349" spans="1:5" x14ac:dyDescent="0.2">
      <c r="A3349"/>
      <c r="B3349"/>
      <c r="C3349"/>
      <c r="D3349"/>
      <c r="E3349"/>
    </row>
    <row r="3350" spans="1:5" x14ac:dyDescent="0.2">
      <c r="A3350"/>
      <c r="B3350"/>
      <c r="C3350"/>
      <c r="D3350"/>
      <c r="E3350"/>
    </row>
    <row r="3351" spans="1:5" x14ac:dyDescent="0.2">
      <c r="A3351"/>
      <c r="B3351"/>
      <c r="C3351"/>
      <c r="D3351"/>
      <c r="E3351"/>
    </row>
    <row r="3352" spans="1:5" x14ac:dyDescent="0.2">
      <c r="A3352"/>
      <c r="B3352"/>
      <c r="C3352"/>
      <c r="D3352"/>
      <c r="E3352"/>
    </row>
    <row r="3353" spans="1:5" x14ac:dyDescent="0.2">
      <c r="A3353"/>
      <c r="B3353"/>
      <c r="C3353"/>
      <c r="D3353"/>
      <c r="E3353"/>
    </row>
    <row r="3354" spans="1:5" x14ac:dyDescent="0.2">
      <c r="A3354"/>
      <c r="B3354"/>
      <c r="C3354"/>
      <c r="D3354"/>
      <c r="E3354"/>
    </row>
    <row r="3355" spans="1:5" x14ac:dyDescent="0.2">
      <c r="A3355"/>
      <c r="B3355"/>
      <c r="C3355"/>
      <c r="D3355"/>
      <c r="E3355"/>
    </row>
    <row r="3356" spans="1:5" x14ac:dyDescent="0.2">
      <c r="A3356"/>
      <c r="B3356"/>
      <c r="C3356"/>
      <c r="D3356"/>
      <c r="E3356"/>
    </row>
    <row r="3357" spans="1:5" x14ac:dyDescent="0.2">
      <c r="A3357"/>
      <c r="B3357"/>
      <c r="C3357"/>
      <c r="D3357"/>
      <c r="E3357"/>
    </row>
    <row r="3358" spans="1:5" x14ac:dyDescent="0.2">
      <c r="A3358"/>
      <c r="B3358"/>
      <c r="C3358"/>
      <c r="D3358"/>
      <c r="E3358"/>
    </row>
    <row r="3359" spans="1:5" x14ac:dyDescent="0.2">
      <c r="A3359"/>
      <c r="B3359"/>
      <c r="C3359"/>
      <c r="D3359"/>
      <c r="E3359"/>
    </row>
    <row r="3360" spans="1:5" x14ac:dyDescent="0.2">
      <c r="A3360"/>
      <c r="B3360"/>
      <c r="C3360"/>
      <c r="D3360"/>
      <c r="E3360"/>
    </row>
    <row r="3361" spans="1:5" x14ac:dyDescent="0.2">
      <c r="A3361"/>
      <c r="B3361"/>
      <c r="C3361"/>
      <c r="D3361"/>
      <c r="E3361"/>
    </row>
    <row r="3362" spans="1:5" x14ac:dyDescent="0.2">
      <c r="A3362"/>
      <c r="B3362"/>
      <c r="C3362"/>
      <c r="D3362"/>
      <c r="E3362"/>
    </row>
    <row r="3363" spans="1:5" x14ac:dyDescent="0.2">
      <c r="A3363"/>
      <c r="B3363"/>
      <c r="C3363"/>
      <c r="D3363"/>
      <c r="E3363"/>
    </row>
    <row r="3364" spans="1:5" x14ac:dyDescent="0.2">
      <c r="A3364"/>
      <c r="B3364"/>
      <c r="C3364"/>
      <c r="D3364"/>
      <c r="E3364"/>
    </row>
    <row r="3365" spans="1:5" x14ac:dyDescent="0.2">
      <c r="A3365"/>
      <c r="B3365"/>
      <c r="C3365"/>
      <c r="D3365"/>
      <c r="E3365"/>
    </row>
    <row r="3366" spans="1:5" x14ac:dyDescent="0.2">
      <c r="A3366"/>
      <c r="B3366"/>
      <c r="C3366"/>
      <c r="D3366"/>
      <c r="E3366"/>
    </row>
    <row r="3367" spans="1:5" x14ac:dyDescent="0.2">
      <c r="A3367"/>
      <c r="B3367"/>
      <c r="C3367"/>
      <c r="D3367"/>
      <c r="E3367"/>
    </row>
    <row r="3368" spans="1:5" x14ac:dyDescent="0.2">
      <c r="A3368"/>
      <c r="B3368"/>
      <c r="C3368"/>
      <c r="D3368"/>
      <c r="E3368"/>
    </row>
    <row r="3369" spans="1:5" x14ac:dyDescent="0.2">
      <c r="A3369"/>
      <c r="B3369"/>
      <c r="C3369"/>
      <c r="D3369"/>
      <c r="E3369"/>
    </row>
    <row r="3370" spans="1:5" x14ac:dyDescent="0.2">
      <c r="A3370"/>
      <c r="B3370"/>
      <c r="C3370"/>
      <c r="D3370"/>
      <c r="E3370"/>
    </row>
    <row r="3371" spans="1:5" x14ac:dyDescent="0.2">
      <c r="A3371"/>
      <c r="B3371"/>
      <c r="C3371"/>
      <c r="D3371"/>
      <c r="E3371"/>
    </row>
    <row r="3372" spans="1:5" x14ac:dyDescent="0.2">
      <c r="A3372"/>
      <c r="B3372"/>
      <c r="C3372"/>
      <c r="D3372"/>
      <c r="E3372"/>
    </row>
    <row r="3373" spans="1:5" x14ac:dyDescent="0.2">
      <c r="A3373"/>
      <c r="B3373"/>
      <c r="C3373"/>
      <c r="D3373"/>
      <c r="E3373"/>
    </row>
    <row r="3374" spans="1:5" x14ac:dyDescent="0.2">
      <c r="A3374"/>
      <c r="B3374"/>
      <c r="C3374"/>
      <c r="D3374"/>
      <c r="E3374"/>
    </row>
    <row r="3375" spans="1:5" x14ac:dyDescent="0.2">
      <c r="A3375"/>
      <c r="B3375"/>
      <c r="C3375"/>
      <c r="D3375"/>
      <c r="E3375"/>
    </row>
    <row r="3376" spans="1:5" x14ac:dyDescent="0.2">
      <c r="A3376"/>
      <c r="B3376"/>
      <c r="C3376"/>
      <c r="D3376"/>
      <c r="E3376"/>
    </row>
    <row r="3377" spans="1:5" x14ac:dyDescent="0.2">
      <c r="A3377"/>
      <c r="B3377"/>
      <c r="C3377"/>
      <c r="D3377"/>
      <c r="E3377"/>
    </row>
    <row r="3378" spans="1:5" x14ac:dyDescent="0.2">
      <c r="A3378"/>
      <c r="B3378"/>
      <c r="C3378"/>
      <c r="D3378"/>
      <c r="E3378"/>
    </row>
    <row r="3379" spans="1:5" x14ac:dyDescent="0.2">
      <c r="A3379"/>
      <c r="B3379"/>
      <c r="C3379"/>
      <c r="D3379"/>
      <c r="E3379"/>
    </row>
    <row r="3380" spans="1:5" x14ac:dyDescent="0.2">
      <c r="A3380"/>
      <c r="B3380"/>
      <c r="C3380"/>
      <c r="D3380"/>
      <c r="E3380"/>
    </row>
    <row r="3381" spans="1:5" x14ac:dyDescent="0.2">
      <c r="A3381"/>
      <c r="B3381"/>
      <c r="C3381"/>
      <c r="D3381"/>
      <c r="E3381"/>
    </row>
    <row r="3382" spans="1:5" x14ac:dyDescent="0.2">
      <c r="A3382"/>
      <c r="B3382"/>
      <c r="C3382"/>
      <c r="D3382"/>
      <c r="E3382"/>
    </row>
    <row r="3383" spans="1:5" x14ac:dyDescent="0.2">
      <c r="A3383"/>
      <c r="B3383"/>
      <c r="C3383"/>
      <c r="D3383"/>
      <c r="E3383"/>
    </row>
    <row r="3384" spans="1:5" x14ac:dyDescent="0.2">
      <c r="A3384"/>
      <c r="B3384"/>
      <c r="C3384"/>
      <c r="D3384"/>
      <c r="E3384"/>
    </row>
    <row r="3385" spans="1:5" x14ac:dyDescent="0.2">
      <c r="A3385"/>
      <c r="B3385"/>
      <c r="C3385"/>
      <c r="D3385"/>
      <c r="E3385"/>
    </row>
    <row r="3386" spans="1:5" x14ac:dyDescent="0.2">
      <c r="A3386"/>
      <c r="B3386"/>
      <c r="C3386"/>
      <c r="D3386"/>
      <c r="E3386"/>
    </row>
    <row r="3387" spans="1:5" x14ac:dyDescent="0.2">
      <c r="A3387"/>
      <c r="B3387"/>
      <c r="C3387"/>
      <c r="D3387"/>
      <c r="E3387"/>
    </row>
    <row r="3388" spans="1:5" x14ac:dyDescent="0.2">
      <c r="A3388"/>
      <c r="B3388"/>
      <c r="C3388"/>
      <c r="D3388"/>
      <c r="E3388"/>
    </row>
    <row r="3389" spans="1:5" x14ac:dyDescent="0.2">
      <c r="A3389"/>
      <c r="B3389"/>
      <c r="C3389"/>
      <c r="D3389"/>
      <c r="E3389"/>
    </row>
    <row r="3390" spans="1:5" x14ac:dyDescent="0.2">
      <c r="A3390"/>
      <c r="B3390"/>
      <c r="C3390"/>
      <c r="D3390"/>
      <c r="E3390"/>
    </row>
    <row r="3391" spans="1:5" x14ac:dyDescent="0.2">
      <c r="A3391"/>
      <c r="B3391"/>
      <c r="C3391"/>
      <c r="D3391"/>
      <c r="E3391"/>
    </row>
    <row r="3392" spans="1:5" x14ac:dyDescent="0.2">
      <c r="A3392"/>
      <c r="B3392"/>
      <c r="C3392"/>
      <c r="D3392"/>
      <c r="E3392"/>
    </row>
    <row r="3393" spans="1:5" x14ac:dyDescent="0.2">
      <c r="A3393"/>
      <c r="B3393"/>
      <c r="C3393"/>
      <c r="D3393"/>
      <c r="E3393"/>
    </row>
    <row r="3394" spans="1:5" x14ac:dyDescent="0.2">
      <c r="A3394"/>
      <c r="B3394"/>
      <c r="C3394"/>
      <c r="D3394"/>
      <c r="E3394"/>
    </row>
    <row r="3395" spans="1:5" x14ac:dyDescent="0.2">
      <c r="A3395"/>
      <c r="B3395"/>
      <c r="C3395"/>
      <c r="D3395"/>
      <c r="E3395"/>
    </row>
    <row r="3396" spans="1:5" x14ac:dyDescent="0.2">
      <c r="A3396"/>
      <c r="B3396"/>
      <c r="C3396"/>
      <c r="D3396"/>
      <c r="E3396"/>
    </row>
    <row r="3397" spans="1:5" x14ac:dyDescent="0.2">
      <c r="A3397"/>
      <c r="B3397"/>
      <c r="C3397"/>
      <c r="D3397"/>
      <c r="E3397"/>
    </row>
    <row r="3398" spans="1:5" x14ac:dyDescent="0.2">
      <c r="A3398"/>
      <c r="B3398"/>
      <c r="C3398"/>
      <c r="D3398"/>
      <c r="E3398"/>
    </row>
    <row r="3399" spans="1:5" x14ac:dyDescent="0.2">
      <c r="A3399"/>
      <c r="B3399"/>
      <c r="C3399"/>
      <c r="D3399"/>
      <c r="E3399"/>
    </row>
    <row r="3400" spans="1:5" x14ac:dyDescent="0.2">
      <c r="A3400"/>
      <c r="B3400"/>
      <c r="C3400"/>
      <c r="D3400"/>
      <c r="E3400"/>
    </row>
    <row r="3401" spans="1:5" x14ac:dyDescent="0.2">
      <c r="A3401"/>
      <c r="B3401"/>
      <c r="C3401"/>
      <c r="D3401"/>
      <c r="E3401"/>
    </row>
    <row r="3402" spans="1:5" x14ac:dyDescent="0.2">
      <c r="A3402"/>
      <c r="B3402"/>
      <c r="C3402"/>
      <c r="D3402"/>
      <c r="E3402"/>
    </row>
    <row r="3403" spans="1:5" x14ac:dyDescent="0.2">
      <c r="A3403"/>
      <c r="B3403"/>
      <c r="C3403"/>
      <c r="D3403"/>
      <c r="E3403"/>
    </row>
    <row r="3404" spans="1:5" x14ac:dyDescent="0.2">
      <c r="A3404"/>
      <c r="B3404"/>
      <c r="C3404"/>
      <c r="D3404"/>
      <c r="E3404"/>
    </row>
    <row r="3405" spans="1:5" x14ac:dyDescent="0.2">
      <c r="A3405"/>
      <c r="B3405"/>
      <c r="C3405"/>
      <c r="D3405"/>
      <c r="E3405"/>
    </row>
    <row r="3406" spans="1:5" x14ac:dyDescent="0.2">
      <c r="A3406"/>
      <c r="B3406"/>
      <c r="C3406"/>
      <c r="D3406"/>
      <c r="E3406"/>
    </row>
    <row r="3407" spans="1:5" x14ac:dyDescent="0.2">
      <c r="A3407"/>
      <c r="B3407"/>
      <c r="C3407"/>
      <c r="D3407"/>
      <c r="E3407"/>
    </row>
    <row r="3408" spans="1:5" x14ac:dyDescent="0.2">
      <c r="A3408"/>
      <c r="B3408"/>
      <c r="C3408"/>
      <c r="D3408"/>
      <c r="E3408"/>
    </row>
    <row r="3409" spans="1:5" x14ac:dyDescent="0.2">
      <c r="A3409"/>
      <c r="B3409"/>
      <c r="C3409"/>
      <c r="D3409"/>
      <c r="E3409"/>
    </row>
    <row r="3410" spans="1:5" x14ac:dyDescent="0.2">
      <c r="A3410"/>
      <c r="B3410"/>
      <c r="C3410"/>
      <c r="D3410"/>
      <c r="E3410"/>
    </row>
    <row r="3411" spans="1:5" x14ac:dyDescent="0.2">
      <c r="A3411"/>
      <c r="B3411"/>
      <c r="C3411"/>
      <c r="D3411"/>
      <c r="E3411"/>
    </row>
    <row r="3412" spans="1:5" x14ac:dyDescent="0.2">
      <c r="A3412"/>
      <c r="B3412"/>
      <c r="C3412"/>
      <c r="D3412"/>
      <c r="E3412"/>
    </row>
    <row r="3413" spans="1:5" x14ac:dyDescent="0.2">
      <c r="A3413"/>
      <c r="B3413"/>
      <c r="C3413"/>
      <c r="D3413"/>
      <c r="E3413"/>
    </row>
    <row r="3414" spans="1:5" x14ac:dyDescent="0.2">
      <c r="A3414"/>
      <c r="B3414"/>
      <c r="C3414"/>
      <c r="D3414"/>
      <c r="E3414"/>
    </row>
    <row r="3415" spans="1:5" x14ac:dyDescent="0.2">
      <c r="A3415"/>
      <c r="B3415"/>
      <c r="C3415"/>
      <c r="D3415"/>
      <c r="E3415"/>
    </row>
    <row r="3416" spans="1:5" x14ac:dyDescent="0.2">
      <c r="A3416"/>
      <c r="B3416"/>
      <c r="C3416"/>
      <c r="D3416"/>
      <c r="E3416"/>
    </row>
    <row r="3417" spans="1:5" x14ac:dyDescent="0.2">
      <c r="A3417"/>
      <c r="B3417"/>
      <c r="C3417"/>
      <c r="D3417"/>
      <c r="E3417"/>
    </row>
    <row r="3418" spans="1:5" x14ac:dyDescent="0.2">
      <c r="A3418"/>
      <c r="B3418"/>
      <c r="C3418"/>
      <c r="D3418"/>
      <c r="E3418"/>
    </row>
    <row r="3419" spans="1:5" x14ac:dyDescent="0.2">
      <c r="A3419"/>
      <c r="B3419"/>
      <c r="C3419"/>
      <c r="D3419"/>
      <c r="E3419"/>
    </row>
    <row r="3420" spans="1:5" x14ac:dyDescent="0.2">
      <c r="A3420"/>
      <c r="B3420"/>
      <c r="C3420"/>
      <c r="D3420"/>
      <c r="E3420"/>
    </row>
    <row r="3421" spans="1:5" x14ac:dyDescent="0.2">
      <c r="A3421"/>
      <c r="B3421"/>
      <c r="C3421"/>
      <c r="D3421"/>
      <c r="E3421"/>
    </row>
    <row r="3422" spans="1:5" x14ac:dyDescent="0.2">
      <c r="A3422"/>
      <c r="B3422"/>
      <c r="C3422"/>
      <c r="D3422"/>
      <c r="E3422"/>
    </row>
    <row r="3423" spans="1:5" x14ac:dyDescent="0.2">
      <c r="A3423"/>
      <c r="B3423"/>
      <c r="C3423"/>
      <c r="D3423"/>
      <c r="E3423"/>
    </row>
    <row r="3424" spans="1:5" x14ac:dyDescent="0.2">
      <c r="A3424"/>
      <c r="B3424"/>
      <c r="C3424"/>
      <c r="D3424"/>
      <c r="E3424"/>
    </row>
    <row r="3425" spans="1:5" x14ac:dyDescent="0.2">
      <c r="A3425"/>
      <c r="B3425"/>
      <c r="C3425"/>
      <c r="D3425"/>
      <c r="E3425"/>
    </row>
    <row r="3426" spans="1:5" x14ac:dyDescent="0.2">
      <c r="A3426"/>
      <c r="B3426"/>
      <c r="C3426"/>
      <c r="D3426"/>
      <c r="E3426"/>
    </row>
    <row r="3427" spans="1:5" x14ac:dyDescent="0.2">
      <c r="A3427"/>
      <c r="B3427"/>
      <c r="C3427"/>
      <c r="D3427"/>
      <c r="E3427"/>
    </row>
    <row r="3428" spans="1:5" x14ac:dyDescent="0.2">
      <c r="A3428"/>
      <c r="B3428"/>
      <c r="C3428"/>
      <c r="D3428"/>
      <c r="E3428"/>
    </row>
    <row r="3429" spans="1:5" x14ac:dyDescent="0.2">
      <c r="A3429"/>
      <c r="B3429"/>
      <c r="C3429"/>
      <c r="D3429"/>
      <c r="E3429"/>
    </row>
    <row r="3430" spans="1:5" x14ac:dyDescent="0.2">
      <c r="A3430"/>
      <c r="B3430"/>
      <c r="C3430"/>
      <c r="D3430"/>
      <c r="E3430"/>
    </row>
    <row r="3431" spans="1:5" x14ac:dyDescent="0.2">
      <c r="A3431"/>
      <c r="B3431"/>
      <c r="C3431"/>
      <c r="D3431"/>
      <c r="E3431"/>
    </row>
    <row r="3432" spans="1:5" x14ac:dyDescent="0.2">
      <c r="A3432"/>
      <c r="B3432"/>
      <c r="C3432"/>
      <c r="D3432"/>
      <c r="E3432"/>
    </row>
    <row r="3433" spans="1:5" x14ac:dyDescent="0.2">
      <c r="A3433"/>
      <c r="B3433"/>
      <c r="C3433"/>
      <c r="D3433"/>
      <c r="E3433"/>
    </row>
    <row r="3434" spans="1:5" x14ac:dyDescent="0.2">
      <c r="A3434"/>
      <c r="B3434"/>
      <c r="C3434"/>
      <c r="D3434"/>
      <c r="E3434"/>
    </row>
    <row r="3435" spans="1:5" x14ac:dyDescent="0.2">
      <c r="A3435"/>
      <c r="B3435"/>
      <c r="C3435"/>
      <c r="D3435"/>
      <c r="E3435"/>
    </row>
    <row r="3436" spans="1:5" x14ac:dyDescent="0.2">
      <c r="A3436"/>
      <c r="B3436"/>
      <c r="C3436"/>
      <c r="D3436"/>
      <c r="E3436"/>
    </row>
    <row r="3437" spans="1:5" x14ac:dyDescent="0.2">
      <c r="A3437"/>
      <c r="B3437"/>
      <c r="C3437"/>
      <c r="D3437"/>
      <c r="E3437"/>
    </row>
    <row r="3438" spans="1:5" x14ac:dyDescent="0.2">
      <c r="A3438"/>
      <c r="B3438"/>
      <c r="C3438"/>
      <c r="D3438"/>
      <c r="E3438"/>
    </row>
    <row r="3439" spans="1:5" x14ac:dyDescent="0.2">
      <c r="A3439"/>
      <c r="B3439"/>
      <c r="C3439"/>
      <c r="D3439"/>
      <c r="E3439"/>
    </row>
    <row r="3440" spans="1:5" x14ac:dyDescent="0.2">
      <c r="A3440"/>
      <c r="B3440"/>
      <c r="C3440"/>
      <c r="D3440"/>
      <c r="E3440"/>
    </row>
    <row r="3441" spans="1:5" x14ac:dyDescent="0.2">
      <c r="A3441"/>
      <c r="B3441"/>
      <c r="C3441"/>
      <c r="D3441"/>
      <c r="E3441"/>
    </row>
    <row r="3442" spans="1:5" x14ac:dyDescent="0.2">
      <c r="A3442"/>
      <c r="B3442"/>
      <c r="C3442"/>
      <c r="D3442"/>
      <c r="E3442"/>
    </row>
    <row r="3443" spans="1:5" x14ac:dyDescent="0.2">
      <c r="A3443"/>
      <c r="B3443"/>
      <c r="C3443"/>
      <c r="D3443"/>
      <c r="E3443"/>
    </row>
    <row r="3444" spans="1:5" x14ac:dyDescent="0.2">
      <c r="A3444"/>
      <c r="B3444"/>
      <c r="C3444"/>
      <c r="D3444"/>
      <c r="E3444"/>
    </row>
    <row r="3445" spans="1:5" x14ac:dyDescent="0.2">
      <c r="A3445"/>
      <c r="B3445"/>
      <c r="C3445"/>
      <c r="D3445"/>
      <c r="E3445"/>
    </row>
    <row r="3446" spans="1:5" x14ac:dyDescent="0.2">
      <c r="A3446"/>
      <c r="B3446"/>
      <c r="C3446"/>
      <c r="D3446"/>
      <c r="E3446"/>
    </row>
    <row r="3447" spans="1:5" x14ac:dyDescent="0.2">
      <c r="A3447"/>
      <c r="B3447"/>
      <c r="C3447"/>
      <c r="D3447"/>
      <c r="E3447"/>
    </row>
    <row r="3448" spans="1:5" x14ac:dyDescent="0.2">
      <c r="A3448"/>
      <c r="B3448"/>
      <c r="C3448"/>
      <c r="D3448"/>
      <c r="E3448"/>
    </row>
    <row r="3449" spans="1:5" x14ac:dyDescent="0.2">
      <c r="A3449"/>
      <c r="B3449"/>
      <c r="C3449"/>
      <c r="D3449"/>
      <c r="E3449"/>
    </row>
    <row r="3450" spans="1:5" x14ac:dyDescent="0.2">
      <c r="A3450"/>
      <c r="B3450"/>
      <c r="C3450"/>
      <c r="D3450"/>
      <c r="E3450"/>
    </row>
    <row r="3451" spans="1:5" x14ac:dyDescent="0.2">
      <c r="A3451"/>
      <c r="B3451"/>
      <c r="C3451"/>
      <c r="D3451"/>
      <c r="E3451"/>
    </row>
    <row r="3452" spans="1:5" x14ac:dyDescent="0.2">
      <c r="A3452"/>
      <c r="B3452"/>
      <c r="C3452"/>
      <c r="D3452"/>
      <c r="E3452"/>
    </row>
    <row r="3453" spans="1:5" x14ac:dyDescent="0.2">
      <c r="A3453"/>
      <c r="B3453"/>
      <c r="C3453"/>
      <c r="D3453"/>
      <c r="E3453"/>
    </row>
    <row r="3454" spans="1:5" x14ac:dyDescent="0.2">
      <c r="A3454"/>
      <c r="B3454"/>
      <c r="C3454"/>
      <c r="D3454"/>
      <c r="E3454"/>
    </row>
    <row r="3455" spans="1:5" x14ac:dyDescent="0.2">
      <c r="A3455"/>
      <c r="B3455"/>
      <c r="C3455"/>
      <c r="D3455"/>
      <c r="E3455"/>
    </row>
    <row r="3456" spans="1:5" x14ac:dyDescent="0.2">
      <c r="A3456"/>
      <c r="B3456"/>
      <c r="C3456"/>
      <c r="D3456"/>
      <c r="E3456"/>
    </row>
    <row r="3457" spans="1:5" x14ac:dyDescent="0.2">
      <c r="A3457"/>
      <c r="B3457"/>
      <c r="C3457"/>
      <c r="D3457"/>
      <c r="E3457"/>
    </row>
    <row r="3458" spans="1:5" x14ac:dyDescent="0.2">
      <c r="A3458"/>
      <c r="B3458"/>
      <c r="C3458"/>
      <c r="D3458"/>
      <c r="E3458"/>
    </row>
    <row r="3459" spans="1:5" x14ac:dyDescent="0.2">
      <c r="A3459"/>
      <c r="B3459"/>
      <c r="C3459"/>
      <c r="D3459"/>
      <c r="E3459"/>
    </row>
    <row r="3460" spans="1:5" x14ac:dyDescent="0.2">
      <c r="A3460"/>
      <c r="B3460"/>
      <c r="C3460"/>
      <c r="D3460"/>
      <c r="E3460"/>
    </row>
    <row r="3461" spans="1:5" x14ac:dyDescent="0.2">
      <c r="A3461"/>
      <c r="B3461"/>
      <c r="C3461"/>
      <c r="D3461"/>
      <c r="E3461"/>
    </row>
    <row r="3462" spans="1:5" x14ac:dyDescent="0.2">
      <c r="A3462"/>
      <c r="B3462"/>
      <c r="C3462"/>
      <c r="D3462"/>
      <c r="E3462"/>
    </row>
    <row r="3463" spans="1:5" x14ac:dyDescent="0.2">
      <c r="A3463"/>
      <c r="B3463"/>
      <c r="C3463"/>
      <c r="D3463"/>
      <c r="E3463"/>
    </row>
    <row r="3464" spans="1:5" x14ac:dyDescent="0.2">
      <c r="A3464"/>
      <c r="B3464"/>
      <c r="C3464"/>
      <c r="D3464"/>
      <c r="E3464"/>
    </row>
    <row r="3465" spans="1:5" x14ac:dyDescent="0.2">
      <c r="A3465"/>
      <c r="B3465"/>
      <c r="C3465"/>
      <c r="D3465"/>
      <c r="E3465"/>
    </row>
    <row r="3466" spans="1:5" x14ac:dyDescent="0.2">
      <c r="A3466"/>
      <c r="B3466"/>
      <c r="C3466"/>
      <c r="D3466"/>
      <c r="E3466"/>
    </row>
    <row r="3467" spans="1:5" x14ac:dyDescent="0.2">
      <c r="A3467"/>
      <c r="B3467"/>
      <c r="C3467"/>
      <c r="D3467"/>
      <c r="E3467"/>
    </row>
    <row r="3468" spans="1:5" x14ac:dyDescent="0.2">
      <c r="A3468"/>
      <c r="B3468"/>
      <c r="C3468"/>
      <c r="D3468"/>
      <c r="E3468"/>
    </row>
    <row r="3469" spans="1:5" x14ac:dyDescent="0.2">
      <c r="A3469"/>
      <c r="B3469"/>
      <c r="C3469"/>
      <c r="D3469"/>
      <c r="E3469"/>
    </row>
    <row r="3470" spans="1:5" x14ac:dyDescent="0.2">
      <c r="A3470"/>
      <c r="B3470"/>
      <c r="C3470"/>
      <c r="D3470"/>
      <c r="E3470"/>
    </row>
    <row r="3471" spans="1:5" x14ac:dyDescent="0.2">
      <c r="A3471"/>
      <c r="B3471"/>
      <c r="C3471"/>
      <c r="D3471"/>
      <c r="E3471"/>
    </row>
    <row r="3472" spans="1:5" x14ac:dyDescent="0.2">
      <c r="A3472"/>
      <c r="B3472"/>
      <c r="C3472"/>
      <c r="D3472"/>
      <c r="E3472"/>
    </row>
    <row r="3473" spans="1:5" x14ac:dyDescent="0.2">
      <c r="A3473"/>
      <c r="B3473"/>
      <c r="C3473"/>
      <c r="D3473"/>
      <c r="E3473"/>
    </row>
    <row r="3474" spans="1:5" x14ac:dyDescent="0.2">
      <c r="A3474"/>
      <c r="B3474"/>
      <c r="C3474"/>
      <c r="D3474"/>
      <c r="E3474"/>
    </row>
    <row r="3475" spans="1:5" x14ac:dyDescent="0.2">
      <c r="A3475"/>
      <c r="B3475"/>
      <c r="C3475"/>
      <c r="D3475"/>
      <c r="E3475"/>
    </row>
    <row r="3476" spans="1:5" x14ac:dyDescent="0.2">
      <c r="A3476"/>
      <c r="B3476"/>
      <c r="C3476"/>
      <c r="D3476"/>
      <c r="E3476"/>
    </row>
    <row r="3477" spans="1:5" x14ac:dyDescent="0.2">
      <c r="A3477"/>
      <c r="B3477"/>
      <c r="C3477"/>
      <c r="D3477"/>
      <c r="E3477"/>
    </row>
    <row r="3478" spans="1:5" x14ac:dyDescent="0.2">
      <c r="A3478"/>
      <c r="B3478"/>
      <c r="C3478"/>
      <c r="D3478"/>
      <c r="E3478"/>
    </row>
    <row r="3479" spans="1:5" x14ac:dyDescent="0.2">
      <c r="A3479"/>
      <c r="B3479"/>
      <c r="C3479"/>
      <c r="D3479"/>
      <c r="E3479"/>
    </row>
    <row r="3480" spans="1:5" x14ac:dyDescent="0.2">
      <c r="A3480"/>
      <c r="B3480"/>
      <c r="C3480"/>
      <c r="D3480"/>
      <c r="E3480"/>
    </row>
    <row r="3481" spans="1:5" x14ac:dyDescent="0.2">
      <c r="A3481"/>
      <c r="B3481"/>
      <c r="C3481"/>
      <c r="D3481"/>
      <c r="E3481"/>
    </row>
    <row r="3482" spans="1:5" x14ac:dyDescent="0.2">
      <c r="A3482"/>
      <c r="B3482"/>
      <c r="C3482"/>
      <c r="D3482"/>
      <c r="E3482"/>
    </row>
    <row r="3483" spans="1:5" x14ac:dyDescent="0.2">
      <c r="A3483"/>
      <c r="B3483"/>
      <c r="C3483"/>
      <c r="D3483"/>
      <c r="E3483"/>
    </row>
    <row r="3484" spans="1:5" x14ac:dyDescent="0.2">
      <c r="A3484"/>
      <c r="B3484"/>
      <c r="C3484"/>
      <c r="D3484"/>
      <c r="E3484"/>
    </row>
    <row r="3485" spans="1:5" x14ac:dyDescent="0.2">
      <c r="A3485"/>
      <c r="B3485"/>
      <c r="C3485"/>
      <c r="D3485"/>
      <c r="E3485"/>
    </row>
    <row r="3486" spans="1:5" x14ac:dyDescent="0.2">
      <c r="A3486"/>
      <c r="B3486"/>
      <c r="C3486"/>
      <c r="D3486"/>
      <c r="E3486"/>
    </row>
    <row r="3487" spans="1:5" x14ac:dyDescent="0.2">
      <c r="A3487"/>
      <c r="B3487"/>
      <c r="C3487"/>
      <c r="D3487"/>
      <c r="E3487"/>
    </row>
    <row r="3488" spans="1:5" x14ac:dyDescent="0.2">
      <c r="A3488"/>
      <c r="B3488"/>
      <c r="C3488"/>
      <c r="D3488"/>
      <c r="E3488"/>
    </row>
    <row r="3489" spans="1:5" x14ac:dyDescent="0.2">
      <c r="A3489"/>
      <c r="B3489"/>
      <c r="C3489"/>
      <c r="D3489"/>
      <c r="E3489"/>
    </row>
    <row r="3490" spans="1:5" x14ac:dyDescent="0.2">
      <c r="A3490"/>
      <c r="B3490"/>
      <c r="C3490"/>
      <c r="D3490"/>
      <c r="E3490"/>
    </row>
    <row r="3491" spans="1:5" x14ac:dyDescent="0.2">
      <c r="A3491"/>
      <c r="B3491"/>
      <c r="C3491"/>
      <c r="D3491"/>
      <c r="E3491"/>
    </row>
    <row r="3492" spans="1:5" x14ac:dyDescent="0.2">
      <c r="A3492"/>
      <c r="B3492"/>
      <c r="C3492"/>
      <c r="D3492"/>
      <c r="E3492"/>
    </row>
    <row r="3493" spans="1:5" x14ac:dyDescent="0.2">
      <c r="A3493"/>
      <c r="B3493"/>
      <c r="C3493"/>
      <c r="D3493"/>
      <c r="E3493"/>
    </row>
    <row r="3494" spans="1:5" x14ac:dyDescent="0.2">
      <c r="A3494"/>
      <c r="B3494"/>
      <c r="C3494"/>
      <c r="D3494"/>
      <c r="E3494"/>
    </row>
    <row r="3495" spans="1:5" x14ac:dyDescent="0.2">
      <c r="A3495"/>
      <c r="B3495"/>
      <c r="C3495"/>
      <c r="D3495"/>
      <c r="E3495"/>
    </row>
    <row r="3496" spans="1:5" x14ac:dyDescent="0.2">
      <c r="A3496"/>
      <c r="B3496"/>
      <c r="C3496"/>
      <c r="D3496"/>
      <c r="E3496"/>
    </row>
    <row r="3497" spans="1:5" x14ac:dyDescent="0.2">
      <c r="A3497"/>
      <c r="B3497"/>
      <c r="C3497"/>
      <c r="D3497"/>
      <c r="E3497"/>
    </row>
    <row r="3498" spans="1:5" x14ac:dyDescent="0.2">
      <c r="A3498"/>
      <c r="B3498"/>
      <c r="C3498"/>
      <c r="D3498"/>
      <c r="E3498"/>
    </row>
    <row r="3499" spans="1:5" x14ac:dyDescent="0.2">
      <c r="A3499"/>
      <c r="B3499"/>
      <c r="C3499"/>
      <c r="D3499"/>
      <c r="E3499"/>
    </row>
    <row r="3500" spans="1:5" x14ac:dyDescent="0.2">
      <c r="A3500"/>
      <c r="B3500"/>
      <c r="C3500"/>
      <c r="D3500"/>
      <c r="E3500"/>
    </row>
    <row r="3501" spans="1:5" x14ac:dyDescent="0.2">
      <c r="A3501"/>
      <c r="B3501"/>
      <c r="C3501"/>
      <c r="D3501"/>
      <c r="E3501"/>
    </row>
    <row r="3502" spans="1:5" x14ac:dyDescent="0.2">
      <c r="A3502"/>
      <c r="B3502"/>
      <c r="C3502"/>
      <c r="D3502"/>
      <c r="E3502"/>
    </row>
    <row r="3503" spans="1:5" x14ac:dyDescent="0.2">
      <c r="A3503"/>
      <c r="B3503"/>
      <c r="C3503"/>
      <c r="D3503"/>
      <c r="E3503"/>
    </row>
    <row r="3504" spans="1:5" x14ac:dyDescent="0.2">
      <c r="A3504"/>
      <c r="B3504"/>
      <c r="C3504"/>
      <c r="D3504"/>
      <c r="E3504"/>
    </row>
    <row r="3505" spans="1:5" x14ac:dyDescent="0.2">
      <c r="A3505"/>
      <c r="B3505"/>
      <c r="C3505"/>
      <c r="D3505"/>
      <c r="E3505"/>
    </row>
    <row r="3506" spans="1:5" x14ac:dyDescent="0.2">
      <c r="A3506"/>
      <c r="B3506"/>
      <c r="C3506"/>
      <c r="D3506"/>
      <c r="E3506"/>
    </row>
    <row r="3507" spans="1:5" x14ac:dyDescent="0.2">
      <c r="A3507"/>
      <c r="B3507"/>
      <c r="C3507"/>
      <c r="D3507"/>
      <c r="E3507"/>
    </row>
    <row r="3508" spans="1:5" x14ac:dyDescent="0.2">
      <c r="A3508"/>
      <c r="B3508"/>
      <c r="C3508"/>
      <c r="D3508"/>
      <c r="E3508"/>
    </row>
    <row r="3509" spans="1:5" x14ac:dyDescent="0.2">
      <c r="A3509"/>
      <c r="B3509"/>
      <c r="C3509"/>
      <c r="D3509"/>
      <c r="E3509"/>
    </row>
    <row r="3510" spans="1:5" x14ac:dyDescent="0.2">
      <c r="A3510"/>
      <c r="B3510"/>
      <c r="C3510"/>
      <c r="D3510"/>
      <c r="E3510"/>
    </row>
    <row r="3511" spans="1:5" x14ac:dyDescent="0.2">
      <c r="A3511"/>
      <c r="B3511"/>
      <c r="C3511"/>
      <c r="D3511"/>
      <c r="E3511"/>
    </row>
    <row r="3512" spans="1:5" x14ac:dyDescent="0.2">
      <c r="A3512"/>
      <c r="B3512"/>
      <c r="C3512"/>
      <c r="D3512"/>
      <c r="E3512"/>
    </row>
    <row r="3513" spans="1:5" x14ac:dyDescent="0.2">
      <c r="A3513"/>
      <c r="B3513"/>
      <c r="C3513"/>
      <c r="D3513"/>
      <c r="E3513"/>
    </row>
    <row r="3514" spans="1:5" x14ac:dyDescent="0.2">
      <c r="A3514"/>
      <c r="B3514"/>
      <c r="C3514"/>
      <c r="D3514"/>
      <c r="E3514"/>
    </row>
    <row r="3515" spans="1:5" x14ac:dyDescent="0.2">
      <c r="A3515"/>
      <c r="B3515"/>
      <c r="C3515"/>
      <c r="D3515"/>
      <c r="E3515"/>
    </row>
    <row r="3516" spans="1:5" x14ac:dyDescent="0.2">
      <c r="A3516"/>
      <c r="B3516"/>
      <c r="C3516"/>
      <c r="D3516"/>
      <c r="E3516"/>
    </row>
    <row r="3517" spans="1:5" x14ac:dyDescent="0.2">
      <c r="A3517"/>
      <c r="B3517"/>
      <c r="C3517"/>
      <c r="D3517"/>
      <c r="E3517"/>
    </row>
    <row r="3518" spans="1:5" x14ac:dyDescent="0.2">
      <c r="A3518"/>
      <c r="B3518"/>
      <c r="C3518"/>
      <c r="D3518"/>
      <c r="E3518"/>
    </row>
    <row r="3519" spans="1:5" x14ac:dyDescent="0.2">
      <c r="A3519"/>
      <c r="B3519"/>
      <c r="C3519"/>
      <c r="D3519"/>
      <c r="E3519"/>
    </row>
    <row r="3520" spans="1:5" x14ac:dyDescent="0.2">
      <c r="A3520"/>
      <c r="B3520"/>
      <c r="C3520"/>
      <c r="D3520"/>
      <c r="E3520"/>
    </row>
    <row r="3521" spans="1:5" x14ac:dyDescent="0.2">
      <c r="A3521"/>
      <c r="B3521"/>
      <c r="C3521"/>
      <c r="D3521"/>
      <c r="E3521"/>
    </row>
    <row r="3522" spans="1:5" x14ac:dyDescent="0.2">
      <c r="A3522"/>
      <c r="B3522"/>
      <c r="C3522"/>
      <c r="D3522"/>
      <c r="E3522"/>
    </row>
    <row r="3523" spans="1:5" x14ac:dyDescent="0.2">
      <c r="A3523"/>
      <c r="B3523"/>
      <c r="C3523"/>
      <c r="D3523"/>
      <c r="E3523"/>
    </row>
    <row r="3524" spans="1:5" x14ac:dyDescent="0.2">
      <c r="A3524"/>
      <c r="B3524"/>
      <c r="C3524"/>
      <c r="D3524"/>
      <c r="E3524"/>
    </row>
    <row r="3525" spans="1:5" x14ac:dyDescent="0.2">
      <c r="A3525"/>
      <c r="B3525"/>
      <c r="C3525"/>
      <c r="D3525"/>
      <c r="E3525"/>
    </row>
    <row r="3526" spans="1:5" x14ac:dyDescent="0.2">
      <c r="A3526"/>
      <c r="B3526"/>
      <c r="C3526"/>
      <c r="D3526"/>
      <c r="E3526"/>
    </row>
    <row r="3527" spans="1:5" x14ac:dyDescent="0.2">
      <c r="A3527"/>
      <c r="B3527"/>
      <c r="C3527"/>
      <c r="D3527"/>
      <c r="E3527"/>
    </row>
    <row r="3528" spans="1:5" x14ac:dyDescent="0.2">
      <c r="A3528"/>
      <c r="B3528"/>
      <c r="C3528"/>
      <c r="D3528"/>
      <c r="E3528"/>
    </row>
    <row r="3529" spans="1:5" x14ac:dyDescent="0.2">
      <c r="A3529"/>
      <c r="B3529"/>
      <c r="C3529"/>
      <c r="D3529"/>
      <c r="E3529"/>
    </row>
    <row r="3530" spans="1:5" x14ac:dyDescent="0.2">
      <c r="A3530"/>
      <c r="B3530"/>
      <c r="C3530"/>
      <c r="D3530"/>
      <c r="E3530"/>
    </row>
    <row r="3531" spans="1:5" x14ac:dyDescent="0.2">
      <c r="A3531"/>
      <c r="B3531"/>
      <c r="C3531"/>
      <c r="D3531"/>
      <c r="E3531"/>
    </row>
    <row r="3532" spans="1:5" x14ac:dyDescent="0.2">
      <c r="A3532"/>
      <c r="B3532"/>
      <c r="C3532"/>
      <c r="D3532"/>
      <c r="E3532"/>
    </row>
    <row r="3533" spans="1:5" x14ac:dyDescent="0.2">
      <c r="A3533"/>
      <c r="B3533"/>
      <c r="C3533"/>
      <c r="D3533"/>
      <c r="E3533"/>
    </row>
    <row r="3534" spans="1:5" x14ac:dyDescent="0.2">
      <c r="A3534"/>
      <c r="B3534"/>
      <c r="C3534"/>
      <c r="D3534"/>
      <c r="E3534"/>
    </row>
    <row r="3535" spans="1:5" x14ac:dyDescent="0.2">
      <c r="A3535"/>
      <c r="B3535"/>
      <c r="C3535"/>
      <c r="D3535"/>
      <c r="E3535"/>
    </row>
    <row r="3536" spans="1:5" x14ac:dyDescent="0.2">
      <c r="A3536"/>
      <c r="B3536"/>
      <c r="C3536"/>
      <c r="D3536"/>
      <c r="E3536"/>
    </row>
    <row r="3537" spans="1:5" x14ac:dyDescent="0.2">
      <c r="A3537"/>
      <c r="B3537"/>
      <c r="C3537"/>
      <c r="D3537"/>
      <c r="E3537"/>
    </row>
    <row r="3538" spans="1:5" x14ac:dyDescent="0.2">
      <c r="A3538"/>
      <c r="B3538"/>
      <c r="C3538"/>
      <c r="D3538"/>
      <c r="E3538"/>
    </row>
    <row r="3539" spans="1:5" x14ac:dyDescent="0.2">
      <c r="A3539"/>
      <c r="B3539"/>
      <c r="C3539"/>
      <c r="D3539"/>
      <c r="E3539"/>
    </row>
    <row r="3540" spans="1:5" x14ac:dyDescent="0.2">
      <c r="A3540"/>
      <c r="B3540"/>
      <c r="C3540"/>
      <c r="D3540"/>
      <c r="E3540"/>
    </row>
    <row r="3541" spans="1:5" x14ac:dyDescent="0.2">
      <c r="A3541"/>
      <c r="B3541"/>
      <c r="C3541"/>
      <c r="D3541"/>
      <c r="E3541"/>
    </row>
    <row r="3542" spans="1:5" x14ac:dyDescent="0.2">
      <c r="A3542"/>
      <c r="B3542"/>
      <c r="C3542"/>
      <c r="D3542"/>
      <c r="E3542"/>
    </row>
    <row r="3543" spans="1:5" x14ac:dyDescent="0.2">
      <c r="A3543"/>
      <c r="B3543"/>
      <c r="C3543"/>
      <c r="D3543"/>
      <c r="E3543"/>
    </row>
    <row r="3544" spans="1:5" x14ac:dyDescent="0.2">
      <c r="A3544"/>
      <c r="B3544"/>
      <c r="C3544"/>
      <c r="D3544"/>
      <c r="E3544"/>
    </row>
    <row r="3545" spans="1:5" x14ac:dyDescent="0.2">
      <c r="A3545"/>
      <c r="B3545"/>
      <c r="C3545"/>
      <c r="D3545"/>
      <c r="E3545"/>
    </row>
    <row r="3546" spans="1:5" x14ac:dyDescent="0.2">
      <c r="A3546"/>
      <c r="B3546"/>
      <c r="C3546"/>
      <c r="D3546"/>
      <c r="E3546"/>
    </row>
    <row r="3547" spans="1:5" x14ac:dyDescent="0.2">
      <c r="A3547"/>
      <c r="B3547"/>
      <c r="C3547"/>
      <c r="D3547"/>
      <c r="E3547"/>
    </row>
    <row r="3548" spans="1:5" x14ac:dyDescent="0.2">
      <c r="A3548"/>
      <c r="B3548"/>
      <c r="C3548"/>
      <c r="D3548"/>
      <c r="E3548"/>
    </row>
    <row r="3549" spans="1:5" x14ac:dyDescent="0.2">
      <c r="A3549"/>
      <c r="B3549"/>
      <c r="C3549"/>
      <c r="D3549"/>
      <c r="E3549"/>
    </row>
    <row r="3550" spans="1:5" x14ac:dyDescent="0.2">
      <c r="A3550"/>
      <c r="B3550"/>
      <c r="C3550"/>
      <c r="D3550"/>
      <c r="E3550"/>
    </row>
    <row r="3551" spans="1:5" x14ac:dyDescent="0.2">
      <c r="A3551"/>
      <c r="B3551"/>
      <c r="C3551"/>
      <c r="D3551"/>
      <c r="E3551"/>
    </row>
    <row r="3552" spans="1:5" x14ac:dyDescent="0.2">
      <c r="A3552"/>
      <c r="B3552"/>
      <c r="C3552"/>
      <c r="D3552"/>
      <c r="E3552"/>
    </row>
    <row r="3553" spans="1:5" x14ac:dyDescent="0.2">
      <c r="A3553"/>
      <c r="B3553"/>
      <c r="C3553"/>
      <c r="D3553"/>
      <c r="E3553"/>
    </row>
    <row r="3554" spans="1:5" x14ac:dyDescent="0.2">
      <c r="A3554"/>
      <c r="B3554"/>
      <c r="C3554"/>
      <c r="D3554"/>
      <c r="E3554"/>
    </row>
    <row r="3555" spans="1:5" x14ac:dyDescent="0.2">
      <c r="A3555"/>
      <c r="B3555"/>
      <c r="C3555"/>
      <c r="D3555"/>
      <c r="E3555"/>
    </row>
    <row r="3556" spans="1:5" x14ac:dyDescent="0.2">
      <c r="A3556"/>
      <c r="B3556"/>
      <c r="C3556"/>
      <c r="D3556"/>
      <c r="E3556"/>
    </row>
    <row r="3557" spans="1:5" x14ac:dyDescent="0.2">
      <c r="A3557"/>
      <c r="B3557"/>
      <c r="C3557"/>
      <c r="D3557"/>
      <c r="E3557"/>
    </row>
    <row r="3558" spans="1:5" x14ac:dyDescent="0.2">
      <c r="A3558"/>
      <c r="B3558"/>
      <c r="C3558"/>
      <c r="D3558"/>
      <c r="E3558"/>
    </row>
    <row r="3559" spans="1:5" x14ac:dyDescent="0.2">
      <c r="A3559"/>
      <c r="B3559"/>
      <c r="C3559"/>
      <c r="D3559"/>
      <c r="E3559"/>
    </row>
    <row r="3560" spans="1:5" x14ac:dyDescent="0.2">
      <c r="A3560"/>
      <c r="B3560"/>
      <c r="C3560"/>
      <c r="D3560"/>
      <c r="E3560"/>
    </row>
    <row r="3561" spans="1:5" x14ac:dyDescent="0.2">
      <c r="A3561"/>
      <c r="B3561"/>
      <c r="C3561"/>
      <c r="D3561"/>
      <c r="E3561"/>
    </row>
    <row r="3562" spans="1:5" x14ac:dyDescent="0.2">
      <c r="A3562"/>
      <c r="B3562"/>
      <c r="C3562"/>
      <c r="D3562"/>
      <c r="E3562"/>
    </row>
    <row r="3563" spans="1:5" x14ac:dyDescent="0.2">
      <c r="A3563"/>
      <c r="B3563"/>
      <c r="C3563"/>
      <c r="D3563"/>
      <c r="E3563"/>
    </row>
    <row r="3564" spans="1:5" x14ac:dyDescent="0.2">
      <c r="A3564"/>
      <c r="B3564"/>
      <c r="C3564"/>
      <c r="D3564"/>
      <c r="E3564"/>
    </row>
    <row r="3565" spans="1:5" x14ac:dyDescent="0.2">
      <c r="A3565"/>
      <c r="B3565"/>
      <c r="C3565"/>
      <c r="D3565"/>
      <c r="E3565"/>
    </row>
    <row r="3566" spans="1:5" x14ac:dyDescent="0.2">
      <c r="A3566"/>
      <c r="B3566"/>
      <c r="C3566"/>
      <c r="D3566"/>
      <c r="E3566"/>
    </row>
    <row r="3567" spans="1:5" x14ac:dyDescent="0.2">
      <c r="A3567"/>
      <c r="B3567"/>
      <c r="C3567"/>
      <c r="D3567"/>
      <c r="E3567"/>
    </row>
    <row r="3568" spans="1:5" x14ac:dyDescent="0.2">
      <c r="A3568"/>
      <c r="B3568"/>
      <c r="C3568"/>
      <c r="D3568"/>
      <c r="E3568"/>
    </row>
    <row r="3569" spans="1:5" x14ac:dyDescent="0.2">
      <c r="A3569"/>
      <c r="B3569"/>
      <c r="C3569"/>
      <c r="D3569"/>
      <c r="E3569"/>
    </row>
    <row r="3570" spans="1:5" x14ac:dyDescent="0.2">
      <c r="A3570"/>
      <c r="B3570"/>
      <c r="C3570"/>
      <c r="D3570"/>
      <c r="E3570"/>
    </row>
    <row r="3571" spans="1:5" x14ac:dyDescent="0.2">
      <c r="A3571"/>
      <c r="B3571"/>
      <c r="C3571"/>
      <c r="D3571"/>
      <c r="E3571"/>
    </row>
    <row r="3572" spans="1:5" x14ac:dyDescent="0.2">
      <c r="A3572"/>
      <c r="B3572"/>
      <c r="C3572"/>
      <c r="D3572"/>
      <c r="E3572"/>
    </row>
    <row r="3573" spans="1:5" x14ac:dyDescent="0.2">
      <c r="A3573"/>
      <c r="B3573"/>
      <c r="C3573"/>
      <c r="D3573"/>
      <c r="E3573"/>
    </row>
    <row r="3574" spans="1:5" x14ac:dyDescent="0.2">
      <c r="A3574"/>
      <c r="B3574"/>
      <c r="C3574"/>
      <c r="D3574"/>
      <c r="E3574"/>
    </row>
    <row r="3575" spans="1:5" x14ac:dyDescent="0.2">
      <c r="A3575"/>
      <c r="B3575"/>
      <c r="C3575"/>
      <c r="D3575"/>
      <c r="E3575"/>
    </row>
    <row r="3576" spans="1:5" x14ac:dyDescent="0.2">
      <c r="A3576"/>
      <c r="B3576"/>
      <c r="C3576"/>
      <c r="D3576"/>
      <c r="E3576"/>
    </row>
    <row r="3577" spans="1:5" x14ac:dyDescent="0.2">
      <c r="A3577"/>
      <c r="B3577"/>
      <c r="C3577"/>
      <c r="D3577"/>
      <c r="E3577"/>
    </row>
    <row r="3578" spans="1:5" x14ac:dyDescent="0.2">
      <c r="A3578"/>
      <c r="B3578"/>
      <c r="C3578"/>
      <c r="D3578"/>
      <c r="E3578"/>
    </row>
    <row r="3579" spans="1:5" x14ac:dyDescent="0.2">
      <c r="A3579"/>
      <c r="B3579"/>
      <c r="C3579"/>
      <c r="D3579"/>
      <c r="E3579"/>
    </row>
    <row r="3580" spans="1:5" x14ac:dyDescent="0.2">
      <c r="A3580"/>
      <c r="B3580"/>
      <c r="C3580"/>
      <c r="D3580"/>
      <c r="E3580"/>
    </row>
    <row r="3581" spans="1:5" x14ac:dyDescent="0.2">
      <c r="A3581"/>
      <c r="B3581"/>
      <c r="C3581"/>
      <c r="D3581"/>
      <c r="E3581"/>
    </row>
    <row r="3582" spans="1:5" x14ac:dyDescent="0.2">
      <c r="A3582"/>
      <c r="B3582"/>
      <c r="C3582"/>
      <c r="D3582"/>
      <c r="E3582"/>
    </row>
    <row r="3583" spans="1:5" x14ac:dyDescent="0.2">
      <c r="A3583"/>
      <c r="B3583"/>
      <c r="C3583"/>
      <c r="D3583"/>
      <c r="E3583"/>
    </row>
    <row r="3584" spans="1:5" x14ac:dyDescent="0.2">
      <c r="A3584"/>
      <c r="B3584"/>
      <c r="C3584"/>
      <c r="D3584"/>
      <c r="E3584"/>
    </row>
    <row r="3585" spans="1:5" x14ac:dyDescent="0.2">
      <c r="A3585"/>
      <c r="B3585"/>
      <c r="C3585"/>
      <c r="D3585"/>
      <c r="E3585"/>
    </row>
    <row r="3586" spans="1:5" x14ac:dyDescent="0.2">
      <c r="A3586"/>
      <c r="B3586"/>
      <c r="C3586"/>
      <c r="D3586"/>
      <c r="E3586"/>
    </row>
    <row r="3587" spans="1:5" x14ac:dyDescent="0.2">
      <c r="A3587"/>
      <c r="B3587"/>
      <c r="C3587"/>
      <c r="D3587"/>
      <c r="E3587"/>
    </row>
    <row r="3588" spans="1:5" x14ac:dyDescent="0.2">
      <c r="A3588"/>
      <c r="B3588"/>
      <c r="C3588"/>
      <c r="D3588"/>
      <c r="E3588"/>
    </row>
    <row r="3589" spans="1:5" x14ac:dyDescent="0.2">
      <c r="A3589"/>
      <c r="B3589"/>
      <c r="C3589"/>
      <c r="D3589"/>
      <c r="E3589"/>
    </row>
    <row r="3590" spans="1:5" x14ac:dyDescent="0.2">
      <c r="A3590"/>
      <c r="B3590"/>
      <c r="C3590"/>
      <c r="D3590"/>
      <c r="E3590"/>
    </row>
    <row r="3591" spans="1:5" x14ac:dyDescent="0.2">
      <c r="A3591"/>
      <c r="B3591"/>
      <c r="C3591"/>
      <c r="D3591"/>
      <c r="E3591"/>
    </row>
    <row r="3592" spans="1:5" x14ac:dyDescent="0.2">
      <c r="A3592"/>
      <c r="B3592"/>
      <c r="C3592"/>
      <c r="D3592"/>
      <c r="E3592"/>
    </row>
    <row r="3593" spans="1:5" x14ac:dyDescent="0.2">
      <c r="A3593"/>
      <c r="B3593"/>
      <c r="C3593"/>
      <c r="D3593"/>
      <c r="E3593"/>
    </row>
    <row r="3594" spans="1:5" x14ac:dyDescent="0.2">
      <c r="A3594"/>
      <c r="B3594"/>
      <c r="C3594"/>
      <c r="D3594"/>
      <c r="E3594"/>
    </row>
    <row r="3595" spans="1:5" x14ac:dyDescent="0.2">
      <c r="A3595"/>
      <c r="B3595"/>
      <c r="C3595"/>
      <c r="D3595"/>
      <c r="E3595"/>
    </row>
    <row r="3596" spans="1:5" x14ac:dyDescent="0.2">
      <c r="A3596"/>
      <c r="B3596"/>
      <c r="C3596"/>
      <c r="D3596"/>
      <c r="E3596"/>
    </row>
    <row r="3597" spans="1:5" x14ac:dyDescent="0.2">
      <c r="A3597"/>
      <c r="B3597"/>
      <c r="C3597"/>
      <c r="D3597"/>
      <c r="E3597"/>
    </row>
    <row r="3598" spans="1:5" x14ac:dyDescent="0.2">
      <c r="A3598"/>
      <c r="B3598"/>
      <c r="C3598"/>
      <c r="D3598"/>
      <c r="E3598"/>
    </row>
    <row r="3599" spans="1:5" x14ac:dyDescent="0.2">
      <c r="A3599"/>
      <c r="B3599"/>
      <c r="C3599"/>
      <c r="D3599"/>
      <c r="E3599"/>
    </row>
    <row r="3600" spans="1:5" x14ac:dyDescent="0.2">
      <c r="A3600"/>
      <c r="B3600"/>
      <c r="C3600"/>
      <c r="D3600"/>
      <c r="E3600"/>
    </row>
    <row r="3601" spans="1:5" x14ac:dyDescent="0.2">
      <c r="A3601"/>
      <c r="B3601"/>
      <c r="C3601"/>
      <c r="D3601"/>
      <c r="E3601"/>
    </row>
    <row r="3602" spans="1:5" x14ac:dyDescent="0.2">
      <c r="A3602"/>
      <c r="B3602"/>
      <c r="C3602"/>
      <c r="D3602"/>
      <c r="E3602"/>
    </row>
    <row r="3603" spans="1:5" x14ac:dyDescent="0.2">
      <c r="A3603"/>
      <c r="B3603"/>
      <c r="C3603"/>
      <c r="D3603"/>
      <c r="E3603"/>
    </row>
    <row r="3604" spans="1:5" x14ac:dyDescent="0.2">
      <c r="A3604"/>
      <c r="B3604"/>
      <c r="C3604"/>
      <c r="D3604"/>
      <c r="E3604"/>
    </row>
    <row r="3605" spans="1:5" x14ac:dyDescent="0.2">
      <c r="A3605"/>
      <c r="B3605"/>
      <c r="C3605"/>
      <c r="D3605"/>
      <c r="E3605"/>
    </row>
    <row r="3606" spans="1:5" x14ac:dyDescent="0.2">
      <c r="A3606"/>
      <c r="B3606"/>
      <c r="C3606"/>
      <c r="D3606"/>
      <c r="E3606"/>
    </row>
    <row r="3607" spans="1:5" x14ac:dyDescent="0.2">
      <c r="A3607"/>
      <c r="B3607"/>
      <c r="C3607"/>
      <c r="D3607"/>
      <c r="E3607"/>
    </row>
    <row r="3608" spans="1:5" x14ac:dyDescent="0.2">
      <c r="A3608"/>
      <c r="B3608"/>
      <c r="C3608"/>
      <c r="D3608"/>
      <c r="E3608"/>
    </row>
    <row r="3609" spans="1:5" x14ac:dyDescent="0.2">
      <c r="A3609"/>
      <c r="B3609"/>
      <c r="C3609"/>
      <c r="D3609"/>
      <c r="E3609"/>
    </row>
    <row r="3610" spans="1:5" x14ac:dyDescent="0.2">
      <c r="A3610"/>
      <c r="B3610"/>
      <c r="C3610"/>
      <c r="D3610"/>
      <c r="E3610"/>
    </row>
    <row r="3611" spans="1:5" x14ac:dyDescent="0.2">
      <c r="A3611"/>
      <c r="B3611"/>
      <c r="C3611"/>
      <c r="D3611"/>
      <c r="E3611"/>
    </row>
    <row r="3612" spans="1:5" x14ac:dyDescent="0.2">
      <c r="A3612"/>
      <c r="B3612"/>
      <c r="C3612"/>
      <c r="D3612"/>
      <c r="E3612"/>
    </row>
    <row r="3613" spans="1:5" x14ac:dyDescent="0.2">
      <c r="A3613"/>
      <c r="B3613"/>
      <c r="C3613"/>
      <c r="D3613"/>
      <c r="E3613"/>
    </row>
    <row r="3614" spans="1:5" x14ac:dyDescent="0.2">
      <c r="A3614"/>
      <c r="B3614"/>
      <c r="C3614"/>
      <c r="D3614"/>
      <c r="E3614"/>
    </row>
    <row r="3615" spans="1:5" x14ac:dyDescent="0.2">
      <c r="A3615"/>
      <c r="B3615"/>
      <c r="C3615"/>
      <c r="D3615"/>
      <c r="E3615"/>
    </row>
    <row r="3616" spans="1:5" x14ac:dyDescent="0.2">
      <c r="A3616"/>
      <c r="B3616"/>
      <c r="C3616"/>
      <c r="D3616"/>
      <c r="E3616"/>
    </row>
    <row r="3617" spans="1:5" x14ac:dyDescent="0.2">
      <c r="A3617"/>
      <c r="B3617"/>
      <c r="C3617"/>
      <c r="D3617"/>
      <c r="E3617"/>
    </row>
    <row r="3618" spans="1:5" x14ac:dyDescent="0.2">
      <c r="A3618"/>
      <c r="B3618"/>
      <c r="C3618"/>
      <c r="D3618"/>
      <c r="E3618"/>
    </row>
    <row r="3619" spans="1:5" x14ac:dyDescent="0.2">
      <c r="A3619"/>
      <c r="B3619"/>
      <c r="C3619"/>
      <c r="D3619"/>
      <c r="E3619"/>
    </row>
    <row r="3620" spans="1:5" x14ac:dyDescent="0.2">
      <c r="A3620"/>
      <c r="B3620"/>
      <c r="C3620"/>
      <c r="D3620"/>
      <c r="E3620"/>
    </row>
    <row r="3621" spans="1:5" x14ac:dyDescent="0.2">
      <c r="A3621"/>
      <c r="B3621"/>
      <c r="C3621"/>
      <c r="D3621"/>
      <c r="E3621"/>
    </row>
    <row r="3622" spans="1:5" x14ac:dyDescent="0.2">
      <c r="A3622"/>
      <c r="B3622"/>
      <c r="C3622"/>
      <c r="D3622"/>
      <c r="E3622"/>
    </row>
    <row r="3623" spans="1:5" x14ac:dyDescent="0.2">
      <c r="A3623"/>
      <c r="B3623"/>
      <c r="C3623"/>
      <c r="D3623"/>
      <c r="E3623"/>
    </row>
    <row r="3624" spans="1:5" x14ac:dyDescent="0.2">
      <c r="A3624"/>
      <c r="B3624"/>
      <c r="C3624"/>
      <c r="D3624"/>
      <c r="E3624"/>
    </row>
    <row r="3625" spans="1:5" x14ac:dyDescent="0.2">
      <c r="A3625"/>
      <c r="B3625"/>
      <c r="C3625"/>
      <c r="D3625"/>
      <c r="E3625"/>
    </row>
    <row r="3626" spans="1:5" x14ac:dyDescent="0.2">
      <c r="A3626"/>
      <c r="B3626"/>
      <c r="C3626"/>
      <c r="D3626"/>
      <c r="E3626"/>
    </row>
    <row r="3627" spans="1:5" x14ac:dyDescent="0.2">
      <c r="A3627"/>
      <c r="B3627"/>
      <c r="C3627"/>
      <c r="D3627"/>
      <c r="E3627"/>
    </row>
    <row r="3628" spans="1:5" x14ac:dyDescent="0.2">
      <c r="A3628"/>
      <c r="B3628"/>
      <c r="C3628"/>
      <c r="D3628"/>
      <c r="E3628"/>
    </row>
    <row r="3629" spans="1:5" x14ac:dyDescent="0.2">
      <c r="A3629"/>
      <c r="B3629"/>
      <c r="C3629"/>
      <c r="D3629"/>
      <c r="E3629"/>
    </row>
    <row r="3630" spans="1:5" x14ac:dyDescent="0.2">
      <c r="A3630"/>
      <c r="B3630"/>
      <c r="C3630"/>
      <c r="D3630"/>
      <c r="E3630"/>
    </row>
    <row r="3631" spans="1:5" x14ac:dyDescent="0.2">
      <c r="A3631"/>
      <c r="B3631"/>
      <c r="C3631"/>
      <c r="D3631"/>
      <c r="E3631"/>
    </row>
    <row r="3632" spans="1:5" x14ac:dyDescent="0.2">
      <c r="A3632"/>
      <c r="B3632"/>
      <c r="C3632"/>
      <c r="D3632"/>
      <c r="E3632"/>
    </row>
    <row r="3633" spans="1:5" x14ac:dyDescent="0.2">
      <c r="A3633"/>
      <c r="B3633"/>
      <c r="C3633"/>
      <c r="D3633"/>
      <c r="E3633"/>
    </row>
    <row r="3634" spans="1:5" x14ac:dyDescent="0.2">
      <c r="A3634"/>
      <c r="B3634"/>
      <c r="C3634"/>
      <c r="D3634"/>
      <c r="E3634"/>
    </row>
    <row r="3635" spans="1:5" x14ac:dyDescent="0.2">
      <c r="A3635"/>
      <c r="B3635"/>
      <c r="C3635"/>
      <c r="D3635"/>
      <c r="E3635"/>
    </row>
    <row r="3636" spans="1:5" x14ac:dyDescent="0.2">
      <c r="A3636"/>
      <c r="B3636"/>
      <c r="C3636"/>
      <c r="D3636"/>
      <c r="E3636"/>
    </row>
    <row r="3637" spans="1:5" x14ac:dyDescent="0.2">
      <c r="A3637"/>
      <c r="B3637"/>
      <c r="C3637"/>
      <c r="D3637"/>
      <c r="E3637"/>
    </row>
    <row r="3638" spans="1:5" x14ac:dyDescent="0.2">
      <c r="A3638"/>
      <c r="B3638"/>
      <c r="C3638"/>
      <c r="D3638"/>
      <c r="E3638"/>
    </row>
    <row r="3639" spans="1:5" x14ac:dyDescent="0.2">
      <c r="A3639"/>
      <c r="B3639"/>
      <c r="C3639"/>
      <c r="D3639"/>
      <c r="E3639"/>
    </row>
    <row r="3640" spans="1:5" x14ac:dyDescent="0.2">
      <c r="A3640"/>
      <c r="B3640"/>
      <c r="C3640"/>
      <c r="D3640"/>
      <c r="E3640"/>
    </row>
    <row r="3641" spans="1:5" x14ac:dyDescent="0.2">
      <c r="A3641"/>
      <c r="B3641"/>
      <c r="C3641"/>
      <c r="D3641"/>
      <c r="E3641"/>
    </row>
    <row r="3642" spans="1:5" x14ac:dyDescent="0.2">
      <c r="A3642"/>
      <c r="B3642"/>
      <c r="C3642"/>
      <c r="D3642"/>
      <c r="E3642"/>
    </row>
    <row r="3643" spans="1:5" x14ac:dyDescent="0.2">
      <c r="A3643"/>
      <c r="B3643"/>
      <c r="C3643"/>
      <c r="D3643"/>
      <c r="E3643"/>
    </row>
    <row r="3644" spans="1:5" x14ac:dyDescent="0.2">
      <c r="A3644"/>
      <c r="B3644"/>
      <c r="C3644"/>
      <c r="D3644"/>
      <c r="E3644"/>
    </row>
    <row r="3645" spans="1:5" x14ac:dyDescent="0.2">
      <c r="A3645"/>
      <c r="B3645"/>
      <c r="C3645"/>
      <c r="D3645"/>
      <c r="E3645"/>
    </row>
    <row r="3646" spans="1:5" x14ac:dyDescent="0.2">
      <c r="A3646"/>
      <c r="B3646"/>
      <c r="C3646"/>
      <c r="D3646"/>
      <c r="E3646"/>
    </row>
    <row r="3647" spans="1:5" x14ac:dyDescent="0.2">
      <c r="A3647"/>
      <c r="B3647"/>
      <c r="C3647"/>
      <c r="D3647"/>
      <c r="E3647"/>
    </row>
    <row r="3648" spans="1:5" x14ac:dyDescent="0.2">
      <c r="A3648"/>
      <c r="B3648"/>
      <c r="C3648"/>
      <c r="D3648"/>
      <c r="E3648"/>
    </row>
    <row r="3649" spans="1:5" x14ac:dyDescent="0.2">
      <c r="A3649"/>
      <c r="B3649"/>
      <c r="C3649"/>
      <c r="D3649"/>
      <c r="E3649"/>
    </row>
    <row r="3650" spans="1:5" x14ac:dyDescent="0.2">
      <c r="A3650"/>
      <c r="B3650"/>
      <c r="C3650"/>
      <c r="D3650"/>
      <c r="E3650"/>
    </row>
    <row r="3651" spans="1:5" x14ac:dyDescent="0.2">
      <c r="A3651"/>
      <c r="B3651"/>
      <c r="C3651"/>
      <c r="D3651"/>
      <c r="E3651"/>
    </row>
    <row r="3652" spans="1:5" x14ac:dyDescent="0.2">
      <c r="A3652"/>
      <c r="B3652"/>
      <c r="C3652"/>
      <c r="D3652"/>
      <c r="E3652"/>
    </row>
    <row r="3653" spans="1:5" x14ac:dyDescent="0.2">
      <c r="A3653"/>
      <c r="B3653"/>
      <c r="C3653"/>
      <c r="D3653"/>
      <c r="E3653"/>
    </row>
    <row r="3654" spans="1:5" x14ac:dyDescent="0.2">
      <c r="A3654"/>
      <c r="B3654"/>
      <c r="C3654"/>
      <c r="D3654"/>
      <c r="E3654"/>
    </row>
    <row r="3655" spans="1:5" x14ac:dyDescent="0.2">
      <c r="A3655"/>
      <c r="B3655"/>
      <c r="C3655"/>
      <c r="D3655"/>
      <c r="E3655"/>
    </row>
    <row r="3656" spans="1:5" x14ac:dyDescent="0.2">
      <c r="A3656"/>
      <c r="B3656"/>
      <c r="C3656"/>
      <c r="D3656"/>
      <c r="E3656"/>
    </row>
    <row r="3657" spans="1:5" x14ac:dyDescent="0.2">
      <c r="A3657"/>
      <c r="B3657"/>
      <c r="C3657"/>
      <c r="D3657"/>
      <c r="E3657"/>
    </row>
    <row r="3658" spans="1:5" x14ac:dyDescent="0.2">
      <c r="A3658"/>
      <c r="B3658"/>
      <c r="C3658"/>
      <c r="D3658"/>
      <c r="E3658"/>
    </row>
    <row r="3659" spans="1:5" x14ac:dyDescent="0.2">
      <c r="A3659"/>
      <c r="B3659"/>
      <c r="C3659"/>
      <c r="D3659"/>
      <c r="E3659"/>
    </row>
    <row r="3660" spans="1:5" x14ac:dyDescent="0.2">
      <c r="A3660"/>
      <c r="B3660"/>
      <c r="C3660"/>
      <c r="D3660"/>
      <c r="E3660"/>
    </row>
    <row r="3661" spans="1:5" x14ac:dyDescent="0.2">
      <c r="A3661"/>
      <c r="B3661"/>
      <c r="C3661"/>
      <c r="D3661"/>
      <c r="E3661"/>
    </row>
    <row r="3662" spans="1:5" x14ac:dyDescent="0.2">
      <c r="A3662"/>
      <c r="B3662"/>
      <c r="C3662"/>
      <c r="D3662"/>
      <c r="E3662"/>
    </row>
    <row r="3663" spans="1:5" x14ac:dyDescent="0.2">
      <c r="A3663"/>
      <c r="B3663"/>
      <c r="C3663"/>
      <c r="D3663"/>
      <c r="E3663"/>
    </row>
    <row r="3664" spans="1:5" x14ac:dyDescent="0.2">
      <c r="A3664"/>
      <c r="B3664"/>
      <c r="C3664"/>
      <c r="D3664"/>
      <c r="E3664"/>
    </row>
    <row r="3665" spans="1:5" x14ac:dyDescent="0.2">
      <c r="A3665"/>
      <c r="B3665"/>
      <c r="C3665"/>
      <c r="D3665"/>
      <c r="E3665"/>
    </row>
    <row r="3666" spans="1:5" x14ac:dyDescent="0.2">
      <c r="A3666"/>
      <c r="B3666"/>
      <c r="C3666"/>
      <c r="D3666"/>
      <c r="E3666"/>
    </row>
    <row r="3667" spans="1:5" x14ac:dyDescent="0.2">
      <c r="A3667"/>
      <c r="B3667"/>
      <c r="C3667"/>
      <c r="D3667"/>
      <c r="E3667"/>
    </row>
    <row r="3668" spans="1:5" x14ac:dyDescent="0.2">
      <c r="A3668"/>
      <c r="B3668"/>
      <c r="C3668"/>
      <c r="D3668"/>
      <c r="E3668"/>
    </row>
    <row r="3669" spans="1:5" x14ac:dyDescent="0.2">
      <c r="A3669"/>
      <c r="B3669"/>
      <c r="C3669"/>
      <c r="D3669"/>
      <c r="E3669"/>
    </row>
    <row r="3670" spans="1:5" x14ac:dyDescent="0.2">
      <c r="A3670"/>
      <c r="B3670"/>
      <c r="C3670"/>
      <c r="D3670"/>
      <c r="E3670"/>
    </row>
    <row r="3671" spans="1:5" x14ac:dyDescent="0.2">
      <c r="A3671"/>
      <c r="B3671"/>
      <c r="C3671"/>
      <c r="D3671"/>
      <c r="E3671"/>
    </row>
    <row r="3672" spans="1:5" x14ac:dyDescent="0.2">
      <c r="A3672"/>
      <c r="B3672"/>
      <c r="C3672"/>
      <c r="D3672"/>
      <c r="E3672"/>
    </row>
    <row r="3673" spans="1:5" x14ac:dyDescent="0.2">
      <c r="A3673"/>
      <c r="B3673"/>
      <c r="C3673"/>
      <c r="D3673"/>
      <c r="E3673"/>
    </row>
    <row r="3674" spans="1:5" x14ac:dyDescent="0.2">
      <c r="A3674"/>
      <c r="B3674"/>
      <c r="C3674"/>
      <c r="D3674"/>
      <c r="E3674"/>
    </row>
    <row r="3675" spans="1:5" x14ac:dyDescent="0.2">
      <c r="A3675"/>
      <c r="B3675"/>
      <c r="C3675"/>
      <c r="D3675"/>
      <c r="E3675"/>
    </row>
    <row r="3676" spans="1:5" x14ac:dyDescent="0.2">
      <c r="A3676"/>
      <c r="B3676"/>
      <c r="C3676"/>
      <c r="D3676"/>
      <c r="E3676"/>
    </row>
    <row r="3677" spans="1:5" x14ac:dyDescent="0.2">
      <c r="A3677"/>
      <c r="B3677"/>
      <c r="C3677"/>
      <c r="D3677"/>
      <c r="E3677"/>
    </row>
    <row r="3678" spans="1:5" x14ac:dyDescent="0.2">
      <c r="A3678"/>
      <c r="B3678"/>
      <c r="C3678"/>
      <c r="D3678"/>
      <c r="E3678"/>
    </row>
    <row r="3679" spans="1:5" x14ac:dyDescent="0.2">
      <c r="A3679"/>
      <c r="B3679"/>
      <c r="C3679"/>
      <c r="D3679"/>
      <c r="E3679"/>
    </row>
    <row r="3680" spans="1:5" x14ac:dyDescent="0.2">
      <c r="A3680"/>
      <c r="B3680"/>
      <c r="C3680"/>
      <c r="D3680"/>
      <c r="E3680"/>
    </row>
    <row r="3681" spans="1:5" x14ac:dyDescent="0.2">
      <c r="A3681"/>
      <c r="B3681"/>
      <c r="C3681"/>
      <c r="D3681"/>
      <c r="E3681"/>
    </row>
    <row r="3682" spans="1:5" x14ac:dyDescent="0.2">
      <c r="A3682"/>
      <c r="B3682"/>
      <c r="C3682"/>
      <c r="D3682"/>
      <c r="E3682"/>
    </row>
    <row r="3683" spans="1:5" x14ac:dyDescent="0.2">
      <c r="A3683"/>
      <c r="B3683"/>
      <c r="C3683"/>
      <c r="D3683"/>
      <c r="E3683"/>
    </row>
    <row r="3684" spans="1:5" x14ac:dyDescent="0.2">
      <c r="A3684"/>
      <c r="B3684"/>
      <c r="C3684"/>
      <c r="D3684"/>
      <c r="E3684"/>
    </row>
    <row r="3685" spans="1:5" x14ac:dyDescent="0.2">
      <c r="A3685"/>
      <c r="B3685"/>
      <c r="C3685"/>
      <c r="D3685"/>
      <c r="E3685"/>
    </row>
    <row r="3686" spans="1:5" x14ac:dyDescent="0.2">
      <c r="A3686"/>
      <c r="B3686"/>
      <c r="C3686"/>
      <c r="D3686"/>
      <c r="E3686"/>
    </row>
    <row r="3687" spans="1:5" x14ac:dyDescent="0.2">
      <c r="A3687"/>
      <c r="B3687"/>
      <c r="C3687"/>
      <c r="D3687"/>
      <c r="E3687"/>
    </row>
    <row r="3688" spans="1:5" x14ac:dyDescent="0.2">
      <c r="A3688"/>
      <c r="B3688"/>
      <c r="C3688"/>
      <c r="D3688"/>
      <c r="E3688"/>
    </row>
    <row r="3689" spans="1:5" x14ac:dyDescent="0.2">
      <c r="A3689"/>
      <c r="B3689"/>
      <c r="C3689"/>
      <c r="D3689"/>
      <c r="E3689"/>
    </row>
    <row r="3690" spans="1:5" x14ac:dyDescent="0.2">
      <c r="A3690"/>
      <c r="B3690"/>
      <c r="C3690"/>
      <c r="D3690"/>
      <c r="E3690"/>
    </row>
    <row r="3691" spans="1:5" x14ac:dyDescent="0.2">
      <c r="A3691"/>
      <c r="B3691"/>
      <c r="C3691"/>
      <c r="D3691"/>
      <c r="E3691"/>
    </row>
    <row r="3692" spans="1:5" x14ac:dyDescent="0.2">
      <c r="A3692"/>
      <c r="B3692"/>
      <c r="C3692"/>
      <c r="D3692"/>
      <c r="E3692"/>
    </row>
    <row r="3693" spans="1:5" x14ac:dyDescent="0.2">
      <c r="A3693"/>
      <c r="B3693"/>
      <c r="C3693"/>
      <c r="D3693"/>
      <c r="E3693"/>
    </row>
    <row r="3694" spans="1:5" x14ac:dyDescent="0.2">
      <c r="A3694"/>
      <c r="B3694"/>
      <c r="C3694"/>
      <c r="D3694"/>
      <c r="E3694"/>
    </row>
    <row r="3695" spans="1:5" x14ac:dyDescent="0.2">
      <c r="A3695"/>
      <c r="B3695"/>
      <c r="C3695"/>
      <c r="D3695"/>
      <c r="E3695"/>
    </row>
    <row r="3696" spans="1:5" x14ac:dyDescent="0.2">
      <c r="A3696"/>
      <c r="B3696"/>
      <c r="C3696"/>
      <c r="D3696"/>
      <c r="E3696"/>
    </row>
    <row r="3697" spans="1:5" x14ac:dyDescent="0.2">
      <c r="A3697"/>
      <c r="B3697"/>
      <c r="C3697"/>
      <c r="D3697"/>
      <c r="E3697"/>
    </row>
    <row r="3698" spans="1:5" x14ac:dyDescent="0.2">
      <c r="A3698"/>
      <c r="B3698"/>
      <c r="C3698"/>
      <c r="D3698"/>
      <c r="E3698"/>
    </row>
    <row r="3699" spans="1:5" x14ac:dyDescent="0.2">
      <c r="A3699"/>
      <c r="B3699"/>
      <c r="C3699"/>
      <c r="D3699"/>
      <c r="E3699"/>
    </row>
    <row r="3700" spans="1:5" x14ac:dyDescent="0.2">
      <c r="A3700"/>
      <c r="B3700"/>
      <c r="C3700"/>
      <c r="D3700"/>
      <c r="E3700"/>
    </row>
    <row r="3701" spans="1:5" x14ac:dyDescent="0.2">
      <c r="A3701"/>
      <c r="B3701"/>
      <c r="C3701"/>
      <c r="D3701"/>
      <c r="E3701"/>
    </row>
    <row r="3702" spans="1:5" x14ac:dyDescent="0.2">
      <c r="A3702"/>
      <c r="B3702"/>
      <c r="C3702"/>
      <c r="D3702"/>
      <c r="E3702"/>
    </row>
    <row r="3703" spans="1:5" x14ac:dyDescent="0.2">
      <c r="A3703"/>
      <c r="B3703"/>
      <c r="C3703"/>
      <c r="D3703"/>
      <c r="E3703"/>
    </row>
    <row r="3704" spans="1:5" x14ac:dyDescent="0.2">
      <c r="A3704"/>
      <c r="B3704"/>
      <c r="C3704"/>
      <c r="D3704"/>
      <c r="E3704"/>
    </row>
    <row r="3705" spans="1:5" x14ac:dyDescent="0.2">
      <c r="A3705"/>
      <c r="B3705"/>
      <c r="C3705"/>
      <c r="D3705"/>
      <c r="E3705"/>
    </row>
    <row r="3706" spans="1:5" x14ac:dyDescent="0.2">
      <c r="A3706"/>
      <c r="B3706"/>
      <c r="C3706"/>
      <c r="D3706"/>
      <c r="E3706"/>
    </row>
    <row r="3707" spans="1:5" x14ac:dyDescent="0.2">
      <c r="A3707"/>
      <c r="B3707"/>
      <c r="C3707"/>
      <c r="D3707"/>
      <c r="E3707"/>
    </row>
    <row r="3708" spans="1:5" x14ac:dyDescent="0.2">
      <c r="A3708"/>
      <c r="B3708"/>
      <c r="C3708"/>
      <c r="D3708"/>
      <c r="E3708"/>
    </row>
    <row r="3709" spans="1:5" x14ac:dyDescent="0.2">
      <c r="A3709"/>
      <c r="B3709"/>
      <c r="C3709"/>
      <c r="D3709"/>
      <c r="E3709"/>
    </row>
    <row r="3710" spans="1:5" x14ac:dyDescent="0.2">
      <c r="A3710"/>
      <c r="B3710"/>
      <c r="C3710"/>
      <c r="D3710"/>
      <c r="E3710"/>
    </row>
    <row r="3711" spans="1:5" x14ac:dyDescent="0.2">
      <c r="A3711"/>
      <c r="B3711"/>
      <c r="C3711"/>
      <c r="D3711"/>
      <c r="E3711"/>
    </row>
    <row r="3712" spans="1:5" x14ac:dyDescent="0.2">
      <c r="A3712"/>
      <c r="B3712"/>
      <c r="C3712"/>
      <c r="D3712"/>
      <c r="E3712"/>
    </row>
    <row r="3713" spans="1:5" x14ac:dyDescent="0.2">
      <c r="A3713"/>
      <c r="B3713"/>
      <c r="C3713"/>
      <c r="D3713"/>
      <c r="E3713"/>
    </row>
    <row r="3714" spans="1:5" x14ac:dyDescent="0.2">
      <c r="A3714"/>
      <c r="B3714"/>
      <c r="C3714"/>
      <c r="D3714"/>
      <c r="E3714"/>
    </row>
    <row r="3715" spans="1:5" x14ac:dyDescent="0.2">
      <c r="A3715"/>
      <c r="B3715"/>
      <c r="C3715"/>
      <c r="D3715"/>
      <c r="E3715"/>
    </row>
    <row r="3716" spans="1:5" x14ac:dyDescent="0.2">
      <c r="A3716"/>
      <c r="B3716"/>
      <c r="C3716"/>
      <c r="D3716"/>
      <c r="E3716"/>
    </row>
    <row r="3717" spans="1:5" x14ac:dyDescent="0.2">
      <c r="A3717"/>
      <c r="B3717"/>
      <c r="C3717"/>
      <c r="D3717"/>
      <c r="E3717"/>
    </row>
    <row r="3718" spans="1:5" x14ac:dyDescent="0.2">
      <c r="A3718"/>
      <c r="B3718"/>
      <c r="C3718"/>
      <c r="D3718"/>
      <c r="E3718"/>
    </row>
    <row r="3719" spans="1:5" x14ac:dyDescent="0.2">
      <c r="A3719"/>
      <c r="B3719"/>
      <c r="C3719"/>
      <c r="D3719"/>
      <c r="E3719"/>
    </row>
    <row r="3720" spans="1:5" x14ac:dyDescent="0.2">
      <c r="A3720"/>
      <c r="B3720"/>
      <c r="C3720"/>
      <c r="D3720"/>
      <c r="E3720"/>
    </row>
    <row r="3721" spans="1:5" x14ac:dyDescent="0.2">
      <c r="A3721"/>
      <c r="B3721"/>
      <c r="C3721"/>
      <c r="D3721"/>
      <c r="E3721"/>
    </row>
    <row r="3722" spans="1:5" x14ac:dyDescent="0.2">
      <c r="A3722"/>
      <c r="B3722"/>
      <c r="C3722"/>
      <c r="D3722"/>
      <c r="E3722"/>
    </row>
    <row r="3723" spans="1:5" x14ac:dyDescent="0.2">
      <c r="A3723"/>
      <c r="B3723"/>
      <c r="C3723"/>
      <c r="D3723"/>
      <c r="E3723"/>
    </row>
    <row r="3724" spans="1:5" x14ac:dyDescent="0.2">
      <c r="A3724"/>
      <c r="B3724"/>
      <c r="C3724"/>
      <c r="D3724"/>
      <c r="E3724"/>
    </row>
    <row r="3725" spans="1:5" x14ac:dyDescent="0.2">
      <c r="A3725"/>
      <c r="B3725"/>
      <c r="C3725"/>
      <c r="D3725"/>
      <c r="E3725"/>
    </row>
    <row r="3726" spans="1:5" x14ac:dyDescent="0.2">
      <c r="A3726"/>
      <c r="B3726"/>
      <c r="C3726"/>
      <c r="D3726"/>
      <c r="E3726"/>
    </row>
    <row r="3727" spans="1:5" x14ac:dyDescent="0.2">
      <c r="A3727"/>
      <c r="B3727"/>
      <c r="C3727"/>
      <c r="D3727"/>
      <c r="E3727"/>
    </row>
    <row r="3728" spans="1:5" x14ac:dyDescent="0.2">
      <c r="A3728"/>
      <c r="B3728"/>
      <c r="C3728"/>
      <c r="D3728"/>
      <c r="E3728"/>
    </row>
    <row r="3729" spans="1:5" x14ac:dyDescent="0.2">
      <c r="A3729"/>
      <c r="B3729"/>
      <c r="C3729"/>
      <c r="D3729"/>
      <c r="E3729"/>
    </row>
    <row r="3730" spans="1:5" x14ac:dyDescent="0.2">
      <c r="A3730"/>
      <c r="B3730"/>
      <c r="C3730"/>
      <c r="D3730"/>
      <c r="E3730"/>
    </row>
    <row r="3731" spans="1:5" x14ac:dyDescent="0.2">
      <c r="A3731"/>
      <c r="B3731"/>
      <c r="C3731"/>
      <c r="D3731"/>
      <c r="E3731"/>
    </row>
    <row r="3732" spans="1:5" x14ac:dyDescent="0.2">
      <c r="A3732"/>
      <c r="B3732"/>
      <c r="C3732"/>
      <c r="D3732"/>
      <c r="E3732"/>
    </row>
    <row r="3733" spans="1:5" x14ac:dyDescent="0.2">
      <c r="A3733"/>
      <c r="B3733"/>
      <c r="C3733"/>
      <c r="D3733"/>
      <c r="E3733"/>
    </row>
    <row r="3734" spans="1:5" x14ac:dyDescent="0.2">
      <c r="A3734"/>
      <c r="B3734"/>
      <c r="C3734"/>
      <c r="D3734"/>
      <c r="E3734"/>
    </row>
    <row r="3735" spans="1:5" x14ac:dyDescent="0.2">
      <c r="A3735"/>
      <c r="B3735"/>
      <c r="C3735"/>
      <c r="D3735"/>
      <c r="E3735"/>
    </row>
    <row r="3736" spans="1:5" x14ac:dyDescent="0.2">
      <c r="A3736"/>
      <c r="B3736"/>
      <c r="C3736"/>
      <c r="D3736"/>
      <c r="E3736"/>
    </row>
    <row r="3737" spans="1:5" x14ac:dyDescent="0.2">
      <c r="A3737"/>
      <c r="B3737"/>
      <c r="C3737"/>
      <c r="D3737"/>
      <c r="E3737"/>
    </row>
    <row r="3738" spans="1:5" x14ac:dyDescent="0.2">
      <c r="A3738"/>
      <c r="B3738"/>
      <c r="C3738"/>
      <c r="D3738"/>
      <c r="E3738"/>
    </row>
    <row r="3739" spans="1:5" x14ac:dyDescent="0.2">
      <c r="A3739"/>
      <c r="B3739"/>
      <c r="C3739"/>
      <c r="D3739"/>
      <c r="E3739"/>
    </row>
    <row r="3740" spans="1:5" x14ac:dyDescent="0.2">
      <c r="A3740"/>
      <c r="B3740"/>
      <c r="C3740"/>
      <c r="D3740"/>
      <c r="E3740"/>
    </row>
    <row r="3741" spans="1:5" x14ac:dyDescent="0.2">
      <c r="A3741"/>
      <c r="B3741"/>
      <c r="C3741"/>
      <c r="D3741"/>
      <c r="E3741"/>
    </row>
    <row r="3742" spans="1:5" x14ac:dyDescent="0.2">
      <c r="A3742"/>
      <c r="B3742"/>
      <c r="C3742"/>
      <c r="D3742"/>
      <c r="E3742"/>
    </row>
    <row r="3743" spans="1:5" x14ac:dyDescent="0.2">
      <c r="A3743"/>
      <c r="B3743"/>
      <c r="C3743"/>
      <c r="D3743"/>
      <c r="E3743"/>
    </row>
    <row r="3744" spans="1:5" x14ac:dyDescent="0.2">
      <c r="A3744"/>
      <c r="B3744"/>
      <c r="C3744"/>
      <c r="D3744"/>
      <c r="E3744"/>
    </row>
    <row r="3745" spans="1:5" x14ac:dyDescent="0.2">
      <c r="A3745"/>
      <c r="B3745"/>
      <c r="C3745"/>
      <c r="D3745"/>
      <c r="E3745"/>
    </row>
    <row r="3746" spans="1:5" x14ac:dyDescent="0.2">
      <c r="A3746"/>
      <c r="B3746"/>
      <c r="C3746"/>
      <c r="D3746"/>
      <c r="E3746"/>
    </row>
    <row r="3747" spans="1:5" x14ac:dyDescent="0.2">
      <c r="A3747"/>
      <c r="B3747"/>
      <c r="C3747"/>
      <c r="D3747"/>
      <c r="E3747"/>
    </row>
    <row r="3748" spans="1:5" x14ac:dyDescent="0.2">
      <c r="A3748"/>
      <c r="B3748"/>
      <c r="C3748"/>
      <c r="D3748"/>
      <c r="E3748"/>
    </row>
    <row r="3749" spans="1:5" x14ac:dyDescent="0.2">
      <c r="A3749"/>
      <c r="B3749"/>
      <c r="C3749"/>
      <c r="D3749"/>
      <c r="E3749"/>
    </row>
    <row r="3750" spans="1:5" x14ac:dyDescent="0.2">
      <c r="A3750"/>
      <c r="B3750"/>
      <c r="C3750"/>
      <c r="D3750"/>
      <c r="E3750"/>
    </row>
    <row r="3751" spans="1:5" x14ac:dyDescent="0.2">
      <c r="A3751"/>
      <c r="B3751"/>
      <c r="C3751"/>
      <c r="D3751"/>
      <c r="E3751"/>
    </row>
    <row r="3752" spans="1:5" x14ac:dyDescent="0.2">
      <c r="A3752"/>
      <c r="B3752"/>
      <c r="C3752"/>
      <c r="D3752"/>
      <c r="E3752"/>
    </row>
    <row r="3753" spans="1:5" x14ac:dyDescent="0.2">
      <c r="A3753"/>
      <c r="B3753"/>
      <c r="C3753"/>
      <c r="D3753"/>
      <c r="E3753"/>
    </row>
    <row r="3754" spans="1:5" x14ac:dyDescent="0.2">
      <c r="A3754"/>
      <c r="B3754"/>
      <c r="C3754"/>
      <c r="D3754"/>
      <c r="E3754"/>
    </row>
    <row r="3755" spans="1:5" x14ac:dyDescent="0.2">
      <c r="A3755"/>
      <c r="B3755"/>
      <c r="C3755"/>
      <c r="D3755"/>
      <c r="E3755"/>
    </row>
    <row r="3756" spans="1:5" x14ac:dyDescent="0.2">
      <c r="A3756"/>
      <c r="B3756"/>
      <c r="C3756"/>
      <c r="D3756"/>
      <c r="E3756"/>
    </row>
    <row r="3757" spans="1:5" x14ac:dyDescent="0.2">
      <c r="A3757"/>
      <c r="B3757"/>
      <c r="C3757"/>
      <c r="D3757"/>
      <c r="E3757"/>
    </row>
    <row r="3758" spans="1:5" x14ac:dyDescent="0.2">
      <c r="A3758"/>
      <c r="B3758"/>
      <c r="C3758"/>
      <c r="D3758"/>
      <c r="E3758"/>
    </row>
    <row r="3759" spans="1:5" x14ac:dyDescent="0.2">
      <c r="A3759"/>
      <c r="B3759"/>
      <c r="C3759"/>
      <c r="D3759"/>
      <c r="E3759"/>
    </row>
    <row r="3760" spans="1:5" x14ac:dyDescent="0.2">
      <c r="A3760"/>
      <c r="B3760"/>
      <c r="C3760"/>
      <c r="D3760"/>
      <c r="E3760"/>
    </row>
    <row r="3761" spans="1:5" x14ac:dyDescent="0.2">
      <c r="A3761"/>
      <c r="B3761"/>
      <c r="C3761"/>
      <c r="D3761"/>
      <c r="E3761"/>
    </row>
    <row r="3762" spans="1:5" x14ac:dyDescent="0.2">
      <c r="A3762"/>
      <c r="B3762"/>
      <c r="C3762"/>
      <c r="D3762"/>
      <c r="E3762"/>
    </row>
    <row r="3763" spans="1:5" x14ac:dyDescent="0.2">
      <c r="A3763"/>
      <c r="B3763"/>
      <c r="C3763"/>
      <c r="D3763"/>
      <c r="E3763"/>
    </row>
    <row r="3764" spans="1:5" x14ac:dyDescent="0.2">
      <c r="A3764"/>
      <c r="B3764"/>
      <c r="C3764"/>
      <c r="D3764"/>
      <c r="E3764"/>
    </row>
    <row r="3765" spans="1:5" x14ac:dyDescent="0.2">
      <c r="A3765"/>
      <c r="B3765"/>
      <c r="C3765"/>
      <c r="D3765"/>
      <c r="E3765"/>
    </row>
    <row r="3766" spans="1:5" x14ac:dyDescent="0.2">
      <c r="A3766"/>
      <c r="B3766"/>
      <c r="C3766"/>
      <c r="D3766"/>
      <c r="E3766"/>
    </row>
    <row r="3767" spans="1:5" x14ac:dyDescent="0.2">
      <c r="A3767"/>
      <c r="B3767"/>
      <c r="C3767"/>
      <c r="D3767"/>
      <c r="E3767"/>
    </row>
    <row r="3768" spans="1:5" x14ac:dyDescent="0.2">
      <c r="A3768"/>
      <c r="B3768"/>
      <c r="C3768"/>
      <c r="D3768"/>
      <c r="E3768"/>
    </row>
    <row r="3769" spans="1:5" x14ac:dyDescent="0.2">
      <c r="A3769"/>
      <c r="B3769"/>
      <c r="C3769"/>
      <c r="D3769"/>
      <c r="E3769"/>
    </row>
    <row r="3770" spans="1:5" x14ac:dyDescent="0.2">
      <c r="A3770"/>
      <c r="B3770"/>
      <c r="C3770"/>
      <c r="D3770"/>
      <c r="E3770"/>
    </row>
    <row r="3771" spans="1:5" x14ac:dyDescent="0.2">
      <c r="A3771"/>
      <c r="B3771"/>
      <c r="C3771"/>
      <c r="D3771"/>
      <c r="E3771"/>
    </row>
    <row r="3772" spans="1:5" x14ac:dyDescent="0.2">
      <c r="A3772"/>
      <c r="B3772"/>
      <c r="C3772"/>
      <c r="D3772"/>
      <c r="E3772"/>
    </row>
    <row r="3773" spans="1:5" x14ac:dyDescent="0.2">
      <c r="A3773"/>
      <c r="B3773"/>
      <c r="C3773"/>
      <c r="D3773"/>
      <c r="E3773"/>
    </row>
    <row r="3774" spans="1:5" x14ac:dyDescent="0.2">
      <c r="A3774"/>
      <c r="B3774"/>
      <c r="C3774"/>
      <c r="D3774"/>
      <c r="E3774"/>
    </row>
    <row r="3775" spans="1:5" x14ac:dyDescent="0.2">
      <c r="A3775"/>
      <c r="B3775"/>
      <c r="C3775"/>
      <c r="D3775"/>
      <c r="E3775"/>
    </row>
    <row r="3776" spans="1:5" x14ac:dyDescent="0.2">
      <c r="A3776"/>
      <c r="B3776"/>
      <c r="C3776"/>
      <c r="D3776"/>
      <c r="E3776"/>
    </row>
    <row r="3777" spans="1:5" x14ac:dyDescent="0.2">
      <c r="A3777"/>
      <c r="B3777"/>
      <c r="C3777"/>
      <c r="D3777"/>
      <c r="E3777"/>
    </row>
    <row r="3778" spans="1:5" x14ac:dyDescent="0.2">
      <c r="A3778"/>
      <c r="B3778"/>
      <c r="C3778"/>
      <c r="D3778"/>
      <c r="E3778"/>
    </row>
    <row r="3779" spans="1:5" x14ac:dyDescent="0.2">
      <c r="A3779"/>
      <c r="B3779"/>
      <c r="C3779"/>
      <c r="D3779"/>
      <c r="E3779"/>
    </row>
    <row r="3780" spans="1:5" x14ac:dyDescent="0.2">
      <c r="A3780"/>
      <c r="B3780"/>
      <c r="C3780"/>
      <c r="D3780"/>
      <c r="E3780"/>
    </row>
    <row r="3781" spans="1:5" x14ac:dyDescent="0.2">
      <c r="A3781"/>
      <c r="B3781"/>
      <c r="C3781"/>
      <c r="D3781"/>
      <c r="E3781"/>
    </row>
    <row r="3782" spans="1:5" x14ac:dyDescent="0.2">
      <c r="A3782"/>
      <c r="B3782"/>
      <c r="C3782"/>
      <c r="D3782"/>
      <c r="E3782"/>
    </row>
    <row r="3783" spans="1:5" x14ac:dyDescent="0.2">
      <c r="A3783"/>
      <c r="B3783"/>
      <c r="C3783"/>
      <c r="D3783"/>
      <c r="E3783"/>
    </row>
    <row r="3784" spans="1:5" x14ac:dyDescent="0.2">
      <c r="A3784"/>
      <c r="B3784"/>
      <c r="C3784"/>
      <c r="D3784"/>
      <c r="E3784"/>
    </row>
    <row r="3785" spans="1:5" x14ac:dyDescent="0.2">
      <c r="A3785"/>
      <c r="B3785"/>
      <c r="C3785"/>
      <c r="D3785"/>
      <c r="E3785"/>
    </row>
    <row r="3786" spans="1:5" x14ac:dyDescent="0.2">
      <c r="A3786"/>
      <c r="B3786"/>
      <c r="C3786"/>
      <c r="D3786"/>
      <c r="E3786"/>
    </row>
    <row r="3787" spans="1:5" x14ac:dyDescent="0.2">
      <c r="A3787"/>
      <c r="B3787"/>
      <c r="C3787"/>
      <c r="D3787"/>
      <c r="E3787"/>
    </row>
    <row r="3788" spans="1:5" x14ac:dyDescent="0.2">
      <c r="A3788"/>
      <c r="B3788"/>
      <c r="C3788"/>
      <c r="D3788"/>
      <c r="E3788"/>
    </row>
    <row r="3789" spans="1:5" x14ac:dyDescent="0.2">
      <c r="A3789"/>
      <c r="B3789"/>
      <c r="C3789"/>
      <c r="D3789"/>
      <c r="E3789"/>
    </row>
    <row r="3790" spans="1:5" x14ac:dyDescent="0.2">
      <c r="A3790"/>
      <c r="B3790"/>
      <c r="C3790"/>
      <c r="D3790"/>
      <c r="E3790"/>
    </row>
    <row r="3791" spans="1:5" x14ac:dyDescent="0.2">
      <c r="A3791"/>
      <c r="B3791"/>
      <c r="C3791"/>
      <c r="D3791"/>
      <c r="E3791"/>
    </row>
    <row r="3792" spans="1:5" x14ac:dyDescent="0.2">
      <c r="A3792"/>
      <c r="B3792"/>
      <c r="C3792"/>
      <c r="D3792"/>
      <c r="E3792"/>
    </row>
    <row r="3793" spans="1:5" x14ac:dyDescent="0.2">
      <c r="A3793"/>
      <c r="B3793"/>
      <c r="C3793"/>
      <c r="D3793"/>
      <c r="E3793"/>
    </row>
    <row r="3794" spans="1:5" x14ac:dyDescent="0.2">
      <c r="A3794"/>
      <c r="B3794"/>
      <c r="C3794"/>
      <c r="D3794"/>
      <c r="E3794"/>
    </row>
    <row r="3795" spans="1:5" x14ac:dyDescent="0.2">
      <c r="A3795"/>
      <c r="B3795"/>
      <c r="C3795"/>
      <c r="D3795"/>
      <c r="E3795"/>
    </row>
    <row r="3796" spans="1:5" x14ac:dyDescent="0.2">
      <c r="A3796"/>
      <c r="B3796"/>
      <c r="C3796"/>
      <c r="D3796"/>
      <c r="E3796"/>
    </row>
    <row r="3797" spans="1:5" x14ac:dyDescent="0.2">
      <c r="A3797"/>
      <c r="B3797"/>
      <c r="C3797"/>
      <c r="D3797"/>
      <c r="E3797"/>
    </row>
    <row r="3798" spans="1:5" x14ac:dyDescent="0.2">
      <c r="A3798"/>
      <c r="B3798"/>
      <c r="C3798"/>
      <c r="D3798"/>
      <c r="E3798"/>
    </row>
    <row r="3799" spans="1:5" x14ac:dyDescent="0.2">
      <c r="A3799"/>
      <c r="B3799"/>
      <c r="C3799"/>
      <c r="D3799"/>
      <c r="E3799"/>
    </row>
    <row r="3800" spans="1:5" x14ac:dyDescent="0.2">
      <c r="A3800"/>
      <c r="B3800"/>
      <c r="C3800"/>
      <c r="D3800"/>
      <c r="E3800"/>
    </row>
    <row r="3801" spans="1:5" x14ac:dyDescent="0.2">
      <c r="A3801"/>
      <c r="B3801"/>
      <c r="C3801"/>
      <c r="D3801"/>
      <c r="E3801"/>
    </row>
    <row r="3802" spans="1:5" x14ac:dyDescent="0.2">
      <c r="A3802"/>
      <c r="B3802"/>
      <c r="C3802"/>
      <c r="D3802"/>
      <c r="E3802"/>
    </row>
    <row r="3803" spans="1:5" x14ac:dyDescent="0.2">
      <c r="A3803"/>
      <c r="B3803"/>
      <c r="C3803"/>
      <c r="D3803"/>
      <c r="E3803"/>
    </row>
    <row r="3804" spans="1:5" x14ac:dyDescent="0.2">
      <c r="A3804"/>
      <c r="B3804"/>
      <c r="C3804"/>
      <c r="D3804"/>
      <c r="E3804"/>
    </row>
    <row r="3805" spans="1:5" x14ac:dyDescent="0.2">
      <c r="A3805"/>
      <c r="B3805"/>
      <c r="C3805"/>
      <c r="D3805"/>
      <c r="E3805"/>
    </row>
    <row r="3806" spans="1:5" x14ac:dyDescent="0.2">
      <c r="A3806"/>
      <c r="B3806"/>
      <c r="C3806"/>
      <c r="D3806"/>
      <c r="E3806"/>
    </row>
    <row r="3807" spans="1:5" x14ac:dyDescent="0.2">
      <c r="A3807"/>
      <c r="B3807"/>
      <c r="C3807"/>
      <c r="D3807"/>
      <c r="E3807"/>
    </row>
    <row r="3808" spans="1:5" x14ac:dyDescent="0.2">
      <c r="A3808"/>
      <c r="B3808"/>
      <c r="C3808"/>
      <c r="D3808"/>
      <c r="E3808"/>
    </row>
    <row r="3809" spans="1:5" x14ac:dyDescent="0.2">
      <c r="A3809"/>
      <c r="B3809"/>
      <c r="C3809"/>
      <c r="D3809"/>
      <c r="E3809"/>
    </row>
    <row r="3810" spans="1:5" x14ac:dyDescent="0.2">
      <c r="A3810"/>
      <c r="B3810"/>
      <c r="C3810"/>
      <c r="D3810"/>
      <c r="E3810"/>
    </row>
    <row r="3811" spans="1:5" x14ac:dyDescent="0.2">
      <c r="A3811"/>
      <c r="B3811"/>
      <c r="C3811"/>
      <c r="D3811"/>
      <c r="E3811"/>
    </row>
    <row r="3812" spans="1:5" x14ac:dyDescent="0.2">
      <c r="A3812"/>
      <c r="B3812"/>
      <c r="C3812"/>
      <c r="D3812"/>
      <c r="E3812"/>
    </row>
    <row r="3813" spans="1:5" x14ac:dyDescent="0.2">
      <c r="A3813"/>
      <c r="B3813"/>
      <c r="C3813"/>
      <c r="D3813"/>
      <c r="E3813"/>
    </row>
    <row r="3814" spans="1:5" x14ac:dyDescent="0.2">
      <c r="A3814"/>
      <c r="B3814"/>
      <c r="C3814"/>
      <c r="D3814"/>
      <c r="E3814"/>
    </row>
    <row r="3815" spans="1:5" x14ac:dyDescent="0.2">
      <c r="A3815"/>
      <c r="B3815"/>
      <c r="C3815"/>
      <c r="D3815"/>
      <c r="E3815"/>
    </row>
    <row r="3816" spans="1:5" x14ac:dyDescent="0.2">
      <c r="A3816"/>
      <c r="B3816"/>
      <c r="C3816"/>
      <c r="D3816"/>
      <c r="E3816"/>
    </row>
    <row r="3817" spans="1:5" x14ac:dyDescent="0.2">
      <c r="A3817"/>
      <c r="B3817"/>
      <c r="C3817"/>
      <c r="D3817"/>
      <c r="E3817"/>
    </row>
    <row r="3818" spans="1:5" x14ac:dyDescent="0.2">
      <c r="A3818"/>
      <c r="B3818"/>
      <c r="C3818"/>
      <c r="D3818"/>
      <c r="E3818"/>
    </row>
    <row r="3819" spans="1:5" x14ac:dyDescent="0.2">
      <c r="A3819"/>
      <c r="B3819"/>
      <c r="C3819"/>
      <c r="D3819"/>
      <c r="E3819"/>
    </row>
    <row r="3820" spans="1:5" x14ac:dyDescent="0.2">
      <c r="A3820"/>
      <c r="B3820"/>
      <c r="C3820"/>
      <c r="D3820"/>
      <c r="E3820"/>
    </row>
    <row r="3821" spans="1:5" x14ac:dyDescent="0.2">
      <c r="A3821"/>
      <c r="B3821"/>
      <c r="C3821"/>
      <c r="D3821"/>
      <c r="E3821"/>
    </row>
    <row r="3822" spans="1:5" x14ac:dyDescent="0.2">
      <c r="A3822"/>
      <c r="B3822"/>
      <c r="C3822"/>
      <c r="D3822"/>
      <c r="E3822"/>
    </row>
    <row r="3823" spans="1:5" x14ac:dyDescent="0.2">
      <c r="A3823"/>
      <c r="B3823"/>
      <c r="C3823"/>
      <c r="D3823"/>
      <c r="E3823"/>
    </row>
    <row r="3824" spans="1:5" x14ac:dyDescent="0.2">
      <c r="A3824"/>
      <c r="B3824"/>
      <c r="C3824"/>
      <c r="D3824"/>
      <c r="E3824"/>
    </row>
    <row r="3825" spans="1:5" x14ac:dyDescent="0.2">
      <c r="A3825"/>
      <c r="B3825"/>
      <c r="C3825"/>
      <c r="D3825"/>
      <c r="E3825"/>
    </row>
    <row r="3826" spans="1:5" x14ac:dyDescent="0.2">
      <c r="A3826"/>
      <c r="B3826"/>
      <c r="C3826"/>
      <c r="D3826"/>
      <c r="E3826"/>
    </row>
    <row r="3827" spans="1:5" x14ac:dyDescent="0.2">
      <c r="A3827"/>
      <c r="B3827"/>
      <c r="C3827"/>
      <c r="D3827"/>
      <c r="E3827"/>
    </row>
    <row r="3828" spans="1:5" x14ac:dyDescent="0.2">
      <c r="A3828"/>
      <c r="B3828"/>
      <c r="C3828"/>
      <c r="D3828"/>
      <c r="E3828"/>
    </row>
    <row r="3829" spans="1:5" x14ac:dyDescent="0.2">
      <c r="A3829"/>
      <c r="B3829"/>
      <c r="C3829"/>
      <c r="D3829"/>
      <c r="E3829"/>
    </row>
    <row r="3830" spans="1:5" x14ac:dyDescent="0.2">
      <c r="A3830"/>
      <c r="B3830"/>
      <c r="C3830"/>
      <c r="D3830"/>
      <c r="E3830"/>
    </row>
    <row r="3831" spans="1:5" x14ac:dyDescent="0.2">
      <c r="A3831"/>
      <c r="B3831"/>
      <c r="C3831"/>
      <c r="D3831"/>
      <c r="E3831"/>
    </row>
    <row r="3832" spans="1:5" x14ac:dyDescent="0.2">
      <c r="A3832"/>
      <c r="B3832"/>
      <c r="C3832"/>
      <c r="D3832"/>
      <c r="E3832"/>
    </row>
    <row r="3833" spans="1:5" x14ac:dyDescent="0.2">
      <c r="A3833"/>
      <c r="B3833"/>
      <c r="C3833"/>
      <c r="D3833"/>
      <c r="E3833"/>
    </row>
    <row r="3834" spans="1:5" x14ac:dyDescent="0.2">
      <c r="A3834"/>
      <c r="B3834"/>
      <c r="C3834"/>
      <c r="D3834"/>
      <c r="E3834"/>
    </row>
    <row r="3835" spans="1:5" x14ac:dyDescent="0.2">
      <c r="A3835"/>
      <c r="B3835"/>
      <c r="C3835"/>
      <c r="D3835"/>
      <c r="E3835"/>
    </row>
    <row r="3836" spans="1:5" x14ac:dyDescent="0.2">
      <c r="A3836"/>
      <c r="B3836"/>
      <c r="C3836"/>
      <c r="D3836"/>
      <c r="E3836"/>
    </row>
    <row r="3837" spans="1:5" x14ac:dyDescent="0.2">
      <c r="A3837"/>
      <c r="B3837"/>
      <c r="C3837"/>
      <c r="D3837"/>
      <c r="E3837"/>
    </row>
    <row r="3838" spans="1:5" x14ac:dyDescent="0.2">
      <c r="A3838"/>
      <c r="B3838"/>
      <c r="C3838"/>
      <c r="D3838"/>
      <c r="E3838"/>
    </row>
    <row r="3839" spans="1:5" x14ac:dyDescent="0.2">
      <c r="A3839"/>
      <c r="B3839"/>
      <c r="C3839"/>
      <c r="D3839"/>
      <c r="E3839"/>
    </row>
    <row r="3840" spans="1:5" x14ac:dyDescent="0.2">
      <c r="A3840"/>
      <c r="B3840"/>
      <c r="C3840"/>
      <c r="D3840"/>
      <c r="E3840"/>
    </row>
    <row r="3841" spans="1:5" x14ac:dyDescent="0.2">
      <c r="A3841"/>
      <c r="B3841"/>
      <c r="C3841"/>
      <c r="D3841"/>
      <c r="E3841"/>
    </row>
    <row r="3842" spans="1:5" x14ac:dyDescent="0.2">
      <c r="A3842"/>
      <c r="B3842"/>
      <c r="C3842"/>
      <c r="D3842"/>
      <c r="E3842"/>
    </row>
    <row r="3843" spans="1:5" x14ac:dyDescent="0.2">
      <c r="A3843"/>
      <c r="B3843"/>
      <c r="C3843"/>
      <c r="D3843"/>
      <c r="E3843"/>
    </row>
    <row r="3844" spans="1:5" x14ac:dyDescent="0.2">
      <c r="A3844"/>
      <c r="B3844"/>
      <c r="C3844"/>
      <c r="D3844"/>
      <c r="E3844"/>
    </row>
    <row r="3845" spans="1:5" x14ac:dyDescent="0.2">
      <c r="A3845"/>
      <c r="B3845"/>
      <c r="C3845"/>
      <c r="D3845"/>
      <c r="E3845"/>
    </row>
    <row r="3846" spans="1:5" x14ac:dyDescent="0.2">
      <c r="A3846"/>
      <c r="B3846"/>
      <c r="C3846"/>
      <c r="D3846"/>
      <c r="E3846"/>
    </row>
    <row r="3847" spans="1:5" x14ac:dyDescent="0.2">
      <c r="A3847"/>
      <c r="B3847"/>
      <c r="C3847"/>
      <c r="D3847"/>
      <c r="E3847"/>
    </row>
    <row r="3848" spans="1:5" x14ac:dyDescent="0.2">
      <c r="A3848"/>
      <c r="B3848"/>
      <c r="C3848"/>
      <c r="D3848"/>
      <c r="E3848"/>
    </row>
    <row r="3849" spans="1:5" x14ac:dyDescent="0.2">
      <c r="A3849"/>
      <c r="B3849"/>
      <c r="C3849"/>
      <c r="D3849"/>
      <c r="E3849"/>
    </row>
    <row r="3850" spans="1:5" x14ac:dyDescent="0.2">
      <c r="A3850"/>
      <c r="B3850"/>
      <c r="C3850"/>
      <c r="D3850"/>
      <c r="E3850"/>
    </row>
    <row r="3851" spans="1:5" x14ac:dyDescent="0.2">
      <c r="A3851"/>
      <c r="B3851"/>
      <c r="C3851"/>
      <c r="D3851"/>
      <c r="E3851"/>
    </row>
    <row r="3852" spans="1:5" x14ac:dyDescent="0.2">
      <c r="A3852"/>
      <c r="B3852"/>
      <c r="C3852"/>
      <c r="D3852"/>
      <c r="E3852"/>
    </row>
    <row r="3853" spans="1:5" x14ac:dyDescent="0.2">
      <c r="A3853"/>
      <c r="B3853"/>
      <c r="C3853"/>
      <c r="D3853"/>
      <c r="E3853"/>
    </row>
    <row r="3854" spans="1:5" x14ac:dyDescent="0.2">
      <c r="A3854"/>
      <c r="B3854"/>
      <c r="C3854"/>
      <c r="D3854"/>
      <c r="E3854"/>
    </row>
    <row r="3855" spans="1:5" x14ac:dyDescent="0.2">
      <c r="A3855"/>
      <c r="B3855"/>
      <c r="C3855"/>
      <c r="D3855"/>
      <c r="E3855"/>
    </row>
    <row r="3856" spans="1:5" x14ac:dyDescent="0.2">
      <c r="A3856"/>
      <c r="B3856"/>
      <c r="C3856"/>
      <c r="D3856"/>
      <c r="E3856"/>
    </row>
    <row r="3857" spans="1:5" x14ac:dyDescent="0.2">
      <c r="A3857"/>
      <c r="B3857"/>
      <c r="C3857"/>
      <c r="D3857"/>
      <c r="E3857"/>
    </row>
    <row r="3858" spans="1:5" x14ac:dyDescent="0.2">
      <c r="A3858"/>
      <c r="B3858"/>
      <c r="C3858"/>
      <c r="D3858"/>
      <c r="E3858"/>
    </row>
    <row r="3859" spans="1:5" x14ac:dyDescent="0.2">
      <c r="A3859"/>
      <c r="B3859"/>
      <c r="C3859"/>
      <c r="D3859"/>
      <c r="E3859"/>
    </row>
    <row r="3860" spans="1:5" x14ac:dyDescent="0.2">
      <c r="A3860"/>
      <c r="B3860"/>
      <c r="C3860"/>
      <c r="D3860"/>
      <c r="E3860"/>
    </row>
    <row r="3861" spans="1:5" x14ac:dyDescent="0.2">
      <c r="A3861"/>
      <c r="B3861"/>
      <c r="C3861"/>
      <c r="D3861"/>
      <c r="E3861"/>
    </row>
    <row r="3862" spans="1:5" x14ac:dyDescent="0.2">
      <c r="A3862"/>
      <c r="B3862"/>
      <c r="C3862"/>
      <c r="D3862"/>
      <c r="E3862"/>
    </row>
    <row r="3863" spans="1:5" x14ac:dyDescent="0.2">
      <c r="A3863"/>
      <c r="B3863"/>
      <c r="C3863"/>
      <c r="D3863"/>
      <c r="E3863"/>
    </row>
    <row r="3864" spans="1:5" x14ac:dyDescent="0.2">
      <c r="A3864"/>
      <c r="B3864"/>
      <c r="C3864"/>
      <c r="D3864"/>
      <c r="E3864"/>
    </row>
    <row r="3865" spans="1:5" x14ac:dyDescent="0.2">
      <c r="A3865"/>
      <c r="B3865"/>
      <c r="C3865"/>
      <c r="D3865"/>
      <c r="E3865"/>
    </row>
    <row r="3866" spans="1:5" x14ac:dyDescent="0.2">
      <c r="A3866"/>
      <c r="B3866"/>
      <c r="C3866"/>
      <c r="D3866"/>
      <c r="E3866"/>
    </row>
    <row r="3867" spans="1:5" x14ac:dyDescent="0.2">
      <c r="A3867"/>
      <c r="B3867"/>
      <c r="C3867"/>
      <c r="D3867"/>
      <c r="E3867"/>
    </row>
    <row r="3868" spans="1:5" x14ac:dyDescent="0.2">
      <c r="A3868"/>
      <c r="B3868"/>
      <c r="C3868"/>
      <c r="D3868"/>
      <c r="E3868"/>
    </row>
    <row r="3869" spans="1:5" x14ac:dyDescent="0.2">
      <c r="A3869"/>
      <c r="B3869"/>
      <c r="C3869"/>
      <c r="D3869"/>
      <c r="E3869"/>
    </row>
    <row r="3870" spans="1:5" x14ac:dyDescent="0.2">
      <c r="A3870"/>
      <c r="B3870"/>
      <c r="C3870"/>
      <c r="D3870"/>
      <c r="E3870"/>
    </row>
    <row r="3871" spans="1:5" x14ac:dyDescent="0.2">
      <c r="A3871"/>
      <c r="B3871"/>
      <c r="C3871"/>
      <c r="D3871"/>
      <c r="E3871"/>
    </row>
    <row r="3872" spans="1:5" x14ac:dyDescent="0.2">
      <c r="A3872"/>
      <c r="B3872"/>
      <c r="C3872"/>
      <c r="D3872"/>
      <c r="E3872"/>
    </row>
    <row r="3873" spans="1:5" x14ac:dyDescent="0.2">
      <c r="A3873"/>
      <c r="B3873"/>
      <c r="C3873"/>
      <c r="D3873"/>
      <c r="E3873"/>
    </row>
    <row r="3874" spans="1:5" x14ac:dyDescent="0.2">
      <c r="A3874"/>
      <c r="B3874"/>
      <c r="C3874"/>
      <c r="D3874"/>
      <c r="E3874"/>
    </row>
    <row r="3875" spans="1:5" x14ac:dyDescent="0.2">
      <c r="A3875"/>
      <c r="B3875"/>
      <c r="C3875"/>
      <c r="D3875"/>
      <c r="E3875"/>
    </row>
    <row r="3876" spans="1:5" x14ac:dyDescent="0.2">
      <c r="A3876"/>
      <c r="B3876"/>
      <c r="C3876"/>
      <c r="D3876"/>
      <c r="E3876"/>
    </row>
    <row r="3877" spans="1:5" x14ac:dyDescent="0.2">
      <c r="A3877"/>
      <c r="B3877"/>
      <c r="C3877"/>
      <c r="D3877"/>
      <c r="E3877"/>
    </row>
    <row r="3878" spans="1:5" x14ac:dyDescent="0.2">
      <c r="A3878"/>
      <c r="B3878"/>
      <c r="C3878"/>
      <c r="D3878"/>
      <c r="E3878"/>
    </row>
    <row r="3879" spans="1:5" x14ac:dyDescent="0.2">
      <c r="A3879"/>
      <c r="B3879"/>
      <c r="C3879"/>
      <c r="D3879"/>
      <c r="E3879"/>
    </row>
    <row r="3880" spans="1:5" x14ac:dyDescent="0.2">
      <c r="A3880"/>
      <c r="B3880"/>
      <c r="C3880"/>
      <c r="D3880"/>
      <c r="E3880"/>
    </row>
    <row r="3881" spans="1:5" x14ac:dyDescent="0.2">
      <c r="A3881"/>
      <c r="B3881"/>
      <c r="C3881"/>
      <c r="D3881"/>
      <c r="E3881"/>
    </row>
    <row r="3882" spans="1:5" x14ac:dyDescent="0.2">
      <c r="A3882"/>
      <c r="B3882"/>
      <c r="C3882"/>
      <c r="D3882"/>
      <c r="E3882"/>
    </row>
    <row r="3883" spans="1:5" x14ac:dyDescent="0.2">
      <c r="A3883"/>
      <c r="B3883"/>
      <c r="C3883"/>
      <c r="D3883"/>
      <c r="E3883"/>
    </row>
    <row r="3884" spans="1:5" x14ac:dyDescent="0.2">
      <c r="A3884"/>
      <c r="B3884"/>
      <c r="C3884"/>
      <c r="D3884"/>
      <c r="E3884"/>
    </row>
    <row r="3885" spans="1:5" x14ac:dyDescent="0.2">
      <c r="A3885"/>
      <c r="B3885"/>
      <c r="C3885"/>
      <c r="D3885"/>
      <c r="E3885"/>
    </row>
    <row r="3886" spans="1:5" x14ac:dyDescent="0.2">
      <c r="A3886"/>
      <c r="B3886"/>
      <c r="C3886"/>
      <c r="D3886"/>
      <c r="E3886"/>
    </row>
    <row r="3887" spans="1:5" x14ac:dyDescent="0.2">
      <c r="A3887"/>
      <c r="B3887"/>
      <c r="C3887"/>
      <c r="D3887"/>
      <c r="E3887"/>
    </row>
    <row r="3888" spans="1:5" x14ac:dyDescent="0.2">
      <c r="A3888"/>
      <c r="B3888"/>
      <c r="C3888"/>
      <c r="D3888"/>
      <c r="E3888"/>
    </row>
    <row r="3889" spans="1:5" x14ac:dyDescent="0.2">
      <c r="A3889"/>
      <c r="B3889"/>
      <c r="C3889"/>
      <c r="D3889"/>
      <c r="E3889"/>
    </row>
    <row r="3890" spans="1:5" x14ac:dyDescent="0.2">
      <c r="A3890"/>
      <c r="B3890"/>
      <c r="C3890"/>
      <c r="D3890"/>
      <c r="E3890"/>
    </row>
    <row r="3891" spans="1:5" x14ac:dyDescent="0.2">
      <c r="A3891"/>
      <c r="B3891"/>
      <c r="C3891"/>
      <c r="D3891"/>
      <c r="E3891"/>
    </row>
    <row r="3892" spans="1:5" x14ac:dyDescent="0.2">
      <c r="A3892"/>
      <c r="B3892"/>
      <c r="C3892"/>
      <c r="D3892"/>
      <c r="E3892"/>
    </row>
    <row r="3893" spans="1:5" x14ac:dyDescent="0.2">
      <c r="A3893"/>
      <c r="B3893"/>
      <c r="C3893"/>
      <c r="D3893"/>
      <c r="E3893"/>
    </row>
    <row r="3894" spans="1:5" x14ac:dyDescent="0.2">
      <c r="A3894"/>
      <c r="B3894"/>
      <c r="C3894"/>
      <c r="D3894"/>
      <c r="E3894"/>
    </row>
    <row r="3895" spans="1:5" x14ac:dyDescent="0.2">
      <c r="A3895"/>
      <c r="B3895"/>
      <c r="C3895"/>
      <c r="D3895"/>
      <c r="E3895"/>
    </row>
    <row r="3896" spans="1:5" x14ac:dyDescent="0.2">
      <c r="A3896"/>
      <c r="B3896"/>
      <c r="C3896"/>
      <c r="D3896"/>
      <c r="E3896"/>
    </row>
    <row r="3897" spans="1:5" x14ac:dyDescent="0.2">
      <c r="A3897"/>
      <c r="B3897"/>
      <c r="C3897"/>
      <c r="D3897"/>
      <c r="E3897"/>
    </row>
    <row r="3898" spans="1:5" x14ac:dyDescent="0.2">
      <c r="A3898"/>
      <c r="B3898"/>
      <c r="C3898"/>
      <c r="D3898"/>
      <c r="E3898"/>
    </row>
    <row r="3899" spans="1:5" x14ac:dyDescent="0.2">
      <c r="A3899"/>
      <c r="B3899"/>
      <c r="C3899"/>
      <c r="D3899"/>
      <c r="E3899"/>
    </row>
    <row r="3900" spans="1:5" x14ac:dyDescent="0.2">
      <c r="A3900"/>
      <c r="B3900"/>
      <c r="C3900"/>
      <c r="D3900"/>
      <c r="E3900"/>
    </row>
    <row r="3901" spans="1:5" x14ac:dyDescent="0.2">
      <c r="A3901"/>
      <c r="B3901"/>
      <c r="C3901"/>
      <c r="D3901"/>
      <c r="E3901"/>
    </row>
    <row r="3902" spans="1:5" x14ac:dyDescent="0.2">
      <c r="A3902"/>
      <c r="B3902"/>
      <c r="C3902"/>
      <c r="D3902"/>
      <c r="E3902"/>
    </row>
    <row r="3903" spans="1:5" x14ac:dyDescent="0.2">
      <c r="A3903"/>
      <c r="B3903"/>
      <c r="C3903"/>
      <c r="D3903"/>
      <c r="E3903"/>
    </row>
    <row r="3904" spans="1:5" x14ac:dyDescent="0.2">
      <c r="A3904"/>
      <c r="B3904"/>
      <c r="C3904"/>
      <c r="D3904"/>
      <c r="E3904"/>
    </row>
    <row r="3905" spans="1:5" x14ac:dyDescent="0.2">
      <c r="A3905"/>
      <c r="B3905"/>
      <c r="C3905"/>
      <c r="D3905"/>
      <c r="E3905"/>
    </row>
    <row r="3906" spans="1:5" x14ac:dyDescent="0.2">
      <c r="A3906"/>
      <c r="B3906"/>
      <c r="C3906"/>
      <c r="D3906"/>
      <c r="E3906"/>
    </row>
    <row r="3907" spans="1:5" x14ac:dyDescent="0.2">
      <c r="A3907"/>
      <c r="B3907"/>
      <c r="C3907"/>
      <c r="D3907"/>
      <c r="E3907"/>
    </row>
    <row r="3908" spans="1:5" x14ac:dyDescent="0.2">
      <c r="A3908"/>
      <c r="B3908"/>
      <c r="C3908"/>
      <c r="D3908"/>
      <c r="E3908"/>
    </row>
    <row r="3909" spans="1:5" x14ac:dyDescent="0.2">
      <c r="A3909"/>
      <c r="B3909"/>
      <c r="C3909"/>
      <c r="D3909"/>
      <c r="E3909"/>
    </row>
    <row r="3910" spans="1:5" x14ac:dyDescent="0.2">
      <c r="A3910"/>
      <c r="B3910"/>
      <c r="C3910"/>
      <c r="D3910"/>
      <c r="E3910"/>
    </row>
    <row r="3911" spans="1:5" x14ac:dyDescent="0.2">
      <c r="A3911"/>
      <c r="B3911"/>
      <c r="C3911"/>
      <c r="D3911"/>
      <c r="E3911"/>
    </row>
    <row r="3912" spans="1:5" x14ac:dyDescent="0.2">
      <c r="A3912"/>
      <c r="B3912"/>
      <c r="C3912"/>
      <c r="D3912"/>
      <c r="E3912"/>
    </row>
    <row r="3913" spans="1:5" x14ac:dyDescent="0.2">
      <c r="A3913"/>
      <c r="B3913"/>
      <c r="C3913"/>
      <c r="D3913"/>
      <c r="E3913"/>
    </row>
    <row r="3914" spans="1:5" x14ac:dyDescent="0.2">
      <c r="A3914"/>
      <c r="B3914"/>
      <c r="C3914"/>
      <c r="D3914"/>
      <c r="E3914"/>
    </row>
    <row r="3915" spans="1:5" x14ac:dyDescent="0.2">
      <c r="A3915"/>
      <c r="B3915"/>
      <c r="C3915"/>
      <c r="D3915"/>
      <c r="E3915"/>
    </row>
    <row r="3916" spans="1:5" x14ac:dyDescent="0.2">
      <c r="A3916"/>
      <c r="B3916"/>
      <c r="C3916"/>
      <c r="D3916"/>
      <c r="E3916"/>
    </row>
    <row r="3917" spans="1:5" x14ac:dyDescent="0.2">
      <c r="A3917"/>
      <c r="B3917"/>
      <c r="C3917"/>
      <c r="D3917"/>
      <c r="E3917"/>
    </row>
    <row r="3918" spans="1:5" x14ac:dyDescent="0.2">
      <c r="A3918"/>
      <c r="B3918"/>
      <c r="C3918"/>
      <c r="D3918"/>
      <c r="E3918"/>
    </row>
    <row r="3919" spans="1:5" x14ac:dyDescent="0.2">
      <c r="A3919"/>
      <c r="B3919"/>
      <c r="C3919"/>
      <c r="D3919"/>
      <c r="E3919"/>
    </row>
    <row r="3920" spans="1:5" x14ac:dyDescent="0.2">
      <c r="A3920"/>
      <c r="B3920"/>
      <c r="C3920"/>
      <c r="D3920"/>
      <c r="E3920"/>
    </row>
    <row r="3921" spans="1:5" x14ac:dyDescent="0.2">
      <c r="A3921"/>
      <c r="B3921"/>
      <c r="C3921"/>
      <c r="D3921"/>
      <c r="E3921"/>
    </row>
    <row r="3922" spans="1:5" x14ac:dyDescent="0.2">
      <c r="A3922"/>
      <c r="B3922"/>
      <c r="C3922"/>
      <c r="D3922"/>
      <c r="E3922"/>
    </row>
    <row r="3923" spans="1:5" x14ac:dyDescent="0.2">
      <c r="A3923"/>
      <c r="B3923"/>
      <c r="C3923"/>
      <c r="D3923"/>
      <c r="E3923"/>
    </row>
    <row r="3924" spans="1:5" x14ac:dyDescent="0.2">
      <c r="A3924"/>
      <c r="B3924"/>
      <c r="C3924"/>
      <c r="D3924"/>
      <c r="E3924"/>
    </row>
    <row r="3925" spans="1:5" x14ac:dyDescent="0.2">
      <c r="A3925"/>
      <c r="B3925"/>
      <c r="C3925"/>
      <c r="D3925"/>
      <c r="E3925"/>
    </row>
    <row r="3926" spans="1:5" x14ac:dyDescent="0.2">
      <c r="A3926"/>
      <c r="B3926"/>
      <c r="C3926"/>
      <c r="D3926"/>
      <c r="E3926"/>
    </row>
    <row r="3927" spans="1:5" x14ac:dyDescent="0.2">
      <c r="A3927"/>
      <c r="B3927"/>
      <c r="C3927"/>
      <c r="D3927"/>
      <c r="E3927"/>
    </row>
    <row r="3928" spans="1:5" x14ac:dyDescent="0.2">
      <c r="A3928"/>
      <c r="B3928"/>
      <c r="C3928"/>
      <c r="D3928"/>
      <c r="E3928"/>
    </row>
    <row r="3929" spans="1:5" x14ac:dyDescent="0.2">
      <c r="A3929"/>
      <c r="B3929"/>
      <c r="C3929"/>
      <c r="D3929"/>
      <c r="E3929"/>
    </row>
    <row r="3930" spans="1:5" x14ac:dyDescent="0.2">
      <c r="A3930"/>
      <c r="B3930"/>
      <c r="C3930"/>
      <c r="D3930"/>
      <c r="E3930"/>
    </row>
    <row r="3931" spans="1:5" x14ac:dyDescent="0.2">
      <c r="A3931"/>
      <c r="B3931"/>
      <c r="C3931"/>
      <c r="D3931"/>
      <c r="E3931"/>
    </row>
    <row r="3932" spans="1:5" x14ac:dyDescent="0.2">
      <c r="A3932"/>
      <c r="B3932"/>
      <c r="C3932"/>
      <c r="D3932"/>
      <c r="E3932"/>
    </row>
    <row r="3933" spans="1:5" x14ac:dyDescent="0.2">
      <c r="A3933"/>
      <c r="B3933"/>
      <c r="C3933"/>
      <c r="D3933"/>
      <c r="E3933"/>
    </row>
    <row r="3934" spans="1:5" x14ac:dyDescent="0.2">
      <c r="A3934"/>
      <c r="B3934"/>
      <c r="C3934"/>
      <c r="D3934"/>
      <c r="E3934"/>
    </row>
    <row r="3935" spans="1:5" x14ac:dyDescent="0.2">
      <c r="A3935"/>
      <c r="B3935"/>
      <c r="C3935"/>
      <c r="D3935"/>
      <c r="E3935"/>
    </row>
    <row r="3936" spans="1:5" x14ac:dyDescent="0.2">
      <c r="A3936"/>
      <c r="B3936"/>
      <c r="C3936"/>
      <c r="D3936"/>
      <c r="E3936"/>
    </row>
    <row r="3937" spans="1:5" x14ac:dyDescent="0.2">
      <c r="A3937"/>
      <c r="B3937"/>
      <c r="C3937"/>
      <c r="D3937"/>
      <c r="E3937"/>
    </row>
    <row r="3938" spans="1:5" x14ac:dyDescent="0.2">
      <c r="A3938"/>
      <c r="B3938"/>
      <c r="C3938"/>
      <c r="D3938"/>
      <c r="E3938"/>
    </row>
    <row r="3939" spans="1:5" x14ac:dyDescent="0.2">
      <c r="A3939"/>
      <c r="B3939"/>
      <c r="C3939"/>
      <c r="D3939"/>
      <c r="E3939"/>
    </row>
    <row r="3940" spans="1:5" x14ac:dyDescent="0.2">
      <c r="A3940"/>
      <c r="B3940"/>
      <c r="C3940"/>
      <c r="D3940"/>
      <c r="E3940"/>
    </row>
    <row r="3941" spans="1:5" x14ac:dyDescent="0.2">
      <c r="A3941"/>
      <c r="B3941"/>
      <c r="C3941"/>
      <c r="D3941"/>
      <c r="E3941"/>
    </row>
    <row r="3942" spans="1:5" x14ac:dyDescent="0.2">
      <c r="A3942"/>
      <c r="B3942"/>
      <c r="C3942"/>
      <c r="D3942"/>
      <c r="E3942"/>
    </row>
    <row r="3943" spans="1:5" x14ac:dyDescent="0.2">
      <c r="A3943"/>
      <c r="B3943"/>
      <c r="C3943"/>
      <c r="D3943"/>
      <c r="E3943"/>
    </row>
    <row r="3944" spans="1:5" x14ac:dyDescent="0.2">
      <c r="A3944"/>
      <c r="B3944"/>
      <c r="C3944"/>
      <c r="D3944"/>
      <c r="E3944"/>
    </row>
    <row r="3945" spans="1:5" x14ac:dyDescent="0.2">
      <c r="A3945"/>
      <c r="B3945"/>
      <c r="C3945"/>
      <c r="D3945"/>
      <c r="E3945"/>
    </row>
    <row r="3946" spans="1:5" x14ac:dyDescent="0.2">
      <c r="A3946"/>
      <c r="B3946"/>
      <c r="C3946"/>
      <c r="D3946"/>
      <c r="E3946"/>
    </row>
    <row r="3947" spans="1:5" x14ac:dyDescent="0.2">
      <c r="A3947"/>
      <c r="B3947"/>
      <c r="C3947"/>
      <c r="D3947"/>
      <c r="E3947"/>
    </row>
    <row r="3948" spans="1:5" x14ac:dyDescent="0.2">
      <c r="A3948"/>
      <c r="B3948"/>
      <c r="C3948"/>
      <c r="D3948"/>
      <c r="E3948"/>
    </row>
    <row r="3949" spans="1:5" x14ac:dyDescent="0.2">
      <c r="A3949"/>
      <c r="B3949"/>
      <c r="C3949"/>
      <c r="D3949"/>
      <c r="E3949"/>
    </row>
    <row r="3950" spans="1:5" x14ac:dyDescent="0.2">
      <c r="A3950"/>
      <c r="B3950"/>
      <c r="C3950"/>
      <c r="D3950"/>
      <c r="E3950"/>
    </row>
    <row r="3951" spans="1:5" x14ac:dyDescent="0.2">
      <c r="A3951"/>
      <c r="B3951"/>
      <c r="C3951"/>
      <c r="D3951"/>
      <c r="E3951"/>
    </row>
    <row r="3952" spans="1:5" x14ac:dyDescent="0.2">
      <c r="A3952"/>
      <c r="B3952"/>
      <c r="C3952"/>
      <c r="D3952"/>
      <c r="E3952"/>
    </row>
    <row r="3953" spans="1:5" x14ac:dyDescent="0.2">
      <c r="A3953"/>
      <c r="B3953"/>
      <c r="C3953"/>
      <c r="D3953"/>
      <c r="E3953"/>
    </row>
    <row r="3954" spans="1:5" x14ac:dyDescent="0.2">
      <c r="A3954"/>
      <c r="B3954"/>
      <c r="C3954"/>
      <c r="D3954"/>
      <c r="E3954"/>
    </row>
    <row r="3955" spans="1:5" x14ac:dyDescent="0.2">
      <c r="A3955"/>
      <c r="B3955"/>
      <c r="C3955"/>
      <c r="D3955"/>
      <c r="E3955"/>
    </row>
    <row r="3956" spans="1:5" x14ac:dyDescent="0.2">
      <c r="A3956"/>
      <c r="B3956"/>
      <c r="C3956"/>
      <c r="D3956"/>
      <c r="E3956"/>
    </row>
    <row r="3957" spans="1:5" x14ac:dyDescent="0.2">
      <c r="A3957"/>
      <c r="B3957"/>
      <c r="C3957"/>
      <c r="D3957"/>
      <c r="E3957"/>
    </row>
    <row r="3958" spans="1:5" x14ac:dyDescent="0.2">
      <c r="A3958"/>
      <c r="B3958"/>
      <c r="C3958"/>
      <c r="D3958"/>
      <c r="E3958"/>
    </row>
    <row r="3959" spans="1:5" x14ac:dyDescent="0.2">
      <c r="A3959"/>
      <c r="B3959"/>
      <c r="C3959"/>
      <c r="D3959"/>
      <c r="E3959"/>
    </row>
    <row r="3960" spans="1:5" x14ac:dyDescent="0.2">
      <c r="A3960"/>
      <c r="B3960"/>
      <c r="C3960"/>
      <c r="D3960"/>
      <c r="E3960"/>
    </row>
    <row r="3961" spans="1:5" x14ac:dyDescent="0.2">
      <c r="A3961"/>
      <c r="B3961"/>
      <c r="C3961"/>
      <c r="D3961"/>
      <c r="E3961"/>
    </row>
    <row r="3962" spans="1:5" x14ac:dyDescent="0.2">
      <c r="A3962"/>
      <c r="B3962"/>
      <c r="C3962"/>
      <c r="D3962"/>
      <c r="E3962"/>
    </row>
    <row r="3963" spans="1:5" x14ac:dyDescent="0.2">
      <c r="A3963"/>
      <c r="B3963"/>
      <c r="C3963"/>
      <c r="D3963"/>
      <c r="E3963"/>
    </row>
    <row r="3964" spans="1:5" x14ac:dyDescent="0.2">
      <c r="A3964"/>
      <c r="B3964"/>
      <c r="C3964"/>
      <c r="D3964"/>
      <c r="E3964"/>
    </row>
    <row r="3965" spans="1:5" x14ac:dyDescent="0.2">
      <c r="A3965"/>
      <c r="B3965"/>
      <c r="C3965"/>
      <c r="D3965"/>
      <c r="E3965"/>
    </row>
    <row r="3966" spans="1:5" x14ac:dyDescent="0.2">
      <c r="A3966"/>
      <c r="B3966"/>
      <c r="C3966"/>
      <c r="D3966"/>
      <c r="E3966"/>
    </row>
    <row r="3967" spans="1:5" x14ac:dyDescent="0.2">
      <c r="A3967"/>
      <c r="B3967"/>
      <c r="C3967"/>
      <c r="D3967"/>
      <c r="E3967"/>
    </row>
    <row r="3968" spans="1:5" x14ac:dyDescent="0.2">
      <c r="A3968"/>
      <c r="B3968"/>
      <c r="C3968"/>
      <c r="D3968"/>
      <c r="E3968"/>
    </row>
    <row r="3969" spans="1:5" x14ac:dyDescent="0.2">
      <c r="A3969"/>
      <c r="B3969"/>
      <c r="C3969"/>
      <c r="D3969"/>
      <c r="E3969"/>
    </row>
    <row r="3970" spans="1:5" x14ac:dyDescent="0.2">
      <c r="A3970"/>
      <c r="B3970"/>
      <c r="C3970"/>
      <c r="D3970"/>
      <c r="E3970"/>
    </row>
    <row r="3971" spans="1:5" x14ac:dyDescent="0.2">
      <c r="A3971"/>
      <c r="B3971"/>
      <c r="C3971"/>
      <c r="D3971"/>
      <c r="E3971"/>
    </row>
    <row r="3972" spans="1:5" x14ac:dyDescent="0.2">
      <c r="A3972"/>
      <c r="B3972"/>
      <c r="C3972"/>
      <c r="D3972"/>
      <c r="E3972"/>
    </row>
    <row r="3973" spans="1:5" x14ac:dyDescent="0.2">
      <c r="A3973"/>
      <c r="B3973"/>
      <c r="C3973"/>
      <c r="D3973"/>
      <c r="E3973"/>
    </row>
    <row r="3974" spans="1:5" x14ac:dyDescent="0.2">
      <c r="A3974"/>
      <c r="B3974"/>
      <c r="C3974"/>
      <c r="D3974"/>
      <c r="E3974"/>
    </row>
    <row r="3975" spans="1:5" x14ac:dyDescent="0.2">
      <c r="A3975"/>
      <c r="B3975"/>
      <c r="C3975"/>
      <c r="D3975"/>
      <c r="E3975"/>
    </row>
    <row r="3976" spans="1:5" x14ac:dyDescent="0.2">
      <c r="A3976"/>
      <c r="B3976"/>
      <c r="C3976"/>
      <c r="D3976"/>
      <c r="E3976"/>
    </row>
    <row r="3977" spans="1:5" x14ac:dyDescent="0.2">
      <c r="A3977"/>
      <c r="B3977"/>
      <c r="C3977"/>
      <c r="D3977"/>
      <c r="E3977"/>
    </row>
    <row r="3978" spans="1:5" x14ac:dyDescent="0.2">
      <c r="A3978"/>
      <c r="B3978"/>
      <c r="C3978"/>
      <c r="D3978"/>
      <c r="E3978"/>
    </row>
    <row r="3979" spans="1:5" x14ac:dyDescent="0.2">
      <c r="A3979"/>
      <c r="B3979"/>
      <c r="C3979"/>
      <c r="D3979"/>
      <c r="E3979"/>
    </row>
    <row r="3980" spans="1:5" x14ac:dyDescent="0.2">
      <c r="A3980"/>
      <c r="B3980"/>
      <c r="C3980"/>
      <c r="D3980"/>
      <c r="E3980"/>
    </row>
    <row r="3981" spans="1:5" x14ac:dyDescent="0.2">
      <c r="A3981"/>
      <c r="B3981"/>
      <c r="C3981"/>
      <c r="D3981"/>
      <c r="E3981"/>
    </row>
    <row r="3982" spans="1:5" x14ac:dyDescent="0.2">
      <c r="A3982"/>
      <c r="B3982"/>
      <c r="C3982"/>
      <c r="D3982"/>
      <c r="E3982"/>
    </row>
    <row r="3983" spans="1:5" x14ac:dyDescent="0.2">
      <c r="A3983"/>
      <c r="B3983"/>
      <c r="C3983"/>
      <c r="D3983"/>
      <c r="E3983"/>
    </row>
    <row r="3984" spans="1:5" x14ac:dyDescent="0.2">
      <c r="A3984"/>
      <c r="B3984"/>
      <c r="C3984"/>
      <c r="D3984"/>
      <c r="E3984"/>
    </row>
    <row r="3985" spans="1:5" x14ac:dyDescent="0.2">
      <c r="A3985"/>
      <c r="B3985"/>
      <c r="C3985"/>
      <c r="D3985"/>
      <c r="E3985"/>
    </row>
    <row r="3986" spans="1:5" x14ac:dyDescent="0.2">
      <c r="A3986"/>
      <c r="B3986"/>
      <c r="C3986"/>
      <c r="D3986"/>
      <c r="E3986"/>
    </row>
    <row r="3987" spans="1:5" x14ac:dyDescent="0.2">
      <c r="A3987"/>
      <c r="B3987"/>
      <c r="C3987"/>
      <c r="D3987"/>
      <c r="E3987"/>
    </row>
    <row r="3988" spans="1:5" x14ac:dyDescent="0.2">
      <c r="A3988"/>
      <c r="B3988"/>
      <c r="C3988"/>
      <c r="D3988"/>
      <c r="E3988"/>
    </row>
    <row r="3989" spans="1:5" x14ac:dyDescent="0.2">
      <c r="A3989"/>
      <c r="B3989"/>
      <c r="C3989"/>
      <c r="D3989"/>
      <c r="E3989"/>
    </row>
    <row r="3990" spans="1:5" x14ac:dyDescent="0.2">
      <c r="A3990"/>
      <c r="B3990"/>
      <c r="C3990"/>
      <c r="D3990"/>
      <c r="E3990"/>
    </row>
    <row r="3991" spans="1:5" x14ac:dyDescent="0.2">
      <c r="A3991"/>
      <c r="B3991"/>
      <c r="C3991"/>
      <c r="D3991"/>
      <c r="E3991"/>
    </row>
    <row r="3992" spans="1:5" x14ac:dyDescent="0.2">
      <c r="A3992"/>
      <c r="B3992"/>
      <c r="C3992"/>
      <c r="D3992"/>
      <c r="E3992"/>
    </row>
    <row r="3993" spans="1:5" x14ac:dyDescent="0.2">
      <c r="A3993"/>
      <c r="B3993"/>
      <c r="C3993"/>
      <c r="D3993"/>
      <c r="E3993"/>
    </row>
    <row r="3994" spans="1:5" x14ac:dyDescent="0.2">
      <c r="A3994"/>
      <c r="B3994"/>
      <c r="C3994"/>
      <c r="D3994"/>
      <c r="E3994"/>
    </row>
    <row r="3995" spans="1:5" x14ac:dyDescent="0.2">
      <c r="A3995"/>
      <c r="B3995"/>
      <c r="C3995"/>
      <c r="D3995"/>
      <c r="E3995"/>
    </row>
    <row r="3996" spans="1:5" x14ac:dyDescent="0.2">
      <c r="A3996"/>
      <c r="B3996"/>
      <c r="C3996"/>
      <c r="D3996"/>
      <c r="E3996"/>
    </row>
    <row r="3997" spans="1:5" x14ac:dyDescent="0.2">
      <c r="A3997"/>
      <c r="B3997"/>
      <c r="C3997"/>
      <c r="D3997"/>
      <c r="E3997"/>
    </row>
    <row r="3998" spans="1:5" x14ac:dyDescent="0.2">
      <c r="A3998"/>
      <c r="B3998"/>
      <c r="C3998"/>
      <c r="D3998"/>
      <c r="E3998"/>
    </row>
    <row r="3999" spans="1:5" x14ac:dyDescent="0.2">
      <c r="A3999"/>
      <c r="B3999"/>
      <c r="C3999"/>
      <c r="D3999"/>
      <c r="E3999"/>
    </row>
    <row r="4000" spans="1:5" x14ac:dyDescent="0.2">
      <c r="A4000"/>
      <c r="B4000"/>
      <c r="C4000"/>
      <c r="D4000"/>
      <c r="E4000"/>
    </row>
    <row r="4001" spans="1:5" x14ac:dyDescent="0.2">
      <c r="A4001"/>
      <c r="B4001"/>
      <c r="C4001"/>
      <c r="D4001"/>
      <c r="E4001"/>
    </row>
    <row r="4002" spans="1:5" x14ac:dyDescent="0.2">
      <c r="A4002"/>
      <c r="B4002"/>
      <c r="C4002"/>
      <c r="D4002"/>
      <c r="E4002"/>
    </row>
    <row r="4003" spans="1:5" x14ac:dyDescent="0.2">
      <c r="A4003"/>
      <c r="B4003"/>
      <c r="C4003"/>
      <c r="D4003"/>
      <c r="E4003"/>
    </row>
    <row r="4004" spans="1:5" x14ac:dyDescent="0.2">
      <c r="A4004"/>
      <c r="B4004"/>
      <c r="C4004"/>
      <c r="D4004"/>
      <c r="E4004"/>
    </row>
    <row r="4005" spans="1:5" x14ac:dyDescent="0.2">
      <c r="A4005"/>
      <c r="B4005"/>
      <c r="C4005"/>
      <c r="D4005"/>
      <c r="E4005"/>
    </row>
    <row r="4006" spans="1:5" x14ac:dyDescent="0.2">
      <c r="A4006"/>
      <c r="B4006"/>
      <c r="C4006"/>
      <c r="D4006"/>
      <c r="E4006"/>
    </row>
    <row r="4007" spans="1:5" x14ac:dyDescent="0.2">
      <c r="A4007"/>
      <c r="B4007"/>
      <c r="C4007"/>
      <c r="D4007"/>
      <c r="E4007"/>
    </row>
    <row r="4008" spans="1:5" x14ac:dyDescent="0.2">
      <c r="A4008"/>
      <c r="B4008"/>
      <c r="C4008"/>
      <c r="D4008"/>
      <c r="E4008"/>
    </row>
    <row r="4009" spans="1:5" x14ac:dyDescent="0.2">
      <c r="A4009"/>
      <c r="B4009"/>
      <c r="C4009"/>
      <c r="D4009"/>
      <c r="E4009"/>
    </row>
    <row r="4010" spans="1:5" x14ac:dyDescent="0.2">
      <c r="A4010"/>
      <c r="B4010"/>
      <c r="C4010"/>
      <c r="D4010"/>
      <c r="E4010"/>
    </row>
    <row r="4011" spans="1:5" x14ac:dyDescent="0.2">
      <c r="A4011"/>
      <c r="B4011"/>
      <c r="C4011"/>
      <c r="D4011"/>
      <c r="E4011"/>
    </row>
    <row r="4012" spans="1:5" x14ac:dyDescent="0.2">
      <c r="A4012"/>
      <c r="B4012"/>
      <c r="C4012"/>
      <c r="D4012"/>
      <c r="E4012"/>
    </row>
    <row r="4013" spans="1:5" x14ac:dyDescent="0.2">
      <c r="A4013"/>
      <c r="B4013"/>
      <c r="C4013"/>
      <c r="D4013"/>
      <c r="E4013"/>
    </row>
    <row r="4014" spans="1:5" x14ac:dyDescent="0.2">
      <c r="A4014"/>
      <c r="B4014"/>
      <c r="C4014"/>
      <c r="D4014"/>
      <c r="E4014"/>
    </row>
    <row r="4015" spans="1:5" x14ac:dyDescent="0.2">
      <c r="A4015"/>
      <c r="B4015"/>
      <c r="C4015"/>
      <c r="D4015"/>
      <c r="E4015"/>
    </row>
    <row r="4016" spans="1:5" x14ac:dyDescent="0.2">
      <c r="A4016"/>
      <c r="B4016"/>
      <c r="C4016"/>
      <c r="D4016"/>
      <c r="E4016"/>
    </row>
    <row r="4017" spans="1:5" x14ac:dyDescent="0.2">
      <c r="A4017"/>
      <c r="B4017"/>
      <c r="C4017"/>
      <c r="D4017"/>
      <c r="E4017"/>
    </row>
    <row r="4018" spans="1:5" x14ac:dyDescent="0.2">
      <c r="A4018"/>
      <c r="B4018"/>
      <c r="C4018"/>
      <c r="D4018"/>
      <c r="E4018"/>
    </row>
    <row r="4019" spans="1:5" x14ac:dyDescent="0.2">
      <c r="A4019"/>
      <c r="B4019"/>
      <c r="C4019"/>
      <c r="D4019"/>
      <c r="E4019"/>
    </row>
    <row r="4020" spans="1:5" x14ac:dyDescent="0.2">
      <c r="A4020"/>
      <c r="B4020"/>
      <c r="C4020"/>
      <c r="D4020"/>
      <c r="E4020"/>
    </row>
    <row r="4021" spans="1:5" x14ac:dyDescent="0.2">
      <c r="A4021"/>
      <c r="B4021"/>
      <c r="C4021"/>
      <c r="D4021"/>
      <c r="E4021"/>
    </row>
    <row r="4022" spans="1:5" x14ac:dyDescent="0.2">
      <c r="A4022"/>
      <c r="B4022"/>
      <c r="C4022"/>
      <c r="D4022"/>
      <c r="E4022"/>
    </row>
    <row r="4023" spans="1:5" x14ac:dyDescent="0.2">
      <c r="A4023"/>
      <c r="B4023"/>
      <c r="C4023"/>
      <c r="D4023"/>
      <c r="E4023"/>
    </row>
    <row r="4024" spans="1:5" x14ac:dyDescent="0.2">
      <c r="A4024"/>
      <c r="B4024"/>
      <c r="C4024"/>
      <c r="D4024"/>
      <c r="E4024"/>
    </row>
    <row r="4025" spans="1:5" x14ac:dyDescent="0.2">
      <c r="A4025"/>
      <c r="B4025"/>
      <c r="C4025"/>
      <c r="D4025"/>
      <c r="E4025"/>
    </row>
    <row r="4026" spans="1:5" x14ac:dyDescent="0.2">
      <c r="A4026"/>
      <c r="B4026"/>
      <c r="C4026"/>
      <c r="D4026"/>
      <c r="E4026"/>
    </row>
    <row r="4027" spans="1:5" x14ac:dyDescent="0.2">
      <c r="A4027"/>
      <c r="B4027"/>
      <c r="C4027"/>
      <c r="D4027"/>
      <c r="E4027"/>
    </row>
    <row r="4028" spans="1:5" x14ac:dyDescent="0.2">
      <c r="A4028"/>
      <c r="B4028"/>
      <c r="C4028"/>
      <c r="D4028"/>
      <c r="E4028"/>
    </row>
    <row r="4029" spans="1:5" x14ac:dyDescent="0.2">
      <c r="A4029"/>
      <c r="B4029"/>
      <c r="C4029"/>
      <c r="D4029"/>
      <c r="E4029"/>
    </row>
    <row r="4030" spans="1:5" x14ac:dyDescent="0.2">
      <c r="A4030"/>
      <c r="B4030"/>
      <c r="C4030"/>
      <c r="D4030"/>
      <c r="E4030"/>
    </row>
    <row r="4031" spans="1:5" x14ac:dyDescent="0.2">
      <c r="A4031"/>
      <c r="B4031"/>
      <c r="C4031"/>
      <c r="D4031"/>
      <c r="E4031"/>
    </row>
    <row r="4032" spans="1:5" x14ac:dyDescent="0.2">
      <c r="A4032"/>
      <c r="B4032"/>
      <c r="C4032"/>
      <c r="D4032"/>
      <c r="E4032"/>
    </row>
    <row r="4033" spans="1:5" x14ac:dyDescent="0.2">
      <c r="A4033"/>
      <c r="B4033"/>
      <c r="C4033"/>
      <c r="D4033"/>
      <c r="E4033"/>
    </row>
    <row r="4034" spans="1:5" x14ac:dyDescent="0.2">
      <c r="A4034"/>
      <c r="B4034"/>
      <c r="C4034"/>
      <c r="D4034"/>
      <c r="E4034"/>
    </row>
    <row r="4035" spans="1:5" x14ac:dyDescent="0.2">
      <c r="A4035"/>
      <c r="B4035"/>
      <c r="C4035"/>
      <c r="D4035"/>
      <c r="E4035"/>
    </row>
    <row r="4036" spans="1:5" x14ac:dyDescent="0.2">
      <c r="A4036"/>
      <c r="B4036"/>
      <c r="C4036"/>
      <c r="D4036"/>
      <c r="E4036"/>
    </row>
    <row r="4037" spans="1:5" x14ac:dyDescent="0.2">
      <c r="A4037"/>
      <c r="B4037"/>
      <c r="C4037"/>
      <c r="D4037"/>
      <c r="E4037"/>
    </row>
    <row r="4038" spans="1:5" x14ac:dyDescent="0.2">
      <c r="A4038"/>
      <c r="B4038"/>
      <c r="C4038"/>
      <c r="D4038"/>
      <c r="E4038"/>
    </row>
    <row r="4039" spans="1:5" x14ac:dyDescent="0.2">
      <c r="A4039"/>
      <c r="B4039"/>
      <c r="C4039"/>
      <c r="D4039"/>
      <c r="E4039"/>
    </row>
    <row r="4040" spans="1:5" x14ac:dyDescent="0.2">
      <c r="A4040"/>
      <c r="B4040"/>
      <c r="C4040"/>
      <c r="D4040"/>
      <c r="E4040"/>
    </row>
    <row r="4041" spans="1:5" x14ac:dyDescent="0.2">
      <c r="A4041"/>
      <c r="B4041"/>
      <c r="C4041"/>
      <c r="D4041"/>
      <c r="E4041"/>
    </row>
    <row r="4042" spans="1:5" x14ac:dyDescent="0.2">
      <c r="A4042"/>
      <c r="B4042"/>
      <c r="C4042"/>
      <c r="D4042"/>
      <c r="E4042"/>
    </row>
    <row r="4043" spans="1:5" x14ac:dyDescent="0.2">
      <c r="A4043"/>
      <c r="B4043"/>
      <c r="C4043"/>
      <c r="D4043"/>
      <c r="E4043"/>
    </row>
    <row r="4044" spans="1:5" x14ac:dyDescent="0.2">
      <c r="A4044"/>
      <c r="B4044"/>
      <c r="C4044"/>
      <c r="D4044"/>
      <c r="E4044"/>
    </row>
    <row r="4045" spans="1:5" x14ac:dyDescent="0.2">
      <c r="A4045"/>
      <c r="B4045"/>
      <c r="C4045"/>
      <c r="D4045"/>
      <c r="E4045"/>
    </row>
    <row r="4046" spans="1:5" x14ac:dyDescent="0.2">
      <c r="A4046"/>
      <c r="B4046"/>
      <c r="C4046"/>
      <c r="D4046"/>
      <c r="E4046"/>
    </row>
    <row r="4047" spans="1:5" x14ac:dyDescent="0.2">
      <c r="A4047"/>
      <c r="B4047"/>
      <c r="C4047"/>
      <c r="D4047"/>
      <c r="E4047"/>
    </row>
    <row r="4048" spans="1:5" x14ac:dyDescent="0.2">
      <c r="A4048"/>
      <c r="B4048"/>
      <c r="C4048"/>
      <c r="D4048"/>
      <c r="E4048"/>
    </row>
    <row r="4049" spans="1:5" x14ac:dyDescent="0.2">
      <c r="A4049"/>
      <c r="B4049"/>
      <c r="C4049"/>
      <c r="D4049"/>
      <c r="E4049"/>
    </row>
    <row r="4050" spans="1:5" x14ac:dyDescent="0.2">
      <c r="A4050"/>
      <c r="B4050"/>
      <c r="C4050"/>
      <c r="D4050"/>
      <c r="E4050"/>
    </row>
    <row r="4051" spans="1:5" x14ac:dyDescent="0.2">
      <c r="A4051"/>
      <c r="B4051"/>
      <c r="C4051"/>
      <c r="D4051"/>
      <c r="E4051"/>
    </row>
    <row r="4052" spans="1:5" x14ac:dyDescent="0.2">
      <c r="A4052"/>
      <c r="B4052"/>
      <c r="C4052"/>
      <c r="D4052"/>
      <c r="E4052"/>
    </row>
    <row r="4053" spans="1:5" x14ac:dyDescent="0.2">
      <c r="A4053"/>
      <c r="B4053"/>
      <c r="C4053"/>
      <c r="D4053"/>
      <c r="E4053"/>
    </row>
    <row r="4054" spans="1:5" x14ac:dyDescent="0.2">
      <c r="A4054"/>
      <c r="B4054"/>
      <c r="C4054"/>
      <c r="D4054"/>
      <c r="E4054"/>
    </row>
    <row r="4055" spans="1:5" x14ac:dyDescent="0.2">
      <c r="A4055"/>
      <c r="B4055"/>
      <c r="C4055"/>
      <c r="D4055"/>
      <c r="E4055"/>
    </row>
    <row r="4056" spans="1:5" x14ac:dyDescent="0.2">
      <c r="A4056"/>
      <c r="B4056"/>
      <c r="C4056"/>
      <c r="D4056"/>
      <c r="E4056"/>
    </row>
    <row r="4057" spans="1:5" x14ac:dyDescent="0.2">
      <c r="A4057"/>
      <c r="B4057"/>
      <c r="C4057"/>
      <c r="D4057"/>
      <c r="E4057"/>
    </row>
    <row r="4058" spans="1:5" x14ac:dyDescent="0.2">
      <c r="A4058"/>
      <c r="B4058"/>
      <c r="C4058"/>
      <c r="D4058"/>
      <c r="E4058"/>
    </row>
    <row r="4059" spans="1:5" x14ac:dyDescent="0.2">
      <c r="A4059"/>
      <c r="B4059"/>
      <c r="C4059"/>
      <c r="D4059"/>
      <c r="E4059"/>
    </row>
    <row r="4060" spans="1:5" x14ac:dyDescent="0.2">
      <c r="A4060"/>
      <c r="B4060"/>
      <c r="C4060"/>
      <c r="D4060"/>
      <c r="E4060"/>
    </row>
    <row r="4061" spans="1:5" x14ac:dyDescent="0.2">
      <c r="A4061"/>
      <c r="B4061"/>
      <c r="C4061"/>
      <c r="D4061"/>
      <c r="E4061"/>
    </row>
    <row r="4062" spans="1:5" x14ac:dyDescent="0.2">
      <c r="A4062"/>
      <c r="B4062"/>
      <c r="C4062"/>
      <c r="D4062"/>
      <c r="E4062"/>
    </row>
    <row r="4063" spans="1:5" x14ac:dyDescent="0.2">
      <c r="A4063"/>
      <c r="B4063"/>
      <c r="C4063"/>
      <c r="D4063"/>
      <c r="E4063"/>
    </row>
    <row r="4064" spans="1:5" x14ac:dyDescent="0.2">
      <c r="A4064"/>
      <c r="B4064"/>
      <c r="C4064"/>
      <c r="D4064"/>
      <c r="E4064"/>
    </row>
    <row r="4065" spans="1:5" x14ac:dyDescent="0.2">
      <c r="A4065"/>
      <c r="B4065"/>
      <c r="C4065"/>
      <c r="D4065"/>
      <c r="E4065"/>
    </row>
    <row r="4066" spans="1:5" x14ac:dyDescent="0.2">
      <c r="A4066"/>
      <c r="B4066"/>
      <c r="C4066"/>
      <c r="D4066"/>
      <c r="E4066"/>
    </row>
    <row r="4067" spans="1:5" x14ac:dyDescent="0.2">
      <c r="A4067"/>
      <c r="B4067"/>
      <c r="C4067"/>
      <c r="D4067"/>
      <c r="E4067"/>
    </row>
    <row r="4068" spans="1:5" x14ac:dyDescent="0.2">
      <c r="A4068"/>
      <c r="B4068"/>
      <c r="C4068"/>
      <c r="D4068"/>
      <c r="E4068"/>
    </row>
    <row r="4069" spans="1:5" x14ac:dyDescent="0.2">
      <c r="A4069"/>
      <c r="B4069"/>
      <c r="C4069"/>
      <c r="D4069"/>
      <c r="E4069"/>
    </row>
    <row r="4070" spans="1:5" x14ac:dyDescent="0.2">
      <c r="A4070"/>
      <c r="B4070"/>
      <c r="C4070"/>
      <c r="D4070"/>
      <c r="E4070"/>
    </row>
    <row r="4071" spans="1:5" x14ac:dyDescent="0.2">
      <c r="A4071"/>
      <c r="B4071"/>
      <c r="C4071"/>
      <c r="D4071"/>
      <c r="E4071"/>
    </row>
    <row r="4072" spans="1:5" x14ac:dyDescent="0.2">
      <c r="A4072"/>
      <c r="B4072"/>
      <c r="C4072"/>
      <c r="D4072"/>
      <c r="E4072"/>
    </row>
    <row r="4073" spans="1:5" x14ac:dyDescent="0.2">
      <c r="A4073"/>
      <c r="B4073"/>
      <c r="C4073"/>
      <c r="D4073"/>
      <c r="E4073"/>
    </row>
    <row r="4074" spans="1:5" x14ac:dyDescent="0.2">
      <c r="A4074"/>
      <c r="B4074"/>
      <c r="C4074"/>
      <c r="D4074"/>
      <c r="E4074"/>
    </row>
    <row r="4075" spans="1:5" x14ac:dyDescent="0.2">
      <c r="A4075"/>
      <c r="B4075"/>
      <c r="C4075"/>
      <c r="D4075"/>
      <c r="E4075"/>
    </row>
    <row r="4076" spans="1:5" x14ac:dyDescent="0.2">
      <c r="A4076"/>
      <c r="B4076"/>
      <c r="C4076"/>
      <c r="D4076"/>
      <c r="E4076"/>
    </row>
    <row r="4077" spans="1:5" x14ac:dyDescent="0.2">
      <c r="A4077"/>
      <c r="B4077"/>
      <c r="C4077"/>
      <c r="D4077"/>
      <c r="E4077"/>
    </row>
    <row r="4078" spans="1:5" x14ac:dyDescent="0.2">
      <c r="A4078"/>
      <c r="B4078"/>
      <c r="C4078"/>
      <c r="D4078"/>
      <c r="E4078"/>
    </row>
    <row r="4079" spans="1:5" x14ac:dyDescent="0.2">
      <c r="A4079"/>
      <c r="B4079"/>
      <c r="C4079"/>
      <c r="D4079"/>
      <c r="E4079"/>
    </row>
    <row r="4080" spans="1:5" x14ac:dyDescent="0.2">
      <c r="A4080"/>
      <c r="B4080"/>
      <c r="C4080"/>
      <c r="D4080"/>
      <c r="E4080"/>
    </row>
    <row r="4081" spans="1:5" x14ac:dyDescent="0.2">
      <c r="A4081"/>
      <c r="B4081"/>
      <c r="C4081"/>
      <c r="D4081"/>
      <c r="E4081"/>
    </row>
    <row r="4082" spans="1:5" x14ac:dyDescent="0.2">
      <c r="A4082"/>
      <c r="B4082"/>
      <c r="C4082"/>
      <c r="D4082"/>
      <c r="E4082"/>
    </row>
    <row r="4083" spans="1:5" x14ac:dyDescent="0.2">
      <c r="A4083"/>
      <c r="B4083"/>
      <c r="C4083"/>
      <c r="D4083"/>
      <c r="E4083"/>
    </row>
    <row r="4084" spans="1:5" x14ac:dyDescent="0.2">
      <c r="A4084"/>
      <c r="B4084"/>
      <c r="C4084"/>
      <c r="D4084"/>
      <c r="E4084"/>
    </row>
    <row r="4085" spans="1:5" x14ac:dyDescent="0.2">
      <c r="A4085"/>
      <c r="B4085"/>
      <c r="C4085"/>
      <c r="D4085"/>
      <c r="E4085"/>
    </row>
    <row r="4086" spans="1:5" x14ac:dyDescent="0.2">
      <c r="A4086"/>
      <c r="B4086"/>
      <c r="C4086"/>
      <c r="D4086"/>
      <c r="E4086"/>
    </row>
    <row r="4087" spans="1:5" x14ac:dyDescent="0.2">
      <c r="A4087"/>
      <c r="B4087"/>
      <c r="C4087"/>
      <c r="D4087"/>
      <c r="E4087"/>
    </row>
    <row r="4088" spans="1:5" x14ac:dyDescent="0.2">
      <c r="A4088"/>
      <c r="B4088"/>
      <c r="C4088"/>
      <c r="D4088"/>
      <c r="E4088"/>
    </row>
    <row r="4089" spans="1:5" x14ac:dyDescent="0.2">
      <c r="A4089"/>
      <c r="B4089"/>
      <c r="C4089"/>
      <c r="D4089"/>
      <c r="E4089"/>
    </row>
    <row r="4090" spans="1:5" x14ac:dyDescent="0.2">
      <c r="A4090"/>
      <c r="B4090"/>
      <c r="C4090"/>
      <c r="D4090"/>
      <c r="E4090"/>
    </row>
    <row r="4091" spans="1:5" x14ac:dyDescent="0.2">
      <c r="A4091"/>
      <c r="B4091"/>
      <c r="C4091"/>
      <c r="D4091"/>
      <c r="E4091"/>
    </row>
    <row r="4092" spans="1:5" x14ac:dyDescent="0.2">
      <c r="A4092"/>
      <c r="B4092"/>
      <c r="C4092"/>
      <c r="D4092"/>
      <c r="E4092"/>
    </row>
    <row r="4093" spans="1:5" x14ac:dyDescent="0.2">
      <c r="A4093"/>
      <c r="B4093"/>
      <c r="C4093"/>
      <c r="D4093"/>
      <c r="E4093"/>
    </row>
    <row r="4094" spans="1:5" x14ac:dyDescent="0.2">
      <c r="A4094"/>
      <c r="B4094"/>
      <c r="C4094"/>
      <c r="D4094"/>
      <c r="E4094"/>
    </row>
    <row r="4095" spans="1:5" x14ac:dyDescent="0.2">
      <c r="A4095"/>
      <c r="B4095"/>
      <c r="C4095"/>
      <c r="D4095"/>
      <c r="E4095"/>
    </row>
    <row r="4096" spans="1:5" x14ac:dyDescent="0.2">
      <c r="A4096"/>
      <c r="B4096"/>
      <c r="C4096"/>
      <c r="D4096"/>
      <c r="E4096"/>
    </row>
    <row r="4097" spans="1:5" x14ac:dyDescent="0.2">
      <c r="A4097"/>
      <c r="B4097"/>
      <c r="C4097"/>
      <c r="D4097"/>
      <c r="E4097"/>
    </row>
    <row r="4098" spans="1:5" x14ac:dyDescent="0.2">
      <c r="A4098"/>
      <c r="B4098"/>
      <c r="C4098"/>
      <c r="D4098"/>
      <c r="E4098"/>
    </row>
    <row r="4099" spans="1:5" x14ac:dyDescent="0.2">
      <c r="A4099"/>
      <c r="B4099"/>
      <c r="C4099"/>
      <c r="D4099"/>
      <c r="E4099"/>
    </row>
    <row r="4100" spans="1:5" x14ac:dyDescent="0.2">
      <c r="A4100"/>
      <c r="B4100"/>
      <c r="C4100"/>
      <c r="D4100"/>
      <c r="E4100"/>
    </row>
    <row r="4101" spans="1:5" x14ac:dyDescent="0.2">
      <c r="A4101"/>
      <c r="B4101"/>
      <c r="C4101"/>
      <c r="D4101"/>
      <c r="E4101"/>
    </row>
    <row r="4102" spans="1:5" x14ac:dyDescent="0.2">
      <c r="A4102"/>
      <c r="B4102"/>
      <c r="C4102"/>
      <c r="D4102"/>
      <c r="E4102"/>
    </row>
    <row r="4103" spans="1:5" x14ac:dyDescent="0.2">
      <c r="A4103"/>
      <c r="B4103"/>
      <c r="C4103"/>
      <c r="D4103"/>
      <c r="E4103"/>
    </row>
    <row r="4104" spans="1:5" x14ac:dyDescent="0.2">
      <c r="A4104"/>
      <c r="B4104"/>
      <c r="C4104"/>
      <c r="D4104"/>
      <c r="E4104"/>
    </row>
    <row r="4105" spans="1:5" x14ac:dyDescent="0.2">
      <c r="A4105"/>
      <c r="B4105"/>
      <c r="C4105"/>
      <c r="D4105"/>
      <c r="E4105"/>
    </row>
    <row r="4106" spans="1:5" x14ac:dyDescent="0.2">
      <c r="A4106"/>
      <c r="B4106"/>
      <c r="C4106"/>
      <c r="D4106"/>
      <c r="E4106"/>
    </row>
    <row r="4107" spans="1:5" x14ac:dyDescent="0.2">
      <c r="A4107"/>
      <c r="B4107"/>
      <c r="C4107"/>
      <c r="D4107"/>
      <c r="E4107"/>
    </row>
    <row r="4108" spans="1:5" x14ac:dyDescent="0.2">
      <c r="A4108"/>
      <c r="B4108"/>
      <c r="C4108"/>
      <c r="D4108"/>
      <c r="E4108"/>
    </row>
    <row r="4109" spans="1:5" x14ac:dyDescent="0.2">
      <c r="A4109"/>
      <c r="B4109"/>
      <c r="C4109"/>
      <c r="D4109"/>
      <c r="E4109"/>
    </row>
    <row r="4110" spans="1:5" x14ac:dyDescent="0.2">
      <c r="A4110"/>
      <c r="B4110"/>
      <c r="C4110"/>
      <c r="D4110"/>
      <c r="E4110"/>
    </row>
    <row r="4111" spans="1:5" x14ac:dyDescent="0.2">
      <c r="A4111"/>
      <c r="B4111"/>
      <c r="C4111"/>
      <c r="D4111"/>
      <c r="E4111"/>
    </row>
    <row r="4112" spans="1:5" x14ac:dyDescent="0.2">
      <c r="A4112"/>
      <c r="B4112"/>
      <c r="C4112"/>
      <c r="D4112"/>
      <c r="E4112"/>
    </row>
    <row r="4113" spans="1:5" x14ac:dyDescent="0.2">
      <c r="A4113"/>
      <c r="B4113"/>
      <c r="C4113"/>
      <c r="D4113"/>
      <c r="E4113"/>
    </row>
    <row r="4114" spans="1:5" x14ac:dyDescent="0.2">
      <c r="A4114"/>
      <c r="B4114"/>
      <c r="C4114"/>
      <c r="D4114"/>
      <c r="E4114"/>
    </row>
    <row r="4115" spans="1:5" x14ac:dyDescent="0.2">
      <c r="A4115"/>
      <c r="B4115"/>
      <c r="C4115"/>
      <c r="D4115"/>
      <c r="E4115"/>
    </row>
    <row r="4116" spans="1:5" x14ac:dyDescent="0.2">
      <c r="A4116"/>
      <c r="B4116"/>
      <c r="C4116"/>
      <c r="D4116"/>
      <c r="E4116"/>
    </row>
    <row r="4117" spans="1:5" x14ac:dyDescent="0.2">
      <c r="A4117"/>
      <c r="B4117"/>
      <c r="C4117"/>
      <c r="D4117"/>
      <c r="E4117"/>
    </row>
    <row r="4118" spans="1:5" x14ac:dyDescent="0.2">
      <c r="A4118"/>
      <c r="B4118"/>
      <c r="C4118"/>
      <c r="D4118"/>
      <c r="E4118"/>
    </row>
    <row r="4119" spans="1:5" x14ac:dyDescent="0.2">
      <c r="A4119"/>
      <c r="B4119"/>
      <c r="C4119"/>
      <c r="D4119"/>
      <c r="E4119"/>
    </row>
    <row r="4120" spans="1:5" x14ac:dyDescent="0.2">
      <c r="A4120"/>
      <c r="B4120"/>
      <c r="C4120"/>
      <c r="D4120"/>
      <c r="E4120"/>
    </row>
    <row r="4121" spans="1:5" x14ac:dyDescent="0.2">
      <c r="A4121"/>
      <c r="B4121"/>
      <c r="C4121"/>
      <c r="D4121"/>
      <c r="E4121"/>
    </row>
    <row r="4122" spans="1:5" x14ac:dyDescent="0.2">
      <c r="A4122"/>
      <c r="B4122"/>
      <c r="C4122"/>
      <c r="D4122"/>
      <c r="E4122"/>
    </row>
    <row r="4123" spans="1:5" x14ac:dyDescent="0.2">
      <c r="A4123"/>
      <c r="B4123"/>
      <c r="C4123"/>
      <c r="D4123"/>
      <c r="E4123"/>
    </row>
    <row r="4124" spans="1:5" x14ac:dyDescent="0.2">
      <c r="A4124"/>
      <c r="B4124"/>
      <c r="C4124"/>
      <c r="D4124"/>
      <c r="E4124"/>
    </row>
    <row r="4125" spans="1:5" x14ac:dyDescent="0.2">
      <c r="A4125"/>
      <c r="B4125"/>
      <c r="C4125"/>
      <c r="D4125"/>
      <c r="E4125"/>
    </row>
    <row r="4126" spans="1:5" x14ac:dyDescent="0.2">
      <c r="A4126"/>
      <c r="B4126"/>
      <c r="C4126"/>
      <c r="D4126"/>
      <c r="E4126"/>
    </row>
    <row r="4127" spans="1:5" x14ac:dyDescent="0.2">
      <c r="A4127"/>
      <c r="B4127"/>
      <c r="C4127"/>
      <c r="D4127"/>
      <c r="E4127"/>
    </row>
    <row r="4128" spans="1:5" x14ac:dyDescent="0.2">
      <c r="A4128"/>
      <c r="B4128"/>
      <c r="C4128"/>
      <c r="D4128"/>
      <c r="E4128"/>
    </row>
    <row r="4129" spans="1:5" x14ac:dyDescent="0.2">
      <c r="A4129"/>
      <c r="B4129"/>
      <c r="C4129"/>
      <c r="D4129"/>
      <c r="E4129"/>
    </row>
    <row r="4130" spans="1:5" x14ac:dyDescent="0.2">
      <c r="A4130"/>
      <c r="B4130"/>
      <c r="C4130"/>
      <c r="D4130"/>
      <c r="E4130"/>
    </row>
    <row r="4131" spans="1:5" x14ac:dyDescent="0.2">
      <c r="A4131"/>
      <c r="B4131"/>
      <c r="C4131"/>
      <c r="D4131"/>
      <c r="E4131"/>
    </row>
    <row r="4132" spans="1:5" x14ac:dyDescent="0.2">
      <c r="A4132"/>
      <c r="B4132"/>
      <c r="C4132"/>
      <c r="D4132"/>
      <c r="E4132"/>
    </row>
    <row r="4133" spans="1:5" x14ac:dyDescent="0.2">
      <c r="A4133"/>
      <c r="B4133"/>
      <c r="C4133"/>
      <c r="D4133"/>
      <c r="E4133"/>
    </row>
    <row r="4134" spans="1:5" x14ac:dyDescent="0.2">
      <c r="A4134"/>
      <c r="B4134"/>
      <c r="C4134"/>
      <c r="D4134"/>
      <c r="E4134"/>
    </row>
    <row r="4135" spans="1:5" x14ac:dyDescent="0.2">
      <c r="A4135"/>
      <c r="B4135"/>
      <c r="C4135"/>
      <c r="D4135"/>
      <c r="E4135"/>
    </row>
    <row r="4136" spans="1:5" x14ac:dyDescent="0.2">
      <c r="A4136"/>
      <c r="B4136"/>
      <c r="C4136"/>
      <c r="D4136"/>
      <c r="E4136"/>
    </row>
    <row r="4137" spans="1:5" x14ac:dyDescent="0.2">
      <c r="A4137"/>
      <c r="B4137"/>
      <c r="C4137"/>
      <c r="D4137"/>
      <c r="E4137"/>
    </row>
    <row r="4138" spans="1:5" x14ac:dyDescent="0.2">
      <c r="A4138"/>
      <c r="B4138"/>
      <c r="C4138"/>
      <c r="D4138"/>
      <c r="E4138"/>
    </row>
    <row r="4139" spans="1:5" x14ac:dyDescent="0.2">
      <c r="A4139"/>
      <c r="B4139"/>
      <c r="C4139"/>
      <c r="D4139"/>
      <c r="E4139"/>
    </row>
    <row r="4140" spans="1:5" x14ac:dyDescent="0.2">
      <c r="A4140"/>
      <c r="B4140"/>
      <c r="C4140"/>
      <c r="D4140"/>
      <c r="E4140"/>
    </row>
    <row r="4141" spans="1:5" x14ac:dyDescent="0.2">
      <c r="A4141"/>
      <c r="B4141"/>
      <c r="C4141"/>
      <c r="D4141"/>
      <c r="E4141"/>
    </row>
    <row r="4142" spans="1:5" x14ac:dyDescent="0.2">
      <c r="A4142"/>
      <c r="B4142"/>
      <c r="C4142"/>
      <c r="D4142"/>
      <c r="E4142"/>
    </row>
    <row r="4143" spans="1:5" x14ac:dyDescent="0.2">
      <c r="A4143"/>
      <c r="B4143"/>
      <c r="C4143"/>
      <c r="D4143"/>
      <c r="E4143"/>
    </row>
    <row r="4144" spans="1:5" x14ac:dyDescent="0.2">
      <c r="A4144"/>
      <c r="B4144"/>
      <c r="C4144"/>
      <c r="D4144"/>
      <c r="E4144"/>
    </row>
    <row r="4145" spans="1:5" x14ac:dyDescent="0.2">
      <c r="A4145"/>
      <c r="B4145"/>
      <c r="C4145"/>
      <c r="D4145"/>
      <c r="E4145"/>
    </row>
    <row r="4146" spans="1:5" x14ac:dyDescent="0.2">
      <c r="A4146"/>
      <c r="B4146"/>
      <c r="C4146"/>
      <c r="D4146"/>
      <c r="E4146"/>
    </row>
    <row r="4147" spans="1:5" x14ac:dyDescent="0.2">
      <c r="A4147"/>
      <c r="B4147"/>
      <c r="C4147"/>
      <c r="D4147"/>
      <c r="E4147"/>
    </row>
    <row r="4148" spans="1:5" x14ac:dyDescent="0.2">
      <c r="A4148"/>
      <c r="B4148"/>
      <c r="C4148"/>
      <c r="D4148"/>
      <c r="E4148"/>
    </row>
    <row r="4149" spans="1:5" x14ac:dyDescent="0.2">
      <c r="A4149"/>
      <c r="B4149"/>
      <c r="C4149"/>
      <c r="D4149"/>
      <c r="E4149"/>
    </row>
    <row r="4150" spans="1:5" x14ac:dyDescent="0.2">
      <c r="A4150"/>
      <c r="B4150"/>
      <c r="C4150"/>
      <c r="D4150"/>
      <c r="E4150"/>
    </row>
    <row r="4151" spans="1:5" x14ac:dyDescent="0.2">
      <c r="A4151"/>
      <c r="B4151"/>
      <c r="C4151"/>
      <c r="D4151"/>
      <c r="E4151"/>
    </row>
    <row r="4152" spans="1:5" x14ac:dyDescent="0.2">
      <c r="A4152"/>
      <c r="B4152"/>
      <c r="C4152"/>
      <c r="D4152"/>
      <c r="E4152"/>
    </row>
    <row r="4153" spans="1:5" x14ac:dyDescent="0.2">
      <c r="A4153"/>
      <c r="B4153"/>
      <c r="C4153"/>
      <c r="D4153"/>
      <c r="E4153"/>
    </row>
    <row r="4154" spans="1:5" x14ac:dyDescent="0.2">
      <c r="A4154"/>
      <c r="B4154"/>
      <c r="C4154"/>
      <c r="D4154"/>
      <c r="E4154"/>
    </row>
    <row r="4155" spans="1:5" x14ac:dyDescent="0.2">
      <c r="A4155"/>
      <c r="B4155"/>
      <c r="C4155"/>
      <c r="D4155"/>
      <c r="E4155"/>
    </row>
    <row r="4156" spans="1:5" x14ac:dyDescent="0.2">
      <c r="A4156"/>
      <c r="B4156"/>
      <c r="C4156"/>
      <c r="D4156"/>
      <c r="E4156"/>
    </row>
    <row r="4157" spans="1:5" x14ac:dyDescent="0.2">
      <c r="A4157"/>
      <c r="B4157"/>
      <c r="C4157"/>
      <c r="D4157"/>
      <c r="E4157"/>
    </row>
    <row r="4158" spans="1:5" x14ac:dyDescent="0.2">
      <c r="A4158"/>
      <c r="B4158"/>
      <c r="C4158"/>
      <c r="D4158"/>
      <c r="E4158"/>
    </row>
    <row r="4159" spans="1:5" x14ac:dyDescent="0.2">
      <c r="A4159"/>
      <c r="B4159"/>
      <c r="C4159"/>
      <c r="D4159"/>
      <c r="E4159"/>
    </row>
    <row r="4160" spans="1:5" x14ac:dyDescent="0.2">
      <c r="A4160"/>
      <c r="B4160"/>
      <c r="C4160"/>
      <c r="D4160"/>
      <c r="E4160"/>
    </row>
    <row r="4161" spans="1:5" x14ac:dyDescent="0.2">
      <c r="A4161"/>
      <c r="B4161"/>
      <c r="C4161"/>
      <c r="D4161"/>
      <c r="E4161"/>
    </row>
    <row r="4162" spans="1:5" x14ac:dyDescent="0.2">
      <c r="A4162"/>
      <c r="B4162"/>
      <c r="C4162"/>
      <c r="D4162"/>
      <c r="E4162"/>
    </row>
    <row r="4163" spans="1:5" x14ac:dyDescent="0.2">
      <c r="A4163"/>
      <c r="B4163"/>
      <c r="C4163"/>
      <c r="D4163"/>
      <c r="E4163"/>
    </row>
    <row r="4164" spans="1:5" x14ac:dyDescent="0.2">
      <c r="A4164"/>
      <c r="B4164"/>
      <c r="C4164"/>
      <c r="D4164"/>
      <c r="E4164"/>
    </row>
    <row r="4165" spans="1:5" x14ac:dyDescent="0.2">
      <c r="A4165"/>
      <c r="B4165"/>
      <c r="C4165"/>
      <c r="D4165"/>
      <c r="E4165"/>
    </row>
    <row r="4166" spans="1:5" x14ac:dyDescent="0.2">
      <c r="A4166"/>
      <c r="B4166"/>
      <c r="C4166"/>
      <c r="D4166"/>
      <c r="E4166"/>
    </row>
    <row r="4167" spans="1:5" x14ac:dyDescent="0.2">
      <c r="A4167"/>
      <c r="B4167"/>
      <c r="C4167"/>
      <c r="D4167"/>
      <c r="E4167"/>
    </row>
    <row r="4168" spans="1:5" x14ac:dyDescent="0.2">
      <c r="A4168"/>
      <c r="B4168"/>
      <c r="C4168"/>
      <c r="D4168"/>
      <c r="E4168"/>
    </row>
    <row r="4169" spans="1:5" x14ac:dyDescent="0.2">
      <c r="A4169"/>
      <c r="B4169"/>
      <c r="C4169"/>
      <c r="D4169"/>
      <c r="E4169"/>
    </row>
    <row r="4170" spans="1:5" x14ac:dyDescent="0.2">
      <c r="A4170"/>
      <c r="B4170"/>
      <c r="C4170"/>
      <c r="D4170"/>
      <c r="E4170"/>
    </row>
    <row r="4171" spans="1:5" x14ac:dyDescent="0.2">
      <c r="A4171"/>
      <c r="B4171"/>
      <c r="C4171"/>
      <c r="D4171"/>
      <c r="E4171"/>
    </row>
    <row r="4172" spans="1:5" x14ac:dyDescent="0.2">
      <c r="A4172"/>
      <c r="B4172"/>
      <c r="C4172"/>
      <c r="D4172"/>
      <c r="E4172"/>
    </row>
    <row r="4173" spans="1:5" x14ac:dyDescent="0.2">
      <c r="A4173"/>
      <c r="B4173"/>
      <c r="C4173"/>
      <c r="D4173"/>
      <c r="E4173"/>
    </row>
    <row r="4174" spans="1:5" x14ac:dyDescent="0.2">
      <c r="A4174"/>
      <c r="B4174"/>
      <c r="C4174"/>
      <c r="D4174"/>
      <c r="E4174"/>
    </row>
    <row r="4175" spans="1:5" x14ac:dyDescent="0.2">
      <c r="A4175"/>
      <c r="B4175"/>
      <c r="C4175"/>
      <c r="D4175"/>
      <c r="E4175"/>
    </row>
    <row r="4176" spans="1:5" x14ac:dyDescent="0.2">
      <c r="A4176"/>
      <c r="B4176"/>
      <c r="C4176"/>
      <c r="D4176"/>
      <c r="E4176"/>
    </row>
    <row r="4177" spans="1:5" x14ac:dyDescent="0.2">
      <c r="A4177"/>
      <c r="B4177"/>
      <c r="C4177"/>
      <c r="D4177"/>
      <c r="E4177"/>
    </row>
    <row r="4178" spans="1:5" x14ac:dyDescent="0.2">
      <c r="A4178"/>
      <c r="B4178"/>
      <c r="C4178"/>
      <c r="D4178"/>
      <c r="E4178"/>
    </row>
    <row r="4179" spans="1:5" x14ac:dyDescent="0.2">
      <c r="A4179"/>
      <c r="B4179"/>
      <c r="C4179"/>
      <c r="D4179"/>
      <c r="E4179"/>
    </row>
    <row r="4180" spans="1:5" x14ac:dyDescent="0.2">
      <c r="A4180"/>
      <c r="B4180"/>
      <c r="C4180"/>
      <c r="D4180"/>
      <c r="E4180"/>
    </row>
    <row r="4181" spans="1:5" x14ac:dyDescent="0.2">
      <c r="A4181"/>
      <c r="B4181"/>
      <c r="C4181"/>
      <c r="D4181"/>
      <c r="E4181"/>
    </row>
    <row r="4182" spans="1:5" x14ac:dyDescent="0.2">
      <c r="A4182"/>
      <c r="B4182"/>
      <c r="C4182"/>
      <c r="D4182"/>
      <c r="E4182"/>
    </row>
    <row r="4183" spans="1:5" x14ac:dyDescent="0.2">
      <c r="A4183"/>
      <c r="B4183"/>
      <c r="C4183"/>
      <c r="D4183"/>
      <c r="E4183"/>
    </row>
    <row r="4184" spans="1:5" x14ac:dyDescent="0.2">
      <c r="A4184"/>
      <c r="B4184"/>
      <c r="C4184"/>
      <c r="D4184"/>
      <c r="E4184"/>
    </row>
    <row r="4185" spans="1:5" x14ac:dyDescent="0.2">
      <c r="A4185"/>
      <c r="B4185"/>
      <c r="C4185"/>
      <c r="D4185"/>
      <c r="E4185"/>
    </row>
    <row r="4186" spans="1:5" x14ac:dyDescent="0.2">
      <c r="A4186"/>
      <c r="B4186"/>
      <c r="C4186"/>
      <c r="D4186"/>
      <c r="E4186"/>
    </row>
    <row r="4187" spans="1:5" x14ac:dyDescent="0.2">
      <c r="A4187"/>
      <c r="B4187"/>
      <c r="C4187"/>
      <c r="D4187"/>
      <c r="E4187"/>
    </row>
    <row r="4188" spans="1:5" x14ac:dyDescent="0.2">
      <c r="A4188"/>
      <c r="B4188"/>
      <c r="C4188"/>
      <c r="D4188"/>
      <c r="E4188"/>
    </row>
    <row r="4189" spans="1:5" x14ac:dyDescent="0.2">
      <c r="A4189"/>
      <c r="B4189"/>
      <c r="C4189"/>
      <c r="D4189"/>
      <c r="E4189"/>
    </row>
    <row r="4190" spans="1:5" x14ac:dyDescent="0.2">
      <c r="A4190"/>
      <c r="B4190"/>
      <c r="C4190"/>
      <c r="D4190"/>
      <c r="E4190"/>
    </row>
    <row r="4191" spans="1:5" x14ac:dyDescent="0.2">
      <c r="A4191"/>
      <c r="B4191"/>
      <c r="C4191"/>
      <c r="D4191"/>
      <c r="E4191"/>
    </row>
    <row r="4192" spans="1:5" x14ac:dyDescent="0.2">
      <c r="A4192"/>
      <c r="B4192"/>
      <c r="C4192"/>
      <c r="D4192"/>
      <c r="E4192"/>
    </row>
    <row r="4193" spans="1:5" x14ac:dyDescent="0.2">
      <c r="A4193"/>
      <c r="B4193"/>
      <c r="C4193"/>
      <c r="D4193"/>
      <c r="E4193"/>
    </row>
    <row r="4194" spans="1:5" x14ac:dyDescent="0.2">
      <c r="A4194"/>
      <c r="B4194"/>
      <c r="C4194"/>
      <c r="D4194"/>
      <c r="E4194"/>
    </row>
    <row r="4195" spans="1:5" x14ac:dyDescent="0.2">
      <c r="A4195"/>
      <c r="B4195"/>
      <c r="C4195"/>
      <c r="D4195"/>
      <c r="E4195"/>
    </row>
    <row r="4196" spans="1:5" x14ac:dyDescent="0.2">
      <c r="A4196"/>
      <c r="B4196"/>
      <c r="C4196"/>
      <c r="D4196"/>
      <c r="E4196"/>
    </row>
    <row r="4197" spans="1:5" x14ac:dyDescent="0.2">
      <c r="A4197"/>
      <c r="B4197"/>
      <c r="C4197"/>
      <c r="D4197"/>
      <c r="E4197"/>
    </row>
    <row r="4198" spans="1:5" x14ac:dyDescent="0.2">
      <c r="A4198"/>
      <c r="B4198"/>
      <c r="C4198"/>
      <c r="D4198"/>
      <c r="E4198"/>
    </row>
    <row r="4199" spans="1:5" x14ac:dyDescent="0.2">
      <c r="A4199"/>
      <c r="B4199"/>
      <c r="C4199"/>
      <c r="D4199"/>
      <c r="E4199"/>
    </row>
    <row r="4200" spans="1:5" x14ac:dyDescent="0.2">
      <c r="A4200"/>
      <c r="B4200"/>
      <c r="C4200"/>
      <c r="D4200"/>
      <c r="E4200"/>
    </row>
    <row r="4201" spans="1:5" x14ac:dyDescent="0.2">
      <c r="A4201"/>
      <c r="B4201"/>
      <c r="C4201"/>
      <c r="D4201"/>
      <c r="E4201"/>
    </row>
    <row r="4202" spans="1:5" x14ac:dyDescent="0.2">
      <c r="A4202"/>
      <c r="B4202"/>
      <c r="C4202"/>
      <c r="D4202"/>
      <c r="E4202"/>
    </row>
    <row r="4203" spans="1:5" x14ac:dyDescent="0.2">
      <c r="A4203"/>
      <c r="B4203"/>
      <c r="C4203"/>
      <c r="D4203"/>
      <c r="E4203"/>
    </row>
    <row r="4204" spans="1:5" x14ac:dyDescent="0.2">
      <c r="A4204"/>
      <c r="B4204"/>
      <c r="C4204"/>
      <c r="D4204"/>
      <c r="E4204"/>
    </row>
    <row r="4205" spans="1:5" x14ac:dyDescent="0.2">
      <c r="A4205"/>
      <c r="B4205"/>
      <c r="C4205"/>
      <c r="D4205"/>
      <c r="E4205"/>
    </row>
    <row r="4206" spans="1:5" x14ac:dyDescent="0.2">
      <c r="A4206"/>
      <c r="B4206"/>
      <c r="C4206"/>
      <c r="D4206"/>
      <c r="E4206"/>
    </row>
    <row r="4207" spans="1:5" x14ac:dyDescent="0.2">
      <c r="A4207"/>
      <c r="B4207"/>
      <c r="C4207"/>
      <c r="D4207"/>
      <c r="E4207"/>
    </row>
    <row r="4208" spans="1:5" x14ac:dyDescent="0.2">
      <c r="A4208"/>
      <c r="B4208"/>
      <c r="C4208"/>
      <c r="D4208"/>
      <c r="E4208"/>
    </row>
    <row r="4209" spans="1:5" x14ac:dyDescent="0.2">
      <c r="A4209"/>
      <c r="B4209"/>
      <c r="C4209"/>
      <c r="D4209"/>
      <c r="E4209"/>
    </row>
    <row r="4210" spans="1:5" x14ac:dyDescent="0.2">
      <c r="A4210"/>
      <c r="B4210"/>
      <c r="C4210"/>
      <c r="D4210"/>
      <c r="E4210"/>
    </row>
    <row r="4211" spans="1:5" x14ac:dyDescent="0.2">
      <c r="A4211"/>
      <c r="B4211"/>
      <c r="C4211"/>
      <c r="D4211"/>
      <c r="E4211"/>
    </row>
    <row r="4212" spans="1:5" x14ac:dyDescent="0.2">
      <c r="A4212"/>
      <c r="B4212"/>
      <c r="C4212"/>
      <c r="D4212"/>
      <c r="E4212"/>
    </row>
    <row r="4213" spans="1:5" x14ac:dyDescent="0.2">
      <c r="A4213"/>
      <c r="B4213"/>
      <c r="C4213"/>
      <c r="D4213"/>
      <c r="E4213"/>
    </row>
    <row r="4214" spans="1:5" x14ac:dyDescent="0.2">
      <c r="A4214"/>
      <c r="B4214"/>
      <c r="C4214"/>
      <c r="D4214"/>
      <c r="E4214"/>
    </row>
    <row r="4215" spans="1:5" x14ac:dyDescent="0.2">
      <c r="A4215"/>
      <c r="B4215"/>
      <c r="C4215"/>
      <c r="D4215"/>
      <c r="E4215"/>
    </row>
    <row r="4216" spans="1:5" x14ac:dyDescent="0.2">
      <c r="A4216"/>
      <c r="B4216"/>
      <c r="C4216"/>
      <c r="D4216"/>
      <c r="E4216"/>
    </row>
    <row r="4217" spans="1:5" x14ac:dyDescent="0.2">
      <c r="A4217"/>
      <c r="B4217"/>
      <c r="C4217"/>
      <c r="D4217"/>
      <c r="E4217"/>
    </row>
    <row r="4218" spans="1:5" x14ac:dyDescent="0.2">
      <c r="A4218"/>
      <c r="B4218"/>
      <c r="C4218"/>
      <c r="D4218"/>
      <c r="E4218"/>
    </row>
    <row r="4219" spans="1:5" x14ac:dyDescent="0.2">
      <c r="A4219"/>
      <c r="B4219"/>
      <c r="C4219"/>
      <c r="D4219"/>
      <c r="E4219"/>
    </row>
    <row r="4220" spans="1:5" x14ac:dyDescent="0.2">
      <c r="A4220"/>
      <c r="B4220"/>
      <c r="C4220"/>
      <c r="D4220"/>
      <c r="E4220"/>
    </row>
    <row r="4221" spans="1:5" x14ac:dyDescent="0.2">
      <c r="A4221"/>
      <c r="B4221"/>
      <c r="C4221"/>
      <c r="D4221"/>
      <c r="E4221"/>
    </row>
    <row r="4222" spans="1:5" x14ac:dyDescent="0.2">
      <c r="A4222"/>
      <c r="B4222"/>
      <c r="C4222"/>
      <c r="D4222"/>
      <c r="E4222"/>
    </row>
    <row r="4223" spans="1:5" x14ac:dyDescent="0.2">
      <c r="A4223"/>
      <c r="B4223"/>
      <c r="C4223"/>
      <c r="D4223"/>
      <c r="E4223"/>
    </row>
    <row r="4224" spans="1:5" x14ac:dyDescent="0.2">
      <c r="A4224"/>
      <c r="B4224"/>
      <c r="C4224"/>
      <c r="D4224"/>
      <c r="E4224"/>
    </row>
    <row r="4225" spans="1:5" x14ac:dyDescent="0.2">
      <c r="A4225"/>
      <c r="B4225"/>
      <c r="C4225"/>
      <c r="D4225"/>
      <c r="E4225"/>
    </row>
    <row r="4226" spans="1:5" x14ac:dyDescent="0.2">
      <c r="A4226"/>
      <c r="B4226"/>
      <c r="C4226"/>
      <c r="D4226"/>
      <c r="E4226"/>
    </row>
    <row r="4227" spans="1:5" x14ac:dyDescent="0.2">
      <c r="A4227"/>
      <c r="B4227"/>
      <c r="C4227"/>
      <c r="D4227"/>
      <c r="E4227"/>
    </row>
    <row r="4228" spans="1:5" x14ac:dyDescent="0.2">
      <c r="A4228"/>
      <c r="B4228"/>
      <c r="C4228"/>
      <c r="D4228"/>
      <c r="E4228"/>
    </row>
    <row r="4229" spans="1:5" x14ac:dyDescent="0.2">
      <c r="A4229"/>
      <c r="B4229"/>
      <c r="C4229"/>
      <c r="D4229"/>
      <c r="E4229"/>
    </row>
    <row r="4230" spans="1:5" x14ac:dyDescent="0.2">
      <c r="A4230"/>
      <c r="B4230"/>
      <c r="C4230"/>
      <c r="D4230"/>
      <c r="E4230"/>
    </row>
    <row r="4231" spans="1:5" x14ac:dyDescent="0.2">
      <c r="A4231"/>
      <c r="B4231"/>
      <c r="C4231"/>
      <c r="D4231"/>
      <c r="E4231"/>
    </row>
    <row r="4232" spans="1:5" x14ac:dyDescent="0.2">
      <c r="A4232"/>
      <c r="B4232"/>
      <c r="C4232"/>
      <c r="D4232"/>
      <c r="E4232"/>
    </row>
    <row r="4233" spans="1:5" x14ac:dyDescent="0.2">
      <c r="A4233"/>
      <c r="B4233"/>
      <c r="C4233"/>
      <c r="D4233"/>
      <c r="E4233"/>
    </row>
    <row r="4234" spans="1:5" x14ac:dyDescent="0.2">
      <c r="A4234"/>
      <c r="B4234"/>
      <c r="C4234"/>
      <c r="D4234"/>
      <c r="E4234"/>
    </row>
    <row r="4235" spans="1:5" x14ac:dyDescent="0.2">
      <c r="A4235"/>
      <c r="B4235"/>
      <c r="C4235"/>
      <c r="D4235"/>
      <c r="E4235"/>
    </row>
    <row r="4236" spans="1:5" x14ac:dyDescent="0.2">
      <c r="A4236"/>
      <c r="B4236"/>
      <c r="C4236"/>
      <c r="D4236"/>
      <c r="E4236"/>
    </row>
    <row r="4237" spans="1:5" x14ac:dyDescent="0.2">
      <c r="A4237"/>
      <c r="B4237"/>
      <c r="C4237"/>
      <c r="D4237"/>
      <c r="E4237"/>
    </row>
    <row r="4238" spans="1:5" x14ac:dyDescent="0.2">
      <c r="A4238"/>
      <c r="B4238"/>
      <c r="C4238"/>
      <c r="D4238"/>
      <c r="E4238"/>
    </row>
    <row r="4239" spans="1:5" x14ac:dyDescent="0.2">
      <c r="A4239"/>
      <c r="B4239"/>
      <c r="C4239"/>
      <c r="D4239"/>
      <c r="E4239"/>
    </row>
    <row r="4240" spans="1:5" x14ac:dyDescent="0.2">
      <c r="A4240"/>
      <c r="B4240"/>
      <c r="C4240"/>
      <c r="D4240"/>
      <c r="E4240"/>
    </row>
    <row r="4241" spans="1:5" x14ac:dyDescent="0.2">
      <c r="A4241"/>
      <c r="B4241"/>
      <c r="C4241"/>
      <c r="D4241"/>
      <c r="E4241"/>
    </row>
    <row r="4242" spans="1:5" x14ac:dyDescent="0.2">
      <c r="A4242"/>
      <c r="B4242"/>
      <c r="C4242"/>
      <c r="D4242"/>
      <c r="E4242"/>
    </row>
    <row r="4243" spans="1:5" x14ac:dyDescent="0.2">
      <c r="A4243"/>
      <c r="B4243"/>
      <c r="C4243"/>
      <c r="D4243"/>
      <c r="E4243"/>
    </row>
    <row r="4244" spans="1:5" x14ac:dyDescent="0.2">
      <c r="A4244"/>
      <c r="B4244"/>
      <c r="C4244"/>
      <c r="D4244"/>
      <c r="E4244"/>
    </row>
    <row r="4245" spans="1:5" x14ac:dyDescent="0.2">
      <c r="A4245"/>
      <c r="B4245"/>
      <c r="C4245"/>
      <c r="D4245"/>
      <c r="E4245"/>
    </row>
    <row r="4246" spans="1:5" x14ac:dyDescent="0.2">
      <c r="A4246"/>
      <c r="B4246"/>
      <c r="C4246"/>
      <c r="D4246"/>
      <c r="E4246"/>
    </row>
    <row r="4247" spans="1:5" x14ac:dyDescent="0.2">
      <c r="A4247"/>
      <c r="B4247"/>
      <c r="C4247"/>
      <c r="D4247"/>
      <c r="E4247"/>
    </row>
    <row r="4248" spans="1:5" x14ac:dyDescent="0.2">
      <c r="A4248"/>
      <c r="B4248"/>
      <c r="C4248"/>
      <c r="D4248"/>
      <c r="E4248"/>
    </row>
    <row r="4249" spans="1:5" x14ac:dyDescent="0.2">
      <c r="A4249"/>
      <c r="B4249"/>
      <c r="C4249"/>
      <c r="D4249"/>
      <c r="E4249"/>
    </row>
    <row r="4250" spans="1:5" x14ac:dyDescent="0.2">
      <c r="A4250"/>
      <c r="B4250"/>
      <c r="C4250"/>
      <c r="D4250"/>
      <c r="E4250"/>
    </row>
    <row r="4251" spans="1:5" x14ac:dyDescent="0.2">
      <c r="A4251"/>
      <c r="B4251"/>
      <c r="C4251"/>
      <c r="D4251"/>
      <c r="E4251"/>
    </row>
    <row r="4252" spans="1:5" x14ac:dyDescent="0.2">
      <c r="A4252"/>
      <c r="B4252"/>
      <c r="C4252"/>
      <c r="D4252"/>
      <c r="E4252"/>
    </row>
    <row r="4253" spans="1:5" x14ac:dyDescent="0.2">
      <c r="A4253"/>
      <c r="B4253"/>
      <c r="C4253"/>
      <c r="D4253"/>
      <c r="E4253"/>
    </row>
    <row r="4254" spans="1:5" x14ac:dyDescent="0.2">
      <c r="A4254"/>
      <c r="B4254"/>
      <c r="C4254"/>
      <c r="D4254"/>
      <c r="E4254"/>
    </row>
    <row r="4255" spans="1:5" x14ac:dyDescent="0.2">
      <c r="A4255"/>
      <c r="B4255"/>
      <c r="C4255"/>
      <c r="D4255"/>
      <c r="E4255"/>
    </row>
    <row r="4256" spans="1:5" x14ac:dyDescent="0.2">
      <c r="A4256"/>
      <c r="B4256"/>
      <c r="C4256"/>
      <c r="D4256"/>
      <c r="E4256"/>
    </row>
    <row r="4257" spans="1:5" x14ac:dyDescent="0.2">
      <c r="A4257"/>
      <c r="B4257"/>
      <c r="C4257"/>
      <c r="D4257"/>
      <c r="E4257"/>
    </row>
    <row r="4258" spans="1:5" x14ac:dyDescent="0.2">
      <c r="A4258"/>
      <c r="B4258"/>
      <c r="C4258"/>
      <c r="D4258"/>
      <c r="E4258"/>
    </row>
    <row r="4259" spans="1:5" x14ac:dyDescent="0.2">
      <c r="A4259"/>
      <c r="B4259"/>
      <c r="C4259"/>
      <c r="D4259"/>
      <c r="E4259"/>
    </row>
    <row r="4260" spans="1:5" x14ac:dyDescent="0.2">
      <c r="A4260"/>
      <c r="B4260"/>
      <c r="C4260"/>
      <c r="D4260"/>
      <c r="E4260"/>
    </row>
    <row r="4261" spans="1:5" x14ac:dyDescent="0.2">
      <c r="A4261"/>
      <c r="B4261"/>
      <c r="C4261"/>
      <c r="D4261"/>
      <c r="E4261"/>
    </row>
    <row r="4262" spans="1:5" x14ac:dyDescent="0.2">
      <c r="A4262"/>
      <c r="B4262"/>
      <c r="C4262"/>
      <c r="D4262"/>
      <c r="E4262"/>
    </row>
    <row r="4263" spans="1:5" x14ac:dyDescent="0.2">
      <c r="A4263"/>
      <c r="B4263"/>
      <c r="C4263"/>
      <c r="D4263"/>
      <c r="E4263"/>
    </row>
    <row r="4264" spans="1:5" x14ac:dyDescent="0.2">
      <c r="A4264"/>
      <c r="B4264"/>
      <c r="C4264"/>
      <c r="D4264"/>
      <c r="E4264"/>
    </row>
    <row r="4265" spans="1:5" x14ac:dyDescent="0.2">
      <c r="A4265"/>
      <c r="B4265"/>
      <c r="C4265"/>
      <c r="D4265"/>
      <c r="E4265"/>
    </row>
    <row r="4266" spans="1:5" x14ac:dyDescent="0.2">
      <c r="A4266"/>
      <c r="B4266"/>
      <c r="C4266"/>
      <c r="D4266"/>
      <c r="E4266"/>
    </row>
    <row r="4267" spans="1:5" x14ac:dyDescent="0.2">
      <c r="A4267"/>
      <c r="B4267"/>
      <c r="C4267"/>
      <c r="D4267"/>
      <c r="E4267"/>
    </row>
    <row r="4268" spans="1:5" x14ac:dyDescent="0.2">
      <c r="A4268"/>
      <c r="B4268"/>
      <c r="C4268"/>
      <c r="D4268"/>
      <c r="E4268"/>
    </row>
    <row r="4269" spans="1:5" x14ac:dyDescent="0.2">
      <c r="A4269"/>
      <c r="B4269"/>
      <c r="C4269"/>
      <c r="D4269"/>
      <c r="E4269"/>
    </row>
    <row r="4270" spans="1:5" x14ac:dyDescent="0.2">
      <c r="A4270"/>
      <c r="B4270"/>
      <c r="C4270"/>
      <c r="D4270"/>
      <c r="E4270"/>
    </row>
    <row r="4271" spans="1:5" x14ac:dyDescent="0.2">
      <c r="A4271"/>
      <c r="B4271"/>
      <c r="C4271"/>
      <c r="D4271"/>
      <c r="E4271"/>
    </row>
    <row r="4272" spans="1:5" x14ac:dyDescent="0.2">
      <c r="A4272"/>
      <c r="B4272"/>
      <c r="C4272"/>
      <c r="D4272"/>
      <c r="E4272"/>
    </row>
    <row r="4273" spans="1:5" x14ac:dyDescent="0.2">
      <c r="A4273"/>
      <c r="B4273"/>
      <c r="C4273"/>
      <c r="D4273"/>
      <c r="E4273"/>
    </row>
    <row r="4274" spans="1:5" x14ac:dyDescent="0.2">
      <c r="A4274"/>
      <c r="B4274"/>
      <c r="C4274"/>
      <c r="D4274"/>
      <c r="E4274"/>
    </row>
    <row r="4275" spans="1:5" x14ac:dyDescent="0.2">
      <c r="A4275"/>
      <c r="B4275"/>
      <c r="C4275"/>
      <c r="D4275"/>
      <c r="E4275"/>
    </row>
    <row r="4276" spans="1:5" x14ac:dyDescent="0.2">
      <c r="A4276"/>
      <c r="B4276"/>
      <c r="C4276"/>
      <c r="D4276"/>
      <c r="E4276"/>
    </row>
    <row r="4277" spans="1:5" x14ac:dyDescent="0.2">
      <c r="A4277"/>
      <c r="B4277"/>
      <c r="C4277"/>
      <c r="D4277"/>
      <c r="E4277"/>
    </row>
    <row r="4278" spans="1:5" x14ac:dyDescent="0.2">
      <c r="A4278"/>
      <c r="B4278"/>
      <c r="C4278"/>
      <c r="D4278"/>
      <c r="E4278"/>
    </row>
    <row r="4279" spans="1:5" x14ac:dyDescent="0.2">
      <c r="A4279"/>
      <c r="B4279"/>
      <c r="C4279"/>
      <c r="D4279"/>
      <c r="E4279"/>
    </row>
    <row r="4280" spans="1:5" x14ac:dyDescent="0.2">
      <c r="A4280"/>
      <c r="B4280"/>
      <c r="C4280"/>
      <c r="D4280"/>
      <c r="E4280"/>
    </row>
    <row r="4281" spans="1:5" x14ac:dyDescent="0.2">
      <c r="A4281"/>
      <c r="B4281"/>
      <c r="C4281"/>
      <c r="D4281"/>
      <c r="E4281"/>
    </row>
    <row r="4282" spans="1:5" x14ac:dyDescent="0.2">
      <c r="A4282"/>
      <c r="B4282"/>
      <c r="C4282"/>
      <c r="D4282"/>
      <c r="E4282"/>
    </row>
    <row r="4283" spans="1:5" x14ac:dyDescent="0.2">
      <c r="A4283"/>
      <c r="B4283"/>
      <c r="C4283"/>
      <c r="D4283"/>
      <c r="E4283"/>
    </row>
    <row r="4284" spans="1:5" x14ac:dyDescent="0.2">
      <c r="A4284"/>
      <c r="B4284"/>
      <c r="C4284"/>
      <c r="D4284"/>
      <c r="E4284"/>
    </row>
    <row r="4285" spans="1:5" x14ac:dyDescent="0.2">
      <c r="A4285"/>
      <c r="B4285"/>
      <c r="C4285"/>
      <c r="D4285"/>
      <c r="E4285"/>
    </row>
    <row r="4286" spans="1:5" x14ac:dyDescent="0.2">
      <c r="A4286"/>
      <c r="B4286"/>
      <c r="C4286"/>
      <c r="D4286"/>
      <c r="E4286"/>
    </row>
    <row r="4287" spans="1:5" x14ac:dyDescent="0.2">
      <c r="A4287"/>
      <c r="B4287"/>
      <c r="C4287"/>
      <c r="D4287"/>
      <c r="E4287"/>
    </row>
    <row r="4288" spans="1:5" x14ac:dyDescent="0.2">
      <c r="A4288"/>
      <c r="B4288"/>
      <c r="C4288"/>
      <c r="D4288"/>
      <c r="E4288"/>
    </row>
    <row r="4289" spans="1:5" x14ac:dyDescent="0.2">
      <c r="A4289"/>
      <c r="B4289"/>
      <c r="C4289"/>
      <c r="D4289"/>
      <c r="E4289"/>
    </row>
    <row r="4290" spans="1:5" x14ac:dyDescent="0.2">
      <c r="A4290"/>
      <c r="B4290"/>
      <c r="C4290"/>
      <c r="D4290"/>
      <c r="E4290"/>
    </row>
    <row r="4291" spans="1:5" x14ac:dyDescent="0.2">
      <c r="A4291"/>
      <c r="B4291"/>
      <c r="C4291"/>
      <c r="D4291"/>
      <c r="E4291"/>
    </row>
    <row r="4292" spans="1:5" x14ac:dyDescent="0.2">
      <c r="A4292"/>
      <c r="B4292"/>
      <c r="C4292"/>
      <c r="D4292"/>
      <c r="E4292"/>
    </row>
    <row r="4293" spans="1:5" x14ac:dyDescent="0.2">
      <c r="A4293"/>
      <c r="B4293"/>
      <c r="C4293"/>
      <c r="D4293"/>
      <c r="E4293"/>
    </row>
    <row r="4294" spans="1:5" x14ac:dyDescent="0.2">
      <c r="A4294"/>
      <c r="B4294"/>
      <c r="C4294"/>
      <c r="D4294"/>
      <c r="E4294"/>
    </row>
    <row r="4295" spans="1:5" x14ac:dyDescent="0.2">
      <c r="A4295"/>
      <c r="B4295"/>
      <c r="C4295"/>
      <c r="D4295"/>
      <c r="E4295"/>
    </row>
    <row r="4296" spans="1:5" x14ac:dyDescent="0.2">
      <c r="A4296"/>
      <c r="B4296"/>
      <c r="C4296"/>
      <c r="D4296"/>
      <c r="E4296"/>
    </row>
    <row r="4297" spans="1:5" x14ac:dyDescent="0.2">
      <c r="A4297"/>
      <c r="B4297"/>
      <c r="C4297"/>
      <c r="D4297"/>
      <c r="E4297"/>
    </row>
    <row r="4298" spans="1:5" x14ac:dyDescent="0.2">
      <c r="A4298"/>
      <c r="B4298"/>
      <c r="C4298"/>
      <c r="D4298"/>
      <c r="E4298"/>
    </row>
    <row r="4299" spans="1:5" x14ac:dyDescent="0.2">
      <c r="A4299"/>
      <c r="B4299"/>
      <c r="C4299"/>
      <c r="D4299"/>
      <c r="E4299"/>
    </row>
    <row r="4300" spans="1:5" x14ac:dyDescent="0.2">
      <c r="A4300"/>
      <c r="B4300"/>
      <c r="C4300"/>
      <c r="D4300"/>
      <c r="E4300"/>
    </row>
    <row r="4301" spans="1:5" x14ac:dyDescent="0.2">
      <c r="A4301"/>
      <c r="B4301"/>
      <c r="C4301"/>
      <c r="D4301"/>
      <c r="E4301"/>
    </row>
    <row r="4302" spans="1:5" x14ac:dyDescent="0.2">
      <c r="A4302"/>
      <c r="B4302"/>
      <c r="C4302"/>
      <c r="D4302"/>
      <c r="E4302"/>
    </row>
    <row r="4303" spans="1:5" x14ac:dyDescent="0.2">
      <c r="A4303"/>
      <c r="B4303"/>
      <c r="C4303"/>
      <c r="D4303"/>
      <c r="E4303"/>
    </row>
    <row r="4304" spans="1:5" x14ac:dyDescent="0.2">
      <c r="A4304"/>
      <c r="B4304"/>
      <c r="C4304"/>
      <c r="D4304"/>
      <c r="E4304"/>
    </row>
    <row r="4305" spans="1:5" x14ac:dyDescent="0.2">
      <c r="A4305"/>
      <c r="B4305"/>
      <c r="C4305"/>
      <c r="D4305"/>
      <c r="E4305"/>
    </row>
    <row r="4306" spans="1:5" x14ac:dyDescent="0.2">
      <c r="A4306"/>
      <c r="B4306"/>
      <c r="C4306"/>
      <c r="D4306"/>
      <c r="E4306"/>
    </row>
    <row r="4307" spans="1:5" x14ac:dyDescent="0.2">
      <c r="A4307"/>
      <c r="B4307"/>
      <c r="C4307"/>
      <c r="D4307"/>
      <c r="E4307"/>
    </row>
    <row r="4308" spans="1:5" x14ac:dyDescent="0.2">
      <c r="A4308"/>
      <c r="B4308"/>
      <c r="C4308"/>
      <c r="D4308"/>
      <c r="E4308"/>
    </row>
    <row r="4309" spans="1:5" x14ac:dyDescent="0.2">
      <c r="A4309"/>
      <c r="B4309"/>
      <c r="C4309"/>
      <c r="D4309"/>
      <c r="E4309"/>
    </row>
    <row r="4310" spans="1:5" x14ac:dyDescent="0.2">
      <c r="A4310"/>
      <c r="B4310"/>
      <c r="C4310"/>
      <c r="D4310"/>
      <c r="E4310"/>
    </row>
    <row r="4311" spans="1:5" x14ac:dyDescent="0.2">
      <c r="A4311"/>
      <c r="B4311"/>
      <c r="C4311"/>
      <c r="D4311"/>
      <c r="E4311"/>
    </row>
    <row r="4312" spans="1:5" x14ac:dyDescent="0.2">
      <c r="A4312"/>
      <c r="B4312"/>
      <c r="C4312"/>
      <c r="D4312"/>
      <c r="E4312"/>
    </row>
    <row r="4313" spans="1:5" x14ac:dyDescent="0.2">
      <c r="A4313"/>
      <c r="B4313"/>
      <c r="C4313"/>
      <c r="D4313"/>
      <c r="E4313"/>
    </row>
    <row r="4314" spans="1:5" x14ac:dyDescent="0.2">
      <c r="A4314"/>
      <c r="B4314"/>
      <c r="C4314"/>
      <c r="D4314"/>
      <c r="E4314"/>
    </row>
    <row r="4315" spans="1:5" x14ac:dyDescent="0.2">
      <c r="A4315"/>
      <c r="B4315"/>
      <c r="C4315"/>
      <c r="D4315"/>
      <c r="E4315"/>
    </row>
    <row r="4316" spans="1:5" x14ac:dyDescent="0.2">
      <c r="A4316"/>
      <c r="B4316"/>
      <c r="C4316"/>
      <c r="D4316"/>
      <c r="E4316"/>
    </row>
    <row r="4317" spans="1:5" x14ac:dyDescent="0.2">
      <c r="A4317"/>
      <c r="B4317"/>
      <c r="C4317"/>
      <c r="D4317"/>
      <c r="E4317"/>
    </row>
    <row r="4318" spans="1:5" x14ac:dyDescent="0.2">
      <c r="A4318"/>
      <c r="B4318"/>
      <c r="C4318"/>
      <c r="D4318"/>
      <c r="E4318"/>
    </row>
    <row r="4319" spans="1:5" x14ac:dyDescent="0.2">
      <c r="A4319"/>
      <c r="B4319"/>
      <c r="C4319"/>
      <c r="D4319"/>
      <c r="E4319"/>
    </row>
    <row r="4320" spans="1:5" x14ac:dyDescent="0.2">
      <c r="A4320"/>
      <c r="B4320"/>
      <c r="C4320"/>
      <c r="D4320"/>
      <c r="E4320"/>
    </row>
    <row r="4321" spans="1:5" x14ac:dyDescent="0.2">
      <c r="A4321"/>
      <c r="B4321"/>
      <c r="C4321"/>
      <c r="D4321"/>
      <c r="E4321"/>
    </row>
    <row r="4322" spans="1:5" x14ac:dyDescent="0.2">
      <c r="A4322"/>
      <c r="B4322"/>
      <c r="C4322"/>
      <c r="D4322"/>
      <c r="E4322"/>
    </row>
    <row r="4323" spans="1:5" x14ac:dyDescent="0.2">
      <c r="A4323"/>
      <c r="B4323"/>
      <c r="C4323"/>
      <c r="D4323"/>
      <c r="E4323"/>
    </row>
    <row r="4324" spans="1:5" x14ac:dyDescent="0.2">
      <c r="A4324"/>
      <c r="B4324"/>
      <c r="C4324"/>
      <c r="D4324"/>
      <c r="E4324"/>
    </row>
    <row r="4325" spans="1:5" x14ac:dyDescent="0.2">
      <c r="A4325"/>
      <c r="B4325"/>
      <c r="C4325"/>
      <c r="D4325"/>
      <c r="E4325"/>
    </row>
    <row r="4326" spans="1:5" x14ac:dyDescent="0.2">
      <c r="A4326"/>
      <c r="B4326"/>
      <c r="C4326"/>
      <c r="D4326"/>
      <c r="E4326"/>
    </row>
    <row r="4327" spans="1:5" x14ac:dyDescent="0.2">
      <c r="A4327"/>
      <c r="B4327"/>
      <c r="C4327"/>
      <c r="D4327"/>
      <c r="E4327"/>
    </row>
    <row r="4328" spans="1:5" x14ac:dyDescent="0.2">
      <c r="A4328"/>
      <c r="B4328"/>
      <c r="C4328"/>
      <c r="D4328"/>
      <c r="E4328"/>
    </row>
    <row r="4329" spans="1:5" x14ac:dyDescent="0.2">
      <c r="A4329"/>
      <c r="B4329"/>
      <c r="C4329"/>
      <c r="D4329"/>
      <c r="E4329"/>
    </row>
    <row r="4330" spans="1:5" x14ac:dyDescent="0.2">
      <c r="A4330"/>
      <c r="B4330"/>
      <c r="C4330"/>
      <c r="D4330"/>
      <c r="E4330"/>
    </row>
    <row r="4331" spans="1:5" x14ac:dyDescent="0.2">
      <c r="A4331"/>
      <c r="B4331"/>
      <c r="C4331"/>
      <c r="D4331"/>
      <c r="E4331"/>
    </row>
    <row r="4332" spans="1:5" x14ac:dyDescent="0.2">
      <c r="A4332"/>
      <c r="B4332"/>
      <c r="C4332"/>
      <c r="D4332"/>
      <c r="E4332"/>
    </row>
    <row r="4333" spans="1:5" x14ac:dyDescent="0.2">
      <c r="A4333"/>
      <c r="B4333"/>
      <c r="C4333"/>
      <c r="D4333"/>
      <c r="E4333"/>
    </row>
    <row r="4334" spans="1:5" x14ac:dyDescent="0.2">
      <c r="A4334"/>
      <c r="B4334"/>
      <c r="C4334"/>
      <c r="D4334"/>
      <c r="E4334"/>
    </row>
    <row r="4335" spans="1:5" x14ac:dyDescent="0.2">
      <c r="A4335"/>
      <c r="B4335"/>
      <c r="C4335"/>
      <c r="D4335"/>
      <c r="E4335"/>
    </row>
    <row r="4336" spans="1:5" x14ac:dyDescent="0.2">
      <c r="A4336"/>
      <c r="B4336"/>
      <c r="C4336"/>
      <c r="D4336"/>
      <c r="E4336"/>
    </row>
    <row r="4337" spans="1:5" x14ac:dyDescent="0.2">
      <c r="A4337"/>
      <c r="B4337"/>
      <c r="C4337"/>
      <c r="D4337"/>
      <c r="E4337"/>
    </row>
    <row r="4338" spans="1:5" x14ac:dyDescent="0.2">
      <c r="A4338"/>
      <c r="B4338"/>
      <c r="C4338"/>
      <c r="D4338"/>
      <c r="E4338"/>
    </row>
    <row r="4339" spans="1:5" x14ac:dyDescent="0.2">
      <c r="A4339"/>
      <c r="B4339"/>
      <c r="C4339"/>
      <c r="D4339"/>
      <c r="E4339"/>
    </row>
    <row r="4340" spans="1:5" x14ac:dyDescent="0.2">
      <c r="A4340"/>
      <c r="B4340"/>
      <c r="C4340"/>
      <c r="D4340"/>
      <c r="E4340"/>
    </row>
    <row r="4341" spans="1:5" x14ac:dyDescent="0.2">
      <c r="A4341"/>
      <c r="B4341"/>
      <c r="C4341"/>
      <c r="D4341"/>
      <c r="E4341"/>
    </row>
    <row r="4342" spans="1:5" x14ac:dyDescent="0.2">
      <c r="A4342"/>
      <c r="B4342"/>
      <c r="C4342"/>
      <c r="D4342"/>
      <c r="E4342"/>
    </row>
    <row r="4343" spans="1:5" x14ac:dyDescent="0.2">
      <c r="A4343"/>
      <c r="B4343"/>
      <c r="C4343"/>
      <c r="D4343"/>
      <c r="E4343"/>
    </row>
    <row r="4344" spans="1:5" x14ac:dyDescent="0.2">
      <c r="A4344"/>
      <c r="B4344"/>
      <c r="C4344"/>
      <c r="D4344"/>
      <c r="E4344"/>
    </row>
    <row r="4345" spans="1:5" x14ac:dyDescent="0.2">
      <c r="A4345"/>
      <c r="B4345"/>
      <c r="C4345"/>
      <c r="D4345"/>
      <c r="E4345"/>
    </row>
    <row r="4346" spans="1:5" x14ac:dyDescent="0.2">
      <c r="A4346"/>
      <c r="B4346"/>
      <c r="C4346"/>
      <c r="D4346"/>
      <c r="E4346"/>
    </row>
    <row r="4347" spans="1:5" x14ac:dyDescent="0.2">
      <c r="A4347"/>
      <c r="B4347"/>
      <c r="C4347"/>
      <c r="D4347"/>
      <c r="E4347"/>
    </row>
    <row r="4348" spans="1:5" x14ac:dyDescent="0.2">
      <c r="A4348"/>
      <c r="B4348"/>
      <c r="C4348"/>
      <c r="D4348"/>
      <c r="E4348"/>
    </row>
    <row r="4349" spans="1:5" x14ac:dyDescent="0.2">
      <c r="A4349"/>
      <c r="B4349"/>
      <c r="C4349"/>
      <c r="D4349"/>
      <c r="E4349"/>
    </row>
    <row r="4350" spans="1:5" x14ac:dyDescent="0.2">
      <c r="A4350"/>
      <c r="B4350"/>
      <c r="C4350"/>
      <c r="D4350"/>
      <c r="E4350"/>
    </row>
    <row r="4351" spans="1:5" x14ac:dyDescent="0.2">
      <c r="A4351"/>
      <c r="B4351"/>
      <c r="C4351"/>
      <c r="D4351"/>
      <c r="E4351"/>
    </row>
    <row r="4352" spans="1:5" x14ac:dyDescent="0.2">
      <c r="A4352"/>
      <c r="B4352"/>
      <c r="C4352"/>
      <c r="D4352"/>
      <c r="E4352"/>
    </row>
    <row r="4353" spans="1:5" x14ac:dyDescent="0.2">
      <c r="A4353"/>
      <c r="B4353"/>
      <c r="C4353"/>
      <c r="D4353"/>
      <c r="E4353"/>
    </row>
    <row r="4354" spans="1:5" x14ac:dyDescent="0.2">
      <c r="A4354"/>
      <c r="B4354"/>
      <c r="C4354"/>
      <c r="D4354"/>
      <c r="E4354"/>
    </row>
    <row r="4355" spans="1:5" x14ac:dyDescent="0.2">
      <c r="A4355"/>
      <c r="B4355"/>
      <c r="C4355"/>
      <c r="D4355"/>
      <c r="E4355"/>
    </row>
    <row r="4356" spans="1:5" x14ac:dyDescent="0.2">
      <c r="A4356"/>
      <c r="B4356"/>
      <c r="C4356"/>
      <c r="D4356"/>
      <c r="E4356"/>
    </row>
    <row r="4357" spans="1:5" x14ac:dyDescent="0.2">
      <c r="A4357"/>
      <c r="B4357"/>
      <c r="C4357"/>
      <c r="D4357"/>
      <c r="E4357"/>
    </row>
    <row r="4358" spans="1:5" x14ac:dyDescent="0.2">
      <c r="A4358"/>
      <c r="B4358"/>
      <c r="C4358"/>
      <c r="D4358"/>
      <c r="E4358"/>
    </row>
    <row r="4359" spans="1:5" x14ac:dyDescent="0.2">
      <c r="A4359"/>
      <c r="B4359"/>
      <c r="C4359"/>
      <c r="D4359"/>
      <c r="E4359"/>
    </row>
    <row r="4360" spans="1:5" x14ac:dyDescent="0.2">
      <c r="A4360"/>
      <c r="B4360"/>
      <c r="C4360"/>
      <c r="D4360"/>
      <c r="E4360"/>
    </row>
    <row r="4361" spans="1:5" x14ac:dyDescent="0.2">
      <c r="A4361"/>
      <c r="B4361"/>
      <c r="C4361"/>
      <c r="D4361"/>
      <c r="E4361"/>
    </row>
    <row r="4362" spans="1:5" x14ac:dyDescent="0.2">
      <c r="A4362"/>
      <c r="B4362"/>
      <c r="C4362"/>
      <c r="D4362"/>
      <c r="E4362"/>
    </row>
    <row r="4363" spans="1:5" x14ac:dyDescent="0.2">
      <c r="A4363"/>
      <c r="B4363"/>
      <c r="C4363"/>
      <c r="D4363"/>
      <c r="E4363"/>
    </row>
    <row r="4364" spans="1:5" x14ac:dyDescent="0.2">
      <c r="A4364"/>
      <c r="B4364"/>
      <c r="C4364"/>
      <c r="D4364"/>
      <c r="E4364"/>
    </row>
    <row r="4365" spans="1:5" x14ac:dyDescent="0.2">
      <c r="A4365"/>
      <c r="B4365"/>
      <c r="C4365"/>
      <c r="D4365"/>
      <c r="E4365"/>
    </row>
    <row r="4366" spans="1:5" x14ac:dyDescent="0.2">
      <c r="A4366"/>
      <c r="B4366"/>
      <c r="C4366"/>
      <c r="D4366"/>
      <c r="E4366"/>
    </row>
    <row r="4367" spans="1:5" x14ac:dyDescent="0.2">
      <c r="A4367"/>
      <c r="B4367"/>
      <c r="C4367"/>
      <c r="D4367"/>
      <c r="E4367"/>
    </row>
    <row r="4368" spans="1:5" x14ac:dyDescent="0.2">
      <c r="A4368"/>
      <c r="B4368"/>
      <c r="C4368"/>
      <c r="D4368"/>
      <c r="E4368"/>
    </row>
    <row r="4369" spans="1:5" x14ac:dyDescent="0.2">
      <c r="A4369"/>
      <c r="B4369"/>
      <c r="C4369"/>
      <c r="D4369"/>
      <c r="E4369"/>
    </row>
    <row r="4370" spans="1:5" x14ac:dyDescent="0.2">
      <c r="A4370"/>
      <c r="B4370"/>
      <c r="C4370"/>
      <c r="D4370"/>
      <c r="E4370"/>
    </row>
    <row r="4371" spans="1:5" x14ac:dyDescent="0.2">
      <c r="A4371"/>
      <c r="B4371"/>
      <c r="C4371"/>
      <c r="D4371"/>
      <c r="E4371"/>
    </row>
    <row r="4372" spans="1:5" x14ac:dyDescent="0.2">
      <c r="A4372"/>
      <c r="B4372"/>
      <c r="C4372"/>
      <c r="D4372"/>
      <c r="E4372"/>
    </row>
    <row r="4373" spans="1:5" x14ac:dyDescent="0.2">
      <c r="A4373"/>
      <c r="B4373"/>
      <c r="C4373"/>
      <c r="D4373"/>
      <c r="E4373"/>
    </row>
    <row r="4374" spans="1:5" x14ac:dyDescent="0.2">
      <c r="A4374"/>
      <c r="B4374"/>
      <c r="C4374"/>
      <c r="D4374"/>
      <c r="E4374"/>
    </row>
    <row r="4375" spans="1:5" x14ac:dyDescent="0.2">
      <c r="A4375"/>
      <c r="B4375"/>
      <c r="C4375"/>
      <c r="D4375"/>
      <c r="E4375"/>
    </row>
    <row r="4376" spans="1:5" x14ac:dyDescent="0.2">
      <c r="A4376"/>
      <c r="B4376"/>
      <c r="C4376"/>
      <c r="D4376"/>
      <c r="E4376"/>
    </row>
    <row r="4377" spans="1:5" x14ac:dyDescent="0.2">
      <c r="A4377"/>
      <c r="B4377"/>
      <c r="C4377"/>
      <c r="D4377"/>
      <c r="E4377"/>
    </row>
    <row r="4378" spans="1:5" x14ac:dyDescent="0.2">
      <c r="A4378"/>
      <c r="B4378"/>
      <c r="C4378"/>
      <c r="D4378"/>
      <c r="E4378"/>
    </row>
    <row r="4379" spans="1:5" x14ac:dyDescent="0.2">
      <c r="A4379"/>
      <c r="B4379"/>
      <c r="C4379"/>
      <c r="D4379"/>
      <c r="E4379"/>
    </row>
    <row r="4380" spans="1:5" x14ac:dyDescent="0.2">
      <c r="A4380"/>
      <c r="B4380"/>
      <c r="C4380"/>
      <c r="D4380"/>
      <c r="E4380"/>
    </row>
    <row r="4381" spans="1:5" x14ac:dyDescent="0.2">
      <c r="A4381"/>
      <c r="B4381"/>
      <c r="C4381"/>
      <c r="D4381"/>
      <c r="E4381"/>
    </row>
    <row r="4382" spans="1:5" x14ac:dyDescent="0.2">
      <c r="A4382"/>
      <c r="B4382"/>
      <c r="C4382"/>
      <c r="D4382"/>
      <c r="E4382"/>
    </row>
    <row r="4383" spans="1:5" x14ac:dyDescent="0.2">
      <c r="A4383"/>
      <c r="B4383"/>
      <c r="C4383"/>
      <c r="D4383"/>
      <c r="E4383"/>
    </row>
    <row r="4384" spans="1:5" x14ac:dyDescent="0.2">
      <c r="A4384"/>
      <c r="B4384"/>
      <c r="C4384"/>
      <c r="D4384"/>
      <c r="E4384"/>
    </row>
    <row r="4385" spans="1:5" x14ac:dyDescent="0.2">
      <c r="A4385"/>
      <c r="B4385"/>
      <c r="C4385"/>
      <c r="D4385"/>
      <c r="E4385"/>
    </row>
    <row r="4386" spans="1:5" x14ac:dyDescent="0.2">
      <c r="A4386"/>
      <c r="B4386"/>
      <c r="C4386"/>
      <c r="D4386"/>
      <c r="E4386"/>
    </row>
    <row r="4387" spans="1:5" x14ac:dyDescent="0.2">
      <c r="A4387"/>
      <c r="B4387"/>
      <c r="C4387"/>
      <c r="D4387"/>
      <c r="E4387"/>
    </row>
    <row r="4388" spans="1:5" x14ac:dyDescent="0.2">
      <c r="A4388"/>
      <c r="B4388"/>
      <c r="C4388"/>
      <c r="D4388"/>
      <c r="E4388"/>
    </row>
    <row r="4389" spans="1:5" x14ac:dyDescent="0.2">
      <c r="A4389"/>
      <c r="B4389"/>
      <c r="C4389"/>
      <c r="D4389"/>
      <c r="E4389"/>
    </row>
    <row r="4390" spans="1:5" x14ac:dyDescent="0.2">
      <c r="A4390"/>
      <c r="B4390"/>
      <c r="C4390"/>
      <c r="D4390"/>
      <c r="E4390"/>
    </row>
    <row r="4391" spans="1:5" x14ac:dyDescent="0.2">
      <c r="A4391"/>
      <c r="B4391"/>
      <c r="C4391"/>
      <c r="D4391"/>
      <c r="E4391"/>
    </row>
    <row r="4392" spans="1:5" x14ac:dyDescent="0.2">
      <c r="A4392"/>
      <c r="B4392"/>
      <c r="C4392"/>
      <c r="D4392"/>
      <c r="E4392"/>
    </row>
    <row r="4393" spans="1:5" x14ac:dyDescent="0.2">
      <c r="A4393"/>
      <c r="B4393"/>
      <c r="C4393"/>
      <c r="D4393"/>
      <c r="E4393"/>
    </row>
    <row r="4394" spans="1:5" x14ac:dyDescent="0.2">
      <c r="A4394"/>
      <c r="B4394"/>
      <c r="C4394"/>
      <c r="D4394"/>
      <c r="E4394"/>
    </row>
    <row r="4395" spans="1:5" x14ac:dyDescent="0.2">
      <c r="A4395"/>
      <c r="B4395"/>
      <c r="C4395"/>
      <c r="D4395"/>
      <c r="E4395"/>
    </row>
    <row r="4396" spans="1:5" x14ac:dyDescent="0.2">
      <c r="A4396"/>
      <c r="B4396"/>
      <c r="C4396"/>
      <c r="D4396"/>
      <c r="E4396"/>
    </row>
    <row r="4397" spans="1:5" x14ac:dyDescent="0.2">
      <c r="A4397"/>
      <c r="B4397"/>
      <c r="C4397"/>
      <c r="D4397"/>
      <c r="E4397"/>
    </row>
    <row r="4398" spans="1:5" x14ac:dyDescent="0.2">
      <c r="A4398"/>
      <c r="B4398"/>
      <c r="C4398"/>
      <c r="D4398"/>
      <c r="E4398"/>
    </row>
    <row r="4399" spans="1:5" x14ac:dyDescent="0.2">
      <c r="A4399"/>
      <c r="B4399"/>
      <c r="C4399"/>
      <c r="D4399"/>
      <c r="E4399"/>
    </row>
    <row r="4400" spans="1:5" x14ac:dyDescent="0.2">
      <c r="A4400"/>
      <c r="B4400"/>
      <c r="C4400"/>
      <c r="D4400"/>
      <c r="E4400"/>
    </row>
    <row r="4401" spans="1:5" x14ac:dyDescent="0.2">
      <c r="A4401"/>
      <c r="B4401"/>
      <c r="C4401"/>
      <c r="D4401"/>
      <c r="E4401"/>
    </row>
    <row r="4402" spans="1:5" x14ac:dyDescent="0.2">
      <c r="A4402"/>
      <c r="B4402"/>
      <c r="C4402"/>
      <c r="D4402"/>
      <c r="E4402"/>
    </row>
    <row r="4403" spans="1:5" x14ac:dyDescent="0.2">
      <c r="A4403"/>
      <c r="B4403"/>
      <c r="C4403"/>
      <c r="D4403"/>
      <c r="E4403"/>
    </row>
    <row r="4404" spans="1:5" x14ac:dyDescent="0.2">
      <c r="A4404"/>
      <c r="B4404"/>
      <c r="C4404"/>
      <c r="D4404"/>
      <c r="E4404"/>
    </row>
    <row r="4405" spans="1:5" x14ac:dyDescent="0.2">
      <c r="A4405"/>
      <c r="B4405"/>
      <c r="C4405"/>
      <c r="D4405"/>
      <c r="E4405"/>
    </row>
    <row r="4406" spans="1:5" x14ac:dyDescent="0.2">
      <c r="A4406"/>
      <c r="B4406"/>
      <c r="C4406"/>
      <c r="D4406"/>
      <c r="E4406"/>
    </row>
    <row r="4407" spans="1:5" x14ac:dyDescent="0.2">
      <c r="A4407"/>
      <c r="B4407"/>
      <c r="C4407"/>
      <c r="D4407"/>
      <c r="E4407"/>
    </row>
    <row r="4408" spans="1:5" x14ac:dyDescent="0.2">
      <c r="A4408"/>
      <c r="B4408"/>
      <c r="C4408"/>
      <c r="D4408"/>
      <c r="E4408"/>
    </row>
    <row r="4409" spans="1:5" x14ac:dyDescent="0.2">
      <c r="A4409"/>
      <c r="B4409"/>
      <c r="C4409"/>
      <c r="D4409"/>
      <c r="E4409"/>
    </row>
    <row r="4410" spans="1:5" x14ac:dyDescent="0.2">
      <c r="A4410"/>
      <c r="B4410"/>
      <c r="C4410"/>
      <c r="D4410"/>
      <c r="E4410"/>
    </row>
    <row r="4411" spans="1:5" x14ac:dyDescent="0.2">
      <c r="A4411"/>
      <c r="B4411"/>
      <c r="C4411"/>
      <c r="D4411"/>
      <c r="E4411"/>
    </row>
    <row r="4412" spans="1:5" x14ac:dyDescent="0.2">
      <c r="A4412"/>
      <c r="B4412"/>
      <c r="C4412"/>
      <c r="D4412"/>
      <c r="E4412"/>
    </row>
    <row r="4413" spans="1:5" x14ac:dyDescent="0.2">
      <c r="A4413"/>
      <c r="B4413"/>
      <c r="C4413"/>
      <c r="D4413"/>
      <c r="E4413"/>
    </row>
    <row r="4414" spans="1:5" x14ac:dyDescent="0.2">
      <c r="A4414"/>
      <c r="B4414"/>
      <c r="C4414"/>
      <c r="D4414"/>
      <c r="E4414"/>
    </row>
    <row r="4415" spans="1:5" x14ac:dyDescent="0.2">
      <c r="A4415"/>
      <c r="B4415"/>
      <c r="C4415"/>
      <c r="D4415"/>
      <c r="E4415"/>
    </row>
    <row r="4416" spans="1:5" x14ac:dyDescent="0.2">
      <c r="A4416"/>
      <c r="B4416"/>
      <c r="C4416"/>
      <c r="D4416"/>
      <c r="E4416"/>
    </row>
    <row r="4417" spans="1:5" x14ac:dyDescent="0.2">
      <c r="A4417"/>
      <c r="B4417"/>
      <c r="C4417"/>
      <c r="D4417"/>
      <c r="E4417"/>
    </row>
    <row r="4418" spans="1:5" x14ac:dyDescent="0.2">
      <c r="A4418"/>
      <c r="B4418"/>
      <c r="C4418"/>
      <c r="D4418"/>
      <c r="E4418"/>
    </row>
    <row r="4419" spans="1:5" x14ac:dyDescent="0.2">
      <c r="A4419"/>
      <c r="B4419"/>
      <c r="C4419"/>
      <c r="D4419"/>
      <c r="E4419"/>
    </row>
    <row r="4420" spans="1:5" x14ac:dyDescent="0.2">
      <c r="A4420"/>
      <c r="B4420"/>
      <c r="C4420"/>
      <c r="D4420"/>
      <c r="E4420"/>
    </row>
    <row r="4421" spans="1:5" x14ac:dyDescent="0.2">
      <c r="A4421"/>
      <c r="B4421"/>
      <c r="C4421"/>
      <c r="D4421"/>
      <c r="E4421"/>
    </row>
    <row r="4422" spans="1:5" x14ac:dyDescent="0.2">
      <c r="A4422"/>
      <c r="B4422"/>
      <c r="C4422"/>
      <c r="D4422"/>
      <c r="E4422"/>
    </row>
    <row r="4423" spans="1:5" x14ac:dyDescent="0.2">
      <c r="A4423"/>
      <c r="B4423"/>
      <c r="C4423"/>
      <c r="D4423"/>
      <c r="E4423"/>
    </row>
    <row r="4424" spans="1:5" x14ac:dyDescent="0.2">
      <c r="A4424"/>
      <c r="B4424"/>
      <c r="C4424"/>
      <c r="D4424"/>
      <c r="E4424"/>
    </row>
    <row r="4425" spans="1:5" x14ac:dyDescent="0.2">
      <c r="A4425"/>
      <c r="B4425"/>
      <c r="C4425"/>
      <c r="D4425"/>
      <c r="E4425"/>
    </row>
    <row r="4426" spans="1:5" x14ac:dyDescent="0.2">
      <c r="A4426"/>
      <c r="B4426"/>
      <c r="C4426"/>
      <c r="D4426"/>
      <c r="E4426"/>
    </row>
    <row r="4427" spans="1:5" x14ac:dyDescent="0.2">
      <c r="A4427"/>
      <c r="B4427"/>
      <c r="C4427"/>
      <c r="D4427"/>
      <c r="E4427"/>
    </row>
    <row r="4428" spans="1:5" x14ac:dyDescent="0.2">
      <c r="A4428"/>
      <c r="B4428"/>
      <c r="C4428"/>
      <c r="D4428"/>
      <c r="E4428"/>
    </row>
    <row r="4429" spans="1:5" x14ac:dyDescent="0.2">
      <c r="A4429"/>
      <c r="B4429"/>
      <c r="C4429"/>
      <c r="D4429"/>
      <c r="E4429"/>
    </row>
    <row r="4430" spans="1:5" x14ac:dyDescent="0.2">
      <c r="A4430"/>
      <c r="B4430"/>
      <c r="C4430"/>
      <c r="D4430"/>
      <c r="E4430"/>
    </row>
    <row r="4431" spans="1:5" x14ac:dyDescent="0.2">
      <c r="A4431"/>
      <c r="B4431"/>
      <c r="C4431"/>
      <c r="D4431"/>
      <c r="E4431"/>
    </row>
    <row r="4432" spans="1:5" x14ac:dyDescent="0.2">
      <c r="A4432"/>
      <c r="B4432"/>
      <c r="C4432"/>
      <c r="D4432"/>
      <c r="E4432"/>
    </row>
    <row r="4433" spans="1:5" x14ac:dyDescent="0.2">
      <c r="A4433"/>
      <c r="B4433"/>
      <c r="C4433"/>
      <c r="D4433"/>
      <c r="E4433"/>
    </row>
    <row r="4434" spans="1:5" x14ac:dyDescent="0.2">
      <c r="A4434"/>
      <c r="B4434"/>
      <c r="C4434"/>
      <c r="D4434"/>
      <c r="E4434"/>
    </row>
    <row r="4435" spans="1:5" x14ac:dyDescent="0.2">
      <c r="A4435"/>
      <c r="B4435"/>
      <c r="C4435"/>
      <c r="D4435"/>
      <c r="E4435"/>
    </row>
    <row r="4436" spans="1:5" x14ac:dyDescent="0.2">
      <c r="A4436"/>
      <c r="B4436"/>
      <c r="C4436"/>
      <c r="D4436"/>
      <c r="E4436"/>
    </row>
    <row r="4437" spans="1:5" x14ac:dyDescent="0.2">
      <c r="A4437"/>
      <c r="B4437"/>
      <c r="C4437"/>
      <c r="D4437"/>
      <c r="E4437"/>
    </row>
    <row r="4438" spans="1:5" x14ac:dyDescent="0.2">
      <c r="A4438"/>
      <c r="B4438"/>
      <c r="C4438"/>
      <c r="D4438"/>
      <c r="E4438"/>
    </row>
    <row r="4439" spans="1:5" x14ac:dyDescent="0.2">
      <c r="A4439"/>
      <c r="B4439"/>
      <c r="C4439"/>
      <c r="D4439"/>
      <c r="E4439"/>
    </row>
    <row r="4440" spans="1:5" x14ac:dyDescent="0.2">
      <c r="A4440"/>
      <c r="B4440"/>
      <c r="C4440"/>
      <c r="D4440"/>
      <c r="E4440"/>
    </row>
    <row r="4441" spans="1:5" x14ac:dyDescent="0.2">
      <c r="A4441"/>
      <c r="B4441"/>
      <c r="C4441"/>
      <c r="D4441"/>
      <c r="E4441"/>
    </row>
    <row r="4442" spans="1:5" x14ac:dyDescent="0.2">
      <c r="A4442"/>
      <c r="B4442"/>
      <c r="C4442"/>
      <c r="D4442"/>
      <c r="E4442"/>
    </row>
    <row r="4443" spans="1:5" x14ac:dyDescent="0.2">
      <c r="A4443"/>
      <c r="B4443"/>
      <c r="C4443"/>
      <c r="D4443"/>
      <c r="E4443"/>
    </row>
    <row r="4444" spans="1:5" x14ac:dyDescent="0.2">
      <c r="A4444"/>
      <c r="B4444"/>
      <c r="C4444"/>
      <c r="D4444"/>
      <c r="E4444"/>
    </row>
    <row r="4445" spans="1:5" x14ac:dyDescent="0.2">
      <c r="A4445"/>
      <c r="B4445"/>
      <c r="C4445"/>
      <c r="D4445"/>
      <c r="E4445"/>
    </row>
    <row r="4446" spans="1:5" x14ac:dyDescent="0.2">
      <c r="A4446"/>
      <c r="B4446"/>
      <c r="C4446"/>
      <c r="D4446"/>
      <c r="E4446"/>
    </row>
    <row r="4447" spans="1:5" x14ac:dyDescent="0.2">
      <c r="A4447"/>
      <c r="B4447"/>
      <c r="C4447"/>
      <c r="D4447"/>
      <c r="E4447"/>
    </row>
    <row r="4448" spans="1:5" x14ac:dyDescent="0.2">
      <c r="A4448"/>
      <c r="B4448"/>
      <c r="C4448"/>
      <c r="D4448"/>
      <c r="E4448"/>
    </row>
    <row r="4449" spans="1:5" x14ac:dyDescent="0.2">
      <c r="A4449"/>
      <c r="B4449"/>
      <c r="C4449"/>
      <c r="D4449"/>
      <c r="E4449"/>
    </row>
    <row r="4450" spans="1:5" x14ac:dyDescent="0.2">
      <c r="A4450"/>
      <c r="B4450"/>
      <c r="C4450"/>
      <c r="D4450"/>
      <c r="E4450"/>
    </row>
    <row r="4451" spans="1:5" x14ac:dyDescent="0.2">
      <c r="A4451"/>
      <c r="B4451"/>
      <c r="C4451"/>
      <c r="D4451"/>
      <c r="E4451"/>
    </row>
    <row r="4452" spans="1:5" x14ac:dyDescent="0.2">
      <c r="A4452"/>
      <c r="B4452"/>
      <c r="C4452"/>
      <c r="D4452"/>
      <c r="E4452"/>
    </row>
    <row r="4453" spans="1:5" x14ac:dyDescent="0.2">
      <c r="A4453"/>
      <c r="B4453"/>
      <c r="C4453"/>
      <c r="D4453"/>
      <c r="E4453"/>
    </row>
    <row r="4454" spans="1:5" x14ac:dyDescent="0.2">
      <c r="A4454"/>
      <c r="B4454"/>
      <c r="C4454"/>
      <c r="D4454"/>
      <c r="E4454"/>
    </row>
    <row r="4455" spans="1:5" x14ac:dyDescent="0.2">
      <c r="A4455"/>
      <c r="B4455"/>
      <c r="C4455"/>
      <c r="D4455"/>
      <c r="E4455"/>
    </row>
    <row r="4456" spans="1:5" x14ac:dyDescent="0.2">
      <c r="A4456"/>
      <c r="B4456"/>
      <c r="C4456"/>
      <c r="D4456"/>
      <c r="E4456"/>
    </row>
    <row r="4457" spans="1:5" x14ac:dyDescent="0.2">
      <c r="A4457"/>
      <c r="B4457"/>
      <c r="C4457"/>
      <c r="D4457"/>
      <c r="E4457"/>
    </row>
    <row r="4458" spans="1:5" x14ac:dyDescent="0.2">
      <c r="A4458"/>
      <c r="B4458"/>
      <c r="C4458"/>
      <c r="D4458"/>
      <c r="E4458"/>
    </row>
    <row r="4459" spans="1:5" x14ac:dyDescent="0.2">
      <c r="A4459"/>
      <c r="B4459"/>
      <c r="C4459"/>
      <c r="D4459"/>
      <c r="E4459"/>
    </row>
    <row r="4460" spans="1:5" x14ac:dyDescent="0.2">
      <c r="A4460"/>
      <c r="B4460"/>
      <c r="C4460"/>
      <c r="D4460"/>
      <c r="E4460"/>
    </row>
    <row r="4461" spans="1:5" x14ac:dyDescent="0.2">
      <c r="A4461"/>
      <c r="B4461"/>
      <c r="C4461"/>
      <c r="D4461"/>
      <c r="E4461"/>
    </row>
    <row r="4462" spans="1:5" x14ac:dyDescent="0.2">
      <c r="A4462"/>
      <c r="B4462"/>
      <c r="C4462"/>
      <c r="D4462"/>
      <c r="E4462"/>
    </row>
    <row r="4463" spans="1:5" x14ac:dyDescent="0.2">
      <c r="A4463"/>
      <c r="B4463"/>
      <c r="C4463"/>
      <c r="D4463"/>
      <c r="E4463"/>
    </row>
    <row r="4464" spans="1:5" x14ac:dyDescent="0.2">
      <c r="A4464"/>
      <c r="B4464"/>
      <c r="C4464"/>
      <c r="D4464"/>
      <c r="E4464"/>
    </row>
    <row r="4465" spans="1:5" x14ac:dyDescent="0.2">
      <c r="A4465"/>
      <c r="B4465"/>
      <c r="C4465"/>
      <c r="D4465"/>
      <c r="E4465"/>
    </row>
    <row r="4466" spans="1:5" x14ac:dyDescent="0.2">
      <c r="A4466"/>
      <c r="B4466"/>
      <c r="C4466"/>
      <c r="D4466"/>
      <c r="E4466"/>
    </row>
    <row r="4467" spans="1:5" x14ac:dyDescent="0.2">
      <c r="A4467"/>
      <c r="B4467"/>
      <c r="C4467"/>
      <c r="D4467"/>
      <c r="E4467"/>
    </row>
    <row r="4468" spans="1:5" x14ac:dyDescent="0.2">
      <c r="A4468"/>
      <c r="B4468"/>
      <c r="C4468"/>
      <c r="D4468"/>
      <c r="E4468"/>
    </row>
    <row r="4469" spans="1:5" x14ac:dyDescent="0.2">
      <c r="A4469"/>
      <c r="B4469"/>
      <c r="C4469"/>
      <c r="D4469"/>
      <c r="E4469"/>
    </row>
    <row r="4470" spans="1:5" x14ac:dyDescent="0.2">
      <c r="A4470"/>
      <c r="B4470"/>
      <c r="C4470"/>
      <c r="D4470"/>
      <c r="E4470"/>
    </row>
    <row r="4471" spans="1:5" x14ac:dyDescent="0.2">
      <c r="A4471"/>
      <c r="B4471"/>
      <c r="C4471"/>
      <c r="D4471"/>
      <c r="E4471"/>
    </row>
    <row r="4472" spans="1:5" x14ac:dyDescent="0.2">
      <c r="A4472"/>
      <c r="B4472"/>
      <c r="C4472"/>
      <c r="D4472"/>
      <c r="E4472"/>
    </row>
    <row r="4473" spans="1:5" x14ac:dyDescent="0.2">
      <c r="A4473"/>
      <c r="B4473"/>
      <c r="C4473"/>
      <c r="D4473"/>
      <c r="E4473"/>
    </row>
    <row r="4474" spans="1:5" x14ac:dyDescent="0.2">
      <c r="A4474"/>
      <c r="B4474"/>
      <c r="C4474"/>
      <c r="D4474"/>
      <c r="E4474"/>
    </row>
    <row r="4475" spans="1:5" x14ac:dyDescent="0.2">
      <c r="A4475"/>
      <c r="B4475"/>
      <c r="C4475"/>
      <c r="D4475"/>
      <c r="E4475"/>
    </row>
    <row r="4476" spans="1:5" x14ac:dyDescent="0.2">
      <c r="A4476"/>
      <c r="B4476"/>
      <c r="C4476"/>
      <c r="D4476"/>
      <c r="E4476"/>
    </row>
    <row r="4477" spans="1:5" x14ac:dyDescent="0.2">
      <c r="A4477"/>
      <c r="B4477"/>
      <c r="C4477"/>
      <c r="D4477"/>
      <c r="E4477"/>
    </row>
    <row r="4478" spans="1:5" x14ac:dyDescent="0.2">
      <c r="A4478"/>
      <c r="B4478"/>
      <c r="C4478"/>
      <c r="D4478"/>
      <c r="E4478"/>
    </row>
    <row r="4479" spans="1:5" x14ac:dyDescent="0.2">
      <c r="A4479"/>
      <c r="B4479"/>
      <c r="C4479"/>
      <c r="D4479"/>
      <c r="E4479"/>
    </row>
    <row r="4480" spans="1:5" x14ac:dyDescent="0.2">
      <c r="A4480"/>
      <c r="B4480"/>
      <c r="C4480"/>
      <c r="D4480"/>
      <c r="E4480"/>
    </row>
    <row r="4481" spans="1:5" x14ac:dyDescent="0.2">
      <c r="A4481"/>
      <c r="B4481"/>
      <c r="C4481"/>
      <c r="D4481"/>
      <c r="E4481"/>
    </row>
    <row r="4482" spans="1:5" x14ac:dyDescent="0.2">
      <c r="A4482"/>
      <c r="B4482"/>
      <c r="C4482"/>
      <c r="D4482"/>
      <c r="E4482"/>
    </row>
    <row r="4483" spans="1:5" x14ac:dyDescent="0.2">
      <c r="A4483"/>
      <c r="B4483"/>
      <c r="C4483"/>
      <c r="D4483"/>
      <c r="E4483"/>
    </row>
    <row r="4484" spans="1:5" x14ac:dyDescent="0.2">
      <c r="A4484"/>
      <c r="B4484"/>
      <c r="C4484"/>
      <c r="D4484"/>
      <c r="E4484"/>
    </row>
    <row r="4485" spans="1:5" x14ac:dyDescent="0.2">
      <c r="A4485"/>
      <c r="B4485"/>
      <c r="C4485"/>
      <c r="D4485"/>
      <c r="E4485"/>
    </row>
    <row r="4486" spans="1:5" x14ac:dyDescent="0.2">
      <c r="A4486"/>
      <c r="B4486"/>
      <c r="C4486"/>
      <c r="D4486"/>
      <c r="E4486"/>
    </row>
    <row r="4487" spans="1:5" x14ac:dyDescent="0.2">
      <c r="A4487"/>
      <c r="B4487"/>
      <c r="C4487"/>
      <c r="D4487"/>
      <c r="E4487"/>
    </row>
    <row r="4488" spans="1:5" x14ac:dyDescent="0.2">
      <c r="A4488"/>
      <c r="B4488"/>
      <c r="C4488"/>
      <c r="D4488"/>
      <c r="E4488"/>
    </row>
    <row r="4489" spans="1:5" x14ac:dyDescent="0.2">
      <c r="A4489"/>
      <c r="B4489"/>
      <c r="C4489"/>
      <c r="D4489"/>
      <c r="E4489"/>
    </row>
    <row r="4490" spans="1:5" x14ac:dyDescent="0.2">
      <c r="A4490"/>
      <c r="B4490"/>
      <c r="C4490"/>
      <c r="D4490"/>
      <c r="E4490"/>
    </row>
    <row r="4491" spans="1:5" x14ac:dyDescent="0.2">
      <c r="A4491"/>
      <c r="B4491"/>
      <c r="C4491"/>
      <c r="D4491"/>
      <c r="E4491"/>
    </row>
    <row r="4492" spans="1:5" x14ac:dyDescent="0.2">
      <c r="A4492"/>
      <c r="B4492"/>
      <c r="C4492"/>
      <c r="D4492"/>
      <c r="E4492"/>
    </row>
    <row r="4493" spans="1:5" x14ac:dyDescent="0.2">
      <c r="A4493"/>
      <c r="B4493"/>
      <c r="C4493"/>
      <c r="D4493"/>
      <c r="E4493"/>
    </row>
    <row r="4494" spans="1:5" x14ac:dyDescent="0.2">
      <c r="A4494"/>
      <c r="B4494"/>
      <c r="C4494"/>
      <c r="D4494"/>
      <c r="E4494"/>
    </row>
    <row r="4495" spans="1:5" x14ac:dyDescent="0.2">
      <c r="A4495"/>
      <c r="B4495"/>
      <c r="C4495"/>
      <c r="D4495"/>
      <c r="E4495"/>
    </row>
    <row r="4496" spans="1:5" x14ac:dyDescent="0.2">
      <c r="A4496"/>
      <c r="B4496"/>
      <c r="C4496"/>
      <c r="D4496"/>
      <c r="E4496"/>
    </row>
    <row r="4497" spans="1:5" x14ac:dyDescent="0.2">
      <c r="A4497"/>
      <c r="B4497"/>
      <c r="C4497"/>
      <c r="D4497"/>
      <c r="E4497"/>
    </row>
    <row r="4498" spans="1:5" x14ac:dyDescent="0.2">
      <c r="A4498"/>
      <c r="B4498"/>
      <c r="C4498"/>
      <c r="D4498"/>
      <c r="E4498"/>
    </row>
    <row r="4499" spans="1:5" x14ac:dyDescent="0.2">
      <c r="A4499"/>
      <c r="B4499"/>
      <c r="C4499"/>
      <c r="D4499"/>
      <c r="E4499"/>
    </row>
    <row r="4500" spans="1:5" x14ac:dyDescent="0.2">
      <c r="A4500"/>
      <c r="B4500"/>
      <c r="C4500"/>
      <c r="D4500"/>
      <c r="E4500"/>
    </row>
    <row r="4501" spans="1:5" x14ac:dyDescent="0.2">
      <c r="A4501"/>
      <c r="B4501"/>
      <c r="C4501"/>
      <c r="D4501"/>
      <c r="E4501"/>
    </row>
    <row r="4502" spans="1:5" x14ac:dyDescent="0.2">
      <c r="A4502"/>
      <c r="B4502"/>
      <c r="C4502"/>
      <c r="D4502"/>
      <c r="E4502"/>
    </row>
    <row r="4503" spans="1:5" x14ac:dyDescent="0.2">
      <c r="A4503"/>
      <c r="B4503"/>
      <c r="C4503"/>
      <c r="D4503"/>
      <c r="E4503"/>
    </row>
    <row r="4504" spans="1:5" x14ac:dyDescent="0.2">
      <c r="A4504"/>
      <c r="B4504"/>
      <c r="C4504"/>
      <c r="D4504"/>
      <c r="E4504"/>
    </row>
    <row r="4505" spans="1:5" x14ac:dyDescent="0.2">
      <c r="A4505"/>
      <c r="B4505"/>
      <c r="C4505"/>
      <c r="D4505"/>
      <c r="E4505"/>
    </row>
    <row r="4506" spans="1:5" x14ac:dyDescent="0.2">
      <c r="A4506"/>
      <c r="B4506"/>
      <c r="C4506"/>
      <c r="D4506"/>
      <c r="E4506"/>
    </row>
    <row r="4507" spans="1:5" x14ac:dyDescent="0.2">
      <c r="A4507"/>
      <c r="B4507"/>
      <c r="C4507"/>
      <c r="D4507"/>
      <c r="E4507"/>
    </row>
    <row r="4508" spans="1:5" x14ac:dyDescent="0.2">
      <c r="A4508"/>
      <c r="B4508"/>
      <c r="C4508"/>
      <c r="D4508"/>
      <c r="E4508"/>
    </row>
    <row r="4509" spans="1:5" x14ac:dyDescent="0.2">
      <c r="A4509"/>
      <c r="B4509"/>
      <c r="C4509"/>
      <c r="D4509"/>
      <c r="E4509"/>
    </row>
    <row r="4510" spans="1:5" x14ac:dyDescent="0.2">
      <c r="A4510"/>
      <c r="B4510"/>
      <c r="C4510"/>
      <c r="D4510"/>
      <c r="E4510"/>
    </row>
    <row r="4511" spans="1:5" x14ac:dyDescent="0.2">
      <c r="A4511"/>
      <c r="B4511"/>
      <c r="C4511"/>
      <c r="D4511"/>
      <c r="E4511"/>
    </row>
    <row r="4512" spans="1:5" x14ac:dyDescent="0.2">
      <c r="A4512"/>
      <c r="B4512"/>
      <c r="C4512"/>
      <c r="D4512"/>
      <c r="E4512"/>
    </row>
    <row r="4513" spans="1:5" x14ac:dyDescent="0.2">
      <c r="A4513"/>
      <c r="B4513"/>
      <c r="C4513"/>
      <c r="D4513"/>
      <c r="E4513"/>
    </row>
    <row r="4514" spans="1:5" x14ac:dyDescent="0.2">
      <c r="A4514"/>
      <c r="B4514"/>
      <c r="C4514"/>
      <c r="D4514"/>
      <c r="E4514"/>
    </row>
    <row r="4515" spans="1:5" x14ac:dyDescent="0.2">
      <c r="A4515"/>
      <c r="B4515"/>
      <c r="C4515"/>
      <c r="D4515"/>
      <c r="E4515"/>
    </row>
    <row r="4516" spans="1:5" x14ac:dyDescent="0.2">
      <c r="A4516"/>
      <c r="B4516"/>
      <c r="C4516"/>
      <c r="D4516"/>
      <c r="E4516"/>
    </row>
    <row r="4517" spans="1:5" x14ac:dyDescent="0.2">
      <c r="A4517"/>
      <c r="B4517"/>
      <c r="C4517"/>
      <c r="D4517"/>
      <c r="E4517"/>
    </row>
    <row r="4518" spans="1:5" x14ac:dyDescent="0.2">
      <c r="A4518"/>
      <c r="B4518"/>
      <c r="C4518"/>
      <c r="D4518"/>
      <c r="E4518"/>
    </row>
    <row r="4519" spans="1:5" x14ac:dyDescent="0.2">
      <c r="A4519"/>
      <c r="B4519"/>
      <c r="C4519"/>
      <c r="D4519"/>
      <c r="E4519"/>
    </row>
    <row r="4520" spans="1:5" x14ac:dyDescent="0.2">
      <c r="A4520"/>
      <c r="B4520"/>
      <c r="C4520"/>
      <c r="D4520"/>
      <c r="E4520"/>
    </row>
    <row r="4521" spans="1:5" x14ac:dyDescent="0.2">
      <c r="A4521"/>
      <c r="B4521"/>
      <c r="C4521"/>
      <c r="D4521"/>
      <c r="E4521"/>
    </row>
    <row r="4522" spans="1:5" x14ac:dyDescent="0.2">
      <c r="A4522"/>
      <c r="B4522"/>
      <c r="C4522"/>
      <c r="D4522"/>
      <c r="E4522"/>
    </row>
    <row r="4523" spans="1:5" x14ac:dyDescent="0.2">
      <c r="A4523"/>
      <c r="B4523"/>
      <c r="C4523"/>
      <c r="D4523"/>
      <c r="E4523"/>
    </row>
    <row r="4524" spans="1:5" x14ac:dyDescent="0.2">
      <c r="A4524"/>
      <c r="B4524"/>
      <c r="C4524"/>
      <c r="D4524"/>
      <c r="E4524"/>
    </row>
    <row r="4525" spans="1:5" x14ac:dyDescent="0.2">
      <c r="A4525"/>
      <c r="B4525"/>
      <c r="C4525"/>
      <c r="D4525"/>
      <c r="E4525"/>
    </row>
    <row r="4526" spans="1:5" x14ac:dyDescent="0.2">
      <c r="A4526"/>
      <c r="B4526"/>
      <c r="C4526"/>
      <c r="D4526"/>
      <c r="E4526"/>
    </row>
    <row r="4527" spans="1:5" x14ac:dyDescent="0.2">
      <c r="A4527"/>
      <c r="B4527"/>
      <c r="C4527"/>
      <c r="D4527"/>
      <c r="E4527"/>
    </row>
    <row r="4528" spans="1:5" x14ac:dyDescent="0.2">
      <c r="A4528"/>
      <c r="B4528"/>
      <c r="C4528"/>
      <c r="D4528"/>
      <c r="E4528"/>
    </row>
    <row r="4529" spans="1:5" x14ac:dyDescent="0.2">
      <c r="A4529"/>
      <c r="B4529"/>
      <c r="C4529"/>
      <c r="D4529"/>
      <c r="E4529"/>
    </row>
    <row r="4530" spans="1:5" x14ac:dyDescent="0.2">
      <c r="A4530"/>
      <c r="B4530"/>
      <c r="C4530"/>
      <c r="D4530"/>
      <c r="E4530"/>
    </row>
    <row r="4531" spans="1:5" x14ac:dyDescent="0.2">
      <c r="A4531"/>
      <c r="B4531"/>
      <c r="C4531"/>
      <c r="D4531"/>
      <c r="E4531"/>
    </row>
    <row r="4532" spans="1:5" x14ac:dyDescent="0.2">
      <c r="A4532"/>
      <c r="B4532"/>
      <c r="C4532"/>
      <c r="D4532"/>
      <c r="E4532"/>
    </row>
    <row r="4533" spans="1:5" x14ac:dyDescent="0.2">
      <c r="A4533"/>
      <c r="B4533"/>
      <c r="C4533"/>
      <c r="D4533"/>
      <c r="E4533"/>
    </row>
    <row r="4534" spans="1:5" x14ac:dyDescent="0.2">
      <c r="A4534"/>
      <c r="B4534"/>
      <c r="C4534"/>
      <c r="D4534"/>
      <c r="E4534"/>
    </row>
    <row r="4535" spans="1:5" x14ac:dyDescent="0.2">
      <c r="A4535"/>
      <c r="B4535"/>
      <c r="C4535"/>
      <c r="D4535"/>
      <c r="E4535"/>
    </row>
    <row r="4536" spans="1:5" x14ac:dyDescent="0.2">
      <c r="A4536"/>
      <c r="B4536"/>
      <c r="C4536"/>
      <c r="D4536"/>
      <c r="E4536"/>
    </row>
    <row r="4537" spans="1:5" x14ac:dyDescent="0.2">
      <c r="A4537"/>
      <c r="B4537"/>
      <c r="C4537"/>
      <c r="D4537"/>
      <c r="E4537"/>
    </row>
    <row r="4538" spans="1:5" x14ac:dyDescent="0.2">
      <c r="A4538"/>
      <c r="B4538"/>
      <c r="C4538"/>
      <c r="D4538"/>
      <c r="E4538"/>
    </row>
    <row r="4539" spans="1:5" x14ac:dyDescent="0.2">
      <c r="A4539"/>
      <c r="B4539"/>
      <c r="C4539"/>
      <c r="D4539"/>
      <c r="E4539"/>
    </row>
    <row r="4540" spans="1:5" x14ac:dyDescent="0.2">
      <c r="A4540"/>
      <c r="B4540"/>
      <c r="C4540"/>
      <c r="D4540"/>
      <c r="E4540"/>
    </row>
    <row r="4541" spans="1:5" x14ac:dyDescent="0.2">
      <c r="A4541"/>
      <c r="B4541"/>
      <c r="C4541"/>
      <c r="D4541"/>
      <c r="E4541"/>
    </row>
    <row r="4542" spans="1:5" x14ac:dyDescent="0.2">
      <c r="A4542"/>
      <c r="B4542"/>
      <c r="C4542"/>
      <c r="D4542"/>
      <c r="E4542"/>
    </row>
    <row r="4543" spans="1:5" x14ac:dyDescent="0.2">
      <c r="A4543"/>
      <c r="B4543"/>
      <c r="C4543"/>
      <c r="D4543"/>
      <c r="E4543"/>
    </row>
    <row r="4544" spans="1:5" x14ac:dyDescent="0.2">
      <c r="A4544"/>
      <c r="B4544"/>
      <c r="C4544"/>
      <c r="D4544"/>
      <c r="E4544"/>
    </row>
    <row r="4545" spans="1:5" x14ac:dyDescent="0.2">
      <c r="A4545"/>
      <c r="B4545"/>
      <c r="C4545"/>
      <c r="D4545"/>
      <c r="E4545"/>
    </row>
    <row r="4546" spans="1:5" x14ac:dyDescent="0.2">
      <c r="A4546"/>
      <c r="B4546"/>
      <c r="C4546"/>
      <c r="D4546"/>
      <c r="E4546"/>
    </row>
    <row r="4547" spans="1:5" x14ac:dyDescent="0.2">
      <c r="A4547"/>
      <c r="B4547"/>
      <c r="C4547"/>
      <c r="D4547"/>
      <c r="E4547"/>
    </row>
    <row r="4548" spans="1:5" x14ac:dyDescent="0.2">
      <c r="A4548"/>
      <c r="B4548"/>
      <c r="C4548"/>
      <c r="D4548"/>
      <c r="E4548"/>
    </row>
    <row r="4549" spans="1:5" x14ac:dyDescent="0.2">
      <c r="A4549"/>
      <c r="B4549"/>
      <c r="C4549"/>
      <c r="D4549"/>
      <c r="E4549"/>
    </row>
    <row r="4550" spans="1:5" x14ac:dyDescent="0.2">
      <c r="A4550"/>
      <c r="B4550"/>
      <c r="C4550"/>
      <c r="D4550"/>
      <c r="E4550"/>
    </row>
    <row r="4551" spans="1:5" x14ac:dyDescent="0.2">
      <c r="A4551"/>
      <c r="B4551"/>
      <c r="C4551"/>
      <c r="D4551"/>
      <c r="E4551"/>
    </row>
    <row r="4552" spans="1:5" x14ac:dyDescent="0.2">
      <c r="A4552"/>
      <c r="B4552"/>
      <c r="C4552"/>
      <c r="D4552"/>
      <c r="E4552"/>
    </row>
    <row r="4553" spans="1:5" x14ac:dyDescent="0.2">
      <c r="A4553"/>
      <c r="B4553"/>
      <c r="C4553"/>
      <c r="D4553"/>
      <c r="E4553"/>
    </row>
    <row r="4554" spans="1:5" x14ac:dyDescent="0.2">
      <c r="A4554"/>
      <c r="B4554"/>
      <c r="C4554"/>
      <c r="D4554"/>
      <c r="E4554"/>
    </row>
    <row r="4555" spans="1:5" x14ac:dyDescent="0.2">
      <c r="A4555"/>
      <c r="B4555"/>
      <c r="C4555"/>
      <c r="D4555"/>
      <c r="E4555"/>
    </row>
    <row r="4556" spans="1:5" x14ac:dyDescent="0.2">
      <c r="A4556"/>
      <c r="B4556"/>
      <c r="C4556"/>
      <c r="D4556"/>
      <c r="E4556"/>
    </row>
    <row r="4557" spans="1:5" x14ac:dyDescent="0.2">
      <c r="A4557"/>
      <c r="B4557"/>
      <c r="C4557"/>
      <c r="D4557"/>
      <c r="E4557"/>
    </row>
    <row r="4558" spans="1:5" x14ac:dyDescent="0.2">
      <c r="A4558"/>
      <c r="B4558"/>
      <c r="C4558"/>
      <c r="D4558"/>
      <c r="E4558"/>
    </row>
    <row r="4559" spans="1:5" x14ac:dyDescent="0.2">
      <c r="A4559"/>
      <c r="B4559"/>
      <c r="C4559"/>
      <c r="D4559"/>
      <c r="E4559"/>
    </row>
    <row r="4560" spans="1:5" x14ac:dyDescent="0.2">
      <c r="A4560"/>
      <c r="B4560"/>
      <c r="C4560"/>
      <c r="D4560"/>
      <c r="E4560"/>
    </row>
    <row r="4561" spans="1:5" x14ac:dyDescent="0.2">
      <c r="A4561"/>
      <c r="B4561"/>
      <c r="C4561"/>
      <c r="D4561"/>
      <c r="E4561"/>
    </row>
    <row r="4562" spans="1:5" x14ac:dyDescent="0.2">
      <c r="A4562"/>
      <c r="B4562"/>
      <c r="C4562"/>
      <c r="D4562"/>
      <c r="E4562"/>
    </row>
    <row r="4563" spans="1:5" x14ac:dyDescent="0.2">
      <c r="A4563"/>
      <c r="B4563"/>
      <c r="C4563"/>
      <c r="D4563"/>
      <c r="E4563"/>
    </row>
    <row r="4564" spans="1:5" x14ac:dyDescent="0.2">
      <c r="A4564"/>
      <c r="B4564"/>
      <c r="C4564"/>
      <c r="D4564"/>
      <c r="E4564"/>
    </row>
    <row r="4565" spans="1:5" x14ac:dyDescent="0.2">
      <c r="A4565"/>
      <c r="B4565"/>
      <c r="C4565"/>
      <c r="D4565"/>
      <c r="E4565"/>
    </row>
    <row r="4566" spans="1:5" x14ac:dyDescent="0.2">
      <c r="A4566"/>
      <c r="B4566"/>
      <c r="C4566"/>
      <c r="D4566"/>
      <c r="E4566"/>
    </row>
    <row r="4567" spans="1:5" x14ac:dyDescent="0.2">
      <c r="A4567"/>
      <c r="B4567"/>
      <c r="C4567"/>
      <c r="D4567"/>
      <c r="E4567"/>
    </row>
    <row r="4568" spans="1:5" x14ac:dyDescent="0.2">
      <c r="A4568"/>
      <c r="B4568"/>
      <c r="C4568"/>
      <c r="D4568"/>
      <c r="E4568"/>
    </row>
    <row r="4569" spans="1:5" x14ac:dyDescent="0.2">
      <c r="A4569"/>
      <c r="B4569"/>
      <c r="C4569"/>
      <c r="D4569"/>
      <c r="E4569"/>
    </row>
    <row r="4570" spans="1:5" x14ac:dyDescent="0.2">
      <c r="A4570"/>
      <c r="B4570"/>
      <c r="C4570"/>
      <c r="D4570"/>
      <c r="E4570"/>
    </row>
    <row r="4571" spans="1:5" x14ac:dyDescent="0.2">
      <c r="A4571"/>
      <c r="B4571"/>
      <c r="C4571"/>
      <c r="D4571"/>
      <c r="E4571"/>
    </row>
    <row r="4572" spans="1:5" x14ac:dyDescent="0.2">
      <c r="A4572"/>
      <c r="B4572"/>
      <c r="C4572"/>
      <c r="D4572"/>
      <c r="E4572"/>
    </row>
    <row r="4573" spans="1:5" x14ac:dyDescent="0.2">
      <c r="A4573"/>
      <c r="B4573"/>
      <c r="C4573"/>
      <c r="D4573"/>
      <c r="E4573"/>
    </row>
    <row r="4574" spans="1:5" x14ac:dyDescent="0.2">
      <c r="A4574"/>
      <c r="B4574"/>
      <c r="C4574"/>
      <c r="D4574"/>
      <c r="E4574"/>
    </row>
    <row r="4575" spans="1:5" x14ac:dyDescent="0.2">
      <c r="A4575"/>
      <c r="B4575"/>
      <c r="C4575"/>
      <c r="D4575"/>
      <c r="E4575"/>
    </row>
    <row r="4576" spans="1:5" x14ac:dyDescent="0.2">
      <c r="A4576"/>
      <c r="B4576"/>
      <c r="C4576"/>
      <c r="D4576"/>
      <c r="E4576"/>
    </row>
    <row r="4577" spans="1:5" x14ac:dyDescent="0.2">
      <c r="A4577"/>
      <c r="B4577"/>
      <c r="C4577"/>
      <c r="D4577"/>
      <c r="E4577"/>
    </row>
    <row r="4578" spans="1:5" x14ac:dyDescent="0.2">
      <c r="A4578"/>
      <c r="B4578"/>
      <c r="C4578"/>
      <c r="D4578"/>
      <c r="E4578"/>
    </row>
    <row r="4579" spans="1:5" x14ac:dyDescent="0.2">
      <c r="A4579"/>
      <c r="B4579"/>
      <c r="C4579"/>
      <c r="D4579"/>
      <c r="E4579"/>
    </row>
    <row r="4580" spans="1:5" x14ac:dyDescent="0.2">
      <c r="A4580"/>
      <c r="B4580"/>
      <c r="C4580"/>
      <c r="D4580"/>
      <c r="E4580"/>
    </row>
    <row r="4581" spans="1:5" x14ac:dyDescent="0.2">
      <c r="A4581"/>
      <c r="B4581"/>
      <c r="C4581"/>
      <c r="D4581"/>
      <c r="E4581"/>
    </row>
    <row r="4582" spans="1:5" x14ac:dyDescent="0.2">
      <c r="A4582"/>
      <c r="B4582"/>
      <c r="C4582"/>
      <c r="D4582"/>
      <c r="E4582"/>
    </row>
    <row r="4583" spans="1:5" x14ac:dyDescent="0.2">
      <c r="A4583"/>
      <c r="B4583"/>
      <c r="C4583"/>
      <c r="D4583"/>
      <c r="E4583"/>
    </row>
    <row r="4584" spans="1:5" x14ac:dyDescent="0.2">
      <c r="A4584"/>
      <c r="B4584"/>
      <c r="C4584"/>
      <c r="D4584"/>
      <c r="E4584"/>
    </row>
    <row r="4585" spans="1:5" x14ac:dyDescent="0.2">
      <c r="A4585"/>
      <c r="B4585"/>
      <c r="C4585"/>
      <c r="D4585"/>
      <c r="E4585"/>
    </row>
    <row r="4586" spans="1:5" x14ac:dyDescent="0.2">
      <c r="A4586"/>
      <c r="B4586"/>
      <c r="C4586"/>
      <c r="D4586"/>
      <c r="E4586"/>
    </row>
    <row r="4587" spans="1:5" x14ac:dyDescent="0.2">
      <c r="A4587"/>
      <c r="B4587"/>
      <c r="C4587"/>
      <c r="D4587"/>
      <c r="E4587"/>
    </row>
    <row r="4588" spans="1:5" x14ac:dyDescent="0.2">
      <c r="A4588"/>
      <c r="B4588"/>
      <c r="C4588"/>
      <c r="D4588"/>
      <c r="E4588"/>
    </row>
    <row r="4589" spans="1:5" x14ac:dyDescent="0.2">
      <c r="A4589"/>
      <c r="B4589"/>
      <c r="C4589"/>
      <c r="D4589"/>
      <c r="E4589"/>
    </row>
    <row r="4590" spans="1:5" x14ac:dyDescent="0.2">
      <c r="A4590"/>
      <c r="B4590"/>
      <c r="C4590"/>
      <c r="D4590"/>
      <c r="E4590"/>
    </row>
    <row r="4591" spans="1:5" x14ac:dyDescent="0.2">
      <c r="A4591"/>
      <c r="B4591"/>
      <c r="C4591"/>
      <c r="D4591"/>
      <c r="E4591"/>
    </row>
    <row r="4592" spans="1:5" x14ac:dyDescent="0.2">
      <c r="A4592"/>
      <c r="B4592"/>
      <c r="C4592"/>
      <c r="D4592"/>
      <c r="E4592"/>
    </row>
    <row r="4593" spans="1:5" x14ac:dyDescent="0.2">
      <c r="A4593"/>
      <c r="B4593"/>
      <c r="C4593"/>
      <c r="D4593"/>
      <c r="E4593"/>
    </row>
    <row r="4594" spans="1:5" x14ac:dyDescent="0.2">
      <c r="A4594"/>
      <c r="B4594"/>
      <c r="C4594"/>
      <c r="D4594"/>
      <c r="E4594"/>
    </row>
    <row r="4595" spans="1:5" x14ac:dyDescent="0.2">
      <c r="A4595"/>
      <c r="B4595"/>
      <c r="C4595"/>
      <c r="D4595"/>
      <c r="E4595"/>
    </row>
    <row r="4596" spans="1:5" x14ac:dyDescent="0.2">
      <c r="A4596"/>
      <c r="B4596"/>
      <c r="C4596"/>
      <c r="D4596"/>
      <c r="E4596"/>
    </row>
    <row r="4597" spans="1:5" x14ac:dyDescent="0.2">
      <c r="A4597"/>
      <c r="B4597"/>
      <c r="C4597"/>
      <c r="D4597"/>
      <c r="E4597"/>
    </row>
    <row r="4598" spans="1:5" x14ac:dyDescent="0.2">
      <c r="A4598"/>
      <c r="B4598"/>
      <c r="C4598"/>
      <c r="D4598"/>
      <c r="E4598"/>
    </row>
    <row r="4599" spans="1:5" x14ac:dyDescent="0.2">
      <c r="A4599"/>
      <c r="B4599"/>
      <c r="C4599"/>
      <c r="D4599"/>
      <c r="E4599"/>
    </row>
    <row r="4600" spans="1:5" x14ac:dyDescent="0.2">
      <c r="A4600"/>
      <c r="B4600"/>
      <c r="C4600"/>
      <c r="D4600"/>
      <c r="E4600"/>
    </row>
    <row r="4601" spans="1:5" x14ac:dyDescent="0.2">
      <c r="A4601"/>
      <c r="B4601"/>
      <c r="C4601"/>
      <c r="D4601"/>
      <c r="E4601"/>
    </row>
    <row r="4602" spans="1:5" x14ac:dyDescent="0.2">
      <c r="A4602"/>
      <c r="B4602"/>
      <c r="C4602"/>
      <c r="D4602"/>
      <c r="E4602"/>
    </row>
    <row r="4603" spans="1:5" x14ac:dyDescent="0.2">
      <c r="A4603"/>
      <c r="B4603"/>
      <c r="C4603"/>
      <c r="D4603"/>
      <c r="E4603"/>
    </row>
    <row r="4604" spans="1:5" x14ac:dyDescent="0.2">
      <c r="A4604"/>
      <c r="B4604"/>
      <c r="C4604"/>
      <c r="D4604"/>
      <c r="E4604"/>
    </row>
    <row r="4605" spans="1:5" x14ac:dyDescent="0.2">
      <c r="A4605"/>
      <c r="B4605"/>
      <c r="C4605"/>
      <c r="D4605"/>
      <c r="E4605"/>
    </row>
    <row r="4606" spans="1:5" x14ac:dyDescent="0.2">
      <c r="A4606"/>
      <c r="B4606"/>
      <c r="C4606"/>
      <c r="D4606"/>
      <c r="E4606"/>
    </row>
    <row r="4607" spans="1:5" x14ac:dyDescent="0.2">
      <c r="A4607"/>
      <c r="B4607"/>
      <c r="C4607"/>
      <c r="D4607"/>
      <c r="E4607"/>
    </row>
    <row r="4608" spans="1:5" x14ac:dyDescent="0.2">
      <c r="A4608"/>
      <c r="B4608"/>
      <c r="C4608"/>
      <c r="D4608"/>
      <c r="E4608"/>
    </row>
    <row r="4609" spans="1:5" x14ac:dyDescent="0.2">
      <c r="A4609"/>
      <c r="B4609"/>
      <c r="C4609"/>
      <c r="D4609"/>
      <c r="E4609"/>
    </row>
    <row r="4610" spans="1:5" x14ac:dyDescent="0.2">
      <c r="A4610"/>
      <c r="B4610"/>
      <c r="C4610"/>
      <c r="D4610"/>
      <c r="E4610"/>
    </row>
    <row r="4611" spans="1:5" x14ac:dyDescent="0.2">
      <c r="A4611"/>
      <c r="B4611"/>
      <c r="C4611"/>
      <c r="D4611"/>
      <c r="E4611"/>
    </row>
    <row r="4612" spans="1:5" x14ac:dyDescent="0.2">
      <c r="A4612"/>
      <c r="B4612"/>
      <c r="C4612"/>
      <c r="D4612"/>
      <c r="E4612"/>
    </row>
    <row r="4613" spans="1:5" x14ac:dyDescent="0.2">
      <c r="A4613"/>
      <c r="B4613"/>
      <c r="C4613"/>
      <c r="D4613"/>
      <c r="E4613"/>
    </row>
    <row r="4614" spans="1:5" x14ac:dyDescent="0.2">
      <c r="A4614"/>
      <c r="B4614"/>
      <c r="C4614"/>
      <c r="D4614"/>
      <c r="E4614"/>
    </row>
    <row r="4615" spans="1:5" x14ac:dyDescent="0.2">
      <c r="A4615"/>
      <c r="B4615"/>
      <c r="C4615"/>
      <c r="D4615"/>
      <c r="E4615"/>
    </row>
    <row r="4616" spans="1:5" x14ac:dyDescent="0.2">
      <c r="A4616"/>
      <c r="B4616"/>
      <c r="C4616"/>
      <c r="D4616"/>
      <c r="E4616"/>
    </row>
    <row r="4617" spans="1:5" x14ac:dyDescent="0.2">
      <c r="A4617"/>
      <c r="B4617"/>
      <c r="C4617"/>
      <c r="D4617"/>
      <c r="E4617"/>
    </row>
    <row r="4618" spans="1:5" x14ac:dyDescent="0.2">
      <c r="A4618"/>
      <c r="B4618"/>
      <c r="C4618"/>
      <c r="D4618"/>
      <c r="E4618"/>
    </row>
    <row r="4619" spans="1:5" x14ac:dyDescent="0.2">
      <c r="A4619"/>
      <c r="B4619"/>
      <c r="C4619"/>
      <c r="D4619"/>
      <c r="E4619"/>
    </row>
    <row r="4620" spans="1:5" x14ac:dyDescent="0.2">
      <c r="A4620"/>
      <c r="B4620"/>
      <c r="C4620"/>
      <c r="D4620"/>
      <c r="E4620"/>
    </row>
    <row r="4621" spans="1:5" x14ac:dyDescent="0.2">
      <c r="A4621"/>
      <c r="B4621"/>
      <c r="C4621"/>
      <c r="D4621"/>
      <c r="E4621"/>
    </row>
    <row r="4622" spans="1:5" x14ac:dyDescent="0.2">
      <c r="A4622"/>
      <c r="B4622"/>
      <c r="C4622"/>
      <c r="D4622"/>
      <c r="E4622"/>
    </row>
    <row r="4623" spans="1:5" x14ac:dyDescent="0.2">
      <c r="A4623"/>
      <c r="B4623"/>
      <c r="C4623"/>
      <c r="D4623"/>
      <c r="E4623"/>
    </row>
    <row r="4624" spans="1:5" x14ac:dyDescent="0.2">
      <c r="A4624"/>
      <c r="B4624"/>
      <c r="C4624"/>
      <c r="D4624"/>
      <c r="E4624"/>
    </row>
    <row r="4625" spans="1:5" x14ac:dyDescent="0.2">
      <c r="A4625"/>
      <c r="B4625"/>
      <c r="C4625"/>
      <c r="D4625"/>
      <c r="E4625"/>
    </row>
    <row r="4626" spans="1:5" x14ac:dyDescent="0.2">
      <c r="A4626"/>
      <c r="B4626"/>
      <c r="C4626"/>
      <c r="D4626"/>
      <c r="E4626"/>
    </row>
    <row r="4627" spans="1:5" x14ac:dyDescent="0.2">
      <c r="A4627"/>
      <c r="B4627"/>
      <c r="C4627"/>
      <c r="D4627"/>
      <c r="E4627"/>
    </row>
    <row r="4628" spans="1:5" x14ac:dyDescent="0.2">
      <c r="A4628"/>
      <c r="B4628"/>
      <c r="C4628"/>
      <c r="D4628"/>
      <c r="E4628"/>
    </row>
    <row r="4629" spans="1:5" x14ac:dyDescent="0.2">
      <c r="A4629"/>
      <c r="B4629"/>
      <c r="C4629"/>
      <c r="D4629"/>
      <c r="E4629"/>
    </row>
    <row r="4630" spans="1:5" x14ac:dyDescent="0.2">
      <c r="A4630"/>
      <c r="B4630"/>
      <c r="C4630"/>
      <c r="D4630"/>
      <c r="E4630"/>
    </row>
    <row r="4631" spans="1:5" x14ac:dyDescent="0.2">
      <c r="A4631"/>
      <c r="B4631"/>
      <c r="C4631"/>
      <c r="D4631"/>
      <c r="E4631"/>
    </row>
    <row r="4632" spans="1:5" x14ac:dyDescent="0.2">
      <c r="A4632"/>
      <c r="B4632"/>
      <c r="C4632"/>
      <c r="D4632"/>
      <c r="E4632"/>
    </row>
    <row r="4633" spans="1:5" x14ac:dyDescent="0.2">
      <c r="A4633"/>
      <c r="B4633"/>
      <c r="C4633"/>
      <c r="D4633"/>
      <c r="E4633"/>
    </row>
    <row r="4634" spans="1:5" x14ac:dyDescent="0.2">
      <c r="A4634"/>
      <c r="B4634"/>
      <c r="C4634"/>
      <c r="D4634"/>
      <c r="E4634"/>
    </row>
    <row r="4635" spans="1:5" x14ac:dyDescent="0.2">
      <c r="A4635"/>
      <c r="B4635"/>
      <c r="C4635"/>
      <c r="D4635"/>
      <c r="E4635"/>
    </row>
    <row r="4636" spans="1:5" x14ac:dyDescent="0.2">
      <c r="A4636"/>
      <c r="B4636"/>
      <c r="C4636"/>
      <c r="D4636"/>
      <c r="E4636"/>
    </row>
    <row r="4637" spans="1:5" x14ac:dyDescent="0.2">
      <c r="A4637"/>
      <c r="B4637"/>
      <c r="C4637"/>
      <c r="D4637"/>
      <c r="E4637"/>
    </row>
    <row r="4638" spans="1:5" x14ac:dyDescent="0.2">
      <c r="A4638"/>
      <c r="B4638"/>
      <c r="C4638"/>
      <c r="D4638"/>
      <c r="E4638"/>
    </row>
    <row r="4639" spans="1:5" x14ac:dyDescent="0.2">
      <c r="A4639"/>
      <c r="B4639"/>
      <c r="C4639"/>
      <c r="D4639"/>
      <c r="E4639"/>
    </row>
    <row r="4640" spans="1:5" x14ac:dyDescent="0.2">
      <c r="A4640"/>
      <c r="B4640"/>
      <c r="C4640"/>
      <c r="D4640"/>
      <c r="E4640"/>
    </row>
    <row r="4641" spans="1:5" x14ac:dyDescent="0.2">
      <c r="A4641"/>
      <c r="B4641"/>
      <c r="C4641"/>
      <c r="D4641"/>
      <c r="E4641"/>
    </row>
    <row r="4642" spans="1:5" x14ac:dyDescent="0.2">
      <c r="A4642"/>
      <c r="B4642"/>
      <c r="C4642"/>
      <c r="D4642"/>
      <c r="E4642"/>
    </row>
    <row r="4643" spans="1:5" x14ac:dyDescent="0.2">
      <c r="A4643"/>
      <c r="B4643"/>
      <c r="C4643"/>
      <c r="D4643"/>
      <c r="E4643"/>
    </row>
    <row r="4644" spans="1:5" x14ac:dyDescent="0.2">
      <c r="A4644"/>
      <c r="B4644"/>
      <c r="C4644"/>
      <c r="D4644"/>
      <c r="E4644"/>
    </row>
    <row r="4645" spans="1:5" x14ac:dyDescent="0.2">
      <c r="A4645"/>
      <c r="B4645"/>
      <c r="C4645"/>
      <c r="D4645"/>
      <c r="E4645"/>
    </row>
    <row r="4646" spans="1:5" x14ac:dyDescent="0.2">
      <c r="A4646"/>
      <c r="B4646"/>
      <c r="C4646"/>
      <c r="D4646"/>
      <c r="E4646"/>
    </row>
    <row r="4647" spans="1:5" x14ac:dyDescent="0.2">
      <c r="A4647"/>
      <c r="B4647"/>
      <c r="C4647"/>
      <c r="D4647"/>
      <c r="E4647"/>
    </row>
    <row r="4648" spans="1:5" x14ac:dyDescent="0.2">
      <c r="A4648"/>
      <c r="B4648"/>
      <c r="C4648"/>
      <c r="D4648"/>
      <c r="E4648"/>
    </row>
    <row r="4649" spans="1:5" x14ac:dyDescent="0.2">
      <c r="A4649"/>
      <c r="B4649"/>
      <c r="C4649"/>
      <c r="D4649"/>
      <c r="E4649"/>
    </row>
    <row r="4650" spans="1:5" x14ac:dyDescent="0.2">
      <c r="A4650"/>
      <c r="B4650"/>
      <c r="C4650"/>
      <c r="D4650"/>
      <c r="E4650"/>
    </row>
    <row r="4651" spans="1:5" x14ac:dyDescent="0.2">
      <c r="A4651"/>
      <c r="B4651"/>
      <c r="C4651"/>
      <c r="D4651"/>
      <c r="E4651"/>
    </row>
    <row r="4652" spans="1:5" x14ac:dyDescent="0.2">
      <c r="A4652"/>
      <c r="B4652"/>
      <c r="C4652"/>
      <c r="D4652"/>
      <c r="E4652"/>
    </row>
    <row r="4653" spans="1:5" x14ac:dyDescent="0.2">
      <c r="A4653"/>
      <c r="B4653"/>
      <c r="C4653"/>
      <c r="D4653"/>
      <c r="E4653"/>
    </row>
    <row r="4654" spans="1:5" x14ac:dyDescent="0.2">
      <c r="A4654"/>
      <c r="B4654"/>
      <c r="C4654"/>
      <c r="D4654"/>
      <c r="E4654"/>
    </row>
    <row r="4655" spans="1:5" x14ac:dyDescent="0.2">
      <c r="A4655"/>
      <c r="B4655"/>
      <c r="C4655"/>
      <c r="D4655"/>
      <c r="E4655"/>
    </row>
    <row r="4656" spans="1:5" x14ac:dyDescent="0.2">
      <c r="A4656"/>
      <c r="B4656"/>
      <c r="C4656"/>
      <c r="D4656"/>
      <c r="E4656"/>
    </row>
    <row r="4657" spans="1:5" x14ac:dyDescent="0.2">
      <c r="A4657"/>
      <c r="B4657"/>
      <c r="C4657"/>
      <c r="D4657"/>
      <c r="E4657"/>
    </row>
    <row r="4658" spans="1:5" x14ac:dyDescent="0.2">
      <c r="A4658"/>
      <c r="B4658"/>
      <c r="C4658"/>
      <c r="D4658"/>
      <c r="E4658"/>
    </row>
    <row r="4659" spans="1:5" x14ac:dyDescent="0.2">
      <c r="A4659"/>
      <c r="B4659"/>
      <c r="C4659"/>
      <c r="D4659"/>
      <c r="E4659"/>
    </row>
    <row r="4660" spans="1:5" x14ac:dyDescent="0.2">
      <c r="A4660"/>
      <c r="B4660"/>
      <c r="C4660"/>
      <c r="D4660"/>
      <c r="E4660"/>
    </row>
    <row r="4661" spans="1:5" x14ac:dyDescent="0.2">
      <c r="A4661"/>
      <c r="B4661"/>
      <c r="C4661"/>
      <c r="D4661"/>
      <c r="E4661"/>
    </row>
    <row r="4662" spans="1:5" x14ac:dyDescent="0.2">
      <c r="A4662"/>
      <c r="B4662"/>
      <c r="C4662"/>
      <c r="D4662"/>
      <c r="E4662"/>
    </row>
    <row r="4663" spans="1:5" x14ac:dyDescent="0.2">
      <c r="A4663"/>
      <c r="B4663"/>
      <c r="C4663"/>
      <c r="D4663"/>
      <c r="E4663"/>
    </row>
    <row r="4664" spans="1:5" x14ac:dyDescent="0.2">
      <c r="A4664"/>
      <c r="B4664"/>
      <c r="C4664"/>
      <c r="D4664"/>
      <c r="E4664"/>
    </row>
    <row r="4665" spans="1:5" x14ac:dyDescent="0.2">
      <c r="A4665"/>
      <c r="B4665"/>
      <c r="C4665"/>
      <c r="D4665"/>
      <c r="E4665"/>
    </row>
    <row r="4666" spans="1:5" x14ac:dyDescent="0.2">
      <c r="A4666"/>
      <c r="B4666"/>
      <c r="C4666"/>
      <c r="D4666"/>
      <c r="E4666"/>
    </row>
    <row r="4667" spans="1:5" x14ac:dyDescent="0.2">
      <c r="A4667"/>
      <c r="B4667"/>
      <c r="C4667"/>
      <c r="D4667"/>
      <c r="E4667"/>
    </row>
    <row r="4668" spans="1:5" x14ac:dyDescent="0.2">
      <c r="A4668"/>
      <c r="B4668"/>
      <c r="C4668"/>
      <c r="D4668"/>
      <c r="E4668"/>
    </row>
    <row r="4669" spans="1:5" x14ac:dyDescent="0.2">
      <c r="A4669"/>
      <c r="B4669"/>
      <c r="C4669"/>
      <c r="D4669"/>
      <c r="E4669"/>
    </row>
    <row r="4670" spans="1:5" x14ac:dyDescent="0.2">
      <c r="A4670"/>
      <c r="B4670"/>
      <c r="C4670"/>
      <c r="D4670"/>
      <c r="E4670"/>
    </row>
    <row r="4671" spans="1:5" x14ac:dyDescent="0.2">
      <c r="A4671"/>
      <c r="B4671"/>
      <c r="C4671"/>
      <c r="D4671"/>
      <c r="E4671"/>
    </row>
    <row r="4672" spans="1:5" x14ac:dyDescent="0.2">
      <c r="A4672"/>
      <c r="B4672"/>
      <c r="C4672"/>
      <c r="D4672"/>
      <c r="E4672"/>
    </row>
    <row r="4673" spans="1:5" x14ac:dyDescent="0.2">
      <c r="A4673"/>
      <c r="B4673"/>
      <c r="C4673"/>
      <c r="D4673"/>
      <c r="E4673"/>
    </row>
    <row r="4674" spans="1:5" x14ac:dyDescent="0.2">
      <c r="A4674"/>
      <c r="B4674"/>
      <c r="C4674"/>
      <c r="D4674"/>
      <c r="E4674"/>
    </row>
    <row r="4675" spans="1:5" x14ac:dyDescent="0.2">
      <c r="A4675"/>
      <c r="B4675"/>
      <c r="C4675"/>
      <c r="D4675"/>
      <c r="E4675"/>
    </row>
    <row r="4676" spans="1:5" x14ac:dyDescent="0.2">
      <c r="A4676"/>
      <c r="B4676"/>
      <c r="C4676"/>
      <c r="D4676"/>
      <c r="E4676"/>
    </row>
    <row r="4677" spans="1:5" x14ac:dyDescent="0.2">
      <c r="A4677"/>
      <c r="B4677"/>
      <c r="C4677"/>
      <c r="D4677"/>
      <c r="E4677"/>
    </row>
    <row r="4678" spans="1:5" x14ac:dyDescent="0.2">
      <c r="A4678"/>
      <c r="B4678"/>
      <c r="C4678"/>
      <c r="D4678"/>
      <c r="E4678"/>
    </row>
    <row r="4679" spans="1:5" x14ac:dyDescent="0.2">
      <c r="A4679"/>
      <c r="B4679"/>
      <c r="C4679"/>
      <c r="D4679"/>
      <c r="E4679"/>
    </row>
    <row r="4680" spans="1:5" x14ac:dyDescent="0.2">
      <c r="A4680"/>
      <c r="B4680"/>
      <c r="C4680"/>
      <c r="D4680"/>
      <c r="E4680"/>
    </row>
    <row r="4681" spans="1:5" x14ac:dyDescent="0.2">
      <c r="A4681"/>
      <c r="B4681"/>
      <c r="C4681"/>
      <c r="D4681"/>
      <c r="E4681"/>
    </row>
    <row r="4682" spans="1:5" x14ac:dyDescent="0.2">
      <c r="A4682"/>
      <c r="B4682"/>
      <c r="C4682"/>
      <c r="D4682"/>
      <c r="E4682"/>
    </row>
    <row r="4683" spans="1:5" x14ac:dyDescent="0.2">
      <c r="A4683"/>
      <c r="B4683"/>
      <c r="C4683"/>
      <c r="D4683"/>
      <c r="E4683"/>
    </row>
    <row r="4684" spans="1:5" x14ac:dyDescent="0.2">
      <c r="A4684"/>
      <c r="B4684"/>
      <c r="C4684"/>
      <c r="D4684"/>
      <c r="E4684"/>
    </row>
    <row r="4685" spans="1:5" x14ac:dyDescent="0.2">
      <c r="A4685"/>
      <c r="B4685"/>
      <c r="C4685"/>
      <c r="D4685"/>
      <c r="E4685"/>
    </row>
    <row r="4686" spans="1:5" x14ac:dyDescent="0.2">
      <c r="A4686"/>
      <c r="B4686"/>
      <c r="C4686"/>
      <c r="D4686"/>
      <c r="E4686"/>
    </row>
    <row r="4687" spans="1:5" x14ac:dyDescent="0.2">
      <c r="A4687"/>
      <c r="B4687"/>
      <c r="C4687"/>
      <c r="D4687"/>
      <c r="E4687"/>
    </row>
    <row r="4688" spans="1:5" x14ac:dyDescent="0.2">
      <c r="A4688"/>
      <c r="B4688"/>
      <c r="C4688"/>
      <c r="D4688"/>
      <c r="E4688"/>
    </row>
    <row r="4689" spans="1:5" x14ac:dyDescent="0.2">
      <c r="A4689"/>
      <c r="B4689"/>
      <c r="C4689"/>
      <c r="D4689"/>
      <c r="E4689"/>
    </row>
    <row r="4690" spans="1:5" x14ac:dyDescent="0.2">
      <c r="A4690"/>
      <c r="B4690"/>
      <c r="C4690"/>
      <c r="D4690"/>
      <c r="E4690"/>
    </row>
    <row r="4691" spans="1:5" x14ac:dyDescent="0.2">
      <c r="A4691"/>
      <c r="B4691"/>
      <c r="C4691"/>
      <c r="D4691"/>
      <c r="E4691"/>
    </row>
    <row r="4692" spans="1:5" x14ac:dyDescent="0.2">
      <c r="A4692"/>
      <c r="B4692"/>
      <c r="C4692"/>
      <c r="D4692"/>
      <c r="E4692"/>
    </row>
    <row r="4693" spans="1:5" x14ac:dyDescent="0.2">
      <c r="A4693"/>
      <c r="B4693"/>
      <c r="C4693"/>
      <c r="D4693"/>
      <c r="E4693"/>
    </row>
    <row r="4694" spans="1:5" x14ac:dyDescent="0.2">
      <c r="A4694"/>
      <c r="B4694"/>
      <c r="C4694"/>
      <c r="D4694"/>
      <c r="E4694"/>
    </row>
    <row r="4695" spans="1:5" x14ac:dyDescent="0.2">
      <c r="A4695"/>
      <c r="B4695"/>
      <c r="C4695"/>
      <c r="D4695"/>
      <c r="E4695"/>
    </row>
    <row r="4696" spans="1:5" x14ac:dyDescent="0.2">
      <c r="A4696"/>
      <c r="B4696"/>
      <c r="C4696"/>
      <c r="D4696"/>
      <c r="E4696"/>
    </row>
    <row r="4697" spans="1:5" x14ac:dyDescent="0.2">
      <c r="A4697"/>
      <c r="B4697"/>
      <c r="C4697"/>
      <c r="D4697"/>
      <c r="E4697"/>
    </row>
    <row r="4698" spans="1:5" x14ac:dyDescent="0.2">
      <c r="A4698"/>
      <c r="B4698"/>
      <c r="C4698"/>
      <c r="D4698"/>
      <c r="E4698"/>
    </row>
    <row r="4699" spans="1:5" x14ac:dyDescent="0.2">
      <c r="A4699"/>
      <c r="B4699"/>
      <c r="C4699"/>
      <c r="D4699"/>
      <c r="E4699"/>
    </row>
    <row r="4700" spans="1:5" x14ac:dyDescent="0.2">
      <c r="A4700"/>
      <c r="B4700"/>
      <c r="C4700"/>
      <c r="D4700"/>
      <c r="E4700"/>
    </row>
    <row r="4701" spans="1:5" x14ac:dyDescent="0.2">
      <c r="A4701"/>
      <c r="B4701"/>
      <c r="C4701"/>
      <c r="D4701"/>
      <c r="E4701"/>
    </row>
    <row r="4702" spans="1:5" x14ac:dyDescent="0.2">
      <c r="A4702"/>
      <c r="B4702"/>
      <c r="C4702"/>
      <c r="D4702"/>
      <c r="E4702"/>
    </row>
    <row r="4703" spans="1:5" x14ac:dyDescent="0.2">
      <c r="A4703"/>
      <c r="B4703"/>
      <c r="C4703"/>
      <c r="D4703"/>
      <c r="E4703"/>
    </row>
    <row r="4704" spans="1:5" x14ac:dyDescent="0.2">
      <c r="A4704"/>
      <c r="B4704"/>
      <c r="C4704"/>
      <c r="D4704"/>
      <c r="E4704"/>
    </row>
    <row r="4705" spans="1:5" x14ac:dyDescent="0.2">
      <c r="A4705"/>
      <c r="B4705"/>
      <c r="C4705"/>
      <c r="D4705"/>
      <c r="E4705"/>
    </row>
    <row r="4706" spans="1:5" x14ac:dyDescent="0.2">
      <c r="A4706"/>
      <c r="B4706"/>
      <c r="C4706"/>
      <c r="D4706"/>
      <c r="E4706"/>
    </row>
    <row r="4707" spans="1:5" x14ac:dyDescent="0.2">
      <c r="A4707"/>
      <c r="B4707"/>
      <c r="C4707"/>
      <c r="D4707"/>
      <c r="E4707"/>
    </row>
    <row r="4708" spans="1:5" x14ac:dyDescent="0.2">
      <c r="A4708"/>
      <c r="B4708"/>
      <c r="C4708"/>
      <c r="D4708"/>
      <c r="E4708"/>
    </row>
    <row r="4709" spans="1:5" x14ac:dyDescent="0.2">
      <c r="A4709"/>
      <c r="B4709"/>
      <c r="C4709"/>
      <c r="D4709"/>
      <c r="E4709"/>
    </row>
    <row r="4710" spans="1:5" x14ac:dyDescent="0.2">
      <c r="A4710"/>
      <c r="B4710"/>
      <c r="C4710"/>
      <c r="D4710"/>
      <c r="E4710"/>
    </row>
    <row r="4711" spans="1:5" x14ac:dyDescent="0.2">
      <c r="A4711"/>
      <c r="B4711"/>
      <c r="C4711"/>
      <c r="D4711"/>
      <c r="E4711"/>
    </row>
    <row r="4712" spans="1:5" x14ac:dyDescent="0.2">
      <c r="A4712"/>
      <c r="B4712"/>
      <c r="C4712"/>
      <c r="D4712"/>
      <c r="E4712"/>
    </row>
    <row r="4713" spans="1:5" x14ac:dyDescent="0.2">
      <c r="A4713"/>
      <c r="B4713"/>
      <c r="C4713"/>
      <c r="D4713"/>
      <c r="E4713"/>
    </row>
    <row r="4714" spans="1:5" x14ac:dyDescent="0.2">
      <c r="A4714"/>
      <c r="B4714"/>
      <c r="C4714"/>
      <c r="D4714"/>
      <c r="E4714"/>
    </row>
    <row r="4715" spans="1:5" x14ac:dyDescent="0.2">
      <c r="A4715"/>
      <c r="B4715"/>
      <c r="C4715"/>
      <c r="D4715"/>
      <c r="E4715"/>
    </row>
    <row r="4716" spans="1:5" x14ac:dyDescent="0.2">
      <c r="A4716"/>
      <c r="B4716"/>
      <c r="C4716"/>
      <c r="D4716"/>
      <c r="E4716"/>
    </row>
    <row r="4717" spans="1:5" x14ac:dyDescent="0.2">
      <c r="A4717"/>
      <c r="B4717"/>
      <c r="C4717"/>
      <c r="D4717"/>
      <c r="E4717"/>
    </row>
    <row r="4718" spans="1:5" x14ac:dyDescent="0.2">
      <c r="A4718"/>
      <c r="B4718"/>
      <c r="C4718"/>
      <c r="D4718"/>
      <c r="E4718"/>
    </row>
    <row r="4719" spans="1:5" x14ac:dyDescent="0.2">
      <c r="A4719"/>
      <c r="B4719"/>
      <c r="C4719"/>
      <c r="D4719"/>
      <c r="E4719"/>
    </row>
    <row r="4720" spans="1:5" x14ac:dyDescent="0.2">
      <c r="A4720"/>
      <c r="B4720"/>
      <c r="C4720"/>
      <c r="D4720"/>
      <c r="E4720"/>
    </row>
    <row r="4721" spans="1:5" x14ac:dyDescent="0.2">
      <c r="A4721"/>
      <c r="B4721"/>
      <c r="C4721"/>
      <c r="D4721"/>
      <c r="E4721"/>
    </row>
    <row r="4722" spans="1:5" x14ac:dyDescent="0.2">
      <c r="A4722"/>
      <c r="B4722"/>
      <c r="C4722"/>
      <c r="D4722"/>
      <c r="E4722"/>
    </row>
    <row r="4723" spans="1:5" x14ac:dyDescent="0.2">
      <c r="A4723"/>
      <c r="B4723"/>
      <c r="C4723"/>
      <c r="D4723"/>
      <c r="E4723"/>
    </row>
    <row r="4724" spans="1:5" x14ac:dyDescent="0.2">
      <c r="A4724"/>
      <c r="B4724"/>
      <c r="C4724"/>
      <c r="D4724"/>
      <c r="E4724"/>
    </row>
    <row r="4725" spans="1:5" x14ac:dyDescent="0.2">
      <c r="A4725"/>
      <c r="B4725"/>
      <c r="C4725"/>
      <c r="D4725"/>
      <c r="E4725"/>
    </row>
    <row r="4726" spans="1:5" x14ac:dyDescent="0.2">
      <c r="A4726"/>
      <c r="B4726"/>
      <c r="C4726"/>
      <c r="D4726"/>
      <c r="E4726"/>
    </row>
    <row r="4727" spans="1:5" x14ac:dyDescent="0.2">
      <c r="A4727"/>
      <c r="B4727"/>
      <c r="C4727"/>
      <c r="D4727"/>
      <c r="E4727"/>
    </row>
    <row r="4728" spans="1:5" x14ac:dyDescent="0.2">
      <c r="A4728"/>
      <c r="B4728"/>
      <c r="C4728"/>
      <c r="D4728"/>
      <c r="E4728"/>
    </row>
    <row r="4729" spans="1:5" x14ac:dyDescent="0.2">
      <c r="A4729"/>
      <c r="B4729"/>
      <c r="C4729"/>
      <c r="D4729"/>
      <c r="E4729"/>
    </row>
    <row r="4730" spans="1:5" x14ac:dyDescent="0.2">
      <c r="A4730"/>
      <c r="B4730"/>
      <c r="C4730"/>
      <c r="D4730"/>
      <c r="E4730"/>
    </row>
    <row r="4731" spans="1:5" x14ac:dyDescent="0.2">
      <c r="A4731"/>
      <c r="B4731"/>
      <c r="C4731"/>
      <c r="D4731"/>
      <c r="E4731"/>
    </row>
    <row r="4732" spans="1:5" x14ac:dyDescent="0.2">
      <c r="A4732"/>
      <c r="B4732"/>
      <c r="C4732"/>
      <c r="D4732"/>
      <c r="E4732"/>
    </row>
    <row r="4733" spans="1:5" x14ac:dyDescent="0.2">
      <c r="A4733"/>
      <c r="B4733"/>
      <c r="C4733"/>
      <c r="D4733"/>
      <c r="E4733"/>
    </row>
    <row r="4734" spans="1:5" x14ac:dyDescent="0.2">
      <c r="A4734"/>
      <c r="B4734"/>
      <c r="C4734"/>
      <c r="D4734"/>
      <c r="E4734"/>
    </row>
    <row r="4735" spans="1:5" x14ac:dyDescent="0.2">
      <c r="A4735"/>
      <c r="B4735"/>
      <c r="C4735"/>
      <c r="D4735"/>
      <c r="E4735"/>
    </row>
    <row r="4736" spans="1:5" x14ac:dyDescent="0.2">
      <c r="A4736"/>
      <c r="B4736"/>
      <c r="C4736"/>
      <c r="D4736"/>
      <c r="E4736"/>
    </row>
    <row r="4737" spans="1:5" x14ac:dyDescent="0.2">
      <c r="A4737"/>
      <c r="B4737"/>
      <c r="C4737"/>
      <c r="D4737"/>
      <c r="E4737"/>
    </row>
    <row r="4738" spans="1:5" x14ac:dyDescent="0.2">
      <c r="A4738"/>
      <c r="B4738"/>
      <c r="C4738"/>
      <c r="D4738"/>
      <c r="E4738"/>
    </row>
    <row r="4739" spans="1:5" x14ac:dyDescent="0.2">
      <c r="A4739"/>
      <c r="B4739"/>
      <c r="C4739"/>
      <c r="D4739"/>
      <c r="E4739"/>
    </row>
    <row r="4740" spans="1:5" x14ac:dyDescent="0.2">
      <c r="A4740"/>
      <c r="B4740"/>
      <c r="C4740"/>
      <c r="D4740"/>
      <c r="E4740"/>
    </row>
    <row r="4741" spans="1:5" x14ac:dyDescent="0.2">
      <c r="A4741"/>
      <c r="B4741"/>
      <c r="C4741"/>
      <c r="D4741"/>
      <c r="E4741"/>
    </row>
    <row r="4742" spans="1:5" x14ac:dyDescent="0.2">
      <c r="A4742"/>
      <c r="B4742"/>
      <c r="C4742"/>
      <c r="D4742"/>
      <c r="E4742"/>
    </row>
    <row r="4743" spans="1:5" x14ac:dyDescent="0.2">
      <c r="A4743"/>
      <c r="B4743"/>
      <c r="C4743"/>
      <c r="D4743"/>
      <c r="E4743"/>
    </row>
    <row r="4744" spans="1:5" x14ac:dyDescent="0.2">
      <c r="A4744"/>
      <c r="B4744"/>
      <c r="C4744"/>
      <c r="D4744"/>
      <c r="E4744"/>
    </row>
    <row r="4745" spans="1:5" x14ac:dyDescent="0.2">
      <c r="A4745"/>
      <c r="B4745"/>
      <c r="C4745"/>
      <c r="D4745"/>
      <c r="E4745"/>
    </row>
    <row r="4746" spans="1:5" x14ac:dyDescent="0.2">
      <c r="A4746"/>
      <c r="B4746"/>
      <c r="C4746"/>
      <c r="D4746"/>
      <c r="E4746"/>
    </row>
    <row r="4747" spans="1:5" x14ac:dyDescent="0.2">
      <c r="A4747"/>
      <c r="B4747"/>
      <c r="C4747"/>
      <c r="D4747"/>
      <c r="E4747"/>
    </row>
    <row r="4748" spans="1:5" x14ac:dyDescent="0.2">
      <c r="A4748"/>
      <c r="B4748"/>
      <c r="C4748"/>
      <c r="D4748"/>
      <c r="E4748"/>
    </row>
    <row r="4749" spans="1:5" x14ac:dyDescent="0.2">
      <c r="A4749"/>
      <c r="B4749"/>
      <c r="C4749"/>
      <c r="D4749"/>
      <c r="E4749"/>
    </row>
    <row r="4750" spans="1:5" x14ac:dyDescent="0.2">
      <c r="A4750"/>
      <c r="B4750"/>
      <c r="C4750"/>
      <c r="D4750"/>
      <c r="E4750"/>
    </row>
    <row r="4751" spans="1:5" x14ac:dyDescent="0.2">
      <c r="A4751"/>
      <c r="B4751"/>
      <c r="C4751"/>
      <c r="D4751"/>
      <c r="E4751"/>
    </row>
    <row r="4752" spans="1:5" x14ac:dyDescent="0.2">
      <c r="A4752"/>
      <c r="B4752"/>
      <c r="C4752"/>
      <c r="D4752"/>
      <c r="E4752"/>
    </row>
    <row r="4753" spans="1:5" x14ac:dyDescent="0.2">
      <c r="A4753"/>
      <c r="B4753"/>
      <c r="C4753"/>
      <c r="D4753"/>
      <c r="E4753"/>
    </row>
    <row r="4754" spans="1:5" x14ac:dyDescent="0.2">
      <c r="A4754"/>
      <c r="B4754"/>
      <c r="C4754"/>
      <c r="D4754"/>
      <c r="E4754"/>
    </row>
    <row r="4755" spans="1:5" x14ac:dyDescent="0.2">
      <c r="A4755"/>
      <c r="B4755"/>
      <c r="C4755"/>
      <c r="D4755"/>
      <c r="E4755"/>
    </row>
    <row r="4756" spans="1:5" x14ac:dyDescent="0.2">
      <c r="A4756"/>
      <c r="B4756"/>
      <c r="C4756"/>
      <c r="D4756"/>
      <c r="E4756"/>
    </row>
    <row r="4757" spans="1:5" x14ac:dyDescent="0.2">
      <c r="A4757"/>
      <c r="B4757"/>
      <c r="C4757"/>
      <c r="D4757"/>
      <c r="E4757"/>
    </row>
    <row r="4758" spans="1:5" x14ac:dyDescent="0.2">
      <c r="A4758"/>
      <c r="B4758"/>
      <c r="C4758"/>
      <c r="D4758"/>
      <c r="E4758"/>
    </row>
    <row r="4759" spans="1:5" x14ac:dyDescent="0.2">
      <c r="A4759"/>
      <c r="B4759"/>
      <c r="C4759"/>
      <c r="D4759"/>
      <c r="E4759"/>
    </row>
    <row r="4760" spans="1:5" x14ac:dyDescent="0.2">
      <c r="A4760"/>
      <c r="B4760"/>
      <c r="C4760"/>
      <c r="D4760"/>
      <c r="E4760"/>
    </row>
    <row r="4761" spans="1:5" x14ac:dyDescent="0.2">
      <c r="A4761"/>
      <c r="B4761"/>
      <c r="C4761"/>
      <c r="D4761"/>
      <c r="E4761"/>
    </row>
    <row r="4762" spans="1:5" x14ac:dyDescent="0.2">
      <c r="A4762"/>
      <c r="B4762"/>
      <c r="C4762"/>
      <c r="D4762"/>
      <c r="E4762"/>
    </row>
    <row r="4763" spans="1:5" x14ac:dyDescent="0.2">
      <c r="A4763"/>
      <c r="B4763"/>
      <c r="C4763"/>
      <c r="D4763"/>
      <c r="E4763"/>
    </row>
    <row r="4764" spans="1:5" x14ac:dyDescent="0.2">
      <c r="A4764"/>
      <c r="B4764"/>
      <c r="C4764"/>
      <c r="D4764"/>
      <c r="E4764"/>
    </row>
    <row r="4765" spans="1:5" x14ac:dyDescent="0.2">
      <c r="A4765"/>
      <c r="B4765"/>
      <c r="C4765"/>
      <c r="D4765"/>
      <c r="E4765"/>
    </row>
    <row r="4766" spans="1:5" x14ac:dyDescent="0.2">
      <c r="A4766"/>
      <c r="B4766"/>
      <c r="C4766"/>
      <c r="D4766"/>
      <c r="E4766"/>
    </row>
    <row r="4767" spans="1:5" x14ac:dyDescent="0.2">
      <c r="A4767"/>
      <c r="B4767"/>
      <c r="C4767"/>
      <c r="D4767"/>
      <c r="E4767"/>
    </row>
    <row r="4768" spans="1:5" x14ac:dyDescent="0.2">
      <c r="A4768"/>
      <c r="B4768"/>
      <c r="C4768"/>
      <c r="D4768"/>
      <c r="E4768"/>
    </row>
    <row r="4769" spans="1:5" x14ac:dyDescent="0.2">
      <c r="A4769"/>
      <c r="B4769"/>
      <c r="C4769"/>
      <c r="D4769"/>
      <c r="E4769"/>
    </row>
    <row r="4770" spans="1:5" x14ac:dyDescent="0.2">
      <c r="A4770"/>
      <c r="B4770"/>
      <c r="C4770"/>
      <c r="D4770"/>
      <c r="E4770"/>
    </row>
    <row r="4771" spans="1:5" x14ac:dyDescent="0.2">
      <c r="A4771"/>
      <c r="B4771"/>
      <c r="C4771"/>
      <c r="D4771"/>
      <c r="E4771"/>
    </row>
    <row r="4772" spans="1:5" x14ac:dyDescent="0.2">
      <c r="A4772"/>
      <c r="B4772"/>
      <c r="C4772"/>
      <c r="D4772"/>
      <c r="E4772"/>
    </row>
    <row r="4773" spans="1:5" x14ac:dyDescent="0.2">
      <c r="A4773"/>
      <c r="B4773"/>
      <c r="C4773"/>
      <c r="D4773"/>
      <c r="E4773"/>
    </row>
    <row r="4774" spans="1:5" x14ac:dyDescent="0.2">
      <c r="A4774"/>
      <c r="B4774"/>
      <c r="C4774"/>
      <c r="D4774"/>
      <c r="E4774"/>
    </row>
    <row r="4775" spans="1:5" x14ac:dyDescent="0.2">
      <c r="A4775"/>
      <c r="B4775"/>
      <c r="C4775"/>
      <c r="D4775"/>
      <c r="E4775"/>
    </row>
    <row r="4776" spans="1:5" x14ac:dyDescent="0.2">
      <c r="A4776"/>
      <c r="B4776"/>
      <c r="C4776"/>
      <c r="D4776"/>
      <c r="E4776"/>
    </row>
    <row r="4777" spans="1:5" x14ac:dyDescent="0.2">
      <c r="A4777"/>
      <c r="B4777"/>
      <c r="C4777"/>
      <c r="D4777"/>
      <c r="E4777"/>
    </row>
    <row r="4778" spans="1:5" x14ac:dyDescent="0.2">
      <c r="A4778"/>
      <c r="B4778"/>
      <c r="C4778"/>
      <c r="D4778"/>
      <c r="E4778"/>
    </row>
    <row r="4779" spans="1:5" x14ac:dyDescent="0.2">
      <c r="A4779"/>
      <c r="B4779"/>
      <c r="C4779"/>
      <c r="D4779"/>
      <c r="E4779"/>
    </row>
    <row r="4780" spans="1:5" x14ac:dyDescent="0.2">
      <c r="A4780"/>
      <c r="B4780"/>
      <c r="C4780"/>
      <c r="D4780"/>
      <c r="E4780"/>
    </row>
    <row r="4781" spans="1:5" x14ac:dyDescent="0.2">
      <c r="A4781"/>
      <c r="B4781"/>
      <c r="C4781"/>
      <c r="D4781"/>
      <c r="E4781"/>
    </row>
    <row r="4782" spans="1:5" x14ac:dyDescent="0.2">
      <c r="A4782"/>
      <c r="B4782"/>
      <c r="C4782"/>
      <c r="D4782"/>
      <c r="E4782"/>
    </row>
    <row r="4783" spans="1:5" x14ac:dyDescent="0.2">
      <c r="A4783"/>
      <c r="B4783"/>
      <c r="C4783"/>
      <c r="D4783"/>
      <c r="E4783"/>
    </row>
    <row r="4784" spans="1:5" x14ac:dyDescent="0.2">
      <c r="A4784"/>
      <c r="B4784"/>
      <c r="C4784"/>
      <c r="D4784"/>
      <c r="E4784"/>
    </row>
    <row r="4785" spans="1:5" x14ac:dyDescent="0.2">
      <c r="A4785"/>
      <c r="B4785"/>
      <c r="C4785"/>
      <c r="D4785"/>
      <c r="E4785"/>
    </row>
    <row r="4786" spans="1:5" x14ac:dyDescent="0.2">
      <c r="A4786"/>
      <c r="B4786"/>
      <c r="C4786"/>
      <c r="D4786"/>
      <c r="E4786"/>
    </row>
    <row r="4787" spans="1:5" x14ac:dyDescent="0.2">
      <c r="A4787"/>
      <c r="B4787"/>
      <c r="C4787"/>
      <c r="D4787"/>
      <c r="E4787"/>
    </row>
    <row r="4788" spans="1:5" x14ac:dyDescent="0.2">
      <c r="A4788"/>
      <c r="B4788"/>
      <c r="C4788"/>
      <c r="D4788"/>
      <c r="E4788"/>
    </row>
    <row r="4789" spans="1:5" x14ac:dyDescent="0.2">
      <c r="A4789"/>
      <c r="B4789"/>
      <c r="C4789"/>
      <c r="D4789"/>
      <c r="E4789"/>
    </row>
    <row r="4790" spans="1:5" x14ac:dyDescent="0.2">
      <c r="A4790"/>
      <c r="B4790"/>
      <c r="C4790"/>
      <c r="D4790"/>
      <c r="E4790"/>
    </row>
    <row r="4791" spans="1:5" x14ac:dyDescent="0.2">
      <c r="A4791"/>
      <c r="B4791"/>
      <c r="C4791"/>
      <c r="D4791"/>
      <c r="E4791"/>
    </row>
    <row r="4792" spans="1:5" x14ac:dyDescent="0.2">
      <c r="A4792"/>
      <c r="B4792"/>
      <c r="C4792"/>
      <c r="D4792"/>
      <c r="E4792"/>
    </row>
    <row r="4793" spans="1:5" x14ac:dyDescent="0.2">
      <c r="A4793"/>
      <c r="B4793"/>
      <c r="C4793"/>
      <c r="D4793"/>
      <c r="E4793"/>
    </row>
    <row r="4794" spans="1:5" x14ac:dyDescent="0.2">
      <c r="A4794"/>
      <c r="B4794"/>
      <c r="C4794"/>
      <c r="D4794"/>
      <c r="E4794"/>
    </row>
    <row r="4795" spans="1:5" x14ac:dyDescent="0.2">
      <c r="A4795"/>
      <c r="B4795"/>
      <c r="C4795"/>
      <c r="D4795"/>
      <c r="E4795"/>
    </row>
    <row r="4796" spans="1:5" x14ac:dyDescent="0.2">
      <c r="A4796"/>
      <c r="B4796"/>
      <c r="C4796"/>
      <c r="D4796"/>
      <c r="E4796"/>
    </row>
    <row r="4797" spans="1:5" x14ac:dyDescent="0.2">
      <c r="A4797"/>
      <c r="B4797"/>
      <c r="C4797"/>
      <c r="D4797"/>
      <c r="E4797"/>
    </row>
    <row r="4798" spans="1:5" x14ac:dyDescent="0.2">
      <c r="A4798"/>
      <c r="B4798"/>
      <c r="C4798"/>
      <c r="D4798"/>
      <c r="E4798"/>
    </row>
    <row r="4799" spans="1:5" x14ac:dyDescent="0.2">
      <c r="A4799"/>
      <c r="B4799"/>
      <c r="C4799"/>
      <c r="D4799"/>
      <c r="E4799"/>
    </row>
    <row r="4800" spans="1:5" x14ac:dyDescent="0.2">
      <c r="A4800"/>
      <c r="B4800"/>
      <c r="C4800"/>
      <c r="D4800"/>
      <c r="E4800"/>
    </row>
    <row r="4801" spans="1:5" x14ac:dyDescent="0.2">
      <c r="A4801"/>
      <c r="B4801"/>
      <c r="C4801"/>
      <c r="D4801"/>
      <c r="E4801"/>
    </row>
    <row r="4802" spans="1:5" x14ac:dyDescent="0.2">
      <c r="A4802"/>
      <c r="B4802"/>
      <c r="C4802"/>
      <c r="D4802"/>
      <c r="E4802"/>
    </row>
    <row r="4803" spans="1:5" x14ac:dyDescent="0.2">
      <c r="A4803"/>
      <c r="B4803"/>
      <c r="C4803"/>
      <c r="D4803"/>
      <c r="E4803"/>
    </row>
    <row r="4804" spans="1:5" x14ac:dyDescent="0.2">
      <c r="A4804"/>
      <c r="B4804"/>
      <c r="C4804"/>
      <c r="D4804"/>
      <c r="E4804"/>
    </row>
    <row r="4805" spans="1:5" x14ac:dyDescent="0.2">
      <c r="A4805"/>
      <c r="B4805"/>
      <c r="C4805"/>
      <c r="D4805"/>
      <c r="E4805"/>
    </row>
    <row r="4806" spans="1:5" x14ac:dyDescent="0.2">
      <c r="A4806"/>
      <c r="B4806"/>
      <c r="C4806"/>
      <c r="D4806"/>
      <c r="E4806"/>
    </row>
    <row r="4807" spans="1:5" x14ac:dyDescent="0.2">
      <c r="A4807"/>
      <c r="B4807"/>
      <c r="C4807"/>
      <c r="D4807"/>
      <c r="E4807"/>
    </row>
    <row r="4808" spans="1:5" x14ac:dyDescent="0.2">
      <c r="A4808"/>
      <c r="B4808"/>
      <c r="C4808"/>
      <c r="D4808"/>
      <c r="E4808"/>
    </row>
    <row r="4809" spans="1:5" x14ac:dyDescent="0.2">
      <c r="A4809"/>
      <c r="B4809"/>
      <c r="C4809"/>
      <c r="D4809"/>
      <c r="E4809"/>
    </row>
    <row r="4810" spans="1:5" x14ac:dyDescent="0.2">
      <c r="A4810"/>
      <c r="B4810"/>
      <c r="C4810"/>
      <c r="D4810"/>
      <c r="E4810"/>
    </row>
    <row r="4811" spans="1:5" x14ac:dyDescent="0.2">
      <c r="A4811"/>
      <c r="B4811"/>
      <c r="C4811"/>
      <c r="D4811"/>
      <c r="E4811"/>
    </row>
    <row r="4812" spans="1:5" x14ac:dyDescent="0.2">
      <c r="A4812"/>
      <c r="B4812"/>
      <c r="C4812"/>
      <c r="D4812"/>
      <c r="E4812"/>
    </row>
    <row r="4813" spans="1:5" x14ac:dyDescent="0.2">
      <c r="A4813"/>
      <c r="B4813"/>
      <c r="C4813"/>
      <c r="D4813"/>
      <c r="E4813"/>
    </row>
    <row r="4814" spans="1:5" x14ac:dyDescent="0.2">
      <c r="A4814"/>
      <c r="B4814"/>
      <c r="C4814"/>
      <c r="D4814"/>
      <c r="E4814"/>
    </row>
    <row r="4815" spans="1:5" x14ac:dyDescent="0.2">
      <c r="A4815"/>
      <c r="B4815"/>
      <c r="C4815"/>
      <c r="D4815"/>
      <c r="E4815"/>
    </row>
    <row r="4816" spans="1:5" x14ac:dyDescent="0.2">
      <c r="A4816"/>
      <c r="B4816"/>
      <c r="C4816"/>
      <c r="D4816"/>
      <c r="E4816"/>
    </row>
    <row r="4817" spans="1:5" x14ac:dyDescent="0.2">
      <c r="A4817"/>
      <c r="B4817"/>
      <c r="C4817"/>
      <c r="D4817"/>
      <c r="E4817"/>
    </row>
    <row r="4818" spans="1:5" x14ac:dyDescent="0.2">
      <c r="A4818"/>
      <c r="B4818"/>
      <c r="C4818"/>
      <c r="D4818"/>
      <c r="E4818"/>
    </row>
    <row r="4819" spans="1:5" x14ac:dyDescent="0.2">
      <c r="A4819"/>
      <c r="B4819"/>
      <c r="C4819"/>
      <c r="D4819"/>
      <c r="E4819"/>
    </row>
    <row r="4820" spans="1:5" x14ac:dyDescent="0.2">
      <c r="A4820"/>
      <c r="B4820"/>
      <c r="C4820"/>
      <c r="D4820"/>
      <c r="E4820"/>
    </row>
    <row r="4821" spans="1:5" x14ac:dyDescent="0.2">
      <c r="A4821"/>
      <c r="B4821"/>
      <c r="C4821"/>
      <c r="D4821"/>
      <c r="E4821"/>
    </row>
    <row r="4822" spans="1:5" x14ac:dyDescent="0.2">
      <c r="A4822"/>
      <c r="B4822"/>
      <c r="C4822"/>
      <c r="D4822"/>
      <c r="E4822"/>
    </row>
    <row r="4823" spans="1:5" x14ac:dyDescent="0.2">
      <c r="A4823"/>
      <c r="B4823"/>
      <c r="C4823"/>
      <c r="D4823"/>
      <c r="E4823"/>
    </row>
    <row r="4824" spans="1:5" x14ac:dyDescent="0.2">
      <c r="A4824"/>
      <c r="B4824"/>
      <c r="C4824"/>
      <c r="D4824"/>
      <c r="E4824"/>
    </row>
    <row r="4825" spans="1:5" x14ac:dyDescent="0.2">
      <c r="A4825"/>
      <c r="B4825"/>
      <c r="C4825"/>
      <c r="D4825"/>
      <c r="E4825"/>
    </row>
    <row r="4826" spans="1:5" x14ac:dyDescent="0.2">
      <c r="A4826"/>
      <c r="B4826"/>
      <c r="C4826"/>
      <c r="D4826"/>
      <c r="E4826"/>
    </row>
    <row r="4827" spans="1:5" x14ac:dyDescent="0.2">
      <c r="A4827"/>
      <c r="B4827"/>
      <c r="C4827"/>
      <c r="D4827"/>
      <c r="E4827"/>
    </row>
    <row r="4828" spans="1:5" x14ac:dyDescent="0.2">
      <c r="A4828"/>
      <c r="B4828"/>
      <c r="C4828"/>
      <c r="D4828"/>
      <c r="E4828"/>
    </row>
    <row r="4829" spans="1:5" x14ac:dyDescent="0.2">
      <c r="A4829"/>
      <c r="B4829"/>
      <c r="C4829"/>
      <c r="D4829"/>
      <c r="E4829"/>
    </row>
    <row r="4830" spans="1:5" x14ac:dyDescent="0.2">
      <c r="A4830"/>
      <c r="B4830"/>
      <c r="C4830"/>
      <c r="D4830"/>
      <c r="E4830"/>
    </row>
    <row r="4831" spans="1:5" x14ac:dyDescent="0.2">
      <c r="A4831"/>
      <c r="B4831"/>
      <c r="C4831"/>
      <c r="D4831"/>
      <c r="E4831"/>
    </row>
    <row r="4832" spans="1:5" x14ac:dyDescent="0.2">
      <c r="A4832"/>
      <c r="B4832"/>
      <c r="C4832"/>
      <c r="D4832"/>
      <c r="E4832"/>
    </row>
    <row r="4833" spans="1:5" x14ac:dyDescent="0.2">
      <c r="A4833"/>
      <c r="B4833"/>
      <c r="C4833"/>
      <c r="D4833"/>
      <c r="E4833"/>
    </row>
    <row r="4834" spans="1:5" x14ac:dyDescent="0.2">
      <c r="A4834"/>
      <c r="B4834"/>
      <c r="C4834"/>
      <c r="D4834"/>
      <c r="E4834"/>
    </row>
    <row r="4835" spans="1:5" x14ac:dyDescent="0.2">
      <c r="A4835"/>
      <c r="B4835"/>
      <c r="C4835"/>
      <c r="D4835"/>
      <c r="E4835"/>
    </row>
    <row r="4836" spans="1:5" x14ac:dyDescent="0.2">
      <c r="A4836"/>
      <c r="B4836"/>
      <c r="C4836"/>
      <c r="D4836"/>
      <c r="E4836"/>
    </row>
    <row r="4837" spans="1:5" x14ac:dyDescent="0.2">
      <c r="A4837"/>
      <c r="B4837"/>
      <c r="C4837"/>
      <c r="D4837"/>
      <c r="E4837"/>
    </row>
    <row r="4838" spans="1:5" x14ac:dyDescent="0.2">
      <c r="A4838"/>
      <c r="B4838"/>
      <c r="C4838"/>
      <c r="D4838"/>
      <c r="E4838"/>
    </row>
    <row r="4839" spans="1:5" x14ac:dyDescent="0.2">
      <c r="A4839"/>
      <c r="B4839"/>
      <c r="C4839"/>
      <c r="D4839"/>
      <c r="E4839"/>
    </row>
    <row r="4840" spans="1:5" x14ac:dyDescent="0.2">
      <c r="A4840"/>
      <c r="B4840"/>
      <c r="C4840"/>
      <c r="D4840"/>
      <c r="E4840"/>
    </row>
    <row r="4841" spans="1:5" x14ac:dyDescent="0.2">
      <c r="A4841"/>
      <c r="B4841"/>
      <c r="C4841"/>
      <c r="D4841"/>
      <c r="E4841"/>
    </row>
    <row r="4842" spans="1:5" x14ac:dyDescent="0.2">
      <c r="A4842"/>
      <c r="B4842"/>
      <c r="C4842"/>
      <c r="D4842"/>
      <c r="E4842"/>
    </row>
    <row r="4843" spans="1:5" x14ac:dyDescent="0.2">
      <c r="A4843"/>
      <c r="B4843"/>
      <c r="C4843"/>
      <c r="D4843"/>
      <c r="E4843"/>
    </row>
    <row r="4844" spans="1:5" x14ac:dyDescent="0.2">
      <c r="A4844"/>
      <c r="B4844"/>
      <c r="C4844"/>
      <c r="D4844"/>
      <c r="E4844"/>
    </row>
    <row r="4845" spans="1:5" x14ac:dyDescent="0.2">
      <c r="A4845"/>
      <c r="B4845"/>
      <c r="C4845"/>
      <c r="D4845"/>
      <c r="E4845"/>
    </row>
    <row r="4846" spans="1:5" x14ac:dyDescent="0.2">
      <c r="A4846"/>
      <c r="B4846"/>
      <c r="C4846"/>
      <c r="D4846"/>
      <c r="E4846"/>
    </row>
    <row r="4847" spans="1:5" x14ac:dyDescent="0.2">
      <c r="A4847"/>
      <c r="B4847"/>
      <c r="C4847"/>
      <c r="D4847"/>
      <c r="E4847"/>
    </row>
    <row r="4848" spans="1:5" x14ac:dyDescent="0.2">
      <c r="A4848"/>
      <c r="B4848"/>
      <c r="C4848"/>
      <c r="D4848"/>
      <c r="E4848"/>
    </row>
    <row r="4849" spans="1:5" x14ac:dyDescent="0.2">
      <c r="A4849"/>
      <c r="B4849"/>
      <c r="C4849"/>
      <c r="D4849"/>
      <c r="E4849"/>
    </row>
    <row r="4850" spans="1:5" x14ac:dyDescent="0.2">
      <c r="A4850"/>
      <c r="B4850"/>
      <c r="C4850"/>
      <c r="D4850"/>
      <c r="E4850"/>
    </row>
    <row r="4851" spans="1:5" x14ac:dyDescent="0.2">
      <c r="A4851"/>
      <c r="B4851"/>
      <c r="C4851"/>
      <c r="D4851"/>
      <c r="E4851"/>
    </row>
    <row r="4852" spans="1:5" x14ac:dyDescent="0.2">
      <c r="A4852"/>
      <c r="B4852"/>
      <c r="C4852"/>
      <c r="D4852"/>
      <c r="E4852"/>
    </row>
    <row r="4853" spans="1:5" x14ac:dyDescent="0.2">
      <c r="A4853"/>
      <c r="B4853"/>
      <c r="C4853"/>
      <c r="D4853"/>
      <c r="E4853"/>
    </row>
    <row r="4854" spans="1:5" x14ac:dyDescent="0.2">
      <c r="A4854"/>
      <c r="B4854"/>
      <c r="C4854"/>
      <c r="D4854"/>
      <c r="E4854"/>
    </row>
    <row r="4855" spans="1:5" x14ac:dyDescent="0.2">
      <c r="A4855"/>
      <c r="B4855"/>
      <c r="C4855"/>
      <c r="D4855"/>
      <c r="E4855"/>
    </row>
    <row r="4856" spans="1:5" x14ac:dyDescent="0.2">
      <c r="A4856"/>
      <c r="B4856"/>
      <c r="C4856"/>
      <c r="D4856"/>
      <c r="E4856"/>
    </row>
    <row r="4857" spans="1:5" x14ac:dyDescent="0.2">
      <c r="A4857"/>
      <c r="B4857"/>
      <c r="C4857"/>
      <c r="D4857"/>
      <c r="E4857"/>
    </row>
    <row r="4858" spans="1:5" x14ac:dyDescent="0.2">
      <c r="A4858"/>
      <c r="B4858"/>
      <c r="C4858"/>
      <c r="D4858"/>
      <c r="E4858"/>
    </row>
    <row r="4859" spans="1:5" x14ac:dyDescent="0.2">
      <c r="A4859"/>
      <c r="B4859"/>
      <c r="C4859"/>
      <c r="D4859"/>
      <c r="E4859"/>
    </row>
    <row r="4860" spans="1:5" x14ac:dyDescent="0.2">
      <c r="A4860"/>
      <c r="B4860"/>
      <c r="C4860"/>
      <c r="D4860"/>
      <c r="E4860"/>
    </row>
    <row r="4861" spans="1:5" x14ac:dyDescent="0.2">
      <c r="A4861"/>
      <c r="B4861"/>
      <c r="C4861"/>
      <c r="D4861"/>
      <c r="E4861"/>
    </row>
    <row r="4862" spans="1:5" x14ac:dyDescent="0.2">
      <c r="A4862"/>
      <c r="B4862"/>
      <c r="C4862"/>
      <c r="D4862"/>
      <c r="E4862"/>
    </row>
    <row r="4863" spans="1:5" x14ac:dyDescent="0.2">
      <c r="A4863"/>
      <c r="B4863"/>
      <c r="C4863"/>
      <c r="D4863"/>
      <c r="E4863"/>
    </row>
    <row r="4864" spans="1:5" x14ac:dyDescent="0.2">
      <c r="A4864"/>
      <c r="B4864"/>
      <c r="C4864"/>
      <c r="D4864"/>
      <c r="E4864"/>
    </row>
    <row r="4865" spans="1:5" x14ac:dyDescent="0.2">
      <c r="A4865"/>
      <c r="B4865"/>
      <c r="C4865"/>
      <c r="D4865"/>
      <c r="E4865"/>
    </row>
    <row r="4866" spans="1:5" x14ac:dyDescent="0.2">
      <c r="A4866"/>
      <c r="B4866"/>
      <c r="C4866"/>
      <c r="D4866"/>
      <c r="E4866"/>
    </row>
    <row r="4867" spans="1:5" x14ac:dyDescent="0.2">
      <c r="A4867"/>
      <c r="B4867"/>
      <c r="C4867"/>
      <c r="D4867"/>
      <c r="E4867"/>
    </row>
    <row r="4868" spans="1:5" x14ac:dyDescent="0.2">
      <c r="A4868"/>
      <c r="B4868"/>
      <c r="C4868"/>
      <c r="D4868"/>
      <c r="E4868"/>
    </row>
    <row r="4869" spans="1:5" x14ac:dyDescent="0.2">
      <c r="A4869"/>
      <c r="B4869"/>
      <c r="C4869"/>
      <c r="D4869"/>
      <c r="E4869"/>
    </row>
    <row r="4870" spans="1:5" x14ac:dyDescent="0.2">
      <c r="A4870"/>
      <c r="B4870"/>
      <c r="C4870"/>
      <c r="D4870"/>
      <c r="E4870"/>
    </row>
    <row r="4871" spans="1:5" x14ac:dyDescent="0.2">
      <c r="A4871"/>
      <c r="B4871"/>
      <c r="C4871"/>
      <c r="D4871"/>
      <c r="E4871"/>
    </row>
    <row r="4872" spans="1:5" x14ac:dyDescent="0.2">
      <c r="A4872"/>
      <c r="B4872"/>
      <c r="C4872"/>
      <c r="D4872"/>
      <c r="E4872"/>
    </row>
    <row r="4873" spans="1:5" x14ac:dyDescent="0.2">
      <c r="A4873"/>
      <c r="B4873"/>
      <c r="C4873"/>
      <c r="D4873"/>
      <c r="E4873"/>
    </row>
    <row r="4874" spans="1:5" x14ac:dyDescent="0.2">
      <c r="A4874"/>
      <c r="B4874"/>
      <c r="C4874"/>
      <c r="D4874"/>
      <c r="E4874"/>
    </row>
    <row r="4875" spans="1:5" x14ac:dyDescent="0.2">
      <c r="A4875"/>
      <c r="B4875"/>
      <c r="C4875"/>
      <c r="D4875"/>
      <c r="E4875"/>
    </row>
    <row r="4876" spans="1:5" x14ac:dyDescent="0.2">
      <c r="A4876"/>
      <c r="B4876"/>
      <c r="C4876"/>
      <c r="D4876"/>
      <c r="E4876"/>
    </row>
    <row r="4877" spans="1:5" x14ac:dyDescent="0.2">
      <c r="A4877"/>
      <c r="B4877"/>
      <c r="C4877"/>
      <c r="D4877"/>
      <c r="E4877"/>
    </row>
    <row r="4878" spans="1:5" x14ac:dyDescent="0.2">
      <c r="A4878"/>
      <c r="B4878"/>
      <c r="C4878"/>
      <c r="D4878"/>
      <c r="E4878"/>
    </row>
    <row r="4879" spans="1:5" x14ac:dyDescent="0.2">
      <c r="A4879"/>
      <c r="B4879"/>
      <c r="C4879"/>
      <c r="D4879"/>
      <c r="E4879"/>
    </row>
    <row r="4880" spans="1:5" x14ac:dyDescent="0.2">
      <c r="A4880"/>
      <c r="B4880"/>
      <c r="C4880"/>
      <c r="D4880"/>
      <c r="E4880"/>
    </row>
    <row r="4881" spans="1:5" x14ac:dyDescent="0.2">
      <c r="A4881"/>
      <c r="B4881"/>
      <c r="C4881"/>
      <c r="D4881"/>
      <c r="E4881"/>
    </row>
    <row r="4882" spans="1:5" x14ac:dyDescent="0.2">
      <c r="A4882"/>
      <c r="B4882"/>
      <c r="C4882"/>
      <c r="D4882"/>
      <c r="E4882"/>
    </row>
    <row r="4883" spans="1:5" x14ac:dyDescent="0.2">
      <c r="A4883"/>
      <c r="B4883"/>
      <c r="C4883"/>
      <c r="D4883"/>
      <c r="E4883"/>
    </row>
    <row r="4884" spans="1:5" x14ac:dyDescent="0.2">
      <c r="A4884"/>
      <c r="B4884"/>
      <c r="C4884"/>
      <c r="D4884"/>
      <c r="E4884"/>
    </row>
    <row r="4885" spans="1:5" x14ac:dyDescent="0.2">
      <c r="A4885"/>
      <c r="B4885"/>
      <c r="C4885"/>
      <c r="D4885"/>
      <c r="E4885"/>
    </row>
    <row r="4886" spans="1:5" x14ac:dyDescent="0.2">
      <c r="A4886"/>
      <c r="B4886"/>
      <c r="C4886"/>
      <c r="D4886"/>
      <c r="E4886"/>
    </row>
    <row r="4887" spans="1:5" x14ac:dyDescent="0.2">
      <c r="A4887"/>
      <c r="B4887"/>
      <c r="C4887"/>
      <c r="D4887"/>
      <c r="E4887"/>
    </row>
    <row r="4888" spans="1:5" x14ac:dyDescent="0.2">
      <c r="A4888"/>
      <c r="B4888"/>
      <c r="C4888"/>
      <c r="D4888"/>
      <c r="E4888"/>
    </row>
    <row r="4889" spans="1:5" x14ac:dyDescent="0.2">
      <c r="A4889"/>
      <c r="B4889"/>
      <c r="C4889"/>
      <c r="D4889"/>
      <c r="E4889"/>
    </row>
    <row r="4890" spans="1:5" x14ac:dyDescent="0.2">
      <c r="A4890"/>
      <c r="B4890"/>
      <c r="C4890"/>
      <c r="D4890"/>
      <c r="E4890"/>
    </row>
    <row r="4891" spans="1:5" x14ac:dyDescent="0.2">
      <c r="A4891"/>
      <c r="B4891"/>
      <c r="C4891"/>
      <c r="D4891"/>
      <c r="E4891"/>
    </row>
    <row r="4892" spans="1:5" x14ac:dyDescent="0.2">
      <c r="A4892"/>
      <c r="B4892"/>
      <c r="C4892"/>
      <c r="D4892"/>
      <c r="E4892"/>
    </row>
    <row r="4893" spans="1:5" x14ac:dyDescent="0.2">
      <c r="A4893"/>
      <c r="B4893"/>
      <c r="C4893"/>
      <c r="D4893"/>
      <c r="E4893"/>
    </row>
    <row r="4894" spans="1:5" x14ac:dyDescent="0.2">
      <c r="A4894"/>
      <c r="B4894"/>
      <c r="C4894"/>
      <c r="D4894"/>
      <c r="E4894"/>
    </row>
    <row r="4895" spans="1:5" x14ac:dyDescent="0.2">
      <c r="A4895"/>
      <c r="B4895"/>
      <c r="C4895"/>
      <c r="D4895"/>
      <c r="E4895"/>
    </row>
    <row r="4896" spans="1:5" x14ac:dyDescent="0.2">
      <c r="A4896"/>
      <c r="B4896"/>
      <c r="C4896"/>
      <c r="D4896"/>
      <c r="E4896"/>
    </row>
    <row r="4897" spans="1:5" x14ac:dyDescent="0.2">
      <c r="A4897"/>
      <c r="B4897"/>
      <c r="C4897"/>
      <c r="D4897"/>
      <c r="E4897"/>
    </row>
    <row r="4898" spans="1:5" x14ac:dyDescent="0.2">
      <c r="A4898"/>
      <c r="B4898"/>
      <c r="C4898"/>
      <c r="D4898"/>
      <c r="E4898"/>
    </row>
    <row r="4899" spans="1:5" x14ac:dyDescent="0.2">
      <c r="A4899"/>
      <c r="B4899"/>
      <c r="C4899"/>
      <c r="D4899"/>
      <c r="E4899"/>
    </row>
    <row r="4900" spans="1:5" x14ac:dyDescent="0.2">
      <c r="A4900"/>
      <c r="B4900"/>
      <c r="C4900"/>
      <c r="D4900"/>
      <c r="E4900"/>
    </row>
    <row r="4901" spans="1:5" x14ac:dyDescent="0.2">
      <c r="A4901"/>
      <c r="B4901"/>
      <c r="C4901"/>
      <c r="D4901"/>
      <c r="E4901"/>
    </row>
    <row r="4902" spans="1:5" x14ac:dyDescent="0.2">
      <c r="A4902"/>
      <c r="B4902"/>
      <c r="C4902"/>
      <c r="D4902"/>
      <c r="E4902"/>
    </row>
    <row r="4903" spans="1:5" x14ac:dyDescent="0.2">
      <c r="A4903"/>
      <c r="B4903"/>
      <c r="C4903"/>
      <c r="D4903"/>
      <c r="E4903"/>
    </row>
    <row r="4904" spans="1:5" x14ac:dyDescent="0.2">
      <c r="A4904"/>
      <c r="B4904"/>
      <c r="C4904"/>
      <c r="D4904"/>
      <c r="E4904"/>
    </row>
    <row r="4905" spans="1:5" x14ac:dyDescent="0.2">
      <c r="A4905"/>
      <c r="B4905"/>
      <c r="C4905"/>
      <c r="D4905"/>
      <c r="E4905"/>
    </row>
    <row r="4906" spans="1:5" x14ac:dyDescent="0.2">
      <c r="A4906"/>
      <c r="B4906"/>
      <c r="C4906"/>
      <c r="D4906"/>
      <c r="E4906"/>
    </row>
    <row r="4907" spans="1:5" x14ac:dyDescent="0.2">
      <c r="A4907"/>
      <c r="B4907"/>
      <c r="C4907"/>
      <c r="D4907"/>
      <c r="E4907"/>
    </row>
    <row r="4908" spans="1:5" x14ac:dyDescent="0.2">
      <c r="A4908"/>
      <c r="B4908"/>
      <c r="C4908"/>
      <c r="D4908"/>
      <c r="E4908"/>
    </row>
    <row r="4909" spans="1:5" x14ac:dyDescent="0.2">
      <c r="A4909"/>
      <c r="B4909"/>
      <c r="C4909"/>
      <c r="D4909"/>
      <c r="E4909"/>
    </row>
    <row r="4910" spans="1:5" x14ac:dyDescent="0.2">
      <c r="A4910"/>
      <c r="B4910"/>
      <c r="C4910"/>
      <c r="D4910"/>
      <c r="E4910"/>
    </row>
    <row r="4911" spans="1:5" x14ac:dyDescent="0.2">
      <c r="A4911"/>
      <c r="B4911"/>
      <c r="C4911"/>
      <c r="D4911"/>
      <c r="E4911"/>
    </row>
    <row r="4912" spans="1:5" x14ac:dyDescent="0.2">
      <c r="A4912"/>
      <c r="B4912"/>
      <c r="C4912"/>
      <c r="D4912"/>
      <c r="E4912"/>
    </row>
    <row r="4913" spans="1:5" x14ac:dyDescent="0.2">
      <c r="A4913"/>
      <c r="B4913"/>
      <c r="C4913"/>
      <c r="D4913"/>
      <c r="E4913"/>
    </row>
    <row r="4914" spans="1:5" x14ac:dyDescent="0.2">
      <c r="A4914"/>
      <c r="B4914"/>
      <c r="C4914"/>
      <c r="D4914"/>
      <c r="E4914"/>
    </row>
    <row r="4915" spans="1:5" x14ac:dyDescent="0.2">
      <c r="A4915"/>
      <c r="B4915"/>
      <c r="C4915"/>
      <c r="D4915"/>
      <c r="E4915"/>
    </row>
    <row r="4916" spans="1:5" x14ac:dyDescent="0.2">
      <c r="A4916"/>
      <c r="B4916"/>
      <c r="C4916"/>
      <c r="D4916"/>
      <c r="E4916"/>
    </row>
    <row r="4917" spans="1:5" x14ac:dyDescent="0.2">
      <c r="A4917"/>
      <c r="B4917"/>
      <c r="C4917"/>
      <c r="D4917"/>
      <c r="E4917"/>
    </row>
    <row r="4918" spans="1:5" x14ac:dyDescent="0.2">
      <c r="A4918"/>
      <c r="B4918"/>
      <c r="C4918"/>
      <c r="D4918"/>
      <c r="E4918"/>
    </row>
    <row r="4919" spans="1:5" x14ac:dyDescent="0.2">
      <c r="A4919"/>
      <c r="B4919"/>
      <c r="C4919"/>
      <c r="D4919"/>
      <c r="E4919"/>
    </row>
    <row r="4920" spans="1:5" x14ac:dyDescent="0.2">
      <c r="A4920"/>
      <c r="B4920"/>
      <c r="C4920"/>
      <c r="D4920"/>
      <c r="E4920"/>
    </row>
    <row r="4921" spans="1:5" x14ac:dyDescent="0.2">
      <c r="A4921"/>
      <c r="B4921"/>
      <c r="C4921"/>
      <c r="D4921"/>
      <c r="E4921"/>
    </row>
    <row r="4922" spans="1:5" x14ac:dyDescent="0.2">
      <c r="A4922"/>
      <c r="B4922"/>
      <c r="C4922"/>
      <c r="D4922"/>
      <c r="E4922"/>
    </row>
    <row r="4923" spans="1:5" x14ac:dyDescent="0.2">
      <c r="A4923"/>
      <c r="B4923"/>
      <c r="C4923"/>
      <c r="D4923"/>
      <c r="E4923"/>
    </row>
    <row r="4924" spans="1:5" x14ac:dyDescent="0.2">
      <c r="A4924"/>
      <c r="B4924"/>
      <c r="C4924"/>
      <c r="D4924"/>
      <c r="E4924"/>
    </row>
    <row r="4925" spans="1:5" x14ac:dyDescent="0.2">
      <c r="A4925"/>
      <c r="B4925"/>
      <c r="C4925"/>
      <c r="D4925"/>
      <c r="E4925"/>
    </row>
    <row r="4926" spans="1:5" x14ac:dyDescent="0.2">
      <c r="A4926"/>
      <c r="B4926"/>
      <c r="C4926"/>
      <c r="D4926"/>
      <c r="E4926"/>
    </row>
    <row r="4927" spans="1:5" x14ac:dyDescent="0.2">
      <c r="A4927"/>
      <c r="B4927"/>
      <c r="C4927"/>
      <c r="D4927"/>
      <c r="E4927"/>
    </row>
    <row r="4928" spans="1:5" x14ac:dyDescent="0.2">
      <c r="A4928"/>
      <c r="B4928"/>
      <c r="C4928"/>
      <c r="D4928"/>
      <c r="E4928"/>
    </row>
    <row r="4929" spans="1:5" x14ac:dyDescent="0.2">
      <c r="A4929"/>
      <c r="B4929"/>
      <c r="C4929"/>
      <c r="D4929"/>
      <c r="E4929"/>
    </row>
    <row r="4930" spans="1:5" x14ac:dyDescent="0.2">
      <c r="A4930"/>
      <c r="B4930"/>
      <c r="C4930"/>
      <c r="D4930"/>
      <c r="E4930"/>
    </row>
    <row r="4931" spans="1:5" x14ac:dyDescent="0.2">
      <c r="A4931"/>
      <c r="B4931"/>
      <c r="C4931"/>
      <c r="D4931"/>
      <c r="E4931"/>
    </row>
    <row r="4932" spans="1:5" x14ac:dyDescent="0.2">
      <c r="A4932"/>
      <c r="B4932"/>
      <c r="C4932"/>
      <c r="D4932"/>
      <c r="E4932"/>
    </row>
    <row r="4933" spans="1:5" x14ac:dyDescent="0.2">
      <c r="A4933"/>
      <c r="B4933"/>
      <c r="C4933"/>
      <c r="D4933"/>
      <c r="E4933"/>
    </row>
    <row r="4934" spans="1:5" x14ac:dyDescent="0.2">
      <c r="A4934"/>
      <c r="B4934"/>
      <c r="C4934"/>
      <c r="D4934"/>
      <c r="E4934"/>
    </row>
    <row r="4935" spans="1:5" x14ac:dyDescent="0.2">
      <c r="A4935"/>
      <c r="B4935"/>
      <c r="C4935"/>
      <c r="D4935"/>
      <c r="E4935"/>
    </row>
    <row r="4936" spans="1:5" x14ac:dyDescent="0.2">
      <c r="A4936"/>
      <c r="B4936"/>
      <c r="C4936"/>
      <c r="D4936"/>
      <c r="E4936"/>
    </row>
    <row r="4937" spans="1:5" x14ac:dyDescent="0.2">
      <c r="A4937"/>
      <c r="B4937"/>
      <c r="C4937"/>
      <c r="D4937"/>
      <c r="E4937"/>
    </row>
    <row r="4938" spans="1:5" x14ac:dyDescent="0.2">
      <c r="A4938"/>
      <c r="B4938"/>
      <c r="C4938"/>
      <c r="D4938"/>
      <c r="E4938"/>
    </row>
    <row r="4939" spans="1:5" x14ac:dyDescent="0.2">
      <c r="A4939"/>
      <c r="B4939"/>
      <c r="C4939"/>
      <c r="D4939"/>
      <c r="E4939"/>
    </row>
    <row r="4940" spans="1:5" x14ac:dyDescent="0.2">
      <c r="A4940"/>
      <c r="B4940"/>
      <c r="C4940"/>
      <c r="D4940"/>
      <c r="E4940"/>
    </row>
    <row r="4941" spans="1:5" x14ac:dyDescent="0.2">
      <c r="A4941"/>
      <c r="B4941"/>
      <c r="C4941"/>
      <c r="D4941"/>
      <c r="E4941"/>
    </row>
    <row r="4942" spans="1:5" x14ac:dyDescent="0.2">
      <c r="A4942"/>
      <c r="B4942"/>
      <c r="C4942"/>
      <c r="D4942"/>
      <c r="E4942"/>
    </row>
    <row r="4943" spans="1:5" x14ac:dyDescent="0.2">
      <c r="A4943"/>
      <c r="B4943"/>
      <c r="C4943"/>
      <c r="D4943"/>
      <c r="E4943"/>
    </row>
    <row r="4944" spans="1:5" x14ac:dyDescent="0.2">
      <c r="A4944"/>
      <c r="B4944"/>
      <c r="C4944"/>
      <c r="D4944"/>
      <c r="E4944"/>
    </row>
    <row r="4945" spans="1:5" x14ac:dyDescent="0.2">
      <c r="A4945"/>
      <c r="B4945"/>
      <c r="C4945"/>
      <c r="D4945"/>
      <c r="E4945"/>
    </row>
    <row r="4946" spans="1:5" x14ac:dyDescent="0.2">
      <c r="A4946"/>
      <c r="B4946"/>
      <c r="C4946"/>
      <c r="D4946"/>
      <c r="E4946"/>
    </row>
    <row r="4947" spans="1:5" x14ac:dyDescent="0.2">
      <c r="A4947"/>
      <c r="B4947"/>
      <c r="C4947"/>
      <c r="D4947"/>
      <c r="E4947"/>
    </row>
    <row r="4948" spans="1:5" x14ac:dyDescent="0.2">
      <c r="A4948"/>
      <c r="B4948"/>
      <c r="C4948"/>
      <c r="D4948"/>
      <c r="E4948"/>
    </row>
    <row r="4949" spans="1:5" x14ac:dyDescent="0.2">
      <c r="A4949"/>
      <c r="B4949"/>
      <c r="C4949"/>
      <c r="D4949"/>
      <c r="E4949"/>
    </row>
    <row r="4950" spans="1:5" x14ac:dyDescent="0.2">
      <c r="A4950"/>
      <c r="B4950"/>
      <c r="C4950"/>
      <c r="D4950"/>
      <c r="E4950"/>
    </row>
    <row r="4951" spans="1:5" x14ac:dyDescent="0.2">
      <c r="A4951"/>
      <c r="B4951"/>
      <c r="C4951"/>
      <c r="D4951"/>
      <c r="E4951"/>
    </row>
    <row r="4952" spans="1:5" x14ac:dyDescent="0.2">
      <c r="A4952"/>
      <c r="B4952"/>
      <c r="C4952"/>
      <c r="D4952"/>
      <c r="E4952"/>
    </row>
    <row r="4953" spans="1:5" x14ac:dyDescent="0.2">
      <c r="A4953"/>
      <c r="B4953"/>
      <c r="C4953"/>
      <c r="D4953"/>
      <c r="E4953"/>
    </row>
    <row r="4954" spans="1:5" x14ac:dyDescent="0.2">
      <c r="A4954"/>
      <c r="B4954"/>
      <c r="C4954"/>
      <c r="D4954"/>
      <c r="E4954"/>
    </row>
    <row r="4955" spans="1:5" x14ac:dyDescent="0.2">
      <c r="A4955"/>
      <c r="B4955"/>
      <c r="C4955"/>
      <c r="D4955"/>
      <c r="E4955"/>
    </row>
    <row r="4956" spans="1:5" x14ac:dyDescent="0.2">
      <c r="A4956"/>
      <c r="B4956"/>
      <c r="C4956"/>
      <c r="D4956"/>
      <c r="E4956"/>
    </row>
    <row r="4957" spans="1:5" x14ac:dyDescent="0.2">
      <c r="A4957"/>
      <c r="B4957"/>
      <c r="C4957"/>
      <c r="D4957"/>
      <c r="E4957"/>
    </row>
    <row r="4958" spans="1:5" x14ac:dyDescent="0.2">
      <c r="A4958"/>
      <c r="B4958"/>
      <c r="C4958"/>
      <c r="D4958"/>
      <c r="E4958"/>
    </row>
    <row r="4959" spans="1:5" x14ac:dyDescent="0.2">
      <c r="A4959"/>
      <c r="B4959"/>
      <c r="C4959"/>
      <c r="D4959"/>
      <c r="E4959"/>
    </row>
    <row r="4960" spans="1:5" x14ac:dyDescent="0.2">
      <c r="A4960"/>
      <c r="B4960"/>
      <c r="C4960"/>
      <c r="D4960"/>
      <c r="E4960"/>
    </row>
    <row r="4961" spans="1:5" x14ac:dyDescent="0.2">
      <c r="A4961"/>
      <c r="B4961"/>
      <c r="C4961"/>
      <c r="D4961"/>
      <c r="E4961"/>
    </row>
    <row r="4962" spans="1:5" x14ac:dyDescent="0.2">
      <c r="A4962"/>
      <c r="B4962"/>
      <c r="C4962"/>
      <c r="D4962"/>
      <c r="E4962"/>
    </row>
    <row r="4963" spans="1:5" x14ac:dyDescent="0.2">
      <c r="A4963"/>
      <c r="B4963"/>
      <c r="C4963"/>
      <c r="D4963"/>
      <c r="E4963"/>
    </row>
    <row r="4964" spans="1:5" x14ac:dyDescent="0.2">
      <c r="A4964"/>
      <c r="B4964"/>
      <c r="C4964"/>
      <c r="D4964"/>
      <c r="E4964"/>
    </row>
    <row r="4965" spans="1:5" x14ac:dyDescent="0.2">
      <c r="A4965"/>
      <c r="B4965"/>
      <c r="C4965"/>
      <c r="D4965"/>
      <c r="E4965"/>
    </row>
    <row r="4966" spans="1:5" x14ac:dyDescent="0.2">
      <c r="A4966"/>
      <c r="B4966"/>
      <c r="C4966"/>
      <c r="D4966"/>
      <c r="E4966"/>
    </row>
    <row r="4967" spans="1:5" x14ac:dyDescent="0.2">
      <c r="A4967"/>
      <c r="B4967"/>
      <c r="C4967"/>
      <c r="D4967"/>
      <c r="E4967"/>
    </row>
    <row r="4968" spans="1:5" x14ac:dyDescent="0.2">
      <c r="A4968"/>
      <c r="B4968"/>
      <c r="C4968"/>
      <c r="D4968"/>
      <c r="E4968"/>
    </row>
    <row r="4969" spans="1:5" x14ac:dyDescent="0.2">
      <c r="A4969"/>
      <c r="B4969"/>
      <c r="C4969"/>
      <c r="D4969"/>
      <c r="E4969"/>
    </row>
    <row r="4970" spans="1:5" x14ac:dyDescent="0.2">
      <c r="A4970"/>
      <c r="B4970"/>
      <c r="C4970"/>
      <c r="D4970"/>
      <c r="E4970"/>
    </row>
    <row r="4971" spans="1:5" x14ac:dyDescent="0.2">
      <c r="A4971"/>
      <c r="B4971"/>
      <c r="C4971"/>
      <c r="D4971"/>
      <c r="E4971"/>
    </row>
    <row r="4972" spans="1:5" x14ac:dyDescent="0.2">
      <c r="A4972"/>
      <c r="B4972"/>
      <c r="C4972"/>
      <c r="D4972"/>
      <c r="E4972"/>
    </row>
    <row r="4973" spans="1:5" x14ac:dyDescent="0.2">
      <c r="A4973"/>
      <c r="B4973"/>
      <c r="C4973"/>
      <c r="D4973"/>
      <c r="E4973"/>
    </row>
    <row r="4974" spans="1:5" x14ac:dyDescent="0.2">
      <c r="A4974"/>
      <c r="B4974"/>
      <c r="C4974"/>
      <c r="D4974"/>
      <c r="E4974"/>
    </row>
    <row r="4975" spans="1:5" x14ac:dyDescent="0.2">
      <c r="A4975"/>
      <c r="B4975"/>
      <c r="C4975"/>
      <c r="D4975"/>
      <c r="E4975"/>
    </row>
    <row r="4976" spans="1:5" x14ac:dyDescent="0.2">
      <c r="A4976"/>
      <c r="B4976"/>
      <c r="C4976"/>
      <c r="D4976"/>
      <c r="E4976"/>
    </row>
    <row r="4977" spans="1:5" x14ac:dyDescent="0.2">
      <c r="A4977"/>
      <c r="B4977"/>
      <c r="C4977"/>
      <c r="D4977"/>
      <c r="E4977"/>
    </row>
    <row r="4978" spans="1:5" x14ac:dyDescent="0.2">
      <c r="A4978"/>
      <c r="B4978"/>
      <c r="C4978"/>
      <c r="D4978"/>
      <c r="E4978"/>
    </row>
    <row r="4979" spans="1:5" x14ac:dyDescent="0.2">
      <c r="A4979"/>
      <c r="B4979"/>
      <c r="C4979"/>
      <c r="D4979"/>
      <c r="E4979"/>
    </row>
    <row r="4980" spans="1:5" x14ac:dyDescent="0.2">
      <c r="A4980"/>
      <c r="B4980"/>
      <c r="C4980"/>
      <c r="D4980"/>
      <c r="E4980"/>
    </row>
    <row r="4981" spans="1:5" x14ac:dyDescent="0.2">
      <c r="A4981"/>
      <c r="B4981"/>
      <c r="C4981"/>
      <c r="D4981"/>
      <c r="E4981"/>
    </row>
    <row r="4982" spans="1:5" x14ac:dyDescent="0.2">
      <c r="A4982"/>
      <c r="B4982"/>
      <c r="C4982"/>
      <c r="D4982"/>
      <c r="E4982"/>
    </row>
    <row r="4983" spans="1:5" x14ac:dyDescent="0.2">
      <c r="A4983"/>
      <c r="B4983"/>
      <c r="C4983"/>
      <c r="D4983"/>
      <c r="E4983"/>
    </row>
    <row r="4984" spans="1:5" x14ac:dyDescent="0.2">
      <c r="A4984"/>
      <c r="B4984"/>
      <c r="C4984"/>
      <c r="D4984"/>
      <c r="E4984"/>
    </row>
    <row r="4985" spans="1:5" x14ac:dyDescent="0.2">
      <c r="A4985"/>
      <c r="B4985"/>
      <c r="C4985"/>
      <c r="D4985"/>
      <c r="E4985"/>
    </row>
    <row r="4986" spans="1:5" x14ac:dyDescent="0.2">
      <c r="A4986"/>
      <c r="B4986"/>
      <c r="C4986"/>
      <c r="D4986"/>
      <c r="E4986"/>
    </row>
    <row r="4987" spans="1:5" x14ac:dyDescent="0.2">
      <c r="A4987"/>
      <c r="B4987"/>
      <c r="C4987"/>
      <c r="D4987"/>
      <c r="E4987"/>
    </row>
    <row r="4988" spans="1:5" x14ac:dyDescent="0.2">
      <c r="A4988"/>
      <c r="B4988"/>
      <c r="C4988"/>
      <c r="D4988"/>
      <c r="E4988"/>
    </row>
    <row r="4989" spans="1:5" x14ac:dyDescent="0.2">
      <c r="A4989"/>
      <c r="B4989"/>
      <c r="C4989"/>
      <c r="D4989"/>
      <c r="E4989"/>
    </row>
    <row r="4990" spans="1:5" x14ac:dyDescent="0.2">
      <c r="A4990"/>
      <c r="B4990"/>
      <c r="C4990"/>
      <c r="D4990"/>
      <c r="E4990"/>
    </row>
    <row r="4991" spans="1:5" x14ac:dyDescent="0.2">
      <c r="A4991"/>
      <c r="B4991"/>
      <c r="C4991"/>
      <c r="D4991"/>
      <c r="E4991"/>
    </row>
    <row r="4992" spans="1:5" x14ac:dyDescent="0.2">
      <c r="A4992"/>
      <c r="B4992"/>
      <c r="C4992"/>
      <c r="D4992"/>
      <c r="E4992"/>
    </row>
    <row r="4993" spans="1:5" x14ac:dyDescent="0.2">
      <c r="A4993"/>
      <c r="B4993"/>
      <c r="C4993"/>
      <c r="D4993"/>
      <c r="E4993"/>
    </row>
    <row r="4994" spans="1:5" x14ac:dyDescent="0.2">
      <c r="A4994"/>
      <c r="B4994"/>
      <c r="C4994"/>
      <c r="D4994"/>
      <c r="E4994"/>
    </row>
    <row r="4995" spans="1:5" x14ac:dyDescent="0.2">
      <c r="A4995"/>
      <c r="B4995"/>
      <c r="C4995"/>
      <c r="D4995"/>
      <c r="E4995"/>
    </row>
    <row r="4996" spans="1:5" x14ac:dyDescent="0.2">
      <c r="A4996"/>
      <c r="B4996"/>
      <c r="C4996"/>
      <c r="D4996"/>
      <c r="E4996"/>
    </row>
    <row r="4997" spans="1:5" x14ac:dyDescent="0.2">
      <c r="A4997"/>
      <c r="B4997"/>
      <c r="C4997"/>
      <c r="D4997"/>
      <c r="E4997"/>
    </row>
    <row r="4998" spans="1:5" x14ac:dyDescent="0.2">
      <c r="A4998"/>
      <c r="B4998"/>
      <c r="C4998"/>
      <c r="D4998"/>
      <c r="E4998"/>
    </row>
    <row r="4999" spans="1:5" x14ac:dyDescent="0.2">
      <c r="A4999"/>
      <c r="B4999"/>
      <c r="C4999"/>
      <c r="D4999"/>
      <c r="E4999"/>
    </row>
    <row r="5000" spans="1:5" x14ac:dyDescent="0.2">
      <c r="A5000"/>
      <c r="B5000"/>
      <c r="C5000"/>
      <c r="D5000"/>
      <c r="E5000"/>
    </row>
    <row r="5001" spans="1:5" x14ac:dyDescent="0.2">
      <c r="A5001"/>
      <c r="B5001"/>
      <c r="C5001"/>
      <c r="D5001"/>
      <c r="E5001"/>
    </row>
    <row r="5002" spans="1:5" x14ac:dyDescent="0.2">
      <c r="A5002"/>
      <c r="B5002"/>
      <c r="C5002"/>
      <c r="D5002"/>
      <c r="E5002"/>
    </row>
    <row r="5003" spans="1:5" x14ac:dyDescent="0.2">
      <c r="A5003"/>
      <c r="B5003"/>
      <c r="C5003"/>
      <c r="D5003"/>
      <c r="E5003"/>
    </row>
    <row r="5004" spans="1:5" x14ac:dyDescent="0.2">
      <c r="A5004"/>
      <c r="B5004"/>
      <c r="C5004"/>
      <c r="D5004"/>
      <c r="E5004"/>
    </row>
    <row r="5005" spans="1:5" x14ac:dyDescent="0.2">
      <c r="A5005"/>
      <c r="B5005"/>
      <c r="C5005"/>
      <c r="D5005"/>
      <c r="E5005"/>
    </row>
    <row r="5006" spans="1:5" x14ac:dyDescent="0.2">
      <c r="A5006"/>
      <c r="B5006"/>
      <c r="C5006"/>
      <c r="D5006"/>
      <c r="E5006"/>
    </row>
    <row r="5007" spans="1:5" x14ac:dyDescent="0.2">
      <c r="A5007"/>
      <c r="B5007"/>
      <c r="C5007"/>
      <c r="D5007"/>
      <c r="E5007"/>
    </row>
    <row r="5008" spans="1:5" x14ac:dyDescent="0.2">
      <c r="A5008"/>
      <c r="B5008"/>
      <c r="C5008"/>
      <c r="D5008"/>
      <c r="E5008"/>
    </row>
    <row r="5009" spans="1:5" x14ac:dyDescent="0.2">
      <c r="A5009"/>
      <c r="B5009"/>
      <c r="C5009"/>
      <c r="D5009"/>
      <c r="E5009"/>
    </row>
    <row r="5010" spans="1:5" x14ac:dyDescent="0.2">
      <c r="A5010"/>
      <c r="B5010"/>
      <c r="C5010"/>
      <c r="D5010"/>
      <c r="E5010"/>
    </row>
    <row r="5011" spans="1:5" x14ac:dyDescent="0.2">
      <c r="A5011"/>
      <c r="B5011"/>
      <c r="C5011"/>
      <c r="D5011"/>
      <c r="E5011"/>
    </row>
    <row r="5012" spans="1:5" x14ac:dyDescent="0.2">
      <c r="A5012"/>
      <c r="B5012"/>
      <c r="C5012"/>
      <c r="D5012"/>
      <c r="E5012"/>
    </row>
    <row r="5013" spans="1:5" x14ac:dyDescent="0.2">
      <c r="A5013"/>
      <c r="B5013"/>
      <c r="C5013"/>
      <c r="D5013"/>
      <c r="E5013"/>
    </row>
    <row r="5014" spans="1:5" x14ac:dyDescent="0.2">
      <c r="A5014"/>
      <c r="B5014"/>
      <c r="C5014"/>
      <c r="D5014"/>
      <c r="E5014"/>
    </row>
    <row r="5015" spans="1:5" x14ac:dyDescent="0.2">
      <c r="A5015"/>
      <c r="B5015"/>
      <c r="C5015"/>
      <c r="D5015"/>
      <c r="E5015"/>
    </row>
    <row r="5016" spans="1:5" x14ac:dyDescent="0.2">
      <c r="A5016"/>
      <c r="B5016"/>
      <c r="C5016"/>
      <c r="D5016"/>
      <c r="E5016"/>
    </row>
    <row r="5017" spans="1:5" x14ac:dyDescent="0.2">
      <c r="A5017"/>
      <c r="B5017"/>
      <c r="C5017"/>
      <c r="D5017"/>
      <c r="E5017"/>
    </row>
    <row r="5018" spans="1:5" x14ac:dyDescent="0.2">
      <c r="A5018"/>
      <c r="B5018"/>
      <c r="C5018"/>
      <c r="D5018"/>
      <c r="E5018"/>
    </row>
    <row r="5019" spans="1:5" x14ac:dyDescent="0.2">
      <c r="A5019"/>
      <c r="B5019"/>
      <c r="C5019"/>
      <c r="D5019"/>
      <c r="E5019"/>
    </row>
    <row r="5020" spans="1:5" x14ac:dyDescent="0.2">
      <c r="A5020"/>
      <c r="B5020"/>
      <c r="C5020"/>
      <c r="D5020"/>
      <c r="E5020"/>
    </row>
    <row r="5021" spans="1:5" x14ac:dyDescent="0.2">
      <c r="A5021"/>
      <c r="B5021"/>
      <c r="C5021"/>
      <c r="D5021"/>
      <c r="E5021"/>
    </row>
    <row r="5022" spans="1:5" x14ac:dyDescent="0.2">
      <c r="A5022"/>
      <c r="B5022"/>
      <c r="C5022"/>
      <c r="D5022"/>
      <c r="E5022"/>
    </row>
    <row r="5023" spans="1:5" x14ac:dyDescent="0.2">
      <c r="A5023"/>
      <c r="B5023"/>
      <c r="C5023"/>
      <c r="D5023"/>
      <c r="E5023"/>
    </row>
    <row r="5024" spans="1:5" x14ac:dyDescent="0.2">
      <c r="A5024"/>
      <c r="B5024"/>
      <c r="C5024"/>
      <c r="D5024"/>
      <c r="E5024"/>
    </row>
    <row r="5025" spans="1:5" x14ac:dyDescent="0.2">
      <c r="A5025"/>
      <c r="B5025"/>
      <c r="C5025"/>
      <c r="D5025"/>
      <c r="E5025"/>
    </row>
    <row r="5026" spans="1:5" x14ac:dyDescent="0.2">
      <c r="A5026"/>
      <c r="B5026"/>
      <c r="C5026"/>
      <c r="D5026"/>
      <c r="E5026"/>
    </row>
    <row r="5027" spans="1:5" x14ac:dyDescent="0.2">
      <c r="A5027"/>
      <c r="B5027"/>
      <c r="C5027"/>
      <c r="D5027"/>
      <c r="E5027"/>
    </row>
    <row r="5028" spans="1:5" x14ac:dyDescent="0.2">
      <c r="A5028"/>
      <c r="B5028"/>
      <c r="C5028"/>
      <c r="D5028"/>
      <c r="E5028"/>
    </row>
    <row r="5029" spans="1:5" x14ac:dyDescent="0.2">
      <c r="A5029"/>
      <c r="B5029"/>
      <c r="C5029"/>
      <c r="D5029"/>
      <c r="E5029"/>
    </row>
    <row r="5030" spans="1:5" x14ac:dyDescent="0.2">
      <c r="A5030"/>
      <c r="B5030"/>
      <c r="C5030"/>
      <c r="D5030"/>
      <c r="E5030"/>
    </row>
    <row r="5031" spans="1:5" x14ac:dyDescent="0.2">
      <c r="A5031"/>
      <c r="B5031"/>
      <c r="C5031"/>
      <c r="D5031"/>
      <c r="E5031"/>
    </row>
    <row r="5032" spans="1:5" x14ac:dyDescent="0.2">
      <c r="A5032"/>
      <c r="B5032"/>
      <c r="C5032"/>
      <c r="D5032"/>
      <c r="E5032"/>
    </row>
    <row r="5033" spans="1:5" x14ac:dyDescent="0.2">
      <c r="A5033"/>
      <c r="B5033"/>
      <c r="C5033"/>
      <c r="D5033"/>
      <c r="E5033"/>
    </row>
    <row r="5034" spans="1:5" x14ac:dyDescent="0.2">
      <c r="A5034"/>
      <c r="B5034"/>
      <c r="C5034"/>
      <c r="D5034"/>
      <c r="E5034"/>
    </row>
    <row r="5035" spans="1:5" x14ac:dyDescent="0.2">
      <c r="A5035"/>
      <c r="B5035"/>
      <c r="C5035"/>
      <c r="D5035"/>
      <c r="E5035"/>
    </row>
    <row r="5036" spans="1:5" x14ac:dyDescent="0.2">
      <c r="A5036"/>
      <c r="B5036"/>
      <c r="C5036"/>
      <c r="D5036"/>
      <c r="E5036"/>
    </row>
    <row r="5037" spans="1:5" x14ac:dyDescent="0.2">
      <c r="A5037"/>
      <c r="B5037"/>
      <c r="C5037"/>
      <c r="D5037"/>
      <c r="E5037"/>
    </row>
    <row r="5038" spans="1:5" x14ac:dyDescent="0.2">
      <c r="A5038"/>
      <c r="B5038"/>
      <c r="C5038"/>
      <c r="D5038"/>
      <c r="E5038"/>
    </row>
    <row r="5039" spans="1:5" x14ac:dyDescent="0.2">
      <c r="A5039"/>
      <c r="B5039"/>
      <c r="C5039"/>
      <c r="D5039"/>
      <c r="E5039"/>
    </row>
    <row r="5040" spans="1:5" x14ac:dyDescent="0.2">
      <c r="A5040"/>
      <c r="B5040"/>
      <c r="C5040"/>
      <c r="D5040"/>
      <c r="E5040"/>
    </row>
    <row r="5041" spans="1:5" x14ac:dyDescent="0.2">
      <c r="A5041"/>
      <c r="B5041"/>
      <c r="C5041"/>
      <c r="D5041"/>
      <c r="E5041"/>
    </row>
    <row r="5042" spans="1:5" x14ac:dyDescent="0.2">
      <c r="A5042"/>
      <c r="B5042"/>
      <c r="C5042"/>
      <c r="D5042"/>
      <c r="E5042"/>
    </row>
    <row r="5043" spans="1:5" x14ac:dyDescent="0.2">
      <c r="A5043"/>
      <c r="B5043"/>
      <c r="C5043"/>
      <c r="D5043"/>
      <c r="E5043"/>
    </row>
    <row r="5044" spans="1:5" x14ac:dyDescent="0.2">
      <c r="A5044"/>
      <c r="B5044"/>
      <c r="C5044"/>
      <c r="D5044"/>
      <c r="E5044"/>
    </row>
    <row r="5045" spans="1:5" x14ac:dyDescent="0.2">
      <c r="A5045"/>
      <c r="B5045"/>
      <c r="C5045"/>
      <c r="D5045"/>
      <c r="E5045"/>
    </row>
    <row r="5046" spans="1:5" x14ac:dyDescent="0.2">
      <c r="A5046"/>
      <c r="B5046"/>
      <c r="C5046"/>
      <c r="D5046"/>
      <c r="E5046"/>
    </row>
    <row r="5047" spans="1:5" x14ac:dyDescent="0.2">
      <c r="A5047"/>
      <c r="B5047"/>
      <c r="C5047"/>
      <c r="D5047"/>
      <c r="E5047"/>
    </row>
    <row r="5048" spans="1:5" x14ac:dyDescent="0.2">
      <c r="A5048"/>
      <c r="B5048"/>
      <c r="C5048"/>
      <c r="D5048"/>
      <c r="E5048"/>
    </row>
    <row r="5049" spans="1:5" x14ac:dyDescent="0.2">
      <c r="A5049"/>
      <c r="B5049"/>
      <c r="C5049"/>
      <c r="D5049"/>
      <c r="E5049"/>
    </row>
    <row r="5050" spans="1:5" x14ac:dyDescent="0.2">
      <c r="A5050"/>
      <c r="B5050"/>
      <c r="C5050"/>
      <c r="D5050"/>
      <c r="E5050"/>
    </row>
    <row r="5051" spans="1:5" x14ac:dyDescent="0.2">
      <c r="A5051"/>
      <c r="B5051"/>
      <c r="C5051"/>
      <c r="D5051"/>
      <c r="E5051"/>
    </row>
    <row r="5052" spans="1:5" x14ac:dyDescent="0.2">
      <c r="A5052"/>
      <c r="B5052"/>
      <c r="C5052"/>
      <c r="D5052"/>
      <c r="E5052"/>
    </row>
    <row r="5053" spans="1:5" x14ac:dyDescent="0.2">
      <c r="A5053"/>
      <c r="B5053"/>
      <c r="C5053"/>
      <c r="D5053"/>
      <c r="E5053"/>
    </row>
    <row r="5054" spans="1:5" x14ac:dyDescent="0.2">
      <c r="A5054"/>
      <c r="B5054"/>
      <c r="C5054"/>
      <c r="D5054"/>
      <c r="E5054"/>
    </row>
    <row r="5055" spans="1:5" x14ac:dyDescent="0.2">
      <c r="A5055"/>
      <c r="B5055"/>
      <c r="C5055"/>
      <c r="D5055"/>
      <c r="E5055"/>
    </row>
    <row r="5056" spans="1:5" x14ac:dyDescent="0.2">
      <c r="A5056"/>
      <c r="B5056"/>
      <c r="C5056"/>
      <c r="D5056"/>
      <c r="E5056"/>
    </row>
    <row r="5057" spans="1:5" x14ac:dyDescent="0.2">
      <c r="A5057"/>
      <c r="B5057"/>
      <c r="C5057"/>
      <c r="D5057"/>
      <c r="E5057"/>
    </row>
    <row r="5058" spans="1:5" x14ac:dyDescent="0.2">
      <c r="A5058"/>
      <c r="B5058"/>
      <c r="C5058"/>
      <c r="D5058"/>
      <c r="E5058"/>
    </row>
    <row r="5059" spans="1:5" x14ac:dyDescent="0.2">
      <c r="A5059"/>
      <c r="B5059"/>
      <c r="C5059"/>
      <c r="D5059"/>
      <c r="E5059"/>
    </row>
    <row r="5060" spans="1:5" x14ac:dyDescent="0.2">
      <c r="A5060"/>
      <c r="B5060"/>
      <c r="C5060"/>
      <c r="D5060"/>
      <c r="E5060"/>
    </row>
    <row r="5061" spans="1:5" x14ac:dyDescent="0.2">
      <c r="A5061"/>
      <c r="B5061"/>
      <c r="C5061"/>
      <c r="D5061"/>
      <c r="E5061"/>
    </row>
    <row r="5062" spans="1:5" x14ac:dyDescent="0.2">
      <c r="A5062"/>
      <c r="B5062"/>
      <c r="C5062"/>
      <c r="D5062"/>
      <c r="E5062"/>
    </row>
    <row r="5063" spans="1:5" x14ac:dyDescent="0.2">
      <c r="A5063"/>
      <c r="B5063"/>
      <c r="C5063"/>
      <c r="D5063"/>
      <c r="E5063"/>
    </row>
    <row r="5064" spans="1:5" x14ac:dyDescent="0.2">
      <c r="A5064"/>
      <c r="B5064"/>
      <c r="C5064"/>
      <c r="D5064"/>
      <c r="E5064"/>
    </row>
    <row r="5065" spans="1:5" x14ac:dyDescent="0.2">
      <c r="A5065"/>
      <c r="B5065"/>
      <c r="C5065"/>
      <c r="D5065"/>
      <c r="E5065"/>
    </row>
    <row r="5066" spans="1:5" x14ac:dyDescent="0.2">
      <c r="A5066"/>
      <c r="B5066"/>
      <c r="C5066"/>
      <c r="D5066"/>
      <c r="E5066"/>
    </row>
    <row r="5067" spans="1:5" x14ac:dyDescent="0.2">
      <c r="A5067"/>
      <c r="B5067"/>
      <c r="C5067"/>
      <c r="D5067"/>
      <c r="E5067"/>
    </row>
    <row r="5068" spans="1:5" x14ac:dyDescent="0.2">
      <c r="A5068"/>
      <c r="B5068"/>
      <c r="C5068"/>
      <c r="D5068"/>
      <c r="E5068"/>
    </row>
    <row r="5069" spans="1:5" x14ac:dyDescent="0.2">
      <c r="A5069"/>
      <c r="B5069"/>
      <c r="C5069"/>
      <c r="D5069"/>
      <c r="E5069"/>
    </row>
    <row r="5070" spans="1:5" x14ac:dyDescent="0.2">
      <c r="A5070"/>
      <c r="B5070"/>
      <c r="C5070"/>
      <c r="D5070"/>
      <c r="E5070"/>
    </row>
    <row r="5071" spans="1:5" x14ac:dyDescent="0.2">
      <c r="A5071"/>
      <c r="B5071"/>
      <c r="C5071"/>
      <c r="D5071"/>
      <c r="E5071"/>
    </row>
    <row r="5072" spans="1:5" x14ac:dyDescent="0.2">
      <c r="A5072"/>
      <c r="B5072"/>
      <c r="C5072"/>
      <c r="D5072"/>
      <c r="E5072"/>
    </row>
    <row r="5073" spans="1:5" x14ac:dyDescent="0.2">
      <c r="A5073"/>
      <c r="B5073"/>
      <c r="C5073"/>
      <c r="D5073"/>
      <c r="E5073"/>
    </row>
    <row r="5074" spans="1:5" x14ac:dyDescent="0.2">
      <c r="A5074"/>
      <c r="B5074"/>
      <c r="C5074"/>
      <c r="D5074"/>
      <c r="E5074"/>
    </row>
    <row r="5075" spans="1:5" x14ac:dyDescent="0.2">
      <c r="A5075"/>
      <c r="B5075"/>
      <c r="C5075"/>
      <c r="D5075"/>
      <c r="E5075"/>
    </row>
    <row r="5076" spans="1:5" x14ac:dyDescent="0.2">
      <c r="A5076"/>
      <c r="B5076"/>
      <c r="C5076"/>
      <c r="D5076"/>
      <c r="E5076"/>
    </row>
    <row r="5077" spans="1:5" x14ac:dyDescent="0.2">
      <c r="A5077"/>
      <c r="B5077"/>
      <c r="C5077"/>
      <c r="D5077"/>
      <c r="E5077"/>
    </row>
    <row r="5078" spans="1:5" x14ac:dyDescent="0.2">
      <c r="A5078"/>
      <c r="B5078"/>
      <c r="C5078"/>
      <c r="D5078"/>
      <c r="E5078"/>
    </row>
    <row r="5079" spans="1:5" x14ac:dyDescent="0.2">
      <c r="A5079"/>
      <c r="B5079"/>
      <c r="C5079"/>
      <c r="D5079"/>
      <c r="E5079"/>
    </row>
    <row r="5080" spans="1:5" x14ac:dyDescent="0.2">
      <c r="A5080"/>
      <c r="B5080"/>
      <c r="C5080"/>
      <c r="D5080"/>
      <c r="E5080"/>
    </row>
    <row r="5081" spans="1:5" x14ac:dyDescent="0.2">
      <c r="A5081"/>
      <c r="B5081"/>
      <c r="C5081"/>
      <c r="D5081"/>
      <c r="E5081"/>
    </row>
    <row r="5082" spans="1:5" x14ac:dyDescent="0.2">
      <c r="A5082"/>
      <c r="B5082"/>
      <c r="C5082"/>
      <c r="D5082"/>
      <c r="E5082"/>
    </row>
    <row r="5083" spans="1:5" x14ac:dyDescent="0.2">
      <c r="A5083"/>
      <c r="B5083"/>
      <c r="C5083"/>
      <c r="D5083"/>
      <c r="E5083"/>
    </row>
    <row r="5084" spans="1:5" x14ac:dyDescent="0.2">
      <c r="A5084"/>
      <c r="B5084"/>
      <c r="C5084"/>
      <c r="D5084"/>
      <c r="E5084"/>
    </row>
    <row r="5085" spans="1:5" x14ac:dyDescent="0.2">
      <c r="A5085"/>
      <c r="B5085"/>
      <c r="C5085"/>
      <c r="D5085"/>
      <c r="E5085"/>
    </row>
    <row r="5086" spans="1:5" x14ac:dyDescent="0.2">
      <c r="A5086"/>
      <c r="B5086"/>
      <c r="C5086"/>
      <c r="D5086"/>
      <c r="E5086"/>
    </row>
    <row r="5087" spans="1:5" x14ac:dyDescent="0.2">
      <c r="A5087"/>
      <c r="B5087"/>
      <c r="C5087"/>
      <c r="D5087"/>
      <c r="E5087"/>
    </row>
    <row r="5088" spans="1:5" x14ac:dyDescent="0.2">
      <c r="A5088"/>
      <c r="B5088"/>
      <c r="C5088"/>
      <c r="D5088"/>
      <c r="E5088"/>
    </row>
    <row r="5089" spans="1:5" x14ac:dyDescent="0.2">
      <c r="A5089"/>
      <c r="B5089"/>
      <c r="C5089"/>
      <c r="D5089"/>
      <c r="E5089"/>
    </row>
    <row r="5090" spans="1:5" x14ac:dyDescent="0.2">
      <c r="A5090"/>
      <c r="B5090"/>
      <c r="C5090"/>
      <c r="D5090"/>
      <c r="E5090"/>
    </row>
    <row r="5091" spans="1:5" x14ac:dyDescent="0.2">
      <c r="A5091"/>
      <c r="B5091"/>
      <c r="C5091"/>
      <c r="D5091"/>
      <c r="E5091"/>
    </row>
    <row r="5092" spans="1:5" x14ac:dyDescent="0.2">
      <c r="A5092"/>
      <c r="B5092"/>
      <c r="C5092"/>
      <c r="D5092"/>
      <c r="E5092"/>
    </row>
    <row r="5093" spans="1:5" x14ac:dyDescent="0.2">
      <c r="A5093"/>
      <c r="B5093"/>
      <c r="C5093"/>
      <c r="D5093"/>
      <c r="E5093"/>
    </row>
    <row r="5094" spans="1:5" x14ac:dyDescent="0.2">
      <c r="A5094"/>
      <c r="B5094"/>
      <c r="C5094"/>
      <c r="D5094"/>
      <c r="E5094"/>
    </row>
    <row r="5095" spans="1:5" x14ac:dyDescent="0.2">
      <c r="A5095"/>
      <c r="B5095"/>
      <c r="C5095"/>
      <c r="D5095"/>
      <c r="E5095"/>
    </row>
    <row r="5096" spans="1:5" x14ac:dyDescent="0.2">
      <c r="A5096"/>
      <c r="B5096"/>
      <c r="C5096"/>
      <c r="D5096"/>
      <c r="E5096"/>
    </row>
    <row r="5097" spans="1:5" x14ac:dyDescent="0.2">
      <c r="A5097"/>
      <c r="B5097"/>
      <c r="C5097"/>
      <c r="D5097"/>
      <c r="E5097"/>
    </row>
    <row r="5098" spans="1:5" x14ac:dyDescent="0.2">
      <c r="A5098"/>
      <c r="B5098"/>
      <c r="C5098"/>
      <c r="D5098"/>
      <c r="E5098"/>
    </row>
    <row r="5099" spans="1:5" x14ac:dyDescent="0.2">
      <c r="A5099"/>
      <c r="B5099"/>
      <c r="C5099"/>
      <c r="D5099"/>
      <c r="E5099"/>
    </row>
    <row r="5100" spans="1:5" x14ac:dyDescent="0.2">
      <c r="A5100"/>
      <c r="B5100"/>
      <c r="C5100"/>
      <c r="D5100"/>
      <c r="E5100"/>
    </row>
    <row r="5101" spans="1:5" x14ac:dyDescent="0.2">
      <c r="A5101"/>
      <c r="B5101"/>
      <c r="C5101"/>
      <c r="D5101"/>
      <c r="E5101"/>
    </row>
    <row r="5102" spans="1:5" x14ac:dyDescent="0.2">
      <c r="A5102"/>
      <c r="B5102"/>
      <c r="C5102"/>
      <c r="D5102"/>
      <c r="E5102"/>
    </row>
    <row r="5103" spans="1:5" x14ac:dyDescent="0.2">
      <c r="A5103"/>
      <c r="B5103"/>
      <c r="C5103"/>
      <c r="D5103"/>
      <c r="E5103"/>
    </row>
    <row r="5104" spans="1:5" x14ac:dyDescent="0.2">
      <c r="A5104"/>
      <c r="B5104"/>
      <c r="C5104"/>
      <c r="D5104"/>
      <c r="E5104"/>
    </row>
    <row r="5105" spans="1:5" x14ac:dyDescent="0.2">
      <c r="A5105"/>
      <c r="B5105"/>
      <c r="C5105"/>
      <c r="D5105"/>
      <c r="E5105"/>
    </row>
    <row r="5106" spans="1:5" x14ac:dyDescent="0.2">
      <c r="A5106"/>
      <c r="B5106"/>
      <c r="C5106"/>
      <c r="D5106"/>
      <c r="E5106"/>
    </row>
    <row r="5107" spans="1:5" x14ac:dyDescent="0.2">
      <c r="A5107"/>
      <c r="B5107"/>
      <c r="C5107"/>
      <c r="D5107"/>
      <c r="E5107"/>
    </row>
    <row r="5108" spans="1:5" x14ac:dyDescent="0.2">
      <c r="A5108"/>
      <c r="B5108"/>
      <c r="C5108"/>
      <c r="D5108"/>
      <c r="E5108"/>
    </row>
    <row r="5109" spans="1:5" x14ac:dyDescent="0.2">
      <c r="A5109"/>
      <c r="B5109"/>
      <c r="C5109"/>
      <c r="D5109"/>
      <c r="E5109"/>
    </row>
    <row r="5110" spans="1:5" x14ac:dyDescent="0.2">
      <c r="A5110"/>
      <c r="B5110"/>
      <c r="C5110"/>
      <c r="D5110"/>
      <c r="E5110"/>
    </row>
    <row r="5111" spans="1:5" x14ac:dyDescent="0.2">
      <c r="A5111"/>
      <c r="B5111"/>
      <c r="C5111"/>
      <c r="D5111"/>
      <c r="E5111"/>
    </row>
    <row r="5112" spans="1:5" x14ac:dyDescent="0.2">
      <c r="A5112"/>
      <c r="B5112"/>
      <c r="C5112"/>
      <c r="D5112"/>
      <c r="E5112"/>
    </row>
    <row r="5113" spans="1:5" x14ac:dyDescent="0.2">
      <c r="A5113"/>
      <c r="B5113"/>
      <c r="C5113"/>
      <c r="D5113"/>
      <c r="E5113"/>
    </row>
    <row r="5114" spans="1:5" x14ac:dyDescent="0.2">
      <c r="A5114"/>
      <c r="B5114"/>
      <c r="C5114"/>
      <c r="D5114"/>
      <c r="E5114"/>
    </row>
    <row r="5115" spans="1:5" x14ac:dyDescent="0.2">
      <c r="A5115"/>
      <c r="B5115"/>
      <c r="C5115"/>
      <c r="D5115"/>
      <c r="E5115"/>
    </row>
    <row r="5116" spans="1:5" x14ac:dyDescent="0.2">
      <c r="A5116"/>
      <c r="B5116"/>
      <c r="C5116"/>
      <c r="D5116"/>
      <c r="E5116"/>
    </row>
    <row r="5117" spans="1:5" x14ac:dyDescent="0.2">
      <c r="A5117"/>
      <c r="B5117"/>
      <c r="C5117"/>
      <c r="D5117"/>
      <c r="E5117"/>
    </row>
    <row r="5118" spans="1:5" x14ac:dyDescent="0.2">
      <c r="A5118"/>
      <c r="B5118"/>
      <c r="C5118"/>
      <c r="D5118"/>
      <c r="E5118"/>
    </row>
    <row r="5119" spans="1:5" x14ac:dyDescent="0.2">
      <c r="A5119"/>
      <c r="B5119"/>
      <c r="C5119"/>
      <c r="D5119"/>
      <c r="E5119"/>
    </row>
    <row r="5120" spans="1:5" x14ac:dyDescent="0.2">
      <c r="A5120"/>
      <c r="B5120"/>
      <c r="C5120"/>
      <c r="D5120"/>
      <c r="E5120"/>
    </row>
    <row r="5121" spans="1:5" x14ac:dyDescent="0.2">
      <c r="A5121"/>
      <c r="B5121"/>
      <c r="C5121"/>
      <c r="D5121"/>
      <c r="E5121"/>
    </row>
    <row r="5122" spans="1:5" x14ac:dyDescent="0.2">
      <c r="A5122"/>
      <c r="B5122"/>
      <c r="C5122"/>
      <c r="D5122"/>
      <c r="E5122"/>
    </row>
    <row r="5123" spans="1:5" x14ac:dyDescent="0.2">
      <c r="A5123"/>
      <c r="B5123"/>
      <c r="C5123"/>
      <c r="D5123"/>
      <c r="E5123"/>
    </row>
    <row r="5124" spans="1:5" x14ac:dyDescent="0.2">
      <c r="A5124"/>
      <c r="B5124"/>
      <c r="C5124"/>
      <c r="D5124"/>
      <c r="E5124"/>
    </row>
    <row r="5125" spans="1:5" x14ac:dyDescent="0.2">
      <c r="A5125"/>
      <c r="B5125"/>
      <c r="C5125"/>
      <c r="D5125"/>
      <c r="E5125"/>
    </row>
    <row r="5126" spans="1:5" x14ac:dyDescent="0.2">
      <c r="A5126"/>
      <c r="B5126"/>
      <c r="C5126"/>
      <c r="D5126"/>
      <c r="E5126"/>
    </row>
    <row r="5127" spans="1:5" x14ac:dyDescent="0.2">
      <c r="A5127"/>
      <c r="B5127"/>
      <c r="C5127"/>
      <c r="D5127"/>
      <c r="E5127"/>
    </row>
    <row r="5128" spans="1:5" x14ac:dyDescent="0.2">
      <c r="A5128"/>
      <c r="B5128"/>
      <c r="C5128"/>
      <c r="D5128"/>
      <c r="E5128"/>
    </row>
    <row r="5129" spans="1:5" x14ac:dyDescent="0.2">
      <c r="A5129"/>
      <c r="B5129"/>
      <c r="C5129"/>
      <c r="D5129"/>
      <c r="E5129"/>
    </row>
    <row r="5130" spans="1:5" x14ac:dyDescent="0.2">
      <c r="A5130"/>
      <c r="B5130"/>
      <c r="C5130"/>
      <c r="D5130"/>
      <c r="E5130"/>
    </row>
    <row r="5131" spans="1:5" x14ac:dyDescent="0.2">
      <c r="A5131"/>
      <c r="B5131"/>
      <c r="C5131"/>
      <c r="D5131"/>
      <c r="E5131"/>
    </row>
    <row r="5132" spans="1:5" x14ac:dyDescent="0.2">
      <c r="A5132"/>
      <c r="B5132"/>
      <c r="C5132"/>
      <c r="D5132"/>
      <c r="E5132"/>
    </row>
    <row r="5133" spans="1:5" x14ac:dyDescent="0.2">
      <c r="A5133"/>
      <c r="B5133"/>
      <c r="C5133"/>
      <c r="D5133"/>
      <c r="E5133"/>
    </row>
    <row r="5134" spans="1:5" x14ac:dyDescent="0.2">
      <c r="A5134"/>
      <c r="B5134"/>
      <c r="C5134"/>
      <c r="D5134"/>
      <c r="E5134"/>
    </row>
    <row r="5135" spans="1:5" x14ac:dyDescent="0.2">
      <c r="A5135"/>
      <c r="B5135"/>
      <c r="C5135"/>
      <c r="D5135"/>
      <c r="E5135"/>
    </row>
    <row r="5136" spans="1:5" x14ac:dyDescent="0.2">
      <c r="A5136"/>
      <c r="B5136"/>
      <c r="C5136"/>
      <c r="D5136"/>
      <c r="E5136"/>
    </row>
    <row r="5137" spans="1:5" x14ac:dyDescent="0.2">
      <c r="A5137"/>
      <c r="B5137"/>
      <c r="C5137"/>
      <c r="D5137"/>
      <c r="E5137"/>
    </row>
    <row r="5138" spans="1:5" x14ac:dyDescent="0.2">
      <c r="A5138"/>
      <c r="B5138"/>
      <c r="C5138"/>
      <c r="D5138"/>
      <c r="E5138"/>
    </row>
    <row r="5139" spans="1:5" x14ac:dyDescent="0.2">
      <c r="A5139"/>
      <c r="B5139"/>
      <c r="C5139"/>
      <c r="D5139"/>
      <c r="E5139"/>
    </row>
    <row r="5140" spans="1:5" x14ac:dyDescent="0.2">
      <c r="A5140"/>
      <c r="B5140"/>
      <c r="C5140"/>
      <c r="D5140"/>
      <c r="E5140"/>
    </row>
    <row r="5141" spans="1:5" x14ac:dyDescent="0.2">
      <c r="A5141"/>
      <c r="B5141"/>
      <c r="C5141"/>
      <c r="D5141"/>
      <c r="E5141"/>
    </row>
    <row r="5142" spans="1:5" x14ac:dyDescent="0.2">
      <c r="A5142"/>
      <c r="B5142"/>
      <c r="C5142"/>
      <c r="D5142"/>
      <c r="E5142"/>
    </row>
    <row r="5143" spans="1:5" x14ac:dyDescent="0.2">
      <c r="A5143"/>
      <c r="B5143"/>
      <c r="C5143"/>
      <c r="D5143"/>
      <c r="E5143"/>
    </row>
    <row r="5144" spans="1:5" x14ac:dyDescent="0.2">
      <c r="A5144"/>
      <c r="B5144"/>
      <c r="C5144"/>
      <c r="D5144"/>
      <c r="E5144"/>
    </row>
    <row r="5145" spans="1:5" x14ac:dyDescent="0.2">
      <c r="A5145"/>
      <c r="B5145"/>
      <c r="C5145"/>
      <c r="D5145"/>
      <c r="E5145"/>
    </row>
    <row r="5146" spans="1:5" x14ac:dyDescent="0.2">
      <c r="A5146"/>
      <c r="B5146"/>
      <c r="C5146"/>
      <c r="D5146"/>
      <c r="E5146"/>
    </row>
    <row r="5147" spans="1:5" x14ac:dyDescent="0.2">
      <c r="A5147"/>
      <c r="B5147"/>
      <c r="C5147"/>
      <c r="D5147"/>
      <c r="E5147"/>
    </row>
    <row r="5148" spans="1:5" x14ac:dyDescent="0.2">
      <c r="A5148"/>
      <c r="B5148"/>
      <c r="C5148"/>
      <c r="D5148"/>
      <c r="E5148"/>
    </row>
    <row r="5149" spans="1:5" x14ac:dyDescent="0.2">
      <c r="A5149"/>
      <c r="B5149"/>
      <c r="C5149"/>
      <c r="D5149"/>
      <c r="E5149"/>
    </row>
    <row r="5150" spans="1:5" x14ac:dyDescent="0.2">
      <c r="A5150"/>
      <c r="B5150"/>
      <c r="C5150"/>
      <c r="D5150"/>
      <c r="E5150"/>
    </row>
    <row r="5151" spans="1:5" x14ac:dyDescent="0.2">
      <c r="A5151"/>
      <c r="B5151"/>
      <c r="C5151"/>
      <c r="D5151"/>
      <c r="E5151"/>
    </row>
    <row r="5152" spans="1:5" x14ac:dyDescent="0.2">
      <c r="A5152"/>
      <c r="B5152"/>
      <c r="C5152"/>
      <c r="D5152"/>
      <c r="E5152"/>
    </row>
    <row r="5153" spans="1:5" x14ac:dyDescent="0.2">
      <c r="A5153"/>
      <c r="B5153"/>
      <c r="C5153"/>
      <c r="D5153"/>
      <c r="E5153"/>
    </row>
    <row r="5154" spans="1:5" x14ac:dyDescent="0.2">
      <c r="A5154"/>
      <c r="B5154"/>
      <c r="C5154"/>
      <c r="D5154"/>
      <c r="E5154"/>
    </row>
    <row r="5155" spans="1:5" x14ac:dyDescent="0.2">
      <c r="A5155"/>
      <c r="B5155"/>
      <c r="C5155"/>
      <c r="D5155"/>
      <c r="E5155"/>
    </row>
    <row r="5156" spans="1:5" x14ac:dyDescent="0.2">
      <c r="A5156"/>
      <c r="B5156"/>
      <c r="C5156"/>
      <c r="D5156"/>
      <c r="E5156"/>
    </row>
    <row r="5157" spans="1:5" x14ac:dyDescent="0.2">
      <c r="A5157"/>
      <c r="B5157"/>
      <c r="C5157"/>
      <c r="D5157"/>
      <c r="E5157"/>
    </row>
    <row r="5158" spans="1:5" x14ac:dyDescent="0.2">
      <c r="A5158"/>
      <c r="B5158"/>
      <c r="C5158"/>
      <c r="D5158"/>
      <c r="E5158"/>
    </row>
    <row r="5159" spans="1:5" x14ac:dyDescent="0.2">
      <c r="A5159"/>
      <c r="B5159"/>
      <c r="C5159"/>
      <c r="D5159"/>
      <c r="E5159"/>
    </row>
    <row r="5160" spans="1:5" x14ac:dyDescent="0.2">
      <c r="A5160"/>
      <c r="B5160"/>
      <c r="C5160"/>
      <c r="D5160"/>
      <c r="E5160"/>
    </row>
    <row r="5161" spans="1:5" x14ac:dyDescent="0.2">
      <c r="A5161"/>
      <c r="B5161"/>
      <c r="C5161"/>
      <c r="D5161"/>
      <c r="E5161"/>
    </row>
    <row r="5162" spans="1:5" x14ac:dyDescent="0.2">
      <c r="A5162"/>
      <c r="B5162"/>
      <c r="C5162"/>
      <c r="D5162"/>
      <c r="E5162"/>
    </row>
    <row r="5163" spans="1:5" x14ac:dyDescent="0.2">
      <c r="A5163"/>
      <c r="B5163"/>
      <c r="C5163"/>
      <c r="D5163"/>
      <c r="E5163"/>
    </row>
    <row r="5164" spans="1:5" x14ac:dyDescent="0.2">
      <c r="A5164"/>
      <c r="B5164"/>
      <c r="C5164"/>
      <c r="D5164"/>
      <c r="E5164"/>
    </row>
    <row r="5165" spans="1:5" x14ac:dyDescent="0.2">
      <c r="A5165"/>
      <c r="B5165"/>
      <c r="C5165"/>
      <c r="D5165"/>
      <c r="E5165"/>
    </row>
    <row r="5166" spans="1:5" x14ac:dyDescent="0.2">
      <c r="A5166"/>
      <c r="B5166"/>
      <c r="C5166"/>
      <c r="D5166"/>
      <c r="E5166"/>
    </row>
    <row r="5167" spans="1:5" x14ac:dyDescent="0.2">
      <c r="A5167"/>
      <c r="B5167"/>
      <c r="C5167"/>
      <c r="D5167"/>
      <c r="E5167"/>
    </row>
    <row r="5168" spans="1:5" x14ac:dyDescent="0.2">
      <c r="A5168"/>
      <c r="B5168"/>
      <c r="C5168"/>
      <c r="D5168"/>
      <c r="E5168"/>
    </row>
    <row r="5169" spans="1:5" x14ac:dyDescent="0.2">
      <c r="A5169"/>
      <c r="B5169"/>
      <c r="C5169"/>
      <c r="D5169"/>
      <c r="E5169"/>
    </row>
    <row r="5170" spans="1:5" x14ac:dyDescent="0.2">
      <c r="A5170"/>
      <c r="B5170"/>
      <c r="C5170"/>
      <c r="D5170"/>
      <c r="E5170"/>
    </row>
    <row r="5171" spans="1:5" x14ac:dyDescent="0.2">
      <c r="A5171"/>
      <c r="B5171"/>
      <c r="C5171"/>
      <c r="D5171"/>
      <c r="E5171"/>
    </row>
    <row r="5172" spans="1:5" x14ac:dyDescent="0.2">
      <c r="A5172"/>
      <c r="B5172"/>
      <c r="C5172"/>
      <c r="D5172"/>
      <c r="E5172"/>
    </row>
    <row r="5173" spans="1:5" x14ac:dyDescent="0.2">
      <c r="A5173"/>
      <c r="B5173"/>
      <c r="C5173"/>
      <c r="D5173"/>
      <c r="E5173"/>
    </row>
    <row r="5174" spans="1:5" x14ac:dyDescent="0.2">
      <c r="A5174"/>
      <c r="B5174"/>
      <c r="C5174"/>
      <c r="D5174"/>
      <c r="E5174"/>
    </row>
    <row r="5175" spans="1:5" x14ac:dyDescent="0.2">
      <c r="A5175"/>
      <c r="B5175"/>
      <c r="C5175"/>
      <c r="D5175"/>
      <c r="E5175"/>
    </row>
    <row r="5176" spans="1:5" x14ac:dyDescent="0.2">
      <c r="A5176"/>
      <c r="B5176"/>
      <c r="C5176"/>
      <c r="D5176"/>
      <c r="E5176"/>
    </row>
    <row r="5177" spans="1:5" x14ac:dyDescent="0.2">
      <c r="A5177"/>
      <c r="B5177"/>
      <c r="C5177"/>
      <c r="D5177"/>
      <c r="E5177"/>
    </row>
    <row r="5178" spans="1:5" x14ac:dyDescent="0.2">
      <c r="A5178"/>
      <c r="B5178"/>
      <c r="C5178"/>
      <c r="D5178"/>
      <c r="E5178"/>
    </row>
    <row r="5179" spans="1:5" x14ac:dyDescent="0.2">
      <c r="A5179"/>
      <c r="B5179"/>
      <c r="C5179"/>
      <c r="D5179"/>
      <c r="E5179"/>
    </row>
    <row r="5180" spans="1:5" x14ac:dyDescent="0.2">
      <c r="A5180"/>
      <c r="B5180"/>
      <c r="C5180"/>
      <c r="D5180"/>
      <c r="E5180"/>
    </row>
    <row r="5181" spans="1:5" x14ac:dyDescent="0.2">
      <c r="A5181"/>
      <c r="B5181"/>
      <c r="C5181"/>
      <c r="D5181"/>
      <c r="E5181"/>
    </row>
    <row r="5182" spans="1:5" x14ac:dyDescent="0.2">
      <c r="A5182"/>
      <c r="B5182"/>
      <c r="C5182"/>
      <c r="D5182"/>
      <c r="E5182"/>
    </row>
    <row r="5183" spans="1:5" x14ac:dyDescent="0.2">
      <c r="A5183"/>
      <c r="B5183"/>
      <c r="C5183"/>
      <c r="D5183"/>
      <c r="E5183"/>
    </row>
    <row r="5184" spans="1:5" x14ac:dyDescent="0.2">
      <c r="A5184"/>
      <c r="B5184"/>
      <c r="C5184"/>
      <c r="D5184"/>
      <c r="E5184"/>
    </row>
    <row r="5185" spans="1:5" x14ac:dyDescent="0.2">
      <c r="A5185"/>
      <c r="B5185"/>
      <c r="C5185"/>
      <c r="D5185"/>
      <c r="E5185"/>
    </row>
    <row r="5186" spans="1:5" x14ac:dyDescent="0.2">
      <c r="A5186"/>
      <c r="B5186"/>
      <c r="C5186"/>
      <c r="D5186"/>
      <c r="E5186"/>
    </row>
    <row r="5187" spans="1:5" x14ac:dyDescent="0.2">
      <c r="A5187"/>
      <c r="B5187"/>
      <c r="C5187"/>
      <c r="D5187"/>
      <c r="E5187"/>
    </row>
    <row r="5188" spans="1:5" x14ac:dyDescent="0.2">
      <c r="A5188"/>
      <c r="B5188"/>
      <c r="C5188"/>
      <c r="D5188"/>
      <c r="E5188"/>
    </row>
    <row r="5189" spans="1:5" x14ac:dyDescent="0.2">
      <c r="A5189"/>
      <c r="B5189"/>
      <c r="C5189"/>
      <c r="D5189"/>
      <c r="E5189"/>
    </row>
    <row r="5190" spans="1:5" x14ac:dyDescent="0.2">
      <c r="A5190"/>
      <c r="B5190"/>
      <c r="C5190"/>
      <c r="D5190"/>
      <c r="E5190"/>
    </row>
    <row r="5191" spans="1:5" x14ac:dyDescent="0.2">
      <c r="A5191"/>
      <c r="B5191"/>
      <c r="C5191"/>
      <c r="D5191"/>
      <c r="E5191"/>
    </row>
    <row r="5192" spans="1:5" x14ac:dyDescent="0.2">
      <c r="A5192"/>
      <c r="B5192"/>
      <c r="C5192"/>
      <c r="D5192"/>
      <c r="E5192"/>
    </row>
    <row r="5193" spans="1:5" x14ac:dyDescent="0.2">
      <c r="A5193"/>
      <c r="B5193"/>
      <c r="C5193"/>
      <c r="D5193"/>
      <c r="E5193"/>
    </row>
    <row r="5194" spans="1:5" x14ac:dyDescent="0.2">
      <c r="A5194"/>
      <c r="B5194"/>
      <c r="C5194"/>
      <c r="D5194"/>
      <c r="E5194"/>
    </row>
    <row r="5195" spans="1:5" x14ac:dyDescent="0.2">
      <c r="A5195"/>
      <c r="B5195"/>
      <c r="C5195"/>
      <c r="D5195"/>
      <c r="E5195"/>
    </row>
    <row r="5196" spans="1:5" x14ac:dyDescent="0.2">
      <c r="A5196"/>
      <c r="B5196"/>
      <c r="C5196"/>
      <c r="D5196"/>
      <c r="E5196"/>
    </row>
    <row r="5197" spans="1:5" x14ac:dyDescent="0.2">
      <c r="A5197"/>
      <c r="B5197"/>
      <c r="C5197"/>
      <c r="D5197"/>
      <c r="E5197"/>
    </row>
    <row r="5198" spans="1:5" x14ac:dyDescent="0.2">
      <c r="A5198"/>
      <c r="B5198"/>
      <c r="C5198"/>
      <c r="D5198"/>
      <c r="E5198"/>
    </row>
    <row r="5199" spans="1:5" x14ac:dyDescent="0.2">
      <c r="A5199"/>
      <c r="B5199"/>
      <c r="C5199"/>
      <c r="D5199"/>
      <c r="E5199"/>
    </row>
    <row r="5200" spans="1:5" x14ac:dyDescent="0.2">
      <c r="A5200"/>
      <c r="B5200"/>
      <c r="C5200"/>
      <c r="D5200"/>
      <c r="E5200"/>
    </row>
    <row r="5201" spans="1:5" x14ac:dyDescent="0.2">
      <c r="A5201"/>
      <c r="B5201"/>
      <c r="C5201"/>
      <c r="D5201"/>
      <c r="E5201"/>
    </row>
    <row r="5202" spans="1:5" x14ac:dyDescent="0.2">
      <c r="A5202"/>
      <c r="B5202"/>
      <c r="C5202"/>
      <c r="D5202"/>
      <c r="E5202"/>
    </row>
    <row r="5203" spans="1:5" x14ac:dyDescent="0.2">
      <c r="A5203"/>
      <c r="B5203"/>
      <c r="C5203"/>
      <c r="D5203"/>
      <c r="E5203"/>
    </row>
    <row r="5204" spans="1:5" x14ac:dyDescent="0.2">
      <c r="A5204"/>
      <c r="B5204"/>
      <c r="C5204"/>
      <c r="D5204"/>
      <c r="E5204"/>
    </row>
    <row r="5205" spans="1:5" x14ac:dyDescent="0.2">
      <c r="A5205"/>
      <c r="B5205"/>
      <c r="C5205"/>
      <c r="D5205"/>
      <c r="E5205"/>
    </row>
    <row r="5206" spans="1:5" x14ac:dyDescent="0.2">
      <c r="A5206"/>
      <c r="B5206"/>
      <c r="C5206"/>
      <c r="D5206"/>
      <c r="E5206"/>
    </row>
    <row r="5207" spans="1:5" x14ac:dyDescent="0.2">
      <c r="A5207"/>
      <c r="B5207"/>
      <c r="C5207"/>
      <c r="D5207"/>
      <c r="E5207"/>
    </row>
    <row r="5208" spans="1:5" x14ac:dyDescent="0.2">
      <c r="A5208"/>
      <c r="B5208"/>
      <c r="C5208"/>
      <c r="D5208"/>
      <c r="E5208"/>
    </row>
    <row r="5209" spans="1:5" x14ac:dyDescent="0.2">
      <c r="A5209"/>
      <c r="B5209"/>
      <c r="C5209"/>
      <c r="D5209"/>
      <c r="E5209"/>
    </row>
    <row r="5210" spans="1:5" x14ac:dyDescent="0.2">
      <c r="A5210"/>
      <c r="B5210"/>
      <c r="C5210"/>
      <c r="D5210"/>
      <c r="E5210"/>
    </row>
    <row r="5211" spans="1:5" x14ac:dyDescent="0.2">
      <c r="A5211"/>
      <c r="B5211"/>
      <c r="C5211"/>
      <c r="D5211"/>
      <c r="E5211"/>
    </row>
    <row r="5212" spans="1:5" x14ac:dyDescent="0.2">
      <c r="A5212"/>
      <c r="B5212"/>
      <c r="C5212"/>
      <c r="D5212"/>
      <c r="E5212"/>
    </row>
    <row r="5213" spans="1:5" x14ac:dyDescent="0.2">
      <c r="A5213"/>
      <c r="B5213"/>
      <c r="C5213"/>
      <c r="D5213"/>
      <c r="E5213"/>
    </row>
    <row r="5214" spans="1:5" x14ac:dyDescent="0.2">
      <c r="A5214"/>
      <c r="B5214"/>
      <c r="C5214"/>
      <c r="D5214"/>
      <c r="E5214"/>
    </row>
    <row r="5215" spans="1:5" x14ac:dyDescent="0.2">
      <c r="A5215"/>
      <c r="B5215"/>
      <c r="C5215"/>
      <c r="D5215"/>
      <c r="E5215"/>
    </row>
    <row r="5216" spans="1:5" x14ac:dyDescent="0.2">
      <c r="A5216"/>
      <c r="B5216"/>
      <c r="C5216"/>
      <c r="D5216"/>
      <c r="E5216"/>
    </row>
    <row r="5217" spans="1:5" x14ac:dyDescent="0.2">
      <c r="A5217"/>
      <c r="B5217"/>
      <c r="C5217"/>
      <c r="D5217"/>
      <c r="E5217"/>
    </row>
    <row r="5218" spans="1:5" x14ac:dyDescent="0.2">
      <c r="A5218"/>
      <c r="B5218"/>
      <c r="C5218"/>
      <c r="D5218"/>
      <c r="E5218"/>
    </row>
    <row r="5219" spans="1:5" x14ac:dyDescent="0.2">
      <c r="A5219"/>
      <c r="B5219"/>
      <c r="C5219"/>
      <c r="D5219"/>
      <c r="E5219"/>
    </row>
    <row r="5220" spans="1:5" x14ac:dyDescent="0.2">
      <c r="A5220"/>
      <c r="B5220"/>
      <c r="C5220"/>
      <c r="D5220"/>
      <c r="E5220"/>
    </row>
    <row r="5221" spans="1:5" x14ac:dyDescent="0.2">
      <c r="A5221"/>
      <c r="B5221"/>
      <c r="C5221"/>
      <c r="D5221"/>
      <c r="E5221"/>
    </row>
    <row r="5222" spans="1:5" x14ac:dyDescent="0.2">
      <c r="A5222"/>
      <c r="B5222"/>
      <c r="C5222"/>
      <c r="D5222"/>
      <c r="E5222"/>
    </row>
    <row r="5223" spans="1:5" x14ac:dyDescent="0.2">
      <c r="A5223"/>
      <c r="B5223"/>
      <c r="C5223"/>
      <c r="D5223"/>
      <c r="E5223"/>
    </row>
    <row r="5224" spans="1:5" x14ac:dyDescent="0.2">
      <c r="A5224"/>
      <c r="B5224"/>
      <c r="C5224"/>
      <c r="D5224"/>
      <c r="E5224"/>
    </row>
    <row r="5225" spans="1:5" x14ac:dyDescent="0.2">
      <c r="A5225"/>
      <c r="B5225"/>
      <c r="C5225"/>
      <c r="D5225"/>
      <c r="E5225"/>
    </row>
    <row r="5226" spans="1:5" x14ac:dyDescent="0.2">
      <c r="A5226"/>
      <c r="B5226"/>
      <c r="C5226"/>
      <c r="D5226"/>
      <c r="E5226"/>
    </row>
    <row r="5227" spans="1:5" x14ac:dyDescent="0.2">
      <c r="A5227"/>
      <c r="B5227"/>
      <c r="C5227"/>
      <c r="D5227"/>
      <c r="E5227"/>
    </row>
    <row r="5228" spans="1:5" x14ac:dyDescent="0.2">
      <c r="A5228"/>
      <c r="B5228"/>
      <c r="C5228"/>
      <c r="D5228"/>
      <c r="E5228"/>
    </row>
    <row r="5229" spans="1:5" x14ac:dyDescent="0.2">
      <c r="A5229"/>
      <c r="B5229"/>
      <c r="C5229"/>
      <c r="D5229"/>
      <c r="E5229"/>
    </row>
    <row r="5230" spans="1:5" x14ac:dyDescent="0.2">
      <c r="A5230"/>
      <c r="B5230"/>
      <c r="C5230"/>
      <c r="D5230"/>
      <c r="E5230"/>
    </row>
    <row r="5231" spans="1:5" x14ac:dyDescent="0.2">
      <c r="A5231"/>
      <c r="B5231"/>
      <c r="C5231"/>
      <c r="D5231"/>
      <c r="E5231"/>
    </row>
    <row r="5232" spans="1:5" x14ac:dyDescent="0.2">
      <c r="A5232"/>
      <c r="B5232"/>
      <c r="C5232"/>
      <c r="D5232"/>
      <c r="E5232"/>
    </row>
    <row r="5233" spans="1:5" x14ac:dyDescent="0.2">
      <c r="A5233"/>
      <c r="B5233"/>
      <c r="C5233"/>
      <c r="D5233"/>
      <c r="E5233"/>
    </row>
    <row r="5234" spans="1:5" x14ac:dyDescent="0.2">
      <c r="A5234"/>
      <c r="B5234"/>
      <c r="C5234"/>
      <c r="D5234"/>
      <c r="E5234"/>
    </row>
    <row r="5235" spans="1:5" x14ac:dyDescent="0.2">
      <c r="A5235"/>
      <c r="B5235"/>
      <c r="C5235"/>
      <c r="D5235"/>
      <c r="E5235"/>
    </row>
    <row r="5236" spans="1:5" x14ac:dyDescent="0.2">
      <c r="A5236"/>
      <c r="B5236"/>
      <c r="C5236"/>
      <c r="D5236"/>
      <c r="E5236"/>
    </row>
    <row r="5237" spans="1:5" x14ac:dyDescent="0.2">
      <c r="A5237"/>
      <c r="B5237"/>
      <c r="C5237"/>
      <c r="D5237"/>
      <c r="E5237"/>
    </row>
    <row r="5238" spans="1:5" x14ac:dyDescent="0.2">
      <c r="A5238"/>
      <c r="B5238"/>
      <c r="C5238"/>
      <c r="D5238"/>
      <c r="E5238"/>
    </row>
    <row r="5239" spans="1:5" x14ac:dyDescent="0.2">
      <c r="A5239"/>
      <c r="B5239"/>
      <c r="C5239"/>
      <c r="D5239"/>
      <c r="E5239"/>
    </row>
    <row r="5240" spans="1:5" x14ac:dyDescent="0.2">
      <c r="A5240"/>
      <c r="B5240"/>
      <c r="C5240"/>
      <c r="D5240"/>
      <c r="E5240"/>
    </row>
    <row r="5241" spans="1:5" x14ac:dyDescent="0.2">
      <c r="A5241"/>
      <c r="B5241"/>
      <c r="C5241"/>
      <c r="D5241"/>
      <c r="E5241"/>
    </row>
    <row r="5242" spans="1:5" x14ac:dyDescent="0.2">
      <c r="A5242"/>
      <c r="B5242"/>
      <c r="C5242"/>
      <c r="D5242"/>
      <c r="E5242"/>
    </row>
    <row r="5243" spans="1:5" x14ac:dyDescent="0.2">
      <c r="A5243"/>
      <c r="B5243"/>
      <c r="C5243"/>
      <c r="D5243"/>
      <c r="E5243"/>
    </row>
    <row r="5244" spans="1:5" x14ac:dyDescent="0.2">
      <c r="A5244"/>
      <c r="B5244"/>
      <c r="C5244"/>
      <c r="D5244"/>
      <c r="E5244"/>
    </row>
    <row r="5245" spans="1:5" x14ac:dyDescent="0.2">
      <c r="A5245"/>
      <c r="B5245"/>
      <c r="C5245"/>
      <c r="D5245"/>
      <c r="E5245"/>
    </row>
    <row r="5246" spans="1:5" x14ac:dyDescent="0.2">
      <c r="A5246"/>
      <c r="B5246"/>
      <c r="C5246"/>
      <c r="D5246"/>
      <c r="E5246"/>
    </row>
    <row r="5247" spans="1:5" x14ac:dyDescent="0.2">
      <c r="A5247"/>
      <c r="B5247"/>
      <c r="C5247"/>
      <c r="D5247"/>
      <c r="E5247"/>
    </row>
    <row r="5248" spans="1:5" x14ac:dyDescent="0.2">
      <c r="A5248"/>
      <c r="B5248"/>
      <c r="C5248"/>
      <c r="D5248"/>
      <c r="E5248"/>
    </row>
    <row r="5249" spans="1:5" x14ac:dyDescent="0.2">
      <c r="A5249"/>
      <c r="B5249"/>
      <c r="C5249"/>
      <c r="D5249"/>
      <c r="E5249"/>
    </row>
    <row r="5250" spans="1:5" x14ac:dyDescent="0.2">
      <c r="A5250"/>
      <c r="B5250"/>
      <c r="C5250"/>
      <c r="D5250"/>
      <c r="E5250"/>
    </row>
    <row r="5251" spans="1:5" x14ac:dyDescent="0.2">
      <c r="A5251"/>
      <c r="B5251"/>
      <c r="C5251"/>
      <c r="D5251"/>
      <c r="E5251"/>
    </row>
    <row r="5252" spans="1:5" x14ac:dyDescent="0.2">
      <c r="A5252"/>
      <c r="B5252"/>
      <c r="C5252"/>
      <c r="D5252"/>
      <c r="E5252"/>
    </row>
    <row r="5253" spans="1:5" x14ac:dyDescent="0.2">
      <c r="A5253"/>
      <c r="B5253"/>
      <c r="C5253"/>
      <c r="D5253"/>
      <c r="E5253"/>
    </row>
    <row r="5254" spans="1:5" x14ac:dyDescent="0.2">
      <c r="A5254"/>
      <c r="B5254"/>
      <c r="C5254"/>
      <c r="D5254"/>
      <c r="E5254"/>
    </row>
    <row r="5255" spans="1:5" x14ac:dyDescent="0.2">
      <c r="A5255"/>
      <c r="B5255"/>
      <c r="C5255"/>
      <c r="D5255"/>
      <c r="E5255"/>
    </row>
    <row r="5256" spans="1:5" x14ac:dyDescent="0.2">
      <c r="A5256"/>
      <c r="B5256"/>
      <c r="C5256"/>
      <c r="D5256"/>
      <c r="E5256"/>
    </row>
    <row r="5257" spans="1:5" x14ac:dyDescent="0.2">
      <c r="A5257"/>
      <c r="B5257"/>
      <c r="C5257"/>
      <c r="D5257"/>
      <c r="E5257"/>
    </row>
    <row r="5258" spans="1:5" x14ac:dyDescent="0.2">
      <c r="A5258"/>
      <c r="B5258"/>
      <c r="C5258"/>
      <c r="D5258"/>
      <c r="E5258"/>
    </row>
    <row r="5259" spans="1:5" x14ac:dyDescent="0.2">
      <c r="A5259"/>
      <c r="B5259"/>
      <c r="C5259"/>
      <c r="D5259"/>
      <c r="E5259"/>
    </row>
    <row r="5260" spans="1:5" x14ac:dyDescent="0.2">
      <c r="A5260"/>
      <c r="B5260"/>
      <c r="C5260"/>
      <c r="D5260"/>
      <c r="E5260"/>
    </row>
    <row r="5261" spans="1:5" x14ac:dyDescent="0.2">
      <c r="A5261"/>
      <c r="B5261"/>
      <c r="C5261"/>
      <c r="D5261"/>
      <c r="E5261"/>
    </row>
    <row r="5262" spans="1:5" x14ac:dyDescent="0.2">
      <c r="A5262"/>
      <c r="B5262"/>
      <c r="C5262"/>
      <c r="D5262"/>
      <c r="E5262"/>
    </row>
    <row r="5263" spans="1:5" x14ac:dyDescent="0.2">
      <c r="A5263"/>
      <c r="B5263"/>
      <c r="C5263"/>
      <c r="D5263"/>
      <c r="E5263"/>
    </row>
    <row r="5264" spans="1:5" x14ac:dyDescent="0.2">
      <c r="A5264"/>
      <c r="B5264"/>
      <c r="C5264"/>
      <c r="D5264"/>
      <c r="E5264"/>
    </row>
    <row r="5265" spans="1:5" x14ac:dyDescent="0.2">
      <c r="A5265"/>
      <c r="B5265"/>
      <c r="C5265"/>
      <c r="D5265"/>
      <c r="E5265"/>
    </row>
    <row r="5266" spans="1:5" x14ac:dyDescent="0.2">
      <c r="A5266"/>
      <c r="B5266"/>
      <c r="C5266"/>
      <c r="D5266"/>
      <c r="E5266"/>
    </row>
    <row r="5267" spans="1:5" x14ac:dyDescent="0.2">
      <c r="A5267"/>
      <c r="B5267"/>
      <c r="C5267"/>
      <c r="D5267"/>
      <c r="E5267"/>
    </row>
    <row r="5268" spans="1:5" x14ac:dyDescent="0.2">
      <c r="A5268"/>
      <c r="B5268"/>
      <c r="C5268"/>
      <c r="D5268"/>
      <c r="E5268"/>
    </row>
    <row r="5269" spans="1:5" x14ac:dyDescent="0.2">
      <c r="A5269"/>
      <c r="B5269"/>
      <c r="C5269"/>
      <c r="D5269"/>
      <c r="E5269"/>
    </row>
    <row r="5270" spans="1:5" x14ac:dyDescent="0.2">
      <c r="A5270"/>
      <c r="B5270"/>
      <c r="C5270"/>
      <c r="D5270"/>
      <c r="E5270"/>
    </row>
    <row r="5271" spans="1:5" x14ac:dyDescent="0.2">
      <c r="A5271"/>
      <c r="B5271"/>
      <c r="C5271"/>
      <c r="D5271"/>
      <c r="E5271"/>
    </row>
    <row r="5272" spans="1:5" x14ac:dyDescent="0.2">
      <c r="A5272"/>
      <c r="B5272"/>
      <c r="C5272"/>
      <c r="D5272"/>
      <c r="E5272"/>
    </row>
    <row r="5273" spans="1:5" x14ac:dyDescent="0.2">
      <c r="A5273"/>
      <c r="B5273"/>
      <c r="C5273"/>
      <c r="D5273"/>
      <c r="E5273"/>
    </row>
    <row r="5274" spans="1:5" x14ac:dyDescent="0.2">
      <c r="A5274"/>
      <c r="B5274"/>
      <c r="C5274"/>
      <c r="D5274"/>
      <c r="E5274"/>
    </row>
    <row r="5275" spans="1:5" x14ac:dyDescent="0.2">
      <c r="A5275"/>
      <c r="B5275"/>
      <c r="C5275"/>
      <c r="D5275"/>
      <c r="E5275"/>
    </row>
    <row r="5276" spans="1:5" x14ac:dyDescent="0.2">
      <c r="A5276"/>
      <c r="B5276"/>
      <c r="C5276"/>
      <c r="D5276"/>
      <c r="E5276"/>
    </row>
    <row r="5277" spans="1:5" x14ac:dyDescent="0.2">
      <c r="A5277"/>
      <c r="B5277"/>
      <c r="C5277"/>
      <c r="D5277"/>
      <c r="E5277"/>
    </row>
    <row r="5278" spans="1:5" x14ac:dyDescent="0.2">
      <c r="A5278"/>
      <c r="B5278"/>
      <c r="C5278"/>
      <c r="D5278"/>
      <c r="E5278"/>
    </row>
    <row r="5279" spans="1:5" x14ac:dyDescent="0.2">
      <c r="A5279"/>
      <c r="B5279"/>
      <c r="C5279"/>
      <c r="D5279"/>
      <c r="E5279"/>
    </row>
    <row r="5280" spans="1:5" x14ac:dyDescent="0.2">
      <c r="A5280"/>
      <c r="B5280"/>
      <c r="C5280"/>
      <c r="D5280"/>
      <c r="E5280"/>
    </row>
    <row r="5281" spans="1:5" x14ac:dyDescent="0.2">
      <c r="A5281"/>
      <c r="B5281"/>
      <c r="C5281"/>
      <c r="D5281"/>
      <c r="E5281"/>
    </row>
    <row r="5282" spans="1:5" x14ac:dyDescent="0.2">
      <c r="A5282"/>
      <c r="B5282"/>
      <c r="C5282"/>
      <c r="D5282"/>
      <c r="E5282"/>
    </row>
    <row r="5283" spans="1:5" x14ac:dyDescent="0.2">
      <c r="A5283"/>
      <c r="B5283"/>
      <c r="C5283"/>
      <c r="D5283"/>
      <c r="E5283"/>
    </row>
    <row r="5284" spans="1:5" x14ac:dyDescent="0.2">
      <c r="A5284"/>
      <c r="B5284"/>
      <c r="C5284"/>
      <c r="D5284"/>
      <c r="E5284"/>
    </row>
    <row r="5285" spans="1:5" x14ac:dyDescent="0.2">
      <c r="A5285"/>
      <c r="B5285"/>
      <c r="C5285"/>
      <c r="D5285"/>
      <c r="E5285"/>
    </row>
    <row r="5286" spans="1:5" x14ac:dyDescent="0.2">
      <c r="A5286"/>
      <c r="B5286"/>
      <c r="C5286"/>
      <c r="D5286"/>
      <c r="E5286"/>
    </row>
    <row r="5287" spans="1:5" x14ac:dyDescent="0.2">
      <c r="A5287"/>
      <c r="B5287"/>
      <c r="C5287"/>
      <c r="D5287"/>
      <c r="E5287"/>
    </row>
    <row r="5288" spans="1:5" x14ac:dyDescent="0.2">
      <c r="A5288"/>
      <c r="B5288"/>
      <c r="C5288"/>
      <c r="D5288"/>
      <c r="E5288"/>
    </row>
    <row r="5289" spans="1:5" x14ac:dyDescent="0.2">
      <c r="A5289"/>
      <c r="B5289"/>
      <c r="C5289"/>
      <c r="D5289"/>
      <c r="E5289"/>
    </row>
    <row r="5290" spans="1:5" x14ac:dyDescent="0.2">
      <c r="A5290"/>
      <c r="B5290"/>
      <c r="C5290"/>
      <c r="D5290"/>
      <c r="E5290"/>
    </row>
    <row r="5291" spans="1:5" x14ac:dyDescent="0.2">
      <c r="A5291"/>
      <c r="B5291"/>
      <c r="C5291"/>
      <c r="D5291"/>
      <c r="E5291"/>
    </row>
    <row r="5292" spans="1:5" x14ac:dyDescent="0.2">
      <c r="A5292"/>
      <c r="B5292"/>
      <c r="C5292"/>
      <c r="D5292"/>
      <c r="E5292"/>
    </row>
    <row r="5293" spans="1:5" x14ac:dyDescent="0.2">
      <c r="A5293"/>
      <c r="B5293"/>
      <c r="C5293"/>
      <c r="D5293"/>
      <c r="E5293"/>
    </row>
    <row r="5294" spans="1:5" x14ac:dyDescent="0.2">
      <c r="A5294"/>
      <c r="B5294"/>
      <c r="C5294"/>
      <c r="D5294"/>
      <c r="E5294"/>
    </row>
    <row r="5295" spans="1:5" x14ac:dyDescent="0.2">
      <c r="A5295"/>
      <c r="B5295"/>
      <c r="C5295"/>
      <c r="D5295"/>
      <c r="E5295"/>
    </row>
    <row r="5296" spans="1:5" x14ac:dyDescent="0.2">
      <c r="A5296"/>
      <c r="B5296"/>
      <c r="C5296"/>
      <c r="D5296"/>
      <c r="E5296"/>
    </row>
    <row r="5297" spans="1:5" x14ac:dyDescent="0.2">
      <c r="A5297"/>
      <c r="B5297"/>
      <c r="C5297"/>
      <c r="D5297"/>
      <c r="E5297"/>
    </row>
    <row r="5298" spans="1:5" x14ac:dyDescent="0.2">
      <c r="A5298"/>
      <c r="B5298"/>
      <c r="C5298"/>
      <c r="D5298"/>
      <c r="E5298"/>
    </row>
    <row r="5299" spans="1:5" x14ac:dyDescent="0.2">
      <c r="A5299"/>
      <c r="B5299"/>
      <c r="C5299"/>
      <c r="D5299"/>
      <c r="E5299"/>
    </row>
    <row r="5300" spans="1:5" x14ac:dyDescent="0.2">
      <c r="A5300"/>
      <c r="B5300"/>
      <c r="C5300"/>
      <c r="D5300"/>
      <c r="E5300"/>
    </row>
    <row r="5301" spans="1:5" x14ac:dyDescent="0.2">
      <c r="A5301"/>
      <c r="B5301"/>
      <c r="C5301"/>
      <c r="D5301"/>
      <c r="E5301"/>
    </row>
    <row r="5302" spans="1:5" x14ac:dyDescent="0.2">
      <c r="A5302"/>
      <c r="B5302"/>
      <c r="C5302"/>
      <c r="D5302"/>
      <c r="E5302"/>
    </row>
    <row r="5303" spans="1:5" x14ac:dyDescent="0.2">
      <c r="A5303"/>
      <c r="B5303"/>
      <c r="C5303"/>
      <c r="D5303"/>
      <c r="E5303"/>
    </row>
    <row r="5304" spans="1:5" x14ac:dyDescent="0.2">
      <c r="A5304"/>
      <c r="B5304"/>
      <c r="C5304"/>
      <c r="D5304"/>
      <c r="E5304"/>
    </row>
    <row r="5305" spans="1:5" x14ac:dyDescent="0.2">
      <c r="A5305"/>
      <c r="B5305"/>
      <c r="C5305"/>
      <c r="D5305"/>
      <c r="E5305"/>
    </row>
    <row r="5306" spans="1:5" x14ac:dyDescent="0.2">
      <c r="A5306"/>
      <c r="B5306"/>
      <c r="C5306"/>
      <c r="D5306"/>
      <c r="E5306"/>
    </row>
    <row r="5307" spans="1:5" x14ac:dyDescent="0.2">
      <c r="A5307"/>
      <c r="B5307"/>
      <c r="C5307"/>
      <c r="D5307"/>
      <c r="E5307"/>
    </row>
    <row r="5308" spans="1:5" x14ac:dyDescent="0.2">
      <c r="A5308"/>
      <c r="B5308"/>
      <c r="C5308"/>
      <c r="D5308"/>
      <c r="E5308"/>
    </row>
    <row r="5309" spans="1:5" x14ac:dyDescent="0.2">
      <c r="A5309"/>
      <c r="B5309"/>
      <c r="C5309"/>
      <c r="D5309"/>
      <c r="E5309"/>
    </row>
    <row r="5310" spans="1:5" x14ac:dyDescent="0.2">
      <c r="A5310"/>
      <c r="B5310"/>
      <c r="C5310"/>
      <c r="D5310"/>
      <c r="E5310"/>
    </row>
    <row r="5311" spans="1:5" x14ac:dyDescent="0.2">
      <c r="A5311"/>
      <c r="B5311"/>
      <c r="C5311"/>
      <c r="D5311"/>
      <c r="E5311"/>
    </row>
    <row r="5312" spans="1:5" x14ac:dyDescent="0.2">
      <c r="A5312"/>
      <c r="B5312"/>
      <c r="C5312"/>
      <c r="D5312"/>
      <c r="E5312"/>
    </row>
    <row r="5313" spans="1:5" x14ac:dyDescent="0.2">
      <c r="A5313"/>
      <c r="B5313"/>
      <c r="C5313"/>
      <c r="D5313"/>
      <c r="E5313"/>
    </row>
    <row r="5314" spans="1:5" x14ac:dyDescent="0.2">
      <c r="A5314"/>
      <c r="B5314"/>
      <c r="C5314"/>
      <c r="D5314"/>
      <c r="E5314"/>
    </row>
    <row r="5315" spans="1:5" x14ac:dyDescent="0.2">
      <c r="A5315"/>
      <c r="B5315"/>
      <c r="C5315"/>
      <c r="D5315"/>
      <c r="E5315"/>
    </row>
    <row r="5316" spans="1:5" x14ac:dyDescent="0.2">
      <c r="A5316"/>
      <c r="B5316"/>
      <c r="C5316"/>
      <c r="D5316"/>
      <c r="E5316"/>
    </row>
    <row r="5317" spans="1:5" x14ac:dyDescent="0.2">
      <c r="A5317"/>
      <c r="B5317"/>
      <c r="C5317"/>
      <c r="D5317"/>
      <c r="E5317"/>
    </row>
    <row r="5318" spans="1:5" x14ac:dyDescent="0.2">
      <c r="A5318"/>
      <c r="B5318"/>
      <c r="C5318"/>
      <c r="D5318"/>
      <c r="E5318"/>
    </row>
    <row r="5319" spans="1:5" x14ac:dyDescent="0.2">
      <c r="A5319"/>
      <c r="B5319"/>
      <c r="C5319"/>
      <c r="D5319"/>
      <c r="E5319"/>
    </row>
    <row r="5320" spans="1:5" x14ac:dyDescent="0.2">
      <c r="A5320"/>
      <c r="B5320"/>
      <c r="C5320"/>
      <c r="D5320"/>
      <c r="E5320"/>
    </row>
    <row r="5321" spans="1:5" x14ac:dyDescent="0.2">
      <c r="A5321"/>
      <c r="B5321"/>
      <c r="C5321"/>
      <c r="D5321"/>
      <c r="E5321"/>
    </row>
    <row r="5322" spans="1:5" x14ac:dyDescent="0.2">
      <c r="A5322"/>
      <c r="B5322"/>
      <c r="C5322"/>
      <c r="D5322"/>
      <c r="E5322"/>
    </row>
    <row r="5323" spans="1:5" x14ac:dyDescent="0.2">
      <c r="A5323"/>
      <c r="B5323"/>
      <c r="C5323"/>
      <c r="D5323"/>
      <c r="E5323"/>
    </row>
    <row r="5324" spans="1:5" x14ac:dyDescent="0.2">
      <c r="A5324"/>
      <c r="B5324"/>
      <c r="C5324"/>
      <c r="D5324"/>
      <c r="E5324"/>
    </row>
    <row r="5325" spans="1:5" x14ac:dyDescent="0.2">
      <c r="A5325"/>
      <c r="B5325"/>
      <c r="C5325"/>
      <c r="D5325"/>
      <c r="E5325"/>
    </row>
    <row r="5326" spans="1:5" x14ac:dyDescent="0.2">
      <c r="A5326"/>
      <c r="B5326"/>
      <c r="C5326"/>
      <c r="D5326"/>
      <c r="E5326"/>
    </row>
    <row r="5327" spans="1:5" x14ac:dyDescent="0.2">
      <c r="A5327"/>
      <c r="B5327"/>
      <c r="C5327"/>
      <c r="D5327"/>
      <c r="E5327"/>
    </row>
    <row r="5328" spans="1:5" x14ac:dyDescent="0.2">
      <c r="A5328"/>
      <c r="B5328"/>
      <c r="C5328"/>
      <c r="D5328"/>
      <c r="E5328"/>
    </row>
    <row r="5329" spans="1:5" x14ac:dyDescent="0.2">
      <c r="A5329"/>
      <c r="B5329"/>
      <c r="C5329"/>
      <c r="D5329"/>
      <c r="E5329"/>
    </row>
    <row r="5330" spans="1:5" x14ac:dyDescent="0.2">
      <c r="A5330"/>
      <c r="B5330"/>
      <c r="C5330"/>
      <c r="D5330"/>
      <c r="E5330"/>
    </row>
    <row r="5331" spans="1:5" x14ac:dyDescent="0.2">
      <c r="A5331"/>
      <c r="B5331"/>
      <c r="C5331"/>
      <c r="D5331"/>
      <c r="E5331"/>
    </row>
    <row r="5332" spans="1:5" x14ac:dyDescent="0.2">
      <c r="A5332"/>
      <c r="B5332"/>
      <c r="C5332"/>
      <c r="D5332"/>
      <c r="E5332"/>
    </row>
    <row r="5333" spans="1:5" x14ac:dyDescent="0.2">
      <c r="A5333"/>
      <c r="B5333"/>
      <c r="C5333"/>
      <c r="D5333"/>
      <c r="E5333"/>
    </row>
    <row r="5334" spans="1:5" x14ac:dyDescent="0.2">
      <c r="A5334"/>
      <c r="B5334"/>
      <c r="C5334"/>
      <c r="D5334"/>
      <c r="E5334"/>
    </row>
    <row r="5335" spans="1:5" x14ac:dyDescent="0.2">
      <c r="A5335"/>
      <c r="B5335"/>
      <c r="C5335"/>
      <c r="D5335"/>
      <c r="E5335"/>
    </row>
    <row r="5336" spans="1:5" x14ac:dyDescent="0.2">
      <c r="A5336"/>
      <c r="B5336"/>
      <c r="C5336"/>
      <c r="D5336"/>
      <c r="E5336"/>
    </row>
    <row r="5337" spans="1:5" x14ac:dyDescent="0.2">
      <c r="A5337"/>
      <c r="B5337"/>
      <c r="C5337"/>
      <c r="D5337"/>
      <c r="E5337"/>
    </row>
    <row r="5338" spans="1:5" x14ac:dyDescent="0.2">
      <c r="A5338"/>
      <c r="B5338"/>
      <c r="C5338"/>
      <c r="D5338"/>
      <c r="E5338"/>
    </row>
    <row r="5339" spans="1:5" x14ac:dyDescent="0.2">
      <c r="A5339"/>
      <c r="B5339"/>
      <c r="C5339"/>
      <c r="D5339"/>
      <c r="E5339"/>
    </row>
    <row r="5340" spans="1:5" x14ac:dyDescent="0.2">
      <c r="A5340"/>
      <c r="B5340"/>
      <c r="C5340"/>
      <c r="D5340"/>
      <c r="E5340"/>
    </row>
    <row r="5341" spans="1:5" x14ac:dyDescent="0.2">
      <c r="A5341"/>
      <c r="B5341"/>
      <c r="C5341"/>
      <c r="D5341"/>
      <c r="E5341"/>
    </row>
    <row r="5342" spans="1:5" x14ac:dyDescent="0.2">
      <c r="A5342"/>
      <c r="B5342"/>
      <c r="C5342"/>
      <c r="D5342"/>
      <c r="E5342"/>
    </row>
    <row r="5343" spans="1:5" x14ac:dyDescent="0.2">
      <c r="A5343"/>
      <c r="B5343"/>
      <c r="C5343"/>
      <c r="D5343"/>
      <c r="E5343"/>
    </row>
    <row r="5344" spans="1:5" x14ac:dyDescent="0.2">
      <c r="A5344"/>
      <c r="B5344"/>
      <c r="C5344"/>
      <c r="D5344"/>
      <c r="E5344"/>
    </row>
    <row r="5345" spans="1:5" x14ac:dyDescent="0.2">
      <c r="A5345"/>
      <c r="B5345"/>
      <c r="C5345"/>
      <c r="D5345"/>
      <c r="E5345"/>
    </row>
    <row r="5346" spans="1:5" x14ac:dyDescent="0.2">
      <c r="A5346"/>
      <c r="B5346"/>
      <c r="C5346"/>
      <c r="D5346"/>
      <c r="E5346"/>
    </row>
    <row r="5347" spans="1:5" x14ac:dyDescent="0.2">
      <c r="A5347"/>
      <c r="B5347"/>
      <c r="C5347"/>
      <c r="D5347"/>
      <c r="E5347"/>
    </row>
    <row r="5348" spans="1:5" x14ac:dyDescent="0.2">
      <c r="A5348"/>
      <c r="B5348"/>
      <c r="C5348"/>
      <c r="D5348"/>
      <c r="E5348"/>
    </row>
    <row r="5349" spans="1:5" x14ac:dyDescent="0.2">
      <c r="A5349"/>
      <c r="B5349"/>
      <c r="C5349"/>
      <c r="D5349"/>
      <c r="E5349"/>
    </row>
    <row r="5350" spans="1:5" x14ac:dyDescent="0.2">
      <c r="A5350"/>
      <c r="B5350"/>
      <c r="C5350"/>
      <c r="D5350"/>
      <c r="E5350"/>
    </row>
    <row r="5351" spans="1:5" x14ac:dyDescent="0.2">
      <c r="A5351"/>
      <c r="B5351"/>
      <c r="C5351"/>
      <c r="D5351"/>
      <c r="E5351"/>
    </row>
    <row r="5352" spans="1:5" x14ac:dyDescent="0.2">
      <c r="A5352"/>
      <c r="B5352"/>
      <c r="C5352"/>
      <c r="D5352"/>
      <c r="E5352"/>
    </row>
    <row r="5353" spans="1:5" x14ac:dyDescent="0.2">
      <c r="A5353"/>
      <c r="B5353"/>
      <c r="C5353"/>
      <c r="D5353"/>
      <c r="E5353"/>
    </row>
    <row r="5354" spans="1:5" x14ac:dyDescent="0.2">
      <c r="A5354"/>
      <c r="B5354"/>
      <c r="C5354"/>
      <c r="D5354"/>
      <c r="E5354"/>
    </row>
    <row r="5355" spans="1:5" x14ac:dyDescent="0.2">
      <c r="A5355"/>
      <c r="B5355"/>
      <c r="C5355"/>
      <c r="D5355"/>
      <c r="E5355"/>
    </row>
    <row r="5356" spans="1:5" x14ac:dyDescent="0.2">
      <c r="A5356"/>
      <c r="B5356"/>
      <c r="C5356"/>
      <c r="D5356"/>
      <c r="E5356"/>
    </row>
    <row r="5357" spans="1:5" x14ac:dyDescent="0.2">
      <c r="A5357"/>
      <c r="B5357"/>
      <c r="C5357"/>
      <c r="D5357"/>
      <c r="E5357"/>
    </row>
    <row r="5358" spans="1:5" x14ac:dyDescent="0.2">
      <c r="A5358"/>
      <c r="B5358"/>
      <c r="C5358"/>
      <c r="D5358"/>
      <c r="E5358"/>
    </row>
    <row r="5359" spans="1:5" x14ac:dyDescent="0.2">
      <c r="A5359"/>
      <c r="B5359"/>
      <c r="C5359"/>
      <c r="D5359"/>
      <c r="E5359"/>
    </row>
    <row r="5360" spans="1:5" x14ac:dyDescent="0.2">
      <c r="A5360"/>
      <c r="B5360"/>
      <c r="C5360"/>
      <c r="D5360"/>
      <c r="E5360"/>
    </row>
    <row r="5361" spans="1:5" x14ac:dyDescent="0.2">
      <c r="A5361"/>
      <c r="B5361"/>
      <c r="C5361"/>
      <c r="D5361"/>
      <c r="E5361"/>
    </row>
    <row r="5362" spans="1:5" x14ac:dyDescent="0.2">
      <c r="A5362"/>
      <c r="B5362"/>
      <c r="C5362"/>
      <c r="D5362"/>
      <c r="E5362"/>
    </row>
    <row r="5363" spans="1:5" x14ac:dyDescent="0.2">
      <c r="A5363"/>
      <c r="B5363"/>
      <c r="C5363"/>
      <c r="D5363"/>
      <c r="E5363"/>
    </row>
    <row r="5364" spans="1:5" x14ac:dyDescent="0.2">
      <c r="A5364"/>
      <c r="B5364"/>
      <c r="C5364"/>
      <c r="D5364"/>
      <c r="E5364"/>
    </row>
    <row r="5365" spans="1:5" x14ac:dyDescent="0.2">
      <c r="A5365"/>
      <c r="B5365"/>
      <c r="C5365"/>
      <c r="D5365"/>
      <c r="E5365"/>
    </row>
    <row r="5366" spans="1:5" x14ac:dyDescent="0.2">
      <c r="A5366"/>
      <c r="B5366"/>
      <c r="C5366"/>
      <c r="D5366"/>
      <c r="E5366"/>
    </row>
    <row r="5367" spans="1:5" x14ac:dyDescent="0.2">
      <c r="A5367"/>
      <c r="B5367"/>
      <c r="C5367"/>
      <c r="D5367"/>
      <c r="E5367"/>
    </row>
    <row r="5368" spans="1:5" x14ac:dyDescent="0.2">
      <c r="A5368"/>
      <c r="B5368"/>
      <c r="C5368"/>
      <c r="D5368"/>
      <c r="E5368"/>
    </row>
    <row r="5369" spans="1:5" x14ac:dyDescent="0.2">
      <c r="A5369"/>
      <c r="B5369"/>
      <c r="C5369"/>
      <c r="D5369"/>
      <c r="E5369"/>
    </row>
    <row r="5370" spans="1:5" x14ac:dyDescent="0.2">
      <c r="A5370"/>
      <c r="B5370"/>
      <c r="C5370"/>
      <c r="D5370"/>
      <c r="E5370"/>
    </row>
    <row r="5371" spans="1:5" x14ac:dyDescent="0.2">
      <c r="A5371"/>
      <c r="B5371"/>
      <c r="C5371"/>
      <c r="D5371"/>
      <c r="E5371"/>
    </row>
    <row r="5372" spans="1:5" x14ac:dyDescent="0.2">
      <c r="A5372"/>
      <c r="B5372"/>
      <c r="C5372"/>
      <c r="D5372"/>
      <c r="E5372"/>
    </row>
    <row r="5373" spans="1:5" x14ac:dyDescent="0.2">
      <c r="A5373"/>
      <c r="B5373"/>
      <c r="C5373"/>
      <c r="D5373"/>
      <c r="E5373"/>
    </row>
    <row r="5374" spans="1:5" x14ac:dyDescent="0.2">
      <c r="A5374"/>
      <c r="B5374"/>
      <c r="C5374"/>
      <c r="D5374"/>
      <c r="E5374"/>
    </row>
    <row r="5375" spans="1:5" x14ac:dyDescent="0.2">
      <c r="A5375"/>
      <c r="B5375"/>
      <c r="C5375"/>
      <c r="D5375"/>
      <c r="E5375"/>
    </row>
    <row r="5376" spans="1:5" x14ac:dyDescent="0.2">
      <c r="A5376"/>
      <c r="B5376"/>
      <c r="C5376"/>
      <c r="D5376"/>
      <c r="E5376"/>
    </row>
    <row r="5377" spans="1:5" x14ac:dyDescent="0.2">
      <c r="A5377"/>
      <c r="B5377"/>
      <c r="C5377"/>
      <c r="D5377"/>
      <c r="E5377"/>
    </row>
    <row r="5378" spans="1:5" x14ac:dyDescent="0.2">
      <c r="A5378"/>
      <c r="B5378"/>
      <c r="C5378"/>
      <c r="D5378"/>
      <c r="E5378"/>
    </row>
    <row r="5379" spans="1:5" x14ac:dyDescent="0.2">
      <c r="A5379"/>
      <c r="B5379"/>
      <c r="C5379"/>
      <c r="D5379"/>
      <c r="E5379"/>
    </row>
    <row r="5380" spans="1:5" x14ac:dyDescent="0.2">
      <c r="A5380"/>
      <c r="B5380"/>
      <c r="C5380"/>
      <c r="D5380"/>
      <c r="E5380"/>
    </row>
    <row r="5381" spans="1:5" x14ac:dyDescent="0.2">
      <c r="A5381"/>
      <c r="B5381"/>
      <c r="C5381"/>
      <c r="D5381"/>
      <c r="E5381"/>
    </row>
    <row r="5382" spans="1:5" x14ac:dyDescent="0.2">
      <c r="A5382"/>
      <c r="B5382"/>
      <c r="C5382"/>
      <c r="D5382"/>
      <c r="E5382"/>
    </row>
    <row r="5383" spans="1:5" x14ac:dyDescent="0.2">
      <c r="A5383"/>
      <c r="B5383"/>
      <c r="C5383"/>
      <c r="D5383"/>
      <c r="E5383"/>
    </row>
    <row r="5384" spans="1:5" x14ac:dyDescent="0.2">
      <c r="A5384"/>
      <c r="B5384"/>
      <c r="C5384"/>
      <c r="D5384"/>
      <c r="E5384"/>
    </row>
    <row r="5385" spans="1:5" x14ac:dyDescent="0.2">
      <c r="A5385"/>
      <c r="B5385"/>
      <c r="C5385"/>
      <c r="D5385"/>
      <c r="E5385"/>
    </row>
    <row r="5386" spans="1:5" x14ac:dyDescent="0.2">
      <c r="A5386"/>
      <c r="B5386"/>
      <c r="C5386"/>
      <c r="D5386"/>
      <c r="E5386"/>
    </row>
    <row r="5387" spans="1:5" x14ac:dyDescent="0.2">
      <c r="A5387"/>
      <c r="B5387"/>
      <c r="C5387"/>
      <c r="D5387"/>
      <c r="E5387"/>
    </row>
    <row r="5388" spans="1:5" x14ac:dyDescent="0.2">
      <c r="A5388"/>
      <c r="B5388"/>
      <c r="C5388"/>
      <c r="D5388"/>
      <c r="E5388"/>
    </row>
    <row r="5389" spans="1:5" x14ac:dyDescent="0.2">
      <c r="A5389"/>
      <c r="B5389"/>
      <c r="C5389"/>
      <c r="D5389"/>
      <c r="E5389"/>
    </row>
    <row r="5390" spans="1:5" x14ac:dyDescent="0.2">
      <c r="A5390"/>
      <c r="B5390"/>
      <c r="C5390"/>
      <c r="D5390"/>
      <c r="E5390"/>
    </row>
    <row r="5391" spans="1:5" x14ac:dyDescent="0.2">
      <c r="A5391"/>
      <c r="B5391"/>
      <c r="C5391"/>
      <c r="D5391"/>
      <c r="E5391"/>
    </row>
    <row r="5392" spans="1:5" x14ac:dyDescent="0.2">
      <c r="A5392"/>
      <c r="B5392"/>
      <c r="C5392"/>
      <c r="D5392"/>
      <c r="E5392"/>
    </row>
    <row r="5393" spans="1:5" x14ac:dyDescent="0.2">
      <c r="A5393"/>
      <c r="B5393"/>
      <c r="C5393"/>
      <c r="D5393"/>
      <c r="E5393"/>
    </row>
    <row r="5394" spans="1:5" x14ac:dyDescent="0.2">
      <c r="A5394"/>
      <c r="B5394"/>
      <c r="C5394"/>
      <c r="D5394"/>
      <c r="E5394"/>
    </row>
    <row r="5395" spans="1:5" x14ac:dyDescent="0.2">
      <c r="A5395"/>
      <c r="B5395"/>
      <c r="C5395"/>
      <c r="D5395"/>
      <c r="E5395"/>
    </row>
    <row r="5396" spans="1:5" x14ac:dyDescent="0.2">
      <c r="A5396"/>
      <c r="B5396"/>
      <c r="C5396"/>
      <c r="D5396"/>
      <c r="E5396"/>
    </row>
    <row r="5397" spans="1:5" x14ac:dyDescent="0.2">
      <c r="A5397"/>
      <c r="B5397"/>
      <c r="C5397"/>
      <c r="D5397"/>
      <c r="E5397"/>
    </row>
    <row r="5398" spans="1:5" x14ac:dyDescent="0.2">
      <c r="A5398"/>
      <c r="B5398"/>
      <c r="C5398"/>
      <c r="D5398"/>
      <c r="E5398"/>
    </row>
    <row r="5399" spans="1:5" x14ac:dyDescent="0.2">
      <c r="A5399"/>
      <c r="B5399"/>
      <c r="C5399"/>
      <c r="D5399"/>
      <c r="E5399"/>
    </row>
    <row r="5400" spans="1:5" x14ac:dyDescent="0.2">
      <c r="A5400"/>
      <c r="B5400"/>
      <c r="C5400"/>
      <c r="D5400"/>
      <c r="E5400"/>
    </row>
    <row r="5401" spans="1:5" x14ac:dyDescent="0.2">
      <c r="A5401"/>
      <c r="B5401"/>
      <c r="C5401"/>
      <c r="D5401"/>
      <c r="E5401"/>
    </row>
    <row r="5402" spans="1:5" x14ac:dyDescent="0.2">
      <c r="A5402"/>
      <c r="B5402"/>
      <c r="C5402"/>
      <c r="D5402"/>
      <c r="E5402"/>
    </row>
    <row r="5403" spans="1:5" x14ac:dyDescent="0.2">
      <c r="A5403"/>
      <c r="B5403"/>
      <c r="C5403"/>
      <c r="D5403"/>
      <c r="E5403"/>
    </row>
    <row r="5404" spans="1:5" x14ac:dyDescent="0.2">
      <c r="A5404"/>
      <c r="B5404"/>
      <c r="C5404"/>
      <c r="D5404"/>
      <c r="E5404"/>
    </row>
    <row r="5405" spans="1:5" x14ac:dyDescent="0.2">
      <c r="A5405"/>
      <c r="B5405"/>
      <c r="C5405"/>
      <c r="D5405"/>
      <c r="E5405"/>
    </row>
    <row r="5406" spans="1:5" x14ac:dyDescent="0.2">
      <c r="A5406"/>
      <c r="B5406"/>
      <c r="C5406"/>
      <c r="D5406"/>
      <c r="E5406"/>
    </row>
    <row r="5407" spans="1:5" x14ac:dyDescent="0.2">
      <c r="A5407"/>
      <c r="B5407"/>
      <c r="C5407"/>
      <c r="D5407"/>
      <c r="E5407"/>
    </row>
    <row r="5408" spans="1:5" x14ac:dyDescent="0.2">
      <c r="A5408"/>
      <c r="B5408"/>
      <c r="C5408"/>
      <c r="D5408"/>
      <c r="E5408"/>
    </row>
    <row r="5409" spans="1:5" x14ac:dyDescent="0.2">
      <c r="A5409"/>
      <c r="B5409"/>
      <c r="C5409"/>
      <c r="D5409"/>
      <c r="E5409"/>
    </row>
    <row r="5410" spans="1:5" x14ac:dyDescent="0.2">
      <c r="A5410"/>
      <c r="B5410"/>
      <c r="C5410"/>
      <c r="D5410"/>
      <c r="E5410"/>
    </row>
    <row r="5411" spans="1:5" x14ac:dyDescent="0.2">
      <c r="A5411"/>
      <c r="B5411"/>
      <c r="C5411"/>
      <c r="D5411"/>
      <c r="E5411"/>
    </row>
    <row r="5412" spans="1:5" x14ac:dyDescent="0.2">
      <c r="A5412"/>
      <c r="B5412"/>
      <c r="C5412"/>
      <c r="D5412"/>
      <c r="E5412"/>
    </row>
    <row r="5413" spans="1:5" x14ac:dyDescent="0.2">
      <c r="A5413"/>
      <c r="B5413"/>
      <c r="C5413"/>
      <c r="D5413"/>
      <c r="E5413"/>
    </row>
    <row r="5414" spans="1:5" x14ac:dyDescent="0.2">
      <c r="A5414"/>
      <c r="B5414"/>
      <c r="C5414"/>
      <c r="D5414"/>
      <c r="E5414"/>
    </row>
    <row r="5415" spans="1:5" x14ac:dyDescent="0.2">
      <c r="A5415"/>
      <c r="B5415"/>
      <c r="C5415"/>
      <c r="D5415"/>
      <c r="E5415"/>
    </row>
    <row r="5416" spans="1:5" x14ac:dyDescent="0.2">
      <c r="A5416"/>
      <c r="B5416"/>
      <c r="C5416"/>
      <c r="D5416"/>
      <c r="E5416"/>
    </row>
    <row r="5417" spans="1:5" x14ac:dyDescent="0.2">
      <c r="A5417"/>
      <c r="B5417"/>
      <c r="C5417"/>
      <c r="D5417"/>
      <c r="E5417"/>
    </row>
    <row r="5418" spans="1:5" x14ac:dyDescent="0.2">
      <c r="A5418"/>
      <c r="B5418"/>
      <c r="C5418"/>
      <c r="D5418"/>
      <c r="E5418"/>
    </row>
    <row r="5419" spans="1:5" x14ac:dyDescent="0.2">
      <c r="A5419"/>
      <c r="B5419"/>
      <c r="C5419"/>
      <c r="D5419"/>
      <c r="E5419"/>
    </row>
    <row r="5420" spans="1:5" x14ac:dyDescent="0.2">
      <c r="A5420"/>
      <c r="B5420"/>
      <c r="C5420"/>
      <c r="D5420"/>
      <c r="E5420"/>
    </row>
    <row r="5421" spans="1:5" x14ac:dyDescent="0.2">
      <c r="A5421"/>
      <c r="B5421"/>
      <c r="C5421"/>
      <c r="D5421"/>
      <c r="E5421"/>
    </row>
    <row r="5422" spans="1:5" x14ac:dyDescent="0.2">
      <c r="A5422"/>
      <c r="B5422"/>
      <c r="C5422"/>
      <c r="D5422"/>
      <c r="E5422"/>
    </row>
    <row r="5423" spans="1:5" x14ac:dyDescent="0.2">
      <c r="A5423"/>
      <c r="B5423"/>
      <c r="C5423"/>
      <c r="D5423"/>
      <c r="E5423"/>
    </row>
    <row r="5424" spans="1:5" x14ac:dyDescent="0.2">
      <c r="A5424"/>
      <c r="B5424"/>
      <c r="C5424"/>
      <c r="D5424"/>
      <c r="E5424"/>
    </row>
    <row r="5425" spans="1:5" x14ac:dyDescent="0.2">
      <c r="A5425"/>
      <c r="B5425"/>
      <c r="C5425"/>
      <c r="D5425"/>
      <c r="E5425"/>
    </row>
    <row r="5426" spans="1:5" x14ac:dyDescent="0.2">
      <c r="A5426"/>
      <c r="B5426"/>
      <c r="C5426"/>
      <c r="D5426"/>
      <c r="E5426"/>
    </row>
    <row r="5427" spans="1:5" x14ac:dyDescent="0.2">
      <c r="A5427"/>
      <c r="B5427"/>
      <c r="C5427"/>
      <c r="D5427"/>
      <c r="E5427"/>
    </row>
    <row r="5428" spans="1:5" x14ac:dyDescent="0.2">
      <c r="A5428"/>
      <c r="B5428"/>
      <c r="C5428"/>
      <c r="D5428"/>
      <c r="E5428"/>
    </row>
    <row r="5429" spans="1:5" x14ac:dyDescent="0.2">
      <c r="A5429"/>
      <c r="B5429"/>
      <c r="C5429"/>
      <c r="D5429"/>
      <c r="E5429"/>
    </row>
    <row r="5430" spans="1:5" x14ac:dyDescent="0.2">
      <c r="A5430"/>
      <c r="B5430"/>
      <c r="C5430"/>
      <c r="D5430"/>
      <c r="E5430"/>
    </row>
    <row r="5431" spans="1:5" x14ac:dyDescent="0.2">
      <c r="A5431"/>
      <c r="B5431"/>
      <c r="C5431"/>
      <c r="D5431"/>
      <c r="E5431"/>
    </row>
    <row r="5432" spans="1:5" x14ac:dyDescent="0.2">
      <c r="A5432"/>
      <c r="B5432"/>
      <c r="C5432"/>
      <c r="D5432"/>
      <c r="E5432"/>
    </row>
    <row r="5433" spans="1:5" x14ac:dyDescent="0.2">
      <c r="A5433"/>
      <c r="B5433"/>
      <c r="C5433"/>
      <c r="D5433"/>
      <c r="E5433"/>
    </row>
    <row r="5434" spans="1:5" x14ac:dyDescent="0.2">
      <c r="A5434"/>
      <c r="B5434"/>
      <c r="C5434"/>
      <c r="D5434"/>
      <c r="E5434"/>
    </row>
    <row r="5435" spans="1:5" x14ac:dyDescent="0.2">
      <c r="A5435"/>
      <c r="B5435"/>
      <c r="C5435"/>
      <c r="D5435"/>
      <c r="E5435"/>
    </row>
    <row r="5436" spans="1:5" x14ac:dyDescent="0.2">
      <c r="A5436"/>
      <c r="B5436"/>
      <c r="C5436"/>
      <c r="D5436"/>
      <c r="E5436"/>
    </row>
    <row r="5437" spans="1:5" x14ac:dyDescent="0.2">
      <c r="A5437"/>
      <c r="B5437"/>
      <c r="C5437"/>
      <c r="D5437"/>
      <c r="E5437"/>
    </row>
    <row r="5438" spans="1:5" x14ac:dyDescent="0.2">
      <c r="A5438"/>
      <c r="B5438"/>
      <c r="C5438"/>
      <c r="D5438"/>
      <c r="E5438"/>
    </row>
    <row r="5439" spans="1:5" x14ac:dyDescent="0.2">
      <c r="A5439"/>
      <c r="B5439"/>
      <c r="C5439"/>
      <c r="D5439"/>
      <c r="E5439"/>
    </row>
    <row r="5440" spans="1:5" x14ac:dyDescent="0.2">
      <c r="A5440"/>
      <c r="B5440"/>
      <c r="C5440"/>
      <c r="D5440"/>
      <c r="E5440"/>
    </row>
    <row r="5441" spans="1:5" x14ac:dyDescent="0.2">
      <c r="A5441"/>
      <c r="B5441"/>
      <c r="C5441"/>
      <c r="D5441"/>
      <c r="E5441"/>
    </row>
    <row r="5442" spans="1:5" x14ac:dyDescent="0.2">
      <c r="A5442"/>
      <c r="B5442"/>
      <c r="C5442"/>
      <c r="D5442"/>
      <c r="E5442"/>
    </row>
    <row r="5443" spans="1:5" x14ac:dyDescent="0.2">
      <c r="A5443"/>
      <c r="B5443"/>
      <c r="C5443"/>
      <c r="D5443"/>
      <c r="E5443"/>
    </row>
    <row r="5444" spans="1:5" x14ac:dyDescent="0.2">
      <c r="A5444"/>
      <c r="B5444"/>
      <c r="C5444"/>
      <c r="D5444"/>
      <c r="E5444"/>
    </row>
    <row r="5445" spans="1:5" x14ac:dyDescent="0.2">
      <c r="A5445"/>
      <c r="B5445"/>
      <c r="C5445"/>
      <c r="D5445"/>
      <c r="E5445"/>
    </row>
    <row r="5446" spans="1:5" x14ac:dyDescent="0.2">
      <c r="A5446"/>
      <c r="B5446"/>
      <c r="C5446"/>
      <c r="D5446"/>
      <c r="E5446"/>
    </row>
    <row r="5447" spans="1:5" x14ac:dyDescent="0.2">
      <c r="A5447"/>
      <c r="B5447"/>
      <c r="C5447"/>
      <c r="D5447"/>
      <c r="E5447"/>
    </row>
    <row r="5448" spans="1:5" x14ac:dyDescent="0.2">
      <c r="A5448"/>
      <c r="B5448"/>
      <c r="C5448"/>
      <c r="D5448"/>
      <c r="E5448"/>
    </row>
    <row r="5449" spans="1:5" x14ac:dyDescent="0.2">
      <c r="A5449"/>
      <c r="B5449"/>
      <c r="C5449"/>
      <c r="D5449"/>
      <c r="E5449"/>
    </row>
    <row r="5450" spans="1:5" x14ac:dyDescent="0.2">
      <c r="A5450"/>
      <c r="B5450"/>
      <c r="C5450"/>
      <c r="D5450"/>
      <c r="E5450"/>
    </row>
    <row r="5451" spans="1:5" x14ac:dyDescent="0.2">
      <c r="A5451"/>
      <c r="B5451"/>
      <c r="C5451"/>
      <c r="D5451"/>
      <c r="E5451"/>
    </row>
    <row r="5452" spans="1:5" x14ac:dyDescent="0.2">
      <c r="A5452"/>
      <c r="B5452"/>
      <c r="C5452"/>
      <c r="D5452"/>
      <c r="E5452"/>
    </row>
    <row r="5453" spans="1:5" x14ac:dyDescent="0.2">
      <c r="A5453"/>
      <c r="B5453"/>
      <c r="C5453"/>
      <c r="D5453"/>
      <c r="E5453"/>
    </row>
    <row r="5454" spans="1:5" x14ac:dyDescent="0.2">
      <c r="A5454"/>
      <c r="B5454"/>
      <c r="C5454"/>
      <c r="D5454"/>
      <c r="E5454"/>
    </row>
    <row r="5455" spans="1:5" x14ac:dyDescent="0.2">
      <c r="A5455"/>
      <c r="B5455"/>
      <c r="C5455"/>
      <c r="D5455"/>
      <c r="E5455"/>
    </row>
    <row r="5456" spans="1:5" x14ac:dyDescent="0.2">
      <c r="A5456"/>
      <c r="B5456"/>
      <c r="C5456"/>
      <c r="D5456"/>
      <c r="E5456"/>
    </row>
    <row r="5457" spans="1:5" x14ac:dyDescent="0.2">
      <c r="A5457"/>
      <c r="B5457"/>
      <c r="C5457"/>
      <c r="D5457"/>
      <c r="E5457"/>
    </row>
    <row r="5458" spans="1:5" x14ac:dyDescent="0.2">
      <c r="A5458"/>
      <c r="B5458"/>
      <c r="C5458"/>
      <c r="D5458"/>
      <c r="E5458"/>
    </row>
    <row r="5459" spans="1:5" x14ac:dyDescent="0.2">
      <c r="A5459"/>
      <c r="B5459"/>
      <c r="C5459"/>
      <c r="D5459"/>
      <c r="E5459"/>
    </row>
    <row r="5460" spans="1:5" x14ac:dyDescent="0.2">
      <c r="A5460"/>
      <c r="B5460"/>
      <c r="C5460"/>
      <c r="D5460"/>
      <c r="E5460"/>
    </row>
    <row r="5461" spans="1:5" x14ac:dyDescent="0.2">
      <c r="A5461"/>
      <c r="B5461"/>
      <c r="C5461"/>
      <c r="D5461"/>
      <c r="E5461"/>
    </row>
    <row r="5462" spans="1:5" x14ac:dyDescent="0.2">
      <c r="A5462"/>
      <c r="B5462"/>
      <c r="C5462"/>
      <c r="D5462"/>
      <c r="E5462"/>
    </row>
    <row r="5463" spans="1:5" x14ac:dyDescent="0.2">
      <c r="A5463"/>
      <c r="B5463"/>
      <c r="C5463"/>
      <c r="D5463"/>
      <c r="E5463"/>
    </row>
    <row r="5464" spans="1:5" x14ac:dyDescent="0.2">
      <c r="A5464"/>
      <c r="B5464"/>
      <c r="C5464"/>
      <c r="D5464"/>
      <c r="E5464"/>
    </row>
    <row r="5465" spans="1:5" x14ac:dyDescent="0.2">
      <c r="A5465"/>
      <c r="B5465"/>
      <c r="C5465"/>
      <c r="D5465"/>
      <c r="E5465"/>
    </row>
    <row r="5466" spans="1:5" x14ac:dyDescent="0.2">
      <c r="A5466"/>
      <c r="B5466"/>
      <c r="C5466"/>
      <c r="D5466"/>
      <c r="E5466"/>
    </row>
    <row r="5467" spans="1:5" x14ac:dyDescent="0.2">
      <c r="A5467"/>
      <c r="B5467"/>
      <c r="C5467"/>
      <c r="D5467"/>
      <c r="E5467"/>
    </row>
    <row r="5468" spans="1:5" x14ac:dyDescent="0.2">
      <c r="A5468"/>
      <c r="B5468"/>
      <c r="C5468"/>
      <c r="D5468"/>
      <c r="E5468"/>
    </row>
    <row r="5469" spans="1:5" x14ac:dyDescent="0.2">
      <c r="A5469"/>
      <c r="B5469"/>
      <c r="C5469"/>
      <c r="D5469"/>
      <c r="E5469"/>
    </row>
    <row r="5470" spans="1:5" x14ac:dyDescent="0.2">
      <c r="A5470"/>
      <c r="B5470"/>
      <c r="C5470"/>
      <c r="D5470"/>
      <c r="E5470"/>
    </row>
    <row r="5471" spans="1:5" x14ac:dyDescent="0.2">
      <c r="A5471"/>
      <c r="B5471"/>
      <c r="C5471"/>
      <c r="D5471"/>
      <c r="E5471"/>
    </row>
    <row r="5472" spans="1:5" x14ac:dyDescent="0.2">
      <c r="A5472"/>
      <c r="B5472"/>
      <c r="C5472"/>
      <c r="D5472"/>
      <c r="E5472"/>
    </row>
    <row r="5473" spans="1:5" x14ac:dyDescent="0.2">
      <c r="A5473"/>
      <c r="B5473"/>
      <c r="C5473"/>
      <c r="D5473"/>
      <c r="E5473"/>
    </row>
    <row r="5474" spans="1:5" x14ac:dyDescent="0.2">
      <c r="A5474"/>
      <c r="B5474"/>
      <c r="C5474"/>
      <c r="D5474"/>
      <c r="E5474"/>
    </row>
    <row r="5475" spans="1:5" x14ac:dyDescent="0.2">
      <c r="A5475"/>
      <c r="B5475"/>
      <c r="C5475"/>
      <c r="D5475"/>
      <c r="E5475"/>
    </row>
    <row r="5476" spans="1:5" x14ac:dyDescent="0.2">
      <c r="A5476"/>
      <c r="B5476"/>
      <c r="C5476"/>
      <c r="D5476"/>
      <c r="E5476"/>
    </row>
    <row r="5477" spans="1:5" x14ac:dyDescent="0.2">
      <c r="A5477"/>
      <c r="B5477"/>
      <c r="C5477"/>
      <c r="D5477"/>
      <c r="E5477"/>
    </row>
    <row r="5478" spans="1:5" x14ac:dyDescent="0.2">
      <c r="A5478"/>
      <c r="B5478"/>
      <c r="C5478"/>
      <c r="D5478"/>
      <c r="E5478"/>
    </row>
    <row r="5479" spans="1:5" x14ac:dyDescent="0.2">
      <c r="A5479"/>
      <c r="B5479"/>
      <c r="C5479"/>
      <c r="D5479"/>
      <c r="E5479"/>
    </row>
    <row r="5480" spans="1:5" x14ac:dyDescent="0.2">
      <c r="A5480"/>
      <c r="B5480"/>
      <c r="C5480"/>
      <c r="D5480"/>
      <c r="E5480"/>
    </row>
    <row r="5481" spans="1:5" x14ac:dyDescent="0.2">
      <c r="A5481"/>
      <c r="B5481"/>
      <c r="C5481"/>
      <c r="D5481"/>
      <c r="E5481"/>
    </row>
    <row r="5482" spans="1:5" x14ac:dyDescent="0.2">
      <c r="A5482"/>
      <c r="B5482"/>
      <c r="C5482"/>
      <c r="D5482"/>
      <c r="E5482"/>
    </row>
    <row r="5483" spans="1:5" x14ac:dyDescent="0.2">
      <c r="A5483"/>
      <c r="B5483"/>
      <c r="C5483"/>
      <c r="D5483"/>
      <c r="E5483"/>
    </row>
    <row r="5484" spans="1:5" x14ac:dyDescent="0.2">
      <c r="A5484"/>
      <c r="B5484"/>
      <c r="C5484"/>
      <c r="D5484"/>
      <c r="E5484"/>
    </row>
    <row r="5485" spans="1:5" x14ac:dyDescent="0.2">
      <c r="A5485"/>
      <c r="B5485"/>
      <c r="C5485"/>
      <c r="D5485"/>
      <c r="E5485"/>
    </row>
    <row r="5486" spans="1:5" x14ac:dyDescent="0.2">
      <c r="A5486"/>
      <c r="B5486"/>
      <c r="C5486"/>
      <c r="D5486"/>
      <c r="E5486"/>
    </row>
    <row r="5487" spans="1:5" x14ac:dyDescent="0.2">
      <c r="A5487"/>
      <c r="B5487"/>
      <c r="C5487"/>
      <c r="D5487"/>
      <c r="E5487"/>
    </row>
    <row r="5488" spans="1:5" x14ac:dyDescent="0.2">
      <c r="A5488"/>
      <c r="B5488"/>
      <c r="C5488"/>
      <c r="D5488"/>
      <c r="E5488"/>
    </row>
    <row r="5489" spans="1:5" x14ac:dyDescent="0.2">
      <c r="A5489"/>
      <c r="B5489"/>
      <c r="C5489"/>
      <c r="D5489"/>
      <c r="E5489"/>
    </row>
    <row r="5490" spans="1:5" x14ac:dyDescent="0.2">
      <c r="A5490"/>
      <c r="B5490"/>
      <c r="C5490"/>
      <c r="D5490"/>
      <c r="E5490"/>
    </row>
    <row r="5491" spans="1:5" x14ac:dyDescent="0.2">
      <c r="A5491"/>
      <c r="B5491"/>
      <c r="C5491"/>
      <c r="D5491"/>
      <c r="E5491"/>
    </row>
    <row r="5492" spans="1:5" x14ac:dyDescent="0.2">
      <c r="A5492"/>
      <c r="B5492"/>
      <c r="C5492"/>
      <c r="D5492"/>
      <c r="E5492"/>
    </row>
    <row r="5493" spans="1:5" x14ac:dyDescent="0.2">
      <c r="A5493"/>
      <c r="B5493"/>
      <c r="C5493"/>
      <c r="D5493"/>
      <c r="E5493"/>
    </row>
    <row r="5494" spans="1:5" x14ac:dyDescent="0.2">
      <c r="A5494"/>
      <c r="B5494"/>
      <c r="C5494"/>
      <c r="D5494"/>
      <c r="E5494"/>
    </row>
    <row r="5495" spans="1:5" x14ac:dyDescent="0.2">
      <c r="A5495"/>
      <c r="B5495"/>
      <c r="C5495"/>
      <c r="D5495"/>
      <c r="E5495"/>
    </row>
    <row r="5496" spans="1:5" x14ac:dyDescent="0.2">
      <c r="A5496"/>
      <c r="B5496"/>
      <c r="C5496"/>
      <c r="D5496"/>
      <c r="E5496"/>
    </row>
    <row r="5497" spans="1:5" x14ac:dyDescent="0.2">
      <c r="A5497"/>
      <c r="B5497"/>
      <c r="C5497"/>
      <c r="D5497"/>
      <c r="E5497"/>
    </row>
    <row r="5498" spans="1:5" x14ac:dyDescent="0.2">
      <c r="A5498"/>
      <c r="B5498"/>
      <c r="C5498"/>
      <c r="D5498"/>
      <c r="E5498"/>
    </row>
    <row r="5499" spans="1:5" x14ac:dyDescent="0.2">
      <c r="A5499"/>
      <c r="B5499"/>
      <c r="C5499"/>
      <c r="D5499"/>
      <c r="E5499"/>
    </row>
    <row r="5500" spans="1:5" x14ac:dyDescent="0.2">
      <c r="A5500"/>
      <c r="B5500"/>
      <c r="C5500"/>
      <c r="D5500"/>
      <c r="E5500"/>
    </row>
    <row r="5501" spans="1:5" x14ac:dyDescent="0.2">
      <c r="A5501"/>
      <c r="B5501"/>
      <c r="C5501"/>
      <c r="D5501"/>
      <c r="E5501"/>
    </row>
    <row r="5502" spans="1:5" x14ac:dyDescent="0.2">
      <c r="A5502"/>
      <c r="B5502"/>
      <c r="C5502"/>
      <c r="D5502"/>
      <c r="E5502"/>
    </row>
    <row r="5503" spans="1:5" x14ac:dyDescent="0.2">
      <c r="A5503"/>
      <c r="B5503"/>
      <c r="C5503"/>
      <c r="D5503"/>
      <c r="E5503"/>
    </row>
    <row r="5504" spans="1:5" x14ac:dyDescent="0.2">
      <c r="A5504"/>
      <c r="B5504"/>
      <c r="C5504"/>
      <c r="D5504"/>
      <c r="E5504"/>
    </row>
    <row r="5505" spans="1:5" x14ac:dyDescent="0.2">
      <c r="A5505"/>
      <c r="B5505"/>
      <c r="C5505"/>
      <c r="D5505"/>
      <c r="E5505"/>
    </row>
    <row r="5506" spans="1:5" x14ac:dyDescent="0.2">
      <c r="A5506"/>
      <c r="B5506"/>
      <c r="C5506"/>
      <c r="D5506"/>
      <c r="E5506"/>
    </row>
    <row r="5507" spans="1:5" x14ac:dyDescent="0.2">
      <c r="A5507"/>
      <c r="B5507"/>
      <c r="C5507"/>
      <c r="D5507"/>
      <c r="E5507"/>
    </row>
    <row r="5508" spans="1:5" x14ac:dyDescent="0.2">
      <c r="A5508"/>
      <c r="B5508"/>
      <c r="C5508"/>
      <c r="D5508"/>
      <c r="E5508"/>
    </row>
    <row r="5509" spans="1:5" x14ac:dyDescent="0.2">
      <c r="A5509"/>
      <c r="B5509"/>
      <c r="C5509"/>
      <c r="D5509"/>
      <c r="E5509"/>
    </row>
    <row r="5510" spans="1:5" x14ac:dyDescent="0.2">
      <c r="A5510"/>
      <c r="B5510"/>
      <c r="C5510"/>
      <c r="D5510"/>
      <c r="E5510"/>
    </row>
    <row r="5511" spans="1:5" x14ac:dyDescent="0.2">
      <c r="A5511"/>
      <c r="B5511"/>
      <c r="C5511"/>
      <c r="D5511"/>
      <c r="E5511"/>
    </row>
    <row r="5512" spans="1:5" x14ac:dyDescent="0.2">
      <c r="A5512"/>
      <c r="B5512"/>
      <c r="C5512"/>
      <c r="D5512"/>
      <c r="E5512"/>
    </row>
    <row r="5513" spans="1:5" x14ac:dyDescent="0.2">
      <c r="A5513"/>
      <c r="B5513"/>
      <c r="C5513"/>
      <c r="D5513"/>
      <c r="E5513"/>
    </row>
    <row r="5514" spans="1:5" x14ac:dyDescent="0.2">
      <c r="A5514"/>
      <c r="B5514"/>
      <c r="C5514"/>
      <c r="D5514"/>
      <c r="E5514"/>
    </row>
    <row r="5515" spans="1:5" x14ac:dyDescent="0.2">
      <c r="A5515"/>
      <c r="B5515"/>
      <c r="C5515"/>
      <c r="D5515"/>
      <c r="E5515"/>
    </row>
    <row r="5516" spans="1:5" x14ac:dyDescent="0.2">
      <c r="A5516"/>
      <c r="B5516"/>
      <c r="C5516"/>
      <c r="D5516"/>
      <c r="E5516"/>
    </row>
    <row r="5517" spans="1:5" x14ac:dyDescent="0.2">
      <c r="A5517"/>
      <c r="B5517"/>
      <c r="C5517"/>
      <c r="D5517"/>
      <c r="E5517"/>
    </row>
    <row r="5518" spans="1:5" x14ac:dyDescent="0.2">
      <c r="A5518"/>
      <c r="B5518"/>
      <c r="C5518"/>
      <c r="D5518"/>
      <c r="E5518"/>
    </row>
    <row r="5519" spans="1:5" x14ac:dyDescent="0.2">
      <c r="A5519"/>
      <c r="B5519"/>
      <c r="C5519"/>
      <c r="D5519"/>
      <c r="E5519"/>
    </row>
    <row r="5520" spans="1:5" x14ac:dyDescent="0.2">
      <c r="A5520"/>
      <c r="B5520"/>
      <c r="C5520"/>
      <c r="D5520"/>
      <c r="E5520"/>
    </row>
    <row r="5521" spans="1:5" x14ac:dyDescent="0.2">
      <c r="A5521"/>
      <c r="B5521"/>
      <c r="C5521"/>
      <c r="D5521"/>
      <c r="E5521"/>
    </row>
    <row r="5522" spans="1:5" x14ac:dyDescent="0.2">
      <c r="A5522"/>
      <c r="B5522"/>
      <c r="C5522"/>
      <c r="D5522"/>
      <c r="E5522"/>
    </row>
    <row r="5523" spans="1:5" x14ac:dyDescent="0.2">
      <c r="A5523"/>
      <c r="B5523"/>
      <c r="C5523"/>
      <c r="D5523"/>
      <c r="E5523"/>
    </row>
    <row r="5524" spans="1:5" x14ac:dyDescent="0.2">
      <c r="A5524"/>
      <c r="B5524"/>
      <c r="C5524"/>
      <c r="D5524"/>
      <c r="E5524"/>
    </row>
    <row r="5525" spans="1:5" x14ac:dyDescent="0.2">
      <c r="A5525"/>
      <c r="B5525"/>
      <c r="C5525"/>
      <c r="D5525"/>
      <c r="E5525"/>
    </row>
    <row r="5526" spans="1:5" x14ac:dyDescent="0.2">
      <c r="A5526"/>
      <c r="B5526"/>
      <c r="C5526"/>
      <c r="D5526"/>
      <c r="E5526"/>
    </row>
    <row r="5527" spans="1:5" x14ac:dyDescent="0.2">
      <c r="A5527"/>
      <c r="B5527"/>
      <c r="C5527"/>
      <c r="D5527"/>
      <c r="E5527"/>
    </row>
    <row r="5528" spans="1:5" x14ac:dyDescent="0.2">
      <c r="A5528"/>
      <c r="B5528"/>
      <c r="C5528"/>
      <c r="D5528"/>
      <c r="E5528"/>
    </row>
    <row r="5529" spans="1:5" x14ac:dyDescent="0.2">
      <c r="A5529"/>
      <c r="B5529"/>
      <c r="C5529"/>
      <c r="D5529"/>
      <c r="E5529"/>
    </row>
    <row r="5530" spans="1:5" x14ac:dyDescent="0.2">
      <c r="A5530"/>
      <c r="B5530"/>
      <c r="C5530"/>
      <c r="D5530"/>
      <c r="E5530"/>
    </row>
    <row r="5531" spans="1:5" x14ac:dyDescent="0.2">
      <c r="A5531"/>
      <c r="B5531"/>
      <c r="C5531"/>
      <c r="D5531"/>
      <c r="E5531"/>
    </row>
    <row r="5532" spans="1:5" x14ac:dyDescent="0.2">
      <c r="A5532"/>
      <c r="B5532"/>
      <c r="C5532"/>
      <c r="D5532"/>
      <c r="E5532"/>
    </row>
    <row r="5533" spans="1:5" x14ac:dyDescent="0.2">
      <c r="A5533"/>
      <c r="B5533"/>
      <c r="C5533"/>
      <c r="D5533"/>
      <c r="E5533"/>
    </row>
    <row r="5534" spans="1:5" x14ac:dyDescent="0.2">
      <c r="A5534"/>
      <c r="B5534"/>
      <c r="C5534"/>
      <c r="D5534"/>
      <c r="E5534"/>
    </row>
    <row r="5535" spans="1:5" x14ac:dyDescent="0.2">
      <c r="A5535"/>
      <c r="B5535"/>
      <c r="C5535"/>
      <c r="D5535"/>
      <c r="E5535"/>
    </row>
    <row r="5536" spans="1:5" x14ac:dyDescent="0.2">
      <c r="A5536"/>
      <c r="B5536"/>
      <c r="C5536"/>
      <c r="D5536"/>
      <c r="E5536"/>
    </row>
    <row r="5537" spans="1:5" x14ac:dyDescent="0.2">
      <c r="A5537"/>
      <c r="B5537"/>
      <c r="C5537"/>
      <c r="D5537"/>
      <c r="E5537"/>
    </row>
    <row r="5538" spans="1:5" x14ac:dyDescent="0.2">
      <c r="A5538"/>
      <c r="B5538"/>
      <c r="C5538"/>
      <c r="D5538"/>
      <c r="E5538"/>
    </row>
    <row r="5539" spans="1:5" x14ac:dyDescent="0.2">
      <c r="A5539"/>
      <c r="B5539"/>
      <c r="C5539"/>
      <c r="D5539"/>
      <c r="E5539"/>
    </row>
    <row r="5540" spans="1:5" x14ac:dyDescent="0.2">
      <c r="A5540"/>
      <c r="B5540"/>
      <c r="C5540"/>
      <c r="D5540"/>
      <c r="E5540"/>
    </row>
    <row r="5541" spans="1:5" x14ac:dyDescent="0.2">
      <c r="A5541"/>
      <c r="B5541"/>
      <c r="C5541"/>
      <c r="D5541"/>
      <c r="E5541"/>
    </row>
    <row r="5542" spans="1:5" x14ac:dyDescent="0.2">
      <c r="A5542"/>
      <c r="B5542"/>
      <c r="C5542"/>
      <c r="D5542"/>
      <c r="E5542"/>
    </row>
    <row r="5543" spans="1:5" x14ac:dyDescent="0.2">
      <c r="A5543"/>
      <c r="B5543"/>
      <c r="C5543"/>
      <c r="D5543"/>
      <c r="E5543"/>
    </row>
    <row r="5544" spans="1:5" x14ac:dyDescent="0.2">
      <c r="A5544"/>
      <c r="B5544"/>
      <c r="C5544"/>
      <c r="D5544"/>
      <c r="E5544"/>
    </row>
    <row r="5545" spans="1:5" x14ac:dyDescent="0.2">
      <c r="A5545"/>
      <c r="B5545"/>
      <c r="C5545"/>
      <c r="D5545"/>
      <c r="E5545"/>
    </row>
    <row r="5546" spans="1:5" x14ac:dyDescent="0.2">
      <c r="A5546"/>
      <c r="B5546"/>
      <c r="C5546"/>
      <c r="D5546"/>
      <c r="E5546"/>
    </row>
    <row r="5547" spans="1:5" x14ac:dyDescent="0.2">
      <c r="A5547"/>
      <c r="B5547"/>
      <c r="C5547"/>
      <c r="D5547"/>
      <c r="E5547"/>
    </row>
    <row r="5548" spans="1:5" x14ac:dyDescent="0.2">
      <c r="A5548"/>
      <c r="B5548"/>
      <c r="C5548"/>
      <c r="D5548"/>
      <c r="E5548"/>
    </row>
    <row r="5549" spans="1:5" x14ac:dyDescent="0.2">
      <c r="A5549"/>
      <c r="B5549"/>
      <c r="C5549"/>
      <c r="D5549"/>
      <c r="E5549"/>
    </row>
    <row r="5550" spans="1:5" x14ac:dyDescent="0.2">
      <c r="A5550"/>
      <c r="B5550"/>
      <c r="C5550"/>
      <c r="D5550"/>
      <c r="E5550"/>
    </row>
    <row r="5551" spans="1:5" x14ac:dyDescent="0.2">
      <c r="A5551"/>
      <c r="B5551"/>
      <c r="C5551"/>
      <c r="D5551"/>
      <c r="E5551"/>
    </row>
    <row r="5552" spans="1:5" x14ac:dyDescent="0.2">
      <c r="A5552"/>
      <c r="B5552"/>
      <c r="C5552"/>
      <c r="D5552"/>
      <c r="E5552"/>
    </row>
    <row r="5553" spans="1:5" x14ac:dyDescent="0.2">
      <c r="A5553"/>
      <c r="B5553"/>
      <c r="C5553"/>
      <c r="D5553"/>
      <c r="E5553"/>
    </row>
    <row r="5554" spans="1:5" x14ac:dyDescent="0.2">
      <c r="A5554"/>
      <c r="B5554"/>
      <c r="C5554"/>
      <c r="D5554"/>
      <c r="E5554"/>
    </row>
    <row r="5555" spans="1:5" x14ac:dyDescent="0.2">
      <c r="A5555"/>
      <c r="B5555"/>
      <c r="C5555"/>
      <c r="D5555"/>
      <c r="E5555"/>
    </row>
    <row r="5556" spans="1:5" x14ac:dyDescent="0.2">
      <c r="A5556"/>
      <c r="B5556"/>
      <c r="C5556"/>
      <c r="D5556"/>
      <c r="E5556"/>
    </row>
    <row r="5557" spans="1:5" x14ac:dyDescent="0.2">
      <c r="A5557"/>
      <c r="B5557"/>
      <c r="C5557"/>
      <c r="D5557"/>
      <c r="E5557"/>
    </row>
    <row r="5558" spans="1:5" x14ac:dyDescent="0.2">
      <c r="A5558"/>
      <c r="B5558"/>
      <c r="C5558"/>
      <c r="D5558"/>
      <c r="E5558"/>
    </row>
    <row r="5559" spans="1:5" x14ac:dyDescent="0.2">
      <c r="A5559"/>
      <c r="B5559"/>
      <c r="C5559"/>
      <c r="D5559"/>
      <c r="E5559"/>
    </row>
    <row r="5560" spans="1:5" x14ac:dyDescent="0.2">
      <c r="A5560"/>
      <c r="B5560"/>
      <c r="C5560"/>
      <c r="D5560"/>
      <c r="E5560"/>
    </row>
    <row r="5561" spans="1:5" x14ac:dyDescent="0.2">
      <c r="A5561"/>
      <c r="B5561"/>
      <c r="C5561"/>
      <c r="D5561"/>
      <c r="E5561"/>
    </row>
    <row r="5562" spans="1:5" x14ac:dyDescent="0.2">
      <c r="A5562"/>
      <c r="B5562"/>
      <c r="C5562"/>
      <c r="D5562"/>
      <c r="E5562"/>
    </row>
    <row r="5563" spans="1:5" x14ac:dyDescent="0.2">
      <c r="A5563"/>
      <c r="B5563"/>
      <c r="C5563"/>
      <c r="D5563"/>
      <c r="E5563"/>
    </row>
    <row r="5564" spans="1:5" x14ac:dyDescent="0.2">
      <c r="A5564"/>
      <c r="B5564"/>
      <c r="C5564"/>
      <c r="D5564"/>
      <c r="E5564"/>
    </row>
    <row r="5565" spans="1:5" x14ac:dyDescent="0.2">
      <c r="A5565"/>
      <c r="B5565"/>
      <c r="C5565"/>
      <c r="D5565"/>
      <c r="E5565"/>
    </row>
    <row r="5566" spans="1:5" x14ac:dyDescent="0.2">
      <c r="A5566"/>
      <c r="B5566"/>
      <c r="C5566"/>
      <c r="D5566"/>
      <c r="E5566"/>
    </row>
    <row r="5567" spans="1:5" x14ac:dyDescent="0.2">
      <c r="A5567"/>
      <c r="B5567"/>
      <c r="C5567"/>
      <c r="D5567"/>
      <c r="E5567"/>
    </row>
    <row r="5568" spans="1:5" x14ac:dyDescent="0.2">
      <c r="A5568"/>
      <c r="B5568"/>
      <c r="C5568"/>
      <c r="D5568"/>
      <c r="E5568"/>
    </row>
    <row r="5569" spans="1:5" x14ac:dyDescent="0.2">
      <c r="A5569"/>
      <c r="B5569"/>
      <c r="C5569"/>
      <c r="D5569"/>
      <c r="E5569"/>
    </row>
    <row r="5570" spans="1:5" x14ac:dyDescent="0.2">
      <c r="A5570"/>
      <c r="B5570"/>
      <c r="C5570"/>
      <c r="D5570"/>
      <c r="E5570"/>
    </row>
    <row r="5571" spans="1:5" x14ac:dyDescent="0.2">
      <c r="A5571"/>
      <c r="B5571"/>
      <c r="C5571"/>
      <c r="D5571"/>
      <c r="E5571"/>
    </row>
    <row r="5572" spans="1:5" x14ac:dyDescent="0.2">
      <c r="A5572"/>
      <c r="B5572"/>
      <c r="C5572"/>
      <c r="D5572"/>
      <c r="E5572"/>
    </row>
    <row r="5573" spans="1:5" x14ac:dyDescent="0.2">
      <c r="A5573"/>
      <c r="B5573"/>
      <c r="C5573"/>
      <c r="D5573"/>
      <c r="E5573"/>
    </row>
    <row r="5574" spans="1:5" x14ac:dyDescent="0.2">
      <c r="A5574"/>
      <c r="B5574"/>
      <c r="C5574"/>
      <c r="D5574"/>
      <c r="E5574"/>
    </row>
    <row r="5575" spans="1:5" x14ac:dyDescent="0.2">
      <c r="A5575"/>
      <c r="B5575"/>
      <c r="C5575"/>
      <c r="D5575"/>
      <c r="E5575"/>
    </row>
    <row r="5576" spans="1:5" x14ac:dyDescent="0.2">
      <c r="A5576"/>
      <c r="B5576"/>
      <c r="C5576"/>
      <c r="D5576"/>
      <c r="E5576"/>
    </row>
    <row r="5577" spans="1:5" x14ac:dyDescent="0.2">
      <c r="A5577"/>
      <c r="B5577"/>
      <c r="C5577"/>
      <c r="D5577"/>
      <c r="E5577"/>
    </row>
    <row r="5578" spans="1:5" x14ac:dyDescent="0.2">
      <c r="A5578"/>
      <c r="B5578"/>
      <c r="C5578"/>
      <c r="D5578"/>
      <c r="E5578"/>
    </row>
    <row r="5579" spans="1:5" x14ac:dyDescent="0.2">
      <c r="A5579"/>
      <c r="B5579"/>
      <c r="C5579"/>
      <c r="D5579"/>
      <c r="E5579"/>
    </row>
    <row r="5580" spans="1:5" x14ac:dyDescent="0.2">
      <c r="A5580"/>
      <c r="B5580"/>
      <c r="C5580"/>
      <c r="D5580"/>
      <c r="E5580"/>
    </row>
    <row r="5581" spans="1:5" x14ac:dyDescent="0.2">
      <c r="A5581"/>
      <c r="B5581"/>
      <c r="C5581"/>
      <c r="D5581"/>
      <c r="E5581"/>
    </row>
    <row r="5582" spans="1:5" x14ac:dyDescent="0.2">
      <c r="A5582"/>
      <c r="B5582"/>
      <c r="C5582"/>
      <c r="D5582"/>
      <c r="E5582"/>
    </row>
    <row r="5583" spans="1:5" x14ac:dyDescent="0.2">
      <c r="A5583"/>
      <c r="B5583"/>
      <c r="C5583"/>
      <c r="D5583"/>
      <c r="E5583"/>
    </row>
    <row r="5584" spans="1:5" x14ac:dyDescent="0.2">
      <c r="A5584"/>
      <c r="B5584"/>
      <c r="C5584"/>
      <c r="D5584"/>
      <c r="E5584"/>
    </row>
    <row r="5585" spans="1:5" x14ac:dyDescent="0.2">
      <c r="A5585"/>
      <c r="B5585"/>
      <c r="C5585"/>
      <c r="D5585"/>
      <c r="E5585"/>
    </row>
    <row r="5586" spans="1:5" x14ac:dyDescent="0.2">
      <c r="A5586"/>
      <c r="B5586"/>
      <c r="C5586"/>
      <c r="D5586"/>
      <c r="E5586"/>
    </row>
    <row r="5587" spans="1:5" x14ac:dyDescent="0.2">
      <c r="A5587"/>
      <c r="B5587"/>
      <c r="C5587"/>
      <c r="D5587"/>
      <c r="E5587"/>
    </row>
    <row r="5588" spans="1:5" x14ac:dyDescent="0.2">
      <c r="A5588"/>
      <c r="B5588"/>
      <c r="C5588"/>
      <c r="D5588"/>
      <c r="E5588"/>
    </row>
    <row r="5589" spans="1:5" x14ac:dyDescent="0.2">
      <c r="A5589"/>
      <c r="B5589"/>
      <c r="C5589"/>
      <c r="D5589"/>
      <c r="E5589"/>
    </row>
    <row r="5590" spans="1:5" x14ac:dyDescent="0.2">
      <c r="A5590"/>
      <c r="B5590"/>
      <c r="C5590"/>
      <c r="D5590"/>
      <c r="E5590"/>
    </row>
    <row r="5591" spans="1:5" x14ac:dyDescent="0.2">
      <c r="A5591"/>
      <c r="B5591"/>
      <c r="C5591"/>
      <c r="D5591"/>
      <c r="E5591"/>
    </row>
    <row r="5592" spans="1:5" x14ac:dyDescent="0.2">
      <c r="A5592"/>
      <c r="B5592"/>
      <c r="C5592"/>
      <c r="D5592"/>
      <c r="E5592"/>
    </row>
    <row r="5593" spans="1:5" x14ac:dyDescent="0.2">
      <c r="A5593"/>
      <c r="B5593"/>
      <c r="C5593"/>
      <c r="D5593"/>
      <c r="E5593"/>
    </row>
    <row r="5594" spans="1:5" x14ac:dyDescent="0.2">
      <c r="A5594"/>
      <c r="B5594"/>
      <c r="C5594"/>
      <c r="D5594"/>
      <c r="E5594"/>
    </row>
    <row r="5595" spans="1:5" x14ac:dyDescent="0.2">
      <c r="A5595"/>
      <c r="B5595"/>
      <c r="C5595"/>
      <c r="D5595"/>
      <c r="E5595"/>
    </row>
    <row r="5596" spans="1:5" x14ac:dyDescent="0.2">
      <c r="A5596"/>
      <c r="B5596"/>
      <c r="C5596"/>
      <c r="D5596"/>
      <c r="E5596"/>
    </row>
    <row r="5597" spans="1:5" x14ac:dyDescent="0.2">
      <c r="A5597"/>
      <c r="B5597"/>
      <c r="C5597"/>
      <c r="D5597"/>
      <c r="E5597"/>
    </row>
    <row r="5598" spans="1:5" x14ac:dyDescent="0.2">
      <c r="A5598"/>
      <c r="B5598"/>
      <c r="C5598"/>
      <c r="D5598"/>
      <c r="E5598"/>
    </row>
    <row r="5599" spans="1:5" x14ac:dyDescent="0.2">
      <c r="A5599"/>
      <c r="B5599"/>
      <c r="C5599"/>
      <c r="D5599"/>
      <c r="E5599"/>
    </row>
    <row r="5600" spans="1:5" x14ac:dyDescent="0.2">
      <c r="A5600"/>
      <c r="B5600"/>
      <c r="C5600"/>
      <c r="D5600"/>
      <c r="E5600"/>
    </row>
    <row r="5601" spans="1:5" x14ac:dyDescent="0.2">
      <c r="A5601"/>
      <c r="B5601"/>
      <c r="C5601"/>
      <c r="D5601"/>
      <c r="E5601"/>
    </row>
    <row r="5602" spans="1:5" x14ac:dyDescent="0.2">
      <c r="A5602"/>
      <c r="B5602"/>
      <c r="C5602"/>
      <c r="D5602"/>
      <c r="E5602"/>
    </row>
    <row r="5603" spans="1:5" x14ac:dyDescent="0.2">
      <c r="A5603"/>
      <c r="B5603"/>
      <c r="C5603"/>
      <c r="D5603"/>
      <c r="E5603"/>
    </row>
    <row r="5604" spans="1:5" x14ac:dyDescent="0.2">
      <c r="A5604"/>
      <c r="B5604"/>
      <c r="C5604"/>
      <c r="D5604"/>
      <c r="E5604"/>
    </row>
    <row r="5605" spans="1:5" x14ac:dyDescent="0.2">
      <c r="A5605"/>
      <c r="B5605"/>
      <c r="C5605"/>
      <c r="D5605"/>
      <c r="E5605"/>
    </row>
    <row r="5606" spans="1:5" x14ac:dyDescent="0.2">
      <c r="A5606"/>
      <c r="B5606"/>
      <c r="C5606"/>
      <c r="D5606"/>
      <c r="E5606"/>
    </row>
    <row r="5607" spans="1:5" x14ac:dyDescent="0.2">
      <c r="A5607"/>
      <c r="B5607"/>
      <c r="C5607"/>
      <c r="D5607"/>
      <c r="E5607"/>
    </row>
    <row r="5608" spans="1:5" x14ac:dyDescent="0.2">
      <c r="A5608"/>
      <c r="B5608"/>
      <c r="C5608"/>
      <c r="D5608"/>
      <c r="E5608"/>
    </row>
    <row r="5609" spans="1:5" x14ac:dyDescent="0.2">
      <c r="A5609"/>
      <c r="B5609"/>
      <c r="C5609"/>
      <c r="D5609"/>
      <c r="E5609"/>
    </row>
    <row r="5610" spans="1:5" x14ac:dyDescent="0.2">
      <c r="A5610"/>
      <c r="B5610"/>
      <c r="C5610"/>
      <c r="D5610"/>
      <c r="E5610"/>
    </row>
    <row r="5611" spans="1:5" x14ac:dyDescent="0.2">
      <c r="A5611"/>
      <c r="B5611"/>
      <c r="C5611"/>
      <c r="D5611"/>
      <c r="E5611"/>
    </row>
    <row r="5612" spans="1:5" x14ac:dyDescent="0.2">
      <c r="A5612"/>
      <c r="B5612"/>
      <c r="C5612"/>
      <c r="D5612"/>
      <c r="E5612"/>
    </row>
    <row r="5613" spans="1:5" x14ac:dyDescent="0.2">
      <c r="A5613"/>
      <c r="B5613"/>
      <c r="C5613"/>
      <c r="D5613"/>
      <c r="E5613"/>
    </row>
    <row r="5614" spans="1:5" x14ac:dyDescent="0.2">
      <c r="A5614"/>
      <c r="B5614"/>
      <c r="C5614"/>
      <c r="D5614"/>
      <c r="E5614"/>
    </row>
    <row r="5615" spans="1:5" x14ac:dyDescent="0.2">
      <c r="A5615"/>
      <c r="B5615"/>
      <c r="C5615"/>
      <c r="D5615"/>
      <c r="E5615"/>
    </row>
    <row r="5616" spans="1:5" x14ac:dyDescent="0.2">
      <c r="A5616"/>
      <c r="B5616"/>
      <c r="C5616"/>
      <c r="D5616"/>
      <c r="E5616"/>
    </row>
    <row r="5617" spans="1:5" x14ac:dyDescent="0.2">
      <c r="A5617"/>
      <c r="B5617"/>
      <c r="C5617"/>
      <c r="D5617"/>
      <c r="E5617"/>
    </row>
    <row r="5618" spans="1:5" x14ac:dyDescent="0.2">
      <c r="A5618"/>
      <c r="B5618"/>
      <c r="C5618"/>
      <c r="D5618"/>
      <c r="E5618"/>
    </row>
    <row r="5619" spans="1:5" x14ac:dyDescent="0.2">
      <c r="A5619"/>
      <c r="B5619"/>
      <c r="C5619"/>
      <c r="D5619"/>
      <c r="E5619"/>
    </row>
    <row r="5620" spans="1:5" x14ac:dyDescent="0.2">
      <c r="A5620"/>
      <c r="B5620"/>
      <c r="C5620"/>
      <c r="D5620"/>
      <c r="E5620"/>
    </row>
    <row r="5621" spans="1:5" x14ac:dyDescent="0.2">
      <c r="A5621"/>
      <c r="B5621"/>
      <c r="C5621"/>
      <c r="D5621"/>
      <c r="E5621"/>
    </row>
    <row r="5622" spans="1:5" x14ac:dyDescent="0.2">
      <c r="A5622"/>
      <c r="B5622"/>
      <c r="C5622"/>
      <c r="D5622"/>
      <c r="E5622"/>
    </row>
    <row r="5623" spans="1:5" x14ac:dyDescent="0.2">
      <c r="A5623"/>
      <c r="B5623"/>
      <c r="C5623"/>
      <c r="D5623"/>
      <c r="E5623"/>
    </row>
    <row r="5624" spans="1:5" x14ac:dyDescent="0.2">
      <c r="A5624"/>
      <c r="B5624"/>
      <c r="C5624"/>
      <c r="D5624"/>
      <c r="E5624"/>
    </row>
    <row r="5625" spans="1:5" x14ac:dyDescent="0.2">
      <c r="A5625"/>
      <c r="B5625"/>
      <c r="C5625"/>
      <c r="D5625"/>
      <c r="E5625"/>
    </row>
    <row r="5626" spans="1:5" x14ac:dyDescent="0.2">
      <c r="A5626"/>
      <c r="B5626"/>
      <c r="C5626"/>
      <c r="D5626"/>
      <c r="E5626"/>
    </row>
    <row r="5627" spans="1:5" x14ac:dyDescent="0.2">
      <c r="A5627"/>
      <c r="B5627"/>
      <c r="C5627"/>
      <c r="D5627"/>
      <c r="E5627"/>
    </row>
    <row r="5628" spans="1:5" x14ac:dyDescent="0.2">
      <c r="A5628"/>
      <c r="B5628"/>
      <c r="C5628"/>
      <c r="D5628"/>
      <c r="E5628"/>
    </row>
    <row r="5629" spans="1:5" x14ac:dyDescent="0.2">
      <c r="A5629"/>
      <c r="B5629"/>
      <c r="C5629"/>
      <c r="D5629"/>
      <c r="E5629"/>
    </row>
    <row r="5630" spans="1:5" x14ac:dyDescent="0.2">
      <c r="A5630"/>
      <c r="B5630"/>
      <c r="C5630"/>
      <c r="D5630"/>
      <c r="E5630"/>
    </row>
    <row r="5631" spans="1:5" x14ac:dyDescent="0.2">
      <c r="A5631"/>
      <c r="B5631"/>
      <c r="C5631"/>
      <c r="D5631"/>
      <c r="E5631"/>
    </row>
    <row r="5632" spans="1:5" x14ac:dyDescent="0.2">
      <c r="A5632"/>
      <c r="B5632"/>
      <c r="C5632"/>
      <c r="D5632"/>
      <c r="E5632"/>
    </row>
    <row r="5633" spans="1:5" x14ac:dyDescent="0.2">
      <c r="A5633"/>
      <c r="B5633"/>
      <c r="C5633"/>
      <c r="D5633"/>
      <c r="E5633"/>
    </row>
    <row r="5634" spans="1:5" x14ac:dyDescent="0.2">
      <c r="A5634"/>
      <c r="B5634"/>
      <c r="C5634"/>
      <c r="D5634"/>
      <c r="E5634"/>
    </row>
    <row r="5635" spans="1:5" x14ac:dyDescent="0.2">
      <c r="A5635"/>
      <c r="B5635"/>
      <c r="C5635"/>
      <c r="D5635"/>
      <c r="E5635"/>
    </row>
    <row r="5636" spans="1:5" x14ac:dyDescent="0.2">
      <c r="A5636"/>
      <c r="B5636"/>
      <c r="C5636"/>
      <c r="D5636"/>
      <c r="E5636"/>
    </row>
    <row r="5637" spans="1:5" x14ac:dyDescent="0.2">
      <c r="A5637"/>
      <c r="B5637"/>
      <c r="C5637"/>
      <c r="D5637"/>
      <c r="E5637"/>
    </row>
    <row r="5638" spans="1:5" x14ac:dyDescent="0.2">
      <c r="A5638"/>
      <c r="B5638"/>
      <c r="C5638"/>
      <c r="D5638"/>
      <c r="E5638"/>
    </row>
    <row r="5639" spans="1:5" x14ac:dyDescent="0.2">
      <c r="A5639"/>
      <c r="B5639"/>
      <c r="C5639"/>
      <c r="D5639"/>
      <c r="E5639"/>
    </row>
    <row r="5640" spans="1:5" x14ac:dyDescent="0.2">
      <c r="A5640"/>
      <c r="B5640"/>
      <c r="C5640"/>
      <c r="D5640"/>
      <c r="E5640"/>
    </row>
    <row r="5641" spans="1:5" x14ac:dyDescent="0.2">
      <c r="A5641"/>
      <c r="B5641"/>
      <c r="C5641"/>
      <c r="D5641"/>
      <c r="E5641"/>
    </row>
    <row r="5642" spans="1:5" x14ac:dyDescent="0.2">
      <c r="A5642"/>
      <c r="B5642"/>
      <c r="C5642"/>
      <c r="D5642"/>
      <c r="E5642"/>
    </row>
    <row r="5643" spans="1:5" x14ac:dyDescent="0.2">
      <c r="A5643"/>
      <c r="B5643"/>
      <c r="C5643"/>
      <c r="D5643"/>
      <c r="E5643"/>
    </row>
    <row r="5644" spans="1:5" x14ac:dyDescent="0.2">
      <c r="A5644"/>
      <c r="B5644"/>
      <c r="C5644"/>
      <c r="D5644"/>
      <c r="E5644"/>
    </row>
    <row r="5645" spans="1:5" x14ac:dyDescent="0.2">
      <c r="A5645"/>
      <c r="B5645"/>
      <c r="C5645"/>
      <c r="D5645"/>
      <c r="E5645"/>
    </row>
    <row r="5646" spans="1:5" x14ac:dyDescent="0.2">
      <c r="A5646"/>
      <c r="B5646"/>
      <c r="C5646"/>
      <c r="D5646"/>
      <c r="E5646"/>
    </row>
    <row r="5647" spans="1:5" x14ac:dyDescent="0.2">
      <c r="A5647"/>
      <c r="B5647"/>
      <c r="C5647"/>
      <c r="D5647"/>
      <c r="E5647"/>
    </row>
    <row r="5648" spans="1:5" x14ac:dyDescent="0.2">
      <c r="A5648"/>
      <c r="B5648"/>
      <c r="C5648"/>
      <c r="D5648"/>
      <c r="E5648"/>
    </row>
    <row r="5649" spans="1:5" x14ac:dyDescent="0.2">
      <c r="A5649"/>
      <c r="B5649"/>
      <c r="C5649"/>
      <c r="D5649"/>
      <c r="E5649"/>
    </row>
    <row r="5650" spans="1:5" x14ac:dyDescent="0.2">
      <c r="A5650"/>
      <c r="B5650"/>
      <c r="C5650"/>
      <c r="D5650"/>
      <c r="E5650"/>
    </row>
    <row r="5651" spans="1:5" x14ac:dyDescent="0.2">
      <c r="A5651"/>
      <c r="B5651"/>
      <c r="C5651"/>
      <c r="D5651"/>
      <c r="E5651"/>
    </row>
    <row r="5652" spans="1:5" x14ac:dyDescent="0.2">
      <c r="A5652"/>
      <c r="B5652"/>
      <c r="C5652"/>
      <c r="D5652"/>
      <c r="E5652"/>
    </row>
    <row r="5653" spans="1:5" x14ac:dyDescent="0.2">
      <c r="A5653"/>
      <c r="B5653"/>
      <c r="C5653"/>
      <c r="D5653"/>
      <c r="E5653"/>
    </row>
    <row r="5654" spans="1:5" x14ac:dyDescent="0.2">
      <c r="A5654"/>
      <c r="B5654"/>
      <c r="C5654"/>
      <c r="D5654"/>
      <c r="E5654"/>
    </row>
    <row r="5655" spans="1:5" x14ac:dyDescent="0.2">
      <c r="A5655"/>
      <c r="B5655"/>
      <c r="C5655"/>
      <c r="D5655"/>
      <c r="E5655"/>
    </row>
    <row r="5656" spans="1:5" x14ac:dyDescent="0.2">
      <c r="A5656"/>
      <c r="B5656"/>
      <c r="C5656"/>
      <c r="D5656"/>
      <c r="E5656"/>
    </row>
    <row r="5657" spans="1:5" x14ac:dyDescent="0.2">
      <c r="A5657"/>
      <c r="B5657"/>
      <c r="C5657"/>
      <c r="D5657"/>
      <c r="E5657"/>
    </row>
    <row r="5658" spans="1:5" x14ac:dyDescent="0.2">
      <c r="A5658"/>
      <c r="B5658"/>
      <c r="C5658"/>
      <c r="D5658"/>
      <c r="E5658"/>
    </row>
    <row r="5659" spans="1:5" x14ac:dyDescent="0.2">
      <c r="A5659"/>
      <c r="B5659"/>
      <c r="C5659"/>
      <c r="D5659"/>
      <c r="E5659"/>
    </row>
    <row r="5660" spans="1:5" x14ac:dyDescent="0.2">
      <c r="A5660"/>
      <c r="B5660"/>
      <c r="C5660"/>
      <c r="D5660"/>
      <c r="E5660"/>
    </row>
    <row r="5661" spans="1:5" x14ac:dyDescent="0.2">
      <c r="A5661"/>
      <c r="B5661"/>
      <c r="C5661"/>
      <c r="D5661"/>
      <c r="E5661"/>
    </row>
    <row r="5662" spans="1:5" x14ac:dyDescent="0.2">
      <c r="A5662"/>
      <c r="B5662"/>
      <c r="C5662"/>
      <c r="D5662"/>
      <c r="E5662"/>
    </row>
    <row r="5663" spans="1:5" x14ac:dyDescent="0.2">
      <c r="A5663"/>
      <c r="B5663"/>
      <c r="C5663"/>
      <c r="D5663"/>
      <c r="E5663"/>
    </row>
    <row r="5664" spans="1:5" x14ac:dyDescent="0.2">
      <c r="A5664"/>
      <c r="B5664"/>
      <c r="C5664"/>
      <c r="D5664"/>
      <c r="E5664"/>
    </row>
    <row r="5665" spans="1:5" x14ac:dyDescent="0.2">
      <c r="A5665"/>
      <c r="B5665"/>
      <c r="C5665"/>
      <c r="D5665"/>
      <c r="E5665"/>
    </row>
    <row r="5666" spans="1:5" x14ac:dyDescent="0.2">
      <c r="A5666"/>
      <c r="B5666"/>
      <c r="C5666"/>
      <c r="D5666"/>
      <c r="E5666"/>
    </row>
    <row r="5667" spans="1:5" x14ac:dyDescent="0.2">
      <c r="A5667"/>
      <c r="B5667"/>
      <c r="C5667"/>
      <c r="D5667"/>
      <c r="E5667"/>
    </row>
    <row r="5668" spans="1:5" x14ac:dyDescent="0.2">
      <c r="A5668"/>
      <c r="B5668"/>
      <c r="C5668"/>
      <c r="D5668"/>
      <c r="E5668"/>
    </row>
    <row r="5669" spans="1:5" x14ac:dyDescent="0.2">
      <c r="A5669"/>
      <c r="B5669"/>
      <c r="C5669"/>
      <c r="D5669"/>
      <c r="E5669"/>
    </row>
    <row r="5670" spans="1:5" x14ac:dyDescent="0.2">
      <c r="A5670"/>
      <c r="B5670"/>
      <c r="C5670"/>
      <c r="D5670"/>
      <c r="E5670"/>
    </row>
    <row r="5671" spans="1:5" x14ac:dyDescent="0.2">
      <c r="A5671"/>
      <c r="B5671"/>
      <c r="C5671"/>
      <c r="D5671"/>
      <c r="E5671"/>
    </row>
    <row r="5672" spans="1:5" x14ac:dyDescent="0.2">
      <c r="A5672"/>
      <c r="B5672"/>
      <c r="C5672"/>
      <c r="D5672"/>
      <c r="E5672"/>
    </row>
    <row r="5673" spans="1:5" x14ac:dyDescent="0.2">
      <c r="A5673"/>
      <c r="B5673"/>
      <c r="C5673"/>
      <c r="D5673"/>
      <c r="E5673"/>
    </row>
    <row r="5674" spans="1:5" x14ac:dyDescent="0.2">
      <c r="A5674"/>
      <c r="B5674"/>
      <c r="C5674"/>
      <c r="D5674"/>
      <c r="E5674"/>
    </row>
    <row r="5675" spans="1:5" x14ac:dyDescent="0.2">
      <c r="A5675"/>
      <c r="B5675"/>
      <c r="C5675"/>
      <c r="D5675"/>
      <c r="E5675"/>
    </row>
    <row r="5676" spans="1:5" x14ac:dyDescent="0.2">
      <c r="A5676"/>
      <c r="B5676"/>
      <c r="C5676"/>
      <c r="D5676"/>
      <c r="E5676"/>
    </row>
    <row r="5677" spans="1:5" x14ac:dyDescent="0.2">
      <c r="A5677"/>
      <c r="B5677"/>
      <c r="C5677"/>
      <c r="D5677"/>
      <c r="E5677"/>
    </row>
    <row r="5678" spans="1:5" x14ac:dyDescent="0.2">
      <c r="A5678"/>
      <c r="B5678"/>
      <c r="C5678"/>
      <c r="D5678"/>
      <c r="E5678"/>
    </row>
    <row r="5679" spans="1:5" x14ac:dyDescent="0.2">
      <c r="A5679"/>
      <c r="B5679"/>
      <c r="C5679"/>
      <c r="D5679"/>
      <c r="E5679"/>
    </row>
    <row r="5680" spans="1:5" x14ac:dyDescent="0.2">
      <c r="A5680"/>
      <c r="B5680"/>
      <c r="C5680"/>
      <c r="D5680"/>
      <c r="E5680"/>
    </row>
    <row r="5681" spans="1:5" x14ac:dyDescent="0.2">
      <c r="A5681"/>
      <c r="B5681"/>
      <c r="C5681"/>
      <c r="D5681"/>
      <c r="E5681"/>
    </row>
    <row r="5682" spans="1:5" x14ac:dyDescent="0.2">
      <c r="A5682"/>
      <c r="B5682"/>
      <c r="C5682"/>
      <c r="D5682"/>
      <c r="E5682"/>
    </row>
    <row r="5683" spans="1:5" x14ac:dyDescent="0.2">
      <c r="A5683"/>
      <c r="B5683"/>
      <c r="C5683"/>
      <c r="D5683"/>
      <c r="E5683"/>
    </row>
    <row r="5684" spans="1:5" x14ac:dyDescent="0.2">
      <c r="A5684"/>
      <c r="B5684"/>
      <c r="C5684"/>
      <c r="D5684"/>
      <c r="E5684"/>
    </row>
    <row r="5685" spans="1:5" x14ac:dyDescent="0.2">
      <c r="A5685"/>
      <c r="B5685"/>
      <c r="C5685"/>
      <c r="D5685"/>
      <c r="E5685"/>
    </row>
    <row r="5686" spans="1:5" x14ac:dyDescent="0.2">
      <c r="A5686"/>
      <c r="B5686"/>
      <c r="C5686"/>
      <c r="D5686"/>
      <c r="E5686"/>
    </row>
    <row r="5687" spans="1:5" x14ac:dyDescent="0.2">
      <c r="A5687"/>
      <c r="B5687"/>
      <c r="C5687"/>
      <c r="D5687"/>
      <c r="E5687"/>
    </row>
    <row r="5688" spans="1:5" x14ac:dyDescent="0.2">
      <c r="A5688"/>
      <c r="B5688"/>
      <c r="C5688"/>
      <c r="D5688"/>
      <c r="E5688"/>
    </row>
    <row r="5689" spans="1:5" x14ac:dyDescent="0.2">
      <c r="A5689"/>
      <c r="B5689"/>
      <c r="C5689"/>
      <c r="D5689"/>
      <c r="E5689"/>
    </row>
    <row r="5690" spans="1:5" x14ac:dyDescent="0.2">
      <c r="A5690"/>
      <c r="B5690"/>
      <c r="C5690"/>
      <c r="D5690"/>
      <c r="E5690"/>
    </row>
    <row r="5691" spans="1:5" x14ac:dyDescent="0.2">
      <c r="A5691"/>
      <c r="B5691"/>
      <c r="C5691"/>
      <c r="D5691"/>
      <c r="E5691"/>
    </row>
    <row r="5692" spans="1:5" x14ac:dyDescent="0.2">
      <c r="A5692"/>
      <c r="B5692"/>
      <c r="C5692"/>
      <c r="D5692"/>
      <c r="E5692"/>
    </row>
    <row r="5693" spans="1:5" x14ac:dyDescent="0.2">
      <c r="A5693"/>
      <c r="B5693"/>
      <c r="C5693"/>
      <c r="D5693"/>
      <c r="E5693"/>
    </row>
    <row r="5694" spans="1:5" x14ac:dyDescent="0.2">
      <c r="A5694"/>
      <c r="B5694"/>
      <c r="C5694"/>
      <c r="D5694"/>
      <c r="E5694"/>
    </row>
    <row r="5695" spans="1:5" x14ac:dyDescent="0.2">
      <c r="A5695"/>
      <c r="B5695"/>
      <c r="C5695"/>
      <c r="D5695"/>
      <c r="E5695"/>
    </row>
    <row r="5696" spans="1:5" x14ac:dyDescent="0.2">
      <c r="A5696"/>
      <c r="B5696"/>
      <c r="C5696"/>
      <c r="D5696"/>
      <c r="E5696"/>
    </row>
    <row r="5697" spans="1:5" x14ac:dyDescent="0.2">
      <c r="A5697"/>
      <c r="B5697"/>
      <c r="C5697"/>
      <c r="D5697"/>
      <c r="E5697"/>
    </row>
    <row r="5698" spans="1:5" x14ac:dyDescent="0.2">
      <c r="A5698"/>
      <c r="B5698"/>
      <c r="C5698"/>
      <c r="D5698"/>
      <c r="E5698"/>
    </row>
    <row r="5699" spans="1:5" x14ac:dyDescent="0.2">
      <c r="A5699"/>
      <c r="B5699"/>
      <c r="C5699"/>
      <c r="D5699"/>
      <c r="E5699"/>
    </row>
    <row r="5700" spans="1:5" x14ac:dyDescent="0.2">
      <c r="A5700"/>
      <c r="B5700"/>
      <c r="C5700"/>
      <c r="D5700"/>
      <c r="E5700"/>
    </row>
    <row r="5701" spans="1:5" x14ac:dyDescent="0.2">
      <c r="A5701"/>
      <c r="B5701"/>
      <c r="C5701"/>
      <c r="D5701"/>
      <c r="E5701"/>
    </row>
    <row r="5702" spans="1:5" x14ac:dyDescent="0.2">
      <c r="A5702"/>
      <c r="B5702"/>
      <c r="C5702"/>
      <c r="D5702"/>
      <c r="E5702"/>
    </row>
    <row r="5703" spans="1:5" x14ac:dyDescent="0.2">
      <c r="A5703"/>
      <c r="B5703"/>
      <c r="C5703"/>
      <c r="D5703"/>
      <c r="E5703"/>
    </row>
    <row r="5704" spans="1:5" x14ac:dyDescent="0.2">
      <c r="A5704"/>
      <c r="B5704"/>
      <c r="C5704"/>
      <c r="D5704"/>
      <c r="E5704"/>
    </row>
    <row r="5705" spans="1:5" x14ac:dyDescent="0.2">
      <c r="A5705"/>
      <c r="B5705"/>
      <c r="C5705"/>
      <c r="D5705"/>
      <c r="E5705"/>
    </row>
    <row r="5706" spans="1:5" x14ac:dyDescent="0.2">
      <c r="A5706"/>
      <c r="B5706"/>
      <c r="C5706"/>
      <c r="D5706"/>
      <c r="E5706"/>
    </row>
    <row r="5707" spans="1:5" x14ac:dyDescent="0.2">
      <c r="A5707"/>
      <c r="B5707"/>
      <c r="C5707"/>
      <c r="D5707"/>
      <c r="E5707"/>
    </row>
    <row r="5708" spans="1:5" x14ac:dyDescent="0.2">
      <c r="A5708"/>
      <c r="B5708"/>
      <c r="C5708"/>
      <c r="D5708"/>
      <c r="E5708"/>
    </row>
    <row r="5709" spans="1:5" x14ac:dyDescent="0.2">
      <c r="A5709"/>
      <c r="B5709"/>
      <c r="C5709"/>
      <c r="D5709"/>
      <c r="E5709"/>
    </row>
    <row r="5710" spans="1:5" x14ac:dyDescent="0.2">
      <c r="A5710"/>
      <c r="B5710"/>
      <c r="C5710"/>
      <c r="D5710"/>
      <c r="E5710"/>
    </row>
    <row r="5711" spans="1:5" x14ac:dyDescent="0.2">
      <c r="A5711"/>
      <c r="B5711"/>
      <c r="C5711"/>
      <c r="D5711"/>
      <c r="E5711"/>
    </row>
    <row r="5712" spans="1:5" x14ac:dyDescent="0.2">
      <c r="A5712"/>
      <c r="B5712"/>
      <c r="C5712"/>
      <c r="D5712"/>
      <c r="E5712"/>
    </row>
    <row r="5713" spans="1:5" x14ac:dyDescent="0.2">
      <c r="A5713"/>
      <c r="B5713"/>
      <c r="C5713"/>
      <c r="D5713"/>
      <c r="E5713"/>
    </row>
    <row r="5714" spans="1:5" x14ac:dyDescent="0.2">
      <c r="A5714"/>
      <c r="B5714"/>
      <c r="C5714"/>
      <c r="D5714"/>
      <c r="E5714"/>
    </row>
    <row r="5715" spans="1:5" x14ac:dyDescent="0.2">
      <c r="A5715"/>
      <c r="B5715"/>
      <c r="C5715"/>
      <c r="D5715"/>
      <c r="E5715"/>
    </row>
    <row r="5716" spans="1:5" x14ac:dyDescent="0.2">
      <c r="A5716"/>
      <c r="B5716"/>
      <c r="C5716"/>
      <c r="D5716"/>
      <c r="E5716"/>
    </row>
    <row r="5717" spans="1:5" x14ac:dyDescent="0.2">
      <c r="A5717"/>
      <c r="B5717"/>
      <c r="C5717"/>
      <c r="D5717"/>
      <c r="E5717"/>
    </row>
    <row r="5718" spans="1:5" x14ac:dyDescent="0.2">
      <c r="A5718"/>
      <c r="B5718"/>
      <c r="C5718"/>
      <c r="D5718"/>
      <c r="E5718"/>
    </row>
    <row r="5719" spans="1:5" x14ac:dyDescent="0.2">
      <c r="A5719"/>
      <c r="B5719"/>
      <c r="C5719"/>
      <c r="D5719"/>
      <c r="E5719"/>
    </row>
    <row r="5720" spans="1:5" x14ac:dyDescent="0.2">
      <c r="A5720"/>
      <c r="B5720"/>
      <c r="C5720"/>
      <c r="D5720"/>
      <c r="E5720"/>
    </row>
    <row r="5721" spans="1:5" x14ac:dyDescent="0.2">
      <c r="A5721"/>
      <c r="B5721"/>
      <c r="C5721"/>
      <c r="D5721"/>
      <c r="E5721"/>
    </row>
    <row r="5722" spans="1:5" x14ac:dyDescent="0.2">
      <c r="A5722"/>
      <c r="B5722"/>
      <c r="C5722"/>
      <c r="D5722"/>
      <c r="E5722"/>
    </row>
    <row r="5723" spans="1:5" x14ac:dyDescent="0.2">
      <c r="A5723"/>
      <c r="B5723"/>
      <c r="C5723"/>
      <c r="D5723"/>
      <c r="E5723"/>
    </row>
    <row r="5724" spans="1:5" x14ac:dyDescent="0.2">
      <c r="A5724"/>
      <c r="B5724"/>
      <c r="C5724"/>
      <c r="D5724"/>
      <c r="E5724"/>
    </row>
    <row r="5725" spans="1:5" x14ac:dyDescent="0.2">
      <c r="A5725"/>
      <c r="B5725"/>
      <c r="C5725"/>
      <c r="D5725"/>
      <c r="E5725"/>
    </row>
    <row r="5726" spans="1:5" x14ac:dyDescent="0.2">
      <c r="A5726"/>
      <c r="B5726"/>
      <c r="C5726"/>
      <c r="D5726"/>
      <c r="E5726"/>
    </row>
    <row r="5727" spans="1:5" x14ac:dyDescent="0.2">
      <c r="A5727"/>
      <c r="B5727"/>
      <c r="C5727"/>
      <c r="D5727"/>
      <c r="E5727"/>
    </row>
    <row r="5728" spans="1:5" x14ac:dyDescent="0.2">
      <c r="A5728"/>
      <c r="B5728"/>
      <c r="C5728"/>
      <c r="D5728"/>
      <c r="E5728"/>
    </row>
    <row r="5729" spans="1:5" x14ac:dyDescent="0.2">
      <c r="A5729"/>
      <c r="B5729"/>
      <c r="C5729"/>
      <c r="D5729"/>
      <c r="E5729"/>
    </row>
    <row r="5730" spans="1:5" x14ac:dyDescent="0.2">
      <c r="A5730"/>
      <c r="B5730"/>
      <c r="C5730"/>
      <c r="D5730"/>
      <c r="E5730"/>
    </row>
    <row r="5731" spans="1:5" x14ac:dyDescent="0.2">
      <c r="A5731"/>
      <c r="B5731"/>
      <c r="C5731"/>
      <c r="D5731"/>
      <c r="E5731"/>
    </row>
    <row r="5732" spans="1:5" x14ac:dyDescent="0.2">
      <c r="A5732"/>
      <c r="B5732"/>
      <c r="C5732"/>
      <c r="D5732"/>
      <c r="E5732"/>
    </row>
    <row r="5733" spans="1:5" x14ac:dyDescent="0.2">
      <c r="A5733"/>
      <c r="B5733"/>
      <c r="C5733"/>
      <c r="D5733"/>
      <c r="E5733"/>
    </row>
    <row r="5734" spans="1:5" x14ac:dyDescent="0.2">
      <c r="A5734"/>
      <c r="B5734"/>
      <c r="C5734"/>
      <c r="D5734"/>
      <c r="E5734"/>
    </row>
    <row r="5735" spans="1:5" x14ac:dyDescent="0.2">
      <c r="A5735"/>
      <c r="B5735"/>
      <c r="C5735"/>
      <c r="D5735"/>
      <c r="E5735"/>
    </row>
    <row r="5736" spans="1:5" x14ac:dyDescent="0.2">
      <c r="A5736"/>
      <c r="B5736"/>
      <c r="C5736"/>
      <c r="D5736"/>
      <c r="E5736"/>
    </row>
    <row r="5737" spans="1:5" x14ac:dyDescent="0.2">
      <c r="A5737"/>
      <c r="B5737"/>
      <c r="C5737"/>
      <c r="D5737"/>
      <c r="E5737"/>
    </row>
    <row r="5738" spans="1:5" x14ac:dyDescent="0.2">
      <c r="A5738"/>
      <c r="B5738"/>
      <c r="C5738"/>
      <c r="D5738"/>
      <c r="E5738"/>
    </row>
    <row r="5739" spans="1:5" x14ac:dyDescent="0.2">
      <c r="A5739"/>
      <c r="B5739"/>
      <c r="C5739"/>
      <c r="D5739"/>
      <c r="E5739"/>
    </row>
    <row r="5740" spans="1:5" x14ac:dyDescent="0.2">
      <c r="A5740"/>
      <c r="B5740"/>
      <c r="C5740"/>
      <c r="D5740"/>
      <c r="E5740"/>
    </row>
    <row r="5741" spans="1:5" x14ac:dyDescent="0.2">
      <c r="A5741"/>
      <c r="B5741"/>
      <c r="C5741"/>
      <c r="D5741"/>
      <c r="E5741"/>
    </row>
    <row r="5742" spans="1:5" x14ac:dyDescent="0.2">
      <c r="A5742"/>
      <c r="B5742"/>
      <c r="C5742"/>
      <c r="D5742"/>
      <c r="E5742"/>
    </row>
    <row r="5743" spans="1:5" x14ac:dyDescent="0.2">
      <c r="A5743"/>
      <c r="B5743"/>
      <c r="C5743"/>
      <c r="D5743"/>
      <c r="E5743"/>
    </row>
    <row r="5744" spans="1:5" x14ac:dyDescent="0.2">
      <c r="A5744"/>
      <c r="B5744"/>
      <c r="C5744"/>
      <c r="D5744"/>
      <c r="E5744"/>
    </row>
    <row r="5745" spans="1:5" x14ac:dyDescent="0.2">
      <c r="A5745"/>
      <c r="B5745"/>
      <c r="C5745"/>
      <c r="D5745"/>
      <c r="E5745"/>
    </row>
    <row r="5746" spans="1:5" x14ac:dyDescent="0.2">
      <c r="A5746"/>
      <c r="B5746"/>
      <c r="C5746"/>
      <c r="D5746"/>
      <c r="E5746"/>
    </row>
    <row r="5747" spans="1:5" x14ac:dyDescent="0.2">
      <c r="A5747"/>
      <c r="B5747"/>
      <c r="C5747"/>
      <c r="D5747"/>
      <c r="E5747"/>
    </row>
    <row r="5748" spans="1:5" x14ac:dyDescent="0.2">
      <c r="A5748"/>
      <c r="B5748"/>
      <c r="C5748"/>
      <c r="D5748"/>
      <c r="E5748"/>
    </row>
    <row r="5749" spans="1:5" x14ac:dyDescent="0.2">
      <c r="A5749"/>
      <c r="B5749"/>
      <c r="C5749"/>
      <c r="D5749"/>
      <c r="E5749"/>
    </row>
    <row r="5750" spans="1:5" x14ac:dyDescent="0.2">
      <c r="A5750"/>
      <c r="B5750"/>
      <c r="C5750"/>
      <c r="D5750"/>
      <c r="E5750"/>
    </row>
    <row r="5751" spans="1:5" x14ac:dyDescent="0.2">
      <c r="A5751"/>
      <c r="B5751"/>
      <c r="C5751"/>
      <c r="D5751"/>
      <c r="E5751"/>
    </row>
    <row r="5752" spans="1:5" x14ac:dyDescent="0.2">
      <c r="A5752"/>
      <c r="B5752"/>
      <c r="C5752"/>
      <c r="D5752"/>
      <c r="E5752"/>
    </row>
    <row r="5753" spans="1:5" x14ac:dyDescent="0.2">
      <c r="A5753"/>
      <c r="B5753"/>
      <c r="C5753"/>
      <c r="D5753"/>
      <c r="E5753"/>
    </row>
    <row r="5754" spans="1:5" x14ac:dyDescent="0.2">
      <c r="A5754"/>
      <c r="B5754"/>
      <c r="C5754"/>
      <c r="D5754"/>
      <c r="E5754"/>
    </row>
    <row r="5755" spans="1:5" x14ac:dyDescent="0.2">
      <c r="A5755"/>
      <c r="B5755"/>
      <c r="C5755"/>
      <c r="D5755"/>
      <c r="E5755"/>
    </row>
    <row r="5756" spans="1:5" x14ac:dyDescent="0.2">
      <c r="A5756"/>
      <c r="B5756"/>
      <c r="C5756"/>
      <c r="D5756"/>
      <c r="E5756"/>
    </row>
    <row r="5757" spans="1:5" x14ac:dyDescent="0.2">
      <c r="A5757"/>
      <c r="B5757"/>
      <c r="C5757"/>
      <c r="D5757"/>
      <c r="E5757"/>
    </row>
    <row r="5758" spans="1:5" x14ac:dyDescent="0.2">
      <c r="A5758"/>
      <c r="B5758"/>
      <c r="C5758"/>
      <c r="D5758"/>
      <c r="E5758"/>
    </row>
    <row r="5759" spans="1:5" x14ac:dyDescent="0.2">
      <c r="A5759"/>
      <c r="B5759"/>
      <c r="C5759"/>
      <c r="D5759"/>
      <c r="E5759"/>
    </row>
    <row r="5760" spans="1:5" x14ac:dyDescent="0.2">
      <c r="A5760"/>
      <c r="B5760"/>
      <c r="C5760"/>
      <c r="D5760"/>
      <c r="E5760"/>
    </row>
    <row r="5761" spans="1:5" x14ac:dyDescent="0.2">
      <c r="A5761"/>
      <c r="B5761"/>
      <c r="C5761"/>
      <c r="D5761"/>
      <c r="E5761"/>
    </row>
    <row r="5762" spans="1:5" x14ac:dyDescent="0.2">
      <c r="A5762"/>
      <c r="B5762"/>
      <c r="C5762"/>
      <c r="D5762"/>
      <c r="E5762"/>
    </row>
    <row r="5763" spans="1:5" x14ac:dyDescent="0.2">
      <c r="A5763"/>
      <c r="B5763"/>
      <c r="C5763"/>
      <c r="D5763"/>
      <c r="E5763"/>
    </row>
    <row r="5764" spans="1:5" x14ac:dyDescent="0.2">
      <c r="A5764"/>
      <c r="B5764"/>
      <c r="C5764"/>
      <c r="D5764"/>
      <c r="E5764"/>
    </row>
    <row r="5765" spans="1:5" x14ac:dyDescent="0.2">
      <c r="A5765"/>
      <c r="B5765"/>
      <c r="C5765"/>
      <c r="D5765"/>
      <c r="E5765"/>
    </row>
    <row r="5766" spans="1:5" x14ac:dyDescent="0.2">
      <c r="A5766"/>
      <c r="B5766"/>
      <c r="C5766"/>
      <c r="D5766"/>
      <c r="E5766"/>
    </row>
    <row r="5767" spans="1:5" x14ac:dyDescent="0.2">
      <c r="A5767"/>
      <c r="B5767"/>
      <c r="C5767"/>
      <c r="D5767"/>
      <c r="E5767"/>
    </row>
    <row r="5768" spans="1:5" x14ac:dyDescent="0.2">
      <c r="A5768"/>
      <c r="B5768"/>
      <c r="C5768"/>
      <c r="D5768"/>
      <c r="E5768"/>
    </row>
    <row r="5769" spans="1:5" x14ac:dyDescent="0.2">
      <c r="A5769"/>
      <c r="B5769"/>
      <c r="C5769"/>
      <c r="D5769"/>
      <c r="E5769"/>
    </row>
    <row r="5770" spans="1:5" x14ac:dyDescent="0.2">
      <c r="A5770"/>
      <c r="B5770"/>
      <c r="C5770"/>
      <c r="D5770"/>
      <c r="E5770"/>
    </row>
    <row r="5771" spans="1:5" x14ac:dyDescent="0.2">
      <c r="A5771"/>
      <c r="B5771"/>
      <c r="C5771"/>
      <c r="D5771"/>
      <c r="E5771"/>
    </row>
    <row r="5772" spans="1:5" x14ac:dyDescent="0.2">
      <c r="A5772"/>
      <c r="B5772"/>
      <c r="C5772"/>
      <c r="D5772"/>
      <c r="E5772"/>
    </row>
    <row r="5773" spans="1:5" x14ac:dyDescent="0.2">
      <c r="A5773"/>
      <c r="B5773"/>
      <c r="C5773"/>
      <c r="D5773"/>
      <c r="E5773"/>
    </row>
    <row r="5774" spans="1:5" x14ac:dyDescent="0.2">
      <c r="A5774"/>
      <c r="B5774"/>
      <c r="C5774"/>
      <c r="D5774"/>
      <c r="E5774"/>
    </row>
    <row r="5775" spans="1:5" x14ac:dyDescent="0.2">
      <c r="A5775"/>
      <c r="B5775"/>
      <c r="C5775"/>
      <c r="D5775"/>
      <c r="E5775"/>
    </row>
    <row r="5776" spans="1:5" x14ac:dyDescent="0.2">
      <c r="A5776"/>
      <c r="B5776"/>
      <c r="C5776"/>
      <c r="D5776"/>
      <c r="E5776"/>
    </row>
    <row r="5777" spans="1:5" x14ac:dyDescent="0.2">
      <c r="A5777"/>
      <c r="B5777"/>
      <c r="C5777"/>
      <c r="D5777"/>
      <c r="E5777"/>
    </row>
    <row r="5778" spans="1:5" x14ac:dyDescent="0.2">
      <c r="A5778"/>
      <c r="B5778"/>
      <c r="C5778"/>
      <c r="D5778"/>
      <c r="E5778"/>
    </row>
    <row r="5779" spans="1:5" x14ac:dyDescent="0.2">
      <c r="A5779"/>
      <c r="B5779"/>
      <c r="C5779"/>
      <c r="D5779"/>
      <c r="E5779"/>
    </row>
    <row r="5780" spans="1:5" x14ac:dyDescent="0.2">
      <c r="A5780"/>
      <c r="B5780"/>
      <c r="C5780"/>
      <c r="D5780"/>
      <c r="E5780"/>
    </row>
    <row r="5781" spans="1:5" x14ac:dyDescent="0.2">
      <c r="A5781"/>
      <c r="B5781"/>
      <c r="C5781"/>
      <c r="D5781"/>
      <c r="E5781"/>
    </row>
    <row r="5782" spans="1:5" x14ac:dyDescent="0.2">
      <c r="A5782"/>
      <c r="B5782"/>
      <c r="C5782"/>
      <c r="D5782"/>
      <c r="E5782"/>
    </row>
    <row r="5783" spans="1:5" x14ac:dyDescent="0.2">
      <c r="A5783"/>
      <c r="B5783"/>
      <c r="C5783"/>
      <c r="D5783"/>
      <c r="E5783"/>
    </row>
    <row r="5784" spans="1:5" x14ac:dyDescent="0.2">
      <c r="A5784"/>
      <c r="B5784"/>
      <c r="C5784"/>
      <c r="D5784"/>
      <c r="E5784"/>
    </row>
    <row r="5785" spans="1:5" x14ac:dyDescent="0.2">
      <c r="A5785"/>
      <c r="B5785"/>
      <c r="C5785"/>
      <c r="D5785"/>
      <c r="E5785"/>
    </row>
    <row r="5786" spans="1:5" x14ac:dyDescent="0.2">
      <c r="A5786"/>
      <c r="B5786"/>
      <c r="C5786"/>
      <c r="D5786"/>
      <c r="E5786"/>
    </row>
    <row r="5787" spans="1:5" x14ac:dyDescent="0.2">
      <c r="A5787"/>
      <c r="B5787"/>
      <c r="C5787"/>
      <c r="D5787"/>
      <c r="E5787"/>
    </row>
    <row r="5788" spans="1:5" x14ac:dyDescent="0.2">
      <c r="A5788"/>
      <c r="B5788"/>
      <c r="C5788"/>
      <c r="D5788"/>
      <c r="E5788"/>
    </row>
    <row r="5789" spans="1:5" x14ac:dyDescent="0.2">
      <c r="A5789"/>
      <c r="B5789"/>
      <c r="C5789"/>
      <c r="D5789"/>
      <c r="E5789"/>
    </row>
    <row r="5790" spans="1:5" x14ac:dyDescent="0.2">
      <c r="A5790"/>
      <c r="B5790"/>
      <c r="C5790"/>
      <c r="D5790"/>
      <c r="E5790"/>
    </row>
    <row r="5791" spans="1:5" x14ac:dyDescent="0.2">
      <c r="A5791"/>
      <c r="B5791"/>
      <c r="C5791"/>
      <c r="D5791"/>
      <c r="E5791"/>
    </row>
    <row r="5792" spans="1:5" x14ac:dyDescent="0.2">
      <c r="A5792"/>
      <c r="B5792"/>
      <c r="C5792"/>
      <c r="D5792"/>
      <c r="E5792"/>
    </row>
    <row r="5793" spans="1:5" x14ac:dyDescent="0.2">
      <c r="A5793"/>
      <c r="B5793"/>
      <c r="C5793"/>
      <c r="D5793"/>
      <c r="E5793"/>
    </row>
    <row r="5794" spans="1:5" x14ac:dyDescent="0.2">
      <c r="A5794"/>
      <c r="B5794"/>
      <c r="C5794"/>
      <c r="D5794"/>
      <c r="E5794"/>
    </row>
    <row r="5795" spans="1:5" x14ac:dyDescent="0.2">
      <c r="A5795"/>
      <c r="B5795"/>
      <c r="C5795"/>
      <c r="D5795"/>
      <c r="E5795"/>
    </row>
    <row r="5796" spans="1:5" x14ac:dyDescent="0.2">
      <c r="A5796"/>
      <c r="B5796"/>
      <c r="C5796"/>
      <c r="D5796"/>
      <c r="E5796"/>
    </row>
    <row r="5797" spans="1:5" x14ac:dyDescent="0.2">
      <c r="A5797"/>
      <c r="B5797"/>
      <c r="C5797"/>
      <c r="D5797"/>
      <c r="E5797"/>
    </row>
    <row r="5798" spans="1:5" x14ac:dyDescent="0.2">
      <c r="A5798"/>
      <c r="B5798"/>
      <c r="C5798"/>
      <c r="D5798"/>
      <c r="E5798"/>
    </row>
    <row r="5799" spans="1:5" x14ac:dyDescent="0.2">
      <c r="A5799"/>
      <c r="B5799"/>
      <c r="C5799"/>
      <c r="D5799"/>
      <c r="E5799"/>
    </row>
    <row r="5800" spans="1:5" x14ac:dyDescent="0.2">
      <c r="A5800"/>
      <c r="B5800"/>
      <c r="C5800"/>
      <c r="D5800"/>
      <c r="E5800"/>
    </row>
    <row r="5801" spans="1:5" x14ac:dyDescent="0.2">
      <c r="A5801"/>
      <c r="B5801"/>
      <c r="C5801"/>
      <c r="D5801"/>
      <c r="E5801"/>
    </row>
    <row r="5802" spans="1:5" x14ac:dyDescent="0.2">
      <c r="A5802"/>
      <c r="B5802"/>
      <c r="C5802"/>
      <c r="D5802"/>
      <c r="E5802"/>
    </row>
    <row r="5803" spans="1:5" x14ac:dyDescent="0.2">
      <c r="A5803"/>
      <c r="B5803"/>
      <c r="C5803"/>
      <c r="D5803"/>
      <c r="E5803"/>
    </row>
    <row r="5804" spans="1:5" x14ac:dyDescent="0.2">
      <c r="A5804"/>
      <c r="B5804"/>
      <c r="C5804"/>
      <c r="D5804"/>
      <c r="E5804"/>
    </row>
    <row r="5805" spans="1:5" x14ac:dyDescent="0.2">
      <c r="A5805"/>
      <c r="B5805"/>
      <c r="C5805"/>
      <c r="D5805"/>
      <c r="E5805"/>
    </row>
    <row r="5806" spans="1:5" x14ac:dyDescent="0.2">
      <c r="A5806"/>
      <c r="B5806"/>
      <c r="C5806"/>
      <c r="D5806"/>
      <c r="E5806"/>
    </row>
    <row r="5807" spans="1:5" x14ac:dyDescent="0.2">
      <c r="A5807"/>
      <c r="B5807"/>
      <c r="C5807"/>
      <c r="D5807"/>
      <c r="E5807"/>
    </row>
    <row r="5808" spans="1:5" x14ac:dyDescent="0.2">
      <c r="A5808"/>
      <c r="B5808"/>
      <c r="C5808"/>
      <c r="D5808"/>
      <c r="E5808"/>
    </row>
    <row r="5809" spans="1:5" x14ac:dyDescent="0.2">
      <c r="A5809"/>
      <c r="B5809"/>
      <c r="C5809"/>
      <c r="D5809"/>
      <c r="E5809"/>
    </row>
    <row r="5810" spans="1:5" x14ac:dyDescent="0.2">
      <c r="A5810"/>
      <c r="B5810"/>
      <c r="C5810"/>
      <c r="D5810"/>
      <c r="E5810"/>
    </row>
    <row r="5811" spans="1:5" x14ac:dyDescent="0.2">
      <c r="A5811"/>
      <c r="B5811"/>
      <c r="C5811"/>
      <c r="D5811"/>
      <c r="E5811"/>
    </row>
    <row r="5812" spans="1:5" x14ac:dyDescent="0.2">
      <c r="A5812"/>
      <c r="B5812"/>
      <c r="C5812"/>
      <c r="D5812"/>
      <c r="E5812"/>
    </row>
    <row r="5813" spans="1:5" x14ac:dyDescent="0.2">
      <c r="A5813"/>
      <c r="B5813"/>
      <c r="C5813"/>
      <c r="D5813"/>
      <c r="E5813"/>
    </row>
    <row r="5814" spans="1:5" x14ac:dyDescent="0.2">
      <c r="A5814"/>
      <c r="B5814"/>
      <c r="C5814"/>
      <c r="D5814"/>
      <c r="E5814"/>
    </row>
    <row r="5815" spans="1:5" x14ac:dyDescent="0.2">
      <c r="A5815"/>
      <c r="B5815"/>
      <c r="C5815"/>
      <c r="D5815"/>
      <c r="E5815"/>
    </row>
    <row r="5816" spans="1:5" x14ac:dyDescent="0.2">
      <c r="A5816"/>
      <c r="B5816"/>
      <c r="C5816"/>
      <c r="D5816"/>
      <c r="E5816"/>
    </row>
    <row r="5817" spans="1:5" x14ac:dyDescent="0.2">
      <c r="A5817"/>
      <c r="B5817"/>
      <c r="C5817"/>
      <c r="D5817"/>
      <c r="E5817"/>
    </row>
    <row r="5818" spans="1:5" x14ac:dyDescent="0.2">
      <c r="A5818"/>
      <c r="B5818"/>
      <c r="C5818"/>
      <c r="D5818"/>
      <c r="E5818"/>
    </row>
    <row r="5819" spans="1:5" x14ac:dyDescent="0.2">
      <c r="A5819"/>
      <c r="B5819"/>
      <c r="C5819"/>
      <c r="D5819"/>
      <c r="E5819"/>
    </row>
    <row r="5820" spans="1:5" x14ac:dyDescent="0.2">
      <c r="A5820"/>
      <c r="B5820"/>
      <c r="C5820"/>
      <c r="D5820"/>
      <c r="E5820"/>
    </row>
    <row r="5821" spans="1:5" x14ac:dyDescent="0.2">
      <c r="A5821"/>
      <c r="B5821"/>
      <c r="C5821"/>
      <c r="D5821"/>
      <c r="E5821"/>
    </row>
    <row r="5822" spans="1:5" x14ac:dyDescent="0.2">
      <c r="A5822"/>
      <c r="B5822"/>
      <c r="C5822"/>
      <c r="D5822"/>
      <c r="E5822"/>
    </row>
    <row r="5823" spans="1:5" x14ac:dyDescent="0.2">
      <c r="A5823"/>
      <c r="B5823"/>
      <c r="C5823"/>
      <c r="D5823"/>
      <c r="E5823"/>
    </row>
    <row r="5824" spans="1:5" x14ac:dyDescent="0.2">
      <c r="A5824"/>
      <c r="B5824"/>
      <c r="C5824"/>
      <c r="D5824"/>
      <c r="E5824"/>
    </row>
    <row r="5825" spans="1:5" x14ac:dyDescent="0.2">
      <c r="A5825"/>
      <c r="B5825"/>
      <c r="C5825"/>
      <c r="D5825"/>
      <c r="E5825"/>
    </row>
    <row r="5826" spans="1:5" x14ac:dyDescent="0.2">
      <c r="A5826"/>
      <c r="B5826"/>
      <c r="C5826"/>
      <c r="D5826"/>
      <c r="E5826"/>
    </row>
    <row r="5827" spans="1:5" x14ac:dyDescent="0.2">
      <c r="A5827"/>
      <c r="B5827"/>
      <c r="C5827"/>
      <c r="D5827"/>
      <c r="E5827"/>
    </row>
    <row r="5828" spans="1:5" x14ac:dyDescent="0.2">
      <c r="A5828"/>
      <c r="B5828"/>
      <c r="C5828"/>
      <c r="D5828"/>
      <c r="E5828"/>
    </row>
    <row r="5829" spans="1:5" x14ac:dyDescent="0.2">
      <c r="A5829"/>
      <c r="B5829"/>
      <c r="C5829"/>
      <c r="D5829"/>
      <c r="E5829"/>
    </row>
    <row r="5830" spans="1:5" x14ac:dyDescent="0.2">
      <c r="A5830"/>
      <c r="B5830"/>
      <c r="C5830"/>
      <c r="D5830"/>
      <c r="E5830"/>
    </row>
    <row r="5831" spans="1:5" x14ac:dyDescent="0.2">
      <c r="A5831"/>
      <c r="B5831"/>
      <c r="C5831"/>
      <c r="D5831"/>
      <c r="E5831"/>
    </row>
    <row r="5832" spans="1:5" x14ac:dyDescent="0.2">
      <c r="A5832"/>
      <c r="B5832"/>
      <c r="C5832"/>
      <c r="D5832"/>
      <c r="E5832"/>
    </row>
    <row r="5833" spans="1:5" x14ac:dyDescent="0.2">
      <c r="A5833"/>
      <c r="B5833"/>
      <c r="C5833"/>
      <c r="D5833"/>
      <c r="E5833"/>
    </row>
    <row r="5834" spans="1:5" x14ac:dyDescent="0.2">
      <c r="A5834"/>
      <c r="B5834"/>
      <c r="C5834"/>
      <c r="D5834"/>
      <c r="E5834"/>
    </row>
    <row r="5835" spans="1:5" x14ac:dyDescent="0.2">
      <c r="A5835"/>
      <c r="B5835"/>
      <c r="C5835"/>
      <c r="D5835"/>
      <c r="E5835"/>
    </row>
    <row r="5836" spans="1:5" x14ac:dyDescent="0.2">
      <c r="A5836"/>
      <c r="B5836"/>
      <c r="C5836"/>
      <c r="D5836"/>
      <c r="E5836"/>
    </row>
    <row r="5837" spans="1:5" x14ac:dyDescent="0.2">
      <c r="A5837"/>
      <c r="B5837"/>
      <c r="C5837"/>
      <c r="D5837"/>
      <c r="E5837"/>
    </row>
    <row r="5838" spans="1:5" x14ac:dyDescent="0.2">
      <c r="A5838"/>
      <c r="B5838"/>
      <c r="C5838"/>
      <c r="D5838"/>
      <c r="E5838"/>
    </row>
    <row r="5839" spans="1:5" x14ac:dyDescent="0.2">
      <c r="A5839"/>
      <c r="B5839"/>
      <c r="C5839"/>
      <c r="D5839"/>
      <c r="E5839"/>
    </row>
    <row r="5840" spans="1:5" x14ac:dyDescent="0.2">
      <c r="A5840"/>
      <c r="B5840"/>
      <c r="C5840"/>
      <c r="D5840"/>
      <c r="E5840"/>
    </row>
    <row r="5841" spans="1:5" x14ac:dyDescent="0.2">
      <c r="A5841"/>
      <c r="B5841"/>
      <c r="C5841"/>
      <c r="D5841"/>
      <c r="E5841"/>
    </row>
    <row r="5842" spans="1:5" x14ac:dyDescent="0.2">
      <c r="A5842"/>
      <c r="B5842"/>
      <c r="C5842"/>
      <c r="D5842"/>
      <c r="E5842"/>
    </row>
    <row r="5843" spans="1:5" x14ac:dyDescent="0.2">
      <c r="A5843"/>
      <c r="B5843"/>
      <c r="C5843"/>
      <c r="D5843"/>
      <c r="E5843"/>
    </row>
    <row r="5844" spans="1:5" x14ac:dyDescent="0.2">
      <c r="A5844"/>
      <c r="B5844"/>
      <c r="C5844"/>
      <c r="D5844"/>
      <c r="E5844"/>
    </row>
    <row r="5845" spans="1:5" x14ac:dyDescent="0.2">
      <c r="A5845"/>
      <c r="B5845"/>
      <c r="C5845"/>
      <c r="D5845"/>
      <c r="E5845"/>
    </row>
    <row r="5846" spans="1:5" x14ac:dyDescent="0.2">
      <c r="A5846"/>
      <c r="B5846"/>
      <c r="C5846"/>
      <c r="D5846"/>
      <c r="E5846"/>
    </row>
    <row r="5847" spans="1:5" x14ac:dyDescent="0.2">
      <c r="A5847"/>
      <c r="B5847"/>
      <c r="C5847"/>
      <c r="D5847"/>
      <c r="E5847"/>
    </row>
    <row r="5848" spans="1:5" x14ac:dyDescent="0.2">
      <c r="A5848"/>
      <c r="B5848"/>
      <c r="C5848"/>
      <c r="D5848"/>
      <c r="E5848"/>
    </row>
    <row r="5849" spans="1:5" x14ac:dyDescent="0.2">
      <c r="A5849"/>
      <c r="B5849"/>
      <c r="C5849"/>
      <c r="D5849"/>
      <c r="E5849"/>
    </row>
    <row r="5850" spans="1:5" x14ac:dyDescent="0.2">
      <c r="A5850"/>
      <c r="B5850"/>
      <c r="C5850"/>
      <c r="D5850"/>
      <c r="E5850"/>
    </row>
    <row r="5851" spans="1:5" x14ac:dyDescent="0.2">
      <c r="A5851"/>
      <c r="B5851"/>
      <c r="C5851"/>
      <c r="D5851"/>
      <c r="E5851"/>
    </row>
    <row r="5852" spans="1:5" x14ac:dyDescent="0.2">
      <c r="A5852"/>
      <c r="B5852"/>
      <c r="C5852"/>
      <c r="D5852"/>
      <c r="E5852"/>
    </row>
    <row r="5853" spans="1:5" x14ac:dyDescent="0.2">
      <c r="A5853"/>
      <c r="B5853"/>
      <c r="C5853"/>
      <c r="D5853"/>
      <c r="E5853"/>
    </row>
    <row r="5854" spans="1:5" x14ac:dyDescent="0.2">
      <c r="A5854"/>
      <c r="B5854"/>
      <c r="C5854"/>
      <c r="D5854"/>
      <c r="E5854"/>
    </row>
    <row r="5855" spans="1:5" x14ac:dyDescent="0.2">
      <c r="A5855"/>
      <c r="B5855"/>
      <c r="C5855"/>
      <c r="D5855"/>
      <c r="E5855"/>
    </row>
    <row r="5856" spans="1:5" x14ac:dyDescent="0.2">
      <c r="A5856"/>
      <c r="B5856"/>
      <c r="C5856"/>
      <c r="D5856"/>
      <c r="E5856"/>
    </row>
    <row r="5857" spans="1:5" x14ac:dyDescent="0.2">
      <c r="A5857"/>
      <c r="B5857"/>
      <c r="C5857"/>
      <c r="D5857"/>
      <c r="E5857"/>
    </row>
    <row r="5858" spans="1:5" x14ac:dyDescent="0.2">
      <c r="A5858"/>
      <c r="B5858"/>
      <c r="C5858"/>
      <c r="D5858"/>
      <c r="E5858"/>
    </row>
    <row r="5859" spans="1:5" x14ac:dyDescent="0.2">
      <c r="A5859"/>
      <c r="B5859"/>
      <c r="C5859"/>
      <c r="D5859"/>
      <c r="E5859"/>
    </row>
    <row r="5860" spans="1:5" x14ac:dyDescent="0.2">
      <c r="A5860"/>
      <c r="B5860"/>
      <c r="C5860"/>
      <c r="D5860"/>
      <c r="E5860"/>
    </row>
    <row r="5861" spans="1:5" x14ac:dyDescent="0.2">
      <c r="A5861"/>
      <c r="B5861"/>
      <c r="C5861"/>
      <c r="D5861"/>
      <c r="E5861"/>
    </row>
    <row r="5862" spans="1:5" x14ac:dyDescent="0.2">
      <c r="A5862"/>
      <c r="B5862"/>
      <c r="C5862"/>
      <c r="D5862"/>
      <c r="E5862"/>
    </row>
    <row r="5863" spans="1:5" x14ac:dyDescent="0.2">
      <c r="A5863"/>
      <c r="B5863"/>
      <c r="C5863"/>
      <c r="D5863"/>
      <c r="E5863"/>
    </row>
    <row r="5864" spans="1:5" x14ac:dyDescent="0.2">
      <c r="A5864"/>
      <c r="B5864"/>
      <c r="C5864"/>
      <c r="D5864"/>
      <c r="E5864"/>
    </row>
    <row r="5865" spans="1:5" x14ac:dyDescent="0.2">
      <c r="A5865"/>
      <c r="B5865"/>
      <c r="C5865"/>
      <c r="D5865"/>
      <c r="E5865"/>
    </row>
    <row r="5866" spans="1:5" x14ac:dyDescent="0.2">
      <c r="A5866"/>
      <c r="B5866"/>
      <c r="C5866"/>
      <c r="D5866"/>
      <c r="E5866"/>
    </row>
    <row r="5867" spans="1:5" x14ac:dyDescent="0.2">
      <c r="A5867"/>
      <c r="B5867"/>
      <c r="C5867"/>
      <c r="D5867"/>
      <c r="E5867"/>
    </row>
    <row r="5868" spans="1:5" x14ac:dyDescent="0.2">
      <c r="A5868"/>
      <c r="B5868"/>
      <c r="C5868"/>
      <c r="D5868"/>
      <c r="E5868"/>
    </row>
    <row r="5869" spans="1:5" x14ac:dyDescent="0.2">
      <c r="A5869"/>
      <c r="B5869"/>
      <c r="C5869"/>
      <c r="D5869"/>
      <c r="E5869"/>
    </row>
    <row r="5870" spans="1:5" x14ac:dyDescent="0.2">
      <c r="A5870"/>
      <c r="B5870"/>
      <c r="C5870"/>
      <c r="D5870"/>
      <c r="E5870"/>
    </row>
    <row r="5871" spans="1:5" x14ac:dyDescent="0.2">
      <c r="A5871"/>
      <c r="B5871"/>
      <c r="C5871"/>
      <c r="D5871"/>
      <c r="E5871"/>
    </row>
    <row r="5872" spans="1:5" x14ac:dyDescent="0.2">
      <c r="A5872"/>
      <c r="B5872"/>
      <c r="C5872"/>
      <c r="D5872"/>
      <c r="E5872"/>
    </row>
    <row r="5873" spans="1:5" x14ac:dyDescent="0.2">
      <c r="A5873"/>
      <c r="B5873"/>
      <c r="C5873"/>
      <c r="D5873"/>
      <c r="E5873"/>
    </row>
    <row r="5874" spans="1:5" x14ac:dyDescent="0.2">
      <c r="A5874"/>
      <c r="B5874"/>
      <c r="C5874"/>
      <c r="D5874"/>
      <c r="E5874"/>
    </row>
    <row r="5875" spans="1:5" x14ac:dyDescent="0.2">
      <c r="A5875"/>
      <c r="B5875"/>
      <c r="C5875"/>
      <c r="D5875"/>
      <c r="E5875"/>
    </row>
    <row r="5876" spans="1:5" x14ac:dyDescent="0.2">
      <c r="A5876"/>
      <c r="B5876"/>
      <c r="C5876"/>
      <c r="D5876"/>
      <c r="E5876"/>
    </row>
    <row r="5877" spans="1:5" x14ac:dyDescent="0.2">
      <c r="A5877"/>
      <c r="B5877"/>
      <c r="C5877"/>
      <c r="D5877"/>
      <c r="E5877"/>
    </row>
    <row r="5878" spans="1:5" x14ac:dyDescent="0.2">
      <c r="A5878"/>
      <c r="B5878"/>
      <c r="C5878"/>
      <c r="D5878"/>
      <c r="E5878"/>
    </row>
    <row r="5879" spans="1:5" x14ac:dyDescent="0.2">
      <c r="A5879"/>
      <c r="B5879"/>
      <c r="C5879"/>
      <c r="D5879"/>
      <c r="E5879"/>
    </row>
    <row r="5880" spans="1:5" x14ac:dyDescent="0.2">
      <c r="A5880"/>
      <c r="B5880"/>
      <c r="C5880"/>
      <c r="D5880"/>
      <c r="E5880"/>
    </row>
    <row r="5881" spans="1:5" x14ac:dyDescent="0.2">
      <c r="A5881"/>
      <c r="B5881"/>
      <c r="C5881"/>
      <c r="D5881"/>
      <c r="E5881"/>
    </row>
    <row r="5882" spans="1:5" x14ac:dyDescent="0.2">
      <c r="A5882"/>
      <c r="B5882"/>
      <c r="C5882"/>
      <c r="D5882"/>
      <c r="E5882"/>
    </row>
    <row r="5883" spans="1:5" x14ac:dyDescent="0.2">
      <c r="A5883"/>
      <c r="B5883"/>
      <c r="C5883"/>
      <c r="D5883"/>
      <c r="E5883"/>
    </row>
    <row r="5884" spans="1:5" x14ac:dyDescent="0.2">
      <c r="A5884"/>
      <c r="B5884"/>
      <c r="C5884"/>
      <c r="D5884"/>
      <c r="E5884"/>
    </row>
    <row r="5885" spans="1:5" x14ac:dyDescent="0.2">
      <c r="A5885"/>
      <c r="B5885"/>
      <c r="C5885"/>
      <c r="D5885"/>
      <c r="E5885"/>
    </row>
    <row r="5886" spans="1:5" x14ac:dyDescent="0.2">
      <c r="A5886"/>
      <c r="B5886"/>
      <c r="C5886"/>
      <c r="D5886"/>
      <c r="E5886"/>
    </row>
    <row r="5887" spans="1:5" x14ac:dyDescent="0.2">
      <c r="A5887"/>
      <c r="B5887"/>
      <c r="C5887"/>
      <c r="D5887"/>
      <c r="E5887"/>
    </row>
    <row r="5888" spans="1:5" x14ac:dyDescent="0.2">
      <c r="A5888"/>
      <c r="B5888"/>
      <c r="C5888"/>
      <c r="D5888"/>
      <c r="E5888"/>
    </row>
    <row r="5889" spans="1:5" x14ac:dyDescent="0.2">
      <c r="A5889"/>
      <c r="B5889"/>
      <c r="C5889"/>
      <c r="D5889"/>
      <c r="E5889"/>
    </row>
    <row r="5890" spans="1:5" x14ac:dyDescent="0.2">
      <c r="A5890"/>
      <c r="B5890"/>
      <c r="C5890"/>
      <c r="D5890"/>
      <c r="E5890"/>
    </row>
    <row r="5891" spans="1:5" x14ac:dyDescent="0.2">
      <c r="A5891"/>
      <c r="B5891"/>
      <c r="C5891"/>
      <c r="D5891"/>
      <c r="E5891"/>
    </row>
    <row r="5892" spans="1:5" x14ac:dyDescent="0.2">
      <c r="A5892"/>
      <c r="B5892"/>
      <c r="C5892"/>
      <c r="D5892"/>
      <c r="E5892"/>
    </row>
    <row r="5893" spans="1:5" x14ac:dyDescent="0.2">
      <c r="A5893"/>
      <c r="B5893"/>
      <c r="C5893"/>
      <c r="D5893"/>
      <c r="E5893"/>
    </row>
    <row r="5894" spans="1:5" x14ac:dyDescent="0.2">
      <c r="A5894"/>
      <c r="B5894"/>
      <c r="C5894"/>
      <c r="D5894"/>
      <c r="E5894"/>
    </row>
    <row r="5895" spans="1:5" x14ac:dyDescent="0.2">
      <c r="A5895"/>
      <c r="B5895"/>
      <c r="C5895"/>
      <c r="D5895"/>
      <c r="E5895"/>
    </row>
    <row r="5896" spans="1:5" x14ac:dyDescent="0.2">
      <c r="A5896"/>
      <c r="B5896"/>
      <c r="C5896"/>
      <c r="D5896"/>
      <c r="E5896"/>
    </row>
    <row r="5897" spans="1:5" x14ac:dyDescent="0.2">
      <c r="A5897"/>
      <c r="B5897"/>
      <c r="C5897"/>
      <c r="D5897"/>
      <c r="E5897"/>
    </row>
    <row r="5898" spans="1:5" x14ac:dyDescent="0.2">
      <c r="A5898"/>
      <c r="B5898"/>
      <c r="C5898"/>
      <c r="D5898"/>
      <c r="E5898"/>
    </row>
    <row r="5899" spans="1:5" x14ac:dyDescent="0.2">
      <c r="A5899"/>
      <c r="B5899"/>
      <c r="C5899"/>
      <c r="D5899"/>
      <c r="E5899"/>
    </row>
    <row r="5900" spans="1:5" x14ac:dyDescent="0.2">
      <c r="A5900"/>
      <c r="B5900"/>
      <c r="C5900"/>
      <c r="D5900"/>
      <c r="E5900"/>
    </row>
    <row r="5901" spans="1:5" x14ac:dyDescent="0.2">
      <c r="A5901"/>
      <c r="B5901"/>
      <c r="C5901"/>
      <c r="D5901"/>
      <c r="E5901"/>
    </row>
    <row r="5902" spans="1:5" x14ac:dyDescent="0.2">
      <c r="A5902"/>
      <c r="B5902"/>
      <c r="C5902"/>
      <c r="D5902"/>
      <c r="E5902"/>
    </row>
    <row r="5903" spans="1:5" x14ac:dyDescent="0.2">
      <c r="A5903"/>
      <c r="B5903"/>
      <c r="C5903"/>
      <c r="D5903"/>
      <c r="E5903"/>
    </row>
    <row r="5904" spans="1:5" x14ac:dyDescent="0.2">
      <c r="A5904"/>
      <c r="B5904"/>
      <c r="C5904"/>
      <c r="D5904"/>
      <c r="E5904"/>
    </row>
    <row r="5905" spans="1:5" x14ac:dyDescent="0.2">
      <c r="A5905"/>
      <c r="B5905"/>
      <c r="C5905"/>
      <c r="D5905"/>
      <c r="E5905"/>
    </row>
    <row r="5906" spans="1:5" x14ac:dyDescent="0.2">
      <c r="A5906"/>
      <c r="B5906"/>
      <c r="C5906"/>
      <c r="D5906"/>
      <c r="E5906"/>
    </row>
    <row r="5907" spans="1:5" x14ac:dyDescent="0.2">
      <c r="A5907"/>
      <c r="B5907"/>
      <c r="C5907"/>
      <c r="D5907"/>
      <c r="E5907"/>
    </row>
    <row r="5908" spans="1:5" x14ac:dyDescent="0.2">
      <c r="A5908"/>
      <c r="B5908"/>
      <c r="C5908"/>
      <c r="D5908"/>
      <c r="E5908"/>
    </row>
    <row r="5909" spans="1:5" x14ac:dyDescent="0.2">
      <c r="A5909"/>
      <c r="B5909"/>
      <c r="C5909"/>
      <c r="D5909"/>
      <c r="E5909"/>
    </row>
    <row r="5910" spans="1:5" x14ac:dyDescent="0.2">
      <c r="A5910"/>
      <c r="B5910"/>
      <c r="C5910"/>
      <c r="D5910"/>
      <c r="E5910"/>
    </row>
    <row r="5911" spans="1:5" x14ac:dyDescent="0.2">
      <c r="A5911"/>
      <c r="B5911"/>
      <c r="C5911"/>
      <c r="D5911"/>
      <c r="E5911"/>
    </row>
    <row r="5912" spans="1:5" x14ac:dyDescent="0.2">
      <c r="A5912"/>
      <c r="B5912"/>
      <c r="C5912"/>
      <c r="D5912"/>
      <c r="E5912"/>
    </row>
    <row r="5913" spans="1:5" x14ac:dyDescent="0.2">
      <c r="A5913"/>
      <c r="B5913"/>
      <c r="C5913"/>
      <c r="D5913"/>
      <c r="E5913"/>
    </row>
    <row r="5914" spans="1:5" x14ac:dyDescent="0.2">
      <c r="A5914"/>
      <c r="B5914"/>
      <c r="C5914"/>
      <c r="D5914"/>
      <c r="E5914"/>
    </row>
    <row r="5915" spans="1:5" x14ac:dyDescent="0.2">
      <c r="A5915"/>
      <c r="B5915"/>
      <c r="C5915"/>
      <c r="D5915"/>
      <c r="E5915"/>
    </row>
    <row r="5916" spans="1:5" x14ac:dyDescent="0.2">
      <c r="A5916"/>
      <c r="B5916"/>
      <c r="C5916"/>
      <c r="D5916"/>
      <c r="E5916"/>
    </row>
    <row r="5917" spans="1:5" x14ac:dyDescent="0.2">
      <c r="A5917"/>
      <c r="B5917"/>
      <c r="C5917"/>
      <c r="D5917"/>
      <c r="E5917"/>
    </row>
    <row r="5918" spans="1:5" x14ac:dyDescent="0.2">
      <c r="A5918"/>
      <c r="B5918"/>
      <c r="C5918"/>
      <c r="D5918"/>
      <c r="E5918"/>
    </row>
    <row r="5919" spans="1:5" x14ac:dyDescent="0.2">
      <c r="A5919"/>
      <c r="B5919"/>
      <c r="C5919"/>
      <c r="D5919"/>
      <c r="E5919"/>
    </row>
    <row r="5920" spans="1:5" x14ac:dyDescent="0.2">
      <c r="A5920"/>
      <c r="B5920"/>
      <c r="C5920"/>
      <c r="D5920"/>
      <c r="E5920"/>
    </row>
    <row r="5921" spans="1:5" x14ac:dyDescent="0.2">
      <c r="A5921"/>
      <c r="B5921"/>
      <c r="C5921"/>
      <c r="D5921"/>
      <c r="E5921"/>
    </row>
    <row r="5922" spans="1:5" x14ac:dyDescent="0.2">
      <c r="A5922"/>
      <c r="B5922"/>
      <c r="C5922"/>
      <c r="D5922"/>
      <c r="E5922"/>
    </row>
    <row r="5923" spans="1:5" x14ac:dyDescent="0.2">
      <c r="A5923"/>
      <c r="B5923"/>
      <c r="C5923"/>
      <c r="D5923"/>
      <c r="E5923"/>
    </row>
    <row r="5924" spans="1:5" x14ac:dyDescent="0.2">
      <c r="A5924"/>
      <c r="B5924"/>
      <c r="C5924"/>
      <c r="D5924"/>
      <c r="E5924"/>
    </row>
    <row r="5925" spans="1:5" x14ac:dyDescent="0.2">
      <c r="A5925"/>
      <c r="B5925"/>
      <c r="C5925"/>
      <c r="D5925"/>
      <c r="E5925"/>
    </row>
    <row r="5926" spans="1:5" x14ac:dyDescent="0.2">
      <c r="A5926"/>
      <c r="B5926"/>
      <c r="C5926"/>
      <c r="D5926"/>
      <c r="E5926"/>
    </row>
    <row r="5927" spans="1:5" x14ac:dyDescent="0.2">
      <c r="A5927"/>
      <c r="B5927"/>
      <c r="C5927"/>
      <c r="D5927"/>
      <c r="E5927"/>
    </row>
    <row r="5928" spans="1:5" x14ac:dyDescent="0.2">
      <c r="A5928"/>
      <c r="B5928"/>
      <c r="C5928"/>
      <c r="D5928"/>
      <c r="E5928"/>
    </row>
    <row r="5929" spans="1:5" x14ac:dyDescent="0.2">
      <c r="A5929"/>
      <c r="B5929"/>
      <c r="C5929"/>
      <c r="D5929"/>
      <c r="E5929"/>
    </row>
    <row r="5930" spans="1:5" x14ac:dyDescent="0.2">
      <c r="A5930"/>
      <c r="B5930"/>
      <c r="C5930"/>
      <c r="D5930"/>
      <c r="E5930"/>
    </row>
    <row r="5931" spans="1:5" x14ac:dyDescent="0.2">
      <c r="A5931"/>
      <c r="B5931"/>
      <c r="C5931"/>
      <c r="D5931"/>
      <c r="E5931"/>
    </row>
    <row r="5932" spans="1:5" x14ac:dyDescent="0.2">
      <c r="A5932"/>
      <c r="B5932"/>
      <c r="C5932"/>
      <c r="D5932"/>
      <c r="E5932"/>
    </row>
    <row r="5933" spans="1:5" x14ac:dyDescent="0.2">
      <c r="A5933"/>
      <c r="B5933"/>
      <c r="C5933"/>
      <c r="D5933"/>
      <c r="E5933"/>
    </row>
    <row r="5934" spans="1:5" x14ac:dyDescent="0.2">
      <c r="A5934"/>
      <c r="B5934"/>
      <c r="C5934"/>
      <c r="D5934"/>
      <c r="E5934"/>
    </row>
    <row r="5935" spans="1:5" x14ac:dyDescent="0.2">
      <c r="A5935"/>
      <c r="B5935"/>
      <c r="C5935"/>
      <c r="D5935"/>
      <c r="E5935"/>
    </row>
    <row r="5936" spans="1:5" x14ac:dyDescent="0.2">
      <c r="A5936"/>
      <c r="B5936"/>
      <c r="C5936"/>
      <c r="D5936"/>
      <c r="E5936"/>
    </row>
    <row r="5937" spans="1:5" x14ac:dyDescent="0.2">
      <c r="A5937"/>
      <c r="B5937"/>
      <c r="C5937"/>
      <c r="D5937"/>
      <c r="E5937"/>
    </row>
    <row r="5938" spans="1:5" x14ac:dyDescent="0.2">
      <c r="A5938"/>
      <c r="B5938"/>
      <c r="C5938"/>
      <c r="D5938"/>
      <c r="E5938"/>
    </row>
    <row r="5939" spans="1:5" x14ac:dyDescent="0.2">
      <c r="A5939"/>
      <c r="B5939"/>
      <c r="C5939"/>
      <c r="D5939"/>
      <c r="E5939"/>
    </row>
    <row r="5940" spans="1:5" x14ac:dyDescent="0.2">
      <c r="A5940"/>
      <c r="B5940"/>
      <c r="C5940"/>
      <c r="D5940"/>
      <c r="E5940"/>
    </row>
    <row r="5941" spans="1:5" x14ac:dyDescent="0.2">
      <c r="A5941"/>
      <c r="B5941"/>
      <c r="C5941"/>
      <c r="D5941"/>
      <c r="E5941"/>
    </row>
    <row r="5942" spans="1:5" x14ac:dyDescent="0.2">
      <c r="A5942"/>
      <c r="B5942"/>
      <c r="C5942"/>
      <c r="D5942"/>
      <c r="E5942"/>
    </row>
    <row r="5943" spans="1:5" x14ac:dyDescent="0.2">
      <c r="A5943"/>
      <c r="B5943"/>
      <c r="C5943"/>
      <c r="D5943"/>
      <c r="E5943"/>
    </row>
    <row r="5944" spans="1:5" x14ac:dyDescent="0.2">
      <c r="A5944"/>
      <c r="B5944"/>
      <c r="C5944"/>
      <c r="D5944"/>
      <c r="E5944"/>
    </row>
    <row r="5945" spans="1:5" x14ac:dyDescent="0.2">
      <c r="A5945"/>
      <c r="B5945"/>
      <c r="C5945"/>
      <c r="D5945"/>
      <c r="E5945"/>
    </row>
    <row r="5946" spans="1:5" x14ac:dyDescent="0.2">
      <c r="A5946"/>
      <c r="B5946"/>
      <c r="C5946"/>
      <c r="D5946"/>
      <c r="E5946"/>
    </row>
    <row r="5947" spans="1:5" x14ac:dyDescent="0.2">
      <c r="A5947"/>
      <c r="B5947"/>
      <c r="C5947"/>
      <c r="D5947"/>
      <c r="E5947"/>
    </row>
    <row r="5948" spans="1:5" x14ac:dyDescent="0.2">
      <c r="A5948"/>
      <c r="B5948"/>
      <c r="C5948"/>
      <c r="D5948"/>
      <c r="E5948"/>
    </row>
    <row r="5949" spans="1:5" x14ac:dyDescent="0.2">
      <c r="A5949"/>
      <c r="B5949"/>
      <c r="C5949"/>
      <c r="D5949"/>
      <c r="E5949"/>
    </row>
    <row r="5950" spans="1:5" x14ac:dyDescent="0.2">
      <c r="A5950"/>
      <c r="B5950"/>
      <c r="C5950"/>
      <c r="D5950"/>
      <c r="E5950"/>
    </row>
    <row r="5951" spans="1:5" x14ac:dyDescent="0.2">
      <c r="A5951"/>
      <c r="B5951"/>
      <c r="C5951"/>
      <c r="D5951"/>
      <c r="E5951"/>
    </row>
    <row r="5952" spans="1:5" x14ac:dyDescent="0.2">
      <c r="A5952"/>
      <c r="B5952"/>
      <c r="C5952"/>
      <c r="D5952"/>
      <c r="E5952"/>
    </row>
    <row r="5953" spans="1:5" x14ac:dyDescent="0.2">
      <c r="A5953"/>
      <c r="B5953"/>
      <c r="C5953"/>
      <c r="D5953"/>
      <c r="E5953"/>
    </row>
    <row r="5954" spans="1:5" x14ac:dyDescent="0.2">
      <c r="A5954"/>
      <c r="B5954"/>
      <c r="C5954"/>
      <c r="D5954"/>
      <c r="E5954"/>
    </row>
    <row r="5955" spans="1:5" x14ac:dyDescent="0.2">
      <c r="A5955"/>
      <c r="B5955"/>
      <c r="C5955"/>
      <c r="D5955"/>
      <c r="E5955"/>
    </row>
    <row r="5956" spans="1:5" x14ac:dyDescent="0.2">
      <c r="A5956"/>
      <c r="B5956"/>
      <c r="C5956"/>
      <c r="D5956"/>
      <c r="E5956"/>
    </row>
    <row r="5957" spans="1:5" x14ac:dyDescent="0.2">
      <c r="A5957"/>
      <c r="B5957"/>
      <c r="C5957"/>
      <c r="D5957"/>
      <c r="E5957"/>
    </row>
    <row r="5958" spans="1:5" x14ac:dyDescent="0.2">
      <c r="A5958"/>
      <c r="B5958"/>
      <c r="C5958"/>
      <c r="D5958"/>
      <c r="E5958"/>
    </row>
    <row r="5959" spans="1:5" x14ac:dyDescent="0.2">
      <c r="A5959"/>
      <c r="B5959"/>
      <c r="C5959"/>
      <c r="D5959"/>
      <c r="E5959"/>
    </row>
    <row r="5960" spans="1:5" x14ac:dyDescent="0.2">
      <c r="A5960"/>
      <c r="B5960"/>
      <c r="C5960"/>
      <c r="D5960"/>
      <c r="E5960"/>
    </row>
    <row r="5961" spans="1:5" x14ac:dyDescent="0.2">
      <c r="A5961"/>
      <c r="B5961"/>
      <c r="C5961"/>
      <c r="D5961"/>
      <c r="E5961"/>
    </row>
    <row r="5962" spans="1:5" x14ac:dyDescent="0.2">
      <c r="A5962"/>
      <c r="B5962"/>
      <c r="C5962"/>
      <c r="D5962"/>
      <c r="E5962"/>
    </row>
    <row r="5963" spans="1:5" x14ac:dyDescent="0.2">
      <c r="A5963"/>
      <c r="B5963"/>
      <c r="C5963"/>
      <c r="D5963"/>
      <c r="E5963"/>
    </row>
    <row r="5964" spans="1:5" x14ac:dyDescent="0.2">
      <c r="A5964"/>
      <c r="B5964"/>
      <c r="C5964"/>
      <c r="D5964"/>
      <c r="E5964"/>
    </row>
    <row r="5965" spans="1:5" x14ac:dyDescent="0.2">
      <c r="A5965"/>
      <c r="B5965"/>
      <c r="C5965"/>
      <c r="D5965"/>
      <c r="E5965"/>
    </row>
    <row r="5966" spans="1:5" x14ac:dyDescent="0.2">
      <c r="A5966"/>
      <c r="B5966"/>
      <c r="C5966"/>
      <c r="D5966"/>
      <c r="E5966"/>
    </row>
    <row r="5967" spans="1:5" x14ac:dyDescent="0.2">
      <c r="A5967"/>
      <c r="B5967"/>
      <c r="C5967"/>
      <c r="D5967"/>
      <c r="E5967"/>
    </row>
    <row r="5968" spans="1:5" x14ac:dyDescent="0.2">
      <c r="A5968"/>
      <c r="B5968"/>
      <c r="C5968"/>
      <c r="D5968"/>
      <c r="E5968"/>
    </row>
    <row r="5969" spans="1:5" x14ac:dyDescent="0.2">
      <c r="A5969"/>
      <c r="B5969"/>
      <c r="C5969"/>
      <c r="D5969"/>
      <c r="E5969"/>
    </row>
    <row r="5970" spans="1:5" x14ac:dyDescent="0.2">
      <c r="A5970"/>
      <c r="B5970"/>
      <c r="C5970"/>
      <c r="D5970"/>
      <c r="E5970"/>
    </row>
    <row r="5971" spans="1:5" x14ac:dyDescent="0.2">
      <c r="A5971"/>
      <c r="B5971"/>
      <c r="C5971"/>
      <c r="D5971"/>
      <c r="E5971"/>
    </row>
    <row r="5972" spans="1:5" x14ac:dyDescent="0.2">
      <c r="A5972"/>
      <c r="B5972"/>
      <c r="C5972"/>
      <c r="D5972"/>
      <c r="E5972"/>
    </row>
    <row r="5973" spans="1:5" x14ac:dyDescent="0.2">
      <c r="A5973"/>
      <c r="B5973"/>
      <c r="C5973"/>
      <c r="D5973"/>
      <c r="E5973"/>
    </row>
    <row r="5974" spans="1:5" x14ac:dyDescent="0.2">
      <c r="A5974"/>
      <c r="B5974"/>
      <c r="C5974"/>
      <c r="D5974"/>
      <c r="E5974"/>
    </row>
    <row r="5975" spans="1:5" x14ac:dyDescent="0.2">
      <c r="A5975"/>
      <c r="B5975"/>
      <c r="C5975"/>
      <c r="D5975"/>
      <c r="E5975"/>
    </row>
    <row r="5976" spans="1:5" x14ac:dyDescent="0.2">
      <c r="A5976"/>
      <c r="B5976"/>
      <c r="C5976"/>
      <c r="D5976"/>
      <c r="E5976"/>
    </row>
    <row r="5977" spans="1:5" x14ac:dyDescent="0.2">
      <c r="A5977"/>
      <c r="B5977"/>
      <c r="C5977"/>
      <c r="D5977"/>
      <c r="E5977"/>
    </row>
    <row r="5978" spans="1:5" x14ac:dyDescent="0.2">
      <c r="A5978"/>
      <c r="B5978"/>
      <c r="C5978"/>
      <c r="D5978"/>
      <c r="E5978"/>
    </row>
    <row r="5979" spans="1:5" x14ac:dyDescent="0.2">
      <c r="A5979"/>
      <c r="B5979"/>
      <c r="C5979"/>
      <c r="D5979"/>
      <c r="E5979"/>
    </row>
    <row r="5980" spans="1:5" x14ac:dyDescent="0.2">
      <c r="A5980"/>
      <c r="B5980"/>
      <c r="C5980"/>
      <c r="D5980"/>
      <c r="E5980"/>
    </row>
    <row r="5981" spans="1:5" x14ac:dyDescent="0.2">
      <c r="A5981"/>
      <c r="B5981"/>
      <c r="C5981"/>
      <c r="D5981"/>
      <c r="E5981"/>
    </row>
    <row r="5982" spans="1:5" x14ac:dyDescent="0.2">
      <c r="A5982"/>
      <c r="B5982"/>
      <c r="C5982"/>
      <c r="D5982"/>
      <c r="E5982"/>
    </row>
    <row r="5983" spans="1:5" x14ac:dyDescent="0.2">
      <c r="A5983"/>
      <c r="B5983"/>
      <c r="C5983"/>
      <c r="D5983"/>
      <c r="E5983"/>
    </row>
    <row r="5984" spans="1:5" x14ac:dyDescent="0.2">
      <c r="A5984"/>
      <c r="B5984"/>
      <c r="C5984"/>
      <c r="D5984"/>
      <c r="E5984"/>
    </row>
    <row r="5985" spans="1:5" x14ac:dyDescent="0.2">
      <c r="A5985"/>
      <c r="B5985"/>
      <c r="C5985"/>
      <c r="D5985"/>
      <c r="E5985"/>
    </row>
    <row r="5986" spans="1:5" x14ac:dyDescent="0.2">
      <c r="A5986"/>
      <c r="B5986"/>
      <c r="C5986"/>
      <c r="D5986"/>
      <c r="E5986"/>
    </row>
    <row r="5987" spans="1:5" x14ac:dyDescent="0.2">
      <c r="A5987"/>
      <c r="B5987"/>
      <c r="C5987"/>
      <c r="D5987"/>
      <c r="E5987"/>
    </row>
    <row r="5988" spans="1:5" x14ac:dyDescent="0.2">
      <c r="A5988"/>
      <c r="B5988"/>
      <c r="C5988"/>
      <c r="D5988"/>
      <c r="E5988"/>
    </row>
    <row r="5989" spans="1:5" x14ac:dyDescent="0.2">
      <c r="A5989"/>
      <c r="B5989"/>
      <c r="C5989"/>
      <c r="D5989"/>
      <c r="E5989"/>
    </row>
    <row r="5990" spans="1:5" x14ac:dyDescent="0.2">
      <c r="A5990"/>
      <c r="B5990"/>
      <c r="C5990"/>
      <c r="D5990"/>
      <c r="E5990"/>
    </row>
    <row r="5991" spans="1:5" x14ac:dyDescent="0.2">
      <c r="A5991"/>
      <c r="B5991"/>
      <c r="C5991"/>
      <c r="D5991"/>
      <c r="E5991"/>
    </row>
    <row r="5992" spans="1:5" x14ac:dyDescent="0.2">
      <c r="A5992"/>
      <c r="B5992"/>
      <c r="C5992"/>
      <c r="D5992"/>
      <c r="E5992"/>
    </row>
    <row r="5993" spans="1:5" x14ac:dyDescent="0.2">
      <c r="A5993"/>
      <c r="B5993"/>
      <c r="C5993"/>
      <c r="D5993"/>
      <c r="E5993"/>
    </row>
    <row r="5994" spans="1:5" x14ac:dyDescent="0.2">
      <c r="A5994"/>
      <c r="B5994"/>
      <c r="C5994"/>
      <c r="D5994"/>
      <c r="E5994"/>
    </row>
    <row r="5995" spans="1:5" x14ac:dyDescent="0.2">
      <c r="A5995"/>
      <c r="B5995"/>
      <c r="C5995"/>
      <c r="D5995"/>
      <c r="E5995"/>
    </row>
    <row r="5996" spans="1:5" x14ac:dyDescent="0.2">
      <c r="A5996"/>
      <c r="B5996"/>
      <c r="C5996"/>
      <c r="D5996"/>
      <c r="E5996"/>
    </row>
    <row r="5997" spans="1:5" x14ac:dyDescent="0.2">
      <c r="A5997"/>
      <c r="B5997"/>
      <c r="C5997"/>
      <c r="D5997"/>
      <c r="E5997"/>
    </row>
    <row r="5998" spans="1:5" x14ac:dyDescent="0.2">
      <c r="A5998"/>
      <c r="B5998"/>
      <c r="C5998"/>
      <c r="D5998"/>
      <c r="E5998"/>
    </row>
    <row r="5999" spans="1:5" x14ac:dyDescent="0.2">
      <c r="A5999"/>
      <c r="B5999"/>
      <c r="C5999"/>
      <c r="D5999"/>
      <c r="E5999"/>
    </row>
    <row r="6000" spans="1:5" x14ac:dyDescent="0.2">
      <c r="A6000"/>
      <c r="B6000"/>
      <c r="C6000"/>
      <c r="D6000"/>
      <c r="E6000"/>
    </row>
    <row r="6001" spans="1:5" x14ac:dyDescent="0.2">
      <c r="A6001"/>
      <c r="B6001"/>
      <c r="C6001"/>
      <c r="D6001"/>
      <c r="E6001"/>
    </row>
    <row r="6002" spans="1:5" x14ac:dyDescent="0.2">
      <c r="A6002"/>
      <c r="B6002"/>
      <c r="C6002"/>
      <c r="D6002"/>
      <c r="E6002"/>
    </row>
    <row r="6003" spans="1:5" x14ac:dyDescent="0.2">
      <c r="A6003"/>
      <c r="B6003"/>
      <c r="C6003"/>
      <c r="D6003"/>
      <c r="E6003"/>
    </row>
    <row r="6004" spans="1:5" x14ac:dyDescent="0.2">
      <c r="A6004"/>
      <c r="B6004"/>
      <c r="C6004"/>
      <c r="D6004"/>
      <c r="E6004"/>
    </row>
    <row r="6005" spans="1:5" x14ac:dyDescent="0.2">
      <c r="A6005"/>
      <c r="B6005"/>
      <c r="C6005"/>
      <c r="D6005"/>
      <c r="E6005"/>
    </row>
    <row r="6006" spans="1:5" x14ac:dyDescent="0.2">
      <c r="A6006"/>
      <c r="B6006"/>
      <c r="C6006"/>
      <c r="D6006"/>
      <c r="E6006"/>
    </row>
    <row r="6007" spans="1:5" x14ac:dyDescent="0.2">
      <c r="A6007"/>
      <c r="B6007"/>
      <c r="C6007"/>
      <c r="D6007"/>
      <c r="E6007"/>
    </row>
    <row r="6008" spans="1:5" x14ac:dyDescent="0.2">
      <c r="A6008"/>
      <c r="B6008"/>
      <c r="C6008"/>
      <c r="D6008"/>
      <c r="E6008"/>
    </row>
    <row r="6009" spans="1:5" x14ac:dyDescent="0.2">
      <c r="A6009"/>
      <c r="B6009"/>
      <c r="C6009"/>
      <c r="D6009"/>
      <c r="E6009"/>
    </row>
    <row r="6010" spans="1:5" x14ac:dyDescent="0.2">
      <c r="A6010"/>
      <c r="B6010"/>
      <c r="C6010"/>
      <c r="D6010"/>
      <c r="E6010"/>
    </row>
    <row r="6011" spans="1:5" x14ac:dyDescent="0.2">
      <c r="A6011"/>
      <c r="B6011"/>
      <c r="C6011"/>
      <c r="D6011"/>
      <c r="E6011"/>
    </row>
    <row r="6012" spans="1:5" x14ac:dyDescent="0.2">
      <c r="A6012"/>
      <c r="B6012"/>
      <c r="C6012"/>
      <c r="D6012"/>
      <c r="E6012"/>
    </row>
    <row r="6013" spans="1:5" x14ac:dyDescent="0.2">
      <c r="A6013"/>
      <c r="B6013"/>
      <c r="C6013"/>
      <c r="D6013"/>
      <c r="E6013"/>
    </row>
    <row r="6014" spans="1:5" x14ac:dyDescent="0.2">
      <c r="A6014"/>
      <c r="B6014"/>
      <c r="C6014"/>
      <c r="D6014"/>
      <c r="E6014"/>
    </row>
    <row r="6015" spans="1:5" x14ac:dyDescent="0.2">
      <c r="A6015"/>
      <c r="B6015"/>
      <c r="C6015"/>
      <c r="D6015"/>
      <c r="E6015"/>
    </row>
    <row r="6016" spans="1:5" x14ac:dyDescent="0.2">
      <c r="A6016"/>
      <c r="B6016"/>
      <c r="C6016"/>
      <c r="D6016"/>
      <c r="E6016"/>
    </row>
    <row r="6017" spans="1:5" x14ac:dyDescent="0.2">
      <c r="A6017"/>
      <c r="B6017"/>
      <c r="C6017"/>
      <c r="D6017"/>
      <c r="E6017"/>
    </row>
    <row r="6018" spans="1:5" x14ac:dyDescent="0.2">
      <c r="A6018"/>
      <c r="B6018"/>
      <c r="C6018"/>
      <c r="D6018"/>
      <c r="E6018"/>
    </row>
    <row r="6019" spans="1:5" x14ac:dyDescent="0.2">
      <c r="A6019"/>
      <c r="B6019"/>
      <c r="C6019"/>
      <c r="D6019"/>
      <c r="E6019"/>
    </row>
    <row r="6020" spans="1:5" x14ac:dyDescent="0.2">
      <c r="A6020"/>
      <c r="B6020"/>
      <c r="C6020"/>
      <c r="D6020"/>
      <c r="E6020"/>
    </row>
    <row r="6021" spans="1:5" x14ac:dyDescent="0.2">
      <c r="A6021"/>
      <c r="B6021"/>
      <c r="C6021"/>
      <c r="D6021"/>
      <c r="E6021"/>
    </row>
    <row r="6022" spans="1:5" x14ac:dyDescent="0.2">
      <c r="A6022"/>
      <c r="B6022"/>
      <c r="C6022"/>
      <c r="D6022"/>
      <c r="E6022"/>
    </row>
    <row r="6023" spans="1:5" x14ac:dyDescent="0.2">
      <c r="A6023"/>
      <c r="B6023"/>
      <c r="C6023"/>
      <c r="D6023"/>
      <c r="E6023"/>
    </row>
    <row r="6024" spans="1:5" x14ac:dyDescent="0.2">
      <c r="A6024"/>
      <c r="B6024"/>
      <c r="C6024"/>
      <c r="D6024"/>
      <c r="E6024"/>
    </row>
    <row r="6025" spans="1:5" x14ac:dyDescent="0.2">
      <c r="A6025"/>
      <c r="B6025"/>
      <c r="C6025"/>
      <c r="D6025"/>
      <c r="E6025"/>
    </row>
    <row r="6026" spans="1:5" x14ac:dyDescent="0.2">
      <c r="A6026"/>
      <c r="B6026"/>
      <c r="C6026"/>
      <c r="D6026"/>
      <c r="E6026"/>
    </row>
    <row r="6027" spans="1:5" x14ac:dyDescent="0.2">
      <c r="A6027"/>
      <c r="B6027"/>
      <c r="C6027"/>
      <c r="D6027"/>
      <c r="E6027"/>
    </row>
    <row r="6028" spans="1:5" x14ac:dyDescent="0.2">
      <c r="A6028"/>
      <c r="B6028"/>
      <c r="C6028"/>
      <c r="D6028"/>
      <c r="E6028"/>
    </row>
    <row r="6029" spans="1:5" x14ac:dyDescent="0.2">
      <c r="A6029"/>
      <c r="B6029"/>
      <c r="C6029"/>
      <c r="D6029"/>
      <c r="E6029"/>
    </row>
    <row r="6030" spans="1:5" x14ac:dyDescent="0.2">
      <c r="A6030"/>
      <c r="B6030"/>
      <c r="C6030"/>
      <c r="D6030"/>
      <c r="E6030"/>
    </row>
    <row r="6031" spans="1:5" x14ac:dyDescent="0.2">
      <c r="A6031"/>
      <c r="B6031"/>
      <c r="C6031"/>
      <c r="D6031"/>
      <c r="E6031"/>
    </row>
    <row r="6032" spans="1:5" x14ac:dyDescent="0.2">
      <c r="A6032"/>
      <c r="B6032"/>
      <c r="C6032"/>
      <c r="D6032"/>
      <c r="E6032"/>
    </row>
    <row r="6033" spans="1:5" x14ac:dyDescent="0.2">
      <c r="A6033"/>
      <c r="B6033"/>
      <c r="C6033"/>
      <c r="D6033"/>
      <c r="E6033"/>
    </row>
    <row r="6034" spans="1:5" x14ac:dyDescent="0.2">
      <c r="A6034"/>
      <c r="B6034"/>
      <c r="C6034"/>
      <c r="D6034"/>
      <c r="E6034"/>
    </row>
    <row r="6035" spans="1:5" x14ac:dyDescent="0.2">
      <c r="A6035"/>
      <c r="B6035"/>
      <c r="C6035"/>
      <c r="D6035"/>
      <c r="E6035"/>
    </row>
    <row r="6036" spans="1:5" x14ac:dyDescent="0.2">
      <c r="A6036"/>
      <c r="B6036"/>
      <c r="C6036"/>
      <c r="D6036"/>
      <c r="E6036"/>
    </row>
    <row r="6037" spans="1:5" x14ac:dyDescent="0.2">
      <c r="A6037"/>
      <c r="B6037"/>
      <c r="C6037"/>
      <c r="D6037"/>
      <c r="E6037"/>
    </row>
    <row r="6038" spans="1:5" x14ac:dyDescent="0.2">
      <c r="A6038"/>
      <c r="B6038"/>
      <c r="C6038"/>
      <c r="D6038"/>
      <c r="E6038"/>
    </row>
    <row r="6039" spans="1:5" x14ac:dyDescent="0.2">
      <c r="A6039"/>
      <c r="B6039"/>
      <c r="C6039"/>
      <c r="D6039"/>
      <c r="E6039"/>
    </row>
    <row r="6040" spans="1:5" x14ac:dyDescent="0.2">
      <c r="A6040"/>
      <c r="B6040"/>
      <c r="C6040"/>
      <c r="D6040"/>
      <c r="E6040"/>
    </row>
    <row r="6041" spans="1:5" x14ac:dyDescent="0.2">
      <c r="A6041"/>
      <c r="B6041"/>
      <c r="C6041"/>
      <c r="D6041"/>
      <c r="E6041"/>
    </row>
    <row r="6042" spans="1:5" x14ac:dyDescent="0.2">
      <c r="A6042"/>
      <c r="B6042"/>
      <c r="C6042"/>
      <c r="D6042"/>
      <c r="E6042"/>
    </row>
    <row r="6043" spans="1:5" x14ac:dyDescent="0.2">
      <c r="A6043"/>
      <c r="B6043"/>
      <c r="C6043"/>
      <c r="D6043"/>
      <c r="E6043"/>
    </row>
    <row r="6044" spans="1:5" x14ac:dyDescent="0.2">
      <c r="A6044"/>
      <c r="B6044"/>
      <c r="C6044"/>
      <c r="D6044"/>
      <c r="E6044"/>
    </row>
    <row r="6045" spans="1:5" x14ac:dyDescent="0.2">
      <c r="A6045"/>
      <c r="B6045"/>
      <c r="C6045"/>
      <c r="D6045"/>
      <c r="E6045"/>
    </row>
    <row r="6046" spans="1:5" x14ac:dyDescent="0.2">
      <c r="A6046"/>
      <c r="B6046"/>
      <c r="C6046"/>
      <c r="D6046"/>
      <c r="E6046"/>
    </row>
    <row r="6047" spans="1:5" x14ac:dyDescent="0.2">
      <c r="A6047"/>
      <c r="B6047"/>
      <c r="C6047"/>
      <c r="D6047"/>
      <c r="E6047"/>
    </row>
    <row r="6048" spans="1:5" x14ac:dyDescent="0.2">
      <c r="A6048"/>
      <c r="B6048"/>
      <c r="C6048"/>
      <c r="D6048"/>
      <c r="E6048"/>
    </row>
    <row r="6049" spans="1:5" x14ac:dyDescent="0.2">
      <c r="A6049"/>
      <c r="B6049"/>
      <c r="C6049"/>
      <c r="D6049"/>
      <c r="E6049"/>
    </row>
    <row r="6050" spans="1:5" x14ac:dyDescent="0.2">
      <c r="A6050"/>
      <c r="B6050"/>
      <c r="C6050"/>
      <c r="D6050"/>
      <c r="E6050"/>
    </row>
    <row r="6051" spans="1:5" x14ac:dyDescent="0.2">
      <c r="A6051"/>
      <c r="B6051"/>
      <c r="C6051"/>
      <c r="D6051"/>
      <c r="E6051"/>
    </row>
    <row r="6052" spans="1:5" x14ac:dyDescent="0.2">
      <c r="A6052"/>
      <c r="B6052"/>
      <c r="C6052"/>
      <c r="D6052"/>
      <c r="E6052"/>
    </row>
    <row r="6053" spans="1:5" x14ac:dyDescent="0.2">
      <c r="A6053"/>
      <c r="B6053"/>
      <c r="C6053"/>
      <c r="D6053"/>
      <c r="E6053"/>
    </row>
    <row r="6054" spans="1:5" x14ac:dyDescent="0.2">
      <c r="A6054"/>
      <c r="B6054"/>
      <c r="C6054"/>
      <c r="D6054"/>
      <c r="E6054"/>
    </row>
    <row r="6055" spans="1:5" x14ac:dyDescent="0.2">
      <c r="A6055"/>
      <c r="B6055"/>
      <c r="C6055"/>
      <c r="D6055"/>
      <c r="E6055"/>
    </row>
    <row r="6056" spans="1:5" x14ac:dyDescent="0.2">
      <c r="A6056"/>
      <c r="B6056"/>
      <c r="C6056"/>
      <c r="D6056"/>
      <c r="E6056"/>
    </row>
    <row r="6057" spans="1:5" x14ac:dyDescent="0.2">
      <c r="A6057"/>
      <c r="B6057"/>
      <c r="C6057"/>
      <c r="D6057"/>
      <c r="E6057"/>
    </row>
    <row r="6058" spans="1:5" x14ac:dyDescent="0.2">
      <c r="A6058"/>
      <c r="B6058"/>
      <c r="C6058"/>
      <c r="D6058"/>
      <c r="E6058"/>
    </row>
    <row r="6059" spans="1:5" x14ac:dyDescent="0.2">
      <c r="A6059"/>
      <c r="B6059"/>
      <c r="C6059"/>
      <c r="D6059"/>
      <c r="E6059"/>
    </row>
    <row r="6060" spans="1:5" x14ac:dyDescent="0.2">
      <c r="A6060"/>
      <c r="B6060"/>
      <c r="C6060"/>
      <c r="D6060"/>
      <c r="E6060"/>
    </row>
    <row r="6061" spans="1:5" x14ac:dyDescent="0.2">
      <c r="A6061"/>
      <c r="B6061"/>
      <c r="C6061"/>
      <c r="D6061"/>
      <c r="E6061"/>
    </row>
    <row r="6062" spans="1:5" x14ac:dyDescent="0.2">
      <c r="A6062"/>
      <c r="B6062"/>
      <c r="C6062"/>
      <c r="D6062"/>
      <c r="E6062"/>
    </row>
    <row r="6063" spans="1:5" x14ac:dyDescent="0.2">
      <c r="A6063"/>
      <c r="B6063"/>
      <c r="C6063"/>
      <c r="D6063"/>
      <c r="E6063"/>
    </row>
    <row r="6064" spans="1:5" x14ac:dyDescent="0.2">
      <c r="A6064"/>
      <c r="B6064"/>
      <c r="C6064"/>
      <c r="D6064"/>
      <c r="E6064"/>
    </row>
    <row r="6065" spans="1:5" x14ac:dyDescent="0.2">
      <c r="A6065"/>
      <c r="B6065"/>
      <c r="C6065"/>
      <c r="D6065"/>
      <c r="E6065"/>
    </row>
    <row r="6066" spans="1:5" x14ac:dyDescent="0.2">
      <c r="A6066"/>
      <c r="B6066"/>
      <c r="C6066"/>
      <c r="D6066"/>
      <c r="E6066"/>
    </row>
    <row r="6067" spans="1:5" x14ac:dyDescent="0.2">
      <c r="A6067"/>
      <c r="B6067"/>
      <c r="C6067"/>
      <c r="D6067"/>
      <c r="E6067"/>
    </row>
    <row r="6068" spans="1:5" x14ac:dyDescent="0.2">
      <c r="A6068"/>
      <c r="B6068"/>
      <c r="C6068"/>
      <c r="D6068"/>
      <c r="E6068"/>
    </row>
    <row r="6069" spans="1:5" x14ac:dyDescent="0.2">
      <c r="A6069"/>
      <c r="B6069"/>
      <c r="C6069"/>
      <c r="D6069"/>
      <c r="E6069"/>
    </row>
    <row r="6070" spans="1:5" x14ac:dyDescent="0.2">
      <c r="A6070"/>
      <c r="B6070"/>
      <c r="C6070"/>
      <c r="D6070"/>
      <c r="E6070"/>
    </row>
    <row r="6071" spans="1:5" x14ac:dyDescent="0.2">
      <c r="A6071"/>
      <c r="B6071"/>
      <c r="C6071"/>
      <c r="D6071"/>
      <c r="E6071"/>
    </row>
    <row r="6072" spans="1:5" x14ac:dyDescent="0.2">
      <c r="A6072"/>
      <c r="B6072"/>
      <c r="C6072"/>
      <c r="D6072"/>
      <c r="E6072"/>
    </row>
    <row r="6073" spans="1:5" x14ac:dyDescent="0.2">
      <c r="A6073"/>
      <c r="B6073"/>
      <c r="C6073"/>
      <c r="D6073"/>
      <c r="E6073"/>
    </row>
    <row r="6074" spans="1:5" x14ac:dyDescent="0.2">
      <c r="A6074"/>
      <c r="B6074"/>
      <c r="C6074"/>
      <c r="D6074"/>
      <c r="E6074"/>
    </row>
    <row r="6075" spans="1:5" x14ac:dyDescent="0.2">
      <c r="A6075"/>
      <c r="B6075"/>
      <c r="C6075"/>
      <c r="D6075"/>
      <c r="E6075"/>
    </row>
    <row r="6076" spans="1:5" x14ac:dyDescent="0.2">
      <c r="A6076"/>
      <c r="B6076"/>
      <c r="C6076"/>
      <c r="D6076"/>
      <c r="E6076"/>
    </row>
    <row r="6077" spans="1:5" x14ac:dyDescent="0.2">
      <c r="A6077"/>
      <c r="B6077"/>
      <c r="C6077"/>
      <c r="D6077"/>
      <c r="E6077"/>
    </row>
    <row r="6078" spans="1:5" x14ac:dyDescent="0.2">
      <c r="A6078"/>
      <c r="B6078"/>
      <c r="C6078"/>
      <c r="D6078"/>
      <c r="E6078"/>
    </row>
    <row r="6079" spans="1:5" x14ac:dyDescent="0.2">
      <c r="A6079"/>
      <c r="B6079"/>
      <c r="C6079"/>
      <c r="D6079"/>
      <c r="E6079"/>
    </row>
    <row r="6080" spans="1:5" x14ac:dyDescent="0.2">
      <c r="A6080"/>
      <c r="B6080"/>
      <c r="C6080"/>
      <c r="D6080"/>
      <c r="E6080"/>
    </row>
    <row r="6081" spans="1:5" x14ac:dyDescent="0.2">
      <c r="A6081"/>
      <c r="B6081"/>
      <c r="C6081"/>
      <c r="D6081"/>
      <c r="E6081"/>
    </row>
    <row r="6082" spans="1:5" x14ac:dyDescent="0.2">
      <c r="A6082"/>
      <c r="B6082"/>
      <c r="C6082"/>
      <c r="D6082"/>
      <c r="E6082"/>
    </row>
    <row r="6083" spans="1:5" x14ac:dyDescent="0.2">
      <c r="A6083"/>
      <c r="B6083"/>
      <c r="C6083"/>
      <c r="D6083"/>
      <c r="E6083"/>
    </row>
    <row r="6084" spans="1:5" x14ac:dyDescent="0.2">
      <c r="A6084"/>
      <c r="B6084"/>
      <c r="C6084"/>
      <c r="D6084"/>
      <c r="E6084"/>
    </row>
    <row r="6085" spans="1:5" x14ac:dyDescent="0.2">
      <c r="A6085"/>
      <c r="B6085"/>
      <c r="C6085"/>
      <c r="D6085"/>
      <c r="E6085"/>
    </row>
    <row r="6086" spans="1:5" x14ac:dyDescent="0.2">
      <c r="A6086"/>
      <c r="B6086"/>
      <c r="C6086"/>
      <c r="D6086"/>
      <c r="E6086"/>
    </row>
    <row r="6087" spans="1:5" x14ac:dyDescent="0.2">
      <c r="A6087"/>
      <c r="B6087"/>
      <c r="C6087"/>
      <c r="D6087"/>
      <c r="E6087"/>
    </row>
    <row r="6088" spans="1:5" x14ac:dyDescent="0.2">
      <c r="A6088"/>
      <c r="B6088"/>
      <c r="C6088"/>
      <c r="D6088"/>
      <c r="E6088"/>
    </row>
    <row r="6089" spans="1:5" x14ac:dyDescent="0.2">
      <c r="A6089"/>
      <c r="B6089"/>
      <c r="C6089"/>
      <c r="D6089"/>
      <c r="E6089"/>
    </row>
    <row r="6090" spans="1:5" x14ac:dyDescent="0.2">
      <c r="A6090"/>
      <c r="B6090"/>
      <c r="C6090"/>
      <c r="D6090"/>
      <c r="E6090"/>
    </row>
    <row r="6091" spans="1:5" x14ac:dyDescent="0.2">
      <c r="A6091"/>
      <c r="B6091"/>
      <c r="C6091"/>
      <c r="D6091"/>
      <c r="E6091"/>
    </row>
    <row r="6092" spans="1:5" x14ac:dyDescent="0.2">
      <c r="A6092"/>
      <c r="B6092"/>
      <c r="C6092"/>
      <c r="D6092"/>
      <c r="E6092"/>
    </row>
    <row r="6093" spans="1:5" x14ac:dyDescent="0.2">
      <c r="A6093"/>
      <c r="B6093"/>
      <c r="C6093"/>
      <c r="D6093"/>
      <c r="E6093"/>
    </row>
    <row r="6094" spans="1:5" x14ac:dyDescent="0.2">
      <c r="A6094"/>
      <c r="B6094"/>
      <c r="C6094"/>
      <c r="D6094"/>
      <c r="E6094"/>
    </row>
    <row r="6095" spans="1:5" x14ac:dyDescent="0.2">
      <c r="A6095"/>
      <c r="B6095"/>
      <c r="C6095"/>
      <c r="D6095"/>
      <c r="E6095"/>
    </row>
    <row r="6096" spans="1:5" x14ac:dyDescent="0.2">
      <c r="A6096"/>
      <c r="B6096"/>
      <c r="C6096"/>
      <c r="D6096"/>
      <c r="E6096"/>
    </row>
    <row r="6097" spans="1:5" x14ac:dyDescent="0.2">
      <c r="A6097"/>
      <c r="B6097"/>
      <c r="C6097"/>
      <c r="D6097"/>
      <c r="E6097"/>
    </row>
    <row r="6098" spans="1:5" x14ac:dyDescent="0.2">
      <c r="A6098"/>
      <c r="B6098"/>
      <c r="C6098"/>
      <c r="D6098"/>
      <c r="E6098"/>
    </row>
    <row r="6099" spans="1:5" x14ac:dyDescent="0.2">
      <c r="A6099"/>
      <c r="B6099"/>
      <c r="C6099"/>
      <c r="D6099"/>
      <c r="E6099"/>
    </row>
    <row r="6100" spans="1:5" x14ac:dyDescent="0.2">
      <c r="A6100"/>
      <c r="B6100"/>
      <c r="C6100"/>
      <c r="D6100"/>
      <c r="E6100"/>
    </row>
    <row r="6101" spans="1:5" x14ac:dyDescent="0.2">
      <c r="A6101"/>
      <c r="B6101"/>
      <c r="C6101"/>
      <c r="D6101"/>
      <c r="E6101"/>
    </row>
    <row r="6102" spans="1:5" x14ac:dyDescent="0.2">
      <c r="A6102"/>
      <c r="B6102"/>
      <c r="C6102"/>
      <c r="D6102"/>
      <c r="E6102"/>
    </row>
    <row r="6103" spans="1:5" x14ac:dyDescent="0.2">
      <c r="A6103"/>
      <c r="B6103"/>
      <c r="C6103"/>
      <c r="D6103"/>
      <c r="E6103"/>
    </row>
    <row r="6104" spans="1:5" x14ac:dyDescent="0.2">
      <c r="A6104"/>
      <c r="B6104"/>
      <c r="C6104"/>
      <c r="D6104"/>
      <c r="E6104"/>
    </row>
    <row r="6105" spans="1:5" x14ac:dyDescent="0.2">
      <c r="A6105"/>
      <c r="B6105"/>
      <c r="C6105"/>
      <c r="D6105"/>
      <c r="E6105"/>
    </row>
    <row r="6106" spans="1:5" x14ac:dyDescent="0.2">
      <c r="A6106"/>
      <c r="B6106"/>
      <c r="C6106"/>
      <c r="D6106"/>
      <c r="E6106"/>
    </row>
    <row r="6107" spans="1:5" x14ac:dyDescent="0.2">
      <c r="A6107"/>
      <c r="B6107"/>
      <c r="C6107"/>
      <c r="D6107"/>
      <c r="E6107"/>
    </row>
    <row r="6108" spans="1:5" x14ac:dyDescent="0.2">
      <c r="A6108"/>
      <c r="B6108"/>
      <c r="C6108"/>
      <c r="D6108"/>
      <c r="E6108"/>
    </row>
    <row r="6109" spans="1:5" x14ac:dyDescent="0.2">
      <c r="A6109"/>
      <c r="B6109"/>
      <c r="C6109"/>
      <c r="D6109"/>
      <c r="E6109"/>
    </row>
    <row r="6110" spans="1:5" x14ac:dyDescent="0.2">
      <c r="A6110"/>
      <c r="B6110"/>
      <c r="C6110"/>
      <c r="D6110"/>
      <c r="E6110"/>
    </row>
    <row r="6111" spans="1:5" x14ac:dyDescent="0.2">
      <c r="A6111"/>
      <c r="B6111"/>
      <c r="C6111"/>
      <c r="D6111"/>
      <c r="E6111"/>
    </row>
    <row r="6112" spans="1:5" x14ac:dyDescent="0.2">
      <c r="A6112"/>
      <c r="B6112"/>
      <c r="C6112"/>
      <c r="D6112"/>
      <c r="E6112"/>
    </row>
    <row r="6113" spans="1:5" x14ac:dyDescent="0.2">
      <c r="A6113"/>
      <c r="B6113"/>
      <c r="C6113"/>
      <c r="D6113"/>
      <c r="E6113"/>
    </row>
    <row r="6114" spans="1:5" x14ac:dyDescent="0.2">
      <c r="A6114"/>
      <c r="B6114"/>
      <c r="C6114"/>
      <c r="D6114"/>
      <c r="E6114"/>
    </row>
    <row r="6115" spans="1:5" x14ac:dyDescent="0.2">
      <c r="A6115"/>
      <c r="B6115"/>
      <c r="C6115"/>
      <c r="D6115"/>
      <c r="E6115"/>
    </row>
    <row r="6116" spans="1:5" x14ac:dyDescent="0.2">
      <c r="A6116"/>
      <c r="B6116"/>
      <c r="C6116"/>
      <c r="D6116"/>
      <c r="E6116"/>
    </row>
    <row r="6117" spans="1:5" x14ac:dyDescent="0.2">
      <c r="A6117"/>
      <c r="B6117"/>
      <c r="C6117"/>
      <c r="D6117"/>
      <c r="E6117"/>
    </row>
    <row r="6118" spans="1:5" x14ac:dyDescent="0.2">
      <c r="A6118"/>
      <c r="B6118"/>
      <c r="C6118"/>
      <c r="D6118"/>
      <c r="E6118"/>
    </row>
    <row r="6119" spans="1:5" x14ac:dyDescent="0.2">
      <c r="A6119"/>
      <c r="B6119"/>
      <c r="C6119"/>
      <c r="D6119"/>
      <c r="E6119"/>
    </row>
    <row r="6120" spans="1:5" x14ac:dyDescent="0.2">
      <c r="A6120"/>
      <c r="B6120"/>
      <c r="C6120"/>
      <c r="D6120"/>
      <c r="E6120"/>
    </row>
    <row r="6121" spans="1:5" x14ac:dyDescent="0.2">
      <c r="A6121"/>
      <c r="B6121"/>
      <c r="C6121"/>
      <c r="D6121"/>
      <c r="E6121"/>
    </row>
    <row r="6122" spans="1:5" x14ac:dyDescent="0.2">
      <c r="A6122"/>
      <c r="B6122"/>
      <c r="C6122"/>
      <c r="D6122"/>
      <c r="E6122"/>
    </row>
    <row r="6123" spans="1:5" x14ac:dyDescent="0.2">
      <c r="A6123"/>
      <c r="B6123"/>
      <c r="C6123"/>
      <c r="D6123"/>
      <c r="E6123"/>
    </row>
    <row r="6124" spans="1:5" x14ac:dyDescent="0.2">
      <c r="A6124"/>
      <c r="B6124"/>
      <c r="C6124"/>
      <c r="D6124"/>
      <c r="E6124"/>
    </row>
    <row r="6125" spans="1:5" x14ac:dyDescent="0.2">
      <c r="A6125"/>
      <c r="B6125"/>
      <c r="C6125"/>
      <c r="D6125"/>
      <c r="E6125"/>
    </row>
    <row r="6126" spans="1:5" x14ac:dyDescent="0.2">
      <c r="A6126"/>
      <c r="B6126"/>
      <c r="C6126"/>
      <c r="D6126"/>
      <c r="E6126"/>
    </row>
    <row r="6127" spans="1:5" x14ac:dyDescent="0.2">
      <c r="A6127"/>
      <c r="B6127"/>
      <c r="C6127"/>
      <c r="D6127"/>
      <c r="E6127"/>
    </row>
    <row r="6128" spans="1:5" x14ac:dyDescent="0.2">
      <c r="A6128"/>
      <c r="B6128"/>
      <c r="C6128"/>
      <c r="D6128"/>
      <c r="E6128"/>
    </row>
    <row r="6129" spans="1:5" x14ac:dyDescent="0.2">
      <c r="A6129"/>
      <c r="B6129"/>
      <c r="C6129"/>
      <c r="D6129"/>
      <c r="E6129"/>
    </row>
    <row r="6130" spans="1:5" x14ac:dyDescent="0.2">
      <c r="A6130"/>
      <c r="B6130"/>
      <c r="C6130"/>
      <c r="D6130"/>
      <c r="E6130"/>
    </row>
    <row r="6131" spans="1:5" x14ac:dyDescent="0.2">
      <c r="A6131"/>
      <c r="B6131"/>
      <c r="C6131"/>
      <c r="D6131"/>
      <c r="E6131"/>
    </row>
    <row r="6132" spans="1:5" x14ac:dyDescent="0.2">
      <c r="A6132"/>
      <c r="B6132"/>
      <c r="C6132"/>
      <c r="D6132"/>
      <c r="E6132"/>
    </row>
    <row r="6133" spans="1:5" x14ac:dyDescent="0.2">
      <c r="A6133"/>
      <c r="B6133"/>
      <c r="C6133"/>
      <c r="D6133"/>
      <c r="E6133"/>
    </row>
    <row r="6134" spans="1:5" x14ac:dyDescent="0.2">
      <c r="A6134"/>
      <c r="B6134"/>
      <c r="C6134"/>
      <c r="D6134"/>
      <c r="E6134"/>
    </row>
    <row r="6135" spans="1:5" x14ac:dyDescent="0.2">
      <c r="A6135"/>
      <c r="B6135"/>
      <c r="C6135"/>
      <c r="D6135"/>
      <c r="E6135"/>
    </row>
    <row r="6136" spans="1:5" x14ac:dyDescent="0.2">
      <c r="A6136"/>
      <c r="B6136"/>
      <c r="C6136"/>
      <c r="D6136"/>
      <c r="E6136"/>
    </row>
    <row r="6137" spans="1:5" x14ac:dyDescent="0.2">
      <c r="A6137"/>
      <c r="B6137"/>
      <c r="C6137"/>
      <c r="D6137"/>
      <c r="E6137"/>
    </row>
    <row r="6138" spans="1:5" x14ac:dyDescent="0.2">
      <c r="A6138"/>
      <c r="B6138"/>
      <c r="C6138"/>
      <c r="D6138"/>
      <c r="E6138"/>
    </row>
    <row r="6139" spans="1:5" x14ac:dyDescent="0.2">
      <c r="A6139"/>
      <c r="B6139"/>
      <c r="C6139"/>
      <c r="D6139"/>
      <c r="E6139"/>
    </row>
    <row r="6140" spans="1:5" x14ac:dyDescent="0.2">
      <c r="A6140"/>
      <c r="B6140"/>
      <c r="C6140"/>
      <c r="D6140"/>
      <c r="E6140"/>
    </row>
    <row r="6141" spans="1:5" x14ac:dyDescent="0.2">
      <c r="A6141"/>
      <c r="B6141"/>
      <c r="C6141"/>
      <c r="D6141"/>
      <c r="E6141"/>
    </row>
    <row r="6142" spans="1:5" x14ac:dyDescent="0.2">
      <c r="A6142"/>
      <c r="B6142"/>
      <c r="C6142"/>
      <c r="D6142"/>
      <c r="E6142"/>
    </row>
    <row r="6143" spans="1:5" x14ac:dyDescent="0.2">
      <c r="A6143"/>
      <c r="B6143"/>
      <c r="C6143"/>
      <c r="D6143"/>
      <c r="E6143"/>
    </row>
    <row r="6144" spans="1:5" x14ac:dyDescent="0.2">
      <c r="A6144"/>
      <c r="B6144"/>
      <c r="C6144"/>
      <c r="D6144"/>
      <c r="E6144"/>
    </row>
    <row r="6145" spans="1:5" x14ac:dyDescent="0.2">
      <c r="A6145"/>
      <c r="B6145"/>
      <c r="C6145"/>
      <c r="D6145"/>
      <c r="E6145"/>
    </row>
    <row r="6146" spans="1:5" x14ac:dyDescent="0.2">
      <c r="A6146"/>
      <c r="B6146"/>
      <c r="C6146"/>
      <c r="D6146"/>
      <c r="E6146"/>
    </row>
    <row r="6147" spans="1:5" x14ac:dyDescent="0.2">
      <c r="A6147"/>
      <c r="B6147"/>
      <c r="C6147"/>
      <c r="D6147"/>
      <c r="E6147"/>
    </row>
    <row r="6148" spans="1:5" x14ac:dyDescent="0.2">
      <c r="A6148"/>
      <c r="B6148"/>
      <c r="C6148"/>
      <c r="D6148"/>
      <c r="E6148"/>
    </row>
    <row r="6149" spans="1:5" x14ac:dyDescent="0.2">
      <c r="A6149"/>
      <c r="B6149"/>
      <c r="C6149"/>
      <c r="D6149"/>
      <c r="E6149"/>
    </row>
    <row r="6150" spans="1:5" x14ac:dyDescent="0.2">
      <c r="A6150"/>
      <c r="B6150"/>
      <c r="C6150"/>
      <c r="D6150"/>
      <c r="E6150"/>
    </row>
    <row r="6151" spans="1:5" x14ac:dyDescent="0.2">
      <c r="A6151"/>
      <c r="B6151"/>
      <c r="C6151"/>
      <c r="D6151"/>
      <c r="E6151"/>
    </row>
    <row r="6152" spans="1:5" x14ac:dyDescent="0.2">
      <c r="A6152"/>
      <c r="B6152"/>
      <c r="C6152"/>
      <c r="D6152"/>
      <c r="E6152"/>
    </row>
    <row r="6153" spans="1:5" x14ac:dyDescent="0.2">
      <c r="A6153"/>
      <c r="B6153"/>
      <c r="C6153"/>
      <c r="D6153"/>
      <c r="E6153"/>
    </row>
    <row r="6154" spans="1:5" x14ac:dyDescent="0.2">
      <c r="A6154"/>
      <c r="B6154"/>
      <c r="C6154"/>
      <c r="D6154"/>
      <c r="E6154"/>
    </row>
    <row r="6155" spans="1:5" x14ac:dyDescent="0.2">
      <c r="A6155"/>
      <c r="B6155"/>
      <c r="C6155"/>
      <c r="D6155"/>
      <c r="E6155"/>
    </row>
    <row r="6156" spans="1:5" x14ac:dyDescent="0.2">
      <c r="A6156"/>
      <c r="B6156"/>
      <c r="C6156"/>
      <c r="D6156"/>
      <c r="E6156"/>
    </row>
    <row r="6157" spans="1:5" x14ac:dyDescent="0.2">
      <c r="A6157"/>
      <c r="B6157"/>
      <c r="C6157"/>
      <c r="D6157"/>
      <c r="E6157"/>
    </row>
    <row r="6158" spans="1:5" x14ac:dyDescent="0.2">
      <c r="A6158"/>
      <c r="B6158"/>
      <c r="C6158"/>
      <c r="D6158"/>
      <c r="E6158"/>
    </row>
    <row r="6159" spans="1:5" x14ac:dyDescent="0.2">
      <c r="A6159"/>
      <c r="B6159"/>
      <c r="C6159"/>
      <c r="D6159"/>
      <c r="E6159"/>
    </row>
    <row r="6160" spans="1:5" x14ac:dyDescent="0.2">
      <c r="A6160"/>
      <c r="B6160"/>
      <c r="C6160"/>
      <c r="D6160"/>
      <c r="E6160"/>
    </row>
    <row r="6161" spans="1:5" x14ac:dyDescent="0.2">
      <c r="A6161"/>
      <c r="B6161"/>
      <c r="C6161"/>
      <c r="D6161"/>
      <c r="E6161"/>
    </row>
    <row r="6162" spans="1:5" x14ac:dyDescent="0.2">
      <c r="A6162"/>
      <c r="B6162"/>
      <c r="C6162"/>
      <c r="D6162"/>
      <c r="E6162"/>
    </row>
    <row r="6163" spans="1:5" x14ac:dyDescent="0.2">
      <c r="A6163"/>
      <c r="B6163"/>
      <c r="C6163"/>
      <c r="D6163"/>
      <c r="E6163"/>
    </row>
    <row r="6164" spans="1:5" x14ac:dyDescent="0.2">
      <c r="A6164"/>
      <c r="B6164"/>
      <c r="C6164"/>
      <c r="D6164"/>
      <c r="E6164"/>
    </row>
    <row r="6165" spans="1:5" x14ac:dyDescent="0.2">
      <c r="A6165"/>
      <c r="B6165"/>
      <c r="C6165"/>
      <c r="D6165"/>
      <c r="E6165"/>
    </row>
    <row r="6166" spans="1:5" x14ac:dyDescent="0.2">
      <c r="A6166"/>
      <c r="B6166"/>
      <c r="C6166"/>
      <c r="D6166"/>
      <c r="E6166"/>
    </row>
    <row r="6167" spans="1:5" x14ac:dyDescent="0.2">
      <c r="A6167"/>
      <c r="B6167"/>
      <c r="C6167"/>
      <c r="D6167"/>
      <c r="E6167"/>
    </row>
    <row r="6168" spans="1:5" x14ac:dyDescent="0.2">
      <c r="A6168"/>
      <c r="B6168"/>
      <c r="C6168"/>
      <c r="D6168"/>
      <c r="E6168"/>
    </row>
    <row r="6169" spans="1:5" x14ac:dyDescent="0.2">
      <c r="A6169"/>
      <c r="B6169"/>
      <c r="C6169"/>
      <c r="D6169"/>
      <c r="E6169"/>
    </row>
    <row r="6170" spans="1:5" x14ac:dyDescent="0.2">
      <c r="A6170"/>
      <c r="B6170"/>
      <c r="C6170"/>
      <c r="D6170"/>
      <c r="E6170"/>
    </row>
    <row r="6171" spans="1:5" x14ac:dyDescent="0.2">
      <c r="A6171"/>
      <c r="B6171"/>
      <c r="C6171"/>
      <c r="D6171"/>
      <c r="E6171"/>
    </row>
    <row r="6172" spans="1:5" x14ac:dyDescent="0.2">
      <c r="A6172"/>
      <c r="B6172"/>
      <c r="C6172"/>
      <c r="D6172"/>
      <c r="E6172"/>
    </row>
    <row r="6173" spans="1:5" x14ac:dyDescent="0.2">
      <c r="A6173"/>
      <c r="B6173"/>
      <c r="C6173"/>
      <c r="D6173"/>
      <c r="E6173"/>
    </row>
    <row r="6174" spans="1:5" x14ac:dyDescent="0.2">
      <c r="A6174"/>
      <c r="B6174"/>
      <c r="C6174"/>
      <c r="D6174"/>
      <c r="E6174"/>
    </row>
    <row r="6175" spans="1:5" x14ac:dyDescent="0.2">
      <c r="A6175"/>
      <c r="B6175"/>
      <c r="C6175"/>
      <c r="D6175"/>
      <c r="E6175"/>
    </row>
    <row r="6176" spans="1:5" x14ac:dyDescent="0.2">
      <c r="A6176"/>
      <c r="B6176"/>
      <c r="C6176"/>
      <c r="D6176"/>
      <c r="E6176"/>
    </row>
    <row r="6177" spans="1:5" x14ac:dyDescent="0.2">
      <c r="A6177"/>
      <c r="B6177"/>
      <c r="C6177"/>
      <c r="D6177"/>
      <c r="E6177"/>
    </row>
    <row r="6178" spans="1:5" x14ac:dyDescent="0.2">
      <c r="A6178"/>
      <c r="B6178"/>
      <c r="C6178"/>
      <c r="D6178"/>
      <c r="E6178"/>
    </row>
    <row r="6179" spans="1:5" x14ac:dyDescent="0.2">
      <c r="A6179"/>
      <c r="B6179"/>
      <c r="C6179"/>
      <c r="D6179"/>
      <c r="E6179"/>
    </row>
    <row r="6180" spans="1:5" x14ac:dyDescent="0.2">
      <c r="A6180"/>
      <c r="B6180"/>
      <c r="C6180"/>
      <c r="D6180"/>
      <c r="E6180"/>
    </row>
    <row r="6181" spans="1:5" x14ac:dyDescent="0.2">
      <c r="A6181"/>
      <c r="B6181"/>
      <c r="C6181"/>
      <c r="D6181"/>
      <c r="E6181"/>
    </row>
    <row r="6182" spans="1:5" x14ac:dyDescent="0.2">
      <c r="A6182"/>
      <c r="B6182"/>
      <c r="C6182"/>
      <c r="D6182"/>
      <c r="E6182"/>
    </row>
    <row r="6183" spans="1:5" x14ac:dyDescent="0.2">
      <c r="A6183"/>
      <c r="B6183"/>
      <c r="C6183"/>
      <c r="D6183"/>
      <c r="E6183"/>
    </row>
    <row r="6184" spans="1:5" x14ac:dyDescent="0.2">
      <c r="A6184"/>
      <c r="B6184"/>
      <c r="C6184"/>
      <c r="D6184"/>
      <c r="E6184"/>
    </row>
    <row r="6185" spans="1:5" x14ac:dyDescent="0.2">
      <c r="A6185"/>
      <c r="B6185"/>
      <c r="C6185"/>
      <c r="D6185"/>
      <c r="E6185"/>
    </row>
    <row r="6186" spans="1:5" x14ac:dyDescent="0.2">
      <c r="A6186"/>
      <c r="B6186"/>
      <c r="C6186"/>
      <c r="D6186"/>
      <c r="E6186"/>
    </row>
    <row r="6187" spans="1:5" x14ac:dyDescent="0.2">
      <c r="A6187"/>
      <c r="B6187"/>
      <c r="C6187"/>
      <c r="D6187"/>
      <c r="E6187"/>
    </row>
    <row r="6188" spans="1:5" x14ac:dyDescent="0.2">
      <c r="A6188"/>
      <c r="B6188"/>
      <c r="C6188"/>
      <c r="D6188"/>
      <c r="E6188"/>
    </row>
    <row r="6189" spans="1:5" x14ac:dyDescent="0.2">
      <c r="A6189"/>
      <c r="B6189"/>
      <c r="C6189"/>
      <c r="D6189"/>
      <c r="E6189"/>
    </row>
    <row r="6190" spans="1:5" x14ac:dyDescent="0.2">
      <c r="A6190"/>
      <c r="B6190"/>
      <c r="C6190"/>
      <c r="D6190"/>
      <c r="E6190"/>
    </row>
    <row r="6191" spans="1:5" x14ac:dyDescent="0.2">
      <c r="A6191"/>
      <c r="B6191"/>
      <c r="C6191"/>
      <c r="D6191"/>
      <c r="E6191"/>
    </row>
    <row r="6192" spans="1:5" x14ac:dyDescent="0.2">
      <c r="A6192"/>
      <c r="B6192"/>
      <c r="C6192"/>
      <c r="D6192"/>
      <c r="E6192"/>
    </row>
    <row r="6193" spans="1:5" x14ac:dyDescent="0.2">
      <c r="A6193"/>
      <c r="B6193"/>
      <c r="C6193"/>
      <c r="D6193"/>
      <c r="E6193"/>
    </row>
    <row r="6194" spans="1:5" x14ac:dyDescent="0.2">
      <c r="A6194"/>
      <c r="B6194"/>
      <c r="C6194"/>
      <c r="D6194"/>
      <c r="E6194"/>
    </row>
    <row r="6195" spans="1:5" x14ac:dyDescent="0.2">
      <c r="A6195"/>
      <c r="B6195"/>
      <c r="C6195"/>
      <c r="D6195"/>
      <c r="E6195"/>
    </row>
    <row r="6196" spans="1:5" x14ac:dyDescent="0.2">
      <c r="A6196"/>
      <c r="B6196"/>
      <c r="C6196"/>
      <c r="D6196"/>
      <c r="E6196"/>
    </row>
    <row r="6197" spans="1:5" x14ac:dyDescent="0.2">
      <c r="A6197"/>
      <c r="B6197"/>
      <c r="C6197"/>
      <c r="D6197"/>
      <c r="E6197"/>
    </row>
    <row r="6198" spans="1:5" x14ac:dyDescent="0.2">
      <c r="A6198"/>
      <c r="B6198"/>
      <c r="C6198"/>
      <c r="D6198"/>
      <c r="E6198"/>
    </row>
    <row r="6199" spans="1:5" x14ac:dyDescent="0.2">
      <c r="A6199"/>
      <c r="B6199"/>
      <c r="C6199"/>
      <c r="D6199"/>
      <c r="E6199"/>
    </row>
    <row r="6200" spans="1:5" x14ac:dyDescent="0.2">
      <c r="A6200"/>
      <c r="B6200"/>
      <c r="C6200"/>
      <c r="D6200"/>
      <c r="E6200"/>
    </row>
    <row r="6201" spans="1:5" x14ac:dyDescent="0.2">
      <c r="A6201"/>
      <c r="B6201"/>
      <c r="C6201"/>
      <c r="D6201"/>
      <c r="E6201"/>
    </row>
    <row r="6202" spans="1:5" x14ac:dyDescent="0.2">
      <c r="A6202"/>
      <c r="B6202"/>
      <c r="C6202"/>
      <c r="D6202"/>
      <c r="E6202"/>
    </row>
    <row r="6203" spans="1:5" x14ac:dyDescent="0.2">
      <c r="A6203"/>
      <c r="B6203"/>
      <c r="C6203"/>
      <c r="D6203"/>
      <c r="E6203"/>
    </row>
    <row r="6204" spans="1:5" x14ac:dyDescent="0.2">
      <c r="A6204"/>
      <c r="B6204"/>
      <c r="C6204"/>
      <c r="D6204"/>
      <c r="E6204"/>
    </row>
    <row r="6205" spans="1:5" x14ac:dyDescent="0.2">
      <c r="A6205"/>
      <c r="B6205"/>
      <c r="C6205"/>
      <c r="D6205"/>
      <c r="E6205"/>
    </row>
    <row r="6206" spans="1:5" x14ac:dyDescent="0.2">
      <c r="A6206"/>
      <c r="B6206"/>
      <c r="C6206"/>
      <c r="D6206"/>
      <c r="E6206"/>
    </row>
    <row r="6207" spans="1:5" x14ac:dyDescent="0.2">
      <c r="A6207"/>
      <c r="B6207"/>
      <c r="C6207"/>
      <c r="D6207"/>
      <c r="E6207"/>
    </row>
    <row r="6208" spans="1:5" x14ac:dyDescent="0.2">
      <c r="A6208"/>
      <c r="B6208"/>
      <c r="C6208"/>
      <c r="D6208"/>
      <c r="E6208"/>
    </row>
    <row r="6209" spans="1:5" x14ac:dyDescent="0.2">
      <c r="A6209"/>
      <c r="B6209"/>
      <c r="C6209"/>
      <c r="D6209"/>
      <c r="E6209"/>
    </row>
    <row r="6210" spans="1:5" x14ac:dyDescent="0.2">
      <c r="A6210"/>
      <c r="B6210"/>
      <c r="C6210"/>
      <c r="D6210"/>
      <c r="E6210"/>
    </row>
    <row r="6211" spans="1:5" x14ac:dyDescent="0.2">
      <c r="A6211"/>
      <c r="B6211"/>
      <c r="C6211"/>
      <c r="D6211"/>
      <c r="E6211"/>
    </row>
    <row r="6212" spans="1:5" x14ac:dyDescent="0.2">
      <c r="A6212"/>
      <c r="B6212"/>
      <c r="C6212"/>
      <c r="D6212"/>
      <c r="E6212"/>
    </row>
    <row r="6213" spans="1:5" x14ac:dyDescent="0.2">
      <c r="A6213"/>
      <c r="B6213"/>
      <c r="C6213"/>
      <c r="D6213"/>
      <c r="E6213"/>
    </row>
    <row r="6214" spans="1:5" x14ac:dyDescent="0.2">
      <c r="A6214"/>
      <c r="B6214"/>
      <c r="C6214"/>
      <c r="D6214"/>
      <c r="E6214"/>
    </row>
    <row r="6215" spans="1:5" x14ac:dyDescent="0.2">
      <c r="A6215"/>
      <c r="B6215"/>
      <c r="C6215"/>
      <c r="D6215"/>
      <c r="E6215"/>
    </row>
    <row r="6216" spans="1:5" x14ac:dyDescent="0.2">
      <c r="A6216"/>
      <c r="B6216"/>
      <c r="C6216"/>
      <c r="D6216"/>
      <c r="E6216"/>
    </row>
    <row r="6217" spans="1:5" x14ac:dyDescent="0.2">
      <c r="A6217"/>
      <c r="B6217"/>
      <c r="C6217"/>
      <c r="D6217"/>
      <c r="E6217"/>
    </row>
    <row r="6218" spans="1:5" x14ac:dyDescent="0.2">
      <c r="A6218"/>
      <c r="B6218"/>
      <c r="C6218"/>
      <c r="D6218"/>
      <c r="E6218"/>
    </row>
    <row r="6219" spans="1:5" x14ac:dyDescent="0.2">
      <c r="A6219"/>
      <c r="B6219"/>
      <c r="C6219"/>
      <c r="D6219"/>
      <c r="E6219"/>
    </row>
    <row r="6220" spans="1:5" x14ac:dyDescent="0.2">
      <c r="A6220"/>
      <c r="B6220"/>
      <c r="C6220"/>
      <c r="D6220"/>
      <c r="E6220"/>
    </row>
    <row r="6221" spans="1:5" x14ac:dyDescent="0.2">
      <c r="A6221"/>
      <c r="B6221"/>
      <c r="C6221"/>
      <c r="D6221"/>
      <c r="E6221"/>
    </row>
    <row r="6222" spans="1:5" x14ac:dyDescent="0.2">
      <c r="A6222"/>
      <c r="B6222"/>
      <c r="C6222"/>
      <c r="D6222"/>
      <c r="E6222"/>
    </row>
    <row r="6223" spans="1:5" x14ac:dyDescent="0.2">
      <c r="A6223"/>
      <c r="B6223"/>
      <c r="C6223"/>
      <c r="D6223"/>
      <c r="E6223"/>
    </row>
    <row r="6224" spans="1:5" x14ac:dyDescent="0.2">
      <c r="A6224"/>
      <c r="B6224"/>
      <c r="C6224"/>
      <c r="D6224"/>
      <c r="E6224"/>
    </row>
    <row r="6225" spans="1:5" x14ac:dyDescent="0.2">
      <c r="A6225"/>
      <c r="B6225"/>
      <c r="C6225"/>
      <c r="D6225"/>
      <c r="E6225"/>
    </row>
    <row r="6226" spans="1:5" x14ac:dyDescent="0.2">
      <c r="A6226"/>
      <c r="B6226"/>
      <c r="C6226"/>
      <c r="D6226"/>
      <c r="E6226"/>
    </row>
    <row r="6227" spans="1:5" x14ac:dyDescent="0.2">
      <c r="A6227"/>
      <c r="B6227"/>
      <c r="C6227"/>
      <c r="D6227"/>
      <c r="E6227"/>
    </row>
    <row r="6228" spans="1:5" x14ac:dyDescent="0.2">
      <c r="A6228"/>
      <c r="B6228"/>
      <c r="C6228"/>
      <c r="D6228"/>
      <c r="E6228"/>
    </row>
    <row r="6229" spans="1:5" x14ac:dyDescent="0.2">
      <c r="A6229"/>
      <c r="B6229"/>
      <c r="C6229"/>
      <c r="D6229"/>
      <c r="E6229"/>
    </row>
    <row r="6230" spans="1:5" x14ac:dyDescent="0.2">
      <c r="A6230"/>
      <c r="B6230"/>
      <c r="C6230"/>
      <c r="D6230"/>
      <c r="E6230"/>
    </row>
    <row r="6231" spans="1:5" x14ac:dyDescent="0.2">
      <c r="A6231"/>
      <c r="B6231"/>
      <c r="C6231"/>
      <c r="D6231"/>
      <c r="E6231"/>
    </row>
    <row r="6232" spans="1:5" x14ac:dyDescent="0.2">
      <c r="A6232"/>
      <c r="B6232"/>
      <c r="C6232"/>
      <c r="D6232"/>
      <c r="E6232"/>
    </row>
    <row r="6233" spans="1:5" x14ac:dyDescent="0.2">
      <c r="A6233"/>
      <c r="B6233"/>
      <c r="C6233"/>
      <c r="D6233"/>
      <c r="E6233"/>
    </row>
    <row r="6234" spans="1:5" x14ac:dyDescent="0.2">
      <c r="A6234"/>
      <c r="B6234"/>
      <c r="C6234"/>
      <c r="D6234"/>
      <c r="E6234"/>
    </row>
    <row r="6235" spans="1:5" x14ac:dyDescent="0.2">
      <c r="A6235"/>
      <c r="B6235"/>
      <c r="C6235"/>
      <c r="D6235"/>
      <c r="E6235"/>
    </row>
    <row r="6236" spans="1:5" x14ac:dyDescent="0.2">
      <c r="A6236"/>
      <c r="B6236"/>
      <c r="C6236"/>
      <c r="D6236"/>
      <c r="E6236"/>
    </row>
    <row r="6237" spans="1:5" x14ac:dyDescent="0.2">
      <c r="A6237"/>
      <c r="B6237"/>
      <c r="C6237"/>
      <c r="D6237"/>
      <c r="E6237"/>
    </row>
    <row r="6238" spans="1:5" x14ac:dyDescent="0.2">
      <c r="A6238"/>
      <c r="B6238"/>
      <c r="C6238"/>
      <c r="D6238"/>
      <c r="E6238"/>
    </row>
    <row r="6239" spans="1:5" x14ac:dyDescent="0.2">
      <c r="A6239"/>
      <c r="B6239"/>
      <c r="C6239"/>
      <c r="D6239"/>
      <c r="E6239"/>
    </row>
    <row r="6240" spans="1:5" x14ac:dyDescent="0.2">
      <c r="A6240"/>
      <c r="B6240"/>
      <c r="C6240"/>
      <c r="D6240"/>
      <c r="E6240"/>
    </row>
    <row r="6241" spans="1:5" x14ac:dyDescent="0.2">
      <c r="A6241"/>
      <c r="B6241"/>
      <c r="C6241"/>
      <c r="D6241"/>
      <c r="E6241"/>
    </row>
    <row r="6242" spans="1:5" x14ac:dyDescent="0.2">
      <c r="A6242"/>
      <c r="B6242"/>
      <c r="C6242"/>
      <c r="D6242"/>
      <c r="E6242"/>
    </row>
    <row r="6243" spans="1:5" x14ac:dyDescent="0.2">
      <c r="A6243"/>
      <c r="B6243"/>
      <c r="C6243"/>
      <c r="D6243"/>
      <c r="E6243"/>
    </row>
    <row r="6244" spans="1:5" x14ac:dyDescent="0.2">
      <c r="A6244"/>
      <c r="B6244"/>
      <c r="C6244"/>
      <c r="D6244"/>
      <c r="E6244"/>
    </row>
    <row r="6245" spans="1:5" x14ac:dyDescent="0.2">
      <c r="A6245"/>
      <c r="B6245"/>
      <c r="C6245"/>
      <c r="D6245"/>
      <c r="E6245"/>
    </row>
    <row r="6246" spans="1:5" x14ac:dyDescent="0.2">
      <c r="A6246"/>
      <c r="B6246"/>
      <c r="C6246"/>
      <c r="D6246"/>
      <c r="E6246"/>
    </row>
    <row r="6247" spans="1:5" x14ac:dyDescent="0.2">
      <c r="A6247"/>
      <c r="B6247"/>
      <c r="C6247"/>
      <c r="D6247"/>
      <c r="E6247"/>
    </row>
    <row r="6248" spans="1:5" x14ac:dyDescent="0.2">
      <c r="A6248"/>
      <c r="B6248"/>
      <c r="C6248"/>
      <c r="D6248"/>
      <c r="E6248"/>
    </row>
    <row r="6249" spans="1:5" x14ac:dyDescent="0.2">
      <c r="A6249"/>
      <c r="B6249"/>
      <c r="C6249"/>
      <c r="D6249"/>
      <c r="E6249"/>
    </row>
    <row r="6250" spans="1:5" x14ac:dyDescent="0.2">
      <c r="A6250"/>
      <c r="B6250"/>
      <c r="C6250"/>
      <c r="D6250"/>
      <c r="E6250"/>
    </row>
    <row r="6251" spans="1:5" x14ac:dyDescent="0.2">
      <c r="A6251"/>
      <c r="B6251"/>
      <c r="C6251"/>
      <c r="D6251"/>
      <c r="E6251"/>
    </row>
    <row r="6252" spans="1:5" x14ac:dyDescent="0.2">
      <c r="A6252"/>
      <c r="B6252"/>
      <c r="C6252"/>
      <c r="D6252"/>
      <c r="E6252"/>
    </row>
    <row r="6253" spans="1:5" x14ac:dyDescent="0.2">
      <c r="A6253"/>
      <c r="B6253"/>
      <c r="C6253"/>
      <c r="D6253"/>
      <c r="E6253"/>
    </row>
    <row r="6254" spans="1:5" x14ac:dyDescent="0.2">
      <c r="A6254"/>
      <c r="B6254"/>
      <c r="C6254"/>
      <c r="D6254"/>
      <c r="E6254"/>
    </row>
    <row r="6255" spans="1:5" x14ac:dyDescent="0.2">
      <c r="A6255"/>
      <c r="B6255"/>
      <c r="C6255"/>
      <c r="D6255"/>
      <c r="E6255"/>
    </row>
    <row r="6256" spans="1:5" x14ac:dyDescent="0.2">
      <c r="A6256"/>
      <c r="B6256"/>
      <c r="C6256"/>
      <c r="D6256"/>
      <c r="E6256"/>
    </row>
    <row r="6257" spans="1:5" x14ac:dyDescent="0.2">
      <c r="A6257"/>
      <c r="B6257"/>
      <c r="C6257"/>
      <c r="D6257"/>
      <c r="E6257"/>
    </row>
    <row r="6258" spans="1:5" x14ac:dyDescent="0.2">
      <c r="A6258"/>
      <c r="B6258"/>
      <c r="C6258"/>
      <c r="D6258"/>
      <c r="E6258"/>
    </row>
    <row r="6259" spans="1:5" x14ac:dyDescent="0.2">
      <c r="A6259"/>
      <c r="B6259"/>
      <c r="C6259"/>
      <c r="D6259"/>
      <c r="E6259"/>
    </row>
    <row r="6260" spans="1:5" x14ac:dyDescent="0.2">
      <c r="A6260"/>
      <c r="B6260"/>
      <c r="C6260"/>
      <c r="D6260"/>
      <c r="E6260"/>
    </row>
    <row r="6261" spans="1:5" x14ac:dyDescent="0.2">
      <c r="A6261"/>
      <c r="B6261"/>
      <c r="C6261"/>
      <c r="D6261"/>
      <c r="E6261"/>
    </row>
    <row r="6262" spans="1:5" x14ac:dyDescent="0.2">
      <c r="A6262"/>
      <c r="B6262"/>
      <c r="C6262"/>
      <c r="D6262"/>
      <c r="E6262"/>
    </row>
    <row r="6263" spans="1:5" x14ac:dyDescent="0.2">
      <c r="A6263"/>
      <c r="B6263"/>
      <c r="C6263"/>
      <c r="D6263"/>
      <c r="E6263"/>
    </row>
    <row r="6264" spans="1:5" x14ac:dyDescent="0.2">
      <c r="A6264"/>
      <c r="B6264"/>
      <c r="C6264"/>
      <c r="D6264"/>
      <c r="E6264"/>
    </row>
    <row r="6265" spans="1:5" x14ac:dyDescent="0.2">
      <c r="A6265"/>
      <c r="B6265"/>
      <c r="C6265"/>
      <c r="D6265"/>
      <c r="E6265"/>
    </row>
    <row r="6266" spans="1:5" x14ac:dyDescent="0.2">
      <c r="A6266"/>
      <c r="B6266"/>
      <c r="C6266"/>
      <c r="D6266"/>
      <c r="E6266"/>
    </row>
    <row r="6267" spans="1:5" x14ac:dyDescent="0.2">
      <c r="A6267"/>
      <c r="B6267"/>
      <c r="C6267"/>
      <c r="D6267"/>
      <c r="E6267"/>
    </row>
    <row r="6268" spans="1:5" x14ac:dyDescent="0.2">
      <c r="A6268"/>
      <c r="B6268"/>
      <c r="C6268"/>
      <c r="D6268"/>
      <c r="E6268"/>
    </row>
    <row r="6269" spans="1:5" x14ac:dyDescent="0.2">
      <c r="A6269"/>
      <c r="B6269"/>
      <c r="C6269"/>
      <c r="D6269"/>
      <c r="E6269"/>
    </row>
    <row r="6270" spans="1:5" x14ac:dyDescent="0.2">
      <c r="A6270"/>
      <c r="B6270"/>
      <c r="C6270"/>
      <c r="D6270"/>
      <c r="E6270"/>
    </row>
    <row r="6271" spans="1:5" x14ac:dyDescent="0.2">
      <c r="A6271"/>
      <c r="B6271"/>
      <c r="C6271"/>
      <c r="D6271"/>
      <c r="E6271"/>
    </row>
    <row r="6272" spans="1:5" x14ac:dyDescent="0.2">
      <c r="A6272"/>
      <c r="B6272"/>
      <c r="C6272"/>
      <c r="D6272"/>
      <c r="E6272"/>
    </row>
    <row r="6273" spans="1:5" x14ac:dyDescent="0.2">
      <c r="A6273"/>
      <c r="B6273"/>
      <c r="C6273"/>
      <c r="D6273"/>
      <c r="E6273"/>
    </row>
    <row r="6274" spans="1:5" x14ac:dyDescent="0.2">
      <c r="A6274"/>
      <c r="B6274"/>
      <c r="C6274"/>
      <c r="D6274"/>
      <c r="E6274"/>
    </row>
    <row r="6275" spans="1:5" x14ac:dyDescent="0.2">
      <c r="A6275"/>
      <c r="B6275"/>
      <c r="C6275"/>
      <c r="D6275"/>
      <c r="E6275"/>
    </row>
    <row r="6276" spans="1:5" x14ac:dyDescent="0.2">
      <c r="A6276"/>
      <c r="B6276"/>
      <c r="C6276"/>
      <c r="D6276"/>
      <c r="E6276"/>
    </row>
    <row r="6277" spans="1:5" x14ac:dyDescent="0.2">
      <c r="A6277"/>
      <c r="B6277"/>
      <c r="C6277"/>
      <c r="D6277"/>
      <c r="E6277"/>
    </row>
    <row r="6278" spans="1:5" x14ac:dyDescent="0.2">
      <c r="A6278"/>
      <c r="B6278"/>
      <c r="C6278"/>
      <c r="D6278"/>
      <c r="E6278"/>
    </row>
    <row r="6279" spans="1:5" x14ac:dyDescent="0.2">
      <c r="A6279"/>
      <c r="B6279"/>
      <c r="C6279"/>
      <c r="D6279"/>
      <c r="E6279"/>
    </row>
    <row r="6280" spans="1:5" x14ac:dyDescent="0.2">
      <c r="A6280"/>
      <c r="B6280"/>
      <c r="C6280"/>
      <c r="D6280"/>
      <c r="E6280"/>
    </row>
    <row r="6281" spans="1:5" x14ac:dyDescent="0.2">
      <c r="A6281"/>
      <c r="B6281"/>
      <c r="C6281"/>
      <c r="D6281"/>
      <c r="E6281"/>
    </row>
    <row r="6282" spans="1:5" x14ac:dyDescent="0.2">
      <c r="A6282"/>
      <c r="B6282"/>
      <c r="C6282"/>
      <c r="D6282"/>
      <c r="E6282"/>
    </row>
    <row r="6283" spans="1:5" x14ac:dyDescent="0.2">
      <c r="A6283"/>
      <c r="B6283"/>
      <c r="C6283"/>
      <c r="D6283"/>
      <c r="E6283"/>
    </row>
    <row r="6284" spans="1:5" x14ac:dyDescent="0.2">
      <c r="A6284"/>
      <c r="B6284"/>
      <c r="C6284"/>
      <c r="D6284"/>
      <c r="E6284"/>
    </row>
    <row r="6285" spans="1:5" x14ac:dyDescent="0.2">
      <c r="A6285"/>
      <c r="B6285"/>
      <c r="C6285"/>
      <c r="D6285"/>
      <c r="E6285"/>
    </row>
    <row r="6286" spans="1:5" x14ac:dyDescent="0.2">
      <c r="A6286"/>
      <c r="B6286"/>
      <c r="C6286"/>
      <c r="D6286"/>
      <c r="E6286"/>
    </row>
    <row r="6287" spans="1:5" x14ac:dyDescent="0.2">
      <c r="A6287"/>
      <c r="B6287"/>
      <c r="C6287"/>
      <c r="D6287"/>
      <c r="E6287"/>
    </row>
    <row r="6288" spans="1:5" x14ac:dyDescent="0.2">
      <c r="A6288"/>
      <c r="B6288"/>
      <c r="C6288"/>
      <c r="D6288"/>
      <c r="E6288"/>
    </row>
    <row r="6289" spans="1:5" x14ac:dyDescent="0.2">
      <c r="A6289"/>
      <c r="B6289"/>
      <c r="C6289"/>
      <c r="D6289"/>
      <c r="E6289"/>
    </row>
    <row r="6290" spans="1:5" x14ac:dyDescent="0.2">
      <c r="A6290"/>
      <c r="B6290"/>
      <c r="C6290"/>
      <c r="D6290"/>
      <c r="E6290"/>
    </row>
    <row r="6291" spans="1:5" x14ac:dyDescent="0.2">
      <c r="A6291"/>
      <c r="B6291"/>
      <c r="C6291"/>
      <c r="D6291"/>
      <c r="E6291"/>
    </row>
    <row r="6292" spans="1:5" x14ac:dyDescent="0.2">
      <c r="A6292"/>
      <c r="B6292"/>
      <c r="C6292"/>
      <c r="D6292"/>
      <c r="E6292"/>
    </row>
    <row r="6293" spans="1:5" x14ac:dyDescent="0.2">
      <c r="A6293"/>
      <c r="B6293"/>
      <c r="C6293"/>
      <c r="D6293"/>
      <c r="E6293"/>
    </row>
    <row r="6294" spans="1:5" x14ac:dyDescent="0.2">
      <c r="A6294"/>
      <c r="B6294"/>
      <c r="C6294"/>
      <c r="D6294"/>
      <c r="E6294"/>
    </row>
    <row r="6295" spans="1:5" x14ac:dyDescent="0.2">
      <c r="A6295"/>
      <c r="B6295"/>
      <c r="C6295"/>
      <c r="D6295"/>
      <c r="E6295"/>
    </row>
    <row r="6296" spans="1:5" x14ac:dyDescent="0.2">
      <c r="A6296"/>
      <c r="B6296"/>
      <c r="C6296"/>
      <c r="D6296"/>
      <c r="E6296"/>
    </row>
    <row r="6297" spans="1:5" x14ac:dyDescent="0.2">
      <c r="A6297"/>
      <c r="B6297"/>
      <c r="C6297"/>
      <c r="D6297"/>
      <c r="E6297"/>
    </row>
    <row r="6298" spans="1:5" x14ac:dyDescent="0.2">
      <c r="A6298"/>
      <c r="B6298"/>
      <c r="C6298"/>
      <c r="D6298"/>
      <c r="E6298"/>
    </row>
    <row r="6299" spans="1:5" x14ac:dyDescent="0.2">
      <c r="A6299"/>
      <c r="B6299"/>
      <c r="C6299"/>
      <c r="D6299"/>
      <c r="E6299"/>
    </row>
    <row r="6300" spans="1:5" x14ac:dyDescent="0.2">
      <c r="A6300"/>
      <c r="B6300"/>
      <c r="C6300"/>
      <c r="D6300"/>
      <c r="E6300"/>
    </row>
    <row r="6301" spans="1:5" x14ac:dyDescent="0.2">
      <c r="A6301"/>
      <c r="B6301"/>
      <c r="C6301"/>
      <c r="D6301"/>
      <c r="E6301"/>
    </row>
    <row r="6302" spans="1:5" x14ac:dyDescent="0.2">
      <c r="A6302"/>
      <c r="B6302"/>
      <c r="C6302"/>
      <c r="D6302"/>
      <c r="E6302"/>
    </row>
    <row r="6303" spans="1:5" x14ac:dyDescent="0.2">
      <c r="A6303"/>
      <c r="B6303"/>
      <c r="C6303"/>
      <c r="D6303"/>
      <c r="E6303"/>
    </row>
    <row r="6304" spans="1:5" x14ac:dyDescent="0.2">
      <c r="A6304"/>
      <c r="B6304"/>
      <c r="C6304"/>
      <c r="D6304"/>
      <c r="E6304"/>
    </row>
    <row r="6305" spans="1:5" x14ac:dyDescent="0.2">
      <c r="A6305"/>
      <c r="B6305"/>
      <c r="C6305"/>
      <c r="D6305"/>
      <c r="E6305"/>
    </row>
    <row r="6306" spans="1:5" x14ac:dyDescent="0.2">
      <c r="A6306"/>
      <c r="B6306"/>
      <c r="C6306"/>
      <c r="D6306"/>
      <c r="E6306"/>
    </row>
    <row r="6307" spans="1:5" x14ac:dyDescent="0.2">
      <c r="A6307"/>
      <c r="B6307"/>
      <c r="C6307"/>
      <c r="D6307"/>
      <c r="E6307"/>
    </row>
    <row r="6308" spans="1:5" x14ac:dyDescent="0.2">
      <c r="A6308"/>
      <c r="B6308"/>
      <c r="C6308"/>
      <c r="D6308"/>
      <c r="E6308"/>
    </row>
    <row r="6309" spans="1:5" x14ac:dyDescent="0.2">
      <c r="A6309"/>
      <c r="B6309"/>
      <c r="C6309"/>
      <c r="D6309"/>
      <c r="E6309"/>
    </row>
    <row r="6310" spans="1:5" x14ac:dyDescent="0.2">
      <c r="A6310"/>
      <c r="B6310"/>
      <c r="C6310"/>
      <c r="D6310"/>
      <c r="E6310"/>
    </row>
    <row r="6311" spans="1:5" x14ac:dyDescent="0.2">
      <c r="A6311"/>
      <c r="B6311"/>
      <c r="C6311"/>
      <c r="D6311"/>
      <c r="E6311"/>
    </row>
    <row r="6312" spans="1:5" x14ac:dyDescent="0.2">
      <c r="A6312"/>
      <c r="B6312"/>
      <c r="C6312"/>
      <c r="D6312"/>
      <c r="E6312"/>
    </row>
    <row r="6313" spans="1:5" x14ac:dyDescent="0.2">
      <c r="A6313"/>
      <c r="B6313"/>
      <c r="C6313"/>
      <c r="D6313"/>
      <c r="E6313"/>
    </row>
    <row r="6314" spans="1:5" x14ac:dyDescent="0.2">
      <c r="A6314"/>
      <c r="B6314"/>
      <c r="C6314"/>
      <c r="D6314"/>
      <c r="E6314"/>
    </row>
    <row r="6315" spans="1:5" x14ac:dyDescent="0.2">
      <c r="A6315"/>
      <c r="B6315"/>
      <c r="C6315"/>
      <c r="D6315"/>
      <c r="E6315"/>
    </row>
    <row r="6316" spans="1:5" x14ac:dyDescent="0.2">
      <c r="A6316"/>
      <c r="B6316"/>
      <c r="C6316"/>
      <c r="D6316"/>
      <c r="E6316"/>
    </row>
    <row r="6317" spans="1:5" x14ac:dyDescent="0.2">
      <c r="A6317"/>
      <c r="B6317"/>
      <c r="C6317"/>
      <c r="D6317"/>
      <c r="E6317"/>
    </row>
    <row r="6318" spans="1:5" x14ac:dyDescent="0.2">
      <c r="A6318"/>
      <c r="B6318"/>
      <c r="C6318"/>
      <c r="D6318"/>
      <c r="E6318"/>
    </row>
    <row r="6319" spans="1:5" x14ac:dyDescent="0.2">
      <c r="A6319"/>
      <c r="B6319"/>
      <c r="C6319"/>
      <c r="D6319"/>
      <c r="E6319"/>
    </row>
    <row r="6320" spans="1:5" x14ac:dyDescent="0.2">
      <c r="A6320"/>
      <c r="B6320"/>
      <c r="C6320"/>
      <c r="D6320"/>
      <c r="E6320"/>
    </row>
    <row r="6321" spans="1:5" x14ac:dyDescent="0.2">
      <c r="A6321"/>
      <c r="B6321"/>
      <c r="C6321"/>
      <c r="D6321"/>
      <c r="E6321"/>
    </row>
    <row r="6322" spans="1:5" x14ac:dyDescent="0.2">
      <c r="A6322"/>
      <c r="B6322"/>
      <c r="C6322"/>
      <c r="D6322"/>
      <c r="E6322"/>
    </row>
    <row r="6323" spans="1:5" x14ac:dyDescent="0.2">
      <c r="A6323"/>
      <c r="B6323"/>
      <c r="C6323"/>
      <c r="D6323"/>
      <c r="E6323"/>
    </row>
    <row r="6324" spans="1:5" x14ac:dyDescent="0.2">
      <c r="A6324"/>
      <c r="B6324"/>
      <c r="C6324"/>
      <c r="D6324"/>
      <c r="E6324"/>
    </row>
    <row r="6325" spans="1:5" x14ac:dyDescent="0.2">
      <c r="A6325"/>
      <c r="B6325"/>
      <c r="C6325"/>
      <c r="D6325"/>
      <c r="E6325"/>
    </row>
    <row r="6326" spans="1:5" x14ac:dyDescent="0.2">
      <c r="A6326"/>
      <c r="B6326"/>
      <c r="C6326"/>
      <c r="D6326"/>
      <c r="E6326"/>
    </row>
    <row r="6327" spans="1:5" x14ac:dyDescent="0.2">
      <c r="A6327"/>
      <c r="B6327"/>
      <c r="C6327"/>
      <c r="D6327"/>
      <c r="E6327"/>
    </row>
    <row r="6328" spans="1:5" x14ac:dyDescent="0.2">
      <c r="A6328"/>
      <c r="B6328"/>
      <c r="C6328"/>
      <c r="D6328"/>
      <c r="E6328"/>
    </row>
    <row r="6329" spans="1:5" x14ac:dyDescent="0.2">
      <c r="A6329"/>
      <c r="B6329"/>
      <c r="C6329"/>
      <c r="D6329"/>
      <c r="E6329"/>
    </row>
    <row r="6330" spans="1:5" x14ac:dyDescent="0.2">
      <c r="A6330"/>
      <c r="B6330"/>
      <c r="C6330"/>
      <c r="D6330"/>
      <c r="E6330"/>
    </row>
    <row r="6331" spans="1:5" x14ac:dyDescent="0.2">
      <c r="A6331"/>
      <c r="B6331"/>
      <c r="C6331"/>
      <c r="D6331"/>
      <c r="E6331"/>
    </row>
    <row r="6332" spans="1:5" x14ac:dyDescent="0.2">
      <c r="A6332"/>
      <c r="B6332"/>
      <c r="C6332"/>
      <c r="D6332"/>
      <c r="E6332"/>
    </row>
    <row r="6333" spans="1:5" x14ac:dyDescent="0.2">
      <c r="A6333"/>
      <c r="B6333"/>
      <c r="C6333"/>
      <c r="D6333"/>
      <c r="E6333"/>
    </row>
    <row r="6334" spans="1:5" x14ac:dyDescent="0.2">
      <c r="A6334"/>
      <c r="B6334"/>
      <c r="C6334"/>
      <c r="D6334"/>
      <c r="E6334"/>
    </row>
    <row r="6335" spans="1:5" x14ac:dyDescent="0.2">
      <c r="A6335"/>
      <c r="B6335"/>
      <c r="C6335"/>
      <c r="D6335"/>
      <c r="E6335"/>
    </row>
    <row r="6336" spans="1:5" x14ac:dyDescent="0.2">
      <c r="A6336"/>
      <c r="B6336"/>
      <c r="C6336"/>
      <c r="D6336"/>
      <c r="E6336"/>
    </row>
    <row r="6337" spans="1:5" x14ac:dyDescent="0.2">
      <c r="A6337"/>
      <c r="B6337"/>
      <c r="C6337"/>
      <c r="D6337"/>
      <c r="E6337"/>
    </row>
    <row r="6338" spans="1:5" x14ac:dyDescent="0.2">
      <c r="A6338"/>
      <c r="B6338"/>
      <c r="C6338"/>
      <c r="D6338"/>
      <c r="E6338"/>
    </row>
    <row r="6339" spans="1:5" x14ac:dyDescent="0.2">
      <c r="A6339"/>
      <c r="B6339"/>
      <c r="C6339"/>
      <c r="D6339"/>
      <c r="E6339"/>
    </row>
    <row r="6340" spans="1:5" x14ac:dyDescent="0.2">
      <c r="A6340"/>
      <c r="B6340"/>
      <c r="C6340"/>
      <c r="D6340"/>
      <c r="E6340"/>
    </row>
    <row r="6341" spans="1:5" x14ac:dyDescent="0.2">
      <c r="A6341"/>
      <c r="B6341"/>
      <c r="C6341"/>
      <c r="D6341"/>
      <c r="E6341"/>
    </row>
    <row r="6342" spans="1:5" x14ac:dyDescent="0.2">
      <c r="A6342"/>
      <c r="B6342"/>
      <c r="C6342"/>
      <c r="D6342"/>
      <c r="E6342"/>
    </row>
    <row r="6343" spans="1:5" x14ac:dyDescent="0.2">
      <c r="A6343"/>
      <c r="B6343"/>
      <c r="C6343"/>
      <c r="D6343"/>
      <c r="E6343"/>
    </row>
    <row r="6344" spans="1:5" x14ac:dyDescent="0.2">
      <c r="A6344"/>
      <c r="B6344"/>
      <c r="C6344"/>
      <c r="D6344"/>
      <c r="E6344"/>
    </row>
    <row r="6345" spans="1:5" x14ac:dyDescent="0.2">
      <c r="A6345"/>
      <c r="B6345"/>
      <c r="C6345"/>
      <c r="D6345"/>
      <c r="E6345"/>
    </row>
    <row r="6346" spans="1:5" x14ac:dyDescent="0.2">
      <c r="A6346"/>
      <c r="B6346"/>
      <c r="C6346"/>
      <c r="D6346"/>
      <c r="E6346"/>
    </row>
    <row r="6347" spans="1:5" x14ac:dyDescent="0.2">
      <c r="A6347"/>
      <c r="B6347"/>
      <c r="C6347"/>
      <c r="D6347"/>
      <c r="E6347"/>
    </row>
    <row r="6348" spans="1:5" x14ac:dyDescent="0.2">
      <c r="A6348"/>
      <c r="B6348"/>
      <c r="C6348"/>
      <c r="D6348"/>
      <c r="E6348"/>
    </row>
    <row r="6349" spans="1:5" x14ac:dyDescent="0.2">
      <c r="A6349"/>
      <c r="B6349"/>
      <c r="C6349"/>
      <c r="D6349"/>
      <c r="E6349"/>
    </row>
    <row r="6350" spans="1:5" x14ac:dyDescent="0.2">
      <c r="A6350"/>
      <c r="B6350"/>
      <c r="C6350"/>
      <c r="D6350"/>
      <c r="E6350"/>
    </row>
    <row r="6351" spans="1:5" x14ac:dyDescent="0.2">
      <c r="A6351"/>
      <c r="B6351"/>
      <c r="C6351"/>
      <c r="D6351"/>
      <c r="E6351"/>
    </row>
    <row r="6352" spans="1:5" x14ac:dyDescent="0.2">
      <c r="A6352"/>
      <c r="B6352"/>
      <c r="C6352"/>
      <c r="D6352"/>
      <c r="E6352"/>
    </row>
    <row r="6353" spans="1:5" x14ac:dyDescent="0.2">
      <c r="A6353"/>
      <c r="B6353"/>
      <c r="C6353"/>
      <c r="D6353"/>
      <c r="E6353"/>
    </row>
    <row r="6354" spans="1:5" x14ac:dyDescent="0.2">
      <c r="A6354"/>
      <c r="B6354"/>
      <c r="C6354"/>
      <c r="D6354"/>
      <c r="E6354"/>
    </row>
    <row r="6355" spans="1:5" x14ac:dyDescent="0.2">
      <c r="A6355"/>
      <c r="B6355"/>
      <c r="C6355"/>
      <c r="D6355"/>
      <c r="E6355"/>
    </row>
    <row r="6356" spans="1:5" x14ac:dyDescent="0.2">
      <c r="A6356"/>
      <c r="B6356"/>
      <c r="C6356"/>
      <c r="D6356"/>
      <c r="E6356"/>
    </row>
    <row r="6357" spans="1:5" x14ac:dyDescent="0.2">
      <c r="A6357"/>
      <c r="B6357"/>
      <c r="C6357"/>
      <c r="D6357"/>
      <c r="E6357"/>
    </row>
    <row r="6358" spans="1:5" x14ac:dyDescent="0.2">
      <c r="A6358"/>
      <c r="B6358"/>
      <c r="C6358"/>
      <c r="D6358"/>
      <c r="E6358"/>
    </row>
    <row r="6359" spans="1:5" x14ac:dyDescent="0.2">
      <c r="A6359"/>
      <c r="B6359"/>
      <c r="C6359"/>
      <c r="D6359"/>
      <c r="E6359"/>
    </row>
    <row r="6360" spans="1:5" x14ac:dyDescent="0.2">
      <c r="A6360"/>
      <c r="B6360"/>
      <c r="C6360"/>
      <c r="D6360"/>
      <c r="E6360"/>
    </row>
    <row r="6361" spans="1:5" x14ac:dyDescent="0.2">
      <c r="A6361"/>
      <c r="B6361"/>
      <c r="C6361"/>
      <c r="D6361"/>
      <c r="E6361"/>
    </row>
    <row r="6362" spans="1:5" x14ac:dyDescent="0.2">
      <c r="A6362"/>
      <c r="B6362"/>
      <c r="C6362"/>
      <c r="D6362"/>
      <c r="E6362"/>
    </row>
    <row r="6363" spans="1:5" x14ac:dyDescent="0.2">
      <c r="A6363"/>
      <c r="B6363"/>
      <c r="C6363"/>
      <c r="D6363"/>
      <c r="E6363"/>
    </row>
    <row r="6364" spans="1:5" x14ac:dyDescent="0.2">
      <c r="A6364"/>
      <c r="B6364"/>
      <c r="C6364"/>
      <c r="D6364"/>
      <c r="E6364"/>
    </row>
    <row r="6365" spans="1:5" x14ac:dyDescent="0.2">
      <c r="A6365"/>
      <c r="B6365"/>
      <c r="C6365"/>
      <c r="D6365"/>
      <c r="E6365"/>
    </row>
    <row r="6366" spans="1:5" x14ac:dyDescent="0.2">
      <c r="A6366"/>
      <c r="B6366"/>
      <c r="C6366"/>
      <c r="D6366"/>
      <c r="E6366"/>
    </row>
    <row r="6367" spans="1:5" x14ac:dyDescent="0.2">
      <c r="A6367"/>
      <c r="B6367"/>
      <c r="C6367"/>
      <c r="D6367"/>
      <c r="E6367"/>
    </row>
    <row r="6368" spans="1:5" x14ac:dyDescent="0.2">
      <c r="A6368"/>
      <c r="B6368"/>
      <c r="C6368"/>
      <c r="D6368"/>
      <c r="E6368"/>
    </row>
    <row r="6369" spans="1:5" x14ac:dyDescent="0.2">
      <c r="A6369"/>
      <c r="B6369"/>
      <c r="C6369"/>
      <c r="D6369"/>
      <c r="E6369"/>
    </row>
    <row r="6370" spans="1:5" x14ac:dyDescent="0.2">
      <c r="A6370"/>
      <c r="B6370"/>
      <c r="C6370"/>
      <c r="D6370"/>
      <c r="E6370"/>
    </row>
    <row r="6371" spans="1:5" x14ac:dyDescent="0.2">
      <c r="A6371"/>
      <c r="B6371"/>
      <c r="C6371"/>
      <c r="D6371"/>
      <c r="E6371"/>
    </row>
    <row r="6372" spans="1:5" x14ac:dyDescent="0.2">
      <c r="A6372"/>
      <c r="B6372"/>
      <c r="C6372"/>
      <c r="D6372"/>
      <c r="E6372"/>
    </row>
    <row r="6373" spans="1:5" x14ac:dyDescent="0.2">
      <c r="A6373"/>
      <c r="B6373"/>
      <c r="C6373"/>
      <c r="D6373"/>
      <c r="E6373"/>
    </row>
    <row r="6374" spans="1:5" x14ac:dyDescent="0.2">
      <c r="A6374"/>
      <c r="B6374"/>
      <c r="C6374"/>
      <c r="D6374"/>
      <c r="E6374"/>
    </row>
    <row r="6375" spans="1:5" x14ac:dyDescent="0.2">
      <c r="A6375"/>
      <c r="B6375"/>
      <c r="C6375"/>
      <c r="D6375"/>
      <c r="E6375"/>
    </row>
    <row r="6376" spans="1:5" x14ac:dyDescent="0.2">
      <c r="A6376"/>
      <c r="B6376"/>
      <c r="C6376"/>
      <c r="D6376"/>
      <c r="E6376"/>
    </row>
    <row r="6377" spans="1:5" x14ac:dyDescent="0.2">
      <c r="A6377"/>
      <c r="B6377"/>
      <c r="C6377"/>
      <c r="D6377"/>
      <c r="E6377"/>
    </row>
    <row r="6378" spans="1:5" x14ac:dyDescent="0.2">
      <c r="A6378"/>
      <c r="B6378"/>
      <c r="C6378"/>
      <c r="D6378"/>
      <c r="E6378"/>
    </row>
    <row r="6379" spans="1:5" x14ac:dyDescent="0.2">
      <c r="A6379"/>
      <c r="B6379"/>
      <c r="C6379"/>
      <c r="D6379"/>
      <c r="E6379"/>
    </row>
    <row r="6380" spans="1:5" x14ac:dyDescent="0.2">
      <c r="A6380"/>
      <c r="B6380"/>
      <c r="C6380"/>
      <c r="D6380"/>
      <c r="E6380"/>
    </row>
    <row r="6381" spans="1:5" x14ac:dyDescent="0.2">
      <c r="A6381"/>
      <c r="B6381"/>
      <c r="C6381"/>
      <c r="D6381"/>
      <c r="E6381"/>
    </row>
    <row r="6382" spans="1:5" x14ac:dyDescent="0.2">
      <c r="A6382"/>
      <c r="B6382"/>
      <c r="C6382"/>
      <c r="D6382"/>
      <c r="E6382"/>
    </row>
    <row r="6383" spans="1:5" x14ac:dyDescent="0.2">
      <c r="A6383"/>
      <c r="B6383"/>
      <c r="C6383"/>
      <c r="D6383"/>
      <c r="E6383"/>
    </row>
    <row r="6384" spans="1:5" x14ac:dyDescent="0.2">
      <c r="A6384"/>
      <c r="B6384"/>
      <c r="C6384"/>
      <c r="D6384"/>
      <c r="E6384"/>
    </row>
    <row r="6385" spans="1:5" x14ac:dyDescent="0.2">
      <c r="A6385"/>
      <c r="B6385"/>
      <c r="C6385"/>
      <c r="D6385"/>
      <c r="E6385"/>
    </row>
    <row r="6386" spans="1:5" x14ac:dyDescent="0.2">
      <c r="A6386"/>
      <c r="B6386"/>
      <c r="C6386"/>
      <c r="D6386"/>
      <c r="E6386"/>
    </row>
    <row r="6387" spans="1:5" x14ac:dyDescent="0.2">
      <c r="A6387"/>
      <c r="B6387"/>
      <c r="C6387"/>
      <c r="D6387"/>
      <c r="E6387"/>
    </row>
    <row r="6388" spans="1:5" x14ac:dyDescent="0.2">
      <c r="A6388"/>
      <c r="B6388"/>
      <c r="C6388"/>
      <c r="D6388"/>
      <c r="E6388"/>
    </row>
    <row r="6389" spans="1:5" x14ac:dyDescent="0.2">
      <c r="A6389"/>
      <c r="B6389"/>
      <c r="C6389"/>
      <c r="D6389"/>
      <c r="E6389"/>
    </row>
    <row r="6390" spans="1:5" x14ac:dyDescent="0.2">
      <c r="A6390"/>
      <c r="B6390"/>
      <c r="C6390"/>
      <c r="D6390"/>
      <c r="E6390"/>
    </row>
    <row r="6391" spans="1:5" x14ac:dyDescent="0.2">
      <c r="A6391"/>
      <c r="B6391"/>
      <c r="C6391"/>
      <c r="D6391"/>
      <c r="E6391"/>
    </row>
    <row r="6392" spans="1:5" x14ac:dyDescent="0.2">
      <c r="A6392"/>
      <c r="B6392"/>
      <c r="C6392"/>
      <c r="D6392"/>
      <c r="E6392"/>
    </row>
    <row r="6393" spans="1:5" x14ac:dyDescent="0.2">
      <c r="A6393"/>
      <c r="B6393"/>
      <c r="C6393"/>
      <c r="D6393"/>
      <c r="E6393"/>
    </row>
    <row r="6394" spans="1:5" x14ac:dyDescent="0.2">
      <c r="A6394"/>
      <c r="B6394"/>
      <c r="C6394"/>
      <c r="D6394"/>
      <c r="E6394"/>
    </row>
    <row r="6395" spans="1:5" x14ac:dyDescent="0.2">
      <c r="A6395"/>
      <c r="B6395"/>
      <c r="C6395"/>
      <c r="D6395"/>
      <c r="E6395"/>
    </row>
    <row r="6396" spans="1:5" x14ac:dyDescent="0.2">
      <c r="A6396"/>
      <c r="B6396"/>
      <c r="C6396"/>
      <c r="D6396"/>
      <c r="E6396"/>
    </row>
    <row r="6397" spans="1:5" x14ac:dyDescent="0.2">
      <c r="A6397"/>
      <c r="B6397"/>
      <c r="C6397"/>
      <c r="D6397"/>
      <c r="E6397"/>
    </row>
    <row r="6398" spans="1:5" x14ac:dyDescent="0.2">
      <c r="A6398"/>
      <c r="B6398"/>
      <c r="C6398"/>
      <c r="D6398"/>
      <c r="E6398"/>
    </row>
    <row r="6399" spans="1:5" x14ac:dyDescent="0.2">
      <c r="A6399"/>
      <c r="B6399"/>
      <c r="C6399"/>
      <c r="D6399"/>
      <c r="E6399"/>
    </row>
    <row r="6400" spans="1:5" x14ac:dyDescent="0.2">
      <c r="A6400"/>
      <c r="B6400"/>
      <c r="C6400"/>
      <c r="D6400"/>
      <c r="E6400"/>
    </row>
    <row r="6401" spans="1:5" x14ac:dyDescent="0.2">
      <c r="A6401"/>
      <c r="B6401"/>
      <c r="C6401"/>
      <c r="D6401"/>
      <c r="E6401"/>
    </row>
    <row r="6402" spans="1:5" x14ac:dyDescent="0.2">
      <c r="A6402"/>
      <c r="B6402"/>
      <c r="C6402"/>
      <c r="D6402"/>
      <c r="E6402"/>
    </row>
    <row r="6403" spans="1:5" x14ac:dyDescent="0.2">
      <c r="A6403"/>
      <c r="B6403"/>
      <c r="C6403"/>
      <c r="D6403"/>
      <c r="E6403"/>
    </row>
    <row r="6404" spans="1:5" x14ac:dyDescent="0.2">
      <c r="A6404"/>
      <c r="B6404"/>
      <c r="C6404"/>
      <c r="D6404"/>
      <c r="E6404"/>
    </row>
    <row r="6405" spans="1:5" x14ac:dyDescent="0.2">
      <c r="A6405"/>
      <c r="B6405"/>
      <c r="C6405"/>
      <c r="D6405"/>
      <c r="E6405"/>
    </row>
    <row r="6406" spans="1:5" x14ac:dyDescent="0.2">
      <c r="A6406"/>
      <c r="B6406"/>
      <c r="C6406"/>
      <c r="D6406"/>
      <c r="E6406"/>
    </row>
    <row r="6407" spans="1:5" x14ac:dyDescent="0.2">
      <c r="A6407"/>
      <c r="B6407"/>
      <c r="C6407"/>
      <c r="D6407"/>
      <c r="E6407"/>
    </row>
    <row r="6408" spans="1:5" x14ac:dyDescent="0.2">
      <c r="A6408"/>
      <c r="B6408"/>
      <c r="C6408"/>
      <c r="D6408"/>
      <c r="E6408"/>
    </row>
    <row r="6409" spans="1:5" x14ac:dyDescent="0.2">
      <c r="A6409"/>
      <c r="B6409"/>
      <c r="C6409"/>
      <c r="D6409"/>
      <c r="E6409"/>
    </row>
    <row r="6410" spans="1:5" x14ac:dyDescent="0.2">
      <c r="A6410"/>
      <c r="B6410"/>
      <c r="C6410"/>
      <c r="D6410"/>
      <c r="E6410"/>
    </row>
    <row r="6411" spans="1:5" x14ac:dyDescent="0.2">
      <c r="A6411"/>
      <c r="B6411"/>
      <c r="C6411"/>
      <c r="D6411"/>
      <c r="E6411"/>
    </row>
    <row r="6412" spans="1:5" x14ac:dyDescent="0.2">
      <c r="A6412"/>
      <c r="B6412"/>
      <c r="C6412"/>
      <c r="D6412"/>
      <c r="E6412"/>
    </row>
    <row r="6413" spans="1:5" x14ac:dyDescent="0.2">
      <c r="A6413"/>
      <c r="B6413"/>
      <c r="C6413"/>
      <c r="D6413"/>
      <c r="E6413"/>
    </row>
    <row r="6414" spans="1:5" x14ac:dyDescent="0.2">
      <c r="A6414"/>
      <c r="B6414"/>
      <c r="C6414"/>
      <c r="D6414"/>
      <c r="E6414"/>
    </row>
    <row r="6415" spans="1:5" x14ac:dyDescent="0.2">
      <c r="A6415"/>
      <c r="B6415"/>
      <c r="C6415"/>
      <c r="D6415"/>
      <c r="E6415"/>
    </row>
    <row r="6416" spans="1:5" x14ac:dyDescent="0.2">
      <c r="A6416"/>
      <c r="B6416"/>
      <c r="C6416"/>
      <c r="D6416"/>
      <c r="E6416"/>
    </row>
    <row r="6417" spans="1:5" x14ac:dyDescent="0.2">
      <c r="A6417"/>
      <c r="B6417"/>
      <c r="C6417"/>
      <c r="D6417"/>
      <c r="E6417"/>
    </row>
    <row r="6418" spans="1:5" x14ac:dyDescent="0.2">
      <c r="A6418"/>
      <c r="B6418"/>
      <c r="C6418"/>
      <c r="D6418"/>
      <c r="E6418"/>
    </row>
    <row r="6419" spans="1:5" x14ac:dyDescent="0.2">
      <c r="A6419"/>
      <c r="B6419"/>
      <c r="C6419"/>
      <c r="D6419"/>
      <c r="E6419"/>
    </row>
    <row r="6420" spans="1:5" x14ac:dyDescent="0.2">
      <c r="A6420"/>
      <c r="B6420"/>
      <c r="C6420"/>
      <c r="D6420"/>
      <c r="E6420"/>
    </row>
    <row r="6421" spans="1:5" x14ac:dyDescent="0.2">
      <c r="A6421"/>
      <c r="B6421"/>
      <c r="C6421"/>
      <c r="D6421"/>
      <c r="E6421"/>
    </row>
    <row r="6422" spans="1:5" x14ac:dyDescent="0.2">
      <c r="A6422"/>
      <c r="B6422"/>
      <c r="C6422"/>
      <c r="D6422"/>
      <c r="E6422"/>
    </row>
    <row r="6423" spans="1:5" x14ac:dyDescent="0.2">
      <c r="A6423"/>
      <c r="B6423"/>
      <c r="C6423"/>
      <c r="D6423"/>
      <c r="E6423"/>
    </row>
    <row r="6424" spans="1:5" x14ac:dyDescent="0.2">
      <c r="A6424"/>
      <c r="B6424"/>
      <c r="C6424"/>
      <c r="D6424"/>
      <c r="E6424"/>
    </row>
    <row r="6425" spans="1:5" x14ac:dyDescent="0.2">
      <c r="A6425"/>
      <c r="B6425"/>
      <c r="C6425"/>
      <c r="D6425"/>
      <c r="E6425"/>
    </row>
    <row r="6426" spans="1:5" x14ac:dyDescent="0.2">
      <c r="A6426"/>
      <c r="B6426"/>
      <c r="C6426"/>
      <c r="D6426"/>
      <c r="E6426"/>
    </row>
    <row r="6427" spans="1:5" x14ac:dyDescent="0.2">
      <c r="A6427"/>
      <c r="B6427"/>
      <c r="C6427"/>
      <c r="D6427"/>
      <c r="E6427"/>
    </row>
    <row r="6428" spans="1:5" x14ac:dyDescent="0.2">
      <c r="A6428"/>
      <c r="B6428"/>
      <c r="C6428"/>
      <c r="D6428"/>
      <c r="E6428"/>
    </row>
    <row r="6429" spans="1:5" x14ac:dyDescent="0.2">
      <c r="A6429"/>
      <c r="B6429"/>
      <c r="C6429"/>
      <c r="D6429"/>
      <c r="E6429"/>
    </row>
    <row r="6430" spans="1:5" x14ac:dyDescent="0.2">
      <c r="A6430"/>
      <c r="B6430"/>
      <c r="C6430"/>
      <c r="D6430"/>
      <c r="E6430"/>
    </row>
    <row r="6431" spans="1:5" x14ac:dyDescent="0.2">
      <c r="A6431"/>
      <c r="B6431"/>
      <c r="C6431"/>
      <c r="D6431"/>
      <c r="E6431"/>
    </row>
    <row r="6432" spans="1:5" x14ac:dyDescent="0.2">
      <c r="A6432"/>
      <c r="B6432"/>
      <c r="C6432"/>
      <c r="D6432"/>
      <c r="E6432"/>
    </row>
    <row r="6433" spans="1:5" x14ac:dyDescent="0.2">
      <c r="A6433"/>
      <c r="B6433"/>
      <c r="C6433"/>
      <c r="D6433"/>
      <c r="E6433"/>
    </row>
    <row r="6434" spans="1:5" x14ac:dyDescent="0.2">
      <c r="A6434"/>
      <c r="B6434"/>
      <c r="C6434"/>
      <c r="D6434"/>
      <c r="E6434"/>
    </row>
    <row r="6435" spans="1:5" x14ac:dyDescent="0.2">
      <c r="A6435"/>
      <c r="B6435"/>
      <c r="C6435"/>
      <c r="D6435"/>
      <c r="E6435"/>
    </row>
    <row r="6436" spans="1:5" x14ac:dyDescent="0.2">
      <c r="A6436"/>
      <c r="B6436"/>
      <c r="C6436"/>
      <c r="D6436"/>
      <c r="E6436"/>
    </row>
    <row r="6437" spans="1:5" x14ac:dyDescent="0.2">
      <c r="A6437"/>
      <c r="B6437"/>
      <c r="C6437"/>
      <c r="D6437"/>
      <c r="E6437"/>
    </row>
    <row r="6438" spans="1:5" x14ac:dyDescent="0.2">
      <c r="A6438"/>
      <c r="B6438"/>
      <c r="C6438"/>
      <c r="D6438"/>
      <c r="E6438"/>
    </row>
    <row r="6439" spans="1:5" x14ac:dyDescent="0.2">
      <c r="A6439"/>
      <c r="B6439"/>
      <c r="C6439"/>
      <c r="D6439"/>
      <c r="E6439"/>
    </row>
    <row r="6440" spans="1:5" x14ac:dyDescent="0.2">
      <c r="A6440"/>
      <c r="B6440"/>
      <c r="C6440"/>
      <c r="D6440"/>
      <c r="E6440"/>
    </row>
    <row r="6441" spans="1:5" x14ac:dyDescent="0.2">
      <c r="A6441"/>
      <c r="B6441"/>
      <c r="C6441"/>
      <c r="D6441"/>
      <c r="E6441"/>
    </row>
    <row r="6442" spans="1:5" x14ac:dyDescent="0.2">
      <c r="A6442"/>
      <c r="B6442"/>
      <c r="C6442"/>
      <c r="D6442"/>
      <c r="E6442"/>
    </row>
    <row r="6443" spans="1:5" x14ac:dyDescent="0.2">
      <c r="A6443"/>
      <c r="B6443"/>
      <c r="C6443"/>
      <c r="D6443"/>
      <c r="E6443"/>
    </row>
    <row r="6444" spans="1:5" x14ac:dyDescent="0.2">
      <c r="A6444"/>
      <c r="B6444"/>
      <c r="C6444"/>
      <c r="D6444"/>
      <c r="E6444"/>
    </row>
    <row r="6445" spans="1:5" x14ac:dyDescent="0.2">
      <c r="A6445"/>
      <c r="B6445"/>
      <c r="C6445"/>
      <c r="D6445"/>
      <c r="E6445"/>
    </row>
    <row r="6446" spans="1:5" x14ac:dyDescent="0.2">
      <c r="A6446"/>
      <c r="B6446"/>
      <c r="C6446"/>
      <c r="D6446"/>
      <c r="E6446"/>
    </row>
    <row r="6447" spans="1:5" x14ac:dyDescent="0.2">
      <c r="A6447"/>
      <c r="B6447"/>
      <c r="C6447"/>
      <c r="D6447"/>
      <c r="E6447"/>
    </row>
    <row r="6448" spans="1:5" x14ac:dyDescent="0.2">
      <c r="A6448"/>
      <c r="B6448"/>
      <c r="C6448"/>
      <c r="D6448"/>
      <c r="E6448"/>
    </row>
    <row r="6449" spans="1:5" x14ac:dyDescent="0.2">
      <c r="A6449"/>
      <c r="B6449"/>
      <c r="C6449"/>
      <c r="D6449"/>
      <c r="E6449"/>
    </row>
    <row r="6450" spans="1:5" x14ac:dyDescent="0.2">
      <c r="A6450"/>
      <c r="B6450"/>
      <c r="C6450"/>
      <c r="D6450"/>
      <c r="E6450"/>
    </row>
    <row r="6451" spans="1:5" x14ac:dyDescent="0.2">
      <c r="A6451"/>
      <c r="B6451"/>
      <c r="C6451"/>
      <c r="D6451"/>
      <c r="E6451"/>
    </row>
    <row r="6452" spans="1:5" x14ac:dyDescent="0.2">
      <c r="A6452"/>
      <c r="B6452"/>
      <c r="C6452"/>
      <c r="D6452"/>
      <c r="E6452"/>
    </row>
    <row r="6453" spans="1:5" x14ac:dyDescent="0.2">
      <c r="A6453"/>
      <c r="B6453"/>
      <c r="C6453"/>
      <c r="D6453"/>
      <c r="E6453"/>
    </row>
    <row r="6454" spans="1:5" x14ac:dyDescent="0.2">
      <c r="A6454"/>
      <c r="B6454"/>
      <c r="C6454"/>
      <c r="D6454"/>
      <c r="E6454"/>
    </row>
    <row r="6455" spans="1:5" x14ac:dyDescent="0.2">
      <c r="A6455"/>
      <c r="B6455"/>
      <c r="C6455"/>
      <c r="D6455"/>
      <c r="E6455"/>
    </row>
    <row r="6456" spans="1:5" x14ac:dyDescent="0.2">
      <c r="A6456"/>
      <c r="B6456"/>
      <c r="C6456"/>
      <c r="D6456"/>
      <c r="E6456"/>
    </row>
    <row r="6457" spans="1:5" x14ac:dyDescent="0.2">
      <c r="A6457"/>
      <c r="B6457"/>
      <c r="C6457"/>
      <c r="D6457"/>
      <c r="E6457"/>
    </row>
    <row r="6458" spans="1:5" x14ac:dyDescent="0.2">
      <c r="A6458"/>
      <c r="B6458"/>
      <c r="C6458"/>
      <c r="D6458"/>
      <c r="E6458"/>
    </row>
    <row r="6459" spans="1:5" x14ac:dyDescent="0.2">
      <c r="A6459"/>
      <c r="B6459"/>
      <c r="C6459"/>
      <c r="D6459"/>
      <c r="E6459"/>
    </row>
    <row r="6460" spans="1:5" x14ac:dyDescent="0.2">
      <c r="A6460"/>
      <c r="B6460"/>
      <c r="C6460"/>
      <c r="D6460"/>
      <c r="E6460"/>
    </row>
    <row r="6461" spans="1:5" x14ac:dyDescent="0.2">
      <c r="A6461"/>
      <c r="B6461"/>
      <c r="C6461"/>
      <c r="D6461"/>
      <c r="E6461"/>
    </row>
    <row r="6462" spans="1:5" x14ac:dyDescent="0.2">
      <c r="A6462"/>
      <c r="B6462"/>
      <c r="C6462"/>
      <c r="D6462"/>
      <c r="E6462"/>
    </row>
    <row r="6463" spans="1:5" x14ac:dyDescent="0.2">
      <c r="A6463"/>
      <c r="B6463"/>
      <c r="C6463"/>
      <c r="D6463"/>
      <c r="E6463"/>
    </row>
    <row r="6464" spans="1:5" x14ac:dyDescent="0.2">
      <c r="A6464"/>
      <c r="B6464"/>
      <c r="C6464"/>
      <c r="D6464"/>
      <c r="E6464"/>
    </row>
    <row r="6465" spans="1:5" x14ac:dyDescent="0.2">
      <c r="A6465"/>
      <c r="B6465"/>
      <c r="C6465"/>
      <c r="D6465"/>
      <c r="E6465"/>
    </row>
    <row r="6466" spans="1:5" x14ac:dyDescent="0.2">
      <c r="A6466"/>
      <c r="B6466"/>
      <c r="C6466"/>
      <c r="D6466"/>
      <c r="E6466"/>
    </row>
    <row r="6467" spans="1:5" x14ac:dyDescent="0.2">
      <c r="A6467"/>
      <c r="B6467"/>
      <c r="C6467"/>
      <c r="D6467"/>
      <c r="E6467"/>
    </row>
    <row r="6468" spans="1:5" x14ac:dyDescent="0.2">
      <c r="A6468"/>
      <c r="B6468"/>
      <c r="C6468"/>
      <c r="D6468"/>
      <c r="E6468"/>
    </row>
    <row r="6469" spans="1:5" x14ac:dyDescent="0.2">
      <c r="A6469"/>
      <c r="B6469"/>
      <c r="C6469"/>
      <c r="D6469"/>
      <c r="E6469"/>
    </row>
    <row r="6470" spans="1:5" x14ac:dyDescent="0.2">
      <c r="A6470"/>
      <c r="B6470"/>
      <c r="C6470"/>
      <c r="D6470"/>
      <c r="E6470"/>
    </row>
    <row r="6471" spans="1:5" x14ac:dyDescent="0.2">
      <c r="A6471"/>
      <c r="B6471"/>
      <c r="C6471"/>
      <c r="D6471"/>
      <c r="E6471"/>
    </row>
    <row r="6472" spans="1:5" x14ac:dyDescent="0.2">
      <c r="A6472"/>
      <c r="B6472"/>
      <c r="C6472"/>
      <c r="D6472"/>
      <c r="E6472"/>
    </row>
    <row r="6473" spans="1:5" x14ac:dyDescent="0.2">
      <c r="A6473"/>
      <c r="B6473"/>
      <c r="C6473"/>
      <c r="D6473"/>
      <c r="E6473"/>
    </row>
    <row r="6474" spans="1:5" x14ac:dyDescent="0.2">
      <c r="A6474"/>
      <c r="B6474"/>
      <c r="C6474"/>
      <c r="D6474"/>
      <c r="E6474"/>
    </row>
    <row r="6475" spans="1:5" x14ac:dyDescent="0.2">
      <c r="A6475"/>
      <c r="B6475"/>
      <c r="C6475"/>
      <c r="D6475"/>
      <c r="E6475"/>
    </row>
    <row r="6476" spans="1:5" x14ac:dyDescent="0.2">
      <c r="A6476"/>
      <c r="B6476"/>
      <c r="C6476"/>
      <c r="D6476"/>
      <c r="E6476"/>
    </row>
    <row r="6477" spans="1:5" x14ac:dyDescent="0.2">
      <c r="A6477"/>
      <c r="B6477"/>
      <c r="C6477"/>
      <c r="D6477"/>
      <c r="E6477"/>
    </row>
    <row r="6478" spans="1:5" x14ac:dyDescent="0.2">
      <c r="A6478"/>
      <c r="B6478"/>
      <c r="C6478"/>
      <c r="D6478"/>
      <c r="E6478"/>
    </row>
    <row r="6479" spans="1:5" x14ac:dyDescent="0.2">
      <c r="A6479"/>
      <c r="B6479"/>
      <c r="C6479"/>
      <c r="D6479"/>
      <c r="E6479"/>
    </row>
    <row r="6480" spans="1:5" x14ac:dyDescent="0.2">
      <c r="A6480"/>
      <c r="B6480"/>
      <c r="C6480"/>
      <c r="D6480"/>
      <c r="E6480"/>
    </row>
    <row r="6481" spans="1:5" x14ac:dyDescent="0.2">
      <c r="A6481"/>
      <c r="B6481"/>
      <c r="C6481"/>
      <c r="D6481"/>
      <c r="E6481"/>
    </row>
    <row r="6482" spans="1:5" x14ac:dyDescent="0.2">
      <c r="A6482"/>
      <c r="B6482"/>
      <c r="C6482"/>
      <c r="D6482"/>
      <c r="E6482"/>
    </row>
    <row r="6483" spans="1:5" x14ac:dyDescent="0.2">
      <c r="A6483"/>
      <c r="B6483"/>
      <c r="C6483"/>
      <c r="D6483"/>
      <c r="E6483"/>
    </row>
    <row r="6484" spans="1:5" x14ac:dyDescent="0.2">
      <c r="A6484"/>
      <c r="B6484"/>
      <c r="C6484"/>
      <c r="D6484"/>
      <c r="E6484"/>
    </row>
    <row r="6485" spans="1:5" x14ac:dyDescent="0.2">
      <c r="A6485"/>
      <c r="B6485"/>
      <c r="C6485"/>
      <c r="D6485"/>
      <c r="E6485"/>
    </row>
    <row r="6486" spans="1:5" x14ac:dyDescent="0.2">
      <c r="A6486"/>
      <c r="B6486"/>
      <c r="C6486"/>
      <c r="D6486"/>
      <c r="E6486"/>
    </row>
    <row r="6487" spans="1:5" x14ac:dyDescent="0.2">
      <c r="A6487"/>
      <c r="B6487"/>
      <c r="C6487"/>
      <c r="D6487"/>
      <c r="E6487"/>
    </row>
    <row r="6488" spans="1:5" x14ac:dyDescent="0.2">
      <c r="A6488"/>
      <c r="B6488"/>
      <c r="C6488"/>
      <c r="D6488"/>
      <c r="E6488"/>
    </row>
    <row r="6489" spans="1:5" x14ac:dyDescent="0.2">
      <c r="A6489"/>
      <c r="B6489"/>
      <c r="C6489"/>
      <c r="D6489"/>
      <c r="E6489"/>
    </row>
    <row r="6490" spans="1:5" x14ac:dyDescent="0.2">
      <c r="A6490"/>
      <c r="B6490"/>
      <c r="C6490"/>
      <c r="D6490"/>
      <c r="E6490"/>
    </row>
    <row r="6491" spans="1:5" x14ac:dyDescent="0.2">
      <c r="A6491"/>
      <c r="B6491"/>
      <c r="C6491"/>
      <c r="D6491"/>
      <c r="E6491"/>
    </row>
    <row r="6492" spans="1:5" x14ac:dyDescent="0.2">
      <c r="A6492"/>
      <c r="B6492"/>
      <c r="C6492"/>
      <c r="D6492"/>
      <c r="E6492"/>
    </row>
    <row r="6493" spans="1:5" x14ac:dyDescent="0.2">
      <c r="A6493"/>
      <c r="B6493"/>
      <c r="C6493"/>
      <c r="D6493"/>
      <c r="E6493"/>
    </row>
    <row r="6494" spans="1:5" x14ac:dyDescent="0.2">
      <c r="A6494"/>
      <c r="B6494"/>
      <c r="C6494"/>
      <c r="D6494"/>
      <c r="E6494"/>
    </row>
    <row r="6495" spans="1:5" x14ac:dyDescent="0.2">
      <c r="A6495"/>
      <c r="B6495"/>
      <c r="C6495"/>
      <c r="D6495"/>
      <c r="E6495"/>
    </row>
    <row r="6496" spans="1:5" x14ac:dyDescent="0.2">
      <c r="A6496"/>
      <c r="B6496"/>
      <c r="C6496"/>
      <c r="D6496"/>
      <c r="E6496"/>
    </row>
    <row r="6497" spans="1:5" x14ac:dyDescent="0.2">
      <c r="A6497"/>
      <c r="B6497"/>
      <c r="C6497"/>
      <c r="D6497"/>
      <c r="E6497"/>
    </row>
    <row r="6498" spans="1:5" x14ac:dyDescent="0.2">
      <c r="A6498"/>
      <c r="B6498"/>
      <c r="C6498"/>
      <c r="D6498"/>
      <c r="E6498"/>
    </row>
    <row r="6499" spans="1:5" x14ac:dyDescent="0.2">
      <c r="A6499"/>
      <c r="B6499"/>
      <c r="C6499"/>
      <c r="D6499"/>
      <c r="E6499"/>
    </row>
    <row r="6500" spans="1:5" x14ac:dyDescent="0.2">
      <c r="A6500"/>
      <c r="B6500"/>
      <c r="C6500"/>
      <c r="D6500"/>
      <c r="E6500"/>
    </row>
    <row r="6501" spans="1:5" x14ac:dyDescent="0.2">
      <c r="A6501"/>
      <c r="B6501"/>
      <c r="C6501"/>
      <c r="D6501"/>
      <c r="E6501"/>
    </row>
    <row r="6502" spans="1:5" x14ac:dyDescent="0.2">
      <c r="A6502"/>
      <c r="B6502"/>
      <c r="C6502"/>
      <c r="D6502"/>
      <c r="E6502"/>
    </row>
    <row r="6503" spans="1:5" x14ac:dyDescent="0.2">
      <c r="A6503"/>
      <c r="B6503"/>
      <c r="C6503"/>
      <c r="D6503"/>
      <c r="E6503"/>
    </row>
    <row r="6504" spans="1:5" x14ac:dyDescent="0.2">
      <c r="A6504"/>
      <c r="B6504"/>
      <c r="C6504"/>
      <c r="D6504"/>
      <c r="E6504"/>
    </row>
    <row r="6505" spans="1:5" x14ac:dyDescent="0.2">
      <c r="A6505"/>
      <c r="B6505"/>
      <c r="C6505"/>
      <c r="D6505"/>
      <c r="E6505"/>
    </row>
    <row r="6506" spans="1:5" x14ac:dyDescent="0.2">
      <c r="A6506"/>
      <c r="B6506"/>
      <c r="C6506"/>
      <c r="D6506"/>
      <c r="E6506"/>
    </row>
    <row r="6507" spans="1:5" x14ac:dyDescent="0.2">
      <c r="A6507"/>
      <c r="B6507"/>
      <c r="C6507"/>
      <c r="D6507"/>
      <c r="E6507"/>
    </row>
    <row r="6508" spans="1:5" x14ac:dyDescent="0.2">
      <c r="A6508"/>
      <c r="B6508"/>
      <c r="C6508"/>
      <c r="D6508"/>
      <c r="E6508"/>
    </row>
    <row r="6509" spans="1:5" x14ac:dyDescent="0.2">
      <c r="A6509"/>
      <c r="B6509"/>
      <c r="C6509"/>
      <c r="D6509"/>
      <c r="E6509"/>
    </row>
    <row r="6510" spans="1:5" x14ac:dyDescent="0.2">
      <c r="A6510"/>
      <c r="B6510"/>
      <c r="C6510"/>
      <c r="D6510"/>
      <c r="E6510"/>
    </row>
    <row r="6511" spans="1:5" x14ac:dyDescent="0.2">
      <c r="A6511"/>
      <c r="B6511"/>
      <c r="C6511"/>
      <c r="D6511"/>
      <c r="E6511"/>
    </row>
    <row r="6512" spans="1:5" x14ac:dyDescent="0.2">
      <c r="A6512"/>
      <c r="B6512"/>
      <c r="C6512"/>
      <c r="D6512"/>
      <c r="E6512"/>
    </row>
    <row r="6513" spans="1:5" x14ac:dyDescent="0.2">
      <c r="A6513"/>
      <c r="B6513"/>
      <c r="C6513"/>
      <c r="D6513"/>
      <c r="E6513"/>
    </row>
    <row r="6514" spans="1:5" x14ac:dyDescent="0.2">
      <c r="A6514"/>
      <c r="B6514"/>
      <c r="C6514"/>
      <c r="D6514"/>
      <c r="E6514"/>
    </row>
    <row r="6515" spans="1:5" x14ac:dyDescent="0.2">
      <c r="A6515"/>
      <c r="B6515"/>
      <c r="C6515"/>
      <c r="D6515"/>
      <c r="E6515"/>
    </row>
    <row r="6516" spans="1:5" x14ac:dyDescent="0.2">
      <c r="A6516"/>
      <c r="B6516"/>
      <c r="C6516"/>
      <c r="D6516"/>
      <c r="E6516"/>
    </row>
    <row r="6517" spans="1:5" x14ac:dyDescent="0.2">
      <c r="A6517"/>
      <c r="B6517"/>
      <c r="C6517"/>
      <c r="D6517"/>
      <c r="E6517"/>
    </row>
    <row r="6518" spans="1:5" x14ac:dyDescent="0.2">
      <c r="A6518"/>
      <c r="B6518"/>
      <c r="C6518"/>
      <c r="D6518"/>
      <c r="E6518"/>
    </row>
    <row r="6519" spans="1:5" x14ac:dyDescent="0.2">
      <c r="A6519"/>
      <c r="B6519"/>
      <c r="C6519"/>
      <c r="D6519"/>
      <c r="E6519"/>
    </row>
    <row r="6520" spans="1:5" x14ac:dyDescent="0.2">
      <c r="A6520"/>
      <c r="B6520"/>
      <c r="C6520"/>
      <c r="D6520"/>
      <c r="E6520"/>
    </row>
    <row r="6521" spans="1:5" x14ac:dyDescent="0.2">
      <c r="A6521"/>
      <c r="B6521"/>
      <c r="C6521"/>
      <c r="D6521"/>
      <c r="E6521"/>
    </row>
    <row r="6522" spans="1:5" x14ac:dyDescent="0.2">
      <c r="A6522"/>
      <c r="B6522"/>
      <c r="C6522"/>
      <c r="D6522"/>
      <c r="E6522"/>
    </row>
    <row r="6523" spans="1:5" x14ac:dyDescent="0.2">
      <c r="A6523"/>
      <c r="B6523"/>
      <c r="C6523"/>
      <c r="D6523"/>
      <c r="E6523"/>
    </row>
    <row r="6524" spans="1:5" x14ac:dyDescent="0.2">
      <c r="A6524"/>
      <c r="B6524"/>
      <c r="C6524"/>
      <c r="D6524"/>
      <c r="E6524"/>
    </row>
    <row r="6525" spans="1:5" x14ac:dyDescent="0.2">
      <c r="A6525"/>
      <c r="B6525"/>
      <c r="C6525"/>
      <c r="D6525"/>
      <c r="E6525"/>
    </row>
    <row r="6526" spans="1:5" x14ac:dyDescent="0.2">
      <c r="A6526"/>
      <c r="B6526"/>
      <c r="C6526"/>
      <c r="D6526"/>
      <c r="E6526"/>
    </row>
    <row r="6527" spans="1:5" x14ac:dyDescent="0.2">
      <c r="A6527"/>
      <c r="B6527"/>
      <c r="C6527"/>
      <c r="D6527"/>
      <c r="E6527"/>
    </row>
    <row r="6528" spans="1:5" x14ac:dyDescent="0.2">
      <c r="A6528"/>
      <c r="B6528"/>
      <c r="C6528"/>
      <c r="D6528"/>
      <c r="E6528"/>
    </row>
    <row r="6529" spans="1:5" x14ac:dyDescent="0.2">
      <c r="A6529"/>
      <c r="B6529"/>
      <c r="C6529"/>
      <c r="D6529"/>
      <c r="E6529"/>
    </row>
    <row r="6530" spans="1:5" x14ac:dyDescent="0.2">
      <c r="A6530"/>
      <c r="B6530"/>
      <c r="C6530"/>
      <c r="D6530"/>
      <c r="E6530"/>
    </row>
    <row r="6531" spans="1:5" x14ac:dyDescent="0.2">
      <c r="A6531"/>
      <c r="B6531"/>
      <c r="C6531"/>
      <c r="D6531"/>
      <c r="E6531"/>
    </row>
    <row r="6532" spans="1:5" x14ac:dyDescent="0.2">
      <c r="A6532"/>
      <c r="B6532"/>
      <c r="C6532"/>
      <c r="D6532"/>
      <c r="E6532"/>
    </row>
    <row r="6533" spans="1:5" x14ac:dyDescent="0.2">
      <c r="A6533"/>
      <c r="B6533"/>
      <c r="C6533"/>
      <c r="D6533"/>
      <c r="E6533"/>
    </row>
    <row r="6534" spans="1:5" x14ac:dyDescent="0.2">
      <c r="A6534"/>
      <c r="B6534"/>
      <c r="C6534"/>
      <c r="D6534"/>
      <c r="E6534"/>
    </row>
    <row r="6535" spans="1:5" x14ac:dyDescent="0.2">
      <c r="A6535"/>
      <c r="B6535"/>
      <c r="C6535"/>
      <c r="D6535"/>
      <c r="E6535"/>
    </row>
    <row r="6536" spans="1:5" x14ac:dyDescent="0.2">
      <c r="A6536"/>
      <c r="B6536"/>
      <c r="C6536"/>
      <c r="D6536"/>
      <c r="E6536"/>
    </row>
    <row r="6537" spans="1:5" x14ac:dyDescent="0.2">
      <c r="A6537"/>
      <c r="B6537"/>
      <c r="C6537"/>
      <c r="D6537"/>
      <c r="E6537"/>
    </row>
    <row r="6538" spans="1:5" x14ac:dyDescent="0.2">
      <c r="A6538"/>
      <c r="B6538"/>
      <c r="C6538"/>
      <c r="D6538"/>
      <c r="E6538"/>
    </row>
    <row r="6539" spans="1:5" x14ac:dyDescent="0.2">
      <c r="A6539"/>
      <c r="B6539"/>
      <c r="C6539"/>
      <c r="D6539"/>
      <c r="E6539"/>
    </row>
    <row r="6540" spans="1:5" x14ac:dyDescent="0.2">
      <c r="A6540"/>
      <c r="B6540"/>
      <c r="C6540"/>
      <c r="D6540"/>
      <c r="E6540"/>
    </row>
    <row r="6541" spans="1:5" x14ac:dyDescent="0.2">
      <c r="A6541"/>
      <c r="B6541"/>
      <c r="C6541"/>
      <c r="D6541"/>
      <c r="E6541"/>
    </row>
    <row r="6542" spans="1:5" x14ac:dyDescent="0.2">
      <c r="A6542"/>
      <c r="B6542"/>
      <c r="C6542"/>
      <c r="D6542"/>
      <c r="E6542"/>
    </row>
    <row r="6543" spans="1:5" x14ac:dyDescent="0.2">
      <c r="A6543"/>
      <c r="B6543"/>
      <c r="C6543"/>
      <c r="D6543"/>
      <c r="E6543"/>
    </row>
    <row r="6544" spans="1:5" x14ac:dyDescent="0.2">
      <c r="A6544"/>
      <c r="B6544"/>
      <c r="C6544"/>
      <c r="D6544"/>
      <c r="E6544"/>
    </row>
    <row r="6545" spans="1:5" x14ac:dyDescent="0.2">
      <c r="A6545"/>
      <c r="B6545"/>
      <c r="C6545"/>
      <c r="D6545"/>
      <c r="E6545"/>
    </row>
    <row r="6546" spans="1:5" x14ac:dyDescent="0.2">
      <c r="A6546"/>
      <c r="B6546"/>
      <c r="C6546"/>
      <c r="D6546"/>
      <c r="E6546"/>
    </row>
    <row r="6547" spans="1:5" x14ac:dyDescent="0.2">
      <c r="A6547"/>
      <c r="B6547"/>
      <c r="C6547"/>
      <c r="D6547"/>
      <c r="E6547"/>
    </row>
    <row r="6548" spans="1:5" x14ac:dyDescent="0.2">
      <c r="A6548"/>
      <c r="B6548"/>
      <c r="C6548"/>
      <c r="D6548"/>
      <c r="E6548"/>
    </row>
    <row r="6549" spans="1:5" x14ac:dyDescent="0.2">
      <c r="A6549"/>
      <c r="B6549"/>
      <c r="C6549"/>
      <c r="D6549"/>
      <c r="E6549"/>
    </row>
    <row r="6550" spans="1:5" x14ac:dyDescent="0.2">
      <c r="A6550"/>
      <c r="B6550"/>
      <c r="C6550"/>
      <c r="D6550"/>
      <c r="E6550"/>
    </row>
    <row r="6551" spans="1:5" x14ac:dyDescent="0.2">
      <c r="A6551"/>
      <c r="B6551"/>
      <c r="C6551"/>
      <c r="D6551"/>
      <c r="E6551"/>
    </row>
    <row r="6552" spans="1:5" x14ac:dyDescent="0.2">
      <c r="A6552"/>
      <c r="B6552"/>
      <c r="C6552"/>
      <c r="D6552"/>
      <c r="E6552"/>
    </row>
    <row r="6553" spans="1:5" x14ac:dyDescent="0.2">
      <c r="A6553"/>
      <c r="B6553"/>
      <c r="C6553"/>
      <c r="D6553"/>
      <c r="E6553"/>
    </row>
    <row r="6554" spans="1:5" x14ac:dyDescent="0.2">
      <c r="A6554"/>
      <c r="B6554"/>
      <c r="C6554"/>
      <c r="D6554"/>
      <c r="E6554"/>
    </row>
    <row r="6555" spans="1:5" x14ac:dyDescent="0.2">
      <c r="A6555"/>
      <c r="B6555"/>
      <c r="C6555"/>
      <c r="D6555"/>
      <c r="E6555"/>
    </row>
    <row r="6556" spans="1:5" x14ac:dyDescent="0.2">
      <c r="A6556"/>
      <c r="B6556"/>
      <c r="C6556"/>
      <c r="D6556"/>
      <c r="E6556"/>
    </row>
    <row r="6557" spans="1:5" x14ac:dyDescent="0.2">
      <c r="A6557"/>
      <c r="B6557"/>
      <c r="C6557"/>
      <c r="D6557"/>
      <c r="E6557"/>
    </row>
    <row r="6558" spans="1:5" x14ac:dyDescent="0.2">
      <c r="A6558"/>
      <c r="B6558"/>
      <c r="C6558"/>
      <c r="D6558"/>
      <c r="E6558"/>
    </row>
    <row r="6559" spans="1:5" x14ac:dyDescent="0.2">
      <c r="A6559"/>
      <c r="B6559"/>
      <c r="C6559"/>
      <c r="D6559"/>
      <c r="E6559"/>
    </row>
    <row r="6560" spans="1:5" x14ac:dyDescent="0.2">
      <c r="A6560"/>
      <c r="B6560"/>
      <c r="C6560"/>
      <c r="D6560"/>
      <c r="E6560"/>
    </row>
    <row r="6561" spans="1:5" x14ac:dyDescent="0.2">
      <c r="A6561"/>
      <c r="B6561"/>
      <c r="C6561"/>
      <c r="D6561"/>
      <c r="E6561"/>
    </row>
    <row r="6562" spans="1:5" x14ac:dyDescent="0.2">
      <c r="A6562"/>
      <c r="B6562"/>
      <c r="C6562"/>
      <c r="D6562"/>
      <c r="E6562"/>
    </row>
    <row r="6563" spans="1:5" x14ac:dyDescent="0.2">
      <c r="A6563"/>
      <c r="B6563"/>
      <c r="C6563"/>
      <c r="D6563"/>
      <c r="E6563"/>
    </row>
    <row r="6564" spans="1:5" x14ac:dyDescent="0.2">
      <c r="A6564"/>
      <c r="B6564"/>
      <c r="C6564"/>
      <c r="D6564"/>
      <c r="E6564"/>
    </row>
    <row r="6565" spans="1:5" x14ac:dyDescent="0.2">
      <c r="A6565"/>
      <c r="B6565"/>
      <c r="C6565"/>
      <c r="D6565"/>
      <c r="E6565"/>
    </row>
    <row r="6566" spans="1:5" x14ac:dyDescent="0.2">
      <c r="A6566"/>
      <c r="B6566"/>
      <c r="C6566"/>
      <c r="D6566"/>
      <c r="E6566"/>
    </row>
    <row r="6567" spans="1:5" x14ac:dyDescent="0.2">
      <c r="A6567"/>
      <c r="B6567"/>
      <c r="C6567"/>
      <c r="D6567"/>
      <c r="E6567"/>
    </row>
    <row r="6568" spans="1:5" x14ac:dyDescent="0.2">
      <c r="A6568"/>
      <c r="B6568"/>
      <c r="C6568"/>
      <c r="D6568"/>
      <c r="E6568"/>
    </row>
    <row r="6569" spans="1:5" x14ac:dyDescent="0.2">
      <c r="A6569"/>
      <c r="B6569"/>
      <c r="C6569"/>
      <c r="D6569"/>
      <c r="E6569"/>
    </row>
    <row r="6570" spans="1:5" x14ac:dyDescent="0.2">
      <c r="A6570"/>
      <c r="B6570"/>
      <c r="C6570"/>
      <c r="D6570"/>
      <c r="E6570"/>
    </row>
    <row r="6571" spans="1:5" x14ac:dyDescent="0.2">
      <c r="A6571"/>
      <c r="B6571"/>
      <c r="C6571"/>
      <c r="D6571"/>
      <c r="E6571"/>
    </row>
    <row r="6572" spans="1:5" x14ac:dyDescent="0.2">
      <c r="A6572"/>
      <c r="B6572"/>
      <c r="C6572"/>
      <c r="D6572"/>
      <c r="E6572"/>
    </row>
    <row r="6573" spans="1:5" x14ac:dyDescent="0.2">
      <c r="A6573"/>
      <c r="B6573"/>
      <c r="C6573"/>
      <c r="D6573"/>
      <c r="E6573"/>
    </row>
    <row r="6574" spans="1:5" x14ac:dyDescent="0.2">
      <c r="A6574"/>
      <c r="B6574"/>
      <c r="C6574"/>
      <c r="D6574"/>
      <c r="E6574"/>
    </row>
    <row r="6575" spans="1:5" x14ac:dyDescent="0.2">
      <c r="A6575"/>
      <c r="B6575"/>
      <c r="C6575"/>
      <c r="D6575"/>
      <c r="E6575"/>
    </row>
    <row r="6576" spans="1:5" x14ac:dyDescent="0.2">
      <c r="A6576"/>
      <c r="B6576"/>
      <c r="C6576"/>
      <c r="D6576"/>
      <c r="E6576"/>
    </row>
    <row r="6577" spans="1:5" x14ac:dyDescent="0.2">
      <c r="A6577"/>
      <c r="B6577"/>
      <c r="C6577"/>
      <c r="D6577"/>
      <c r="E6577"/>
    </row>
    <row r="6578" spans="1:5" x14ac:dyDescent="0.2">
      <c r="A6578"/>
      <c r="B6578"/>
      <c r="C6578"/>
      <c r="D6578"/>
      <c r="E6578"/>
    </row>
    <row r="6579" spans="1:5" x14ac:dyDescent="0.2">
      <c r="A6579"/>
      <c r="B6579"/>
      <c r="C6579"/>
      <c r="D6579"/>
      <c r="E6579"/>
    </row>
    <row r="6580" spans="1:5" x14ac:dyDescent="0.2">
      <c r="A6580"/>
      <c r="B6580"/>
      <c r="C6580"/>
      <c r="D6580"/>
      <c r="E6580"/>
    </row>
    <row r="6581" spans="1:5" x14ac:dyDescent="0.2">
      <c r="A6581"/>
      <c r="B6581"/>
      <c r="C6581"/>
      <c r="D6581"/>
      <c r="E6581"/>
    </row>
    <row r="6582" spans="1:5" x14ac:dyDescent="0.2">
      <c r="A6582"/>
      <c r="B6582"/>
      <c r="C6582"/>
      <c r="D6582"/>
      <c r="E6582"/>
    </row>
    <row r="6583" spans="1:5" x14ac:dyDescent="0.2">
      <c r="A6583"/>
      <c r="B6583"/>
      <c r="C6583"/>
      <c r="D6583"/>
      <c r="E6583"/>
    </row>
    <row r="6584" spans="1:5" x14ac:dyDescent="0.2">
      <c r="A6584"/>
      <c r="B6584"/>
      <c r="C6584"/>
      <c r="D6584"/>
      <c r="E6584"/>
    </row>
    <row r="6585" spans="1:5" x14ac:dyDescent="0.2">
      <c r="A6585"/>
      <c r="B6585"/>
      <c r="C6585"/>
      <c r="D6585"/>
      <c r="E6585"/>
    </row>
    <row r="6586" spans="1:5" x14ac:dyDescent="0.2">
      <c r="A6586"/>
      <c r="B6586"/>
      <c r="C6586"/>
      <c r="D6586"/>
      <c r="E6586"/>
    </row>
    <row r="6587" spans="1:5" x14ac:dyDescent="0.2">
      <c r="A6587"/>
      <c r="B6587"/>
      <c r="C6587"/>
      <c r="D6587"/>
      <c r="E6587"/>
    </row>
    <row r="6588" spans="1:5" x14ac:dyDescent="0.2">
      <c r="A6588"/>
      <c r="B6588"/>
      <c r="C6588"/>
      <c r="D6588"/>
      <c r="E6588"/>
    </row>
    <row r="6589" spans="1:5" x14ac:dyDescent="0.2">
      <c r="A6589"/>
      <c r="B6589"/>
      <c r="C6589"/>
      <c r="D6589"/>
      <c r="E6589"/>
    </row>
    <row r="6590" spans="1:5" x14ac:dyDescent="0.2">
      <c r="A6590"/>
      <c r="B6590"/>
      <c r="C6590"/>
      <c r="D6590"/>
      <c r="E6590"/>
    </row>
    <row r="6591" spans="1:5" x14ac:dyDescent="0.2">
      <c r="A6591"/>
      <c r="B6591"/>
      <c r="C6591"/>
      <c r="D6591"/>
      <c r="E6591"/>
    </row>
    <row r="6592" spans="1:5" x14ac:dyDescent="0.2">
      <c r="A6592"/>
      <c r="B6592"/>
      <c r="C6592"/>
      <c r="D6592"/>
      <c r="E6592"/>
    </row>
    <row r="6593" spans="1:5" x14ac:dyDescent="0.2">
      <c r="A6593"/>
      <c r="B6593"/>
      <c r="C6593"/>
      <c r="D6593"/>
      <c r="E6593"/>
    </row>
    <row r="6594" spans="1:5" x14ac:dyDescent="0.2">
      <c r="A6594"/>
      <c r="B6594"/>
      <c r="C6594"/>
      <c r="D6594"/>
      <c r="E6594"/>
    </row>
    <row r="6595" spans="1:5" x14ac:dyDescent="0.2">
      <c r="A6595"/>
      <c r="B6595"/>
      <c r="C6595"/>
      <c r="D6595"/>
      <c r="E6595"/>
    </row>
    <row r="6596" spans="1:5" x14ac:dyDescent="0.2">
      <c r="A6596"/>
      <c r="B6596"/>
      <c r="C6596"/>
      <c r="D6596"/>
      <c r="E6596"/>
    </row>
    <row r="6597" spans="1:5" x14ac:dyDescent="0.2">
      <c r="A6597"/>
      <c r="B6597"/>
      <c r="C6597"/>
      <c r="D6597"/>
      <c r="E6597"/>
    </row>
    <row r="6598" spans="1:5" x14ac:dyDescent="0.2">
      <c r="A6598"/>
      <c r="B6598"/>
      <c r="C6598"/>
      <c r="D6598"/>
      <c r="E6598"/>
    </row>
    <row r="6599" spans="1:5" x14ac:dyDescent="0.2">
      <c r="A6599"/>
      <c r="B6599"/>
      <c r="C6599"/>
      <c r="D6599"/>
      <c r="E6599"/>
    </row>
    <row r="6600" spans="1:5" x14ac:dyDescent="0.2">
      <c r="A6600"/>
      <c r="B6600"/>
      <c r="C6600"/>
      <c r="D6600"/>
      <c r="E6600"/>
    </row>
    <row r="6601" spans="1:5" x14ac:dyDescent="0.2">
      <c r="A6601"/>
      <c r="B6601"/>
      <c r="C6601"/>
      <c r="D6601"/>
      <c r="E6601"/>
    </row>
    <row r="6602" spans="1:5" x14ac:dyDescent="0.2">
      <c r="A6602"/>
      <c r="B6602"/>
      <c r="C6602"/>
      <c r="D6602"/>
      <c r="E6602"/>
    </row>
    <row r="6603" spans="1:5" x14ac:dyDescent="0.2">
      <c r="A6603"/>
      <c r="B6603"/>
      <c r="C6603"/>
      <c r="D6603"/>
      <c r="E6603"/>
    </row>
    <row r="6604" spans="1:5" x14ac:dyDescent="0.2">
      <c r="A6604"/>
      <c r="B6604"/>
      <c r="C6604"/>
      <c r="D6604"/>
      <c r="E6604"/>
    </row>
    <row r="6605" spans="1:5" x14ac:dyDescent="0.2">
      <c r="A6605"/>
      <c r="B6605"/>
      <c r="C6605"/>
      <c r="D6605"/>
      <c r="E6605"/>
    </row>
    <row r="6606" spans="1:5" x14ac:dyDescent="0.2">
      <c r="A6606"/>
      <c r="B6606"/>
      <c r="C6606"/>
      <c r="D6606"/>
      <c r="E6606"/>
    </row>
    <row r="6607" spans="1:5" x14ac:dyDescent="0.2">
      <c r="A6607"/>
      <c r="B6607"/>
      <c r="C6607"/>
      <c r="D6607"/>
      <c r="E6607"/>
    </row>
    <row r="6608" spans="1:5" x14ac:dyDescent="0.2">
      <c r="A6608"/>
      <c r="B6608"/>
      <c r="C6608"/>
      <c r="D6608"/>
      <c r="E6608"/>
    </row>
    <row r="6609" spans="1:5" x14ac:dyDescent="0.2">
      <c r="A6609"/>
      <c r="B6609"/>
      <c r="C6609"/>
      <c r="D6609"/>
      <c r="E6609"/>
    </row>
    <row r="6610" spans="1:5" x14ac:dyDescent="0.2">
      <c r="A6610"/>
      <c r="B6610"/>
      <c r="C6610"/>
      <c r="D6610"/>
      <c r="E6610"/>
    </row>
    <row r="6611" spans="1:5" x14ac:dyDescent="0.2">
      <c r="A6611"/>
      <c r="B6611"/>
      <c r="C6611"/>
      <c r="D6611"/>
      <c r="E6611"/>
    </row>
    <row r="6612" spans="1:5" x14ac:dyDescent="0.2">
      <c r="A6612"/>
      <c r="B6612"/>
      <c r="C6612"/>
      <c r="D6612"/>
      <c r="E6612"/>
    </row>
    <row r="6613" spans="1:5" x14ac:dyDescent="0.2">
      <c r="A6613"/>
      <c r="B6613"/>
      <c r="C6613"/>
      <c r="D6613"/>
      <c r="E6613"/>
    </row>
    <row r="6614" spans="1:5" x14ac:dyDescent="0.2">
      <c r="A6614"/>
      <c r="B6614"/>
      <c r="C6614"/>
      <c r="D6614"/>
      <c r="E6614"/>
    </row>
    <row r="6615" spans="1:5" x14ac:dyDescent="0.2">
      <c r="A6615"/>
      <c r="B6615"/>
      <c r="C6615"/>
      <c r="D6615"/>
      <c r="E6615"/>
    </row>
    <row r="6616" spans="1:5" x14ac:dyDescent="0.2">
      <c r="A6616"/>
      <c r="B6616"/>
      <c r="C6616"/>
      <c r="D6616"/>
      <c r="E6616"/>
    </row>
    <row r="6617" spans="1:5" x14ac:dyDescent="0.2">
      <c r="A6617"/>
      <c r="B6617"/>
      <c r="C6617"/>
      <c r="D6617"/>
      <c r="E6617"/>
    </row>
    <row r="6618" spans="1:5" x14ac:dyDescent="0.2">
      <c r="A6618"/>
      <c r="B6618"/>
      <c r="C6618"/>
      <c r="D6618"/>
      <c r="E6618"/>
    </row>
    <row r="6619" spans="1:5" x14ac:dyDescent="0.2">
      <c r="A6619"/>
      <c r="B6619"/>
      <c r="C6619"/>
      <c r="D6619"/>
      <c r="E6619"/>
    </row>
    <row r="6620" spans="1:5" x14ac:dyDescent="0.2">
      <c r="A6620"/>
      <c r="B6620"/>
      <c r="C6620"/>
      <c r="D6620"/>
      <c r="E6620"/>
    </row>
    <row r="6621" spans="1:5" x14ac:dyDescent="0.2">
      <c r="A6621"/>
      <c r="B6621"/>
      <c r="C6621"/>
      <c r="D6621"/>
      <c r="E6621"/>
    </row>
    <row r="6622" spans="1:5" x14ac:dyDescent="0.2">
      <c r="A6622"/>
      <c r="B6622"/>
      <c r="C6622"/>
      <c r="D6622"/>
      <c r="E6622"/>
    </row>
    <row r="6623" spans="1:5" x14ac:dyDescent="0.2">
      <c r="A6623"/>
      <c r="B6623"/>
      <c r="C6623"/>
      <c r="D6623"/>
      <c r="E6623"/>
    </row>
    <row r="6624" spans="1:5" x14ac:dyDescent="0.2">
      <c r="A6624"/>
      <c r="B6624"/>
      <c r="C6624"/>
      <c r="D6624"/>
      <c r="E6624"/>
    </row>
    <row r="6625" spans="1:5" x14ac:dyDescent="0.2">
      <c r="A6625"/>
      <c r="B6625"/>
      <c r="C6625"/>
      <c r="D6625"/>
      <c r="E6625"/>
    </row>
    <row r="6626" spans="1:5" x14ac:dyDescent="0.2">
      <c r="A6626"/>
      <c r="B6626"/>
      <c r="C6626"/>
      <c r="D6626"/>
      <c r="E6626"/>
    </row>
    <row r="6627" spans="1:5" x14ac:dyDescent="0.2">
      <c r="A6627"/>
      <c r="B6627"/>
      <c r="C6627"/>
      <c r="D6627"/>
      <c r="E6627"/>
    </row>
    <row r="6628" spans="1:5" x14ac:dyDescent="0.2">
      <c r="A6628"/>
      <c r="B6628"/>
      <c r="C6628"/>
      <c r="D6628"/>
      <c r="E6628"/>
    </row>
    <row r="6629" spans="1:5" x14ac:dyDescent="0.2">
      <c r="A6629"/>
      <c r="B6629"/>
      <c r="C6629"/>
      <c r="D6629"/>
      <c r="E6629"/>
    </row>
    <row r="6630" spans="1:5" x14ac:dyDescent="0.2">
      <c r="A6630"/>
      <c r="B6630"/>
      <c r="C6630"/>
      <c r="D6630"/>
      <c r="E6630"/>
    </row>
    <row r="6631" spans="1:5" x14ac:dyDescent="0.2">
      <c r="A6631"/>
      <c r="B6631"/>
      <c r="C6631"/>
      <c r="D6631"/>
      <c r="E6631"/>
    </row>
    <row r="6632" spans="1:5" x14ac:dyDescent="0.2">
      <c r="A6632"/>
      <c r="B6632"/>
      <c r="C6632"/>
      <c r="D6632"/>
      <c r="E6632"/>
    </row>
    <row r="6633" spans="1:5" x14ac:dyDescent="0.2">
      <c r="A6633"/>
      <c r="B6633"/>
      <c r="C6633"/>
      <c r="D6633"/>
      <c r="E6633"/>
    </row>
    <row r="6634" spans="1:5" x14ac:dyDescent="0.2">
      <c r="A6634"/>
      <c r="B6634"/>
      <c r="C6634"/>
      <c r="D6634"/>
      <c r="E6634"/>
    </row>
    <row r="6635" spans="1:5" x14ac:dyDescent="0.2">
      <c r="A6635"/>
      <c r="B6635"/>
      <c r="C6635"/>
      <c r="D6635"/>
      <c r="E6635"/>
    </row>
    <row r="6636" spans="1:5" x14ac:dyDescent="0.2">
      <c r="A6636"/>
      <c r="B6636"/>
      <c r="C6636"/>
      <c r="D6636"/>
      <c r="E6636"/>
    </row>
    <row r="6637" spans="1:5" x14ac:dyDescent="0.2">
      <c r="A6637"/>
      <c r="B6637"/>
      <c r="C6637"/>
      <c r="D6637"/>
      <c r="E6637"/>
    </row>
    <row r="6638" spans="1:5" x14ac:dyDescent="0.2">
      <c r="A6638"/>
      <c r="B6638"/>
      <c r="C6638"/>
      <c r="D6638"/>
      <c r="E6638"/>
    </row>
    <row r="6639" spans="1:5" x14ac:dyDescent="0.2">
      <c r="A6639"/>
      <c r="B6639"/>
      <c r="C6639"/>
      <c r="D6639"/>
      <c r="E6639"/>
    </row>
    <row r="6640" spans="1:5" x14ac:dyDescent="0.2">
      <c r="A6640"/>
      <c r="B6640"/>
      <c r="C6640"/>
      <c r="D6640"/>
      <c r="E6640"/>
    </row>
    <row r="6641" spans="1:5" x14ac:dyDescent="0.2">
      <c r="A6641"/>
      <c r="B6641"/>
      <c r="C6641"/>
      <c r="D6641"/>
      <c r="E6641"/>
    </row>
    <row r="6642" spans="1:5" x14ac:dyDescent="0.2">
      <c r="A6642"/>
      <c r="B6642"/>
      <c r="C6642"/>
      <c r="D6642"/>
      <c r="E6642"/>
    </row>
    <row r="6643" spans="1:5" x14ac:dyDescent="0.2">
      <c r="A6643"/>
      <c r="B6643"/>
      <c r="C6643"/>
      <c r="D6643"/>
      <c r="E6643"/>
    </row>
    <row r="6644" spans="1:5" x14ac:dyDescent="0.2">
      <c r="A6644"/>
      <c r="B6644"/>
      <c r="C6644"/>
      <c r="D6644"/>
      <c r="E6644"/>
    </row>
    <row r="6645" spans="1:5" x14ac:dyDescent="0.2">
      <c r="A6645"/>
      <c r="B6645"/>
      <c r="C6645"/>
      <c r="D6645"/>
      <c r="E6645"/>
    </row>
    <row r="6646" spans="1:5" x14ac:dyDescent="0.2">
      <c r="A6646"/>
      <c r="B6646"/>
      <c r="C6646"/>
      <c r="D6646"/>
      <c r="E6646"/>
    </row>
    <row r="6647" spans="1:5" x14ac:dyDescent="0.2">
      <c r="A6647"/>
      <c r="B6647"/>
      <c r="C6647"/>
      <c r="D6647"/>
      <c r="E6647"/>
    </row>
    <row r="6648" spans="1:5" x14ac:dyDescent="0.2">
      <c r="A6648"/>
      <c r="B6648"/>
      <c r="C6648"/>
      <c r="D6648"/>
      <c r="E6648"/>
    </row>
    <row r="6649" spans="1:5" x14ac:dyDescent="0.2">
      <c r="A6649"/>
      <c r="B6649"/>
      <c r="C6649"/>
      <c r="D6649"/>
      <c r="E6649"/>
    </row>
    <row r="6650" spans="1:5" x14ac:dyDescent="0.2">
      <c r="A6650"/>
      <c r="B6650"/>
      <c r="C6650"/>
      <c r="D6650"/>
      <c r="E6650"/>
    </row>
    <row r="6651" spans="1:5" x14ac:dyDescent="0.2">
      <c r="A6651"/>
      <c r="B6651"/>
      <c r="C6651"/>
      <c r="D6651"/>
      <c r="E6651"/>
    </row>
    <row r="6652" spans="1:5" x14ac:dyDescent="0.2">
      <c r="A6652"/>
      <c r="B6652"/>
      <c r="C6652"/>
      <c r="D6652"/>
      <c r="E6652"/>
    </row>
    <row r="6653" spans="1:5" x14ac:dyDescent="0.2">
      <c r="A6653"/>
      <c r="B6653"/>
      <c r="C6653"/>
      <c r="D6653"/>
      <c r="E6653"/>
    </row>
    <row r="6654" spans="1:5" x14ac:dyDescent="0.2">
      <c r="A6654"/>
      <c r="B6654"/>
      <c r="C6654"/>
      <c r="D6654"/>
      <c r="E6654"/>
    </row>
    <row r="6655" spans="1:5" x14ac:dyDescent="0.2">
      <c r="A6655"/>
      <c r="B6655"/>
      <c r="C6655"/>
      <c r="D6655"/>
      <c r="E6655"/>
    </row>
    <row r="6656" spans="1:5" x14ac:dyDescent="0.2">
      <c r="A6656"/>
      <c r="B6656"/>
      <c r="C6656"/>
      <c r="D6656"/>
      <c r="E6656"/>
    </row>
    <row r="6657" spans="1:5" x14ac:dyDescent="0.2">
      <c r="A6657"/>
      <c r="B6657"/>
      <c r="C6657"/>
      <c r="D6657"/>
      <c r="E6657"/>
    </row>
    <row r="6658" spans="1:5" x14ac:dyDescent="0.2">
      <c r="A6658"/>
      <c r="B6658"/>
      <c r="C6658"/>
      <c r="D6658"/>
      <c r="E6658"/>
    </row>
    <row r="6659" spans="1:5" x14ac:dyDescent="0.2">
      <c r="A6659"/>
      <c r="B6659"/>
      <c r="C6659"/>
      <c r="D6659"/>
      <c r="E6659"/>
    </row>
    <row r="6660" spans="1:5" x14ac:dyDescent="0.2">
      <c r="A6660"/>
      <c r="B6660"/>
      <c r="C6660"/>
      <c r="D6660"/>
      <c r="E6660"/>
    </row>
    <row r="6661" spans="1:5" x14ac:dyDescent="0.2">
      <c r="A6661"/>
      <c r="B6661"/>
      <c r="C6661"/>
      <c r="D6661"/>
      <c r="E6661"/>
    </row>
    <row r="6662" spans="1:5" x14ac:dyDescent="0.2">
      <c r="A6662"/>
      <c r="B6662"/>
      <c r="C6662"/>
      <c r="D6662"/>
      <c r="E6662"/>
    </row>
    <row r="6663" spans="1:5" x14ac:dyDescent="0.2">
      <c r="A6663"/>
      <c r="B6663"/>
      <c r="C6663"/>
      <c r="D6663"/>
      <c r="E6663"/>
    </row>
    <row r="6664" spans="1:5" x14ac:dyDescent="0.2">
      <c r="A6664"/>
      <c r="B6664"/>
      <c r="C6664"/>
      <c r="D6664"/>
      <c r="E6664"/>
    </row>
    <row r="6665" spans="1:5" x14ac:dyDescent="0.2">
      <c r="A6665"/>
      <c r="B6665"/>
      <c r="C6665"/>
      <c r="D6665"/>
      <c r="E6665"/>
    </row>
    <row r="6666" spans="1:5" x14ac:dyDescent="0.2">
      <c r="A6666"/>
      <c r="B6666"/>
      <c r="C6666"/>
      <c r="D6666"/>
      <c r="E6666"/>
    </row>
    <row r="6667" spans="1:5" x14ac:dyDescent="0.2">
      <c r="A6667"/>
      <c r="B6667"/>
      <c r="C6667"/>
      <c r="D6667"/>
      <c r="E6667"/>
    </row>
    <row r="6668" spans="1:5" x14ac:dyDescent="0.2">
      <c r="A6668"/>
      <c r="B6668"/>
      <c r="C6668"/>
      <c r="D6668"/>
      <c r="E6668"/>
    </row>
    <row r="6669" spans="1:5" x14ac:dyDescent="0.2">
      <c r="A6669"/>
      <c r="B6669"/>
      <c r="C6669"/>
      <c r="D6669"/>
      <c r="E6669"/>
    </row>
    <row r="6670" spans="1:5" x14ac:dyDescent="0.2">
      <c r="A6670"/>
      <c r="B6670"/>
      <c r="C6670"/>
      <c r="D6670"/>
      <c r="E6670"/>
    </row>
    <row r="6671" spans="1:5" x14ac:dyDescent="0.2">
      <c r="A6671"/>
      <c r="B6671"/>
      <c r="C6671"/>
      <c r="D6671"/>
      <c r="E6671"/>
    </row>
    <row r="6672" spans="1:5" x14ac:dyDescent="0.2">
      <c r="A6672"/>
      <c r="B6672"/>
      <c r="C6672"/>
      <c r="D6672"/>
      <c r="E6672"/>
    </row>
    <row r="6673" spans="1:5" x14ac:dyDescent="0.2">
      <c r="A6673"/>
      <c r="B6673"/>
      <c r="C6673"/>
      <c r="D6673"/>
      <c r="E6673"/>
    </row>
    <row r="6674" spans="1:5" x14ac:dyDescent="0.2">
      <c r="A6674"/>
      <c r="B6674"/>
      <c r="C6674"/>
      <c r="D6674"/>
      <c r="E6674"/>
    </row>
    <row r="6675" spans="1:5" x14ac:dyDescent="0.2">
      <c r="A6675"/>
      <c r="B6675"/>
      <c r="C6675"/>
      <c r="D6675"/>
      <c r="E6675"/>
    </row>
    <row r="6676" spans="1:5" x14ac:dyDescent="0.2">
      <c r="A6676"/>
      <c r="B6676"/>
      <c r="C6676"/>
      <c r="D6676"/>
      <c r="E6676"/>
    </row>
    <row r="6677" spans="1:5" x14ac:dyDescent="0.2">
      <c r="A6677"/>
      <c r="B6677"/>
      <c r="C6677"/>
      <c r="D6677"/>
      <c r="E6677"/>
    </row>
    <row r="6678" spans="1:5" x14ac:dyDescent="0.2">
      <c r="A6678"/>
      <c r="B6678"/>
      <c r="C6678"/>
      <c r="D6678"/>
      <c r="E6678"/>
    </row>
    <row r="6679" spans="1:5" x14ac:dyDescent="0.2">
      <c r="A6679"/>
      <c r="B6679"/>
      <c r="C6679"/>
      <c r="D6679"/>
      <c r="E6679"/>
    </row>
    <row r="6680" spans="1:5" x14ac:dyDescent="0.2">
      <c r="A6680"/>
      <c r="B6680"/>
      <c r="C6680"/>
      <c r="D6680"/>
      <c r="E6680"/>
    </row>
    <row r="6681" spans="1:5" x14ac:dyDescent="0.2">
      <c r="A6681"/>
      <c r="B6681"/>
      <c r="C6681"/>
      <c r="D6681"/>
      <c r="E6681"/>
    </row>
    <row r="6682" spans="1:5" x14ac:dyDescent="0.2">
      <c r="A6682"/>
      <c r="B6682"/>
      <c r="C6682"/>
      <c r="D6682"/>
      <c r="E6682"/>
    </row>
    <row r="6683" spans="1:5" x14ac:dyDescent="0.2">
      <c r="A6683"/>
      <c r="B6683"/>
      <c r="C6683"/>
      <c r="D6683"/>
      <c r="E6683"/>
    </row>
    <row r="6684" spans="1:5" x14ac:dyDescent="0.2">
      <c r="A6684"/>
      <c r="B6684"/>
      <c r="C6684"/>
      <c r="D6684"/>
      <c r="E6684"/>
    </row>
    <row r="6685" spans="1:5" x14ac:dyDescent="0.2">
      <c r="A6685"/>
      <c r="B6685"/>
      <c r="C6685"/>
      <c r="D6685"/>
      <c r="E6685"/>
    </row>
    <row r="6686" spans="1:5" x14ac:dyDescent="0.2">
      <c r="A6686"/>
      <c r="B6686"/>
      <c r="C6686"/>
      <c r="D6686"/>
      <c r="E6686"/>
    </row>
    <row r="6687" spans="1:5" x14ac:dyDescent="0.2">
      <c r="A6687"/>
      <c r="B6687"/>
      <c r="C6687"/>
      <c r="D6687"/>
      <c r="E6687"/>
    </row>
    <row r="6688" spans="1:5" x14ac:dyDescent="0.2">
      <c r="A6688"/>
      <c r="B6688"/>
      <c r="C6688"/>
      <c r="D6688"/>
      <c r="E6688"/>
    </row>
    <row r="6689" spans="1:5" x14ac:dyDescent="0.2">
      <c r="A6689"/>
      <c r="B6689"/>
      <c r="C6689"/>
      <c r="D6689"/>
      <c r="E6689"/>
    </row>
    <row r="6690" spans="1:5" x14ac:dyDescent="0.2">
      <c r="A6690"/>
      <c r="B6690"/>
      <c r="C6690"/>
      <c r="D6690"/>
      <c r="E6690"/>
    </row>
    <row r="6691" spans="1:5" x14ac:dyDescent="0.2">
      <c r="A6691"/>
      <c r="B6691"/>
      <c r="C6691"/>
      <c r="D6691"/>
      <c r="E6691"/>
    </row>
    <row r="6692" spans="1:5" x14ac:dyDescent="0.2">
      <c r="A6692"/>
      <c r="B6692"/>
      <c r="C6692"/>
      <c r="D6692"/>
      <c r="E6692"/>
    </row>
    <row r="6693" spans="1:5" x14ac:dyDescent="0.2">
      <c r="A6693"/>
      <c r="B6693"/>
      <c r="C6693"/>
      <c r="D6693"/>
      <c r="E6693"/>
    </row>
    <row r="6694" spans="1:5" x14ac:dyDescent="0.2">
      <c r="A6694"/>
      <c r="B6694"/>
      <c r="C6694"/>
      <c r="D6694"/>
      <c r="E6694"/>
    </row>
    <row r="6695" spans="1:5" x14ac:dyDescent="0.2">
      <c r="A6695"/>
      <c r="B6695"/>
      <c r="C6695"/>
      <c r="D6695"/>
      <c r="E6695"/>
    </row>
    <row r="6696" spans="1:5" x14ac:dyDescent="0.2">
      <c r="A6696"/>
      <c r="B6696"/>
      <c r="C6696"/>
      <c r="D6696"/>
      <c r="E6696"/>
    </row>
    <row r="6697" spans="1:5" x14ac:dyDescent="0.2">
      <c r="A6697"/>
      <c r="B6697"/>
      <c r="C6697"/>
      <c r="D6697"/>
      <c r="E6697"/>
    </row>
    <row r="6698" spans="1:5" x14ac:dyDescent="0.2">
      <c r="A6698"/>
      <c r="B6698"/>
      <c r="C6698"/>
      <c r="D6698"/>
      <c r="E6698"/>
    </row>
    <row r="6699" spans="1:5" x14ac:dyDescent="0.2">
      <c r="A6699"/>
      <c r="B6699"/>
      <c r="C6699"/>
      <c r="D6699"/>
      <c r="E6699"/>
    </row>
    <row r="6700" spans="1:5" x14ac:dyDescent="0.2">
      <c r="A6700"/>
      <c r="B6700"/>
      <c r="C6700"/>
      <c r="D6700"/>
      <c r="E6700"/>
    </row>
    <row r="6701" spans="1:5" x14ac:dyDescent="0.2">
      <c r="A6701"/>
      <c r="B6701"/>
      <c r="C6701"/>
      <c r="D6701"/>
      <c r="E6701"/>
    </row>
    <row r="6702" spans="1:5" x14ac:dyDescent="0.2">
      <c r="A6702"/>
      <c r="B6702"/>
      <c r="C6702"/>
      <c r="D6702"/>
      <c r="E6702"/>
    </row>
    <row r="6703" spans="1:5" x14ac:dyDescent="0.2">
      <c r="A6703"/>
      <c r="B6703"/>
      <c r="C6703"/>
      <c r="D6703"/>
      <c r="E6703"/>
    </row>
    <row r="6704" spans="1:5" x14ac:dyDescent="0.2">
      <c r="A6704"/>
      <c r="B6704"/>
      <c r="C6704"/>
      <c r="D6704"/>
      <c r="E6704"/>
    </row>
    <row r="6705" spans="1:5" x14ac:dyDescent="0.2">
      <c r="A6705"/>
      <c r="B6705"/>
      <c r="C6705"/>
      <c r="D6705"/>
      <c r="E6705"/>
    </row>
    <row r="6706" spans="1:5" x14ac:dyDescent="0.2">
      <c r="A6706"/>
      <c r="B6706"/>
      <c r="C6706"/>
      <c r="D6706"/>
      <c r="E6706"/>
    </row>
    <row r="6707" spans="1:5" x14ac:dyDescent="0.2">
      <c r="A6707"/>
      <c r="B6707"/>
      <c r="C6707"/>
      <c r="D6707"/>
      <c r="E6707"/>
    </row>
    <row r="6708" spans="1:5" x14ac:dyDescent="0.2">
      <c r="A6708"/>
      <c r="B6708"/>
      <c r="C6708"/>
      <c r="D6708"/>
      <c r="E6708"/>
    </row>
    <row r="6709" spans="1:5" x14ac:dyDescent="0.2">
      <c r="A6709"/>
      <c r="B6709"/>
      <c r="C6709"/>
      <c r="D6709"/>
      <c r="E6709"/>
    </row>
    <row r="6710" spans="1:5" x14ac:dyDescent="0.2">
      <c r="A6710"/>
      <c r="B6710"/>
      <c r="C6710"/>
      <c r="D6710"/>
      <c r="E6710"/>
    </row>
    <row r="6711" spans="1:5" x14ac:dyDescent="0.2">
      <c r="A6711"/>
      <c r="B6711"/>
      <c r="C6711"/>
      <c r="D6711"/>
      <c r="E6711"/>
    </row>
    <row r="6712" spans="1:5" x14ac:dyDescent="0.2">
      <c r="A6712"/>
      <c r="B6712"/>
      <c r="C6712"/>
      <c r="D6712"/>
      <c r="E6712"/>
    </row>
    <row r="6713" spans="1:5" x14ac:dyDescent="0.2">
      <c r="A6713"/>
      <c r="B6713"/>
      <c r="C6713"/>
      <c r="D6713"/>
      <c r="E6713"/>
    </row>
    <row r="6714" spans="1:5" x14ac:dyDescent="0.2">
      <c r="A6714"/>
      <c r="B6714"/>
      <c r="C6714"/>
      <c r="D6714"/>
      <c r="E6714"/>
    </row>
    <row r="6715" spans="1:5" x14ac:dyDescent="0.2">
      <c r="A6715"/>
      <c r="B6715"/>
      <c r="C6715"/>
      <c r="D6715"/>
      <c r="E6715"/>
    </row>
    <row r="6716" spans="1:5" x14ac:dyDescent="0.2">
      <c r="A6716"/>
      <c r="B6716"/>
      <c r="C6716"/>
      <c r="D6716"/>
      <c r="E6716"/>
    </row>
    <row r="6717" spans="1:5" x14ac:dyDescent="0.2">
      <c r="A6717"/>
      <c r="B6717"/>
      <c r="C6717"/>
      <c r="D6717"/>
      <c r="E6717"/>
    </row>
    <row r="6718" spans="1:5" x14ac:dyDescent="0.2">
      <c r="A6718"/>
      <c r="B6718"/>
      <c r="C6718"/>
      <c r="D6718"/>
      <c r="E6718"/>
    </row>
    <row r="6719" spans="1:5" x14ac:dyDescent="0.2">
      <c r="A6719"/>
      <c r="B6719"/>
      <c r="C6719"/>
      <c r="D6719"/>
      <c r="E6719"/>
    </row>
    <row r="6720" spans="1:5" x14ac:dyDescent="0.2">
      <c r="A6720"/>
      <c r="B6720"/>
      <c r="C6720"/>
      <c r="D6720"/>
      <c r="E6720"/>
    </row>
    <row r="6721" spans="1:5" x14ac:dyDescent="0.2">
      <c r="A6721"/>
      <c r="B6721"/>
      <c r="C6721"/>
      <c r="D6721"/>
      <c r="E6721"/>
    </row>
    <row r="6722" spans="1:5" x14ac:dyDescent="0.2">
      <c r="A6722"/>
      <c r="B6722"/>
      <c r="C6722"/>
      <c r="D6722"/>
      <c r="E6722"/>
    </row>
    <row r="6723" spans="1:5" x14ac:dyDescent="0.2">
      <c r="A6723"/>
      <c r="B6723"/>
      <c r="C6723"/>
      <c r="D6723"/>
      <c r="E6723"/>
    </row>
    <row r="6724" spans="1:5" x14ac:dyDescent="0.2">
      <c r="A6724"/>
      <c r="B6724"/>
      <c r="C6724"/>
      <c r="D6724"/>
      <c r="E6724"/>
    </row>
    <row r="6725" spans="1:5" x14ac:dyDescent="0.2">
      <c r="A6725"/>
      <c r="B6725"/>
      <c r="C6725"/>
      <c r="D6725"/>
      <c r="E6725"/>
    </row>
    <row r="6726" spans="1:5" x14ac:dyDescent="0.2">
      <c r="A6726"/>
      <c r="B6726"/>
      <c r="C6726"/>
      <c r="D6726"/>
      <c r="E6726"/>
    </row>
    <row r="6727" spans="1:5" x14ac:dyDescent="0.2">
      <c r="A6727"/>
      <c r="B6727"/>
      <c r="C6727"/>
      <c r="D6727"/>
      <c r="E6727"/>
    </row>
    <row r="6728" spans="1:5" x14ac:dyDescent="0.2">
      <c r="A6728"/>
      <c r="B6728"/>
      <c r="C6728"/>
      <c r="D6728"/>
      <c r="E6728"/>
    </row>
    <row r="6729" spans="1:5" x14ac:dyDescent="0.2">
      <c r="A6729"/>
      <c r="B6729"/>
      <c r="C6729"/>
      <c r="D6729"/>
      <c r="E6729"/>
    </row>
    <row r="6730" spans="1:5" x14ac:dyDescent="0.2">
      <c r="A6730"/>
      <c r="B6730"/>
      <c r="C6730"/>
      <c r="D6730"/>
      <c r="E6730"/>
    </row>
    <row r="6731" spans="1:5" x14ac:dyDescent="0.2">
      <c r="A6731"/>
      <c r="B6731"/>
      <c r="C6731"/>
      <c r="D6731"/>
      <c r="E6731"/>
    </row>
    <row r="6732" spans="1:5" x14ac:dyDescent="0.2">
      <c r="A6732"/>
      <c r="B6732"/>
      <c r="C6732"/>
      <c r="D6732"/>
      <c r="E6732"/>
    </row>
    <row r="6733" spans="1:5" x14ac:dyDescent="0.2">
      <c r="A6733"/>
      <c r="B6733"/>
      <c r="C6733"/>
      <c r="D6733"/>
      <c r="E6733"/>
    </row>
    <row r="6734" spans="1:5" x14ac:dyDescent="0.2">
      <c r="A6734"/>
      <c r="B6734"/>
      <c r="C6734"/>
      <c r="D6734"/>
      <c r="E6734"/>
    </row>
    <row r="6735" spans="1:5" x14ac:dyDescent="0.2">
      <c r="A6735"/>
      <c r="B6735"/>
      <c r="C6735"/>
      <c r="D6735"/>
      <c r="E6735"/>
    </row>
    <row r="6736" spans="1:5" x14ac:dyDescent="0.2">
      <c r="A6736"/>
      <c r="B6736"/>
      <c r="C6736"/>
      <c r="D6736"/>
      <c r="E6736"/>
    </row>
    <row r="6737" spans="1:5" x14ac:dyDescent="0.2">
      <c r="A6737"/>
      <c r="B6737"/>
      <c r="C6737"/>
      <c r="D6737"/>
      <c r="E6737"/>
    </row>
    <row r="6738" spans="1:5" x14ac:dyDescent="0.2">
      <c r="A6738"/>
      <c r="B6738"/>
      <c r="C6738"/>
      <c r="D6738"/>
      <c r="E6738"/>
    </row>
    <row r="6739" spans="1:5" x14ac:dyDescent="0.2">
      <c r="A6739"/>
      <c r="B6739"/>
      <c r="C6739"/>
      <c r="D6739"/>
      <c r="E6739"/>
    </row>
    <row r="6740" spans="1:5" x14ac:dyDescent="0.2">
      <c r="A6740"/>
      <c r="B6740"/>
      <c r="C6740"/>
      <c r="D6740"/>
      <c r="E6740"/>
    </row>
    <row r="6741" spans="1:5" x14ac:dyDescent="0.2">
      <c r="A6741"/>
      <c r="B6741"/>
      <c r="C6741"/>
      <c r="D6741"/>
      <c r="E6741"/>
    </row>
    <row r="6742" spans="1:5" x14ac:dyDescent="0.2">
      <c r="A6742"/>
      <c r="B6742"/>
      <c r="C6742"/>
      <c r="D6742"/>
      <c r="E6742"/>
    </row>
    <row r="6743" spans="1:5" x14ac:dyDescent="0.2">
      <c r="A6743"/>
      <c r="B6743"/>
      <c r="C6743"/>
      <c r="D6743"/>
      <c r="E6743"/>
    </row>
    <row r="6744" spans="1:5" x14ac:dyDescent="0.2">
      <c r="A6744"/>
      <c r="B6744"/>
      <c r="C6744"/>
      <c r="D6744"/>
      <c r="E6744"/>
    </row>
    <row r="6745" spans="1:5" x14ac:dyDescent="0.2">
      <c r="A6745"/>
      <c r="B6745"/>
      <c r="C6745"/>
      <c r="D6745"/>
      <c r="E6745"/>
    </row>
    <row r="6746" spans="1:5" x14ac:dyDescent="0.2">
      <c r="A6746"/>
      <c r="B6746"/>
      <c r="C6746"/>
      <c r="D6746"/>
      <c r="E6746"/>
    </row>
    <row r="6747" spans="1:5" x14ac:dyDescent="0.2">
      <c r="A6747"/>
      <c r="B6747"/>
      <c r="C6747"/>
      <c r="D6747"/>
      <c r="E6747"/>
    </row>
    <row r="6748" spans="1:5" x14ac:dyDescent="0.2">
      <c r="A6748"/>
      <c r="B6748"/>
      <c r="C6748"/>
      <c r="D6748"/>
      <c r="E6748"/>
    </row>
    <row r="6749" spans="1:5" x14ac:dyDescent="0.2">
      <c r="A6749"/>
      <c r="B6749"/>
      <c r="C6749"/>
      <c r="D6749"/>
      <c r="E6749"/>
    </row>
    <row r="6750" spans="1:5" x14ac:dyDescent="0.2">
      <c r="A6750"/>
      <c r="B6750"/>
      <c r="C6750"/>
      <c r="D6750"/>
      <c r="E6750"/>
    </row>
    <row r="6751" spans="1:5" x14ac:dyDescent="0.2">
      <c r="A6751"/>
      <c r="B6751"/>
      <c r="C6751"/>
      <c r="D6751"/>
      <c r="E6751"/>
    </row>
    <row r="6752" spans="1:5" x14ac:dyDescent="0.2">
      <c r="A6752"/>
      <c r="B6752"/>
      <c r="C6752"/>
      <c r="D6752"/>
      <c r="E6752"/>
    </row>
    <row r="6753" spans="1:5" x14ac:dyDescent="0.2">
      <c r="A6753"/>
      <c r="B6753"/>
      <c r="C6753"/>
      <c r="D6753"/>
      <c r="E6753"/>
    </row>
    <row r="6754" spans="1:5" x14ac:dyDescent="0.2">
      <c r="A6754"/>
      <c r="B6754"/>
      <c r="C6754"/>
      <c r="D6754"/>
      <c r="E6754"/>
    </row>
    <row r="6755" spans="1:5" x14ac:dyDescent="0.2">
      <c r="A6755"/>
      <c r="B6755"/>
      <c r="C6755"/>
      <c r="D6755"/>
      <c r="E6755"/>
    </row>
    <row r="6756" spans="1:5" x14ac:dyDescent="0.2">
      <c r="A6756"/>
      <c r="B6756"/>
      <c r="C6756"/>
      <c r="D6756"/>
      <c r="E6756"/>
    </row>
    <row r="6757" spans="1:5" x14ac:dyDescent="0.2">
      <c r="A6757"/>
      <c r="B6757"/>
      <c r="C6757"/>
      <c r="D6757"/>
      <c r="E6757"/>
    </row>
    <row r="6758" spans="1:5" x14ac:dyDescent="0.2">
      <c r="A6758"/>
      <c r="B6758"/>
      <c r="C6758"/>
      <c r="D6758"/>
      <c r="E6758"/>
    </row>
    <row r="6759" spans="1:5" x14ac:dyDescent="0.2">
      <c r="A6759"/>
      <c r="B6759"/>
      <c r="C6759"/>
      <c r="D6759"/>
      <c r="E6759"/>
    </row>
    <row r="6760" spans="1:5" x14ac:dyDescent="0.2">
      <c r="A6760"/>
      <c r="B6760"/>
      <c r="C6760"/>
      <c r="D6760"/>
      <c r="E6760"/>
    </row>
    <row r="6761" spans="1:5" x14ac:dyDescent="0.2">
      <c r="A6761"/>
      <c r="B6761"/>
      <c r="C6761"/>
      <c r="D6761"/>
      <c r="E6761"/>
    </row>
    <row r="6762" spans="1:5" x14ac:dyDescent="0.2">
      <c r="A6762"/>
      <c r="B6762"/>
      <c r="C6762"/>
      <c r="D6762"/>
      <c r="E6762"/>
    </row>
    <row r="6763" spans="1:5" x14ac:dyDescent="0.2">
      <c r="A6763"/>
      <c r="B6763"/>
      <c r="C6763"/>
      <c r="D6763"/>
      <c r="E6763"/>
    </row>
    <row r="6764" spans="1:5" x14ac:dyDescent="0.2">
      <c r="A6764"/>
      <c r="B6764"/>
      <c r="C6764"/>
      <c r="D6764"/>
      <c r="E6764"/>
    </row>
    <row r="6765" spans="1:5" x14ac:dyDescent="0.2">
      <c r="A6765"/>
      <c r="B6765"/>
      <c r="C6765"/>
      <c r="D6765"/>
      <c r="E6765"/>
    </row>
    <row r="6766" spans="1:5" x14ac:dyDescent="0.2">
      <c r="A6766"/>
      <c r="B6766"/>
      <c r="C6766"/>
      <c r="D6766"/>
      <c r="E6766"/>
    </row>
    <row r="6767" spans="1:5" x14ac:dyDescent="0.2">
      <c r="A6767"/>
      <c r="B6767"/>
      <c r="C6767"/>
      <c r="D6767"/>
      <c r="E6767"/>
    </row>
    <row r="6768" spans="1:5" x14ac:dyDescent="0.2">
      <c r="A6768"/>
      <c r="B6768"/>
      <c r="C6768"/>
      <c r="D6768"/>
      <c r="E6768"/>
    </row>
    <row r="6769" spans="1:5" x14ac:dyDescent="0.2">
      <c r="A6769"/>
      <c r="B6769"/>
      <c r="C6769"/>
      <c r="D6769"/>
      <c r="E6769"/>
    </row>
    <row r="6770" spans="1:5" x14ac:dyDescent="0.2">
      <c r="A6770"/>
      <c r="B6770"/>
      <c r="C6770"/>
      <c r="D6770"/>
      <c r="E6770"/>
    </row>
    <row r="6771" spans="1:5" x14ac:dyDescent="0.2">
      <c r="A6771"/>
      <c r="B6771"/>
      <c r="C6771"/>
      <c r="D6771"/>
      <c r="E6771"/>
    </row>
    <row r="6772" spans="1:5" x14ac:dyDescent="0.2">
      <c r="A6772"/>
      <c r="B6772"/>
      <c r="C6772"/>
      <c r="D6772"/>
      <c r="E6772"/>
    </row>
    <row r="6773" spans="1:5" x14ac:dyDescent="0.2">
      <c r="A6773"/>
      <c r="B6773"/>
      <c r="C6773"/>
      <c r="D6773"/>
      <c r="E6773"/>
    </row>
    <row r="6774" spans="1:5" x14ac:dyDescent="0.2">
      <c r="A6774"/>
      <c r="B6774"/>
      <c r="C6774"/>
      <c r="D6774"/>
      <c r="E6774"/>
    </row>
    <row r="6775" spans="1:5" x14ac:dyDescent="0.2">
      <c r="A6775"/>
      <c r="B6775"/>
      <c r="C6775"/>
      <c r="D6775"/>
      <c r="E6775"/>
    </row>
    <row r="6776" spans="1:5" x14ac:dyDescent="0.2">
      <c r="A6776"/>
      <c r="B6776"/>
      <c r="C6776"/>
      <c r="D6776"/>
      <c r="E6776"/>
    </row>
    <row r="6777" spans="1:5" x14ac:dyDescent="0.2">
      <c r="A6777"/>
      <c r="B6777"/>
      <c r="C6777"/>
      <c r="D6777"/>
      <c r="E6777"/>
    </row>
    <row r="6778" spans="1:5" x14ac:dyDescent="0.2">
      <c r="A6778"/>
      <c r="B6778"/>
      <c r="C6778"/>
      <c r="D6778"/>
      <c r="E6778"/>
    </row>
    <row r="6779" spans="1:5" x14ac:dyDescent="0.2">
      <c r="A6779"/>
      <c r="B6779"/>
      <c r="C6779"/>
      <c r="D6779"/>
      <c r="E6779"/>
    </row>
    <row r="6780" spans="1:5" x14ac:dyDescent="0.2">
      <c r="A6780"/>
      <c r="B6780"/>
      <c r="C6780"/>
      <c r="D6780"/>
      <c r="E6780"/>
    </row>
    <row r="6781" spans="1:5" x14ac:dyDescent="0.2">
      <c r="A6781"/>
      <c r="B6781"/>
      <c r="C6781"/>
      <c r="D6781"/>
      <c r="E6781"/>
    </row>
    <row r="6782" spans="1:5" x14ac:dyDescent="0.2">
      <c r="A6782"/>
      <c r="B6782"/>
      <c r="C6782"/>
      <c r="D6782"/>
      <c r="E6782"/>
    </row>
    <row r="6783" spans="1:5" x14ac:dyDescent="0.2">
      <c r="A6783"/>
      <c r="B6783"/>
      <c r="C6783"/>
      <c r="D6783"/>
      <c r="E6783"/>
    </row>
    <row r="6784" spans="1:5" x14ac:dyDescent="0.2">
      <c r="A6784"/>
      <c r="B6784"/>
      <c r="C6784"/>
      <c r="D6784"/>
      <c r="E6784"/>
    </row>
    <row r="6785" spans="1:5" x14ac:dyDescent="0.2">
      <c r="A6785"/>
      <c r="B6785"/>
      <c r="C6785"/>
      <c r="D6785"/>
      <c r="E6785"/>
    </row>
    <row r="6786" spans="1:5" x14ac:dyDescent="0.2">
      <c r="A6786"/>
      <c r="B6786"/>
      <c r="C6786"/>
      <c r="D6786"/>
      <c r="E6786"/>
    </row>
    <row r="6787" spans="1:5" x14ac:dyDescent="0.2">
      <c r="A6787"/>
      <c r="B6787"/>
      <c r="C6787"/>
      <c r="D6787"/>
      <c r="E6787"/>
    </row>
    <row r="6788" spans="1:5" x14ac:dyDescent="0.2">
      <c r="A6788"/>
      <c r="B6788"/>
      <c r="C6788"/>
      <c r="D6788"/>
      <c r="E6788"/>
    </row>
    <row r="6789" spans="1:5" x14ac:dyDescent="0.2">
      <c r="A6789"/>
      <c r="B6789"/>
      <c r="C6789"/>
      <c r="D6789"/>
      <c r="E6789"/>
    </row>
    <row r="6790" spans="1:5" x14ac:dyDescent="0.2">
      <c r="A6790"/>
      <c r="B6790"/>
      <c r="C6790"/>
      <c r="D6790"/>
      <c r="E6790"/>
    </row>
    <row r="6791" spans="1:5" x14ac:dyDescent="0.2">
      <c r="A6791"/>
      <c r="B6791"/>
      <c r="C6791"/>
      <c r="D6791"/>
      <c r="E6791"/>
    </row>
    <row r="6792" spans="1:5" x14ac:dyDescent="0.2">
      <c r="A6792"/>
      <c r="B6792"/>
      <c r="C6792"/>
      <c r="D6792"/>
      <c r="E6792"/>
    </row>
    <row r="6793" spans="1:5" x14ac:dyDescent="0.2">
      <c r="A6793"/>
      <c r="B6793"/>
      <c r="C6793"/>
      <c r="D6793"/>
      <c r="E6793"/>
    </row>
    <row r="6794" spans="1:5" x14ac:dyDescent="0.2">
      <c r="A6794"/>
      <c r="B6794"/>
      <c r="C6794"/>
      <c r="D6794"/>
      <c r="E6794"/>
    </row>
    <row r="6795" spans="1:5" x14ac:dyDescent="0.2">
      <c r="A6795"/>
      <c r="B6795"/>
      <c r="C6795"/>
      <c r="D6795"/>
      <c r="E6795"/>
    </row>
    <row r="6796" spans="1:5" x14ac:dyDescent="0.2">
      <c r="A6796"/>
      <c r="B6796"/>
      <c r="C6796"/>
      <c r="D6796"/>
      <c r="E6796"/>
    </row>
    <row r="6797" spans="1:5" x14ac:dyDescent="0.2">
      <c r="A6797"/>
      <c r="B6797"/>
      <c r="C6797"/>
      <c r="D6797"/>
      <c r="E6797"/>
    </row>
    <row r="6798" spans="1:5" x14ac:dyDescent="0.2">
      <c r="A6798"/>
      <c r="B6798"/>
      <c r="C6798"/>
      <c r="D6798"/>
      <c r="E6798"/>
    </row>
    <row r="6799" spans="1:5" x14ac:dyDescent="0.2">
      <c r="A6799"/>
      <c r="B6799"/>
      <c r="C6799"/>
      <c r="D6799"/>
      <c r="E6799"/>
    </row>
    <row r="6800" spans="1:5" x14ac:dyDescent="0.2">
      <c r="A6800"/>
      <c r="B6800"/>
      <c r="C6800"/>
      <c r="D6800"/>
      <c r="E6800"/>
    </row>
    <row r="6801" spans="1:5" x14ac:dyDescent="0.2">
      <c r="A6801"/>
      <c r="B6801"/>
      <c r="C6801"/>
      <c r="D6801"/>
      <c r="E6801"/>
    </row>
    <row r="6802" spans="1:5" x14ac:dyDescent="0.2">
      <c r="A6802"/>
      <c r="B6802"/>
      <c r="C6802"/>
      <c r="D6802"/>
      <c r="E6802"/>
    </row>
    <row r="6803" spans="1:5" x14ac:dyDescent="0.2">
      <c r="A6803"/>
      <c r="B6803"/>
      <c r="C6803"/>
      <c r="D6803"/>
      <c r="E6803"/>
    </row>
    <row r="6804" spans="1:5" x14ac:dyDescent="0.2">
      <c r="A6804"/>
      <c r="B6804"/>
      <c r="C6804"/>
      <c r="D6804"/>
      <c r="E6804"/>
    </row>
    <row r="6805" spans="1:5" x14ac:dyDescent="0.2">
      <c r="A6805"/>
      <c r="B6805"/>
      <c r="C6805"/>
      <c r="D6805"/>
      <c r="E6805"/>
    </row>
    <row r="6806" spans="1:5" x14ac:dyDescent="0.2">
      <c r="A6806"/>
      <c r="B6806"/>
      <c r="C6806"/>
      <c r="D6806"/>
      <c r="E6806"/>
    </row>
    <row r="6807" spans="1:5" x14ac:dyDescent="0.2">
      <c r="A6807"/>
      <c r="B6807"/>
      <c r="C6807"/>
      <c r="D6807"/>
      <c r="E6807"/>
    </row>
    <row r="6808" spans="1:5" x14ac:dyDescent="0.2">
      <c r="A6808"/>
      <c r="B6808"/>
      <c r="C6808"/>
      <c r="D6808"/>
      <c r="E6808"/>
    </row>
    <row r="6809" spans="1:5" x14ac:dyDescent="0.2">
      <c r="A6809"/>
      <c r="B6809"/>
      <c r="C6809"/>
      <c r="D6809"/>
      <c r="E6809"/>
    </row>
    <row r="6810" spans="1:5" x14ac:dyDescent="0.2">
      <c r="A6810"/>
      <c r="B6810"/>
      <c r="C6810"/>
      <c r="D6810"/>
      <c r="E6810"/>
    </row>
    <row r="6811" spans="1:5" x14ac:dyDescent="0.2">
      <c r="A6811"/>
      <c r="B6811"/>
      <c r="C6811"/>
      <c r="D6811"/>
      <c r="E6811"/>
    </row>
    <row r="6812" spans="1:5" x14ac:dyDescent="0.2">
      <c r="A6812"/>
      <c r="B6812"/>
      <c r="C6812"/>
      <c r="D6812"/>
      <c r="E6812"/>
    </row>
    <row r="6813" spans="1:5" x14ac:dyDescent="0.2">
      <c r="A6813"/>
      <c r="B6813"/>
      <c r="C6813"/>
      <c r="D6813"/>
      <c r="E6813"/>
    </row>
    <row r="6814" spans="1:5" x14ac:dyDescent="0.2">
      <c r="A6814"/>
      <c r="B6814"/>
      <c r="C6814"/>
      <c r="D6814"/>
      <c r="E6814"/>
    </row>
    <row r="6815" spans="1:5" x14ac:dyDescent="0.2">
      <c r="A6815"/>
      <c r="B6815"/>
      <c r="C6815"/>
      <c r="D6815"/>
      <c r="E6815"/>
    </row>
    <row r="6816" spans="1:5" x14ac:dyDescent="0.2">
      <c r="A6816"/>
      <c r="B6816"/>
      <c r="C6816"/>
      <c r="D6816"/>
      <c r="E6816"/>
    </row>
    <row r="6817" spans="1:5" x14ac:dyDescent="0.2">
      <c r="A6817"/>
      <c r="B6817"/>
      <c r="C6817"/>
      <c r="D6817"/>
      <c r="E6817"/>
    </row>
    <row r="6818" spans="1:5" x14ac:dyDescent="0.2">
      <c r="A6818"/>
      <c r="B6818"/>
      <c r="C6818"/>
      <c r="D6818"/>
      <c r="E6818"/>
    </row>
    <row r="6819" spans="1:5" x14ac:dyDescent="0.2">
      <c r="A6819"/>
      <c r="B6819"/>
      <c r="C6819"/>
      <c r="D6819"/>
      <c r="E6819"/>
    </row>
    <row r="6820" spans="1:5" x14ac:dyDescent="0.2">
      <c r="A6820"/>
      <c r="B6820"/>
      <c r="C6820"/>
      <c r="D6820"/>
      <c r="E6820"/>
    </row>
    <row r="6821" spans="1:5" x14ac:dyDescent="0.2">
      <c r="A6821"/>
      <c r="B6821"/>
      <c r="C6821"/>
      <c r="D6821"/>
      <c r="E6821"/>
    </row>
    <row r="6822" spans="1:5" x14ac:dyDescent="0.2">
      <c r="A6822"/>
      <c r="B6822"/>
      <c r="C6822"/>
      <c r="D6822"/>
      <c r="E6822"/>
    </row>
    <row r="6823" spans="1:5" x14ac:dyDescent="0.2">
      <c r="A6823"/>
      <c r="B6823"/>
      <c r="C6823"/>
      <c r="D6823"/>
      <c r="E6823"/>
    </row>
    <row r="6824" spans="1:5" x14ac:dyDescent="0.2">
      <c r="A6824"/>
      <c r="B6824"/>
      <c r="C6824"/>
      <c r="D6824"/>
      <c r="E6824"/>
    </row>
    <row r="6825" spans="1:5" x14ac:dyDescent="0.2">
      <c r="A6825"/>
      <c r="B6825"/>
      <c r="C6825"/>
      <c r="D6825"/>
      <c r="E6825"/>
    </row>
    <row r="6826" spans="1:5" x14ac:dyDescent="0.2">
      <c r="A6826"/>
      <c r="B6826"/>
      <c r="C6826"/>
      <c r="D6826"/>
      <c r="E6826"/>
    </row>
    <row r="6827" spans="1:5" x14ac:dyDescent="0.2">
      <c r="A6827"/>
      <c r="B6827"/>
      <c r="C6827"/>
      <c r="D6827"/>
      <c r="E6827"/>
    </row>
    <row r="6828" spans="1:5" x14ac:dyDescent="0.2">
      <c r="A6828"/>
      <c r="B6828"/>
      <c r="C6828"/>
      <c r="D6828"/>
      <c r="E6828"/>
    </row>
    <row r="6829" spans="1:5" x14ac:dyDescent="0.2">
      <c r="A6829"/>
      <c r="B6829"/>
      <c r="C6829"/>
      <c r="D6829"/>
      <c r="E6829"/>
    </row>
    <row r="6830" spans="1:5" x14ac:dyDescent="0.2">
      <c r="A6830"/>
      <c r="B6830"/>
      <c r="C6830"/>
      <c r="D6830"/>
      <c r="E6830"/>
    </row>
    <row r="6831" spans="1:5" x14ac:dyDescent="0.2">
      <c r="A6831"/>
      <c r="B6831"/>
      <c r="C6831"/>
      <c r="D6831"/>
      <c r="E6831"/>
    </row>
    <row r="6832" spans="1:5" x14ac:dyDescent="0.2">
      <c r="A6832"/>
      <c r="B6832"/>
      <c r="C6832"/>
      <c r="D6832"/>
      <c r="E6832"/>
    </row>
    <row r="6833" spans="1:5" x14ac:dyDescent="0.2">
      <c r="A6833"/>
      <c r="B6833"/>
      <c r="C6833"/>
      <c r="D6833"/>
      <c r="E6833"/>
    </row>
    <row r="6834" spans="1:5" x14ac:dyDescent="0.2">
      <c r="A6834"/>
      <c r="B6834"/>
      <c r="C6834"/>
      <c r="D6834"/>
      <c r="E6834"/>
    </row>
    <row r="6835" spans="1:5" x14ac:dyDescent="0.2">
      <c r="A6835"/>
      <c r="B6835"/>
      <c r="C6835"/>
      <c r="D6835"/>
      <c r="E6835"/>
    </row>
    <row r="6836" spans="1:5" x14ac:dyDescent="0.2">
      <c r="A6836"/>
      <c r="B6836"/>
      <c r="C6836"/>
      <c r="D6836"/>
      <c r="E6836"/>
    </row>
    <row r="6837" spans="1:5" x14ac:dyDescent="0.2">
      <c r="A6837"/>
      <c r="B6837"/>
      <c r="C6837"/>
      <c r="D6837"/>
      <c r="E6837"/>
    </row>
    <row r="6838" spans="1:5" x14ac:dyDescent="0.2">
      <c r="A6838"/>
      <c r="B6838"/>
      <c r="C6838"/>
      <c r="D6838"/>
      <c r="E6838"/>
    </row>
    <row r="6839" spans="1:5" x14ac:dyDescent="0.2">
      <c r="A6839"/>
      <c r="B6839"/>
      <c r="C6839"/>
      <c r="D6839"/>
      <c r="E6839"/>
    </row>
    <row r="6840" spans="1:5" x14ac:dyDescent="0.2">
      <c r="A6840"/>
      <c r="B6840"/>
      <c r="C6840"/>
      <c r="D6840"/>
      <c r="E6840"/>
    </row>
    <row r="6841" spans="1:5" x14ac:dyDescent="0.2">
      <c r="A6841"/>
      <c r="B6841"/>
      <c r="C6841"/>
      <c r="D6841"/>
      <c r="E6841"/>
    </row>
    <row r="6842" spans="1:5" x14ac:dyDescent="0.2">
      <c r="A6842"/>
      <c r="B6842"/>
      <c r="C6842"/>
      <c r="D6842"/>
      <c r="E6842"/>
    </row>
    <row r="6843" spans="1:5" x14ac:dyDescent="0.2">
      <c r="A6843"/>
      <c r="B6843"/>
      <c r="C6843"/>
      <c r="D6843"/>
      <c r="E6843"/>
    </row>
    <row r="6844" spans="1:5" x14ac:dyDescent="0.2">
      <c r="A6844"/>
      <c r="B6844"/>
      <c r="C6844"/>
      <c r="D6844"/>
      <c r="E6844"/>
    </row>
    <row r="6845" spans="1:5" x14ac:dyDescent="0.2">
      <c r="A6845"/>
      <c r="B6845"/>
      <c r="C6845"/>
      <c r="D6845"/>
      <c r="E6845"/>
    </row>
    <row r="6846" spans="1:5" x14ac:dyDescent="0.2">
      <c r="A6846"/>
      <c r="B6846"/>
      <c r="C6846"/>
      <c r="D6846"/>
      <c r="E6846"/>
    </row>
    <row r="6847" spans="1:5" x14ac:dyDescent="0.2">
      <c r="A6847"/>
      <c r="B6847"/>
      <c r="C6847"/>
      <c r="D6847"/>
      <c r="E6847"/>
    </row>
    <row r="6848" spans="1:5" x14ac:dyDescent="0.2">
      <c r="A6848"/>
      <c r="B6848"/>
      <c r="C6848"/>
      <c r="D6848"/>
      <c r="E6848"/>
    </row>
    <row r="6849" spans="1:5" x14ac:dyDescent="0.2">
      <c r="A6849"/>
      <c r="B6849"/>
      <c r="C6849"/>
      <c r="D6849"/>
      <c r="E6849"/>
    </row>
    <row r="6850" spans="1:5" x14ac:dyDescent="0.2">
      <c r="A6850"/>
      <c r="B6850"/>
      <c r="C6850"/>
      <c r="D6850"/>
      <c r="E6850"/>
    </row>
    <row r="6851" spans="1:5" x14ac:dyDescent="0.2">
      <c r="A6851"/>
      <c r="B6851"/>
      <c r="C6851"/>
      <c r="D6851"/>
      <c r="E6851"/>
    </row>
    <row r="6852" spans="1:5" x14ac:dyDescent="0.2">
      <c r="A6852"/>
      <c r="B6852"/>
      <c r="C6852"/>
      <c r="D6852"/>
      <c r="E6852"/>
    </row>
    <row r="6853" spans="1:5" x14ac:dyDescent="0.2">
      <c r="A6853"/>
      <c r="B6853"/>
      <c r="C6853"/>
      <c r="D6853"/>
      <c r="E6853"/>
    </row>
    <row r="6854" spans="1:5" x14ac:dyDescent="0.2">
      <c r="A6854"/>
      <c r="B6854"/>
      <c r="C6854"/>
      <c r="D6854"/>
      <c r="E6854"/>
    </row>
    <row r="6855" spans="1:5" x14ac:dyDescent="0.2">
      <c r="A6855"/>
      <c r="B6855"/>
      <c r="C6855"/>
      <c r="D6855"/>
      <c r="E6855"/>
    </row>
    <row r="6856" spans="1:5" x14ac:dyDescent="0.2">
      <c r="A6856"/>
      <c r="B6856"/>
      <c r="C6856"/>
      <c r="D6856"/>
      <c r="E6856"/>
    </row>
    <row r="6857" spans="1:5" x14ac:dyDescent="0.2">
      <c r="A6857"/>
      <c r="B6857"/>
      <c r="C6857"/>
      <c r="D6857"/>
      <c r="E6857"/>
    </row>
    <row r="6858" spans="1:5" x14ac:dyDescent="0.2">
      <c r="A6858"/>
      <c r="B6858"/>
      <c r="C6858"/>
      <c r="D6858"/>
      <c r="E6858"/>
    </row>
    <row r="6859" spans="1:5" x14ac:dyDescent="0.2">
      <c r="A6859"/>
      <c r="B6859"/>
      <c r="C6859"/>
      <c r="D6859"/>
      <c r="E6859"/>
    </row>
    <row r="6860" spans="1:5" x14ac:dyDescent="0.2">
      <c r="A6860"/>
      <c r="B6860"/>
      <c r="C6860"/>
      <c r="D6860"/>
      <c r="E6860"/>
    </row>
    <row r="6861" spans="1:5" x14ac:dyDescent="0.2">
      <c r="A6861"/>
      <c r="B6861"/>
      <c r="C6861"/>
      <c r="D6861"/>
      <c r="E6861"/>
    </row>
    <row r="6862" spans="1:5" x14ac:dyDescent="0.2">
      <c r="A6862"/>
      <c r="B6862"/>
      <c r="C6862"/>
      <c r="D6862"/>
      <c r="E6862"/>
    </row>
    <row r="6863" spans="1:5" x14ac:dyDescent="0.2">
      <c r="A6863"/>
      <c r="B6863"/>
      <c r="C6863"/>
      <c r="D6863"/>
      <c r="E6863"/>
    </row>
    <row r="6864" spans="1:5" x14ac:dyDescent="0.2">
      <c r="A6864"/>
      <c r="B6864"/>
      <c r="C6864"/>
      <c r="D6864"/>
      <c r="E6864"/>
    </row>
    <row r="6865" spans="1:5" x14ac:dyDescent="0.2">
      <c r="A6865"/>
      <c r="B6865"/>
      <c r="C6865"/>
      <c r="D6865"/>
      <c r="E6865"/>
    </row>
    <row r="6866" spans="1:5" x14ac:dyDescent="0.2">
      <c r="A6866"/>
      <c r="B6866"/>
      <c r="C6866"/>
      <c r="D6866"/>
      <c r="E6866"/>
    </row>
    <row r="6867" spans="1:5" x14ac:dyDescent="0.2">
      <c r="A6867"/>
      <c r="B6867"/>
      <c r="C6867"/>
      <c r="D6867"/>
      <c r="E6867"/>
    </row>
    <row r="6868" spans="1:5" x14ac:dyDescent="0.2">
      <c r="A6868"/>
      <c r="B6868"/>
      <c r="C6868"/>
      <c r="D6868"/>
      <c r="E6868"/>
    </row>
    <row r="6869" spans="1:5" x14ac:dyDescent="0.2">
      <c r="A6869"/>
      <c r="B6869"/>
      <c r="C6869"/>
      <c r="D6869"/>
      <c r="E6869"/>
    </row>
    <row r="6870" spans="1:5" x14ac:dyDescent="0.2">
      <c r="A6870"/>
      <c r="B6870"/>
      <c r="C6870"/>
      <c r="D6870"/>
      <c r="E6870"/>
    </row>
    <row r="6871" spans="1:5" x14ac:dyDescent="0.2">
      <c r="A6871"/>
      <c r="B6871"/>
      <c r="C6871"/>
      <c r="D6871"/>
      <c r="E6871"/>
    </row>
    <row r="6872" spans="1:5" x14ac:dyDescent="0.2">
      <c r="A6872"/>
      <c r="B6872"/>
      <c r="C6872"/>
      <c r="D6872"/>
      <c r="E6872"/>
    </row>
    <row r="6873" spans="1:5" x14ac:dyDescent="0.2">
      <c r="A6873"/>
      <c r="B6873"/>
      <c r="C6873"/>
      <c r="D6873"/>
      <c r="E6873"/>
    </row>
    <row r="6874" spans="1:5" x14ac:dyDescent="0.2">
      <c r="A6874"/>
      <c r="B6874"/>
      <c r="C6874"/>
      <c r="D6874"/>
      <c r="E6874"/>
    </row>
    <row r="6875" spans="1:5" x14ac:dyDescent="0.2">
      <c r="A6875"/>
      <c r="B6875"/>
      <c r="C6875"/>
      <c r="D6875"/>
      <c r="E6875"/>
    </row>
    <row r="6876" spans="1:5" x14ac:dyDescent="0.2">
      <c r="A6876"/>
      <c r="B6876"/>
      <c r="C6876"/>
      <c r="D6876"/>
      <c r="E6876"/>
    </row>
    <row r="6877" spans="1:5" x14ac:dyDescent="0.2">
      <c r="A6877"/>
      <c r="B6877"/>
      <c r="C6877"/>
      <c r="D6877"/>
      <c r="E6877"/>
    </row>
    <row r="6878" spans="1:5" x14ac:dyDescent="0.2">
      <c r="A6878"/>
      <c r="B6878"/>
      <c r="C6878"/>
      <c r="D6878"/>
      <c r="E6878"/>
    </row>
    <row r="6879" spans="1:5" x14ac:dyDescent="0.2">
      <c r="A6879"/>
      <c r="B6879"/>
      <c r="C6879"/>
      <c r="D6879"/>
      <c r="E6879"/>
    </row>
    <row r="6880" spans="1:5" x14ac:dyDescent="0.2">
      <c r="A6880"/>
      <c r="B6880"/>
      <c r="C6880"/>
      <c r="D6880"/>
      <c r="E6880"/>
    </row>
    <row r="6881" spans="1:5" x14ac:dyDescent="0.2">
      <c r="A6881"/>
      <c r="B6881"/>
      <c r="C6881"/>
      <c r="D6881"/>
      <c r="E6881"/>
    </row>
    <row r="6882" spans="1:5" x14ac:dyDescent="0.2">
      <c r="A6882"/>
      <c r="B6882"/>
      <c r="C6882"/>
      <c r="D6882"/>
      <c r="E6882"/>
    </row>
    <row r="6883" spans="1:5" x14ac:dyDescent="0.2">
      <c r="A6883"/>
      <c r="B6883"/>
      <c r="C6883"/>
      <c r="D6883"/>
      <c r="E6883"/>
    </row>
    <row r="6884" spans="1:5" x14ac:dyDescent="0.2">
      <c r="A6884"/>
      <c r="B6884"/>
      <c r="C6884"/>
      <c r="D6884"/>
      <c r="E6884"/>
    </row>
    <row r="6885" spans="1:5" x14ac:dyDescent="0.2">
      <c r="A6885"/>
      <c r="B6885"/>
      <c r="C6885"/>
      <c r="D6885"/>
      <c r="E6885"/>
    </row>
    <row r="6886" spans="1:5" x14ac:dyDescent="0.2">
      <c r="A6886"/>
      <c r="B6886"/>
      <c r="C6886"/>
      <c r="D6886"/>
      <c r="E6886"/>
    </row>
    <row r="6887" spans="1:5" x14ac:dyDescent="0.2">
      <c r="A6887"/>
      <c r="B6887"/>
      <c r="C6887"/>
      <c r="D6887"/>
      <c r="E6887"/>
    </row>
    <row r="6888" spans="1:5" x14ac:dyDescent="0.2">
      <c r="A6888"/>
      <c r="B6888"/>
      <c r="C6888"/>
      <c r="D6888"/>
      <c r="E6888"/>
    </row>
    <row r="6889" spans="1:5" x14ac:dyDescent="0.2">
      <c r="A6889"/>
      <c r="B6889"/>
      <c r="C6889"/>
      <c r="D6889"/>
      <c r="E6889"/>
    </row>
    <row r="6890" spans="1:5" x14ac:dyDescent="0.2">
      <c r="A6890"/>
      <c r="B6890"/>
      <c r="C6890"/>
      <c r="D6890"/>
      <c r="E6890"/>
    </row>
    <row r="6891" spans="1:5" x14ac:dyDescent="0.2">
      <c r="A6891"/>
      <c r="B6891"/>
      <c r="C6891"/>
      <c r="D6891"/>
      <c r="E6891"/>
    </row>
    <row r="6892" spans="1:5" x14ac:dyDescent="0.2">
      <c r="A6892"/>
      <c r="B6892"/>
      <c r="C6892"/>
      <c r="D6892"/>
      <c r="E6892"/>
    </row>
    <row r="6893" spans="1:5" x14ac:dyDescent="0.2">
      <c r="A6893"/>
      <c r="B6893"/>
      <c r="C6893"/>
      <c r="D6893"/>
      <c r="E6893"/>
    </row>
    <row r="6894" spans="1:5" x14ac:dyDescent="0.2">
      <c r="A6894"/>
      <c r="B6894"/>
      <c r="C6894"/>
      <c r="D6894"/>
      <c r="E6894"/>
    </row>
    <row r="6895" spans="1:5" x14ac:dyDescent="0.2">
      <c r="A6895"/>
      <c r="B6895"/>
      <c r="C6895"/>
      <c r="D6895"/>
      <c r="E6895"/>
    </row>
    <row r="6896" spans="1:5" x14ac:dyDescent="0.2">
      <c r="A6896"/>
      <c r="B6896"/>
      <c r="C6896"/>
      <c r="D6896"/>
      <c r="E6896"/>
    </row>
    <row r="6897" spans="1:5" x14ac:dyDescent="0.2">
      <c r="A6897"/>
      <c r="B6897"/>
      <c r="C6897"/>
      <c r="D6897"/>
      <c r="E6897"/>
    </row>
    <row r="6898" spans="1:5" x14ac:dyDescent="0.2">
      <c r="A6898"/>
      <c r="B6898"/>
      <c r="C6898"/>
      <c r="D6898"/>
      <c r="E6898"/>
    </row>
    <row r="6899" spans="1:5" x14ac:dyDescent="0.2">
      <c r="A6899"/>
      <c r="B6899"/>
      <c r="C6899"/>
      <c r="D6899"/>
      <c r="E6899"/>
    </row>
    <row r="6900" spans="1:5" x14ac:dyDescent="0.2">
      <c r="A6900"/>
      <c r="B6900"/>
      <c r="C6900"/>
      <c r="D6900"/>
      <c r="E6900"/>
    </row>
    <row r="6901" spans="1:5" x14ac:dyDescent="0.2">
      <c r="A6901"/>
      <c r="B6901"/>
      <c r="C6901"/>
      <c r="D6901"/>
      <c r="E6901"/>
    </row>
    <row r="6902" spans="1:5" x14ac:dyDescent="0.2">
      <c r="A6902"/>
      <c r="B6902"/>
      <c r="C6902"/>
      <c r="D6902"/>
      <c r="E6902"/>
    </row>
    <row r="6903" spans="1:5" x14ac:dyDescent="0.2">
      <c r="A6903"/>
      <c r="B6903"/>
      <c r="C6903"/>
      <c r="D6903"/>
      <c r="E6903"/>
    </row>
    <row r="6904" spans="1:5" x14ac:dyDescent="0.2">
      <c r="A6904"/>
      <c r="B6904"/>
      <c r="C6904"/>
      <c r="D6904"/>
      <c r="E6904"/>
    </row>
    <row r="6905" spans="1:5" x14ac:dyDescent="0.2">
      <c r="A6905"/>
      <c r="B6905"/>
      <c r="C6905"/>
      <c r="D6905"/>
      <c r="E6905"/>
    </row>
    <row r="6906" spans="1:5" x14ac:dyDescent="0.2">
      <c r="A6906"/>
      <c r="B6906"/>
      <c r="C6906"/>
      <c r="D6906"/>
      <c r="E6906"/>
    </row>
    <row r="6907" spans="1:5" x14ac:dyDescent="0.2">
      <c r="A6907"/>
      <c r="B6907"/>
      <c r="C6907"/>
      <c r="D6907"/>
      <c r="E6907"/>
    </row>
    <row r="6908" spans="1:5" x14ac:dyDescent="0.2">
      <c r="A6908"/>
      <c r="B6908"/>
      <c r="C6908"/>
      <c r="D6908"/>
      <c r="E6908"/>
    </row>
    <row r="6909" spans="1:5" x14ac:dyDescent="0.2">
      <c r="A6909"/>
      <c r="B6909"/>
      <c r="C6909"/>
      <c r="D6909"/>
      <c r="E6909"/>
    </row>
    <row r="6910" spans="1:5" x14ac:dyDescent="0.2">
      <c r="A6910"/>
      <c r="B6910"/>
      <c r="C6910"/>
      <c r="D6910"/>
      <c r="E6910"/>
    </row>
    <row r="6911" spans="1:5" x14ac:dyDescent="0.2">
      <c r="A6911"/>
      <c r="B6911"/>
      <c r="C6911"/>
      <c r="D6911"/>
      <c r="E6911"/>
    </row>
    <row r="6912" spans="1:5" x14ac:dyDescent="0.2">
      <c r="A6912"/>
      <c r="B6912"/>
      <c r="C6912"/>
      <c r="D6912"/>
      <c r="E6912"/>
    </row>
    <row r="6913" spans="1:5" x14ac:dyDescent="0.2">
      <c r="A6913"/>
      <c r="B6913"/>
      <c r="C6913"/>
      <c r="D6913"/>
      <c r="E6913"/>
    </row>
    <row r="6914" spans="1:5" x14ac:dyDescent="0.2">
      <c r="A6914"/>
      <c r="B6914"/>
      <c r="C6914"/>
      <c r="D6914"/>
      <c r="E6914"/>
    </row>
    <row r="6915" spans="1:5" x14ac:dyDescent="0.2">
      <c r="A6915"/>
      <c r="B6915"/>
      <c r="C6915"/>
      <c r="D6915"/>
      <c r="E6915"/>
    </row>
    <row r="6916" spans="1:5" x14ac:dyDescent="0.2">
      <c r="A6916"/>
      <c r="B6916"/>
      <c r="C6916"/>
      <c r="D6916"/>
      <c r="E6916"/>
    </row>
    <row r="6917" spans="1:5" x14ac:dyDescent="0.2">
      <c r="A6917"/>
      <c r="B6917"/>
      <c r="C6917"/>
      <c r="D6917"/>
      <c r="E6917"/>
    </row>
    <row r="6918" spans="1:5" x14ac:dyDescent="0.2">
      <c r="A6918"/>
      <c r="B6918"/>
      <c r="C6918"/>
      <c r="D6918"/>
      <c r="E6918"/>
    </row>
    <row r="6919" spans="1:5" x14ac:dyDescent="0.2">
      <c r="A6919"/>
      <c r="B6919"/>
      <c r="C6919"/>
      <c r="D6919"/>
      <c r="E6919"/>
    </row>
    <row r="6920" spans="1:5" x14ac:dyDescent="0.2">
      <c r="A6920"/>
      <c r="B6920"/>
      <c r="C6920"/>
      <c r="D6920"/>
      <c r="E6920"/>
    </row>
    <row r="6921" spans="1:5" x14ac:dyDescent="0.2">
      <c r="A6921"/>
      <c r="B6921"/>
      <c r="C6921"/>
      <c r="D6921"/>
      <c r="E6921"/>
    </row>
    <row r="6922" spans="1:5" x14ac:dyDescent="0.2">
      <c r="A6922"/>
      <c r="B6922"/>
      <c r="C6922"/>
      <c r="D6922"/>
      <c r="E6922"/>
    </row>
    <row r="6923" spans="1:5" x14ac:dyDescent="0.2">
      <c r="A6923"/>
      <c r="B6923"/>
      <c r="C6923"/>
      <c r="D6923"/>
      <c r="E6923"/>
    </row>
    <row r="6924" spans="1:5" x14ac:dyDescent="0.2">
      <c r="A6924"/>
      <c r="B6924"/>
      <c r="C6924"/>
      <c r="D6924"/>
      <c r="E6924"/>
    </row>
    <row r="6925" spans="1:5" x14ac:dyDescent="0.2">
      <c r="A6925"/>
      <c r="B6925"/>
      <c r="C6925"/>
      <c r="D6925"/>
      <c r="E6925"/>
    </row>
    <row r="6926" spans="1:5" x14ac:dyDescent="0.2">
      <c r="A6926"/>
      <c r="B6926"/>
      <c r="C6926"/>
      <c r="D6926"/>
      <c r="E6926"/>
    </row>
    <row r="6927" spans="1:5" x14ac:dyDescent="0.2">
      <c r="A6927"/>
      <c r="B6927"/>
      <c r="C6927"/>
      <c r="D6927"/>
      <c r="E6927"/>
    </row>
    <row r="6928" spans="1:5" x14ac:dyDescent="0.2">
      <c r="A6928"/>
      <c r="B6928"/>
      <c r="C6928"/>
      <c r="D6928"/>
      <c r="E6928"/>
    </row>
    <row r="6929" spans="1:5" x14ac:dyDescent="0.2">
      <c r="A6929"/>
      <c r="B6929"/>
      <c r="C6929"/>
      <c r="D6929"/>
      <c r="E6929"/>
    </row>
    <row r="6930" spans="1:5" x14ac:dyDescent="0.2">
      <c r="A6930"/>
      <c r="B6930"/>
      <c r="C6930"/>
      <c r="D6930"/>
      <c r="E6930"/>
    </row>
    <row r="6931" spans="1:5" x14ac:dyDescent="0.2">
      <c r="A6931"/>
      <c r="B6931"/>
      <c r="C6931"/>
      <c r="D6931"/>
      <c r="E6931"/>
    </row>
    <row r="6932" spans="1:5" x14ac:dyDescent="0.2">
      <c r="A6932"/>
      <c r="B6932"/>
      <c r="C6932"/>
      <c r="D6932"/>
      <c r="E6932"/>
    </row>
    <row r="6933" spans="1:5" x14ac:dyDescent="0.2">
      <c r="A6933"/>
      <c r="B6933"/>
      <c r="C6933"/>
      <c r="D6933"/>
      <c r="E6933"/>
    </row>
    <row r="6934" spans="1:5" x14ac:dyDescent="0.2">
      <c r="A6934"/>
      <c r="B6934"/>
      <c r="C6934"/>
      <c r="D6934"/>
      <c r="E6934"/>
    </row>
    <row r="6935" spans="1:5" x14ac:dyDescent="0.2">
      <c r="A6935"/>
      <c r="B6935"/>
      <c r="C6935"/>
      <c r="D6935"/>
      <c r="E6935"/>
    </row>
    <row r="6936" spans="1:5" x14ac:dyDescent="0.2">
      <c r="A6936"/>
      <c r="B6936"/>
      <c r="C6936"/>
      <c r="D6936"/>
      <c r="E6936"/>
    </row>
    <row r="6937" spans="1:5" x14ac:dyDescent="0.2">
      <c r="A6937"/>
      <c r="B6937"/>
      <c r="C6937"/>
      <c r="D6937"/>
      <c r="E6937"/>
    </row>
    <row r="6938" spans="1:5" x14ac:dyDescent="0.2">
      <c r="A6938"/>
      <c r="B6938"/>
      <c r="C6938"/>
      <c r="D6938"/>
      <c r="E6938"/>
    </row>
    <row r="6939" spans="1:5" x14ac:dyDescent="0.2">
      <c r="A6939"/>
      <c r="B6939"/>
      <c r="C6939"/>
      <c r="D6939"/>
      <c r="E6939"/>
    </row>
    <row r="6940" spans="1:5" x14ac:dyDescent="0.2">
      <c r="A6940"/>
      <c r="B6940"/>
      <c r="C6940"/>
      <c r="D6940"/>
      <c r="E6940"/>
    </row>
    <row r="6941" spans="1:5" x14ac:dyDescent="0.2">
      <c r="A6941"/>
      <c r="B6941"/>
      <c r="C6941"/>
      <c r="D6941"/>
      <c r="E6941"/>
    </row>
    <row r="6942" spans="1:5" x14ac:dyDescent="0.2">
      <c r="A6942"/>
      <c r="B6942"/>
      <c r="C6942"/>
      <c r="D6942"/>
      <c r="E6942"/>
    </row>
    <row r="6943" spans="1:5" x14ac:dyDescent="0.2">
      <c r="A6943"/>
      <c r="B6943"/>
      <c r="C6943"/>
      <c r="D6943"/>
      <c r="E6943"/>
    </row>
    <row r="6944" spans="1:5" x14ac:dyDescent="0.2">
      <c r="A6944"/>
      <c r="B6944"/>
      <c r="C6944"/>
      <c r="D6944"/>
      <c r="E6944"/>
    </row>
    <row r="6945" spans="1:5" x14ac:dyDescent="0.2">
      <c r="A6945"/>
      <c r="B6945"/>
      <c r="C6945"/>
      <c r="D6945"/>
      <c r="E6945"/>
    </row>
    <row r="6946" spans="1:5" x14ac:dyDescent="0.2">
      <c r="A6946"/>
      <c r="B6946"/>
      <c r="C6946"/>
      <c r="D6946"/>
      <c r="E6946"/>
    </row>
    <row r="6947" spans="1:5" x14ac:dyDescent="0.2">
      <c r="A6947"/>
      <c r="B6947"/>
      <c r="C6947"/>
      <c r="D6947"/>
      <c r="E6947"/>
    </row>
    <row r="6948" spans="1:5" x14ac:dyDescent="0.2">
      <c r="A6948"/>
      <c r="B6948"/>
      <c r="C6948"/>
      <c r="D6948"/>
      <c r="E6948"/>
    </row>
    <row r="6949" spans="1:5" x14ac:dyDescent="0.2">
      <c r="A6949"/>
      <c r="B6949"/>
      <c r="C6949"/>
      <c r="D6949"/>
      <c r="E6949"/>
    </row>
    <row r="6950" spans="1:5" x14ac:dyDescent="0.2">
      <c r="A6950"/>
      <c r="B6950"/>
      <c r="C6950"/>
      <c r="D6950"/>
      <c r="E6950"/>
    </row>
    <row r="6951" spans="1:5" x14ac:dyDescent="0.2">
      <c r="A6951"/>
      <c r="B6951"/>
      <c r="C6951"/>
      <c r="D6951"/>
      <c r="E6951"/>
    </row>
    <row r="6952" spans="1:5" x14ac:dyDescent="0.2">
      <c r="A6952"/>
      <c r="B6952"/>
      <c r="C6952"/>
      <c r="D6952"/>
      <c r="E6952"/>
    </row>
    <row r="6953" spans="1:5" x14ac:dyDescent="0.2">
      <c r="A6953"/>
      <c r="B6953"/>
      <c r="C6953"/>
      <c r="D6953"/>
      <c r="E6953"/>
    </row>
    <row r="6954" spans="1:5" x14ac:dyDescent="0.2">
      <c r="A6954"/>
      <c r="B6954"/>
      <c r="C6954"/>
      <c r="D6954"/>
      <c r="E6954"/>
    </row>
    <row r="6955" spans="1:5" x14ac:dyDescent="0.2">
      <c r="A6955"/>
      <c r="B6955"/>
      <c r="C6955"/>
      <c r="D6955"/>
      <c r="E6955"/>
    </row>
    <row r="6956" spans="1:5" x14ac:dyDescent="0.2">
      <c r="A6956"/>
      <c r="B6956"/>
      <c r="C6956"/>
      <c r="D6956"/>
      <c r="E6956"/>
    </row>
    <row r="6957" spans="1:5" x14ac:dyDescent="0.2">
      <c r="A6957"/>
      <c r="B6957"/>
      <c r="C6957"/>
      <c r="D6957"/>
      <c r="E6957"/>
    </row>
    <row r="6958" spans="1:5" x14ac:dyDescent="0.2">
      <c r="A6958"/>
      <c r="B6958"/>
      <c r="C6958"/>
      <c r="D6958"/>
      <c r="E6958"/>
    </row>
    <row r="6959" spans="1:5" x14ac:dyDescent="0.2">
      <c r="A6959"/>
      <c r="B6959"/>
      <c r="C6959"/>
      <c r="D6959"/>
      <c r="E6959"/>
    </row>
    <row r="6960" spans="1:5" x14ac:dyDescent="0.2">
      <c r="A6960"/>
      <c r="B6960"/>
      <c r="C6960"/>
      <c r="D6960"/>
      <c r="E6960"/>
    </row>
    <row r="6961" spans="1:5" x14ac:dyDescent="0.2">
      <c r="A6961"/>
      <c r="B6961"/>
      <c r="C6961"/>
      <c r="D6961"/>
      <c r="E6961"/>
    </row>
    <row r="6962" spans="1:5" x14ac:dyDescent="0.2">
      <c r="A6962"/>
      <c r="B6962"/>
      <c r="C6962"/>
      <c r="D6962"/>
      <c r="E6962"/>
    </row>
    <row r="6963" spans="1:5" x14ac:dyDescent="0.2">
      <c r="A6963"/>
      <c r="B6963"/>
      <c r="C6963"/>
      <c r="D6963"/>
      <c r="E6963"/>
    </row>
    <row r="6964" spans="1:5" x14ac:dyDescent="0.2">
      <c r="A6964"/>
      <c r="B6964"/>
      <c r="C6964"/>
      <c r="D6964"/>
      <c r="E6964"/>
    </row>
    <row r="6965" spans="1:5" x14ac:dyDescent="0.2">
      <c r="A6965"/>
      <c r="B6965"/>
      <c r="C6965"/>
      <c r="D6965"/>
      <c r="E6965"/>
    </row>
    <row r="6966" spans="1:5" x14ac:dyDescent="0.2">
      <c r="A6966"/>
      <c r="B6966"/>
      <c r="C6966"/>
      <c r="D6966"/>
      <c r="E6966"/>
    </row>
    <row r="6967" spans="1:5" x14ac:dyDescent="0.2">
      <c r="A6967"/>
      <c r="B6967"/>
      <c r="C6967"/>
      <c r="D6967"/>
      <c r="E6967"/>
    </row>
    <row r="6968" spans="1:5" x14ac:dyDescent="0.2">
      <c r="A6968"/>
      <c r="B6968"/>
      <c r="C6968"/>
      <c r="D6968"/>
      <c r="E6968"/>
    </row>
    <row r="6969" spans="1:5" x14ac:dyDescent="0.2">
      <c r="A6969"/>
      <c r="B6969"/>
      <c r="C6969"/>
      <c r="D6969"/>
      <c r="E6969"/>
    </row>
    <row r="6970" spans="1:5" x14ac:dyDescent="0.2">
      <c r="A6970"/>
      <c r="B6970"/>
      <c r="C6970"/>
      <c r="D6970"/>
      <c r="E6970"/>
    </row>
    <row r="6971" spans="1:5" x14ac:dyDescent="0.2">
      <c r="A6971"/>
      <c r="B6971"/>
      <c r="C6971"/>
      <c r="D6971"/>
      <c r="E6971"/>
    </row>
    <row r="6972" spans="1:5" x14ac:dyDescent="0.2">
      <c r="A6972"/>
      <c r="B6972"/>
      <c r="C6972"/>
      <c r="D6972"/>
      <c r="E6972"/>
    </row>
    <row r="6973" spans="1:5" x14ac:dyDescent="0.2">
      <c r="A6973"/>
      <c r="B6973"/>
      <c r="C6973"/>
      <c r="D6973"/>
      <c r="E6973"/>
    </row>
    <row r="6974" spans="1:5" x14ac:dyDescent="0.2">
      <c r="A6974"/>
      <c r="B6974"/>
      <c r="C6974"/>
      <c r="D6974"/>
      <c r="E6974"/>
    </row>
    <row r="6975" spans="1:5" x14ac:dyDescent="0.2">
      <c r="A6975"/>
      <c r="B6975"/>
      <c r="C6975"/>
      <c r="D6975"/>
      <c r="E6975"/>
    </row>
    <row r="6976" spans="1:5" x14ac:dyDescent="0.2">
      <c r="A6976"/>
      <c r="B6976"/>
      <c r="C6976"/>
      <c r="D6976"/>
      <c r="E6976"/>
    </row>
    <row r="6977" spans="1:5" x14ac:dyDescent="0.2">
      <c r="A6977"/>
      <c r="B6977"/>
      <c r="C6977"/>
      <c r="D6977"/>
      <c r="E6977"/>
    </row>
    <row r="6978" spans="1:5" x14ac:dyDescent="0.2">
      <c r="A6978"/>
      <c r="B6978"/>
      <c r="C6978"/>
      <c r="D6978"/>
      <c r="E6978"/>
    </row>
    <row r="6979" spans="1:5" x14ac:dyDescent="0.2">
      <c r="A6979"/>
      <c r="B6979"/>
      <c r="C6979"/>
      <c r="D6979"/>
      <c r="E6979"/>
    </row>
    <row r="6980" spans="1:5" x14ac:dyDescent="0.2">
      <c r="A6980"/>
      <c r="B6980"/>
      <c r="C6980"/>
      <c r="D6980"/>
      <c r="E6980"/>
    </row>
    <row r="6981" spans="1:5" x14ac:dyDescent="0.2">
      <c r="A6981"/>
      <c r="B6981"/>
      <c r="C6981"/>
      <c r="D6981"/>
      <c r="E6981"/>
    </row>
    <row r="6982" spans="1:5" x14ac:dyDescent="0.2">
      <c r="A6982"/>
      <c r="B6982"/>
      <c r="C6982"/>
      <c r="D6982"/>
      <c r="E6982"/>
    </row>
    <row r="6983" spans="1:5" x14ac:dyDescent="0.2">
      <c r="A6983"/>
      <c r="B6983"/>
      <c r="C6983"/>
      <c r="D6983"/>
      <c r="E6983"/>
    </row>
    <row r="6984" spans="1:5" x14ac:dyDescent="0.2">
      <c r="A6984"/>
      <c r="B6984"/>
      <c r="C6984"/>
      <c r="D6984"/>
      <c r="E6984"/>
    </row>
    <row r="6985" spans="1:5" x14ac:dyDescent="0.2">
      <c r="A6985"/>
      <c r="B6985"/>
      <c r="C6985"/>
      <c r="D6985"/>
      <c r="E6985"/>
    </row>
    <row r="6986" spans="1:5" x14ac:dyDescent="0.2">
      <c r="A6986"/>
      <c r="B6986"/>
      <c r="C6986"/>
      <c r="D6986"/>
      <c r="E6986"/>
    </row>
    <row r="6987" spans="1:5" x14ac:dyDescent="0.2">
      <c r="A6987"/>
      <c r="B6987"/>
      <c r="C6987"/>
      <c r="D6987"/>
      <c r="E6987"/>
    </row>
    <row r="6988" spans="1:5" x14ac:dyDescent="0.2">
      <c r="A6988"/>
      <c r="B6988"/>
      <c r="C6988"/>
      <c r="D6988"/>
      <c r="E6988"/>
    </row>
    <row r="6989" spans="1:5" x14ac:dyDescent="0.2">
      <c r="A6989"/>
      <c r="B6989"/>
      <c r="C6989"/>
      <c r="D6989"/>
      <c r="E6989"/>
    </row>
    <row r="6990" spans="1:5" x14ac:dyDescent="0.2">
      <c r="A6990"/>
      <c r="B6990"/>
      <c r="C6990"/>
      <c r="D6990"/>
      <c r="E6990"/>
    </row>
    <row r="6991" spans="1:5" x14ac:dyDescent="0.2">
      <c r="A6991"/>
      <c r="B6991"/>
      <c r="C6991"/>
      <c r="D6991"/>
      <c r="E6991"/>
    </row>
    <row r="6992" spans="1:5" x14ac:dyDescent="0.2">
      <c r="A6992"/>
      <c r="B6992"/>
      <c r="C6992"/>
      <c r="D6992"/>
      <c r="E6992"/>
    </row>
    <row r="6993" spans="1:5" x14ac:dyDescent="0.2">
      <c r="A6993"/>
      <c r="B6993"/>
      <c r="C6993"/>
      <c r="D6993"/>
      <c r="E6993"/>
    </row>
    <row r="6994" spans="1:5" x14ac:dyDescent="0.2">
      <c r="A6994"/>
      <c r="B6994"/>
      <c r="C6994"/>
      <c r="D6994"/>
      <c r="E6994"/>
    </row>
    <row r="6995" spans="1:5" x14ac:dyDescent="0.2">
      <c r="A6995"/>
      <c r="B6995"/>
      <c r="C6995"/>
      <c r="D6995"/>
      <c r="E6995"/>
    </row>
    <row r="6996" spans="1:5" x14ac:dyDescent="0.2">
      <c r="A6996"/>
      <c r="B6996"/>
      <c r="C6996"/>
      <c r="D6996"/>
      <c r="E6996"/>
    </row>
    <row r="6997" spans="1:5" x14ac:dyDescent="0.2">
      <c r="A6997"/>
      <c r="B6997"/>
      <c r="C6997"/>
      <c r="D6997"/>
      <c r="E6997"/>
    </row>
    <row r="6998" spans="1:5" x14ac:dyDescent="0.2">
      <c r="A6998"/>
      <c r="B6998"/>
      <c r="C6998"/>
      <c r="D6998"/>
      <c r="E6998"/>
    </row>
    <row r="6999" spans="1:5" x14ac:dyDescent="0.2">
      <c r="A6999"/>
      <c r="B6999"/>
      <c r="C6999"/>
      <c r="D6999"/>
      <c r="E6999"/>
    </row>
    <row r="7000" spans="1:5" x14ac:dyDescent="0.2">
      <c r="A7000"/>
      <c r="B7000"/>
      <c r="C7000"/>
      <c r="D7000"/>
      <c r="E7000"/>
    </row>
    <row r="7001" spans="1:5" x14ac:dyDescent="0.2">
      <c r="A7001"/>
      <c r="B7001"/>
      <c r="C7001"/>
      <c r="D7001"/>
      <c r="E7001"/>
    </row>
    <row r="7002" spans="1:5" x14ac:dyDescent="0.2">
      <c r="A7002"/>
      <c r="B7002"/>
      <c r="C7002"/>
      <c r="D7002"/>
      <c r="E7002"/>
    </row>
    <row r="7003" spans="1:5" x14ac:dyDescent="0.2">
      <c r="A7003"/>
      <c r="B7003"/>
      <c r="C7003"/>
      <c r="D7003"/>
      <c r="E7003"/>
    </row>
    <row r="7004" spans="1:5" x14ac:dyDescent="0.2">
      <c r="A7004"/>
      <c r="B7004"/>
      <c r="C7004"/>
      <c r="D7004"/>
      <c r="E7004"/>
    </row>
    <row r="7005" spans="1:5" x14ac:dyDescent="0.2">
      <c r="A7005"/>
      <c r="B7005"/>
      <c r="C7005"/>
      <c r="D7005"/>
      <c r="E7005"/>
    </row>
    <row r="7006" spans="1:5" x14ac:dyDescent="0.2">
      <c r="A7006"/>
      <c r="B7006"/>
      <c r="C7006"/>
      <c r="D7006"/>
      <c r="E7006"/>
    </row>
    <row r="7007" spans="1:5" x14ac:dyDescent="0.2">
      <c r="A7007"/>
      <c r="B7007"/>
      <c r="C7007"/>
      <c r="D7007"/>
      <c r="E7007"/>
    </row>
    <row r="7008" spans="1:5" x14ac:dyDescent="0.2">
      <c r="A7008"/>
      <c r="B7008"/>
      <c r="C7008"/>
      <c r="D7008"/>
      <c r="E7008"/>
    </row>
    <row r="7009" spans="1:5" x14ac:dyDescent="0.2">
      <c r="A7009"/>
      <c r="B7009"/>
      <c r="C7009"/>
      <c r="D7009"/>
      <c r="E7009"/>
    </row>
    <row r="7010" spans="1:5" x14ac:dyDescent="0.2">
      <c r="A7010"/>
      <c r="B7010"/>
      <c r="C7010"/>
      <c r="D7010"/>
      <c r="E7010"/>
    </row>
    <row r="7011" spans="1:5" x14ac:dyDescent="0.2">
      <c r="A7011"/>
      <c r="B7011"/>
      <c r="C7011"/>
      <c r="D7011"/>
      <c r="E7011"/>
    </row>
    <row r="7012" spans="1:5" x14ac:dyDescent="0.2">
      <c r="A7012"/>
      <c r="B7012"/>
      <c r="C7012"/>
      <c r="D7012"/>
      <c r="E7012"/>
    </row>
    <row r="7013" spans="1:5" x14ac:dyDescent="0.2">
      <c r="A7013"/>
      <c r="B7013"/>
      <c r="C7013"/>
      <c r="D7013"/>
      <c r="E7013"/>
    </row>
    <row r="7014" spans="1:5" x14ac:dyDescent="0.2">
      <c r="A7014"/>
      <c r="B7014"/>
      <c r="C7014"/>
      <c r="D7014"/>
      <c r="E7014"/>
    </row>
    <row r="7015" spans="1:5" x14ac:dyDescent="0.2">
      <c r="A7015"/>
      <c r="B7015"/>
      <c r="C7015"/>
      <c r="D7015"/>
      <c r="E7015"/>
    </row>
    <row r="7016" spans="1:5" x14ac:dyDescent="0.2">
      <c r="A7016"/>
      <c r="B7016"/>
      <c r="C7016"/>
      <c r="D7016"/>
      <c r="E7016"/>
    </row>
    <row r="7017" spans="1:5" x14ac:dyDescent="0.2">
      <c r="A7017"/>
      <c r="B7017"/>
      <c r="C7017"/>
      <c r="D7017"/>
      <c r="E7017"/>
    </row>
    <row r="7018" spans="1:5" x14ac:dyDescent="0.2">
      <c r="A7018"/>
      <c r="B7018"/>
      <c r="C7018"/>
      <c r="D7018"/>
      <c r="E7018"/>
    </row>
    <row r="7019" spans="1:5" x14ac:dyDescent="0.2">
      <c r="A7019"/>
      <c r="B7019"/>
      <c r="C7019"/>
      <c r="D7019"/>
      <c r="E7019"/>
    </row>
    <row r="7020" spans="1:5" x14ac:dyDescent="0.2">
      <c r="A7020"/>
      <c r="B7020"/>
      <c r="C7020"/>
      <c r="D7020"/>
      <c r="E7020"/>
    </row>
    <row r="7021" spans="1:5" x14ac:dyDescent="0.2">
      <c r="A7021"/>
      <c r="B7021"/>
      <c r="C7021"/>
      <c r="D7021"/>
      <c r="E7021"/>
    </row>
    <row r="7022" spans="1:5" x14ac:dyDescent="0.2">
      <c r="A7022"/>
      <c r="B7022"/>
      <c r="C7022"/>
      <c r="D7022"/>
      <c r="E7022"/>
    </row>
    <row r="7023" spans="1:5" x14ac:dyDescent="0.2">
      <c r="A7023"/>
      <c r="B7023"/>
      <c r="C7023"/>
      <c r="D7023"/>
      <c r="E7023"/>
    </row>
    <row r="7024" spans="1:5" x14ac:dyDescent="0.2">
      <c r="A7024"/>
      <c r="B7024"/>
      <c r="C7024"/>
      <c r="D7024"/>
      <c r="E7024"/>
    </row>
    <row r="7025" spans="1:5" x14ac:dyDescent="0.2">
      <c r="A7025"/>
      <c r="B7025"/>
      <c r="C7025"/>
      <c r="D7025"/>
      <c r="E7025"/>
    </row>
    <row r="7026" spans="1:5" x14ac:dyDescent="0.2">
      <c r="A7026"/>
      <c r="B7026"/>
      <c r="C7026"/>
      <c r="D7026"/>
      <c r="E7026"/>
    </row>
    <row r="7027" spans="1:5" x14ac:dyDescent="0.2">
      <c r="A7027"/>
      <c r="B7027"/>
      <c r="C7027"/>
      <c r="D7027"/>
      <c r="E7027"/>
    </row>
    <row r="7028" spans="1:5" x14ac:dyDescent="0.2">
      <c r="A7028"/>
      <c r="B7028"/>
      <c r="C7028"/>
      <c r="D7028"/>
      <c r="E7028"/>
    </row>
    <row r="7029" spans="1:5" x14ac:dyDescent="0.2">
      <c r="A7029"/>
      <c r="B7029"/>
      <c r="C7029"/>
      <c r="D7029"/>
      <c r="E7029"/>
    </row>
    <row r="7030" spans="1:5" x14ac:dyDescent="0.2">
      <c r="A7030"/>
      <c r="B7030"/>
      <c r="C7030"/>
      <c r="D7030"/>
      <c r="E7030"/>
    </row>
    <row r="7031" spans="1:5" x14ac:dyDescent="0.2">
      <c r="A7031"/>
      <c r="B7031"/>
      <c r="C7031"/>
      <c r="D7031"/>
      <c r="E7031"/>
    </row>
    <row r="7032" spans="1:5" x14ac:dyDescent="0.2">
      <c r="A7032"/>
      <c r="B7032"/>
      <c r="C7032"/>
      <c r="D7032"/>
      <c r="E7032"/>
    </row>
    <row r="7033" spans="1:5" x14ac:dyDescent="0.2">
      <c r="A7033"/>
      <c r="B7033"/>
      <c r="C7033"/>
      <c r="D7033"/>
      <c r="E7033"/>
    </row>
    <row r="7034" spans="1:5" x14ac:dyDescent="0.2">
      <c r="A7034"/>
      <c r="B7034"/>
      <c r="C7034"/>
      <c r="D7034"/>
      <c r="E7034"/>
    </row>
    <row r="7035" spans="1:5" x14ac:dyDescent="0.2">
      <c r="A7035"/>
      <c r="B7035"/>
      <c r="C7035"/>
      <c r="D7035"/>
      <c r="E7035"/>
    </row>
    <row r="7036" spans="1:5" x14ac:dyDescent="0.2">
      <c r="A7036"/>
      <c r="B7036"/>
      <c r="C7036"/>
      <c r="D7036"/>
      <c r="E7036"/>
    </row>
    <row r="7037" spans="1:5" x14ac:dyDescent="0.2">
      <c r="A7037"/>
      <c r="B7037"/>
      <c r="C7037"/>
      <c r="D7037"/>
      <c r="E7037"/>
    </row>
    <row r="7038" spans="1:5" x14ac:dyDescent="0.2">
      <c r="A7038"/>
      <c r="B7038"/>
      <c r="C7038"/>
      <c r="D7038"/>
      <c r="E7038"/>
    </row>
    <row r="7039" spans="1:5" x14ac:dyDescent="0.2">
      <c r="A7039"/>
      <c r="B7039"/>
      <c r="C7039"/>
      <c r="D7039"/>
      <c r="E7039"/>
    </row>
    <row r="7040" spans="1:5" x14ac:dyDescent="0.2">
      <c r="A7040"/>
      <c r="B7040"/>
      <c r="C7040"/>
      <c r="D7040"/>
      <c r="E7040"/>
    </row>
    <row r="7041" spans="1:5" x14ac:dyDescent="0.2">
      <c r="A7041"/>
      <c r="B7041"/>
      <c r="C7041"/>
      <c r="D7041"/>
      <c r="E7041"/>
    </row>
    <row r="7042" spans="1:5" x14ac:dyDescent="0.2">
      <c r="A7042"/>
      <c r="B7042"/>
      <c r="C7042"/>
      <c r="D7042"/>
      <c r="E7042"/>
    </row>
    <row r="7043" spans="1:5" x14ac:dyDescent="0.2">
      <c r="A7043"/>
      <c r="B7043"/>
      <c r="C7043"/>
      <c r="D7043"/>
      <c r="E7043"/>
    </row>
    <row r="7044" spans="1:5" x14ac:dyDescent="0.2">
      <c r="A7044"/>
      <c r="B7044"/>
      <c r="C7044"/>
      <c r="D7044"/>
      <c r="E7044"/>
    </row>
    <row r="7045" spans="1:5" x14ac:dyDescent="0.2">
      <c r="A7045"/>
      <c r="B7045"/>
      <c r="C7045"/>
      <c r="D7045"/>
      <c r="E7045"/>
    </row>
    <row r="7046" spans="1:5" x14ac:dyDescent="0.2">
      <c r="A7046"/>
      <c r="B7046"/>
      <c r="C7046"/>
      <c r="D7046"/>
      <c r="E7046"/>
    </row>
    <row r="7047" spans="1:5" x14ac:dyDescent="0.2">
      <c r="A7047"/>
      <c r="B7047"/>
      <c r="C7047"/>
      <c r="D7047"/>
      <c r="E7047"/>
    </row>
    <row r="7048" spans="1:5" x14ac:dyDescent="0.2">
      <c r="A7048"/>
      <c r="B7048"/>
      <c r="C7048"/>
      <c r="D7048"/>
      <c r="E7048"/>
    </row>
    <row r="7049" spans="1:5" x14ac:dyDescent="0.2">
      <c r="A7049"/>
      <c r="B7049"/>
      <c r="C7049"/>
      <c r="D7049"/>
      <c r="E7049"/>
    </row>
    <row r="7050" spans="1:5" x14ac:dyDescent="0.2">
      <c r="A7050"/>
      <c r="B7050"/>
      <c r="C7050"/>
      <c r="D7050"/>
      <c r="E7050"/>
    </row>
    <row r="7051" spans="1:5" x14ac:dyDescent="0.2">
      <c r="A7051"/>
      <c r="B7051"/>
      <c r="C7051"/>
      <c r="D7051"/>
      <c r="E7051"/>
    </row>
    <row r="7052" spans="1:5" x14ac:dyDescent="0.2">
      <c r="A7052"/>
      <c r="B7052"/>
      <c r="C7052"/>
      <c r="D7052"/>
      <c r="E7052"/>
    </row>
    <row r="7053" spans="1:5" x14ac:dyDescent="0.2">
      <c r="A7053"/>
      <c r="B7053"/>
      <c r="C7053"/>
      <c r="D7053"/>
      <c r="E7053"/>
    </row>
    <row r="7054" spans="1:5" x14ac:dyDescent="0.2">
      <c r="A7054"/>
      <c r="B7054"/>
      <c r="C7054"/>
      <c r="D7054"/>
      <c r="E7054"/>
    </row>
    <row r="7055" spans="1:5" x14ac:dyDescent="0.2">
      <c r="A7055"/>
      <c r="B7055"/>
      <c r="C7055"/>
      <c r="D7055"/>
      <c r="E7055"/>
    </row>
    <row r="7056" spans="1:5" x14ac:dyDescent="0.2">
      <c r="A7056"/>
      <c r="B7056"/>
      <c r="C7056"/>
      <c r="D7056"/>
      <c r="E7056"/>
    </row>
    <row r="7057" spans="1:5" x14ac:dyDescent="0.2">
      <c r="A7057"/>
      <c r="B7057"/>
      <c r="C7057"/>
      <c r="D7057"/>
      <c r="E7057"/>
    </row>
    <row r="7058" spans="1:5" x14ac:dyDescent="0.2">
      <c r="A7058"/>
      <c r="B7058"/>
      <c r="C7058"/>
      <c r="D7058"/>
      <c r="E7058"/>
    </row>
    <row r="7059" spans="1:5" x14ac:dyDescent="0.2">
      <c r="A7059"/>
      <c r="B7059"/>
      <c r="C7059"/>
      <c r="D7059"/>
      <c r="E7059"/>
    </row>
    <row r="7060" spans="1:5" x14ac:dyDescent="0.2">
      <c r="A7060"/>
      <c r="B7060"/>
      <c r="C7060"/>
      <c r="D7060"/>
      <c r="E7060"/>
    </row>
    <row r="7061" spans="1:5" x14ac:dyDescent="0.2">
      <c r="A7061"/>
      <c r="B7061"/>
      <c r="C7061"/>
      <c r="D7061"/>
      <c r="E7061"/>
    </row>
    <row r="7062" spans="1:5" x14ac:dyDescent="0.2">
      <c r="A7062"/>
      <c r="B7062"/>
      <c r="C7062"/>
      <c r="D7062"/>
      <c r="E7062"/>
    </row>
    <row r="7063" spans="1:5" x14ac:dyDescent="0.2">
      <c r="A7063"/>
      <c r="B7063"/>
      <c r="C7063"/>
      <c r="D7063"/>
      <c r="E7063"/>
    </row>
    <row r="7064" spans="1:5" x14ac:dyDescent="0.2">
      <c r="A7064"/>
      <c r="B7064"/>
      <c r="C7064"/>
      <c r="D7064"/>
      <c r="E7064"/>
    </row>
    <row r="7065" spans="1:5" x14ac:dyDescent="0.2">
      <c r="A7065"/>
      <c r="B7065"/>
      <c r="C7065"/>
      <c r="D7065"/>
      <c r="E7065"/>
    </row>
    <row r="7066" spans="1:5" x14ac:dyDescent="0.2">
      <c r="A7066"/>
      <c r="B7066"/>
      <c r="C7066"/>
      <c r="D7066"/>
      <c r="E7066"/>
    </row>
    <row r="7067" spans="1:5" x14ac:dyDescent="0.2">
      <c r="A7067"/>
      <c r="B7067"/>
      <c r="C7067"/>
      <c r="D7067"/>
      <c r="E7067"/>
    </row>
    <row r="7068" spans="1:5" x14ac:dyDescent="0.2">
      <c r="A7068"/>
      <c r="B7068"/>
      <c r="C7068"/>
      <c r="D7068"/>
      <c r="E7068"/>
    </row>
    <row r="7069" spans="1:5" x14ac:dyDescent="0.2">
      <c r="A7069"/>
      <c r="B7069"/>
      <c r="C7069"/>
      <c r="D7069"/>
      <c r="E7069"/>
    </row>
    <row r="7070" spans="1:5" x14ac:dyDescent="0.2">
      <c r="A7070"/>
      <c r="B7070"/>
      <c r="C7070"/>
      <c r="D7070"/>
      <c r="E7070"/>
    </row>
    <row r="7071" spans="1:5" x14ac:dyDescent="0.2">
      <c r="A7071"/>
      <c r="B7071"/>
      <c r="C7071"/>
      <c r="D7071"/>
      <c r="E7071"/>
    </row>
    <row r="7072" spans="1:5" x14ac:dyDescent="0.2">
      <c r="A7072"/>
      <c r="B7072"/>
      <c r="C7072"/>
      <c r="D7072"/>
      <c r="E7072"/>
    </row>
    <row r="7073" spans="1:5" x14ac:dyDescent="0.2">
      <c r="A7073"/>
      <c r="B7073"/>
      <c r="C7073"/>
      <c r="D7073"/>
      <c r="E7073"/>
    </row>
    <row r="7074" spans="1:5" x14ac:dyDescent="0.2">
      <c r="A7074"/>
      <c r="B7074"/>
      <c r="C7074"/>
      <c r="D7074"/>
      <c r="E7074"/>
    </row>
    <row r="7075" spans="1:5" x14ac:dyDescent="0.2">
      <c r="A7075"/>
      <c r="B7075"/>
      <c r="C7075"/>
      <c r="D7075"/>
      <c r="E7075"/>
    </row>
    <row r="7076" spans="1:5" x14ac:dyDescent="0.2">
      <c r="A7076"/>
      <c r="B7076"/>
      <c r="C7076"/>
      <c r="D7076"/>
      <c r="E7076"/>
    </row>
    <row r="7077" spans="1:5" x14ac:dyDescent="0.2">
      <c r="A7077"/>
      <c r="B7077"/>
      <c r="C7077"/>
      <c r="D7077"/>
      <c r="E7077"/>
    </row>
    <row r="7078" spans="1:5" x14ac:dyDescent="0.2">
      <c r="A7078"/>
      <c r="B7078"/>
      <c r="C7078"/>
      <c r="D7078"/>
      <c r="E7078"/>
    </row>
    <row r="7079" spans="1:5" x14ac:dyDescent="0.2">
      <c r="A7079"/>
      <c r="B7079"/>
      <c r="C7079"/>
      <c r="D7079"/>
      <c r="E7079"/>
    </row>
    <row r="7080" spans="1:5" x14ac:dyDescent="0.2">
      <c r="A7080"/>
      <c r="B7080"/>
      <c r="C7080"/>
      <c r="D7080"/>
      <c r="E7080"/>
    </row>
    <row r="7081" spans="1:5" x14ac:dyDescent="0.2">
      <c r="A7081"/>
      <c r="B7081"/>
      <c r="C7081"/>
      <c r="D7081"/>
      <c r="E7081"/>
    </row>
    <row r="7082" spans="1:5" x14ac:dyDescent="0.2">
      <c r="A7082"/>
      <c r="B7082"/>
      <c r="C7082"/>
      <c r="D7082"/>
      <c r="E7082"/>
    </row>
    <row r="7083" spans="1:5" x14ac:dyDescent="0.2">
      <c r="A7083"/>
      <c r="B7083"/>
      <c r="C7083"/>
      <c r="D7083"/>
      <c r="E7083"/>
    </row>
    <row r="7084" spans="1:5" x14ac:dyDescent="0.2">
      <c r="A7084"/>
      <c r="B7084"/>
      <c r="C7084"/>
      <c r="D7084"/>
      <c r="E7084"/>
    </row>
    <row r="7085" spans="1:5" x14ac:dyDescent="0.2">
      <c r="A7085"/>
      <c r="B7085"/>
      <c r="C7085"/>
      <c r="D7085"/>
      <c r="E7085"/>
    </row>
    <row r="7086" spans="1:5" x14ac:dyDescent="0.2">
      <c r="A7086"/>
      <c r="B7086"/>
      <c r="C7086"/>
      <c r="D7086"/>
      <c r="E7086"/>
    </row>
    <row r="7087" spans="1:5" x14ac:dyDescent="0.2">
      <c r="A7087"/>
      <c r="B7087"/>
      <c r="C7087"/>
      <c r="D7087"/>
      <c r="E7087"/>
    </row>
    <row r="7088" spans="1:5" x14ac:dyDescent="0.2">
      <c r="A7088"/>
      <c r="B7088"/>
      <c r="C7088"/>
      <c r="D7088"/>
      <c r="E7088"/>
    </row>
    <row r="7089" spans="1:5" x14ac:dyDescent="0.2">
      <c r="A7089"/>
      <c r="B7089"/>
      <c r="C7089"/>
      <c r="D7089"/>
      <c r="E7089"/>
    </row>
    <row r="7090" spans="1:5" x14ac:dyDescent="0.2">
      <c r="A7090"/>
      <c r="B7090"/>
      <c r="C7090"/>
      <c r="D7090"/>
      <c r="E7090"/>
    </row>
    <row r="7091" spans="1:5" x14ac:dyDescent="0.2">
      <c r="A7091"/>
      <c r="B7091"/>
      <c r="C7091"/>
      <c r="D7091"/>
      <c r="E7091"/>
    </row>
    <row r="7092" spans="1:5" x14ac:dyDescent="0.2">
      <c r="A7092"/>
      <c r="B7092"/>
      <c r="C7092"/>
      <c r="D7092"/>
      <c r="E7092"/>
    </row>
    <row r="7093" spans="1:5" x14ac:dyDescent="0.2">
      <c r="A7093"/>
      <c r="B7093"/>
      <c r="C7093"/>
      <c r="D7093"/>
      <c r="E7093"/>
    </row>
    <row r="7094" spans="1:5" x14ac:dyDescent="0.2">
      <c r="A7094"/>
      <c r="B7094"/>
      <c r="C7094"/>
      <c r="D7094"/>
      <c r="E7094"/>
    </row>
    <row r="7095" spans="1:5" x14ac:dyDescent="0.2">
      <c r="A7095"/>
      <c r="B7095"/>
      <c r="C7095"/>
      <c r="D7095"/>
      <c r="E7095"/>
    </row>
    <row r="7096" spans="1:5" x14ac:dyDescent="0.2">
      <c r="A7096"/>
      <c r="B7096"/>
      <c r="C7096"/>
      <c r="D7096"/>
      <c r="E7096"/>
    </row>
    <row r="7097" spans="1:5" x14ac:dyDescent="0.2">
      <c r="A7097"/>
      <c r="B7097"/>
      <c r="C7097"/>
      <c r="D7097"/>
      <c r="E7097"/>
    </row>
    <row r="7098" spans="1:5" x14ac:dyDescent="0.2">
      <c r="A7098"/>
      <c r="B7098"/>
      <c r="C7098"/>
      <c r="D7098"/>
      <c r="E7098"/>
    </row>
    <row r="7099" spans="1:5" x14ac:dyDescent="0.2">
      <c r="A7099"/>
      <c r="B7099"/>
      <c r="C7099"/>
      <c r="D7099"/>
      <c r="E7099"/>
    </row>
    <row r="7100" spans="1:5" x14ac:dyDescent="0.2">
      <c r="A7100"/>
      <c r="B7100"/>
      <c r="C7100"/>
      <c r="D7100"/>
      <c r="E7100"/>
    </row>
    <row r="7101" spans="1:5" x14ac:dyDescent="0.2">
      <c r="A7101"/>
      <c r="B7101"/>
      <c r="C7101"/>
      <c r="D7101"/>
      <c r="E7101"/>
    </row>
    <row r="7102" spans="1:5" x14ac:dyDescent="0.2">
      <c r="A7102"/>
      <c r="B7102"/>
      <c r="C7102"/>
      <c r="D7102"/>
      <c r="E7102"/>
    </row>
    <row r="7103" spans="1:5" x14ac:dyDescent="0.2">
      <c r="A7103"/>
      <c r="B7103"/>
      <c r="C7103"/>
      <c r="D7103"/>
      <c r="E7103"/>
    </row>
    <row r="7104" spans="1:5" x14ac:dyDescent="0.2">
      <c r="A7104"/>
      <c r="B7104"/>
      <c r="C7104"/>
      <c r="D7104"/>
      <c r="E7104"/>
    </row>
    <row r="7105" spans="1:5" x14ac:dyDescent="0.2">
      <c r="A7105"/>
      <c r="B7105"/>
      <c r="C7105"/>
      <c r="D7105"/>
      <c r="E7105"/>
    </row>
    <row r="7106" spans="1:5" x14ac:dyDescent="0.2">
      <c r="A7106"/>
      <c r="B7106"/>
      <c r="C7106"/>
      <c r="D7106"/>
      <c r="E7106"/>
    </row>
    <row r="7107" spans="1:5" x14ac:dyDescent="0.2">
      <c r="A7107"/>
      <c r="B7107"/>
      <c r="C7107"/>
      <c r="D7107"/>
      <c r="E7107"/>
    </row>
    <row r="7108" spans="1:5" x14ac:dyDescent="0.2">
      <c r="A7108"/>
      <c r="B7108"/>
      <c r="C7108"/>
      <c r="D7108"/>
      <c r="E7108"/>
    </row>
    <row r="7109" spans="1:5" x14ac:dyDescent="0.2">
      <c r="A7109"/>
      <c r="B7109"/>
      <c r="C7109"/>
      <c r="D7109"/>
      <c r="E7109"/>
    </row>
    <row r="7110" spans="1:5" x14ac:dyDescent="0.2">
      <c r="A7110"/>
      <c r="B7110"/>
      <c r="C7110"/>
      <c r="D7110"/>
      <c r="E7110"/>
    </row>
    <row r="7111" spans="1:5" x14ac:dyDescent="0.2">
      <c r="A7111"/>
      <c r="B7111"/>
      <c r="C7111"/>
      <c r="D7111"/>
      <c r="E7111"/>
    </row>
    <row r="7112" spans="1:5" x14ac:dyDescent="0.2">
      <c r="A7112"/>
      <c r="B7112"/>
      <c r="C7112"/>
      <c r="D7112"/>
      <c r="E7112"/>
    </row>
    <row r="7113" spans="1:5" x14ac:dyDescent="0.2">
      <c r="A7113"/>
      <c r="B7113"/>
      <c r="C7113"/>
      <c r="D7113"/>
      <c r="E7113"/>
    </row>
    <row r="7114" spans="1:5" x14ac:dyDescent="0.2">
      <c r="A7114"/>
      <c r="B7114"/>
      <c r="C7114"/>
      <c r="D7114"/>
      <c r="E7114"/>
    </row>
    <row r="7115" spans="1:5" x14ac:dyDescent="0.2">
      <c r="A7115"/>
      <c r="B7115"/>
      <c r="C7115"/>
      <c r="D7115"/>
      <c r="E7115"/>
    </row>
    <row r="7116" spans="1:5" x14ac:dyDescent="0.2">
      <c r="A7116"/>
      <c r="B7116"/>
      <c r="C7116"/>
      <c r="D7116"/>
      <c r="E7116"/>
    </row>
    <row r="7117" spans="1:5" x14ac:dyDescent="0.2">
      <c r="A7117"/>
      <c r="B7117"/>
      <c r="C7117"/>
      <c r="D7117"/>
      <c r="E7117"/>
    </row>
    <row r="7118" spans="1:5" x14ac:dyDescent="0.2">
      <c r="A7118"/>
      <c r="B7118"/>
      <c r="C7118"/>
      <c r="D7118"/>
      <c r="E7118"/>
    </row>
    <row r="7119" spans="1:5" x14ac:dyDescent="0.2">
      <c r="A7119"/>
      <c r="B7119"/>
      <c r="C7119"/>
      <c r="D7119"/>
      <c r="E7119"/>
    </row>
    <row r="7120" spans="1:5" x14ac:dyDescent="0.2">
      <c r="A7120"/>
      <c r="B7120"/>
      <c r="C7120"/>
      <c r="D7120"/>
      <c r="E7120"/>
    </row>
    <row r="7121" spans="1:5" x14ac:dyDescent="0.2">
      <c r="A7121"/>
      <c r="B7121"/>
      <c r="C7121"/>
      <c r="D7121"/>
      <c r="E7121"/>
    </row>
    <row r="7122" spans="1:5" x14ac:dyDescent="0.2">
      <c r="A7122"/>
      <c r="B7122"/>
      <c r="C7122"/>
      <c r="D7122"/>
      <c r="E7122"/>
    </row>
    <row r="7123" spans="1:5" x14ac:dyDescent="0.2">
      <c r="A7123"/>
      <c r="B7123"/>
      <c r="C7123"/>
      <c r="D7123"/>
      <c r="E7123"/>
    </row>
    <row r="7124" spans="1:5" x14ac:dyDescent="0.2">
      <c r="A7124"/>
      <c r="B7124"/>
      <c r="C7124"/>
      <c r="D7124"/>
      <c r="E7124"/>
    </row>
    <row r="7125" spans="1:5" x14ac:dyDescent="0.2">
      <c r="A7125"/>
      <c r="B7125"/>
      <c r="C7125"/>
      <c r="D7125"/>
      <c r="E7125"/>
    </row>
    <row r="7126" spans="1:5" x14ac:dyDescent="0.2">
      <c r="A7126"/>
      <c r="B7126"/>
      <c r="C7126"/>
      <c r="D7126"/>
      <c r="E7126"/>
    </row>
    <row r="7127" spans="1:5" x14ac:dyDescent="0.2">
      <c r="A7127"/>
      <c r="B7127"/>
      <c r="C7127"/>
      <c r="D7127"/>
      <c r="E7127"/>
    </row>
    <row r="7128" spans="1:5" x14ac:dyDescent="0.2">
      <c r="A7128"/>
      <c r="B7128"/>
      <c r="C7128"/>
      <c r="D7128"/>
      <c r="E7128"/>
    </row>
    <row r="7129" spans="1:5" x14ac:dyDescent="0.2">
      <c r="A7129"/>
      <c r="B7129"/>
      <c r="C7129"/>
      <c r="D7129"/>
      <c r="E7129"/>
    </row>
    <row r="7130" spans="1:5" x14ac:dyDescent="0.2">
      <c r="A7130"/>
      <c r="B7130"/>
      <c r="C7130"/>
      <c r="D7130"/>
      <c r="E7130"/>
    </row>
    <row r="7131" spans="1:5" x14ac:dyDescent="0.2">
      <c r="A7131"/>
      <c r="B7131"/>
      <c r="C7131"/>
      <c r="D7131"/>
      <c r="E7131"/>
    </row>
    <row r="7132" spans="1:5" x14ac:dyDescent="0.2">
      <c r="A7132"/>
      <c r="B7132"/>
      <c r="C7132"/>
      <c r="D7132"/>
      <c r="E7132"/>
    </row>
    <row r="7133" spans="1:5" x14ac:dyDescent="0.2">
      <c r="A7133"/>
      <c r="B7133"/>
      <c r="C7133"/>
      <c r="D7133"/>
      <c r="E7133"/>
    </row>
    <row r="7134" spans="1:5" x14ac:dyDescent="0.2">
      <c r="A7134"/>
      <c r="B7134"/>
      <c r="C7134"/>
      <c r="D7134"/>
      <c r="E7134"/>
    </row>
    <row r="7135" spans="1:5" x14ac:dyDescent="0.2">
      <c r="A7135"/>
      <c r="B7135"/>
      <c r="C7135"/>
      <c r="D7135"/>
      <c r="E7135"/>
    </row>
    <row r="7136" spans="1:5" x14ac:dyDescent="0.2">
      <c r="A7136"/>
      <c r="B7136"/>
      <c r="C7136"/>
      <c r="D7136"/>
      <c r="E7136"/>
    </row>
    <row r="7137" spans="1:5" x14ac:dyDescent="0.2">
      <c r="A7137"/>
      <c r="B7137"/>
      <c r="C7137"/>
      <c r="D7137"/>
      <c r="E7137"/>
    </row>
    <row r="7138" spans="1:5" x14ac:dyDescent="0.2">
      <c r="A7138"/>
      <c r="B7138"/>
      <c r="C7138"/>
      <c r="D7138"/>
      <c r="E7138"/>
    </row>
    <row r="7139" spans="1:5" x14ac:dyDescent="0.2">
      <c r="A7139"/>
      <c r="B7139"/>
      <c r="C7139"/>
      <c r="D7139"/>
      <c r="E7139"/>
    </row>
    <row r="7140" spans="1:5" x14ac:dyDescent="0.2">
      <c r="A7140"/>
      <c r="B7140"/>
      <c r="C7140"/>
      <c r="D7140"/>
      <c r="E7140"/>
    </row>
    <row r="7141" spans="1:5" x14ac:dyDescent="0.2">
      <c r="A7141"/>
      <c r="B7141"/>
      <c r="C7141"/>
      <c r="D7141"/>
      <c r="E7141"/>
    </row>
    <row r="7142" spans="1:5" x14ac:dyDescent="0.2">
      <c r="A7142"/>
      <c r="B7142"/>
      <c r="C7142"/>
      <c r="D7142"/>
      <c r="E7142"/>
    </row>
    <row r="7143" spans="1:5" x14ac:dyDescent="0.2">
      <c r="A7143"/>
      <c r="B7143"/>
      <c r="C7143"/>
      <c r="D7143"/>
      <c r="E7143"/>
    </row>
    <row r="7144" spans="1:5" x14ac:dyDescent="0.2">
      <c r="A7144"/>
      <c r="B7144"/>
      <c r="C7144"/>
      <c r="D7144"/>
      <c r="E7144"/>
    </row>
    <row r="7145" spans="1:5" x14ac:dyDescent="0.2">
      <c r="A7145"/>
      <c r="B7145"/>
      <c r="C7145"/>
      <c r="D7145"/>
      <c r="E7145"/>
    </row>
    <row r="7146" spans="1:5" x14ac:dyDescent="0.2">
      <c r="A7146"/>
      <c r="B7146"/>
      <c r="C7146"/>
      <c r="D7146"/>
      <c r="E7146"/>
    </row>
    <row r="7147" spans="1:5" x14ac:dyDescent="0.2">
      <c r="A7147"/>
      <c r="B7147"/>
      <c r="C7147"/>
      <c r="D7147"/>
      <c r="E7147"/>
    </row>
    <row r="7148" spans="1:5" x14ac:dyDescent="0.2">
      <c r="A7148"/>
      <c r="B7148"/>
      <c r="C7148"/>
      <c r="D7148"/>
      <c r="E7148"/>
    </row>
    <row r="7149" spans="1:5" x14ac:dyDescent="0.2">
      <c r="A7149"/>
      <c r="B7149"/>
      <c r="C7149"/>
      <c r="D7149"/>
      <c r="E7149"/>
    </row>
    <row r="7150" spans="1:5" x14ac:dyDescent="0.2">
      <c r="A7150"/>
      <c r="B7150"/>
      <c r="C7150"/>
      <c r="D7150"/>
      <c r="E7150"/>
    </row>
    <row r="7151" spans="1:5" x14ac:dyDescent="0.2">
      <c r="A7151"/>
      <c r="B7151"/>
      <c r="C7151"/>
      <c r="D7151"/>
      <c r="E7151"/>
    </row>
    <row r="7152" spans="1:5" x14ac:dyDescent="0.2">
      <c r="A7152"/>
      <c r="B7152"/>
      <c r="C7152"/>
      <c r="D7152"/>
      <c r="E7152"/>
    </row>
    <row r="7153" spans="1:5" x14ac:dyDescent="0.2">
      <c r="A7153"/>
      <c r="B7153"/>
      <c r="C7153"/>
      <c r="D7153"/>
      <c r="E7153"/>
    </row>
    <row r="7154" spans="1:5" x14ac:dyDescent="0.2">
      <c r="A7154"/>
      <c r="B7154"/>
      <c r="C7154"/>
      <c r="D7154"/>
      <c r="E7154"/>
    </row>
    <row r="7155" spans="1:5" x14ac:dyDescent="0.2">
      <c r="A7155"/>
      <c r="B7155"/>
      <c r="C7155"/>
      <c r="D7155"/>
      <c r="E7155"/>
    </row>
    <row r="7156" spans="1:5" x14ac:dyDescent="0.2">
      <c r="A7156"/>
      <c r="B7156"/>
      <c r="C7156"/>
      <c r="D7156"/>
      <c r="E7156"/>
    </row>
    <row r="7157" spans="1:5" x14ac:dyDescent="0.2">
      <c r="A7157"/>
      <c r="B7157"/>
      <c r="C7157"/>
      <c r="D7157"/>
      <c r="E7157"/>
    </row>
    <row r="7158" spans="1:5" x14ac:dyDescent="0.2">
      <c r="A7158"/>
      <c r="B7158"/>
      <c r="C7158"/>
      <c r="D7158"/>
      <c r="E7158"/>
    </row>
    <row r="7159" spans="1:5" x14ac:dyDescent="0.2">
      <c r="A7159"/>
      <c r="B7159"/>
      <c r="C7159"/>
      <c r="D7159"/>
      <c r="E7159"/>
    </row>
    <row r="7160" spans="1:5" x14ac:dyDescent="0.2">
      <c r="A7160"/>
      <c r="B7160"/>
      <c r="C7160"/>
      <c r="D7160"/>
      <c r="E7160"/>
    </row>
    <row r="7161" spans="1:5" x14ac:dyDescent="0.2">
      <c r="A7161"/>
      <c r="B7161"/>
      <c r="C7161"/>
      <c r="D7161"/>
      <c r="E7161"/>
    </row>
    <row r="7162" spans="1:5" x14ac:dyDescent="0.2">
      <c r="A7162"/>
      <c r="B7162"/>
      <c r="C7162"/>
      <c r="D7162"/>
      <c r="E7162"/>
    </row>
    <row r="7163" spans="1:5" x14ac:dyDescent="0.2">
      <c r="A7163"/>
      <c r="B7163"/>
      <c r="C7163"/>
      <c r="D7163"/>
      <c r="E7163"/>
    </row>
    <row r="7164" spans="1:5" x14ac:dyDescent="0.2">
      <c r="A7164"/>
      <c r="B7164"/>
      <c r="C7164"/>
      <c r="D7164"/>
      <c r="E7164"/>
    </row>
    <row r="7165" spans="1:5" x14ac:dyDescent="0.2">
      <c r="A7165"/>
      <c r="B7165"/>
      <c r="C7165"/>
      <c r="D7165"/>
      <c r="E7165"/>
    </row>
    <row r="7166" spans="1:5" x14ac:dyDescent="0.2">
      <c r="A7166"/>
      <c r="B7166"/>
      <c r="C7166"/>
      <c r="D7166"/>
      <c r="E7166"/>
    </row>
    <row r="7167" spans="1:5" x14ac:dyDescent="0.2">
      <c r="A7167"/>
      <c r="B7167"/>
      <c r="C7167"/>
      <c r="D7167"/>
      <c r="E7167"/>
    </row>
    <row r="7168" spans="1:5" x14ac:dyDescent="0.2">
      <c r="A7168"/>
      <c r="B7168"/>
      <c r="C7168"/>
      <c r="D7168"/>
      <c r="E7168"/>
    </row>
    <row r="7169" spans="1:5" x14ac:dyDescent="0.2">
      <c r="A7169"/>
      <c r="B7169"/>
      <c r="C7169"/>
      <c r="D7169"/>
      <c r="E7169"/>
    </row>
    <row r="7170" spans="1:5" x14ac:dyDescent="0.2">
      <c r="A7170"/>
      <c r="B7170"/>
      <c r="C7170"/>
      <c r="D7170"/>
      <c r="E7170"/>
    </row>
    <row r="7171" spans="1:5" x14ac:dyDescent="0.2">
      <c r="A7171"/>
      <c r="B7171"/>
      <c r="C7171"/>
      <c r="D7171"/>
      <c r="E7171"/>
    </row>
    <row r="7172" spans="1:5" x14ac:dyDescent="0.2">
      <c r="A7172"/>
      <c r="B7172"/>
      <c r="C7172"/>
      <c r="D7172"/>
      <c r="E7172"/>
    </row>
    <row r="7173" spans="1:5" x14ac:dyDescent="0.2">
      <c r="A7173"/>
      <c r="B7173"/>
      <c r="C7173"/>
      <c r="D7173"/>
      <c r="E7173"/>
    </row>
    <row r="7174" spans="1:5" x14ac:dyDescent="0.2">
      <c r="A7174"/>
      <c r="B7174"/>
      <c r="C7174"/>
      <c r="D7174"/>
      <c r="E7174"/>
    </row>
    <row r="7175" spans="1:5" x14ac:dyDescent="0.2">
      <c r="A7175"/>
      <c r="B7175"/>
      <c r="C7175"/>
      <c r="D7175"/>
      <c r="E7175"/>
    </row>
    <row r="7176" spans="1:5" x14ac:dyDescent="0.2">
      <c r="A7176"/>
      <c r="B7176"/>
      <c r="C7176"/>
      <c r="D7176"/>
      <c r="E7176"/>
    </row>
    <row r="7177" spans="1:5" x14ac:dyDescent="0.2">
      <c r="A7177"/>
      <c r="B7177"/>
      <c r="C7177"/>
      <c r="D7177"/>
      <c r="E7177"/>
    </row>
    <row r="7178" spans="1:5" x14ac:dyDescent="0.2">
      <c r="A7178"/>
      <c r="B7178"/>
      <c r="C7178"/>
      <c r="D7178"/>
      <c r="E7178"/>
    </row>
    <row r="7179" spans="1:5" x14ac:dyDescent="0.2">
      <c r="A7179"/>
      <c r="B7179"/>
      <c r="C7179"/>
      <c r="D7179"/>
      <c r="E7179"/>
    </row>
    <row r="7180" spans="1:5" x14ac:dyDescent="0.2">
      <c r="A7180"/>
      <c r="B7180"/>
      <c r="C7180"/>
      <c r="D7180"/>
      <c r="E7180"/>
    </row>
    <row r="7181" spans="1:5" x14ac:dyDescent="0.2">
      <c r="A7181"/>
      <c r="B7181"/>
      <c r="C7181"/>
      <c r="D7181"/>
      <c r="E7181"/>
    </row>
    <row r="7182" spans="1:5" x14ac:dyDescent="0.2">
      <c r="A7182"/>
      <c r="B7182"/>
      <c r="C7182"/>
      <c r="D7182"/>
      <c r="E7182"/>
    </row>
    <row r="7183" spans="1:5" x14ac:dyDescent="0.2">
      <c r="A7183"/>
      <c r="B7183"/>
      <c r="C7183"/>
      <c r="D7183"/>
      <c r="E7183"/>
    </row>
    <row r="7184" spans="1:5" x14ac:dyDescent="0.2">
      <c r="A7184"/>
      <c r="B7184"/>
      <c r="C7184"/>
      <c r="D7184"/>
      <c r="E7184"/>
    </row>
    <row r="7185" spans="1:5" x14ac:dyDescent="0.2">
      <c r="A7185"/>
      <c r="B7185"/>
      <c r="C7185"/>
      <c r="D7185"/>
      <c r="E7185"/>
    </row>
    <row r="7186" spans="1:5" x14ac:dyDescent="0.2">
      <c r="A7186"/>
      <c r="B7186"/>
      <c r="C7186"/>
      <c r="D7186"/>
      <c r="E7186"/>
    </row>
    <row r="7187" spans="1:5" x14ac:dyDescent="0.2">
      <c r="A7187"/>
      <c r="B7187"/>
      <c r="C7187"/>
      <c r="D7187"/>
      <c r="E7187"/>
    </row>
    <row r="7188" spans="1:5" x14ac:dyDescent="0.2">
      <c r="A7188"/>
      <c r="B7188"/>
      <c r="C7188"/>
      <c r="D7188"/>
      <c r="E7188"/>
    </row>
    <row r="7189" spans="1:5" x14ac:dyDescent="0.2">
      <c r="A7189"/>
      <c r="B7189"/>
      <c r="C7189"/>
      <c r="D7189"/>
      <c r="E7189"/>
    </row>
    <row r="7190" spans="1:5" x14ac:dyDescent="0.2">
      <c r="A7190"/>
      <c r="B7190"/>
      <c r="C7190"/>
      <c r="D7190"/>
      <c r="E7190"/>
    </row>
    <row r="7191" spans="1:5" x14ac:dyDescent="0.2">
      <c r="A7191"/>
      <c r="B7191"/>
      <c r="C7191"/>
      <c r="D7191"/>
      <c r="E7191"/>
    </row>
    <row r="7192" spans="1:5" x14ac:dyDescent="0.2">
      <c r="A7192"/>
      <c r="B7192"/>
      <c r="C7192"/>
      <c r="D7192"/>
      <c r="E7192"/>
    </row>
    <row r="7193" spans="1:5" x14ac:dyDescent="0.2">
      <c r="A7193"/>
      <c r="B7193"/>
      <c r="C7193"/>
      <c r="D7193"/>
      <c r="E7193"/>
    </row>
    <row r="7194" spans="1:5" x14ac:dyDescent="0.2">
      <c r="A7194"/>
      <c r="B7194"/>
      <c r="C7194"/>
      <c r="D7194"/>
      <c r="E7194"/>
    </row>
    <row r="7195" spans="1:5" x14ac:dyDescent="0.2">
      <c r="A7195"/>
      <c r="B7195"/>
      <c r="C7195"/>
      <c r="D7195"/>
      <c r="E7195"/>
    </row>
    <row r="7196" spans="1:5" x14ac:dyDescent="0.2">
      <c r="A7196"/>
      <c r="B7196"/>
      <c r="C7196"/>
      <c r="D7196"/>
      <c r="E7196"/>
    </row>
    <row r="7197" spans="1:5" x14ac:dyDescent="0.2">
      <c r="A7197"/>
      <c r="B7197"/>
      <c r="C7197"/>
      <c r="D7197"/>
      <c r="E7197"/>
    </row>
    <row r="7198" spans="1:5" x14ac:dyDescent="0.2">
      <c r="A7198"/>
      <c r="B7198"/>
      <c r="C7198"/>
      <c r="D7198"/>
      <c r="E7198"/>
    </row>
    <row r="7199" spans="1:5" x14ac:dyDescent="0.2">
      <c r="A7199"/>
      <c r="B7199"/>
      <c r="C7199"/>
      <c r="D7199"/>
      <c r="E7199"/>
    </row>
    <row r="7200" spans="1:5" x14ac:dyDescent="0.2">
      <c r="A7200"/>
      <c r="B7200"/>
      <c r="C7200"/>
      <c r="D7200"/>
      <c r="E7200"/>
    </row>
    <row r="7201" spans="1:5" x14ac:dyDescent="0.2">
      <c r="A7201"/>
      <c r="B7201"/>
      <c r="C7201"/>
      <c r="D7201"/>
      <c r="E7201"/>
    </row>
    <row r="7202" spans="1:5" x14ac:dyDescent="0.2">
      <c r="A7202"/>
      <c r="B7202"/>
      <c r="C7202"/>
      <c r="D7202"/>
      <c r="E7202"/>
    </row>
    <row r="7203" spans="1:5" x14ac:dyDescent="0.2">
      <c r="A7203"/>
      <c r="B7203"/>
      <c r="C7203"/>
      <c r="D7203"/>
      <c r="E7203"/>
    </row>
    <row r="7204" spans="1:5" x14ac:dyDescent="0.2">
      <c r="A7204"/>
      <c r="B7204"/>
      <c r="C7204"/>
      <c r="D7204"/>
      <c r="E7204"/>
    </row>
    <row r="7205" spans="1:5" x14ac:dyDescent="0.2">
      <c r="A7205"/>
      <c r="B7205"/>
      <c r="C7205"/>
      <c r="D7205"/>
      <c r="E7205"/>
    </row>
    <row r="7206" spans="1:5" x14ac:dyDescent="0.2">
      <c r="A7206"/>
      <c r="B7206"/>
      <c r="C7206"/>
      <c r="D7206"/>
      <c r="E7206"/>
    </row>
    <row r="7207" spans="1:5" x14ac:dyDescent="0.2">
      <c r="A7207"/>
      <c r="B7207"/>
      <c r="C7207"/>
      <c r="D7207"/>
      <c r="E7207"/>
    </row>
    <row r="7208" spans="1:5" x14ac:dyDescent="0.2">
      <c r="A7208"/>
      <c r="B7208"/>
      <c r="C7208"/>
      <c r="D7208"/>
      <c r="E7208"/>
    </row>
    <row r="7209" spans="1:5" x14ac:dyDescent="0.2">
      <c r="A7209"/>
      <c r="B7209"/>
      <c r="C7209"/>
      <c r="D7209"/>
      <c r="E7209"/>
    </row>
    <row r="7210" spans="1:5" x14ac:dyDescent="0.2">
      <c r="A7210"/>
      <c r="B7210"/>
      <c r="C7210"/>
      <c r="D7210"/>
      <c r="E7210"/>
    </row>
    <row r="7211" spans="1:5" x14ac:dyDescent="0.2">
      <c r="A7211"/>
      <c r="B7211"/>
      <c r="C7211"/>
      <c r="D7211"/>
      <c r="E7211"/>
    </row>
    <row r="7212" spans="1:5" x14ac:dyDescent="0.2">
      <c r="A7212"/>
      <c r="B7212"/>
      <c r="C7212"/>
      <c r="D7212"/>
      <c r="E7212"/>
    </row>
    <row r="7213" spans="1:5" x14ac:dyDescent="0.2">
      <c r="A7213"/>
      <c r="B7213"/>
      <c r="C7213"/>
      <c r="D7213"/>
      <c r="E7213"/>
    </row>
    <row r="7214" spans="1:5" x14ac:dyDescent="0.2">
      <c r="A7214"/>
      <c r="B7214"/>
      <c r="C7214"/>
      <c r="D7214"/>
      <c r="E7214"/>
    </row>
    <row r="7215" spans="1:5" x14ac:dyDescent="0.2">
      <c r="A7215"/>
      <c r="B7215"/>
      <c r="C7215"/>
      <c r="D7215"/>
      <c r="E7215"/>
    </row>
    <row r="7216" spans="1:5" x14ac:dyDescent="0.2">
      <c r="A7216"/>
      <c r="B7216"/>
      <c r="C7216"/>
      <c r="D7216"/>
      <c r="E7216"/>
    </row>
    <row r="7217" spans="1:5" x14ac:dyDescent="0.2">
      <c r="A7217"/>
      <c r="B7217"/>
      <c r="C7217"/>
      <c r="D7217"/>
      <c r="E7217"/>
    </row>
    <row r="7218" spans="1:5" x14ac:dyDescent="0.2">
      <c r="A7218"/>
      <c r="B7218"/>
      <c r="C7218"/>
      <c r="D7218"/>
      <c r="E7218"/>
    </row>
    <row r="7219" spans="1:5" x14ac:dyDescent="0.2">
      <c r="A7219"/>
      <c r="B7219"/>
      <c r="C7219"/>
      <c r="D7219"/>
      <c r="E7219"/>
    </row>
    <row r="7220" spans="1:5" x14ac:dyDescent="0.2">
      <c r="A7220"/>
      <c r="B7220"/>
      <c r="C7220"/>
      <c r="D7220"/>
      <c r="E7220"/>
    </row>
    <row r="7221" spans="1:5" x14ac:dyDescent="0.2">
      <c r="A7221"/>
      <c r="B7221"/>
      <c r="C7221"/>
      <c r="D7221"/>
      <c r="E7221"/>
    </row>
    <row r="7222" spans="1:5" x14ac:dyDescent="0.2">
      <c r="A7222"/>
      <c r="B7222"/>
      <c r="C7222"/>
      <c r="D7222"/>
      <c r="E7222"/>
    </row>
    <row r="7223" spans="1:5" x14ac:dyDescent="0.2">
      <c r="A7223"/>
      <c r="B7223"/>
      <c r="C7223"/>
      <c r="D7223"/>
      <c r="E7223"/>
    </row>
    <row r="7224" spans="1:5" x14ac:dyDescent="0.2">
      <c r="A7224"/>
      <c r="B7224"/>
      <c r="C7224"/>
      <c r="D7224"/>
      <c r="E7224"/>
    </row>
    <row r="7225" spans="1:5" x14ac:dyDescent="0.2">
      <c r="A7225"/>
      <c r="B7225"/>
      <c r="C7225"/>
      <c r="D7225"/>
      <c r="E7225"/>
    </row>
    <row r="7226" spans="1:5" x14ac:dyDescent="0.2">
      <c r="A7226"/>
      <c r="B7226"/>
      <c r="C7226"/>
      <c r="D7226"/>
      <c r="E7226"/>
    </row>
    <row r="7227" spans="1:5" x14ac:dyDescent="0.2">
      <c r="A7227"/>
      <c r="B7227"/>
      <c r="C7227"/>
      <c r="D7227"/>
      <c r="E7227"/>
    </row>
    <row r="7228" spans="1:5" x14ac:dyDescent="0.2">
      <c r="A7228"/>
      <c r="B7228"/>
      <c r="C7228"/>
      <c r="D7228"/>
      <c r="E7228"/>
    </row>
    <row r="7229" spans="1:5" x14ac:dyDescent="0.2">
      <c r="A7229"/>
      <c r="B7229"/>
      <c r="C7229"/>
      <c r="D7229"/>
      <c r="E7229"/>
    </row>
    <row r="7230" spans="1:5" x14ac:dyDescent="0.2">
      <c r="A7230"/>
      <c r="B7230"/>
      <c r="C7230"/>
      <c r="D7230"/>
      <c r="E7230"/>
    </row>
    <row r="7231" spans="1:5" x14ac:dyDescent="0.2">
      <c r="A7231"/>
      <c r="B7231"/>
      <c r="C7231"/>
      <c r="D7231"/>
      <c r="E7231"/>
    </row>
    <row r="7232" spans="1:5" x14ac:dyDescent="0.2">
      <c r="A7232"/>
      <c r="B7232"/>
      <c r="C7232"/>
      <c r="D7232"/>
      <c r="E7232"/>
    </row>
    <row r="7233" spans="1:5" x14ac:dyDescent="0.2">
      <c r="A7233"/>
      <c r="B7233"/>
      <c r="C7233"/>
      <c r="D7233"/>
      <c r="E7233"/>
    </row>
    <row r="7234" spans="1:5" x14ac:dyDescent="0.2">
      <c r="A7234"/>
      <c r="B7234"/>
      <c r="C7234"/>
      <c r="D7234"/>
      <c r="E7234"/>
    </row>
    <row r="7235" spans="1:5" x14ac:dyDescent="0.2">
      <c r="A7235"/>
      <c r="B7235"/>
      <c r="C7235"/>
      <c r="D7235"/>
      <c r="E7235"/>
    </row>
    <row r="7236" spans="1:5" x14ac:dyDescent="0.2">
      <c r="A7236"/>
      <c r="B7236"/>
      <c r="C7236"/>
      <c r="D7236"/>
      <c r="E7236"/>
    </row>
    <row r="7237" spans="1:5" x14ac:dyDescent="0.2">
      <c r="A7237"/>
      <c r="B7237"/>
      <c r="C7237"/>
      <c r="D7237"/>
      <c r="E7237"/>
    </row>
    <row r="7238" spans="1:5" x14ac:dyDescent="0.2">
      <c r="A7238"/>
      <c r="B7238"/>
      <c r="C7238"/>
      <c r="D7238"/>
      <c r="E7238"/>
    </row>
    <row r="7239" spans="1:5" x14ac:dyDescent="0.2">
      <c r="A7239"/>
      <c r="B7239"/>
      <c r="C7239"/>
      <c r="D7239"/>
      <c r="E7239"/>
    </row>
    <row r="7240" spans="1:5" x14ac:dyDescent="0.2">
      <c r="A7240"/>
      <c r="B7240"/>
      <c r="C7240"/>
      <c r="D7240"/>
      <c r="E7240"/>
    </row>
    <row r="7241" spans="1:5" x14ac:dyDescent="0.2">
      <c r="A7241"/>
      <c r="B7241"/>
      <c r="C7241"/>
      <c r="D7241"/>
      <c r="E7241"/>
    </row>
    <row r="7242" spans="1:5" x14ac:dyDescent="0.2">
      <c r="A7242"/>
      <c r="B7242"/>
      <c r="C7242"/>
      <c r="D7242"/>
      <c r="E7242"/>
    </row>
    <row r="7243" spans="1:5" x14ac:dyDescent="0.2">
      <c r="A7243"/>
      <c r="B7243"/>
      <c r="C7243"/>
      <c r="D7243"/>
      <c r="E7243"/>
    </row>
    <row r="7244" spans="1:5" x14ac:dyDescent="0.2">
      <c r="A7244"/>
      <c r="B7244"/>
      <c r="C7244"/>
      <c r="D7244"/>
      <c r="E7244"/>
    </row>
    <row r="7245" spans="1:5" x14ac:dyDescent="0.2">
      <c r="A7245"/>
      <c r="B7245"/>
      <c r="C7245"/>
      <c r="D7245"/>
      <c r="E7245"/>
    </row>
    <row r="7246" spans="1:5" x14ac:dyDescent="0.2">
      <c r="A7246"/>
      <c r="B7246"/>
      <c r="C7246"/>
      <c r="D7246"/>
      <c r="E7246"/>
    </row>
    <row r="7247" spans="1:5" x14ac:dyDescent="0.2">
      <c r="A7247"/>
      <c r="B7247"/>
      <c r="C7247"/>
      <c r="D7247"/>
      <c r="E7247"/>
    </row>
    <row r="7248" spans="1:5" x14ac:dyDescent="0.2">
      <c r="A7248"/>
      <c r="B7248"/>
      <c r="C7248"/>
      <c r="D7248"/>
      <c r="E7248"/>
    </row>
    <row r="7249" spans="1:5" x14ac:dyDescent="0.2">
      <c r="A7249"/>
      <c r="B7249"/>
      <c r="C7249"/>
      <c r="D7249"/>
      <c r="E7249"/>
    </row>
    <row r="7250" spans="1:5" x14ac:dyDescent="0.2">
      <c r="A7250"/>
      <c r="B7250"/>
      <c r="C7250"/>
      <c r="D7250"/>
      <c r="E7250"/>
    </row>
    <row r="7251" spans="1:5" x14ac:dyDescent="0.2">
      <c r="A7251"/>
      <c r="B7251"/>
      <c r="C7251"/>
      <c r="D7251"/>
      <c r="E7251"/>
    </row>
    <row r="7252" spans="1:5" x14ac:dyDescent="0.2">
      <c r="A7252"/>
      <c r="B7252"/>
      <c r="C7252"/>
      <c r="D7252"/>
      <c r="E7252"/>
    </row>
    <row r="7253" spans="1:5" x14ac:dyDescent="0.2">
      <c r="A7253"/>
      <c r="B7253"/>
      <c r="C7253"/>
      <c r="D7253"/>
      <c r="E7253"/>
    </row>
    <row r="7254" spans="1:5" x14ac:dyDescent="0.2">
      <c r="A7254"/>
      <c r="B7254"/>
      <c r="C7254"/>
      <c r="D7254"/>
      <c r="E7254"/>
    </row>
    <row r="7255" spans="1:5" x14ac:dyDescent="0.2">
      <c r="A7255"/>
      <c r="B7255"/>
      <c r="C7255"/>
      <c r="D7255"/>
      <c r="E7255"/>
    </row>
    <row r="7256" spans="1:5" x14ac:dyDescent="0.2">
      <c r="A7256"/>
      <c r="B7256"/>
      <c r="C7256"/>
      <c r="D7256"/>
      <c r="E7256"/>
    </row>
    <row r="7257" spans="1:5" x14ac:dyDescent="0.2">
      <c r="A7257"/>
      <c r="B7257"/>
      <c r="C7257"/>
      <c r="D7257"/>
      <c r="E7257"/>
    </row>
    <row r="7258" spans="1:5" x14ac:dyDescent="0.2">
      <c r="A7258"/>
      <c r="B7258"/>
      <c r="C7258"/>
      <c r="D7258"/>
      <c r="E7258"/>
    </row>
    <row r="7259" spans="1:5" x14ac:dyDescent="0.2">
      <c r="A7259"/>
      <c r="B7259"/>
      <c r="C7259"/>
      <c r="D7259"/>
      <c r="E7259"/>
    </row>
    <row r="7260" spans="1:5" x14ac:dyDescent="0.2">
      <c r="A7260"/>
      <c r="B7260"/>
      <c r="C7260"/>
      <c r="D7260"/>
      <c r="E7260"/>
    </row>
    <row r="7261" spans="1:5" x14ac:dyDescent="0.2">
      <c r="A7261"/>
      <c r="B7261"/>
      <c r="C7261"/>
      <c r="D7261"/>
      <c r="E7261"/>
    </row>
    <row r="7262" spans="1:5" x14ac:dyDescent="0.2">
      <c r="A7262"/>
      <c r="B7262"/>
      <c r="C7262"/>
      <c r="D7262"/>
      <c r="E7262"/>
    </row>
    <row r="7263" spans="1:5" x14ac:dyDescent="0.2">
      <c r="A7263"/>
      <c r="B7263"/>
      <c r="C7263"/>
      <c r="D7263"/>
      <c r="E7263"/>
    </row>
    <row r="7264" spans="1:5" x14ac:dyDescent="0.2">
      <c r="A7264"/>
      <c r="B7264"/>
      <c r="C7264"/>
      <c r="D7264"/>
      <c r="E7264"/>
    </row>
    <row r="7265" spans="1:5" x14ac:dyDescent="0.2">
      <c r="A7265"/>
      <c r="B7265"/>
      <c r="C7265"/>
      <c r="D7265"/>
      <c r="E7265"/>
    </row>
    <row r="7266" spans="1:5" x14ac:dyDescent="0.2">
      <c r="A7266"/>
      <c r="B7266"/>
      <c r="C7266"/>
      <c r="D7266"/>
      <c r="E7266"/>
    </row>
    <row r="7267" spans="1:5" x14ac:dyDescent="0.2">
      <c r="A7267"/>
      <c r="B7267"/>
      <c r="C7267"/>
      <c r="D7267"/>
      <c r="E7267"/>
    </row>
    <row r="7268" spans="1:5" x14ac:dyDescent="0.2">
      <c r="A7268"/>
      <c r="B7268"/>
      <c r="C7268"/>
      <c r="D7268"/>
      <c r="E7268"/>
    </row>
    <row r="7269" spans="1:5" x14ac:dyDescent="0.2">
      <c r="A7269"/>
      <c r="B7269"/>
      <c r="C7269"/>
      <c r="D7269"/>
      <c r="E7269"/>
    </row>
    <row r="7270" spans="1:5" x14ac:dyDescent="0.2">
      <c r="A7270"/>
      <c r="B7270"/>
      <c r="C7270"/>
      <c r="D7270"/>
      <c r="E7270"/>
    </row>
    <row r="7271" spans="1:5" x14ac:dyDescent="0.2">
      <c r="A7271"/>
      <c r="B7271"/>
      <c r="C7271"/>
      <c r="D7271"/>
      <c r="E7271"/>
    </row>
    <row r="7272" spans="1:5" x14ac:dyDescent="0.2">
      <c r="A7272"/>
      <c r="B7272"/>
      <c r="C7272"/>
      <c r="D7272"/>
      <c r="E7272"/>
    </row>
    <row r="7273" spans="1:5" x14ac:dyDescent="0.2">
      <c r="A7273"/>
      <c r="B7273"/>
      <c r="C7273"/>
      <c r="D7273"/>
      <c r="E7273"/>
    </row>
    <row r="7274" spans="1:5" x14ac:dyDescent="0.2">
      <c r="A7274"/>
      <c r="B7274"/>
      <c r="C7274"/>
      <c r="D7274"/>
      <c r="E7274"/>
    </row>
    <row r="7275" spans="1:5" x14ac:dyDescent="0.2">
      <c r="A7275"/>
      <c r="B7275"/>
      <c r="C7275"/>
      <c r="D7275"/>
      <c r="E7275"/>
    </row>
    <row r="7276" spans="1:5" x14ac:dyDescent="0.2">
      <c r="A7276"/>
      <c r="B7276"/>
      <c r="C7276"/>
      <c r="D7276"/>
      <c r="E7276"/>
    </row>
    <row r="7277" spans="1:5" x14ac:dyDescent="0.2">
      <c r="A7277"/>
      <c r="B7277"/>
      <c r="C7277"/>
      <c r="D7277"/>
      <c r="E7277"/>
    </row>
    <row r="7278" spans="1:5" x14ac:dyDescent="0.2">
      <c r="A7278"/>
      <c r="B7278"/>
      <c r="C7278"/>
      <c r="D7278"/>
      <c r="E7278"/>
    </row>
    <row r="7279" spans="1:5" x14ac:dyDescent="0.2">
      <c r="A7279"/>
      <c r="B7279"/>
      <c r="C7279"/>
      <c r="D7279"/>
      <c r="E7279"/>
    </row>
    <row r="7280" spans="1:5" x14ac:dyDescent="0.2">
      <c r="A7280"/>
      <c r="B7280"/>
      <c r="C7280"/>
      <c r="D7280"/>
      <c r="E7280"/>
    </row>
    <row r="7281" spans="1:5" x14ac:dyDescent="0.2">
      <c r="A7281"/>
      <c r="B7281"/>
      <c r="C7281"/>
      <c r="D7281"/>
      <c r="E7281"/>
    </row>
    <row r="7282" spans="1:5" x14ac:dyDescent="0.2">
      <c r="A7282"/>
      <c r="B7282"/>
      <c r="C7282"/>
      <c r="D7282"/>
      <c r="E7282"/>
    </row>
    <row r="7283" spans="1:5" x14ac:dyDescent="0.2">
      <c r="A7283"/>
      <c r="B7283"/>
      <c r="C7283"/>
      <c r="D7283"/>
      <c r="E7283"/>
    </row>
    <row r="7284" spans="1:5" x14ac:dyDescent="0.2">
      <c r="A7284"/>
      <c r="B7284"/>
      <c r="C7284"/>
      <c r="D7284"/>
      <c r="E7284"/>
    </row>
    <row r="7285" spans="1:5" x14ac:dyDescent="0.2">
      <c r="A7285"/>
      <c r="B7285"/>
      <c r="C7285"/>
      <c r="D7285"/>
      <c r="E7285"/>
    </row>
    <row r="7286" spans="1:5" x14ac:dyDescent="0.2">
      <c r="A7286"/>
      <c r="B7286"/>
      <c r="C7286"/>
      <c r="D7286"/>
      <c r="E7286"/>
    </row>
    <row r="7287" spans="1:5" x14ac:dyDescent="0.2">
      <c r="A7287"/>
      <c r="B7287"/>
      <c r="C7287"/>
      <c r="D7287"/>
      <c r="E7287"/>
    </row>
    <row r="7288" spans="1:5" x14ac:dyDescent="0.2">
      <c r="A7288"/>
      <c r="B7288"/>
      <c r="C7288"/>
      <c r="D7288"/>
      <c r="E7288"/>
    </row>
    <row r="7289" spans="1:5" x14ac:dyDescent="0.2">
      <c r="A7289"/>
      <c r="B7289"/>
      <c r="C7289"/>
      <c r="D7289"/>
      <c r="E7289"/>
    </row>
    <row r="7290" spans="1:5" x14ac:dyDescent="0.2">
      <c r="A7290"/>
      <c r="B7290"/>
      <c r="C7290"/>
      <c r="D7290"/>
      <c r="E7290"/>
    </row>
    <row r="7291" spans="1:5" x14ac:dyDescent="0.2">
      <c r="A7291"/>
      <c r="B7291"/>
      <c r="C7291"/>
      <c r="D7291"/>
      <c r="E7291"/>
    </row>
    <row r="7292" spans="1:5" x14ac:dyDescent="0.2">
      <c r="A7292"/>
      <c r="B7292"/>
      <c r="C7292"/>
      <c r="D7292"/>
      <c r="E7292"/>
    </row>
    <row r="7293" spans="1:5" x14ac:dyDescent="0.2">
      <c r="A7293"/>
      <c r="B7293"/>
      <c r="C7293"/>
      <c r="D7293"/>
      <c r="E7293"/>
    </row>
    <row r="7294" spans="1:5" x14ac:dyDescent="0.2">
      <c r="A7294"/>
      <c r="B7294"/>
      <c r="C7294"/>
      <c r="D7294"/>
      <c r="E7294"/>
    </row>
    <row r="7295" spans="1:5" x14ac:dyDescent="0.2">
      <c r="A7295"/>
      <c r="B7295"/>
      <c r="C7295"/>
      <c r="D7295"/>
      <c r="E7295"/>
    </row>
    <row r="7296" spans="1:5" x14ac:dyDescent="0.2">
      <c r="A7296"/>
      <c r="B7296"/>
      <c r="C7296"/>
      <c r="D7296"/>
      <c r="E7296"/>
    </row>
    <row r="7297" spans="1:5" x14ac:dyDescent="0.2">
      <c r="A7297"/>
      <c r="B7297"/>
      <c r="C7297"/>
      <c r="D7297"/>
      <c r="E7297"/>
    </row>
    <row r="7298" spans="1:5" x14ac:dyDescent="0.2">
      <c r="A7298"/>
      <c r="B7298"/>
      <c r="C7298"/>
      <c r="D7298"/>
      <c r="E7298"/>
    </row>
    <row r="7299" spans="1:5" x14ac:dyDescent="0.2">
      <c r="A7299"/>
      <c r="B7299"/>
      <c r="C7299"/>
      <c r="D7299"/>
      <c r="E7299"/>
    </row>
    <row r="7300" spans="1:5" x14ac:dyDescent="0.2">
      <c r="A7300"/>
      <c r="B7300"/>
      <c r="C7300"/>
      <c r="D7300"/>
      <c r="E7300"/>
    </row>
    <row r="7301" spans="1:5" x14ac:dyDescent="0.2">
      <c r="A7301"/>
      <c r="B7301"/>
      <c r="C7301"/>
      <c r="D7301"/>
      <c r="E7301"/>
    </row>
    <row r="7302" spans="1:5" x14ac:dyDescent="0.2">
      <c r="A7302"/>
      <c r="B7302"/>
      <c r="C7302"/>
      <c r="D7302"/>
      <c r="E7302"/>
    </row>
    <row r="7303" spans="1:5" x14ac:dyDescent="0.2">
      <c r="A7303"/>
      <c r="B7303"/>
      <c r="C7303"/>
      <c r="D7303"/>
      <c r="E7303"/>
    </row>
    <row r="7304" spans="1:5" x14ac:dyDescent="0.2">
      <c r="A7304"/>
      <c r="B7304"/>
      <c r="C7304"/>
      <c r="D7304"/>
      <c r="E7304"/>
    </row>
    <row r="7305" spans="1:5" x14ac:dyDescent="0.2">
      <c r="A7305"/>
      <c r="B7305"/>
      <c r="C7305"/>
      <c r="D7305"/>
      <c r="E7305"/>
    </row>
    <row r="7306" spans="1:5" x14ac:dyDescent="0.2">
      <c r="A7306"/>
      <c r="B7306"/>
      <c r="C7306"/>
      <c r="D7306"/>
      <c r="E7306"/>
    </row>
    <row r="7307" spans="1:5" x14ac:dyDescent="0.2">
      <c r="A7307"/>
      <c r="B7307"/>
      <c r="C7307"/>
      <c r="D7307"/>
      <c r="E7307"/>
    </row>
    <row r="7308" spans="1:5" x14ac:dyDescent="0.2">
      <c r="A7308"/>
      <c r="B7308"/>
      <c r="C7308"/>
      <c r="D7308"/>
      <c r="E7308"/>
    </row>
    <row r="7309" spans="1:5" x14ac:dyDescent="0.2">
      <c r="A7309"/>
      <c r="B7309"/>
      <c r="C7309"/>
      <c r="D7309"/>
      <c r="E7309"/>
    </row>
    <row r="7310" spans="1:5" x14ac:dyDescent="0.2">
      <c r="A7310"/>
      <c r="B7310"/>
      <c r="C7310"/>
      <c r="D7310"/>
      <c r="E7310"/>
    </row>
    <row r="7311" spans="1:5" x14ac:dyDescent="0.2">
      <c r="A7311"/>
      <c r="B7311"/>
      <c r="C7311"/>
      <c r="D7311"/>
      <c r="E7311"/>
    </row>
    <row r="7312" spans="1:5" x14ac:dyDescent="0.2">
      <c r="A7312"/>
      <c r="B7312"/>
      <c r="C7312"/>
      <c r="D7312"/>
      <c r="E7312"/>
    </row>
    <row r="7313" spans="1:5" x14ac:dyDescent="0.2">
      <c r="A7313"/>
      <c r="B7313"/>
      <c r="C7313"/>
      <c r="D7313"/>
      <c r="E7313"/>
    </row>
    <row r="7314" spans="1:5" x14ac:dyDescent="0.2">
      <c r="A7314"/>
      <c r="B7314"/>
      <c r="C7314"/>
      <c r="D7314"/>
      <c r="E7314"/>
    </row>
    <row r="7315" spans="1:5" x14ac:dyDescent="0.2">
      <c r="A7315"/>
      <c r="B7315"/>
      <c r="C7315"/>
      <c r="D7315"/>
      <c r="E7315"/>
    </row>
    <row r="7316" spans="1:5" x14ac:dyDescent="0.2">
      <c r="A7316"/>
      <c r="B7316"/>
      <c r="C7316"/>
      <c r="D7316"/>
      <c r="E7316"/>
    </row>
    <row r="7317" spans="1:5" x14ac:dyDescent="0.2">
      <c r="A7317"/>
      <c r="B7317"/>
      <c r="C7317"/>
      <c r="D7317"/>
      <c r="E7317"/>
    </row>
    <row r="7318" spans="1:5" x14ac:dyDescent="0.2">
      <c r="A7318"/>
      <c r="B7318"/>
      <c r="C7318"/>
      <c r="D7318"/>
      <c r="E7318"/>
    </row>
    <row r="7319" spans="1:5" x14ac:dyDescent="0.2">
      <c r="A7319"/>
      <c r="B7319"/>
      <c r="C7319"/>
      <c r="D7319"/>
      <c r="E7319"/>
    </row>
    <row r="7320" spans="1:5" x14ac:dyDescent="0.2">
      <c r="A7320"/>
      <c r="B7320"/>
      <c r="C7320"/>
      <c r="D7320"/>
      <c r="E7320"/>
    </row>
    <row r="7321" spans="1:5" x14ac:dyDescent="0.2">
      <c r="A7321"/>
      <c r="B7321"/>
      <c r="C7321"/>
      <c r="D7321"/>
      <c r="E7321"/>
    </row>
    <row r="7322" spans="1:5" x14ac:dyDescent="0.2">
      <c r="A7322"/>
      <c r="B7322"/>
      <c r="C7322"/>
      <c r="D7322"/>
      <c r="E7322"/>
    </row>
    <row r="7323" spans="1:5" x14ac:dyDescent="0.2">
      <c r="A7323"/>
      <c r="B7323"/>
      <c r="C7323"/>
      <c r="D7323"/>
      <c r="E7323"/>
    </row>
    <row r="7324" spans="1:5" x14ac:dyDescent="0.2">
      <c r="A7324"/>
      <c r="B7324"/>
      <c r="C7324"/>
      <c r="D7324"/>
      <c r="E7324"/>
    </row>
    <row r="7325" spans="1:5" x14ac:dyDescent="0.2">
      <c r="A7325"/>
      <c r="B7325"/>
      <c r="C7325"/>
      <c r="D7325"/>
      <c r="E7325"/>
    </row>
    <row r="7326" spans="1:5" x14ac:dyDescent="0.2">
      <c r="A7326"/>
      <c r="B7326"/>
      <c r="C7326"/>
      <c r="D7326"/>
      <c r="E7326"/>
    </row>
    <row r="7327" spans="1:5" x14ac:dyDescent="0.2">
      <c r="A7327"/>
      <c r="B7327"/>
      <c r="C7327"/>
      <c r="D7327"/>
      <c r="E7327"/>
    </row>
    <row r="7328" spans="1:5" x14ac:dyDescent="0.2">
      <c r="A7328"/>
      <c r="B7328"/>
      <c r="C7328"/>
      <c r="D7328"/>
      <c r="E7328"/>
    </row>
    <row r="7329" spans="1:5" x14ac:dyDescent="0.2">
      <c r="A7329"/>
      <c r="B7329"/>
      <c r="C7329"/>
      <c r="D7329"/>
      <c r="E7329"/>
    </row>
    <row r="7330" spans="1:5" x14ac:dyDescent="0.2">
      <c r="A7330"/>
      <c r="B7330"/>
      <c r="C7330"/>
      <c r="D7330"/>
      <c r="E7330"/>
    </row>
    <row r="7331" spans="1:5" x14ac:dyDescent="0.2">
      <c r="A7331"/>
      <c r="B7331"/>
      <c r="C7331"/>
      <c r="D7331"/>
      <c r="E7331"/>
    </row>
    <row r="7332" spans="1:5" x14ac:dyDescent="0.2">
      <c r="A7332"/>
      <c r="B7332"/>
      <c r="C7332"/>
      <c r="D7332"/>
      <c r="E7332"/>
    </row>
    <row r="7333" spans="1:5" x14ac:dyDescent="0.2">
      <c r="A7333"/>
      <c r="B7333"/>
      <c r="C7333"/>
      <c r="D7333"/>
      <c r="E7333"/>
    </row>
    <row r="7334" spans="1:5" x14ac:dyDescent="0.2">
      <c r="A7334"/>
      <c r="B7334"/>
      <c r="C7334"/>
      <c r="D7334"/>
      <c r="E7334"/>
    </row>
    <row r="7335" spans="1:5" x14ac:dyDescent="0.2">
      <c r="A7335"/>
      <c r="B7335"/>
      <c r="C7335"/>
      <c r="D7335"/>
      <c r="E7335"/>
    </row>
    <row r="7336" spans="1:5" x14ac:dyDescent="0.2">
      <c r="A7336"/>
      <c r="B7336"/>
      <c r="C7336"/>
      <c r="D7336"/>
      <c r="E7336"/>
    </row>
    <row r="7337" spans="1:5" x14ac:dyDescent="0.2">
      <c r="A7337"/>
      <c r="B7337"/>
      <c r="C7337"/>
      <c r="D7337"/>
      <c r="E7337"/>
    </row>
    <row r="7338" spans="1:5" x14ac:dyDescent="0.2">
      <c r="A7338"/>
      <c r="B7338"/>
      <c r="C7338"/>
      <c r="D7338"/>
      <c r="E7338"/>
    </row>
    <row r="7339" spans="1:5" x14ac:dyDescent="0.2">
      <c r="A7339"/>
      <c r="B7339"/>
      <c r="C7339"/>
      <c r="D7339"/>
      <c r="E7339"/>
    </row>
    <row r="7340" spans="1:5" x14ac:dyDescent="0.2">
      <c r="A7340"/>
      <c r="B7340"/>
      <c r="C7340"/>
      <c r="D7340"/>
      <c r="E7340"/>
    </row>
    <row r="7341" spans="1:5" x14ac:dyDescent="0.2">
      <c r="A7341"/>
      <c r="B7341"/>
      <c r="C7341"/>
      <c r="D7341"/>
      <c r="E7341"/>
    </row>
    <row r="7342" spans="1:5" x14ac:dyDescent="0.2">
      <c r="A7342"/>
      <c r="B7342"/>
      <c r="C7342"/>
      <c r="D7342"/>
      <c r="E7342"/>
    </row>
    <row r="7343" spans="1:5" x14ac:dyDescent="0.2">
      <c r="A7343"/>
      <c r="B7343"/>
      <c r="C7343"/>
      <c r="D7343"/>
      <c r="E7343"/>
    </row>
    <row r="7344" spans="1:5" x14ac:dyDescent="0.2">
      <c r="A7344"/>
      <c r="B7344"/>
      <c r="C7344"/>
      <c r="D7344"/>
      <c r="E7344"/>
    </row>
    <row r="7345" spans="1:5" x14ac:dyDescent="0.2">
      <c r="A7345"/>
      <c r="B7345"/>
      <c r="C7345"/>
      <c r="D7345"/>
      <c r="E7345"/>
    </row>
    <row r="7346" spans="1:5" x14ac:dyDescent="0.2">
      <c r="A7346"/>
      <c r="B7346"/>
      <c r="C7346"/>
      <c r="D7346"/>
      <c r="E7346"/>
    </row>
    <row r="7347" spans="1:5" x14ac:dyDescent="0.2">
      <c r="A7347"/>
      <c r="B7347"/>
      <c r="C7347"/>
      <c r="D7347"/>
      <c r="E7347"/>
    </row>
    <row r="7348" spans="1:5" x14ac:dyDescent="0.2">
      <c r="A7348"/>
      <c r="B7348"/>
      <c r="C7348"/>
      <c r="D7348"/>
      <c r="E7348"/>
    </row>
    <row r="7349" spans="1:5" x14ac:dyDescent="0.2">
      <c r="A7349"/>
      <c r="B7349"/>
      <c r="C7349"/>
      <c r="D7349"/>
      <c r="E7349"/>
    </row>
    <row r="7350" spans="1:5" x14ac:dyDescent="0.2">
      <c r="A7350"/>
      <c r="B7350"/>
      <c r="C7350"/>
      <c r="D7350"/>
      <c r="E7350"/>
    </row>
    <row r="7351" spans="1:5" x14ac:dyDescent="0.2">
      <c r="A7351"/>
      <c r="B7351"/>
      <c r="C7351"/>
      <c r="D7351"/>
      <c r="E7351"/>
    </row>
    <row r="7352" spans="1:5" x14ac:dyDescent="0.2">
      <c r="A7352"/>
      <c r="B7352"/>
      <c r="C7352"/>
      <c r="D7352"/>
      <c r="E7352"/>
    </row>
    <row r="7353" spans="1:5" x14ac:dyDescent="0.2">
      <c r="A7353"/>
      <c r="B7353"/>
      <c r="C7353"/>
      <c r="D7353"/>
      <c r="E7353"/>
    </row>
    <row r="7354" spans="1:5" x14ac:dyDescent="0.2">
      <c r="A7354"/>
      <c r="B7354"/>
      <c r="C7354"/>
      <c r="D7354"/>
      <c r="E7354"/>
    </row>
    <row r="7355" spans="1:5" x14ac:dyDescent="0.2">
      <c r="A7355"/>
      <c r="B7355"/>
      <c r="C7355"/>
      <c r="D7355"/>
      <c r="E7355"/>
    </row>
    <row r="7356" spans="1:5" x14ac:dyDescent="0.2">
      <c r="A7356"/>
      <c r="B7356"/>
      <c r="C7356"/>
      <c r="D7356"/>
      <c r="E7356"/>
    </row>
    <row r="7357" spans="1:5" x14ac:dyDescent="0.2">
      <c r="A7357"/>
      <c r="B7357"/>
      <c r="C7357"/>
      <c r="D7357"/>
      <c r="E7357"/>
    </row>
    <row r="7358" spans="1:5" x14ac:dyDescent="0.2">
      <c r="A7358"/>
      <c r="B7358"/>
      <c r="C7358"/>
      <c r="D7358"/>
      <c r="E7358"/>
    </row>
    <row r="7359" spans="1:5" x14ac:dyDescent="0.2">
      <c r="A7359"/>
      <c r="B7359"/>
      <c r="C7359"/>
      <c r="D7359"/>
      <c r="E7359"/>
    </row>
    <row r="7360" spans="1:5" x14ac:dyDescent="0.2">
      <c r="A7360"/>
      <c r="B7360"/>
      <c r="C7360"/>
      <c r="D7360"/>
      <c r="E7360"/>
    </row>
    <row r="7361" spans="1:5" x14ac:dyDescent="0.2">
      <c r="A7361"/>
      <c r="B7361"/>
      <c r="C7361"/>
      <c r="D7361"/>
      <c r="E7361"/>
    </row>
    <row r="7362" spans="1:5" x14ac:dyDescent="0.2">
      <c r="A7362"/>
      <c r="B7362"/>
      <c r="C7362"/>
      <c r="D7362"/>
      <c r="E7362"/>
    </row>
    <row r="7363" spans="1:5" x14ac:dyDescent="0.2">
      <c r="A7363"/>
      <c r="B7363"/>
      <c r="C7363"/>
      <c r="D7363"/>
      <c r="E7363"/>
    </row>
    <row r="7364" spans="1:5" x14ac:dyDescent="0.2">
      <c r="A7364"/>
      <c r="B7364"/>
      <c r="C7364"/>
      <c r="D7364"/>
      <c r="E7364"/>
    </row>
    <row r="7365" spans="1:5" x14ac:dyDescent="0.2">
      <c r="A7365"/>
      <c r="B7365"/>
      <c r="C7365"/>
      <c r="D7365"/>
      <c r="E7365"/>
    </row>
    <row r="7366" spans="1:5" x14ac:dyDescent="0.2">
      <c r="A7366"/>
      <c r="B7366"/>
      <c r="C7366"/>
      <c r="D7366"/>
      <c r="E7366"/>
    </row>
    <row r="7367" spans="1:5" x14ac:dyDescent="0.2">
      <c r="A7367"/>
      <c r="B7367"/>
      <c r="C7367"/>
      <c r="D7367"/>
      <c r="E7367"/>
    </row>
    <row r="7368" spans="1:5" x14ac:dyDescent="0.2">
      <c r="A7368"/>
      <c r="B7368"/>
      <c r="C7368"/>
      <c r="D7368"/>
      <c r="E7368"/>
    </row>
    <row r="7369" spans="1:5" x14ac:dyDescent="0.2">
      <c r="A7369"/>
      <c r="B7369"/>
      <c r="C7369"/>
      <c r="D7369"/>
      <c r="E7369"/>
    </row>
    <row r="7370" spans="1:5" x14ac:dyDescent="0.2">
      <c r="A7370"/>
      <c r="B7370"/>
      <c r="C7370"/>
      <c r="D7370"/>
      <c r="E7370"/>
    </row>
    <row r="7371" spans="1:5" x14ac:dyDescent="0.2">
      <c r="A7371"/>
      <c r="B7371"/>
      <c r="C7371"/>
      <c r="D7371"/>
      <c r="E7371"/>
    </row>
    <row r="7372" spans="1:5" x14ac:dyDescent="0.2">
      <c r="A7372"/>
      <c r="B7372"/>
      <c r="C7372"/>
      <c r="D7372"/>
      <c r="E7372"/>
    </row>
    <row r="7373" spans="1:5" x14ac:dyDescent="0.2">
      <c r="A7373"/>
      <c r="B7373"/>
      <c r="C7373"/>
      <c r="D7373"/>
      <c r="E7373"/>
    </row>
    <row r="7374" spans="1:5" x14ac:dyDescent="0.2">
      <c r="A7374"/>
      <c r="B7374"/>
      <c r="C7374"/>
      <c r="D7374"/>
      <c r="E7374"/>
    </row>
    <row r="7375" spans="1:5" x14ac:dyDescent="0.2">
      <c r="A7375"/>
      <c r="B7375"/>
      <c r="C7375"/>
      <c r="D7375"/>
      <c r="E7375"/>
    </row>
    <row r="7376" spans="1:5" x14ac:dyDescent="0.2">
      <c r="A7376"/>
      <c r="B7376"/>
      <c r="C7376"/>
      <c r="D7376"/>
      <c r="E7376"/>
    </row>
    <row r="7377" spans="1:5" x14ac:dyDescent="0.2">
      <c r="A7377"/>
      <c r="B7377"/>
      <c r="C7377"/>
      <c r="D7377"/>
      <c r="E7377"/>
    </row>
    <row r="7378" spans="1:5" x14ac:dyDescent="0.2">
      <c r="A7378"/>
      <c r="B7378"/>
      <c r="C7378"/>
      <c r="D7378"/>
      <c r="E7378"/>
    </row>
    <row r="7379" spans="1:5" x14ac:dyDescent="0.2">
      <c r="A7379"/>
      <c r="B7379"/>
      <c r="C7379"/>
      <c r="D7379"/>
      <c r="E7379"/>
    </row>
    <row r="7380" spans="1:5" x14ac:dyDescent="0.2">
      <c r="A7380"/>
      <c r="B7380"/>
      <c r="C7380"/>
      <c r="D7380"/>
      <c r="E7380"/>
    </row>
    <row r="7381" spans="1:5" x14ac:dyDescent="0.2">
      <c r="A7381"/>
      <c r="B7381"/>
      <c r="C7381"/>
      <c r="D7381"/>
      <c r="E7381"/>
    </row>
    <row r="7382" spans="1:5" x14ac:dyDescent="0.2">
      <c r="A7382"/>
      <c r="B7382"/>
      <c r="C7382"/>
      <c r="D7382"/>
      <c r="E7382"/>
    </row>
    <row r="7383" spans="1:5" x14ac:dyDescent="0.2">
      <c r="A7383"/>
      <c r="B7383"/>
      <c r="C7383"/>
      <c r="D7383"/>
      <c r="E7383"/>
    </row>
    <row r="7384" spans="1:5" x14ac:dyDescent="0.2">
      <c r="A7384"/>
      <c r="B7384"/>
      <c r="C7384"/>
      <c r="D7384"/>
      <c r="E7384"/>
    </row>
    <row r="7385" spans="1:5" x14ac:dyDescent="0.2">
      <c r="A7385"/>
      <c r="B7385"/>
      <c r="C7385"/>
      <c r="D7385"/>
      <c r="E7385"/>
    </row>
    <row r="7386" spans="1:5" x14ac:dyDescent="0.2">
      <c r="A7386"/>
      <c r="B7386"/>
      <c r="C7386"/>
      <c r="D7386"/>
      <c r="E7386"/>
    </row>
    <row r="7387" spans="1:5" x14ac:dyDescent="0.2">
      <c r="A7387"/>
      <c r="B7387"/>
      <c r="C7387"/>
      <c r="D7387"/>
      <c r="E7387"/>
    </row>
    <row r="7388" spans="1:5" x14ac:dyDescent="0.2">
      <c r="A7388"/>
      <c r="B7388"/>
      <c r="C7388"/>
      <c r="D7388"/>
      <c r="E7388"/>
    </row>
    <row r="7389" spans="1:5" x14ac:dyDescent="0.2">
      <c r="A7389"/>
      <c r="B7389"/>
      <c r="C7389"/>
      <c r="D7389"/>
      <c r="E7389"/>
    </row>
    <row r="7390" spans="1:5" x14ac:dyDescent="0.2">
      <c r="A7390"/>
      <c r="B7390"/>
      <c r="C7390"/>
      <c r="D7390"/>
      <c r="E7390"/>
    </row>
    <row r="7391" spans="1:5" x14ac:dyDescent="0.2">
      <c r="A7391"/>
      <c r="B7391"/>
      <c r="C7391"/>
      <c r="D7391"/>
      <c r="E7391"/>
    </row>
    <row r="7392" spans="1:5" x14ac:dyDescent="0.2">
      <c r="A7392"/>
      <c r="B7392"/>
      <c r="C7392"/>
      <c r="D7392"/>
      <c r="E7392"/>
    </row>
    <row r="7393" spans="1:5" x14ac:dyDescent="0.2">
      <c r="A7393"/>
      <c r="B7393"/>
      <c r="C7393"/>
      <c r="D7393"/>
      <c r="E7393"/>
    </row>
    <row r="7394" spans="1:5" x14ac:dyDescent="0.2">
      <c r="A7394"/>
      <c r="B7394"/>
      <c r="C7394"/>
      <c r="D7394"/>
      <c r="E7394"/>
    </row>
    <row r="7395" spans="1:5" x14ac:dyDescent="0.2">
      <c r="A7395"/>
      <c r="B7395"/>
      <c r="C7395"/>
      <c r="D7395"/>
      <c r="E7395"/>
    </row>
    <row r="7396" spans="1:5" x14ac:dyDescent="0.2">
      <c r="A7396"/>
      <c r="B7396"/>
      <c r="C7396"/>
      <c r="D7396"/>
      <c r="E7396"/>
    </row>
    <row r="7397" spans="1:5" x14ac:dyDescent="0.2">
      <c r="A7397"/>
      <c r="B7397"/>
      <c r="C7397"/>
      <c r="D7397"/>
      <c r="E7397"/>
    </row>
    <row r="7398" spans="1:5" x14ac:dyDescent="0.2">
      <c r="A7398"/>
      <c r="B7398"/>
      <c r="C7398"/>
      <c r="D7398"/>
      <c r="E7398"/>
    </row>
    <row r="7399" spans="1:5" x14ac:dyDescent="0.2">
      <c r="A7399"/>
      <c r="B7399"/>
      <c r="C7399"/>
      <c r="D7399"/>
      <c r="E7399"/>
    </row>
    <row r="7400" spans="1:5" x14ac:dyDescent="0.2">
      <c r="A7400"/>
      <c r="B7400"/>
      <c r="C7400"/>
      <c r="D7400"/>
      <c r="E7400"/>
    </row>
    <row r="7401" spans="1:5" x14ac:dyDescent="0.2">
      <c r="A7401"/>
      <c r="B7401"/>
      <c r="C7401"/>
      <c r="D7401"/>
      <c r="E7401"/>
    </row>
    <row r="7402" spans="1:5" x14ac:dyDescent="0.2">
      <c r="A7402"/>
      <c r="B7402"/>
      <c r="C7402"/>
      <c r="D7402"/>
      <c r="E7402"/>
    </row>
    <row r="7403" spans="1:5" x14ac:dyDescent="0.2">
      <c r="A7403"/>
      <c r="B7403"/>
      <c r="C7403"/>
      <c r="D7403"/>
      <c r="E7403"/>
    </row>
    <row r="7404" spans="1:5" x14ac:dyDescent="0.2">
      <c r="A7404"/>
      <c r="B7404"/>
      <c r="C7404"/>
      <c r="D7404"/>
      <c r="E7404"/>
    </row>
    <row r="7405" spans="1:5" x14ac:dyDescent="0.2">
      <c r="A7405"/>
      <c r="B7405"/>
      <c r="C7405"/>
      <c r="D7405"/>
      <c r="E7405"/>
    </row>
    <row r="7406" spans="1:5" x14ac:dyDescent="0.2">
      <c r="A7406"/>
      <c r="B7406"/>
      <c r="C7406"/>
      <c r="D7406"/>
      <c r="E7406"/>
    </row>
    <row r="7407" spans="1:5" x14ac:dyDescent="0.2">
      <c r="A7407"/>
      <c r="B7407"/>
      <c r="C7407"/>
      <c r="D7407"/>
      <c r="E7407"/>
    </row>
    <row r="7408" spans="1:5" x14ac:dyDescent="0.2">
      <c r="A7408"/>
      <c r="B7408"/>
      <c r="C7408"/>
      <c r="D7408"/>
      <c r="E7408"/>
    </row>
    <row r="7409" spans="1:5" x14ac:dyDescent="0.2">
      <c r="A7409"/>
      <c r="B7409"/>
      <c r="C7409"/>
      <c r="D7409"/>
      <c r="E7409"/>
    </row>
    <row r="7410" spans="1:5" x14ac:dyDescent="0.2">
      <c r="A7410"/>
      <c r="B7410"/>
      <c r="C7410"/>
      <c r="D7410"/>
      <c r="E7410"/>
    </row>
    <row r="7411" spans="1:5" x14ac:dyDescent="0.2">
      <c r="A7411"/>
      <c r="B7411"/>
      <c r="C7411"/>
      <c r="D7411"/>
      <c r="E7411"/>
    </row>
    <row r="7412" spans="1:5" x14ac:dyDescent="0.2">
      <c r="A7412"/>
      <c r="B7412"/>
      <c r="C7412"/>
      <c r="D7412"/>
      <c r="E7412"/>
    </row>
    <row r="7413" spans="1:5" x14ac:dyDescent="0.2">
      <c r="A7413"/>
      <c r="B7413"/>
      <c r="C7413"/>
      <c r="D7413"/>
      <c r="E7413"/>
    </row>
    <row r="7414" spans="1:5" x14ac:dyDescent="0.2">
      <c r="A7414"/>
      <c r="B7414"/>
      <c r="C7414"/>
      <c r="D7414"/>
      <c r="E7414"/>
    </row>
    <row r="7415" spans="1:5" x14ac:dyDescent="0.2">
      <c r="A7415"/>
      <c r="B7415"/>
      <c r="C7415"/>
      <c r="D7415"/>
      <c r="E7415"/>
    </row>
    <row r="7416" spans="1:5" x14ac:dyDescent="0.2">
      <c r="A7416"/>
      <c r="B7416"/>
      <c r="C7416"/>
      <c r="D7416"/>
      <c r="E7416"/>
    </row>
    <row r="7417" spans="1:5" x14ac:dyDescent="0.2">
      <c r="A7417"/>
      <c r="B7417"/>
      <c r="C7417"/>
      <c r="D7417"/>
      <c r="E7417"/>
    </row>
    <row r="7418" spans="1:5" x14ac:dyDescent="0.2">
      <c r="A7418"/>
      <c r="B7418"/>
      <c r="C7418"/>
      <c r="D7418"/>
      <c r="E7418"/>
    </row>
    <row r="7419" spans="1:5" x14ac:dyDescent="0.2">
      <c r="A7419"/>
      <c r="B7419"/>
      <c r="C7419"/>
      <c r="D7419"/>
      <c r="E7419"/>
    </row>
    <row r="7420" spans="1:5" x14ac:dyDescent="0.2">
      <c r="A7420"/>
      <c r="B7420"/>
      <c r="C7420"/>
      <c r="D7420"/>
      <c r="E7420"/>
    </row>
    <row r="7421" spans="1:5" x14ac:dyDescent="0.2">
      <c r="A7421"/>
      <c r="B7421"/>
      <c r="C7421"/>
      <c r="D7421"/>
      <c r="E7421"/>
    </row>
    <row r="7422" spans="1:5" x14ac:dyDescent="0.2">
      <c r="A7422"/>
      <c r="B7422"/>
      <c r="C7422"/>
      <c r="D7422"/>
      <c r="E7422"/>
    </row>
    <row r="7423" spans="1:5" x14ac:dyDescent="0.2">
      <c r="A7423"/>
      <c r="B7423"/>
      <c r="C7423"/>
      <c r="D7423"/>
      <c r="E7423"/>
    </row>
    <row r="7424" spans="1:5" x14ac:dyDescent="0.2">
      <c r="A7424"/>
      <c r="B7424"/>
      <c r="C7424"/>
      <c r="D7424"/>
      <c r="E7424"/>
    </row>
    <row r="7425" spans="1:5" x14ac:dyDescent="0.2">
      <c r="A7425"/>
      <c r="B7425"/>
      <c r="C7425"/>
      <c r="D7425"/>
      <c r="E7425"/>
    </row>
    <row r="7426" spans="1:5" x14ac:dyDescent="0.2">
      <c r="A7426"/>
      <c r="B7426"/>
      <c r="C7426"/>
      <c r="D7426"/>
      <c r="E7426"/>
    </row>
    <row r="7427" spans="1:5" x14ac:dyDescent="0.2">
      <c r="A7427"/>
      <c r="B7427"/>
      <c r="C7427"/>
      <c r="D7427"/>
      <c r="E7427"/>
    </row>
    <row r="7428" spans="1:5" x14ac:dyDescent="0.2">
      <c r="A7428"/>
      <c r="B7428"/>
      <c r="C7428"/>
      <c r="D7428"/>
      <c r="E7428"/>
    </row>
    <row r="7429" spans="1:5" x14ac:dyDescent="0.2">
      <c r="A7429"/>
      <c r="B7429"/>
      <c r="C7429"/>
      <c r="D7429"/>
      <c r="E7429"/>
    </row>
    <row r="7430" spans="1:5" x14ac:dyDescent="0.2">
      <c r="A7430"/>
      <c r="B7430"/>
      <c r="C7430"/>
      <c r="D7430"/>
      <c r="E7430"/>
    </row>
    <row r="7431" spans="1:5" x14ac:dyDescent="0.2">
      <c r="A7431"/>
      <c r="B7431"/>
      <c r="C7431"/>
      <c r="D7431"/>
      <c r="E7431"/>
    </row>
    <row r="7432" spans="1:5" x14ac:dyDescent="0.2">
      <c r="A7432"/>
      <c r="B7432"/>
      <c r="C7432"/>
      <c r="D7432"/>
      <c r="E7432"/>
    </row>
    <row r="7433" spans="1:5" x14ac:dyDescent="0.2">
      <c r="A7433"/>
      <c r="B7433"/>
      <c r="C7433"/>
      <c r="D7433"/>
      <c r="E7433"/>
    </row>
    <row r="7434" spans="1:5" x14ac:dyDescent="0.2">
      <c r="A7434"/>
      <c r="B7434"/>
      <c r="C7434"/>
      <c r="D7434"/>
      <c r="E7434"/>
    </row>
    <row r="7435" spans="1:5" x14ac:dyDescent="0.2">
      <c r="A7435"/>
      <c r="B7435"/>
      <c r="C7435"/>
      <c r="D7435"/>
      <c r="E7435"/>
    </row>
    <row r="7436" spans="1:5" x14ac:dyDescent="0.2">
      <c r="A7436"/>
      <c r="B7436"/>
      <c r="C7436"/>
      <c r="D7436"/>
      <c r="E7436"/>
    </row>
    <row r="7437" spans="1:5" x14ac:dyDescent="0.2">
      <c r="A7437"/>
      <c r="B7437"/>
      <c r="C7437"/>
      <c r="D7437"/>
      <c r="E7437"/>
    </row>
    <row r="7438" spans="1:5" x14ac:dyDescent="0.2">
      <c r="A7438"/>
      <c r="B7438"/>
      <c r="C7438"/>
      <c r="D7438"/>
      <c r="E7438"/>
    </row>
    <row r="7439" spans="1:5" x14ac:dyDescent="0.2">
      <c r="A7439"/>
      <c r="B7439"/>
      <c r="C7439"/>
      <c r="D7439"/>
      <c r="E7439"/>
    </row>
    <row r="7440" spans="1:5" x14ac:dyDescent="0.2">
      <c r="A7440"/>
      <c r="B7440"/>
      <c r="C7440"/>
      <c r="D7440"/>
      <c r="E7440"/>
    </row>
    <row r="7441" spans="1:5" x14ac:dyDescent="0.2">
      <c r="A7441"/>
      <c r="B7441"/>
      <c r="C7441"/>
      <c r="D7441"/>
      <c r="E7441"/>
    </row>
    <row r="7442" spans="1:5" x14ac:dyDescent="0.2">
      <c r="A7442"/>
      <c r="B7442"/>
      <c r="C7442"/>
      <c r="D7442"/>
      <c r="E7442"/>
    </row>
    <row r="7443" spans="1:5" x14ac:dyDescent="0.2">
      <c r="A7443"/>
      <c r="B7443"/>
      <c r="C7443"/>
      <c r="D7443"/>
      <c r="E7443"/>
    </row>
    <row r="7444" spans="1:5" x14ac:dyDescent="0.2">
      <c r="A7444"/>
      <c r="B7444"/>
      <c r="C7444"/>
      <c r="D7444"/>
      <c r="E7444"/>
    </row>
    <row r="7445" spans="1:5" x14ac:dyDescent="0.2">
      <c r="A7445"/>
      <c r="B7445"/>
      <c r="C7445"/>
      <c r="D7445"/>
      <c r="E7445"/>
    </row>
    <row r="7446" spans="1:5" x14ac:dyDescent="0.2">
      <c r="A7446"/>
      <c r="B7446"/>
      <c r="C7446"/>
      <c r="D7446"/>
      <c r="E7446"/>
    </row>
    <row r="7447" spans="1:5" x14ac:dyDescent="0.2">
      <c r="A7447"/>
      <c r="B7447"/>
      <c r="C7447"/>
      <c r="D7447"/>
      <c r="E7447"/>
    </row>
    <row r="7448" spans="1:5" x14ac:dyDescent="0.2">
      <c r="A7448"/>
      <c r="B7448"/>
      <c r="C7448"/>
      <c r="D7448"/>
      <c r="E7448"/>
    </row>
    <row r="7449" spans="1:5" x14ac:dyDescent="0.2">
      <c r="A7449"/>
      <c r="B7449"/>
      <c r="C7449"/>
      <c r="D7449"/>
      <c r="E7449"/>
    </row>
    <row r="7450" spans="1:5" x14ac:dyDescent="0.2">
      <c r="A7450"/>
      <c r="B7450"/>
      <c r="C7450"/>
      <c r="D7450"/>
      <c r="E7450"/>
    </row>
    <row r="7451" spans="1:5" x14ac:dyDescent="0.2">
      <c r="A7451"/>
      <c r="B7451"/>
      <c r="C7451"/>
      <c r="D7451"/>
      <c r="E7451"/>
    </row>
    <row r="7452" spans="1:5" x14ac:dyDescent="0.2">
      <c r="A7452"/>
      <c r="B7452"/>
      <c r="C7452"/>
      <c r="D7452"/>
      <c r="E7452"/>
    </row>
    <row r="7453" spans="1:5" x14ac:dyDescent="0.2">
      <c r="A7453"/>
      <c r="B7453"/>
      <c r="C7453"/>
      <c r="D7453"/>
      <c r="E7453"/>
    </row>
    <row r="7454" spans="1:5" x14ac:dyDescent="0.2">
      <c r="A7454"/>
      <c r="B7454"/>
      <c r="C7454"/>
      <c r="D7454"/>
      <c r="E7454"/>
    </row>
    <row r="7455" spans="1:5" x14ac:dyDescent="0.2">
      <c r="A7455"/>
      <c r="B7455"/>
      <c r="C7455"/>
      <c r="D7455"/>
      <c r="E7455"/>
    </row>
    <row r="7456" spans="1:5" x14ac:dyDescent="0.2">
      <c r="A7456"/>
      <c r="B7456"/>
      <c r="C7456"/>
      <c r="D7456"/>
      <c r="E7456"/>
    </row>
    <row r="7457" spans="1:5" x14ac:dyDescent="0.2">
      <c r="A7457"/>
      <c r="B7457"/>
      <c r="C7457"/>
      <c r="D7457"/>
      <c r="E7457"/>
    </row>
    <row r="7458" spans="1:5" x14ac:dyDescent="0.2">
      <c r="A7458"/>
      <c r="B7458"/>
      <c r="C7458"/>
      <c r="D7458"/>
      <c r="E7458"/>
    </row>
    <row r="7459" spans="1:5" x14ac:dyDescent="0.2">
      <c r="A7459"/>
      <c r="B7459"/>
      <c r="C7459"/>
      <c r="D7459"/>
      <c r="E7459"/>
    </row>
    <row r="7460" spans="1:5" x14ac:dyDescent="0.2">
      <c r="A7460"/>
      <c r="B7460"/>
      <c r="C7460"/>
      <c r="D7460"/>
      <c r="E7460"/>
    </row>
    <row r="7461" spans="1:5" x14ac:dyDescent="0.2">
      <c r="A7461"/>
      <c r="B7461"/>
      <c r="C7461"/>
      <c r="D7461"/>
      <c r="E7461"/>
    </row>
    <row r="7462" spans="1:5" x14ac:dyDescent="0.2">
      <c r="A7462"/>
      <c r="B7462"/>
      <c r="C7462"/>
      <c r="D7462"/>
      <c r="E7462"/>
    </row>
    <row r="7463" spans="1:5" x14ac:dyDescent="0.2">
      <c r="A7463"/>
      <c r="B7463"/>
      <c r="C7463"/>
      <c r="D7463"/>
      <c r="E7463"/>
    </row>
    <row r="7464" spans="1:5" x14ac:dyDescent="0.2">
      <c r="A7464"/>
      <c r="B7464"/>
      <c r="C7464"/>
      <c r="D7464"/>
      <c r="E7464"/>
    </row>
    <row r="7465" spans="1:5" x14ac:dyDescent="0.2">
      <c r="A7465"/>
      <c r="B7465"/>
      <c r="C7465"/>
      <c r="D7465"/>
      <c r="E7465"/>
    </row>
    <row r="7466" spans="1:5" x14ac:dyDescent="0.2">
      <c r="A7466"/>
      <c r="B7466"/>
      <c r="C7466"/>
      <c r="D7466"/>
      <c r="E7466"/>
    </row>
    <row r="7467" spans="1:5" x14ac:dyDescent="0.2">
      <c r="A7467"/>
      <c r="B7467"/>
      <c r="C7467"/>
      <c r="D7467"/>
      <c r="E7467"/>
    </row>
    <row r="7468" spans="1:5" x14ac:dyDescent="0.2">
      <c r="A7468"/>
      <c r="B7468"/>
      <c r="C7468"/>
      <c r="D7468"/>
      <c r="E7468"/>
    </row>
    <row r="7469" spans="1:5" x14ac:dyDescent="0.2">
      <c r="A7469"/>
      <c r="B7469"/>
      <c r="C7469"/>
      <c r="D7469"/>
      <c r="E7469"/>
    </row>
    <row r="7470" spans="1:5" x14ac:dyDescent="0.2">
      <c r="A7470"/>
      <c r="B7470"/>
      <c r="C7470"/>
      <c r="D7470"/>
      <c r="E7470"/>
    </row>
    <row r="7471" spans="1:5" x14ac:dyDescent="0.2">
      <c r="A7471"/>
      <c r="B7471"/>
      <c r="C7471"/>
      <c r="D7471"/>
      <c r="E7471"/>
    </row>
    <row r="7472" spans="1:5" x14ac:dyDescent="0.2">
      <c r="A7472"/>
      <c r="B7472"/>
      <c r="C7472"/>
      <c r="D7472"/>
      <c r="E7472"/>
    </row>
    <row r="7473" spans="1:5" x14ac:dyDescent="0.2">
      <c r="A7473"/>
      <c r="B7473"/>
      <c r="C7473"/>
      <c r="D7473"/>
      <c r="E7473"/>
    </row>
    <row r="7474" spans="1:5" x14ac:dyDescent="0.2">
      <c r="A7474"/>
      <c r="B7474"/>
      <c r="C7474"/>
      <c r="D7474"/>
      <c r="E7474"/>
    </row>
    <row r="7475" spans="1:5" x14ac:dyDescent="0.2">
      <c r="A7475"/>
      <c r="B7475"/>
      <c r="C7475"/>
      <c r="D7475"/>
      <c r="E7475"/>
    </row>
    <row r="7476" spans="1:5" x14ac:dyDescent="0.2">
      <c r="A7476"/>
      <c r="B7476"/>
      <c r="C7476"/>
      <c r="D7476"/>
      <c r="E7476"/>
    </row>
    <row r="7477" spans="1:5" x14ac:dyDescent="0.2">
      <c r="A7477"/>
      <c r="B7477"/>
      <c r="C7477"/>
      <c r="D7477"/>
      <c r="E7477"/>
    </row>
    <row r="7478" spans="1:5" x14ac:dyDescent="0.2">
      <c r="A7478"/>
      <c r="B7478"/>
      <c r="C7478"/>
      <c r="D7478"/>
      <c r="E7478"/>
    </row>
    <row r="7479" spans="1:5" x14ac:dyDescent="0.2">
      <c r="A7479"/>
      <c r="B7479"/>
      <c r="C7479"/>
      <c r="D7479"/>
      <c r="E7479"/>
    </row>
    <row r="7480" spans="1:5" x14ac:dyDescent="0.2">
      <c r="A7480"/>
      <c r="B7480"/>
      <c r="C7480"/>
      <c r="D7480"/>
      <c r="E7480"/>
    </row>
    <row r="7481" spans="1:5" x14ac:dyDescent="0.2">
      <c r="A7481"/>
      <c r="B7481"/>
      <c r="C7481"/>
      <c r="D7481"/>
      <c r="E7481"/>
    </row>
    <row r="7482" spans="1:5" x14ac:dyDescent="0.2">
      <c r="A7482"/>
      <c r="B7482"/>
      <c r="C7482"/>
      <c r="D7482"/>
      <c r="E7482"/>
    </row>
    <row r="7483" spans="1:5" x14ac:dyDescent="0.2">
      <c r="A7483"/>
      <c r="B7483"/>
      <c r="C7483"/>
      <c r="D7483"/>
      <c r="E7483"/>
    </row>
    <row r="7484" spans="1:5" x14ac:dyDescent="0.2">
      <c r="A7484"/>
      <c r="B7484"/>
      <c r="C7484"/>
      <c r="D7484"/>
      <c r="E7484"/>
    </row>
    <row r="7485" spans="1:5" x14ac:dyDescent="0.2">
      <c r="A7485"/>
      <c r="B7485"/>
      <c r="C7485"/>
      <c r="D7485"/>
      <c r="E7485"/>
    </row>
    <row r="7486" spans="1:5" x14ac:dyDescent="0.2">
      <c r="A7486"/>
      <c r="B7486"/>
      <c r="C7486"/>
      <c r="D7486"/>
      <c r="E7486"/>
    </row>
    <row r="7487" spans="1:5" x14ac:dyDescent="0.2">
      <c r="A7487"/>
      <c r="B7487"/>
      <c r="C7487"/>
      <c r="D7487"/>
      <c r="E7487"/>
    </row>
    <row r="7488" spans="1:5" x14ac:dyDescent="0.2">
      <c r="A7488"/>
      <c r="B7488"/>
      <c r="C7488"/>
      <c r="D7488"/>
      <c r="E7488"/>
    </row>
    <row r="7489" spans="1:5" x14ac:dyDescent="0.2">
      <c r="A7489"/>
      <c r="B7489"/>
      <c r="C7489"/>
      <c r="D7489"/>
      <c r="E7489"/>
    </row>
    <row r="7490" spans="1:5" x14ac:dyDescent="0.2">
      <c r="A7490"/>
      <c r="B7490"/>
      <c r="C7490"/>
      <c r="D7490"/>
      <c r="E7490"/>
    </row>
    <row r="7491" spans="1:5" x14ac:dyDescent="0.2">
      <c r="A7491"/>
      <c r="B7491"/>
      <c r="C7491"/>
      <c r="D7491"/>
      <c r="E7491"/>
    </row>
    <row r="7492" spans="1:5" x14ac:dyDescent="0.2">
      <c r="A7492"/>
      <c r="B7492"/>
      <c r="C7492"/>
      <c r="D7492"/>
      <c r="E7492"/>
    </row>
    <row r="7493" spans="1:5" x14ac:dyDescent="0.2">
      <c r="A7493"/>
      <c r="B7493"/>
      <c r="C7493"/>
      <c r="D7493"/>
      <c r="E7493"/>
    </row>
    <row r="7494" spans="1:5" x14ac:dyDescent="0.2">
      <c r="A7494"/>
      <c r="B7494"/>
      <c r="C7494"/>
      <c r="D7494"/>
      <c r="E7494"/>
    </row>
    <row r="7495" spans="1:5" x14ac:dyDescent="0.2">
      <c r="A7495"/>
      <c r="B7495"/>
      <c r="C7495"/>
      <c r="D7495"/>
      <c r="E7495"/>
    </row>
    <row r="7496" spans="1:5" x14ac:dyDescent="0.2">
      <c r="A7496"/>
      <c r="B7496"/>
      <c r="C7496"/>
      <c r="D7496"/>
      <c r="E7496"/>
    </row>
    <row r="7497" spans="1:5" x14ac:dyDescent="0.2">
      <c r="A7497"/>
      <c r="B7497"/>
      <c r="C7497"/>
      <c r="D7497"/>
      <c r="E7497"/>
    </row>
    <row r="7498" spans="1:5" x14ac:dyDescent="0.2">
      <c r="A7498"/>
      <c r="B7498"/>
      <c r="C7498"/>
      <c r="D7498"/>
      <c r="E7498"/>
    </row>
    <row r="7499" spans="1:5" x14ac:dyDescent="0.2">
      <c r="A7499"/>
      <c r="B7499"/>
      <c r="C7499"/>
      <c r="D7499"/>
      <c r="E7499"/>
    </row>
    <row r="7500" spans="1:5" x14ac:dyDescent="0.2">
      <c r="A7500"/>
      <c r="B7500"/>
      <c r="C7500"/>
      <c r="D7500"/>
      <c r="E7500"/>
    </row>
    <row r="7501" spans="1:5" x14ac:dyDescent="0.2">
      <c r="A7501"/>
      <c r="B7501"/>
      <c r="C7501"/>
      <c r="D7501"/>
      <c r="E7501"/>
    </row>
    <row r="7502" spans="1:5" x14ac:dyDescent="0.2">
      <c r="A7502"/>
      <c r="B7502"/>
      <c r="C7502"/>
      <c r="D7502"/>
      <c r="E7502"/>
    </row>
    <row r="7503" spans="1:5" x14ac:dyDescent="0.2">
      <c r="A7503"/>
      <c r="B7503"/>
      <c r="C7503"/>
      <c r="D7503"/>
      <c r="E7503"/>
    </row>
    <row r="7504" spans="1:5" x14ac:dyDescent="0.2">
      <c r="A7504"/>
      <c r="B7504"/>
      <c r="C7504"/>
      <c r="D7504"/>
      <c r="E7504"/>
    </row>
    <row r="7505" spans="1:5" x14ac:dyDescent="0.2">
      <c r="A7505"/>
      <c r="B7505"/>
      <c r="C7505"/>
      <c r="D7505"/>
      <c r="E7505"/>
    </row>
    <row r="7506" spans="1:5" x14ac:dyDescent="0.2">
      <c r="A7506"/>
      <c r="B7506"/>
      <c r="C7506"/>
      <c r="D7506"/>
      <c r="E7506"/>
    </row>
    <row r="7507" spans="1:5" x14ac:dyDescent="0.2">
      <c r="A7507"/>
      <c r="B7507"/>
      <c r="C7507"/>
      <c r="D7507"/>
      <c r="E7507"/>
    </row>
    <row r="7508" spans="1:5" x14ac:dyDescent="0.2">
      <c r="A7508"/>
      <c r="B7508"/>
      <c r="C7508"/>
      <c r="D7508"/>
      <c r="E7508"/>
    </row>
    <row r="7509" spans="1:5" x14ac:dyDescent="0.2">
      <c r="A7509"/>
      <c r="B7509"/>
      <c r="C7509"/>
      <c r="D7509"/>
      <c r="E7509"/>
    </row>
    <row r="7510" spans="1:5" x14ac:dyDescent="0.2">
      <c r="A7510"/>
      <c r="B7510"/>
      <c r="C7510"/>
      <c r="D7510"/>
      <c r="E7510"/>
    </row>
    <row r="7511" spans="1:5" x14ac:dyDescent="0.2">
      <c r="A7511"/>
      <c r="B7511"/>
      <c r="C7511"/>
      <c r="D7511"/>
      <c r="E7511"/>
    </row>
    <row r="7512" spans="1:5" x14ac:dyDescent="0.2">
      <c r="A7512"/>
      <c r="B7512"/>
      <c r="C7512"/>
      <c r="D7512"/>
      <c r="E7512"/>
    </row>
    <row r="7513" spans="1:5" x14ac:dyDescent="0.2">
      <c r="A7513"/>
      <c r="B7513"/>
      <c r="C7513"/>
      <c r="D7513"/>
      <c r="E7513"/>
    </row>
    <row r="7514" spans="1:5" x14ac:dyDescent="0.2">
      <c r="A7514"/>
      <c r="B7514"/>
      <c r="C7514"/>
      <c r="D7514"/>
      <c r="E7514"/>
    </row>
    <row r="7515" spans="1:5" x14ac:dyDescent="0.2">
      <c r="A7515"/>
      <c r="B7515"/>
      <c r="C7515"/>
      <c r="D7515"/>
      <c r="E7515"/>
    </row>
    <row r="7516" spans="1:5" x14ac:dyDescent="0.2">
      <c r="A7516"/>
      <c r="B7516"/>
      <c r="C7516"/>
      <c r="D7516"/>
      <c r="E7516"/>
    </row>
    <row r="7517" spans="1:5" x14ac:dyDescent="0.2">
      <c r="A7517"/>
      <c r="B7517"/>
      <c r="C7517"/>
      <c r="D7517"/>
      <c r="E7517"/>
    </row>
    <row r="7518" spans="1:5" x14ac:dyDescent="0.2">
      <c r="A7518"/>
      <c r="B7518"/>
      <c r="C7518"/>
      <c r="D7518"/>
      <c r="E7518"/>
    </row>
    <row r="7519" spans="1:5" x14ac:dyDescent="0.2">
      <c r="A7519"/>
      <c r="B7519"/>
      <c r="C7519"/>
      <c r="D7519"/>
      <c r="E7519"/>
    </row>
    <row r="7520" spans="1:5" x14ac:dyDescent="0.2">
      <c r="A7520"/>
      <c r="B7520"/>
      <c r="C7520"/>
      <c r="D7520"/>
      <c r="E7520"/>
    </row>
    <row r="7521" spans="1:5" x14ac:dyDescent="0.2">
      <c r="A7521"/>
      <c r="B7521"/>
      <c r="C7521"/>
      <c r="D7521"/>
      <c r="E7521"/>
    </row>
    <row r="7522" spans="1:5" x14ac:dyDescent="0.2">
      <c r="A7522"/>
      <c r="B7522"/>
      <c r="C7522"/>
      <c r="D7522"/>
      <c r="E7522"/>
    </row>
    <row r="7523" spans="1:5" x14ac:dyDescent="0.2">
      <c r="A7523"/>
      <c r="B7523"/>
      <c r="C7523"/>
      <c r="D7523"/>
      <c r="E7523"/>
    </row>
    <row r="7524" spans="1:5" x14ac:dyDescent="0.2">
      <c r="A7524"/>
      <c r="B7524"/>
      <c r="C7524"/>
      <c r="D7524"/>
      <c r="E7524"/>
    </row>
    <row r="7525" spans="1:5" x14ac:dyDescent="0.2">
      <c r="A7525"/>
      <c r="B7525"/>
      <c r="C7525"/>
      <c r="D7525"/>
      <c r="E7525"/>
    </row>
    <row r="7526" spans="1:5" x14ac:dyDescent="0.2">
      <c r="A7526"/>
      <c r="B7526"/>
      <c r="C7526"/>
      <c r="D7526"/>
      <c r="E7526"/>
    </row>
    <row r="7527" spans="1:5" x14ac:dyDescent="0.2">
      <c r="A7527"/>
      <c r="B7527"/>
      <c r="C7527"/>
      <c r="D7527"/>
      <c r="E7527"/>
    </row>
    <row r="7528" spans="1:5" x14ac:dyDescent="0.2">
      <c r="A7528"/>
      <c r="B7528"/>
      <c r="C7528"/>
      <c r="D7528"/>
      <c r="E7528"/>
    </row>
    <row r="7529" spans="1:5" x14ac:dyDescent="0.2">
      <c r="A7529"/>
      <c r="B7529"/>
      <c r="C7529"/>
      <c r="D7529"/>
      <c r="E7529"/>
    </row>
    <row r="7530" spans="1:5" x14ac:dyDescent="0.2">
      <c r="A7530"/>
      <c r="B7530"/>
      <c r="C7530"/>
      <c r="D7530"/>
      <c r="E7530"/>
    </row>
    <row r="7531" spans="1:5" x14ac:dyDescent="0.2">
      <c r="A7531"/>
      <c r="B7531"/>
      <c r="C7531"/>
      <c r="D7531"/>
      <c r="E7531"/>
    </row>
    <row r="7532" spans="1:5" x14ac:dyDescent="0.2">
      <c r="A7532"/>
      <c r="B7532"/>
      <c r="C7532"/>
      <c r="D7532"/>
      <c r="E7532"/>
    </row>
    <row r="7533" spans="1:5" x14ac:dyDescent="0.2">
      <c r="A7533"/>
      <c r="B7533"/>
      <c r="C7533"/>
      <c r="D7533"/>
      <c r="E7533"/>
    </row>
    <row r="7534" spans="1:5" x14ac:dyDescent="0.2">
      <c r="A7534"/>
      <c r="B7534"/>
      <c r="C7534"/>
      <c r="D7534"/>
      <c r="E7534"/>
    </row>
    <row r="7535" spans="1:5" x14ac:dyDescent="0.2">
      <c r="A7535"/>
      <c r="B7535"/>
      <c r="C7535"/>
      <c r="D7535"/>
      <c r="E7535"/>
    </row>
    <row r="7536" spans="1:5" x14ac:dyDescent="0.2">
      <c r="A7536"/>
      <c r="B7536"/>
      <c r="C7536"/>
      <c r="D7536"/>
      <c r="E7536"/>
    </row>
    <row r="7537" spans="1:5" x14ac:dyDescent="0.2">
      <c r="A7537"/>
      <c r="B7537"/>
      <c r="C7537"/>
      <c r="D7537"/>
      <c r="E7537"/>
    </row>
    <row r="7538" spans="1:5" x14ac:dyDescent="0.2">
      <c r="A7538"/>
      <c r="B7538"/>
      <c r="C7538"/>
      <c r="D7538"/>
      <c r="E7538"/>
    </row>
    <row r="7539" spans="1:5" x14ac:dyDescent="0.2">
      <c r="A7539"/>
      <c r="B7539"/>
      <c r="C7539"/>
      <c r="D7539"/>
      <c r="E7539"/>
    </row>
    <row r="7540" spans="1:5" x14ac:dyDescent="0.2">
      <c r="A7540"/>
      <c r="B7540"/>
      <c r="C7540"/>
      <c r="D7540"/>
      <c r="E7540"/>
    </row>
    <row r="7541" spans="1:5" x14ac:dyDescent="0.2">
      <c r="A7541"/>
      <c r="B7541"/>
      <c r="C7541"/>
      <c r="D7541"/>
      <c r="E7541"/>
    </row>
    <row r="7542" spans="1:5" x14ac:dyDescent="0.2">
      <c r="A7542"/>
      <c r="B7542"/>
      <c r="C7542"/>
      <c r="D7542"/>
      <c r="E7542"/>
    </row>
    <row r="7543" spans="1:5" x14ac:dyDescent="0.2">
      <c r="A7543"/>
      <c r="B7543"/>
      <c r="C7543"/>
      <c r="D7543"/>
      <c r="E7543"/>
    </row>
    <row r="7544" spans="1:5" x14ac:dyDescent="0.2">
      <c r="A7544"/>
      <c r="B7544"/>
      <c r="C7544"/>
      <c r="D7544"/>
      <c r="E7544"/>
    </row>
    <row r="7545" spans="1:5" x14ac:dyDescent="0.2">
      <c r="A7545"/>
      <c r="B7545"/>
      <c r="C7545"/>
      <c r="D7545"/>
      <c r="E7545"/>
    </row>
    <row r="7546" spans="1:5" x14ac:dyDescent="0.2">
      <c r="A7546"/>
      <c r="B7546"/>
      <c r="C7546"/>
      <c r="D7546"/>
      <c r="E7546"/>
    </row>
    <row r="7547" spans="1:5" x14ac:dyDescent="0.2">
      <c r="A7547"/>
      <c r="B7547"/>
      <c r="C7547"/>
      <c r="D7547"/>
      <c r="E7547"/>
    </row>
    <row r="7548" spans="1:5" x14ac:dyDescent="0.2">
      <c r="A7548"/>
      <c r="B7548"/>
      <c r="C7548"/>
      <c r="D7548"/>
      <c r="E7548"/>
    </row>
    <row r="7549" spans="1:5" x14ac:dyDescent="0.2">
      <c r="A7549"/>
      <c r="B7549"/>
      <c r="C7549"/>
      <c r="D7549"/>
      <c r="E7549"/>
    </row>
    <row r="7550" spans="1:5" x14ac:dyDescent="0.2">
      <c r="A7550"/>
      <c r="B7550"/>
      <c r="C7550"/>
      <c r="D7550"/>
      <c r="E7550"/>
    </row>
    <row r="7551" spans="1:5" x14ac:dyDescent="0.2">
      <c r="A7551"/>
      <c r="B7551"/>
      <c r="C7551"/>
      <c r="D7551"/>
      <c r="E7551"/>
    </row>
    <row r="7552" spans="1:5" x14ac:dyDescent="0.2">
      <c r="A7552"/>
      <c r="B7552"/>
      <c r="C7552"/>
      <c r="D7552"/>
      <c r="E7552"/>
    </row>
    <row r="7553" spans="1:5" x14ac:dyDescent="0.2">
      <c r="A7553"/>
      <c r="B7553"/>
      <c r="C7553"/>
      <c r="D7553"/>
      <c r="E7553"/>
    </row>
    <row r="7554" spans="1:5" x14ac:dyDescent="0.2">
      <c r="A7554"/>
      <c r="B7554"/>
      <c r="C7554"/>
      <c r="D7554"/>
      <c r="E7554"/>
    </row>
    <row r="7555" spans="1:5" x14ac:dyDescent="0.2">
      <c r="A7555"/>
      <c r="B7555"/>
      <c r="C7555"/>
      <c r="D7555"/>
      <c r="E7555"/>
    </row>
    <row r="7556" spans="1:5" x14ac:dyDescent="0.2">
      <c r="A7556"/>
      <c r="B7556"/>
      <c r="C7556"/>
      <c r="D7556"/>
      <c r="E7556"/>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39"/>
      <c r="I2"/>
    </row>
    <row r="3" spans="1:12" x14ac:dyDescent="0.2">
      <c r="A3"/>
      <c r="B3"/>
      <c r="C3"/>
      <c r="D3"/>
      <c r="E3"/>
      <c r="F3"/>
      <c r="G3"/>
      <c r="H3" s="109"/>
      <c r="I3"/>
    </row>
    <row r="4" spans="1:12" x14ac:dyDescent="0.2">
      <c r="A4"/>
      <c r="B4"/>
      <c r="C4"/>
      <c r="D4"/>
      <c r="E4"/>
      <c r="F4"/>
      <c r="G4"/>
      <c r="H4" s="109"/>
      <c r="I4"/>
    </row>
    <row r="5" spans="1:12" x14ac:dyDescent="0.2">
      <c r="A5"/>
      <c r="B5"/>
      <c r="C5"/>
      <c r="D5"/>
      <c r="E5"/>
      <c r="F5"/>
      <c r="G5"/>
      <c r="H5" s="109"/>
      <c r="I5"/>
    </row>
    <row r="6" spans="1:12" x14ac:dyDescent="0.2">
      <c r="A6"/>
      <c r="B6"/>
      <c r="C6"/>
      <c r="D6"/>
      <c r="E6"/>
      <c r="F6"/>
      <c r="G6"/>
      <c r="H6" s="109"/>
      <c r="I6"/>
    </row>
    <row r="7" spans="1:12" x14ac:dyDescent="0.2">
      <c r="A7"/>
      <c r="B7"/>
      <c r="C7"/>
      <c r="D7"/>
      <c r="E7"/>
      <c r="F7"/>
      <c r="G7"/>
      <c r="H7" s="109"/>
      <c r="I7"/>
      <c r="L7" s="39"/>
    </row>
    <row r="8" spans="1:12" x14ac:dyDescent="0.2">
      <c r="A8"/>
      <c r="B8"/>
      <c r="C8"/>
      <c r="D8"/>
      <c r="E8"/>
      <c r="F8"/>
      <c r="G8"/>
      <c r="H8" s="109"/>
      <c r="I8"/>
    </row>
    <row r="9" spans="1:12" x14ac:dyDescent="0.2">
      <c r="A9"/>
      <c r="B9"/>
      <c r="C9"/>
      <c r="D9"/>
      <c r="E9"/>
      <c r="F9"/>
      <c r="G9"/>
      <c r="H9" s="109"/>
      <c r="I9"/>
    </row>
    <row r="10" spans="1:12" x14ac:dyDescent="0.2">
      <c r="A10"/>
      <c r="B10"/>
      <c r="C10"/>
      <c r="D10"/>
      <c r="E10"/>
      <c r="F10"/>
      <c r="G10"/>
      <c r="H10" s="109"/>
      <c r="I10"/>
    </row>
    <row r="11" spans="1:12" x14ac:dyDescent="0.2">
      <c r="A11"/>
      <c r="B11"/>
      <c r="C11"/>
      <c r="D11"/>
      <c r="E11"/>
      <c r="F11"/>
      <c r="G11"/>
      <c r="H11" s="109"/>
      <c r="I11"/>
    </row>
    <row r="12" spans="1:12" x14ac:dyDescent="0.2">
      <c r="A12"/>
      <c r="B12"/>
      <c r="C12"/>
      <c r="D12"/>
      <c r="E12"/>
      <c r="F12"/>
      <c r="G12"/>
      <c r="H12" s="109"/>
      <c r="I12"/>
    </row>
    <row r="13" spans="1:12" x14ac:dyDescent="0.2">
      <c r="A13"/>
      <c r="B13"/>
      <c r="C13"/>
      <c r="D13"/>
      <c r="E13"/>
      <c r="F13"/>
      <c r="G13"/>
      <c r="H13" s="109"/>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9" t="s">
        <v>862</v>
      </c>
      <c r="B1" s="411" t="s">
        <v>863</v>
      </c>
    </row>
    <row r="2" spans="1:3" x14ac:dyDescent="0.2">
      <c r="A2" s="39"/>
      <c r="B2" s="39"/>
    </row>
    <row r="3" spans="1:3" x14ac:dyDescent="0.2">
      <c r="A3" s="39" t="s">
        <v>569</v>
      </c>
      <c r="B3" s="39" t="s">
        <v>570</v>
      </c>
      <c r="C3" s="39" t="s">
        <v>864</v>
      </c>
    </row>
    <row r="4" spans="1:3" x14ac:dyDescent="0.2">
      <c r="A4" s="410">
        <v>-100</v>
      </c>
      <c r="B4" s="410">
        <v>392</v>
      </c>
      <c r="C4" s="409">
        <v>1.6</v>
      </c>
    </row>
    <row r="5" spans="1:3" x14ac:dyDescent="0.2">
      <c r="A5" s="410">
        <v>392</v>
      </c>
      <c r="B5" s="410">
        <v>752</v>
      </c>
      <c r="C5" s="409">
        <v>4</v>
      </c>
    </row>
    <row r="6" spans="1:3" x14ac:dyDescent="0.2">
      <c r="A6" s="410">
        <v>752</v>
      </c>
      <c r="B6" s="410">
        <v>1200</v>
      </c>
      <c r="C6" s="409">
        <v>3</v>
      </c>
    </row>
    <row r="7" spans="1:3" x14ac:dyDescent="0.2">
      <c r="A7" s="410">
        <v>1200</v>
      </c>
      <c r="B7" s="410">
        <v>2000</v>
      </c>
      <c r="C7" s="409">
        <v>4.0999999999999996</v>
      </c>
    </row>
    <row r="8" spans="1:3" x14ac:dyDescent="0.2">
      <c r="A8" s="410">
        <v>1800</v>
      </c>
      <c r="B8" s="410">
        <v>2200</v>
      </c>
      <c r="C8" s="409">
        <v>4.0999999999999996</v>
      </c>
    </row>
  </sheetData>
  <sheetProtection algorithmName="SHA-512" hashValue="bZ7Xhdi654DXbJYVqYcwn8DYRfB2yedDpTrT7N1cRDwbVIVXYVBh2iXPVI9tBdRSeM0av5LhmD9iLK8yu5ynJw==" saltValue="nTnxNCi8+rt/R7Q4GhDRrg=="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6C23-8F0E-48B2-B188-FD23870E234E}">
  <sheetPr codeName="Sheet1"/>
  <dimension ref="A1:L4"/>
  <sheetViews>
    <sheetView workbookViewId="0">
      <selection sqref="A1:H17"/>
    </sheetView>
  </sheetViews>
  <sheetFormatPr defaultRowHeight="12.75" x14ac:dyDescent="0.2"/>
  <cols>
    <col min="1" max="1" width="12.85546875" bestFit="1" customWidth="1"/>
    <col min="2" max="2" width="13.85546875" bestFit="1" customWidth="1"/>
    <col min="3" max="3" width="13.140625" bestFit="1" customWidth="1"/>
    <col min="4" max="4" width="8.42578125" bestFit="1" customWidth="1"/>
    <col min="5" max="5" width="7.85546875" bestFit="1" customWidth="1"/>
    <col min="6" max="6" width="8.5703125" bestFit="1" customWidth="1"/>
    <col min="7" max="7" width="17.42578125" bestFit="1" customWidth="1"/>
    <col min="8" max="8" width="11.85546875" customWidth="1"/>
    <col min="9" max="9" width="26.140625" bestFit="1" customWidth="1"/>
    <col min="10" max="10" width="27" bestFit="1" customWidth="1"/>
    <col min="11" max="11" width="26.42578125" bestFit="1" customWidth="1"/>
    <col min="12" max="12" width="27" bestFit="1" customWidth="1"/>
    <col min="13" max="13" width="28" bestFit="1" customWidth="1"/>
    <col min="14" max="14" width="27.28515625" bestFit="1" customWidth="1"/>
    <col min="15" max="15" width="15.42578125" bestFit="1" customWidth="1"/>
    <col min="16" max="16" width="15.7109375" bestFit="1" customWidth="1"/>
    <col min="17" max="17" width="13.140625" bestFit="1" customWidth="1"/>
  </cols>
  <sheetData>
    <row r="1" spans="1:12" x14ac:dyDescent="0.2">
      <c r="A1"/>
      <c r="B1"/>
      <c r="C1"/>
      <c r="D1"/>
      <c r="E1"/>
      <c r="F1"/>
      <c r="G1"/>
      <c r="H1"/>
    </row>
    <row r="2" spans="1:12" x14ac:dyDescent="0.2">
      <c r="E2" s="440"/>
    </row>
    <row r="4" spans="1:12" x14ac:dyDescent="0.2">
      <c r="L4" s="39"/>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05"/>
  <sheetViews>
    <sheetView workbookViewId="0"/>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4"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4.8554687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s="39"/>
      <c r="B1"/>
      <c r="C1"/>
      <c r="D1"/>
      <c r="E1"/>
      <c r="F1"/>
      <c r="G1"/>
      <c r="H1"/>
      <c r="I1"/>
      <c r="J1"/>
      <c r="K1"/>
      <c r="L1"/>
      <c r="M1"/>
      <c r="N1"/>
      <c r="O1"/>
      <c r="P1"/>
      <c r="Q1"/>
      <c r="R1"/>
      <c r="S1"/>
      <c r="T1"/>
      <c r="U1"/>
      <c r="V1"/>
      <c r="W1"/>
      <c r="X1"/>
      <c r="Y1"/>
      <c r="Z1"/>
      <c r="AA1"/>
      <c r="AB1"/>
      <c r="AC1"/>
      <c r="AD1"/>
      <c r="AE1"/>
      <c r="AF1"/>
      <c r="AG1"/>
      <c r="AH1"/>
      <c r="AI1"/>
      <c r="AJ1"/>
      <c r="AK1"/>
      <c r="AL1"/>
      <c r="AM1"/>
      <c r="AN1"/>
      <c r="AO1"/>
      <c r="AQ1" t="str" cm="1">
        <f t="array" ref="AQ1:CE1">Header_Info[#Headers]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c r="B2"/>
      <c r="C2"/>
      <c r="D2"/>
      <c r="E2"/>
      <c r="F2"/>
      <c r="G2"/>
      <c r="H2"/>
      <c r="I2"/>
      <c r="J2"/>
      <c r="K2"/>
      <c r="L2"/>
      <c r="M2"/>
      <c r="N2"/>
      <c r="O2"/>
      <c r="P2"/>
      <c r="Q2"/>
      <c r="R2"/>
      <c r="S2"/>
      <c r="T2"/>
      <c r="U2"/>
      <c r="W2"/>
      <c r="X2"/>
      <c r="Y2"/>
      <c r="Z2"/>
      <c r="AA2"/>
      <c r="AB2"/>
      <c r="AC2"/>
      <c r="AD2"/>
      <c r="AE2"/>
      <c r="AF2"/>
      <c r="AG2"/>
      <c r="AJ2"/>
      <c r="AK2"/>
      <c r="AL2"/>
      <c r="AM2"/>
      <c r="AQ2" t="e" cm="1">
        <f t="array" ref="AQ2">_xlfn.XLOOKUP(AssetId,Header_Info[AssetId],Header_Info[],"")</f>
        <v>#N/A</v>
      </c>
    </row>
    <row r="3" spans="1:83" x14ac:dyDescent="0.2">
      <c r="A3"/>
      <c r="B3"/>
      <c r="C3"/>
      <c r="D3"/>
      <c r="E3"/>
      <c r="F3"/>
      <c r="G3"/>
      <c r="H3"/>
      <c r="I3"/>
      <c r="J3"/>
      <c r="K3"/>
      <c r="L3"/>
      <c r="M3"/>
      <c r="N3"/>
      <c r="O3"/>
      <c r="P3"/>
      <c r="Q3"/>
      <c r="R3"/>
      <c r="S3"/>
      <c r="T3"/>
      <c r="U3"/>
      <c r="V3"/>
      <c r="W3"/>
      <c r="X3"/>
      <c r="Y3"/>
      <c r="Z3"/>
      <c r="AA3"/>
      <c r="AB3"/>
      <c r="AC3"/>
      <c r="AD3"/>
      <c r="AE3"/>
      <c r="AF3"/>
      <c r="AG3"/>
      <c r="AH3"/>
      <c r="AI3"/>
      <c r="AJ3"/>
      <c r="AK3"/>
      <c r="AL3"/>
      <c r="AM3"/>
    </row>
    <row r="4" spans="1:83" x14ac:dyDescent="0.2">
      <c r="A4"/>
      <c r="B4"/>
      <c r="C4"/>
      <c r="D4"/>
      <c r="E4"/>
      <c r="F4"/>
      <c r="G4"/>
      <c r="H4"/>
      <c r="I4"/>
      <c r="J4"/>
      <c r="K4"/>
      <c r="L4"/>
      <c r="M4"/>
      <c r="N4"/>
      <c r="O4"/>
      <c r="P4"/>
      <c r="Q4"/>
      <c r="R4"/>
      <c r="S4"/>
      <c r="T4"/>
      <c r="U4"/>
      <c r="V4"/>
      <c r="W4"/>
      <c r="X4"/>
      <c r="Y4"/>
      <c r="Z4"/>
      <c r="AA4"/>
      <c r="AB4"/>
      <c r="AC4"/>
      <c r="AD4"/>
      <c r="AE4"/>
      <c r="AF4"/>
      <c r="AG4"/>
      <c r="AH4"/>
      <c r="AI4"/>
      <c r="AJ4"/>
      <c r="AK4"/>
      <c r="AL4"/>
      <c r="AM4"/>
    </row>
    <row r="5" spans="1:83" x14ac:dyDescent="0.2">
      <c r="A5"/>
      <c r="B5"/>
      <c r="C5"/>
      <c r="D5"/>
      <c r="E5"/>
      <c r="F5"/>
      <c r="G5"/>
      <c r="H5"/>
      <c r="I5"/>
      <c r="J5"/>
      <c r="K5"/>
      <c r="L5"/>
      <c r="M5"/>
      <c r="N5"/>
      <c r="O5"/>
      <c r="P5"/>
      <c r="Q5"/>
      <c r="R5"/>
      <c r="S5"/>
      <c r="T5"/>
      <c r="U5"/>
      <c r="V5"/>
      <c r="W5"/>
      <c r="X5"/>
      <c r="Y5"/>
      <c r="Z5"/>
      <c r="AA5"/>
      <c r="AB5"/>
      <c r="AC5"/>
      <c r="AD5"/>
      <c r="AE5"/>
      <c r="AF5"/>
      <c r="AG5"/>
      <c r="AH5"/>
      <c r="AI5"/>
      <c r="AJ5"/>
      <c r="AK5"/>
      <c r="AL5"/>
      <c r="AM5"/>
    </row>
    <row r="6" spans="1:83" x14ac:dyDescent="0.2">
      <c r="A6"/>
      <c r="B6"/>
      <c r="C6"/>
      <c r="D6"/>
      <c r="E6"/>
      <c r="F6"/>
      <c r="G6"/>
      <c r="H6"/>
      <c r="I6"/>
      <c r="J6"/>
      <c r="K6"/>
      <c r="L6"/>
      <c r="M6"/>
      <c r="N6"/>
      <c r="O6"/>
      <c r="P6"/>
      <c r="Q6"/>
      <c r="R6"/>
      <c r="S6"/>
      <c r="T6"/>
      <c r="U6"/>
      <c r="V6"/>
      <c r="W6"/>
      <c r="X6"/>
      <c r="AC6"/>
      <c r="AD6"/>
      <c r="AE6"/>
      <c r="AF6"/>
      <c r="AG6"/>
      <c r="AH6"/>
      <c r="AI6"/>
      <c r="AJ6"/>
      <c r="AK6"/>
      <c r="AL6"/>
      <c r="AM6"/>
    </row>
    <row r="7" spans="1:83" x14ac:dyDescent="0.2">
      <c r="A7"/>
      <c r="B7"/>
      <c r="C7"/>
      <c r="D7"/>
      <c r="E7"/>
      <c r="F7"/>
      <c r="G7"/>
      <c r="H7"/>
      <c r="I7"/>
      <c r="J7"/>
      <c r="K7"/>
      <c r="L7"/>
      <c r="M7"/>
      <c r="N7"/>
      <c r="O7"/>
      <c r="P7"/>
      <c r="Q7"/>
      <c r="R7"/>
      <c r="S7"/>
      <c r="T7"/>
      <c r="U7"/>
      <c r="V7"/>
      <c r="W7"/>
      <c r="X7"/>
      <c r="Y7"/>
      <c r="Z7"/>
      <c r="AA7"/>
      <c r="AB7"/>
      <c r="AC7"/>
      <c r="AD7"/>
      <c r="AE7"/>
      <c r="AF7"/>
      <c r="AG7"/>
      <c r="AH7"/>
      <c r="AI7"/>
      <c r="AJ7"/>
      <c r="AK7"/>
      <c r="AL7"/>
      <c r="AM7"/>
    </row>
    <row r="8" spans="1:83" x14ac:dyDescent="0.2">
      <c r="A8"/>
      <c r="B8"/>
      <c r="C8"/>
      <c r="D8"/>
      <c r="E8"/>
      <c r="F8"/>
      <c r="G8"/>
      <c r="H8"/>
      <c r="I8"/>
      <c r="J8"/>
      <c r="K8"/>
      <c r="L8"/>
      <c r="M8"/>
      <c r="N8"/>
      <c r="O8"/>
      <c r="P8"/>
      <c r="Q8"/>
      <c r="R8"/>
      <c r="S8"/>
      <c r="T8"/>
      <c r="U8"/>
      <c r="V8"/>
      <c r="W8"/>
      <c r="X8"/>
      <c r="Y8"/>
      <c r="Z8"/>
      <c r="AA8"/>
      <c r="AB8"/>
      <c r="AC8"/>
      <c r="AD8"/>
      <c r="AE8"/>
      <c r="AF8"/>
      <c r="AG8"/>
      <c r="AH8"/>
      <c r="AI8"/>
      <c r="AJ8"/>
      <c r="AK8"/>
      <c r="AL8"/>
      <c r="AM8"/>
    </row>
    <row r="9" spans="1:83" x14ac:dyDescent="0.2">
      <c r="A9"/>
      <c r="B9"/>
      <c r="C9"/>
      <c r="D9"/>
      <c r="E9"/>
      <c r="F9"/>
      <c r="G9"/>
      <c r="H9"/>
      <c r="I9"/>
      <c r="J9"/>
      <c r="K9"/>
      <c r="L9"/>
      <c r="M9"/>
      <c r="N9"/>
      <c r="O9"/>
      <c r="P9"/>
      <c r="Q9"/>
      <c r="R9"/>
      <c r="S9"/>
      <c r="T9"/>
      <c r="U9"/>
      <c r="V9"/>
      <c r="W9"/>
      <c r="X9"/>
      <c r="Y9"/>
      <c r="Z9"/>
      <c r="AA9"/>
      <c r="AB9"/>
      <c r="AC9"/>
      <c r="AD9"/>
      <c r="AE9"/>
      <c r="AF9"/>
      <c r="AG9"/>
      <c r="AH9"/>
      <c r="AJ9"/>
      <c r="AK9"/>
      <c r="AL9"/>
      <c r="AM9"/>
    </row>
    <row r="10" spans="1:83" x14ac:dyDescent="0.2">
      <c r="A10"/>
      <c r="B10"/>
      <c r="C10"/>
      <c r="D10"/>
      <c r="E10"/>
      <c r="F10"/>
      <c r="G10"/>
      <c r="H10"/>
      <c r="I10"/>
      <c r="J10"/>
      <c r="K10"/>
      <c r="L10"/>
      <c r="M10"/>
      <c r="N10"/>
      <c r="O10"/>
      <c r="P10"/>
      <c r="Q10"/>
      <c r="R10"/>
      <c r="S10"/>
      <c r="T10"/>
      <c r="U10"/>
      <c r="V10"/>
      <c r="X10"/>
      <c r="Y10"/>
      <c r="Z10"/>
      <c r="AA10"/>
      <c r="AB10"/>
      <c r="AC10"/>
      <c r="AD10"/>
      <c r="AE10"/>
      <c r="AF10"/>
      <c r="AG10"/>
      <c r="AH10"/>
      <c r="AI10"/>
      <c r="AJ10"/>
      <c r="AK10"/>
      <c r="AL10"/>
      <c r="AM10"/>
    </row>
    <row r="11" spans="1:83" x14ac:dyDescent="0.2">
      <c r="A11"/>
      <c r="B11"/>
      <c r="C11"/>
      <c r="D11"/>
      <c r="E11"/>
      <c r="F11"/>
      <c r="G11"/>
      <c r="H11"/>
      <c r="I11"/>
      <c r="J11"/>
      <c r="K11"/>
      <c r="L11"/>
      <c r="M11"/>
      <c r="N11"/>
      <c r="O11"/>
      <c r="P11"/>
      <c r="Q11"/>
      <c r="R11"/>
      <c r="S11"/>
      <c r="T11"/>
      <c r="U11"/>
      <c r="V11"/>
      <c r="W11"/>
      <c r="X11"/>
      <c r="Y11"/>
      <c r="Z11"/>
      <c r="AA11"/>
      <c r="AB11"/>
      <c r="AC11"/>
      <c r="AD11"/>
      <c r="AE11"/>
      <c r="AF11"/>
      <c r="AG11"/>
      <c r="AI11"/>
      <c r="AJ11"/>
      <c r="AK11"/>
      <c r="AL11"/>
      <c r="AM11"/>
    </row>
    <row r="12" spans="1:83" x14ac:dyDescent="0.2">
      <c r="A12"/>
      <c r="B12"/>
      <c r="C12"/>
      <c r="D12"/>
      <c r="E12"/>
      <c r="F12"/>
      <c r="G12"/>
      <c r="H12"/>
      <c r="I12"/>
      <c r="J12"/>
      <c r="K12"/>
      <c r="L12"/>
      <c r="M12"/>
      <c r="N12"/>
      <c r="O12"/>
      <c r="P12"/>
      <c r="Q12"/>
      <c r="R12"/>
      <c r="S12"/>
      <c r="T12"/>
      <c r="U12"/>
      <c r="V12"/>
      <c r="W12"/>
      <c r="X12"/>
      <c r="AC12"/>
      <c r="AD12"/>
      <c r="AE12"/>
      <c r="AF12"/>
      <c r="AG12"/>
      <c r="AH12"/>
      <c r="AI12"/>
      <c r="AJ12"/>
      <c r="AK12"/>
      <c r="AL12"/>
      <c r="AM12"/>
    </row>
    <row r="13" spans="1:83"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row>
    <row r="14" spans="1:83" x14ac:dyDescent="0.2">
      <c r="A14"/>
      <c r="B14"/>
      <c r="C14"/>
      <c r="D14"/>
      <c r="E14"/>
      <c r="F14"/>
      <c r="G14"/>
      <c r="H14"/>
      <c r="I14"/>
      <c r="J14"/>
      <c r="K14"/>
      <c r="L14"/>
      <c r="M14"/>
      <c r="N14"/>
      <c r="O14"/>
      <c r="P14"/>
      <c r="Q14"/>
      <c r="R14"/>
      <c r="S14"/>
      <c r="T14"/>
      <c r="U14"/>
      <c r="V14"/>
      <c r="W14"/>
      <c r="X14"/>
      <c r="AC14"/>
      <c r="AD14"/>
      <c r="AE14"/>
      <c r="AF14"/>
      <c r="AG14"/>
      <c r="AH14"/>
      <c r="AI14"/>
      <c r="AJ14"/>
      <c r="AK14"/>
      <c r="AL14"/>
      <c r="AM14"/>
    </row>
    <row r="15" spans="1:83"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83" x14ac:dyDescent="0.2">
      <c r="A16"/>
      <c r="B16"/>
      <c r="C16"/>
      <c r="D16"/>
      <c r="E16"/>
      <c r="F16"/>
      <c r="G16"/>
      <c r="H16"/>
      <c r="I16"/>
      <c r="J16"/>
      <c r="K16"/>
      <c r="L16"/>
      <c r="M16"/>
      <c r="N16"/>
      <c r="O16"/>
      <c r="P16"/>
      <c r="Q16"/>
      <c r="R16"/>
      <c r="S16"/>
      <c r="T16"/>
      <c r="U16"/>
      <c r="V16"/>
      <c r="W16"/>
      <c r="X16"/>
      <c r="AC16"/>
      <c r="AD16"/>
      <c r="AE16"/>
      <c r="AF16"/>
      <c r="AG16"/>
      <c r="AH16"/>
      <c r="AI16"/>
      <c r="AJ16"/>
      <c r="AK16"/>
      <c r="AL16"/>
      <c r="AM16"/>
    </row>
    <row r="17" spans="1:40"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1:40" x14ac:dyDescent="0.2">
      <c r="A18"/>
      <c r="B18"/>
      <c r="C18"/>
      <c r="D18"/>
      <c r="E18"/>
      <c r="F18"/>
      <c r="G18"/>
      <c r="H18"/>
      <c r="I18"/>
      <c r="J18"/>
      <c r="K18"/>
      <c r="M18"/>
      <c r="N18"/>
      <c r="O18"/>
      <c r="P18"/>
      <c r="Q18"/>
      <c r="R18"/>
      <c r="S18"/>
      <c r="T18"/>
      <c r="U18"/>
      <c r="V18"/>
      <c r="X18"/>
      <c r="AC18"/>
      <c r="AD18"/>
      <c r="AE18"/>
      <c r="AF18"/>
      <c r="AG18"/>
      <c r="AH18"/>
      <c r="AI18"/>
      <c r="AJ18"/>
      <c r="AK18"/>
      <c r="AL18"/>
      <c r="AM18"/>
    </row>
    <row r="19" spans="1:40"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
      <c r="A20"/>
      <c r="B20"/>
      <c r="C20"/>
      <c r="D20"/>
      <c r="E20"/>
      <c r="F20"/>
      <c r="G20"/>
      <c r="H20"/>
      <c r="I20"/>
      <c r="J20"/>
      <c r="K20"/>
      <c r="L20"/>
      <c r="M20"/>
      <c r="N20"/>
      <c r="O20"/>
      <c r="P20"/>
      <c r="Q20"/>
      <c r="R20"/>
      <c r="S20"/>
      <c r="T20"/>
      <c r="U20"/>
      <c r="V20"/>
      <c r="W20"/>
      <c r="X20"/>
      <c r="AC20"/>
      <c r="AD20"/>
      <c r="AE20"/>
      <c r="AF20"/>
      <c r="AG20"/>
      <c r="AH20"/>
      <c r="AI20"/>
      <c r="AJ20"/>
      <c r="AK20"/>
      <c r="AL20"/>
      <c r="AM20"/>
    </row>
    <row r="21" spans="1:40" x14ac:dyDescent="0.2">
      <c r="A21"/>
      <c r="B21"/>
      <c r="C21"/>
      <c r="D21"/>
      <c r="E21"/>
      <c r="F21"/>
      <c r="G21"/>
      <c r="H21"/>
      <c r="I21"/>
      <c r="J21"/>
      <c r="K21"/>
      <c r="L21"/>
      <c r="M21"/>
      <c r="N21"/>
      <c r="O21"/>
      <c r="P21"/>
      <c r="Q21"/>
      <c r="R21"/>
      <c r="S21"/>
      <c r="T21"/>
      <c r="U21"/>
      <c r="V21"/>
      <c r="W21"/>
      <c r="X21"/>
      <c r="AC21"/>
      <c r="AD21"/>
      <c r="AE21"/>
      <c r="AF21"/>
      <c r="AG21"/>
      <c r="AH21"/>
      <c r="AI21"/>
      <c r="AJ21"/>
      <c r="AK21"/>
      <c r="AL21"/>
      <c r="AM21"/>
    </row>
    <row r="22" spans="1:40" x14ac:dyDescent="0.2">
      <c r="A22"/>
      <c r="B22"/>
      <c r="C22"/>
      <c r="D22"/>
      <c r="E22"/>
      <c r="F22"/>
      <c r="G22"/>
      <c r="H22"/>
      <c r="I22"/>
      <c r="J22"/>
      <c r="K22"/>
      <c r="L22"/>
      <c r="M22"/>
      <c r="N22"/>
      <c r="O22"/>
      <c r="P22"/>
      <c r="Q22"/>
      <c r="R22"/>
      <c r="S22"/>
      <c r="T22"/>
      <c r="U22"/>
      <c r="V22"/>
      <c r="W22"/>
      <c r="X22"/>
      <c r="AC22"/>
      <c r="AD22"/>
      <c r="AE22"/>
      <c r="AF22"/>
      <c r="AG22"/>
      <c r="AH22"/>
      <c r="AI22"/>
      <c r="AJ22"/>
      <c r="AK22"/>
      <c r="AL22"/>
      <c r="AM22"/>
    </row>
    <row r="23" spans="1:40"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40" x14ac:dyDescent="0.2">
      <c r="A24"/>
      <c r="B24"/>
      <c r="C24"/>
      <c r="D24"/>
      <c r="E24"/>
      <c r="F24"/>
      <c r="G24"/>
      <c r="H24"/>
      <c r="I24"/>
      <c r="J24"/>
      <c r="K24"/>
      <c r="L24"/>
      <c r="M24"/>
      <c r="N24"/>
      <c r="O24"/>
      <c r="P24"/>
      <c r="Q24"/>
      <c r="R24"/>
      <c r="S24"/>
      <c r="T24"/>
      <c r="U24"/>
      <c r="V24"/>
      <c r="W24"/>
      <c r="X24"/>
      <c r="AC24"/>
      <c r="AD24"/>
      <c r="AE24"/>
      <c r="AF24"/>
      <c r="AG24"/>
      <c r="AH24"/>
      <c r="AI24"/>
      <c r="AJ24"/>
      <c r="AK24"/>
      <c r="AL24"/>
      <c r="AM24"/>
    </row>
    <row r="25" spans="1:40" x14ac:dyDescent="0.2">
      <c r="A25"/>
      <c r="B25"/>
      <c r="C25"/>
      <c r="D25"/>
      <c r="E25"/>
      <c r="F25"/>
      <c r="G25"/>
      <c r="H25"/>
      <c r="I25"/>
      <c r="J25"/>
      <c r="K25"/>
      <c r="L25"/>
      <c r="M25"/>
      <c r="N25"/>
      <c r="O25"/>
      <c r="P25"/>
      <c r="Q25"/>
      <c r="R25"/>
      <c r="S25"/>
      <c r="T25"/>
      <c r="U25"/>
      <c r="V25"/>
      <c r="W25"/>
      <c r="X25"/>
      <c r="AC25"/>
      <c r="AD25"/>
      <c r="AE25"/>
      <c r="AF25"/>
      <c r="AG25"/>
      <c r="AH25"/>
      <c r="AI25"/>
      <c r="AJ25"/>
      <c r="AK25"/>
      <c r="AL25"/>
      <c r="AM25"/>
    </row>
    <row r="26" spans="1:40" x14ac:dyDescent="0.2">
      <c r="A26"/>
      <c r="B26"/>
      <c r="C26"/>
      <c r="D26"/>
      <c r="E26"/>
      <c r="F26"/>
      <c r="G26"/>
      <c r="H26"/>
      <c r="I26"/>
      <c r="J26"/>
      <c r="K26"/>
      <c r="L26"/>
      <c r="M26"/>
      <c r="N26"/>
      <c r="O26"/>
      <c r="P26"/>
      <c r="Q26"/>
      <c r="R26"/>
      <c r="S26"/>
      <c r="T26"/>
      <c r="U26"/>
      <c r="V26"/>
      <c r="W26"/>
      <c r="X26"/>
      <c r="AC26"/>
      <c r="AD26"/>
      <c r="AE26"/>
      <c r="AF26"/>
      <c r="AG26"/>
      <c r="AH26"/>
      <c r="AI26"/>
      <c r="AJ26"/>
      <c r="AK26"/>
      <c r="AL26"/>
      <c r="AM26"/>
    </row>
    <row r="27" spans="1:40" x14ac:dyDescent="0.2">
      <c r="A27"/>
      <c r="B27"/>
      <c r="C27"/>
      <c r="D27"/>
      <c r="E27"/>
      <c r="F27"/>
      <c r="G27"/>
      <c r="H27"/>
      <c r="I27"/>
      <c r="J27"/>
      <c r="K27"/>
      <c r="L27"/>
      <c r="M27"/>
      <c r="N27"/>
      <c r="O27"/>
      <c r="P27"/>
      <c r="Q27"/>
      <c r="R27"/>
      <c r="S27"/>
      <c r="T27"/>
      <c r="U27"/>
      <c r="V27"/>
      <c r="W27"/>
      <c r="X27"/>
      <c r="AC27"/>
      <c r="AD27"/>
      <c r="AE27"/>
      <c r="AF27"/>
      <c r="AG27"/>
      <c r="AH27"/>
      <c r="AI27"/>
      <c r="AJ27"/>
      <c r="AK27"/>
      <c r="AL27"/>
      <c r="AM27"/>
    </row>
    <row r="28" spans="1:40" x14ac:dyDescent="0.2">
      <c r="A28"/>
      <c r="B28"/>
      <c r="C28"/>
      <c r="D28"/>
      <c r="E28"/>
      <c r="F28"/>
      <c r="G28"/>
      <c r="H28"/>
      <c r="I28"/>
      <c r="J28"/>
      <c r="K28"/>
      <c r="L28"/>
      <c r="M28"/>
      <c r="N28"/>
      <c r="O28"/>
      <c r="P28"/>
      <c r="Q28"/>
      <c r="R28"/>
      <c r="S28"/>
      <c r="T28"/>
      <c r="U28"/>
      <c r="V28"/>
      <c r="W28"/>
      <c r="X28"/>
      <c r="AC28"/>
      <c r="AD28"/>
      <c r="AE28"/>
      <c r="AF28"/>
      <c r="AG28"/>
      <c r="AH28"/>
      <c r="AI28"/>
      <c r="AJ28"/>
      <c r="AK28"/>
      <c r="AL28"/>
      <c r="AM28"/>
    </row>
    <row r="29" spans="1:40"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40"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1:40"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1:40"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1:41"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1:41"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row>
    <row r="35" spans="1:41"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
      <c r="A36"/>
      <c r="B36"/>
      <c r="C36"/>
      <c r="D36"/>
      <c r="E36"/>
      <c r="F36"/>
      <c r="G36"/>
      <c r="H36"/>
      <c r="I36"/>
      <c r="J36"/>
      <c r="K36"/>
      <c r="L36"/>
      <c r="M36"/>
      <c r="N36"/>
      <c r="O36"/>
      <c r="P36"/>
      <c r="Q36"/>
      <c r="R36"/>
      <c r="S36"/>
      <c r="T36"/>
      <c r="U36"/>
      <c r="V36"/>
      <c r="W36"/>
      <c r="X36"/>
      <c r="AC36"/>
      <c r="AD36"/>
      <c r="AE36"/>
      <c r="AF36"/>
      <c r="AH36"/>
      <c r="AI36"/>
      <c r="AJ36"/>
      <c r="AK36"/>
      <c r="AL36"/>
      <c r="AM36"/>
    </row>
    <row r="37" spans="1:41" x14ac:dyDescent="0.2">
      <c r="A37"/>
      <c r="B37"/>
      <c r="C37"/>
      <c r="D37"/>
      <c r="E37"/>
      <c r="F37"/>
      <c r="G37"/>
      <c r="H37"/>
      <c r="I37"/>
      <c r="J37"/>
      <c r="K37"/>
      <c r="L37"/>
      <c r="M37"/>
      <c r="N37"/>
      <c r="O37"/>
      <c r="P37"/>
      <c r="Q37"/>
      <c r="R37"/>
      <c r="S37"/>
      <c r="T37"/>
      <c r="U37"/>
      <c r="V37"/>
      <c r="W37"/>
      <c r="X37"/>
      <c r="AC37"/>
      <c r="AD37"/>
      <c r="AE37"/>
      <c r="AF37"/>
      <c r="AG37"/>
      <c r="AH37"/>
      <c r="AI37"/>
      <c r="AJ37"/>
      <c r="AK37"/>
      <c r="AL37"/>
      <c r="AM37"/>
    </row>
    <row r="38" spans="1:41"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1:41"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row>
    <row r="40" spans="1:41"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1:41" x14ac:dyDescent="0.2">
      <c r="A41"/>
      <c r="B41"/>
      <c r="C41"/>
      <c r="D41"/>
      <c r="E41"/>
      <c r="F41"/>
      <c r="G41"/>
      <c r="H41"/>
      <c r="I41"/>
      <c r="J41"/>
      <c r="K41"/>
      <c r="L41"/>
      <c r="M41"/>
      <c r="N41"/>
      <c r="O41"/>
      <c r="P41"/>
      <c r="Q41"/>
      <c r="R41"/>
      <c r="S41"/>
      <c r="T41"/>
      <c r="U41"/>
      <c r="V41"/>
      <c r="W41"/>
      <c r="X41"/>
      <c r="AC41"/>
      <c r="AD41"/>
      <c r="AE41"/>
      <c r="AF41"/>
      <c r="AG41"/>
      <c r="AH41"/>
      <c r="AI41"/>
      <c r="AJ41"/>
      <c r="AK41"/>
      <c r="AL41"/>
      <c r="AM41"/>
    </row>
    <row r="42" spans="1:41" x14ac:dyDescent="0.2">
      <c r="A42"/>
      <c r="B42"/>
      <c r="C42"/>
      <c r="D42"/>
      <c r="E42"/>
      <c r="F42"/>
      <c r="G42"/>
      <c r="H42"/>
      <c r="I42"/>
      <c r="J42"/>
      <c r="K42"/>
      <c r="L42"/>
      <c r="M42"/>
      <c r="N42"/>
      <c r="O42"/>
      <c r="P42"/>
      <c r="Q42"/>
      <c r="R42"/>
      <c r="S42"/>
      <c r="T42"/>
      <c r="U42"/>
      <c r="V42"/>
      <c r="W42"/>
      <c r="X42"/>
      <c r="AC42"/>
      <c r="AD42"/>
      <c r="AE42"/>
      <c r="AF42"/>
      <c r="AG42"/>
      <c r="AH42"/>
      <c r="AI42"/>
      <c r="AJ42"/>
      <c r="AK42"/>
      <c r="AL42"/>
      <c r="AM42"/>
    </row>
    <row r="43" spans="1:41"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1:41" x14ac:dyDescent="0.2">
      <c r="A44"/>
      <c r="B44"/>
      <c r="C44"/>
      <c r="D44"/>
      <c r="E44"/>
      <c r="F44"/>
      <c r="G44"/>
      <c r="H44"/>
      <c r="I44"/>
      <c r="J44"/>
      <c r="K44"/>
      <c r="L44"/>
      <c r="M44"/>
      <c r="N44"/>
      <c r="O44"/>
      <c r="P44"/>
      <c r="Q44"/>
      <c r="R44"/>
      <c r="S44"/>
      <c r="T44"/>
      <c r="U44"/>
      <c r="V44"/>
      <c r="W44"/>
      <c r="X44"/>
      <c r="AC44"/>
      <c r="AD44"/>
      <c r="AE44"/>
      <c r="AF44"/>
      <c r="AG44"/>
      <c r="AH44"/>
      <c r="AI44"/>
      <c r="AJ44"/>
      <c r="AK44"/>
      <c r="AL44"/>
      <c r="AM44"/>
    </row>
    <row r="45" spans="1:41" x14ac:dyDescent="0.2">
      <c r="A45"/>
      <c r="B45"/>
      <c r="C45"/>
      <c r="D45"/>
      <c r="E45"/>
      <c r="F45"/>
      <c r="G45"/>
      <c r="H45"/>
      <c r="I45"/>
      <c r="J45"/>
      <c r="K45"/>
      <c r="L45"/>
      <c r="M45"/>
      <c r="N45"/>
      <c r="O45"/>
      <c r="P45"/>
      <c r="Q45"/>
      <c r="R45"/>
      <c r="S45"/>
      <c r="T45"/>
      <c r="U45"/>
      <c r="V45"/>
      <c r="W45"/>
      <c r="X45"/>
      <c r="AC45"/>
      <c r="AD45"/>
      <c r="AE45"/>
      <c r="AF45"/>
      <c r="AG45"/>
      <c r="AH45"/>
      <c r="AI45"/>
      <c r="AJ45"/>
      <c r="AK45"/>
      <c r="AL45"/>
      <c r="AM45"/>
    </row>
    <row r="46" spans="1:4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1:4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1:4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1:4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1:4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1:41"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1:41"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1:41"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row>
    <row r="54" spans="1:41"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row>
    <row r="55" spans="1:41"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row>
    <row r="56" spans="1:41" x14ac:dyDescent="0.2">
      <c r="A56"/>
      <c r="B56"/>
      <c r="C56"/>
      <c r="D56"/>
      <c r="E56"/>
      <c r="G56"/>
      <c r="H56"/>
      <c r="I56"/>
      <c r="J56"/>
      <c r="K56"/>
      <c r="L56"/>
      <c r="M56"/>
      <c r="N56"/>
      <c r="O56"/>
      <c r="P56"/>
      <c r="Q56"/>
      <c r="R56"/>
      <c r="S56"/>
      <c r="T56"/>
      <c r="U56"/>
      <c r="V56"/>
      <c r="W56"/>
      <c r="X56"/>
      <c r="Y56"/>
      <c r="Z56"/>
      <c r="AA56"/>
      <c r="AB56"/>
      <c r="AC56"/>
      <c r="AD56"/>
      <c r="AE56"/>
      <c r="AF56"/>
      <c r="AG56"/>
      <c r="AH56"/>
      <c r="AI56"/>
      <c r="AJ56"/>
      <c r="AL56"/>
      <c r="AM56"/>
      <c r="AN56"/>
    </row>
    <row r="57" spans="1:41"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1:41"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
      <c r="A59"/>
      <c r="B59"/>
      <c r="C59"/>
      <c r="D59"/>
      <c r="E59"/>
      <c r="F59"/>
      <c r="G59"/>
      <c r="H59"/>
      <c r="I59"/>
      <c r="J59"/>
      <c r="K59"/>
      <c r="L59"/>
      <c r="M59"/>
      <c r="N59"/>
      <c r="O59"/>
      <c r="P59"/>
      <c r="Q59"/>
      <c r="R59"/>
      <c r="S59"/>
      <c r="T59"/>
      <c r="U59"/>
      <c r="V59"/>
      <c r="W59"/>
      <c r="X59"/>
      <c r="Y59"/>
      <c r="Z59"/>
      <c r="AA59"/>
      <c r="AB59"/>
      <c r="AC59"/>
      <c r="AD59"/>
      <c r="AE59"/>
      <c r="AF59"/>
      <c r="AG59"/>
      <c r="AI59"/>
      <c r="AJ59"/>
      <c r="AK59"/>
      <c r="AL59"/>
      <c r="AM59"/>
      <c r="AN59"/>
      <c r="AO59"/>
    </row>
    <row r="60" spans="1:4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1:4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1:4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1:4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1:4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1:4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1:4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1:4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1:4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1:4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1:4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1:40" x14ac:dyDescent="0.2">
      <c r="A71"/>
      <c r="B71"/>
      <c r="C71"/>
      <c r="D71"/>
      <c r="E71"/>
      <c r="F71"/>
      <c r="G71"/>
      <c r="H71"/>
      <c r="I71"/>
      <c r="J71"/>
      <c r="K71"/>
      <c r="L71"/>
      <c r="M71"/>
      <c r="N71"/>
      <c r="O71"/>
      <c r="P71"/>
      <c r="Q71"/>
      <c r="R71"/>
      <c r="S71"/>
      <c r="T71"/>
      <c r="U71"/>
      <c r="V71"/>
      <c r="W71"/>
      <c r="X71"/>
      <c r="AC71"/>
      <c r="AD71"/>
      <c r="AE71"/>
      <c r="AF71"/>
      <c r="AG71"/>
      <c r="AH71"/>
      <c r="AI71"/>
      <c r="AJ71"/>
      <c r="AK71"/>
      <c r="AL71"/>
      <c r="AM71"/>
    </row>
    <row r="72" spans="1:4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1:4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row>
    <row r="74" spans="1:40" x14ac:dyDescent="0.2">
      <c r="A74"/>
      <c r="B74"/>
      <c r="C74"/>
      <c r="D74"/>
      <c r="E74"/>
      <c r="F74"/>
      <c r="G74"/>
      <c r="H74"/>
      <c r="I74"/>
      <c r="J74"/>
      <c r="K74"/>
      <c r="L74"/>
      <c r="M74"/>
      <c r="N74"/>
      <c r="O74"/>
      <c r="P74"/>
      <c r="Q74"/>
      <c r="R74"/>
      <c r="S74"/>
      <c r="T74"/>
      <c r="U74"/>
      <c r="V74"/>
      <c r="W74"/>
      <c r="X74"/>
      <c r="Y74"/>
      <c r="Z74"/>
      <c r="AA74"/>
      <c r="AB74"/>
      <c r="AC74"/>
      <c r="AD74"/>
      <c r="AE74"/>
      <c r="AF74"/>
      <c r="AG74"/>
      <c r="AI74"/>
      <c r="AJ74"/>
      <c r="AK74"/>
      <c r="AL74"/>
      <c r="AM74"/>
      <c r="AN74"/>
    </row>
    <row r="75" spans="1:4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1:4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row>
    <row r="77" spans="1:4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row>
    <row r="78" spans="1:4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1:40" x14ac:dyDescent="0.2">
      <c r="A79"/>
      <c r="B79"/>
      <c r="C79"/>
      <c r="D79"/>
      <c r="E79"/>
      <c r="F79"/>
      <c r="G79"/>
      <c r="H79"/>
      <c r="I79"/>
      <c r="J79"/>
      <c r="K79"/>
      <c r="L79"/>
      <c r="M79"/>
      <c r="N79"/>
      <c r="O79"/>
      <c r="P79"/>
      <c r="Q79"/>
      <c r="R79"/>
      <c r="S79"/>
      <c r="T79"/>
      <c r="U79"/>
      <c r="V79"/>
      <c r="W79"/>
      <c r="X79"/>
      <c r="AC79"/>
      <c r="AD79"/>
      <c r="AE79"/>
      <c r="AF79"/>
      <c r="AG79"/>
      <c r="AH79"/>
      <c r="AI79"/>
      <c r="AJ79"/>
      <c r="AK79"/>
      <c r="AL79"/>
      <c r="AM79"/>
    </row>
    <row r="80" spans="1:4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1:4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1:4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1:4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1:4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1:4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1:4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1:4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1:4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1:4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4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1:4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1:4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1:4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1:40" x14ac:dyDescent="0.2">
      <c r="A94"/>
      <c r="B94"/>
      <c r="C94"/>
      <c r="D94"/>
      <c r="E94"/>
      <c r="G94"/>
      <c r="H94"/>
      <c r="I94"/>
      <c r="J94"/>
      <c r="K94"/>
      <c r="L94"/>
      <c r="M94"/>
      <c r="N94"/>
      <c r="O94"/>
      <c r="P94"/>
      <c r="Q94"/>
      <c r="R94"/>
      <c r="S94"/>
      <c r="T94"/>
      <c r="U94"/>
      <c r="V94"/>
      <c r="W94"/>
      <c r="X94"/>
      <c r="Y94"/>
      <c r="Z94"/>
      <c r="AA94"/>
      <c r="AB94"/>
      <c r="AD94"/>
      <c r="AE94"/>
      <c r="AF94"/>
      <c r="AG94"/>
      <c r="AM94"/>
    </row>
    <row r="95" spans="1:40" x14ac:dyDescent="0.2">
      <c r="A95"/>
      <c r="B95"/>
      <c r="C95"/>
      <c r="D95"/>
      <c r="E95"/>
      <c r="F95"/>
      <c r="G95"/>
      <c r="H95"/>
      <c r="I95"/>
      <c r="J95"/>
      <c r="K95"/>
      <c r="L95"/>
      <c r="M95"/>
      <c r="N95"/>
      <c r="O95"/>
      <c r="P95"/>
      <c r="Q95"/>
      <c r="R95"/>
      <c r="S95"/>
      <c r="T95"/>
      <c r="U95"/>
      <c r="V95"/>
      <c r="W95"/>
      <c r="X95"/>
      <c r="Y95"/>
      <c r="Z95"/>
      <c r="AA95"/>
      <c r="AB95"/>
      <c r="AD95"/>
      <c r="AE95"/>
      <c r="AF95"/>
      <c r="AG95"/>
      <c r="AM95"/>
    </row>
    <row r="96" spans="1:4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row>
    <row r="97" spans="1:4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row>
    <row r="99" spans="1:41" x14ac:dyDescent="0.2">
      <c r="A99"/>
      <c r="B99"/>
      <c r="C99"/>
      <c r="D99"/>
      <c r="E99"/>
      <c r="F99"/>
      <c r="G99"/>
      <c r="H99"/>
      <c r="I99"/>
      <c r="J99"/>
      <c r="K99"/>
      <c r="L99"/>
      <c r="M99"/>
      <c r="N99"/>
      <c r="O99"/>
      <c r="P99"/>
      <c r="Q99"/>
      <c r="R99"/>
      <c r="S99"/>
      <c r="T99"/>
      <c r="U99"/>
      <c r="V99"/>
      <c r="W99"/>
      <c r="X99"/>
      <c r="Y99"/>
      <c r="Z99"/>
      <c r="AA99"/>
      <c r="AB99"/>
      <c r="AC99"/>
      <c r="AD99"/>
      <c r="AE99"/>
      <c r="AF99"/>
      <c r="AG99"/>
      <c r="AI99"/>
      <c r="AJ99"/>
      <c r="AK99"/>
      <c r="AL99"/>
      <c r="AM99"/>
      <c r="AN99"/>
    </row>
    <row r="100" spans="1:4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I100"/>
      <c r="AJ100"/>
      <c r="AK100"/>
      <c r="AL100"/>
      <c r="AM100"/>
      <c r="AN100"/>
    </row>
    <row r="101" spans="1:4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1:4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1:4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1:41" x14ac:dyDescent="0.2">
      <c r="A104"/>
      <c r="B104"/>
      <c r="C104"/>
      <c r="D104"/>
      <c r="E104"/>
      <c r="F104"/>
      <c r="G104"/>
      <c r="H104"/>
      <c r="I104"/>
      <c r="J104"/>
      <c r="K104"/>
      <c r="L104"/>
      <c r="M104"/>
      <c r="N104"/>
      <c r="O104"/>
      <c r="P104"/>
      <c r="Q104"/>
      <c r="R104"/>
      <c r="S104"/>
      <c r="T104"/>
      <c r="U104"/>
      <c r="V104"/>
      <c r="W104"/>
      <c r="X104"/>
      <c r="AC104"/>
      <c r="AD104"/>
      <c r="AE104"/>
      <c r="AF104"/>
      <c r="AG104"/>
      <c r="AH104"/>
      <c r="AI104"/>
      <c r="AJ104"/>
      <c r="AK104"/>
      <c r="AL104"/>
      <c r="AM104"/>
    </row>
    <row r="105" spans="1:4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1:41" x14ac:dyDescent="0.2">
      <c r="A106"/>
      <c r="B106"/>
      <c r="C106"/>
      <c r="D106"/>
      <c r="E106"/>
      <c r="F106"/>
      <c r="G106"/>
      <c r="H106"/>
      <c r="I106"/>
      <c r="J106"/>
      <c r="K106"/>
      <c r="L106"/>
      <c r="M106"/>
      <c r="N106"/>
      <c r="O106"/>
      <c r="P106"/>
      <c r="Q106"/>
      <c r="R106"/>
      <c r="S106"/>
      <c r="T106"/>
      <c r="U106"/>
      <c r="V106"/>
      <c r="W106"/>
      <c r="X106"/>
      <c r="AC106"/>
      <c r="AD106"/>
      <c r="AE106"/>
      <c r="AF106"/>
      <c r="AG106"/>
      <c r="AH106"/>
      <c r="AI106"/>
      <c r="AJ106"/>
      <c r="AK106"/>
      <c r="AL106"/>
      <c r="AM106"/>
    </row>
    <row r="107" spans="1:4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row>
    <row r="108" spans="1:4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1:4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1:4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1:39"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1:39"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1:39"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1:39" x14ac:dyDescent="0.2">
      <c r="A116"/>
      <c r="B116"/>
      <c r="C116"/>
      <c r="D116"/>
      <c r="E116"/>
      <c r="F116"/>
      <c r="G116"/>
      <c r="H116"/>
      <c r="I116"/>
      <c r="J116"/>
      <c r="K116"/>
      <c r="L116"/>
      <c r="M116"/>
      <c r="N116"/>
      <c r="O116"/>
      <c r="P116"/>
      <c r="Q116"/>
      <c r="R116"/>
      <c r="T116"/>
      <c r="U116"/>
      <c r="V116"/>
      <c r="W116"/>
      <c r="X116"/>
      <c r="AC116"/>
      <c r="AD116"/>
      <c r="AE116"/>
      <c r="AF116"/>
      <c r="AG116"/>
      <c r="AH116"/>
      <c r="AI116"/>
      <c r="AJ116"/>
      <c r="AK116"/>
      <c r="AL116"/>
      <c r="AM116"/>
    </row>
    <row r="117" spans="1:39" x14ac:dyDescent="0.2">
      <c r="A117"/>
      <c r="B117"/>
      <c r="C117"/>
      <c r="D117"/>
      <c r="E117"/>
      <c r="F117"/>
      <c r="G117"/>
      <c r="H117"/>
      <c r="I117"/>
      <c r="J117"/>
      <c r="K117"/>
      <c r="L117"/>
      <c r="M117"/>
      <c r="N117"/>
      <c r="O117"/>
      <c r="P117"/>
      <c r="Q117"/>
      <c r="R117"/>
      <c r="T117"/>
      <c r="U117"/>
      <c r="V117"/>
      <c r="W117"/>
      <c r="X117"/>
      <c r="AC117"/>
      <c r="AD117"/>
      <c r="AE117"/>
      <c r="AF117"/>
      <c r="AG117"/>
      <c r="AH117"/>
      <c r="AI117"/>
      <c r="AJ117"/>
      <c r="AK117"/>
      <c r="AL117"/>
      <c r="AM117"/>
    </row>
    <row r="118" spans="1:39" x14ac:dyDescent="0.2">
      <c r="A118"/>
      <c r="B118"/>
      <c r="C118"/>
      <c r="D118"/>
      <c r="E118"/>
      <c r="F118"/>
      <c r="G118"/>
      <c r="H118"/>
      <c r="I118"/>
      <c r="J118"/>
      <c r="K118"/>
      <c r="L118"/>
      <c r="M118"/>
      <c r="N118"/>
      <c r="O118"/>
      <c r="P118"/>
      <c r="Q118"/>
      <c r="R118"/>
      <c r="T118"/>
      <c r="U118"/>
      <c r="V118"/>
      <c r="W118"/>
      <c r="X118"/>
      <c r="AC118"/>
      <c r="AD118"/>
      <c r="AE118"/>
      <c r="AF118"/>
      <c r="AG118"/>
      <c r="AH118"/>
      <c r="AI118"/>
      <c r="AJ118"/>
      <c r="AK118"/>
      <c r="AL118"/>
      <c r="AM118"/>
    </row>
    <row r="119" spans="1:39" x14ac:dyDescent="0.2">
      <c r="A119"/>
      <c r="B119"/>
      <c r="C119"/>
      <c r="D119"/>
      <c r="E119"/>
      <c r="F119"/>
      <c r="G119"/>
      <c r="H119"/>
      <c r="I119"/>
      <c r="J119"/>
      <c r="K119"/>
      <c r="L119"/>
      <c r="M119"/>
      <c r="N119"/>
      <c r="O119"/>
      <c r="P119"/>
      <c r="Q119"/>
      <c r="R119"/>
      <c r="S119"/>
      <c r="T119"/>
      <c r="U119"/>
      <c r="V119"/>
      <c r="W119"/>
      <c r="X119"/>
      <c r="AC119"/>
      <c r="AD119"/>
      <c r="AE119"/>
      <c r="AF119"/>
      <c r="AG119"/>
      <c r="AH119"/>
      <c r="AI119"/>
      <c r="AJ119"/>
      <c r="AK119"/>
      <c r="AL119"/>
      <c r="AM119"/>
    </row>
    <row r="120" spans="1:39"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1:39" x14ac:dyDescent="0.2">
      <c r="A121"/>
      <c r="B121"/>
      <c r="C121"/>
      <c r="D121"/>
      <c r="E121"/>
      <c r="F121"/>
      <c r="G121"/>
      <c r="H121"/>
      <c r="I121"/>
      <c r="J121"/>
      <c r="K121"/>
      <c r="L121"/>
      <c r="M121"/>
      <c r="N121"/>
      <c r="O121"/>
      <c r="P121"/>
      <c r="Q121"/>
      <c r="R121"/>
      <c r="S121"/>
      <c r="T121"/>
      <c r="U121"/>
      <c r="V121"/>
      <c r="X121"/>
      <c r="AC121"/>
      <c r="AD121"/>
      <c r="AE121"/>
      <c r="AF121"/>
      <c r="AG121"/>
      <c r="AH121"/>
      <c r="AI121"/>
      <c r="AJ121"/>
      <c r="AK121"/>
      <c r="AL121"/>
      <c r="AM121"/>
    </row>
    <row r="122" spans="1:39"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row>
    <row r="123" spans="1:39" x14ac:dyDescent="0.2">
      <c r="A123"/>
      <c r="B123"/>
      <c r="C123"/>
      <c r="D123"/>
      <c r="E123"/>
      <c r="F123"/>
      <c r="G123"/>
      <c r="H123"/>
      <c r="I123"/>
      <c r="J123"/>
      <c r="K123"/>
      <c r="L123"/>
      <c r="M123"/>
      <c r="N123"/>
      <c r="O123"/>
      <c r="P123"/>
      <c r="Q123"/>
      <c r="R123"/>
      <c r="T123"/>
      <c r="U123"/>
      <c r="V123"/>
      <c r="W123"/>
      <c r="X123"/>
      <c r="AC123"/>
      <c r="AD123"/>
      <c r="AE123"/>
      <c r="AF123"/>
      <c r="AG123"/>
      <c r="AH123"/>
      <c r="AI123"/>
      <c r="AJ123"/>
      <c r="AK123"/>
      <c r="AL123"/>
      <c r="AM123"/>
    </row>
    <row r="124" spans="1:39" x14ac:dyDescent="0.2">
      <c r="A124"/>
      <c r="B124"/>
      <c r="C124"/>
      <c r="D124"/>
      <c r="E124"/>
      <c r="F124"/>
      <c r="G124"/>
      <c r="H124"/>
      <c r="I124"/>
      <c r="J124"/>
      <c r="K124"/>
      <c r="L124"/>
      <c r="M124"/>
      <c r="N124"/>
      <c r="O124"/>
      <c r="P124"/>
      <c r="Q124"/>
      <c r="R124"/>
      <c r="T124"/>
      <c r="U124"/>
      <c r="V124"/>
      <c r="W124"/>
      <c r="X124"/>
      <c r="AC124"/>
      <c r="AD124"/>
      <c r="AE124"/>
      <c r="AF124"/>
      <c r="AG124"/>
      <c r="AH124"/>
      <c r="AI124"/>
      <c r="AJ124"/>
      <c r="AK124"/>
      <c r="AL124"/>
      <c r="AM124"/>
    </row>
    <row r="125" spans="1:39" x14ac:dyDescent="0.2">
      <c r="A125"/>
      <c r="B125"/>
      <c r="C125"/>
      <c r="D125"/>
      <c r="E125"/>
      <c r="F125"/>
      <c r="G125"/>
      <c r="H125"/>
      <c r="I125"/>
      <c r="J125"/>
      <c r="K125"/>
      <c r="L125"/>
      <c r="M125"/>
      <c r="N125"/>
      <c r="O125"/>
      <c r="P125"/>
      <c r="Q125"/>
      <c r="R125"/>
      <c r="S125"/>
      <c r="U125"/>
      <c r="V125"/>
      <c r="W125"/>
      <c r="X125"/>
      <c r="Y125"/>
      <c r="Z125"/>
      <c r="AA125"/>
      <c r="AB125"/>
      <c r="AC125"/>
      <c r="AD125"/>
      <c r="AE125"/>
      <c r="AF125"/>
      <c r="AG125"/>
      <c r="AH125"/>
      <c r="AI125"/>
      <c r="AJ125"/>
      <c r="AK125"/>
      <c r="AL125"/>
      <c r="AM125"/>
    </row>
    <row r="126" spans="1:39"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row>
    <row r="127" spans="1:39" x14ac:dyDescent="0.2">
      <c r="A127"/>
      <c r="B127"/>
      <c r="C127"/>
      <c r="D127"/>
      <c r="E127"/>
      <c r="F127"/>
      <c r="G127"/>
      <c r="H127"/>
      <c r="I127"/>
      <c r="J127"/>
      <c r="K127"/>
      <c r="L127"/>
      <c r="M127"/>
      <c r="N127"/>
      <c r="O127"/>
      <c r="P127"/>
      <c r="Q127"/>
      <c r="R127"/>
      <c r="S127"/>
      <c r="U127"/>
      <c r="V127"/>
      <c r="W127"/>
      <c r="X127"/>
      <c r="AC127"/>
      <c r="AD127"/>
      <c r="AE127"/>
      <c r="AF127"/>
      <c r="AG127"/>
      <c r="AH127"/>
      <c r="AI127"/>
      <c r="AJ127"/>
      <c r="AK127"/>
      <c r="AL127"/>
      <c r="AM127"/>
    </row>
    <row r="128" spans="1:39" x14ac:dyDescent="0.2">
      <c r="A128"/>
      <c r="B128"/>
      <c r="C128"/>
      <c r="D128"/>
      <c r="E128"/>
      <c r="F128"/>
      <c r="G128"/>
      <c r="H128"/>
      <c r="I128"/>
      <c r="J128"/>
      <c r="K128"/>
      <c r="L128"/>
      <c r="M128"/>
      <c r="N128"/>
      <c r="O128"/>
      <c r="P128"/>
      <c r="Q128"/>
      <c r="R128"/>
      <c r="S128"/>
      <c r="U128"/>
      <c r="V128"/>
      <c r="W128"/>
      <c r="X128"/>
      <c r="Y128"/>
      <c r="Z128"/>
      <c r="AA128"/>
      <c r="AB128"/>
      <c r="AC128"/>
      <c r="AD128"/>
      <c r="AE128"/>
      <c r="AF128"/>
      <c r="AG128"/>
      <c r="AH128"/>
      <c r="AI128"/>
      <c r="AJ128"/>
      <c r="AK128"/>
      <c r="AL128"/>
      <c r="AM128"/>
    </row>
    <row r="129" spans="1:39" x14ac:dyDescent="0.2">
      <c r="A129"/>
      <c r="B129"/>
      <c r="C129"/>
      <c r="D129"/>
      <c r="E129"/>
      <c r="F129"/>
      <c r="G129"/>
      <c r="H129"/>
      <c r="I129"/>
      <c r="J129"/>
      <c r="K129"/>
      <c r="L129"/>
      <c r="M129"/>
      <c r="N129"/>
      <c r="O129"/>
      <c r="P129"/>
      <c r="Q129"/>
      <c r="R129"/>
      <c r="S129"/>
      <c r="U129"/>
      <c r="V129"/>
      <c r="W129"/>
      <c r="X129"/>
      <c r="Y129"/>
      <c r="Z129"/>
      <c r="AA129"/>
      <c r="AB129"/>
      <c r="AC129"/>
      <c r="AD129"/>
      <c r="AE129"/>
      <c r="AF129"/>
      <c r="AG129"/>
      <c r="AH129"/>
      <c r="AI129"/>
      <c r="AJ129"/>
      <c r="AK129"/>
      <c r="AL129"/>
      <c r="AM129"/>
    </row>
    <row r="130" spans="1:39" x14ac:dyDescent="0.2">
      <c r="A130"/>
      <c r="B130"/>
      <c r="C130"/>
      <c r="D130"/>
      <c r="E130"/>
      <c r="F130"/>
      <c r="G130"/>
      <c r="H130"/>
      <c r="I130"/>
      <c r="J130"/>
      <c r="K130"/>
      <c r="L130"/>
      <c r="M130"/>
      <c r="N130"/>
      <c r="O130"/>
      <c r="P130"/>
      <c r="Q130"/>
      <c r="R130"/>
      <c r="S130"/>
      <c r="U130"/>
      <c r="V130"/>
      <c r="W130"/>
      <c r="X130"/>
      <c r="Y130"/>
      <c r="Z130"/>
      <c r="AA130"/>
      <c r="AB130"/>
      <c r="AC130"/>
      <c r="AD130"/>
      <c r="AE130"/>
      <c r="AF130"/>
      <c r="AG130"/>
      <c r="AH130"/>
      <c r="AI130"/>
      <c r="AJ130"/>
      <c r="AK130"/>
      <c r="AL130"/>
      <c r="AM130"/>
    </row>
    <row r="131" spans="1:39"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row>
    <row r="132" spans="1:39"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row>
    <row r="133" spans="1:39" x14ac:dyDescent="0.2">
      <c r="A133"/>
      <c r="B133"/>
      <c r="C133"/>
      <c r="D133"/>
      <c r="E133"/>
      <c r="F133"/>
      <c r="G133"/>
      <c r="H133"/>
      <c r="I133"/>
      <c r="J133"/>
      <c r="K133"/>
      <c r="L133"/>
      <c r="M133"/>
      <c r="N133"/>
      <c r="O133"/>
      <c r="P133"/>
      <c r="Q133"/>
      <c r="R133"/>
      <c r="T133"/>
      <c r="U133"/>
      <c r="V133"/>
      <c r="W133"/>
      <c r="X133"/>
      <c r="AC133"/>
      <c r="AD133"/>
      <c r="AE133"/>
      <c r="AF133"/>
      <c r="AG133"/>
      <c r="AH133"/>
      <c r="AI133"/>
      <c r="AJ133"/>
      <c r="AK133"/>
      <c r="AL133"/>
      <c r="AM133"/>
    </row>
    <row r="134" spans="1:39" x14ac:dyDescent="0.2">
      <c r="A134"/>
      <c r="B134"/>
      <c r="C134"/>
      <c r="D134"/>
      <c r="E134"/>
      <c r="F134"/>
      <c r="G134"/>
      <c r="H134"/>
      <c r="I134"/>
      <c r="J134"/>
      <c r="K134"/>
      <c r="L134"/>
      <c r="M134"/>
      <c r="N134"/>
      <c r="O134"/>
      <c r="P134"/>
      <c r="Q134"/>
      <c r="R134"/>
      <c r="S134"/>
      <c r="T134"/>
      <c r="U134"/>
      <c r="V134"/>
      <c r="W134"/>
      <c r="X134"/>
      <c r="AC134"/>
      <c r="AD134"/>
      <c r="AE134"/>
      <c r="AF134"/>
      <c r="AG134"/>
      <c r="AH134"/>
      <c r="AJ134"/>
      <c r="AK134"/>
      <c r="AL134"/>
      <c r="AM134"/>
    </row>
    <row r="135" spans="1:39" x14ac:dyDescent="0.2">
      <c r="A135"/>
      <c r="B135"/>
      <c r="C135"/>
      <c r="D135"/>
      <c r="E135"/>
      <c r="F135"/>
      <c r="G135"/>
      <c r="H135"/>
      <c r="I135"/>
      <c r="J135"/>
      <c r="K135"/>
      <c r="L135"/>
      <c r="M135"/>
      <c r="N135"/>
      <c r="O135"/>
      <c r="P135"/>
      <c r="Q135"/>
      <c r="R135"/>
      <c r="S135"/>
      <c r="T135"/>
      <c r="U135"/>
      <c r="V135"/>
      <c r="W135"/>
      <c r="X135"/>
      <c r="AC135"/>
      <c r="AD135"/>
      <c r="AE135"/>
      <c r="AF135"/>
      <c r="AG135"/>
      <c r="AH135"/>
      <c r="AI135"/>
      <c r="AJ135"/>
      <c r="AK135"/>
      <c r="AL135"/>
      <c r="AM135"/>
    </row>
    <row r="136" spans="1:39" x14ac:dyDescent="0.2">
      <c r="A136"/>
      <c r="B136"/>
      <c r="C136"/>
      <c r="D136"/>
      <c r="E136"/>
      <c r="F136"/>
      <c r="G136"/>
      <c r="H136"/>
      <c r="I136"/>
      <c r="J136"/>
      <c r="K136"/>
      <c r="L136"/>
      <c r="M136"/>
      <c r="N136"/>
      <c r="O136"/>
      <c r="P136"/>
      <c r="Q136"/>
      <c r="R136"/>
      <c r="S136"/>
      <c r="T136"/>
      <c r="U136"/>
      <c r="V136"/>
      <c r="W136"/>
      <c r="X136"/>
      <c r="AC136"/>
      <c r="AD136"/>
      <c r="AE136"/>
      <c r="AF136"/>
      <c r="AG136"/>
      <c r="AH136"/>
      <c r="AI136"/>
      <c r="AJ136"/>
      <c r="AK136"/>
      <c r="AL136"/>
      <c r="AM136"/>
    </row>
    <row r="137" spans="1:39" x14ac:dyDescent="0.2">
      <c r="A137"/>
      <c r="B137"/>
      <c r="C137"/>
      <c r="D137"/>
      <c r="E137"/>
      <c r="F137"/>
      <c r="G137"/>
      <c r="H137"/>
      <c r="I137"/>
      <c r="J137"/>
      <c r="K137"/>
      <c r="L137"/>
      <c r="M137"/>
      <c r="N137"/>
      <c r="O137"/>
      <c r="P137"/>
      <c r="Q137"/>
      <c r="R137"/>
      <c r="S137"/>
      <c r="T137"/>
      <c r="U137"/>
      <c r="V137"/>
      <c r="W137"/>
      <c r="X137"/>
      <c r="AC137"/>
      <c r="AD137"/>
      <c r="AE137"/>
      <c r="AF137"/>
      <c r="AG137"/>
      <c r="AH137"/>
      <c r="AI137"/>
      <c r="AJ137"/>
      <c r="AK137"/>
      <c r="AL137"/>
      <c r="AM137"/>
    </row>
    <row r="138" spans="1:39" x14ac:dyDescent="0.2">
      <c r="A138"/>
      <c r="B138"/>
      <c r="C138"/>
      <c r="D138"/>
      <c r="E138"/>
      <c r="F138"/>
      <c r="G138"/>
      <c r="H138"/>
      <c r="I138"/>
      <c r="J138"/>
      <c r="K138"/>
      <c r="L138"/>
      <c r="M138"/>
      <c r="N138"/>
      <c r="O138"/>
      <c r="P138"/>
      <c r="Q138"/>
      <c r="R138"/>
      <c r="S138"/>
      <c r="T138"/>
      <c r="U138"/>
      <c r="V138"/>
      <c r="W138"/>
      <c r="X138"/>
      <c r="AC138"/>
      <c r="AD138"/>
      <c r="AE138"/>
      <c r="AF138"/>
      <c r="AG138"/>
      <c r="AH138"/>
      <c r="AI138"/>
      <c r="AJ138"/>
      <c r="AK138"/>
      <c r="AL138"/>
      <c r="AM138"/>
    </row>
    <row r="139" spans="1:39" x14ac:dyDescent="0.2">
      <c r="A139"/>
      <c r="B139"/>
      <c r="C139"/>
      <c r="D139"/>
      <c r="E139"/>
      <c r="F139"/>
      <c r="G139"/>
      <c r="H139"/>
      <c r="I139"/>
      <c r="J139"/>
      <c r="K139"/>
      <c r="L139"/>
      <c r="M139"/>
      <c r="N139"/>
      <c r="O139"/>
      <c r="P139"/>
      <c r="Q139"/>
      <c r="R139"/>
      <c r="S139"/>
      <c r="T139"/>
      <c r="U139"/>
      <c r="V139"/>
      <c r="W139"/>
      <c r="X139"/>
      <c r="AC139"/>
      <c r="AD139"/>
      <c r="AE139"/>
      <c r="AF139"/>
      <c r="AG139"/>
      <c r="AH139"/>
      <c r="AI139"/>
      <c r="AJ139"/>
      <c r="AK139"/>
      <c r="AL139"/>
      <c r="AM139"/>
    </row>
    <row r="140" spans="1:39" x14ac:dyDescent="0.2">
      <c r="A140"/>
      <c r="B140"/>
      <c r="C140"/>
      <c r="D140"/>
      <c r="E140"/>
      <c r="F140"/>
      <c r="G140"/>
      <c r="H140"/>
      <c r="I140"/>
      <c r="J140"/>
      <c r="K140"/>
      <c r="L140"/>
      <c r="M140"/>
      <c r="N140"/>
      <c r="O140"/>
      <c r="P140"/>
      <c r="Q140"/>
      <c r="R140"/>
      <c r="S140"/>
      <c r="T140"/>
      <c r="U140"/>
      <c r="V140"/>
      <c r="W140"/>
      <c r="X140"/>
      <c r="AC140"/>
      <c r="AD140"/>
      <c r="AE140"/>
      <c r="AF140"/>
      <c r="AG140"/>
      <c r="AH140"/>
      <c r="AI140"/>
      <c r="AJ140"/>
      <c r="AK140"/>
      <c r="AL140"/>
      <c r="AM140"/>
    </row>
    <row r="141" spans="1:39" x14ac:dyDescent="0.2">
      <c r="A141"/>
      <c r="B141"/>
      <c r="C141"/>
      <c r="D141"/>
      <c r="E141"/>
      <c r="F141"/>
      <c r="G141"/>
      <c r="H141"/>
      <c r="I141"/>
      <c r="J141"/>
      <c r="K141"/>
      <c r="L141"/>
      <c r="M141"/>
      <c r="N141"/>
      <c r="O141"/>
      <c r="P141"/>
      <c r="Q141"/>
      <c r="R141"/>
      <c r="S141"/>
      <c r="T141"/>
      <c r="U141"/>
      <c r="V141"/>
      <c r="W141"/>
      <c r="X141"/>
      <c r="AC141"/>
      <c r="AD141"/>
      <c r="AE141"/>
      <c r="AF141"/>
      <c r="AG141"/>
      <c r="AH141"/>
      <c r="AI141"/>
      <c r="AJ141"/>
      <c r="AK141"/>
      <c r="AL141"/>
      <c r="AM141"/>
    </row>
    <row r="142" spans="1:39"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row>
    <row r="143" spans="1:39" x14ac:dyDescent="0.2">
      <c r="A143"/>
      <c r="B143"/>
      <c r="C143"/>
      <c r="D143"/>
      <c r="E143"/>
      <c r="F143"/>
      <c r="G143"/>
      <c r="H143"/>
      <c r="I143"/>
      <c r="J143"/>
      <c r="K143"/>
      <c r="L143"/>
      <c r="M143"/>
      <c r="N143"/>
      <c r="O143"/>
      <c r="P143"/>
      <c r="Q143"/>
      <c r="R143"/>
      <c r="S143"/>
      <c r="T143"/>
      <c r="U143"/>
      <c r="V143"/>
      <c r="W143"/>
      <c r="X143"/>
      <c r="AC143"/>
      <c r="AD143"/>
      <c r="AE143"/>
      <c r="AF143"/>
      <c r="AG143"/>
      <c r="AH143"/>
      <c r="AI143"/>
      <c r="AJ143"/>
      <c r="AK143"/>
      <c r="AL143"/>
      <c r="AM143"/>
    </row>
    <row r="144" spans="1:39" x14ac:dyDescent="0.2">
      <c r="A144"/>
      <c r="B144"/>
      <c r="C144"/>
      <c r="D144"/>
      <c r="E144"/>
      <c r="F144"/>
      <c r="G144"/>
      <c r="H144"/>
      <c r="I144"/>
      <c r="J144"/>
      <c r="K144"/>
      <c r="L144"/>
      <c r="M144"/>
      <c r="N144"/>
      <c r="O144"/>
      <c r="P144"/>
      <c r="Q144"/>
      <c r="R144"/>
      <c r="S144"/>
      <c r="T144"/>
      <c r="U144"/>
      <c r="V144"/>
      <c r="W144"/>
      <c r="X144"/>
      <c r="AC144"/>
      <c r="AD144"/>
      <c r="AE144"/>
      <c r="AF144"/>
      <c r="AG144"/>
      <c r="AH144"/>
      <c r="AI144"/>
      <c r="AJ144"/>
      <c r="AK144"/>
      <c r="AL144"/>
      <c r="AM144"/>
    </row>
    <row r="145" spans="1:39" x14ac:dyDescent="0.2">
      <c r="A145"/>
      <c r="B145"/>
      <c r="C145"/>
      <c r="D145"/>
      <c r="E145"/>
      <c r="F145"/>
      <c r="G145"/>
      <c r="H145"/>
      <c r="I145"/>
      <c r="J145"/>
      <c r="K145"/>
      <c r="L145"/>
      <c r="M145"/>
      <c r="N145"/>
      <c r="O145"/>
      <c r="P145"/>
      <c r="Q145"/>
      <c r="R145"/>
      <c r="S145"/>
      <c r="T145"/>
      <c r="U145"/>
      <c r="V145"/>
      <c r="W145"/>
      <c r="X145"/>
      <c r="AC145"/>
      <c r="AD145"/>
      <c r="AE145"/>
      <c r="AF145"/>
      <c r="AG145"/>
      <c r="AH145"/>
      <c r="AI145"/>
      <c r="AJ145"/>
      <c r="AK145"/>
      <c r="AL145"/>
      <c r="AM145"/>
    </row>
    <row r="146" spans="1:39" x14ac:dyDescent="0.2">
      <c r="A146"/>
      <c r="B146"/>
      <c r="C146"/>
      <c r="D146"/>
      <c r="E146"/>
      <c r="F146"/>
      <c r="G146"/>
      <c r="H146"/>
      <c r="I146"/>
      <c r="J146"/>
      <c r="K146"/>
      <c r="L146"/>
      <c r="M146"/>
      <c r="N146"/>
      <c r="O146"/>
      <c r="P146"/>
      <c r="Q146"/>
      <c r="R146"/>
      <c r="S146"/>
      <c r="T146"/>
      <c r="U146"/>
      <c r="V146"/>
      <c r="W146"/>
      <c r="X146"/>
      <c r="AC146"/>
      <c r="AD146"/>
      <c r="AE146"/>
      <c r="AF146"/>
      <c r="AG146"/>
      <c r="AH146"/>
      <c r="AI146"/>
      <c r="AJ146"/>
      <c r="AK146"/>
      <c r="AL146"/>
      <c r="AM146"/>
    </row>
    <row r="147" spans="1:39" x14ac:dyDescent="0.2">
      <c r="A147"/>
      <c r="B147"/>
      <c r="C147"/>
      <c r="D147"/>
      <c r="E147"/>
      <c r="F147"/>
      <c r="G147"/>
      <c r="H147"/>
      <c r="I147"/>
      <c r="J147"/>
      <c r="K147"/>
      <c r="L147"/>
      <c r="M147"/>
      <c r="N147"/>
      <c r="O147"/>
      <c r="P147"/>
      <c r="Q147"/>
      <c r="R147"/>
      <c r="S147"/>
      <c r="T147"/>
      <c r="U147"/>
      <c r="V147"/>
      <c r="W147"/>
      <c r="X147"/>
      <c r="AC147"/>
      <c r="AD147"/>
      <c r="AE147"/>
      <c r="AF147"/>
      <c r="AG147"/>
      <c r="AH147"/>
      <c r="AI147"/>
      <c r="AJ147"/>
      <c r="AK147"/>
      <c r="AL147"/>
      <c r="AM147"/>
    </row>
    <row r="148" spans="1:39" x14ac:dyDescent="0.2">
      <c r="A148"/>
      <c r="B148"/>
      <c r="C148"/>
      <c r="D148"/>
      <c r="E148"/>
      <c r="F148"/>
      <c r="G148"/>
      <c r="H148"/>
      <c r="I148"/>
      <c r="J148"/>
      <c r="K148"/>
      <c r="L148"/>
      <c r="M148"/>
      <c r="N148"/>
      <c r="O148"/>
      <c r="P148"/>
      <c r="Q148"/>
      <c r="R148"/>
      <c r="S148"/>
      <c r="T148"/>
      <c r="U148"/>
      <c r="V148"/>
      <c r="W148"/>
      <c r="X148"/>
      <c r="AC148"/>
      <c r="AD148"/>
      <c r="AE148"/>
      <c r="AF148"/>
      <c r="AM148"/>
    </row>
    <row r="149" spans="1:39"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row>
    <row r="150" spans="1:39"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row>
    <row r="151" spans="1:39" x14ac:dyDescent="0.2">
      <c r="A151"/>
      <c r="B151"/>
      <c r="C151"/>
      <c r="D151"/>
      <c r="E151"/>
      <c r="F151"/>
      <c r="G151"/>
      <c r="H151"/>
      <c r="I151"/>
      <c r="J151"/>
      <c r="K151"/>
      <c r="L151"/>
      <c r="M151"/>
      <c r="N151"/>
      <c r="O151"/>
      <c r="P151"/>
      <c r="Q151"/>
      <c r="R151"/>
      <c r="S151"/>
      <c r="T151"/>
      <c r="U151"/>
      <c r="V151"/>
      <c r="W151"/>
      <c r="X151"/>
      <c r="AC151"/>
      <c r="AD151"/>
      <c r="AE151"/>
      <c r="AF151"/>
      <c r="AG151"/>
      <c r="AH151"/>
      <c r="AI151"/>
      <c r="AJ151"/>
      <c r="AK151"/>
      <c r="AL151"/>
      <c r="AM151"/>
    </row>
    <row r="152" spans="1:39" x14ac:dyDescent="0.2">
      <c r="A152"/>
      <c r="B152"/>
      <c r="C152"/>
      <c r="D152"/>
      <c r="E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1:39"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row>
    <row r="154" spans="1:39" x14ac:dyDescent="0.2">
      <c r="A154"/>
      <c r="B154"/>
      <c r="C154"/>
      <c r="D154"/>
      <c r="E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1:39"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1:39"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1:39"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1:39"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1:39"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1:39"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1:41" x14ac:dyDescent="0.2">
      <c r="A161"/>
      <c r="B161"/>
      <c r="C161"/>
      <c r="D161"/>
      <c r="E161"/>
      <c r="F161"/>
      <c r="G161"/>
      <c r="H161"/>
      <c r="I161"/>
      <c r="J161"/>
      <c r="K161"/>
      <c r="L161"/>
      <c r="M161"/>
      <c r="N161"/>
      <c r="O161"/>
      <c r="P161"/>
      <c r="Q161"/>
      <c r="R161"/>
      <c r="S161"/>
      <c r="T161"/>
      <c r="Y161"/>
      <c r="Z161"/>
      <c r="AA161"/>
      <c r="AB161"/>
      <c r="AC161"/>
      <c r="AD161"/>
      <c r="AE161"/>
      <c r="AF161"/>
      <c r="AG161"/>
      <c r="AH161"/>
      <c r="AI161"/>
      <c r="AJ161"/>
      <c r="AK161"/>
      <c r="AL161"/>
      <c r="AM161"/>
    </row>
    <row r="162" spans="1:41" x14ac:dyDescent="0.2">
      <c r="A162"/>
      <c r="B162"/>
      <c r="C162"/>
      <c r="D162"/>
      <c r="E162"/>
      <c r="F162"/>
      <c r="G162"/>
      <c r="H162"/>
      <c r="I162"/>
      <c r="J162"/>
      <c r="K162"/>
      <c r="L162"/>
      <c r="M162"/>
      <c r="N162"/>
      <c r="O162"/>
      <c r="P162"/>
      <c r="Q162"/>
      <c r="R162"/>
      <c r="S162"/>
      <c r="T162"/>
      <c r="Y162"/>
      <c r="Z162"/>
      <c r="AA162"/>
      <c r="AB162"/>
      <c r="AC162"/>
      <c r="AD162"/>
      <c r="AE162"/>
      <c r="AF162"/>
      <c r="AG162"/>
      <c r="AH162"/>
      <c r="AI162"/>
      <c r="AJ162"/>
      <c r="AK162"/>
      <c r="AL162"/>
      <c r="AM162"/>
    </row>
    <row r="163" spans="1:41" x14ac:dyDescent="0.2">
      <c r="A163"/>
      <c r="B163"/>
      <c r="C163"/>
      <c r="D163"/>
      <c r="E163"/>
      <c r="F163"/>
      <c r="G163"/>
      <c r="H163"/>
      <c r="I163"/>
      <c r="J163"/>
      <c r="K163"/>
      <c r="L163"/>
      <c r="M163"/>
      <c r="N163"/>
      <c r="O163"/>
      <c r="P163"/>
      <c r="Q163"/>
      <c r="R163"/>
      <c r="S163"/>
      <c r="T163"/>
      <c r="U163"/>
      <c r="V163"/>
      <c r="W163"/>
      <c r="X163"/>
      <c r="AC163"/>
      <c r="AD163"/>
      <c r="AE163"/>
      <c r="AF163"/>
      <c r="AG163"/>
      <c r="AH163"/>
      <c r="AI163"/>
      <c r="AJ163"/>
      <c r="AK163"/>
      <c r="AL163"/>
      <c r="AM163"/>
    </row>
    <row r="164" spans="1:41" x14ac:dyDescent="0.2">
      <c r="A164"/>
      <c r="B164"/>
      <c r="C164"/>
      <c r="D164"/>
      <c r="E164"/>
      <c r="F164"/>
      <c r="G164"/>
      <c r="H164"/>
      <c r="I164"/>
      <c r="J164"/>
      <c r="K164"/>
      <c r="L164"/>
      <c r="M164"/>
      <c r="N164"/>
      <c r="O164"/>
      <c r="P164"/>
      <c r="Q164"/>
      <c r="R164"/>
      <c r="S164"/>
      <c r="T164"/>
      <c r="U164"/>
      <c r="V164"/>
      <c r="W164"/>
      <c r="X164"/>
      <c r="AC164"/>
      <c r="AD164"/>
      <c r="AE164"/>
      <c r="AF164"/>
      <c r="AG164"/>
      <c r="AH164"/>
      <c r="AI164"/>
      <c r="AJ164"/>
      <c r="AK164"/>
      <c r="AL164"/>
      <c r="AM164"/>
    </row>
    <row r="165" spans="1:41"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row>
    <row r="166" spans="1:41"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I166"/>
      <c r="AJ166"/>
      <c r="AK166"/>
      <c r="AL166"/>
      <c r="AM166"/>
    </row>
    <row r="167" spans="1:41" x14ac:dyDescent="0.2">
      <c r="A167"/>
      <c r="B167"/>
      <c r="C167"/>
      <c r="D167"/>
      <c r="E167"/>
      <c r="F167"/>
      <c r="G167"/>
      <c r="H167"/>
      <c r="I167"/>
      <c r="J167"/>
      <c r="K167"/>
      <c r="L167"/>
      <c r="M167"/>
      <c r="N167"/>
      <c r="O167"/>
      <c r="P167"/>
      <c r="Q167"/>
      <c r="R167"/>
      <c r="S167"/>
      <c r="T167"/>
      <c r="U167"/>
      <c r="V167"/>
      <c r="W167"/>
      <c r="X167"/>
      <c r="AC167"/>
      <c r="AD167"/>
      <c r="AE167"/>
      <c r="AF167"/>
      <c r="AG167"/>
      <c r="AH167"/>
      <c r="AI167"/>
      <c r="AJ167"/>
      <c r="AK167"/>
      <c r="AL167"/>
      <c r="AM167"/>
    </row>
    <row r="168" spans="1:41" x14ac:dyDescent="0.2">
      <c r="A168"/>
      <c r="B168"/>
      <c r="C168"/>
      <c r="D168"/>
      <c r="E168"/>
      <c r="F168"/>
      <c r="G168"/>
      <c r="H168"/>
      <c r="I168"/>
      <c r="J168"/>
      <c r="K168"/>
      <c r="L168"/>
      <c r="M168"/>
      <c r="N168"/>
      <c r="O168"/>
      <c r="P168"/>
      <c r="Q168"/>
      <c r="R168"/>
      <c r="S168"/>
      <c r="T168"/>
      <c r="U168"/>
      <c r="V168"/>
      <c r="W168"/>
      <c r="X168"/>
      <c r="AC168"/>
      <c r="AD168"/>
      <c r="AE168"/>
      <c r="AF168"/>
      <c r="AG168"/>
      <c r="AH168"/>
      <c r="AI168"/>
      <c r="AJ168"/>
      <c r="AK168"/>
      <c r="AL168"/>
      <c r="AM168"/>
    </row>
    <row r="169" spans="1:41" x14ac:dyDescent="0.2">
      <c r="A169"/>
      <c r="B169"/>
      <c r="C169"/>
      <c r="D169"/>
      <c r="E169"/>
      <c r="F169"/>
      <c r="G169"/>
      <c r="H169"/>
      <c r="I169"/>
      <c r="J169"/>
      <c r="K169"/>
      <c r="L169"/>
      <c r="M169"/>
      <c r="N169"/>
      <c r="O169"/>
      <c r="P169"/>
      <c r="Q169"/>
      <c r="R169"/>
      <c r="S169"/>
      <c r="T169"/>
      <c r="U169"/>
      <c r="V169"/>
      <c r="W169"/>
      <c r="X169"/>
      <c r="AC169"/>
      <c r="AD169"/>
      <c r="AE169"/>
      <c r="AF169"/>
      <c r="AL169"/>
      <c r="AM169"/>
    </row>
    <row r="170" spans="1:41"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row>
    <row r="171" spans="1:41"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row>
    <row r="172" spans="1:41"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row>
    <row r="173" spans="1:41"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row>
    <row r="174" spans="1:41"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row>
    <row r="175" spans="1:41"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row>
    <row r="176" spans="1:41"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row>
    <row r="177" spans="1:40"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row>
    <row r="178" spans="1:40"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row>
    <row r="179" spans="1:40" x14ac:dyDescent="0.2">
      <c r="A179"/>
      <c r="B179"/>
      <c r="C179"/>
      <c r="D179"/>
      <c r="E179"/>
      <c r="F179"/>
      <c r="G179"/>
      <c r="H179"/>
      <c r="I179"/>
      <c r="J179"/>
      <c r="K179"/>
      <c r="L179"/>
      <c r="M179"/>
      <c r="N179"/>
      <c r="O179"/>
      <c r="P179"/>
      <c r="Q179"/>
      <c r="R179"/>
      <c r="S179"/>
      <c r="T179"/>
      <c r="U179"/>
      <c r="V179"/>
      <c r="W179"/>
      <c r="X179"/>
      <c r="AC179"/>
      <c r="AD179"/>
      <c r="AE179"/>
      <c r="AF179"/>
      <c r="AH179"/>
      <c r="AJ179"/>
      <c r="AK179"/>
      <c r="AL179"/>
      <c r="AM179"/>
    </row>
    <row r="180" spans="1:40"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row>
    <row r="181" spans="1:40"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row>
    <row r="182" spans="1:40" x14ac:dyDescent="0.2">
      <c r="A182"/>
      <c r="B182"/>
      <c r="C182"/>
      <c r="D182"/>
      <c r="E182"/>
      <c r="F182"/>
      <c r="G182"/>
      <c r="H182"/>
      <c r="I182"/>
      <c r="J182"/>
      <c r="K182"/>
      <c r="L182"/>
      <c r="M182"/>
      <c r="N182"/>
      <c r="O182"/>
      <c r="P182"/>
      <c r="Q182"/>
      <c r="R182"/>
      <c r="S182"/>
      <c r="T182"/>
      <c r="U182"/>
      <c r="V182"/>
      <c r="W182"/>
      <c r="X182"/>
      <c r="AC182"/>
      <c r="AD182"/>
      <c r="AE182"/>
      <c r="AF182"/>
      <c r="AG182"/>
      <c r="AH182"/>
      <c r="AI182"/>
      <c r="AJ182"/>
      <c r="AK182"/>
      <c r="AL182"/>
      <c r="AM182"/>
    </row>
    <row r="183" spans="1:40" x14ac:dyDescent="0.2">
      <c r="A183"/>
      <c r="B183"/>
      <c r="C183"/>
      <c r="D183"/>
      <c r="E183"/>
      <c r="F183"/>
      <c r="G183"/>
      <c r="H183"/>
      <c r="I183"/>
      <c r="J183"/>
      <c r="K183"/>
      <c r="L183"/>
      <c r="M183"/>
      <c r="N183"/>
      <c r="O183"/>
      <c r="P183"/>
      <c r="Q183"/>
      <c r="R183"/>
      <c r="S183"/>
      <c r="T183"/>
      <c r="U183"/>
      <c r="V183"/>
      <c r="W183"/>
      <c r="X183"/>
      <c r="AC183"/>
      <c r="AD183"/>
      <c r="AE183"/>
      <c r="AF183"/>
      <c r="AG183"/>
      <c r="AH183"/>
      <c r="AI183"/>
      <c r="AJ183"/>
      <c r="AK183"/>
      <c r="AL183"/>
      <c r="AM183"/>
    </row>
    <row r="184" spans="1:40" x14ac:dyDescent="0.2">
      <c r="A184"/>
      <c r="B184"/>
      <c r="C184"/>
      <c r="D184"/>
      <c r="E184"/>
      <c r="F184"/>
      <c r="G184"/>
      <c r="H184"/>
      <c r="I184"/>
      <c r="J184"/>
      <c r="K184"/>
      <c r="L184"/>
      <c r="M184"/>
      <c r="N184"/>
      <c r="O184"/>
      <c r="P184"/>
      <c r="Q184"/>
      <c r="R184"/>
      <c r="S184"/>
      <c r="T184"/>
      <c r="U184"/>
      <c r="V184"/>
      <c r="W184"/>
      <c r="X184"/>
      <c r="AC184"/>
      <c r="AD184"/>
      <c r="AE184"/>
      <c r="AF184"/>
      <c r="AG184"/>
      <c r="AH184"/>
      <c r="AI184"/>
      <c r="AJ184"/>
      <c r="AK184"/>
      <c r="AL184"/>
      <c r="AM184"/>
    </row>
    <row r="185" spans="1:40" x14ac:dyDescent="0.2">
      <c r="A185"/>
      <c r="B185"/>
      <c r="C185"/>
      <c r="D185"/>
      <c r="E185"/>
      <c r="F185"/>
      <c r="G185"/>
      <c r="H185"/>
      <c r="I185"/>
      <c r="J185"/>
      <c r="K185"/>
      <c r="L185"/>
      <c r="M185"/>
      <c r="O185"/>
      <c r="P185"/>
      <c r="Q185"/>
      <c r="R185"/>
      <c r="S185"/>
      <c r="T185"/>
      <c r="U185"/>
      <c r="V185"/>
      <c r="W185"/>
      <c r="X185"/>
      <c r="Y185"/>
      <c r="Z185"/>
      <c r="AA185"/>
      <c r="AB185"/>
      <c r="AC185"/>
      <c r="AD185"/>
      <c r="AE185"/>
      <c r="AF185"/>
      <c r="AG185"/>
      <c r="AH185"/>
      <c r="AI185"/>
      <c r="AJ185"/>
      <c r="AK185"/>
      <c r="AL185"/>
      <c r="AM185"/>
    </row>
    <row r="186" spans="1:40"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1:40"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1:40" x14ac:dyDescent="0.2">
      <c r="A188"/>
      <c r="B188"/>
      <c r="C188"/>
      <c r="D188"/>
      <c r="E188"/>
      <c r="F188"/>
      <c r="G188"/>
      <c r="H188"/>
      <c r="I188"/>
      <c r="J188"/>
      <c r="K188"/>
      <c r="L188"/>
      <c r="M188"/>
      <c r="N188"/>
      <c r="O188"/>
      <c r="P188"/>
      <c r="Q188"/>
      <c r="R188"/>
      <c r="S188"/>
      <c r="U188"/>
      <c r="V188"/>
      <c r="W188"/>
      <c r="X188"/>
      <c r="Y188"/>
      <c r="Z188"/>
      <c r="AA188"/>
      <c r="AB188"/>
      <c r="AC188"/>
      <c r="AD188"/>
      <c r="AE188"/>
      <c r="AF188"/>
      <c r="AJ188"/>
      <c r="AK188"/>
      <c r="AL188"/>
      <c r="AM188"/>
    </row>
    <row r="189" spans="1:40"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row>
    <row r="190" spans="1:40"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row>
    <row r="191" spans="1:40"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row>
    <row r="192" spans="1:40" x14ac:dyDescent="0.2">
      <c r="A192"/>
      <c r="B192"/>
      <c r="C192"/>
      <c r="D192"/>
      <c r="E192"/>
      <c r="F192"/>
      <c r="G192"/>
      <c r="H192"/>
      <c r="I192"/>
      <c r="J192"/>
      <c r="K192"/>
      <c r="L192"/>
      <c r="M192"/>
      <c r="N192"/>
      <c r="O192"/>
      <c r="P192"/>
      <c r="Q192"/>
      <c r="R192"/>
      <c r="S192"/>
      <c r="T192"/>
      <c r="U192"/>
      <c r="V192"/>
      <c r="W192"/>
      <c r="X192"/>
      <c r="AC192"/>
      <c r="AD192"/>
      <c r="AE192"/>
      <c r="AF192"/>
      <c r="AG192"/>
      <c r="AH192"/>
      <c r="AI192"/>
      <c r="AJ192"/>
      <c r="AK192"/>
      <c r="AL192"/>
      <c r="AM192"/>
    </row>
    <row r="193" spans="1:39" x14ac:dyDescent="0.2">
      <c r="A193"/>
      <c r="B193"/>
      <c r="C193"/>
      <c r="D193"/>
      <c r="E193"/>
      <c r="F193"/>
      <c r="G193"/>
      <c r="H193"/>
      <c r="I193"/>
      <c r="J193"/>
      <c r="K193"/>
      <c r="L193"/>
      <c r="M193"/>
      <c r="N193"/>
      <c r="O193"/>
      <c r="P193"/>
      <c r="Q193"/>
      <c r="R193"/>
      <c r="S193"/>
      <c r="T193"/>
      <c r="U193"/>
      <c r="V193"/>
      <c r="W193"/>
      <c r="X193"/>
      <c r="AC193"/>
      <c r="AD193"/>
      <c r="AE193"/>
      <c r="AF193"/>
      <c r="AG193"/>
      <c r="AH193"/>
      <c r="AI193"/>
      <c r="AJ193"/>
      <c r="AK193"/>
      <c r="AL193"/>
      <c r="AM193"/>
    </row>
    <row r="194" spans="1:39"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row>
    <row r="195" spans="1:39" x14ac:dyDescent="0.2">
      <c r="A195"/>
      <c r="B195"/>
      <c r="C195"/>
      <c r="D195"/>
      <c r="E195"/>
      <c r="F195"/>
      <c r="G195"/>
      <c r="H195"/>
      <c r="I195"/>
      <c r="J195"/>
      <c r="K195"/>
      <c r="L195"/>
      <c r="M195"/>
      <c r="N195"/>
      <c r="O195"/>
      <c r="P195"/>
      <c r="Q195"/>
      <c r="R195"/>
      <c r="S195"/>
      <c r="T195"/>
      <c r="U195"/>
      <c r="V195"/>
      <c r="W195"/>
      <c r="X195"/>
      <c r="AB195"/>
      <c r="AC195"/>
      <c r="AD195"/>
      <c r="AE195"/>
      <c r="AF195"/>
      <c r="AG195"/>
      <c r="AH195"/>
      <c r="AI195"/>
      <c r="AJ195"/>
      <c r="AK195"/>
      <c r="AL195"/>
      <c r="AM195"/>
    </row>
    <row r="196" spans="1:39" x14ac:dyDescent="0.2">
      <c r="A196"/>
      <c r="B196"/>
      <c r="C196"/>
      <c r="D196"/>
      <c r="E196"/>
      <c r="F196"/>
      <c r="G196"/>
      <c r="H196"/>
      <c r="I196"/>
      <c r="J196"/>
      <c r="K196"/>
      <c r="L196"/>
      <c r="M196"/>
      <c r="N196"/>
      <c r="O196"/>
      <c r="P196"/>
      <c r="Q196"/>
      <c r="R196"/>
      <c r="S196"/>
      <c r="T196"/>
      <c r="U196"/>
      <c r="V196"/>
      <c r="W196"/>
      <c r="X196"/>
      <c r="AB196"/>
      <c r="AC196"/>
      <c r="AD196"/>
      <c r="AE196"/>
      <c r="AF196"/>
      <c r="AG196"/>
      <c r="AI196"/>
      <c r="AJ196"/>
      <c r="AK196"/>
      <c r="AL196"/>
      <c r="AM196"/>
    </row>
    <row r="197" spans="1:39" x14ac:dyDescent="0.2">
      <c r="A197"/>
      <c r="B197"/>
      <c r="C197"/>
      <c r="D197"/>
      <c r="E197"/>
      <c r="F197"/>
      <c r="G197"/>
      <c r="H197"/>
      <c r="I197"/>
      <c r="J197"/>
      <c r="K197"/>
      <c r="L197"/>
      <c r="M197"/>
      <c r="N197"/>
      <c r="O197"/>
      <c r="P197"/>
      <c r="Q197"/>
      <c r="R197"/>
      <c r="S197"/>
      <c r="T197"/>
      <c r="U197"/>
      <c r="V197"/>
      <c r="W197"/>
      <c r="X197"/>
      <c r="AB197"/>
      <c r="AC197"/>
      <c r="AD197"/>
      <c r="AE197"/>
      <c r="AF197"/>
      <c r="AG197"/>
      <c r="AH197"/>
      <c r="AI197"/>
      <c r="AJ197"/>
      <c r="AK197"/>
      <c r="AL197"/>
      <c r="AM197"/>
    </row>
    <row r="198" spans="1:39"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row>
    <row r="199" spans="1:39" x14ac:dyDescent="0.2">
      <c r="A199"/>
      <c r="B199"/>
      <c r="C199"/>
      <c r="D199"/>
      <c r="E199"/>
      <c r="F199"/>
      <c r="G199"/>
      <c r="H199"/>
      <c r="I199"/>
      <c r="J199"/>
      <c r="K199"/>
      <c r="L199"/>
      <c r="M199"/>
      <c r="N199"/>
      <c r="O199"/>
      <c r="P199"/>
      <c r="Q199"/>
      <c r="R199"/>
      <c r="S199"/>
      <c r="T199"/>
      <c r="U199"/>
      <c r="V199"/>
      <c r="W199"/>
      <c r="X199"/>
      <c r="AB199"/>
      <c r="AC199"/>
      <c r="AD199"/>
      <c r="AE199"/>
      <c r="AF199"/>
      <c r="AG199"/>
      <c r="AH199"/>
      <c r="AI199"/>
      <c r="AJ199"/>
      <c r="AK199"/>
      <c r="AL199"/>
      <c r="AM199"/>
    </row>
    <row r="200" spans="1:39" x14ac:dyDescent="0.2">
      <c r="A200"/>
      <c r="B200"/>
      <c r="C200"/>
      <c r="D200"/>
      <c r="E200"/>
      <c r="F200"/>
      <c r="G200"/>
      <c r="H200"/>
      <c r="I200"/>
      <c r="J200"/>
      <c r="K200"/>
      <c r="L200"/>
      <c r="M200"/>
      <c r="N200"/>
      <c r="O200"/>
      <c r="P200"/>
      <c r="Q200"/>
      <c r="R200"/>
      <c r="S200"/>
      <c r="T200"/>
      <c r="U200"/>
      <c r="V200"/>
      <c r="W200"/>
      <c r="X200"/>
      <c r="AB200"/>
      <c r="AC200"/>
      <c r="AD200"/>
      <c r="AE200"/>
      <c r="AF200"/>
      <c r="AG200"/>
      <c r="AH200"/>
      <c r="AI200"/>
      <c r="AJ200"/>
      <c r="AK200"/>
      <c r="AL200"/>
      <c r="AM200"/>
    </row>
    <row r="201" spans="1:39" x14ac:dyDescent="0.2">
      <c r="A201"/>
      <c r="B201"/>
      <c r="C201"/>
      <c r="D201"/>
      <c r="E201"/>
      <c r="F201"/>
      <c r="G201"/>
      <c r="H201"/>
      <c r="I201"/>
      <c r="J201"/>
      <c r="K201"/>
      <c r="L201"/>
      <c r="M201"/>
      <c r="N201"/>
      <c r="O201"/>
      <c r="P201"/>
      <c r="Q201"/>
      <c r="R201"/>
      <c r="S201"/>
      <c r="T201"/>
      <c r="U201"/>
      <c r="V201"/>
      <c r="W201"/>
      <c r="X201"/>
      <c r="AB201"/>
      <c r="AC201"/>
      <c r="AD201"/>
      <c r="AE201"/>
      <c r="AF201"/>
      <c r="AG201"/>
      <c r="AH201"/>
      <c r="AI201"/>
      <c r="AJ201"/>
      <c r="AK201"/>
      <c r="AL201"/>
      <c r="AM201"/>
    </row>
    <row r="202" spans="1:39" x14ac:dyDescent="0.2">
      <c r="A202"/>
      <c r="B202"/>
      <c r="C202"/>
      <c r="D202"/>
      <c r="E202"/>
      <c r="F202"/>
      <c r="G202"/>
      <c r="H202"/>
      <c r="I202"/>
      <c r="J202"/>
      <c r="K202"/>
      <c r="L202"/>
      <c r="M202"/>
      <c r="N202"/>
      <c r="O202"/>
      <c r="P202"/>
      <c r="Q202"/>
      <c r="R202"/>
      <c r="S202"/>
      <c r="T202"/>
      <c r="U202"/>
      <c r="V202"/>
      <c r="W202"/>
      <c r="X202"/>
      <c r="AC202"/>
      <c r="AD202"/>
      <c r="AE202"/>
      <c r="AF202"/>
      <c r="AG202"/>
      <c r="AH202"/>
      <c r="AI202"/>
      <c r="AJ202"/>
      <c r="AK202"/>
      <c r="AL202"/>
      <c r="AM202"/>
    </row>
    <row r="203" spans="1:39" x14ac:dyDescent="0.2">
      <c r="A203"/>
      <c r="B203"/>
      <c r="C203"/>
      <c r="D203"/>
      <c r="E203"/>
      <c r="F203"/>
      <c r="G203"/>
      <c r="H203"/>
      <c r="I203"/>
      <c r="J203"/>
      <c r="K203"/>
      <c r="L203"/>
      <c r="M203"/>
      <c r="N203"/>
      <c r="O203"/>
      <c r="P203"/>
      <c r="Q203"/>
      <c r="R203"/>
      <c r="S203"/>
      <c r="T203"/>
      <c r="U203"/>
      <c r="V203"/>
      <c r="W203"/>
      <c r="X203"/>
      <c r="AB203"/>
      <c r="AC203"/>
      <c r="AD203"/>
      <c r="AE203"/>
      <c r="AF203"/>
      <c r="AG203"/>
      <c r="AH203"/>
      <c r="AI203"/>
      <c r="AJ203"/>
      <c r="AK203"/>
      <c r="AL203"/>
      <c r="AM203"/>
    </row>
    <row r="204" spans="1:39"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row>
    <row r="205" spans="1:39" x14ac:dyDescent="0.2">
      <c r="A205"/>
      <c r="B205"/>
      <c r="C205"/>
      <c r="D205"/>
      <c r="E205"/>
      <c r="F205"/>
      <c r="G205"/>
      <c r="H205"/>
      <c r="I205"/>
      <c r="J205"/>
      <c r="K205"/>
      <c r="L205"/>
      <c r="M205"/>
      <c r="N205"/>
      <c r="O205"/>
      <c r="P205"/>
      <c r="Q205"/>
      <c r="R205"/>
      <c r="S205"/>
      <c r="T205"/>
      <c r="X205"/>
      <c r="AB205"/>
      <c r="AC205"/>
      <c r="AD205"/>
      <c r="AE205"/>
      <c r="AF205"/>
      <c r="AG205"/>
      <c r="AH205"/>
      <c r="AI205"/>
      <c r="AJ205"/>
      <c r="AK205"/>
      <c r="AL205"/>
      <c r="AM205"/>
    </row>
    <row r="206" spans="1:39" x14ac:dyDescent="0.2">
      <c r="A206"/>
      <c r="B206"/>
      <c r="C206"/>
      <c r="D206"/>
      <c r="E206"/>
      <c r="F206"/>
      <c r="G206"/>
      <c r="H206"/>
      <c r="I206"/>
      <c r="J206"/>
      <c r="K206"/>
      <c r="L206"/>
      <c r="M206"/>
      <c r="O206"/>
      <c r="P206"/>
      <c r="Q206"/>
      <c r="R206"/>
      <c r="S206"/>
      <c r="T206"/>
      <c r="Y206"/>
      <c r="Z206"/>
      <c r="AA206"/>
      <c r="AC206"/>
      <c r="AD206"/>
      <c r="AE206"/>
      <c r="AF206"/>
      <c r="AG206"/>
      <c r="AH206"/>
      <c r="AI206"/>
      <c r="AJ206"/>
      <c r="AK206"/>
      <c r="AL206"/>
      <c r="AM206"/>
    </row>
    <row r="207" spans="1:39" x14ac:dyDescent="0.2">
      <c r="A207"/>
      <c r="B207"/>
      <c r="C207"/>
      <c r="D207"/>
      <c r="E207"/>
      <c r="F207"/>
      <c r="G207"/>
      <c r="H207"/>
      <c r="I207"/>
      <c r="J207"/>
      <c r="K207"/>
      <c r="L207"/>
      <c r="M207"/>
      <c r="O207"/>
      <c r="P207"/>
      <c r="Q207"/>
      <c r="R207"/>
      <c r="S207"/>
      <c r="T207"/>
      <c r="Y207"/>
      <c r="Z207"/>
      <c r="AA207"/>
      <c r="AC207"/>
      <c r="AD207"/>
      <c r="AE207"/>
      <c r="AF207"/>
      <c r="AG207"/>
      <c r="AH207"/>
      <c r="AI207"/>
      <c r="AJ207"/>
      <c r="AK207"/>
      <c r="AL207"/>
      <c r="AM207"/>
    </row>
    <row r="208" spans="1:39" x14ac:dyDescent="0.2">
      <c r="A208"/>
      <c r="B208"/>
      <c r="C208"/>
      <c r="D208"/>
      <c r="E208"/>
      <c r="F208"/>
      <c r="G208"/>
      <c r="H208"/>
      <c r="I208"/>
      <c r="J208"/>
      <c r="K208"/>
      <c r="L208"/>
      <c r="M208"/>
      <c r="O208"/>
      <c r="P208"/>
      <c r="Q208"/>
      <c r="R208"/>
      <c r="S208"/>
      <c r="T208"/>
      <c r="Y208"/>
      <c r="Z208"/>
      <c r="AA208"/>
      <c r="AC208"/>
      <c r="AD208"/>
      <c r="AE208"/>
      <c r="AF208"/>
      <c r="AG208"/>
      <c r="AH208"/>
      <c r="AI208"/>
      <c r="AJ208"/>
      <c r="AK208"/>
      <c r="AL208"/>
      <c r="AM208"/>
    </row>
    <row r="209" spans="1:39" x14ac:dyDescent="0.2">
      <c r="A209"/>
      <c r="B209"/>
      <c r="C209"/>
      <c r="D209"/>
      <c r="E209"/>
      <c r="F209"/>
      <c r="G209"/>
      <c r="H209"/>
      <c r="I209"/>
      <c r="J209"/>
      <c r="K209"/>
      <c r="L209"/>
      <c r="M209"/>
      <c r="N209"/>
      <c r="O209"/>
      <c r="P209"/>
      <c r="Q209"/>
      <c r="R209"/>
      <c r="T209"/>
      <c r="U209"/>
      <c r="V209"/>
      <c r="W209"/>
      <c r="X209"/>
      <c r="AC209"/>
      <c r="AD209"/>
      <c r="AE209"/>
      <c r="AF209"/>
      <c r="AG209"/>
      <c r="AH209"/>
      <c r="AI209"/>
      <c r="AJ209"/>
      <c r="AK209"/>
      <c r="AL209"/>
      <c r="AM209"/>
    </row>
    <row r="210" spans="1:39" x14ac:dyDescent="0.2">
      <c r="A210"/>
      <c r="B210"/>
      <c r="C210"/>
      <c r="D210"/>
      <c r="E210"/>
      <c r="F210"/>
      <c r="G210"/>
      <c r="H210"/>
      <c r="I210"/>
      <c r="J210"/>
      <c r="K210"/>
      <c r="L210"/>
      <c r="M210"/>
      <c r="N210"/>
      <c r="O210"/>
      <c r="P210"/>
      <c r="Q210"/>
      <c r="R210"/>
      <c r="S210"/>
      <c r="T210"/>
      <c r="U210"/>
      <c r="V210"/>
      <c r="W210"/>
      <c r="X210"/>
      <c r="AC210"/>
      <c r="AD210"/>
      <c r="AE210"/>
      <c r="AF210"/>
      <c r="AG210"/>
      <c r="AH210"/>
      <c r="AI210"/>
      <c r="AJ210"/>
      <c r="AK210"/>
      <c r="AL210"/>
      <c r="AM210"/>
    </row>
    <row r="211" spans="1:39" x14ac:dyDescent="0.2">
      <c r="A211"/>
      <c r="B211"/>
      <c r="C211"/>
      <c r="D211"/>
      <c r="E211"/>
      <c r="F211"/>
      <c r="G211"/>
      <c r="H211"/>
      <c r="I211"/>
      <c r="J211"/>
      <c r="K211"/>
      <c r="L211"/>
      <c r="M211"/>
      <c r="N211"/>
      <c r="O211"/>
      <c r="P211"/>
      <c r="Q211"/>
      <c r="R211"/>
      <c r="S211"/>
      <c r="T211"/>
      <c r="U211"/>
      <c r="V211"/>
      <c r="W211"/>
      <c r="X211"/>
      <c r="AC211"/>
      <c r="AD211"/>
      <c r="AE211"/>
      <c r="AF211"/>
      <c r="AG211"/>
      <c r="AH211"/>
      <c r="AI211"/>
      <c r="AJ211"/>
      <c r="AK211"/>
      <c r="AL211"/>
      <c r="AM211"/>
    </row>
    <row r="212" spans="1:39" x14ac:dyDescent="0.2">
      <c r="A212"/>
      <c r="B212"/>
      <c r="C212"/>
      <c r="D212"/>
      <c r="E212"/>
      <c r="F212"/>
      <c r="G212"/>
      <c r="H212"/>
      <c r="I212"/>
      <c r="J212"/>
      <c r="K212"/>
      <c r="L212"/>
      <c r="M212"/>
      <c r="N212"/>
      <c r="O212"/>
      <c r="P212"/>
      <c r="Q212"/>
      <c r="R212"/>
      <c r="S212"/>
      <c r="T212"/>
      <c r="U212"/>
      <c r="V212"/>
      <c r="W212"/>
      <c r="X212"/>
      <c r="AC212"/>
      <c r="AD212"/>
      <c r="AE212"/>
      <c r="AF212"/>
      <c r="AH212"/>
      <c r="AI212"/>
      <c r="AJ212"/>
      <c r="AK212"/>
      <c r="AL212"/>
      <c r="AM212"/>
    </row>
    <row r="213" spans="1:39"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L213"/>
      <c r="AM213"/>
    </row>
    <row r="214" spans="1:39"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row>
    <row r="215" spans="1:39"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row>
    <row r="216" spans="1:39" x14ac:dyDescent="0.2">
      <c r="A216"/>
      <c r="B216"/>
      <c r="C216"/>
      <c r="D216"/>
      <c r="E216"/>
      <c r="F216"/>
      <c r="G216"/>
      <c r="H216"/>
      <c r="I216"/>
      <c r="J216"/>
      <c r="K216"/>
      <c r="L216"/>
      <c r="M216"/>
      <c r="N216"/>
      <c r="O216"/>
      <c r="P216"/>
      <c r="Q216"/>
      <c r="R216"/>
      <c r="S216"/>
      <c r="T216"/>
      <c r="U216"/>
      <c r="V216"/>
      <c r="W216"/>
      <c r="X216"/>
      <c r="AA216"/>
      <c r="AC216"/>
      <c r="AD216"/>
      <c r="AE216"/>
      <c r="AF216"/>
      <c r="AG216"/>
      <c r="AH216"/>
      <c r="AI216"/>
      <c r="AJ216"/>
      <c r="AK216"/>
      <c r="AL216"/>
      <c r="AM216"/>
    </row>
    <row r="217" spans="1:39"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row>
    <row r="218" spans="1:39" x14ac:dyDescent="0.2">
      <c r="A218"/>
      <c r="B218"/>
      <c r="C218"/>
      <c r="D218"/>
      <c r="E218"/>
      <c r="F218"/>
      <c r="G218"/>
      <c r="H218"/>
      <c r="I218"/>
      <c r="J218"/>
      <c r="L218"/>
      <c r="M218"/>
      <c r="N218"/>
      <c r="O218"/>
      <c r="P218"/>
      <c r="Q218"/>
      <c r="R218"/>
      <c r="S218"/>
      <c r="T218"/>
      <c r="U218"/>
      <c r="V218"/>
      <c r="W218"/>
      <c r="X218"/>
      <c r="Y218"/>
      <c r="Z218"/>
      <c r="AA218"/>
      <c r="AB218"/>
      <c r="AC218"/>
      <c r="AD218"/>
      <c r="AE218"/>
      <c r="AF218"/>
      <c r="AG218"/>
      <c r="AH218"/>
      <c r="AI218"/>
      <c r="AJ218"/>
      <c r="AK218"/>
      <c r="AL218"/>
      <c r="AM218"/>
    </row>
    <row r="219" spans="1:39"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row>
    <row r="220" spans="1:39"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row>
    <row r="221" spans="1:39"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row>
    <row r="222" spans="1:39"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row>
    <row r="223" spans="1:39"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row>
    <row r="224" spans="1:39"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row>
    <row r="225" spans="1:39" x14ac:dyDescent="0.2">
      <c r="A225"/>
      <c r="B225"/>
      <c r="C225"/>
      <c r="D225"/>
      <c r="E225"/>
      <c r="F225"/>
      <c r="G225"/>
      <c r="H225"/>
      <c r="I225"/>
      <c r="J225"/>
      <c r="K225"/>
      <c r="L225"/>
      <c r="M225"/>
      <c r="N225"/>
      <c r="O225"/>
      <c r="P225"/>
      <c r="Q225"/>
      <c r="R225"/>
      <c r="S225"/>
      <c r="T225"/>
      <c r="U225"/>
      <c r="V225"/>
      <c r="W225"/>
      <c r="X225"/>
      <c r="AC225"/>
      <c r="AD225"/>
      <c r="AE225"/>
      <c r="AF225"/>
      <c r="AG225"/>
      <c r="AH225"/>
      <c r="AI225"/>
      <c r="AJ225"/>
      <c r="AK225"/>
      <c r="AL225"/>
      <c r="AM225"/>
    </row>
    <row r="226" spans="1:39" x14ac:dyDescent="0.2">
      <c r="A226"/>
      <c r="B226"/>
      <c r="C226"/>
      <c r="D226"/>
      <c r="E226"/>
      <c r="F226"/>
      <c r="G226"/>
      <c r="H226"/>
      <c r="I226"/>
      <c r="J226"/>
      <c r="K226"/>
      <c r="L226"/>
      <c r="M226"/>
      <c r="N226"/>
      <c r="O226"/>
      <c r="P226"/>
      <c r="Q226"/>
      <c r="R226"/>
      <c r="S226"/>
      <c r="T226"/>
      <c r="U226"/>
      <c r="V226"/>
      <c r="W226"/>
      <c r="X226"/>
      <c r="AC226"/>
      <c r="AD226"/>
      <c r="AE226"/>
      <c r="AF226"/>
      <c r="AG226"/>
      <c r="AH226"/>
      <c r="AI226"/>
      <c r="AJ226"/>
      <c r="AK226"/>
      <c r="AL226"/>
      <c r="AM226"/>
    </row>
    <row r="227" spans="1:39" x14ac:dyDescent="0.2">
      <c r="A227"/>
      <c r="B227"/>
      <c r="C227"/>
      <c r="D227"/>
      <c r="E227"/>
      <c r="F227"/>
      <c r="G227"/>
      <c r="H227"/>
      <c r="I227"/>
      <c r="J227"/>
      <c r="K227"/>
      <c r="L227"/>
      <c r="M227"/>
      <c r="N227"/>
      <c r="O227"/>
      <c r="P227"/>
      <c r="Q227"/>
      <c r="R227"/>
      <c r="S227"/>
      <c r="T227"/>
      <c r="U227"/>
      <c r="V227"/>
      <c r="W227"/>
      <c r="X227"/>
      <c r="AC227"/>
      <c r="AD227"/>
      <c r="AE227"/>
      <c r="AF227"/>
      <c r="AG227"/>
      <c r="AJ227"/>
      <c r="AK227"/>
      <c r="AL227"/>
      <c r="AM227"/>
    </row>
    <row r="228" spans="1:39"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row>
    <row r="229" spans="1:39"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row>
    <row r="230" spans="1:39"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row>
    <row r="231" spans="1:39"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row>
    <row r="232" spans="1:39"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row>
    <row r="233" spans="1:39"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row>
    <row r="234" spans="1:39"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row>
    <row r="235" spans="1:39"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row>
    <row r="236" spans="1:39" x14ac:dyDescent="0.2">
      <c r="A236"/>
      <c r="B236"/>
      <c r="C236"/>
      <c r="D236"/>
      <c r="E236"/>
      <c r="G236"/>
      <c r="H236"/>
      <c r="I236"/>
      <c r="J236"/>
      <c r="K236"/>
      <c r="L236"/>
      <c r="M236"/>
      <c r="N236"/>
      <c r="O236"/>
      <c r="P236"/>
      <c r="Q236"/>
      <c r="R236"/>
      <c r="S236"/>
      <c r="T236"/>
      <c r="U236"/>
      <c r="V236"/>
      <c r="W236"/>
      <c r="X236"/>
      <c r="Y236"/>
      <c r="Z236"/>
      <c r="AA236"/>
      <c r="AB236"/>
      <c r="AC236"/>
      <c r="AD236"/>
      <c r="AE236"/>
      <c r="AF236"/>
      <c r="AG236"/>
      <c r="AL236"/>
      <c r="AM236"/>
    </row>
    <row r="237" spans="1:39" x14ac:dyDescent="0.2">
      <c r="A237"/>
      <c r="B237"/>
      <c r="C237"/>
      <c r="D237"/>
      <c r="E237"/>
      <c r="F237"/>
      <c r="G237"/>
      <c r="H237"/>
      <c r="I237"/>
      <c r="J237"/>
      <c r="K237"/>
      <c r="L237"/>
      <c r="M237"/>
      <c r="N237"/>
      <c r="O237"/>
      <c r="P237"/>
      <c r="Q237"/>
      <c r="R237"/>
      <c r="S237"/>
      <c r="T237"/>
      <c r="U237"/>
      <c r="V237"/>
      <c r="W237"/>
      <c r="X237"/>
      <c r="AC237"/>
      <c r="AD237"/>
      <c r="AE237"/>
      <c r="AF237"/>
      <c r="AG237"/>
      <c r="AH237"/>
      <c r="AI237"/>
      <c r="AJ237"/>
      <c r="AK237"/>
      <c r="AL237"/>
      <c r="AM237"/>
    </row>
    <row r="238" spans="1:39" x14ac:dyDescent="0.2">
      <c r="A238"/>
      <c r="B238"/>
      <c r="C238"/>
      <c r="D238"/>
      <c r="E238"/>
      <c r="F238"/>
      <c r="G238"/>
      <c r="H238"/>
      <c r="I238"/>
      <c r="J238"/>
      <c r="K238"/>
      <c r="L238"/>
      <c r="M238"/>
      <c r="N238"/>
      <c r="O238"/>
      <c r="P238"/>
      <c r="Q238"/>
      <c r="R238"/>
      <c r="S238"/>
      <c r="T238"/>
      <c r="U238"/>
      <c r="V238"/>
      <c r="W238"/>
      <c r="X238"/>
      <c r="AC238"/>
      <c r="AD238"/>
      <c r="AE238"/>
      <c r="AF238"/>
      <c r="AG238"/>
      <c r="AH238"/>
      <c r="AI238"/>
      <c r="AJ238"/>
      <c r="AK238"/>
      <c r="AL238"/>
      <c r="AM238"/>
    </row>
    <row r="239" spans="1:39" x14ac:dyDescent="0.2">
      <c r="A239"/>
      <c r="B239"/>
      <c r="C239"/>
      <c r="D239"/>
      <c r="E239"/>
      <c r="F239"/>
      <c r="G239"/>
      <c r="H239"/>
      <c r="I239"/>
      <c r="J239"/>
      <c r="K239"/>
      <c r="L239"/>
      <c r="M239"/>
      <c r="N239"/>
      <c r="O239"/>
      <c r="P239"/>
      <c r="Q239"/>
      <c r="R239"/>
      <c r="S239"/>
      <c r="T239"/>
      <c r="U239"/>
      <c r="V239"/>
      <c r="W239"/>
      <c r="Y239"/>
      <c r="Z239"/>
      <c r="AA239"/>
      <c r="AB239"/>
      <c r="AC239"/>
      <c r="AD239"/>
      <c r="AE239"/>
      <c r="AF239"/>
      <c r="AG239"/>
      <c r="AH239"/>
      <c r="AI239"/>
      <c r="AJ239"/>
      <c r="AK239"/>
      <c r="AL239"/>
      <c r="AM239"/>
    </row>
    <row r="240" spans="1:39"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row>
    <row r="241" spans="1:39" x14ac:dyDescent="0.2">
      <c r="A241"/>
      <c r="B241"/>
      <c r="C241"/>
      <c r="D241"/>
      <c r="E241"/>
      <c r="F241"/>
      <c r="G241"/>
      <c r="H241"/>
      <c r="I241"/>
      <c r="J241"/>
      <c r="K241"/>
      <c r="L241"/>
      <c r="M241"/>
      <c r="N241"/>
      <c r="O241"/>
      <c r="P241"/>
      <c r="Q241"/>
      <c r="R241"/>
      <c r="S241"/>
      <c r="T241"/>
      <c r="X241"/>
      <c r="Y241"/>
      <c r="Z241"/>
      <c r="AA241"/>
      <c r="AB241"/>
      <c r="AC241"/>
      <c r="AD241"/>
      <c r="AE241"/>
      <c r="AF241"/>
      <c r="AG241"/>
      <c r="AH241"/>
      <c r="AI241"/>
      <c r="AJ241"/>
      <c r="AK241"/>
      <c r="AL241"/>
      <c r="AM241"/>
    </row>
    <row r="242" spans="1:39"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row>
    <row r="243" spans="1:39"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row>
    <row r="244" spans="1:39"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row>
    <row r="245" spans="1:39"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J245"/>
      <c r="AK245"/>
      <c r="AL245"/>
      <c r="AM245"/>
    </row>
    <row r="246" spans="1:39"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J246"/>
      <c r="AK246"/>
      <c r="AL246"/>
      <c r="AM246"/>
    </row>
    <row r="247" spans="1:39" x14ac:dyDescent="0.2">
      <c r="A247"/>
      <c r="B247"/>
      <c r="C247"/>
      <c r="D247"/>
      <c r="E247"/>
      <c r="F247"/>
      <c r="G247"/>
      <c r="H247"/>
      <c r="I247"/>
      <c r="J247"/>
      <c r="K247"/>
      <c r="L247"/>
      <c r="M247"/>
      <c r="N247"/>
      <c r="O247"/>
      <c r="P247"/>
      <c r="Q247"/>
      <c r="R247"/>
      <c r="S247"/>
      <c r="T247"/>
      <c r="U247"/>
      <c r="V247"/>
      <c r="W247"/>
      <c r="X247"/>
      <c r="AC247"/>
      <c r="AD247"/>
      <c r="AE247"/>
      <c r="AF247"/>
      <c r="AG247"/>
      <c r="AH247"/>
      <c r="AI247"/>
      <c r="AJ247"/>
      <c r="AK247"/>
      <c r="AL247"/>
      <c r="AM247"/>
    </row>
    <row r="248" spans="1:39"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row>
    <row r="249" spans="1:39"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row>
    <row r="250" spans="1:39"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row>
    <row r="251" spans="1:39"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row>
    <row r="252" spans="1:39"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row>
    <row r="253" spans="1:39"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row>
    <row r="254" spans="1:39"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row>
    <row r="255" spans="1:39"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row>
    <row r="256" spans="1:39"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row>
    <row r="257" spans="1:39"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L257"/>
      <c r="AM257"/>
    </row>
    <row r="258" spans="1:39"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row>
    <row r="259" spans="1:39"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row>
    <row r="260" spans="1:39"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L260"/>
      <c r="AM260"/>
    </row>
    <row r="261" spans="1:39"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L261"/>
      <c r="AM261"/>
    </row>
    <row r="262" spans="1:39"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L262"/>
      <c r="AM262"/>
    </row>
    <row r="263" spans="1:39"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row>
    <row r="264" spans="1:39"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row>
    <row r="265" spans="1:39"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row>
    <row r="266" spans="1:39"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row>
    <row r="267" spans="1:39"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row>
    <row r="268" spans="1:39"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row>
    <row r="269" spans="1:39"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row>
    <row r="270" spans="1:39"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row>
    <row r="271" spans="1:39"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row>
    <row r="272" spans="1:39" x14ac:dyDescent="0.2">
      <c r="A272"/>
      <c r="B272"/>
      <c r="C272"/>
      <c r="D272"/>
      <c r="E272"/>
      <c r="G272"/>
      <c r="H272"/>
      <c r="I272"/>
      <c r="J272"/>
      <c r="K272"/>
      <c r="L272"/>
      <c r="M272"/>
      <c r="N272"/>
      <c r="O272"/>
      <c r="P272"/>
      <c r="Q272"/>
      <c r="R272"/>
      <c r="S272"/>
      <c r="T272"/>
      <c r="U272"/>
      <c r="V272"/>
      <c r="W272"/>
      <c r="X272"/>
      <c r="AD272"/>
      <c r="AE272"/>
      <c r="AF272"/>
      <c r="AG272"/>
      <c r="AM272"/>
    </row>
    <row r="273" spans="1:41"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row>
    <row r="274" spans="1:41"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row>
    <row r="275" spans="1:41"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row>
    <row r="276" spans="1:41" x14ac:dyDescent="0.2">
      <c r="A276"/>
      <c r="B276"/>
      <c r="C276"/>
      <c r="D276"/>
      <c r="E276"/>
      <c r="F276"/>
      <c r="G276"/>
      <c r="H276"/>
      <c r="I276"/>
      <c r="J276"/>
      <c r="K276"/>
      <c r="L276"/>
      <c r="M276"/>
      <c r="N276"/>
      <c r="O276"/>
      <c r="P276"/>
      <c r="Q276"/>
      <c r="R276"/>
      <c r="S276"/>
      <c r="T276"/>
      <c r="U276"/>
      <c r="V276"/>
      <c r="W276"/>
      <c r="X276"/>
      <c r="AC276"/>
      <c r="AD276"/>
      <c r="AE276"/>
      <c r="AF276"/>
      <c r="AG276"/>
      <c r="AH276"/>
      <c r="AI276"/>
      <c r="AJ276"/>
      <c r="AK276"/>
      <c r="AL276"/>
      <c r="AM276"/>
    </row>
    <row r="277" spans="1:41" x14ac:dyDescent="0.2">
      <c r="A277"/>
      <c r="B277"/>
      <c r="C277"/>
      <c r="D277"/>
      <c r="E277"/>
      <c r="F277"/>
      <c r="G277"/>
      <c r="H277"/>
      <c r="I277"/>
      <c r="J277"/>
      <c r="K277"/>
      <c r="L277"/>
      <c r="M277"/>
      <c r="N277"/>
      <c r="O277"/>
      <c r="P277"/>
      <c r="Q277"/>
      <c r="R277"/>
      <c r="S277"/>
      <c r="T277"/>
      <c r="U277"/>
      <c r="V277"/>
      <c r="W277"/>
      <c r="X277"/>
      <c r="AC277"/>
      <c r="AD277"/>
      <c r="AE277"/>
      <c r="AF277"/>
      <c r="AG277"/>
      <c r="AH277"/>
      <c r="AI277"/>
      <c r="AJ277"/>
      <c r="AK277"/>
      <c r="AL277"/>
      <c r="AM277"/>
    </row>
    <row r="278" spans="1:41"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row>
    <row r="279" spans="1:41"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row>
    <row r="280" spans="1:41"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O280"/>
    </row>
    <row r="281" spans="1:41"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row>
    <row r="282" spans="1:41" x14ac:dyDescent="0.2">
      <c r="A282"/>
      <c r="B282"/>
      <c r="C282"/>
      <c r="D282"/>
      <c r="E282"/>
      <c r="F282"/>
      <c r="G282"/>
      <c r="H282"/>
      <c r="I282"/>
      <c r="J282"/>
      <c r="K282"/>
      <c r="L282"/>
      <c r="M282"/>
      <c r="O282"/>
      <c r="P282"/>
      <c r="Q282"/>
      <c r="R282"/>
      <c r="S282"/>
      <c r="T282"/>
      <c r="U282"/>
      <c r="V282"/>
      <c r="W282"/>
      <c r="X282"/>
      <c r="Y282"/>
      <c r="Z282"/>
      <c r="AA282"/>
      <c r="AB282"/>
      <c r="AC282"/>
      <c r="AD282"/>
      <c r="AE282"/>
      <c r="AF282"/>
      <c r="AG282"/>
      <c r="AH282"/>
      <c r="AI282"/>
      <c r="AJ282"/>
      <c r="AK282"/>
      <c r="AL282"/>
      <c r="AM282"/>
    </row>
    <row r="283" spans="1:41" x14ac:dyDescent="0.2">
      <c r="A283"/>
      <c r="B283"/>
      <c r="C283"/>
      <c r="D283"/>
      <c r="E283"/>
      <c r="F283"/>
      <c r="G283"/>
      <c r="H283"/>
      <c r="I283"/>
      <c r="J283"/>
      <c r="K283"/>
      <c r="L283"/>
      <c r="M283"/>
      <c r="N283"/>
      <c r="O283"/>
      <c r="P283"/>
      <c r="Q283"/>
      <c r="R283"/>
      <c r="S283"/>
      <c r="T283"/>
      <c r="U283"/>
      <c r="V283"/>
      <c r="W283"/>
      <c r="X283"/>
      <c r="AC283"/>
      <c r="AD283"/>
      <c r="AE283"/>
      <c r="AF283"/>
      <c r="AG283"/>
      <c r="AH283"/>
      <c r="AI283"/>
      <c r="AJ283"/>
      <c r="AK283"/>
      <c r="AL283"/>
      <c r="AM283"/>
    </row>
    <row r="284" spans="1:41" x14ac:dyDescent="0.2">
      <c r="A284"/>
      <c r="B284"/>
      <c r="C284"/>
      <c r="D284"/>
      <c r="E284"/>
      <c r="F284"/>
      <c r="G284"/>
      <c r="H284"/>
      <c r="I284"/>
      <c r="J284"/>
      <c r="K284"/>
      <c r="L284"/>
      <c r="M284"/>
      <c r="N284"/>
      <c r="O284"/>
      <c r="P284"/>
      <c r="Q284"/>
      <c r="R284"/>
      <c r="S284"/>
      <c r="T284"/>
      <c r="U284"/>
      <c r="V284"/>
      <c r="W284"/>
      <c r="X284"/>
      <c r="AC284"/>
      <c r="AD284"/>
      <c r="AE284"/>
      <c r="AF284"/>
      <c r="AG284"/>
      <c r="AH284"/>
      <c r="AI284"/>
      <c r="AJ284"/>
      <c r="AK284"/>
      <c r="AL284"/>
      <c r="AM284"/>
    </row>
    <row r="285" spans="1:41" x14ac:dyDescent="0.2">
      <c r="A285"/>
      <c r="B285"/>
      <c r="C285"/>
      <c r="D285"/>
      <c r="E285"/>
      <c r="F285"/>
      <c r="G285"/>
      <c r="H285"/>
      <c r="I285"/>
      <c r="J285"/>
      <c r="K285"/>
      <c r="L285"/>
      <c r="M285"/>
      <c r="N285"/>
      <c r="O285"/>
      <c r="P285"/>
      <c r="Q285"/>
      <c r="R285"/>
      <c r="S285"/>
      <c r="T285"/>
      <c r="U285"/>
      <c r="V285"/>
      <c r="W285"/>
      <c r="X285"/>
      <c r="AC285"/>
      <c r="AD285"/>
      <c r="AE285"/>
      <c r="AF285"/>
      <c r="AG285"/>
      <c r="AH285"/>
      <c r="AI285"/>
      <c r="AJ285"/>
      <c r="AK285"/>
      <c r="AL285"/>
      <c r="AM285"/>
    </row>
    <row r="286" spans="1:41" x14ac:dyDescent="0.2">
      <c r="A286"/>
      <c r="B286"/>
      <c r="C286"/>
      <c r="D286"/>
      <c r="E286"/>
      <c r="F286"/>
      <c r="G286"/>
      <c r="H286"/>
      <c r="I286"/>
      <c r="J286"/>
      <c r="K286"/>
      <c r="L286"/>
      <c r="M286"/>
      <c r="N286"/>
      <c r="O286"/>
      <c r="P286"/>
      <c r="Q286"/>
      <c r="R286"/>
      <c r="S286"/>
      <c r="T286"/>
      <c r="U286"/>
      <c r="V286"/>
      <c r="W286"/>
      <c r="X286"/>
      <c r="AC286"/>
      <c r="AD286"/>
      <c r="AE286"/>
      <c r="AF286"/>
      <c r="AG286"/>
      <c r="AH286"/>
      <c r="AI286"/>
      <c r="AJ286"/>
      <c r="AK286"/>
      <c r="AL286"/>
      <c r="AM286"/>
    </row>
    <row r="287" spans="1:41" x14ac:dyDescent="0.2">
      <c r="A287"/>
      <c r="B287"/>
      <c r="C287"/>
      <c r="D287"/>
      <c r="E287"/>
      <c r="F287"/>
      <c r="G287"/>
      <c r="H287"/>
      <c r="I287"/>
      <c r="J287"/>
      <c r="K287"/>
      <c r="L287"/>
      <c r="M287"/>
      <c r="N287"/>
      <c r="O287"/>
      <c r="P287"/>
      <c r="Q287"/>
      <c r="R287"/>
      <c r="S287"/>
      <c r="T287"/>
      <c r="U287"/>
      <c r="V287"/>
      <c r="W287"/>
      <c r="X287"/>
      <c r="AC287"/>
      <c r="AD287"/>
      <c r="AE287"/>
      <c r="AF287"/>
      <c r="AG287"/>
      <c r="AH287"/>
      <c r="AI287"/>
      <c r="AJ287"/>
      <c r="AK287"/>
      <c r="AL287"/>
      <c r="AM287"/>
    </row>
    <row r="288" spans="1:41"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row>
    <row r="289" spans="1:39"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row>
    <row r="290" spans="1:39"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row>
    <row r="291" spans="1:39" x14ac:dyDescent="0.2">
      <c r="A291"/>
      <c r="B291"/>
      <c r="C291"/>
      <c r="D291"/>
      <c r="E291"/>
      <c r="F291"/>
      <c r="G291"/>
      <c r="H291"/>
      <c r="I291"/>
      <c r="J291"/>
      <c r="K291"/>
      <c r="L291"/>
      <c r="M291"/>
      <c r="N291"/>
      <c r="O291"/>
      <c r="P291"/>
      <c r="Q291"/>
      <c r="R291"/>
      <c r="S291"/>
      <c r="T291"/>
      <c r="U291"/>
      <c r="V291"/>
      <c r="W291"/>
      <c r="X291"/>
      <c r="AC291"/>
      <c r="AD291"/>
      <c r="AE291"/>
      <c r="AF291"/>
      <c r="AG291"/>
      <c r="AH291"/>
      <c r="AI291"/>
      <c r="AJ291"/>
      <c r="AK291"/>
      <c r="AL291"/>
      <c r="AM291"/>
    </row>
    <row r="292" spans="1:39"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I292"/>
      <c r="AJ292"/>
      <c r="AK292"/>
      <c r="AL292"/>
      <c r="AM292"/>
    </row>
    <row r="293" spans="1:39" x14ac:dyDescent="0.2">
      <c r="A293"/>
      <c r="B293"/>
      <c r="C293"/>
      <c r="D293"/>
      <c r="E293"/>
      <c r="F293"/>
      <c r="G293"/>
      <c r="H293"/>
      <c r="I293"/>
      <c r="J293"/>
      <c r="K293"/>
      <c r="L293"/>
      <c r="M293"/>
      <c r="N293"/>
      <c r="O293"/>
      <c r="P293"/>
      <c r="Q293"/>
      <c r="R293"/>
      <c r="S293"/>
      <c r="T293"/>
      <c r="U293"/>
      <c r="V293"/>
      <c r="W293"/>
      <c r="X293"/>
      <c r="AC293"/>
      <c r="AD293"/>
      <c r="AE293"/>
      <c r="AF293"/>
      <c r="AG293"/>
      <c r="AH293"/>
      <c r="AI293"/>
      <c r="AJ293"/>
      <c r="AK293"/>
      <c r="AL293"/>
      <c r="AM293"/>
    </row>
    <row r="294" spans="1:39" x14ac:dyDescent="0.2">
      <c r="A294"/>
      <c r="B294"/>
      <c r="C294"/>
      <c r="D294"/>
      <c r="E294"/>
      <c r="F294"/>
      <c r="G294"/>
      <c r="H294"/>
      <c r="I294"/>
      <c r="J294"/>
      <c r="K294"/>
      <c r="L294"/>
      <c r="M294"/>
      <c r="N294"/>
      <c r="O294"/>
      <c r="P294"/>
      <c r="Q294"/>
      <c r="R294"/>
      <c r="S294"/>
      <c r="T294"/>
      <c r="U294"/>
      <c r="V294"/>
      <c r="W294"/>
      <c r="X294"/>
      <c r="Y294"/>
      <c r="Z294"/>
      <c r="AA294"/>
      <c r="AC294"/>
      <c r="AD294"/>
      <c r="AE294"/>
      <c r="AF294"/>
      <c r="AG294"/>
      <c r="AH294"/>
      <c r="AI294"/>
      <c r="AJ294"/>
      <c r="AK294"/>
      <c r="AL294"/>
      <c r="AM294"/>
    </row>
    <row r="295" spans="1:39"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row>
    <row r="296" spans="1:39" x14ac:dyDescent="0.2">
      <c r="A296"/>
      <c r="B296"/>
      <c r="C296"/>
      <c r="D296"/>
      <c r="E296"/>
      <c r="F296"/>
      <c r="G296"/>
      <c r="H296"/>
      <c r="I296"/>
      <c r="J296"/>
      <c r="K296"/>
      <c r="L296"/>
      <c r="M296"/>
      <c r="N296"/>
      <c r="O296"/>
      <c r="P296"/>
      <c r="Q296"/>
      <c r="R296"/>
      <c r="S296"/>
      <c r="T296"/>
      <c r="U296"/>
      <c r="V296"/>
      <c r="W296"/>
      <c r="X296"/>
      <c r="AC296"/>
      <c r="AD296"/>
      <c r="AE296"/>
      <c r="AF296"/>
      <c r="AG296"/>
      <c r="AH296"/>
      <c r="AI296"/>
      <c r="AJ296"/>
      <c r="AK296"/>
      <c r="AL296"/>
      <c r="AM296"/>
    </row>
    <row r="297" spans="1:39"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row>
    <row r="298" spans="1:39"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row>
    <row r="299" spans="1:39"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row>
    <row r="300" spans="1:39"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row>
    <row r="301" spans="1:39" x14ac:dyDescent="0.2">
      <c r="A301"/>
      <c r="B301"/>
      <c r="C301"/>
      <c r="D301"/>
      <c r="E301"/>
      <c r="G301"/>
      <c r="H301"/>
      <c r="I301"/>
      <c r="J301"/>
      <c r="K301"/>
      <c r="L301"/>
      <c r="M301"/>
      <c r="N301"/>
      <c r="O301"/>
      <c r="P301"/>
      <c r="Q301"/>
      <c r="R301"/>
      <c r="S301"/>
      <c r="T301"/>
      <c r="U301"/>
      <c r="V301"/>
      <c r="W301"/>
      <c r="X301"/>
      <c r="Y301"/>
      <c r="Z301"/>
      <c r="AA301"/>
      <c r="AB301"/>
      <c r="AD301"/>
      <c r="AE301"/>
      <c r="AF301"/>
      <c r="AG301"/>
      <c r="AH301"/>
      <c r="AI301"/>
      <c r="AJ301"/>
      <c r="AM301"/>
    </row>
    <row r="302" spans="1:39" x14ac:dyDescent="0.2">
      <c r="A302"/>
      <c r="B302"/>
      <c r="C302"/>
      <c r="D302"/>
      <c r="E302"/>
      <c r="F302"/>
      <c r="G302"/>
      <c r="H302"/>
      <c r="I302"/>
      <c r="J302"/>
      <c r="K302"/>
      <c r="L302"/>
      <c r="M302"/>
      <c r="N302"/>
      <c r="O302"/>
      <c r="P302"/>
      <c r="Q302"/>
      <c r="R302"/>
      <c r="S302"/>
      <c r="T302"/>
      <c r="U302"/>
      <c r="V302"/>
      <c r="W302"/>
      <c r="X302"/>
      <c r="AC302"/>
      <c r="AD302"/>
      <c r="AE302"/>
      <c r="AF302"/>
      <c r="AG302"/>
      <c r="AI302"/>
      <c r="AJ302"/>
      <c r="AK302"/>
      <c r="AL302"/>
      <c r="AM302"/>
    </row>
    <row r="303" spans="1:39"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row>
    <row r="304" spans="1:39" x14ac:dyDescent="0.2">
      <c r="A304"/>
      <c r="B304"/>
      <c r="C304"/>
      <c r="D304"/>
      <c r="E304"/>
      <c r="F304"/>
      <c r="G304"/>
      <c r="H304"/>
      <c r="I304"/>
      <c r="J304"/>
      <c r="K304"/>
      <c r="L304"/>
      <c r="M304"/>
      <c r="N304"/>
      <c r="O304"/>
      <c r="P304"/>
      <c r="Q304"/>
      <c r="R304"/>
      <c r="S304"/>
      <c r="T304"/>
      <c r="U304"/>
      <c r="V304"/>
      <c r="W304"/>
      <c r="X304"/>
      <c r="AC304"/>
      <c r="AD304"/>
      <c r="AE304"/>
      <c r="AF304"/>
      <c r="AG304"/>
      <c r="AH304"/>
      <c r="AI304"/>
      <c r="AJ304"/>
      <c r="AK304"/>
      <c r="AL304"/>
      <c r="AM304"/>
    </row>
    <row r="305" spans="1:39" x14ac:dyDescent="0.2">
      <c r="A305"/>
      <c r="B305"/>
      <c r="C305"/>
      <c r="D305"/>
      <c r="E305"/>
      <c r="F305"/>
      <c r="G305"/>
      <c r="H305"/>
      <c r="I305"/>
      <c r="J305"/>
      <c r="K305"/>
      <c r="L305"/>
      <c r="M305"/>
      <c r="N305"/>
      <c r="O305"/>
      <c r="P305"/>
      <c r="Q305"/>
      <c r="R305"/>
      <c r="S305"/>
      <c r="T305"/>
      <c r="U305"/>
      <c r="V305"/>
      <c r="W305"/>
      <c r="X305"/>
      <c r="AC305"/>
      <c r="AD305"/>
      <c r="AE305"/>
      <c r="AF305"/>
      <c r="AG305"/>
      <c r="AH305"/>
      <c r="AI305"/>
      <c r="AJ305"/>
      <c r="AK305"/>
      <c r="AL305"/>
      <c r="AM305"/>
    </row>
    <row r="306" spans="1:39"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row>
    <row r="307" spans="1:39"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row>
    <row r="308" spans="1:39" x14ac:dyDescent="0.2">
      <c r="A308"/>
      <c r="B308"/>
      <c r="C308"/>
      <c r="D308"/>
      <c r="E308"/>
      <c r="F308"/>
      <c r="G308"/>
      <c r="H308"/>
      <c r="I308"/>
      <c r="J308"/>
      <c r="K308"/>
      <c r="L308"/>
      <c r="M308"/>
      <c r="N308"/>
      <c r="O308"/>
      <c r="P308"/>
      <c r="Q308"/>
      <c r="R308"/>
      <c r="S308"/>
      <c r="T308"/>
      <c r="U308"/>
      <c r="V308"/>
      <c r="W308"/>
      <c r="X308"/>
      <c r="AC308"/>
      <c r="AD308"/>
      <c r="AE308"/>
      <c r="AF308"/>
      <c r="AG308"/>
      <c r="AH308"/>
      <c r="AI308"/>
      <c r="AJ308"/>
      <c r="AK308"/>
      <c r="AL308"/>
      <c r="AM308"/>
    </row>
    <row r="309" spans="1:39"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row>
    <row r="310" spans="1:39"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row>
    <row r="311" spans="1:39" x14ac:dyDescent="0.2">
      <c r="A311"/>
      <c r="B311"/>
      <c r="C311"/>
      <c r="D311"/>
      <c r="E311"/>
      <c r="F311"/>
      <c r="G311"/>
      <c r="H311"/>
      <c r="I311"/>
      <c r="J311"/>
      <c r="K311"/>
      <c r="L311"/>
      <c r="M311"/>
      <c r="N311"/>
      <c r="O311"/>
      <c r="P311"/>
      <c r="Q311"/>
      <c r="R311"/>
      <c r="S311"/>
      <c r="T311"/>
      <c r="Y311"/>
      <c r="Z311"/>
      <c r="AA311"/>
      <c r="AB311"/>
      <c r="AC311"/>
      <c r="AD311"/>
      <c r="AE311"/>
      <c r="AF311"/>
      <c r="AG311"/>
      <c r="AH311"/>
      <c r="AI311"/>
      <c r="AJ311"/>
      <c r="AK311"/>
      <c r="AL311"/>
      <c r="AM311"/>
    </row>
    <row r="312" spans="1:39" x14ac:dyDescent="0.2">
      <c r="A312"/>
      <c r="B312"/>
      <c r="C312"/>
      <c r="D312"/>
      <c r="E312"/>
      <c r="F312"/>
      <c r="G312"/>
      <c r="H312"/>
      <c r="I312"/>
      <c r="J312"/>
      <c r="K312"/>
      <c r="L312"/>
      <c r="M312"/>
      <c r="N312"/>
      <c r="O312"/>
      <c r="P312"/>
      <c r="Q312"/>
      <c r="R312"/>
      <c r="S312"/>
      <c r="T312"/>
      <c r="U312"/>
      <c r="V312"/>
      <c r="W312"/>
      <c r="X312"/>
      <c r="AC312"/>
      <c r="AD312"/>
      <c r="AE312"/>
      <c r="AF312"/>
      <c r="AG312"/>
      <c r="AH312"/>
      <c r="AI312"/>
      <c r="AJ312"/>
      <c r="AK312"/>
      <c r="AL312"/>
      <c r="AM312"/>
    </row>
    <row r="313" spans="1:39" x14ac:dyDescent="0.2">
      <c r="A313"/>
      <c r="B313"/>
      <c r="C313"/>
      <c r="D313"/>
      <c r="E313"/>
      <c r="G313"/>
      <c r="H313"/>
      <c r="I313"/>
      <c r="J313"/>
      <c r="K313"/>
      <c r="L313"/>
      <c r="M313"/>
      <c r="N313"/>
      <c r="O313"/>
      <c r="P313"/>
      <c r="Q313"/>
      <c r="R313"/>
      <c r="S313"/>
      <c r="T313"/>
      <c r="U313"/>
      <c r="V313"/>
      <c r="W313"/>
      <c r="X313"/>
      <c r="Y313"/>
      <c r="Z313"/>
      <c r="AA313"/>
      <c r="AB313"/>
      <c r="AD313"/>
      <c r="AE313"/>
      <c r="AF313"/>
      <c r="AG313"/>
      <c r="AM313"/>
    </row>
    <row r="314" spans="1:39"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row>
    <row r="315" spans="1:39"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row>
    <row r="316" spans="1:39"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row>
    <row r="317" spans="1:39" x14ac:dyDescent="0.2">
      <c r="A317"/>
      <c r="B317"/>
      <c r="C317"/>
      <c r="D317"/>
      <c r="E317"/>
      <c r="F317"/>
      <c r="G317"/>
      <c r="H317"/>
      <c r="I317"/>
      <c r="J317"/>
      <c r="K317"/>
      <c r="L317"/>
      <c r="M317"/>
      <c r="O317"/>
      <c r="P317"/>
      <c r="Q317"/>
      <c r="R317"/>
      <c r="S317"/>
      <c r="T317"/>
      <c r="U317"/>
      <c r="V317"/>
      <c r="W317"/>
      <c r="X317"/>
      <c r="AC317"/>
      <c r="AD317"/>
      <c r="AE317"/>
      <c r="AF317"/>
      <c r="AG317"/>
      <c r="AH317"/>
      <c r="AI317"/>
      <c r="AJ317"/>
      <c r="AK317"/>
      <c r="AL317"/>
      <c r="AM317"/>
    </row>
    <row r="318" spans="1:39"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row>
    <row r="319" spans="1:39"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row>
    <row r="320" spans="1:39" x14ac:dyDescent="0.2">
      <c r="A320"/>
      <c r="B320"/>
      <c r="C320"/>
      <c r="D320"/>
      <c r="E320"/>
      <c r="F320"/>
      <c r="G320"/>
      <c r="H320"/>
      <c r="I320"/>
      <c r="J320"/>
      <c r="K320"/>
      <c r="L320"/>
      <c r="M320"/>
      <c r="N320"/>
      <c r="O320"/>
      <c r="P320"/>
      <c r="Q320"/>
      <c r="R320"/>
      <c r="S320"/>
      <c r="T320"/>
      <c r="Y320"/>
      <c r="Z320"/>
      <c r="AA320"/>
      <c r="AB320"/>
      <c r="AC320"/>
      <c r="AD320"/>
      <c r="AE320"/>
      <c r="AF320"/>
      <c r="AG320"/>
      <c r="AH320"/>
      <c r="AI320"/>
      <c r="AJ320"/>
      <c r="AK320"/>
      <c r="AL320"/>
      <c r="AM320"/>
    </row>
    <row r="321" spans="1:41"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row>
    <row r="322" spans="1:41" x14ac:dyDescent="0.2">
      <c r="A322"/>
      <c r="B322"/>
      <c r="C322"/>
      <c r="D322"/>
      <c r="E322"/>
      <c r="F322"/>
      <c r="G322"/>
      <c r="H322"/>
      <c r="I322"/>
      <c r="J322"/>
      <c r="K322"/>
      <c r="L322"/>
      <c r="M322"/>
      <c r="N322"/>
      <c r="O322"/>
      <c r="P322"/>
      <c r="Q322"/>
      <c r="R322"/>
      <c r="S322"/>
      <c r="T322"/>
      <c r="Y322"/>
      <c r="Z322"/>
      <c r="AA322"/>
      <c r="AB322"/>
      <c r="AC322"/>
      <c r="AD322"/>
      <c r="AE322"/>
      <c r="AF322"/>
      <c r="AH322"/>
      <c r="AI322"/>
      <c r="AJ322"/>
      <c r="AK322"/>
      <c r="AL322"/>
      <c r="AM322"/>
    </row>
    <row r="323" spans="1:41"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row>
    <row r="324" spans="1:41"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row>
    <row r="325" spans="1:41" x14ac:dyDescent="0.2">
      <c r="A325"/>
      <c r="B325"/>
      <c r="C325"/>
      <c r="D325"/>
      <c r="E325"/>
      <c r="F325"/>
      <c r="G325"/>
      <c r="H325"/>
      <c r="I325"/>
      <c r="J325"/>
      <c r="K325"/>
      <c r="L325"/>
      <c r="M325"/>
      <c r="N325"/>
      <c r="O325"/>
      <c r="P325"/>
      <c r="Q325"/>
      <c r="R325"/>
      <c r="S325"/>
      <c r="T325"/>
      <c r="U325"/>
      <c r="V325"/>
      <c r="W325"/>
      <c r="X325"/>
      <c r="Y325"/>
      <c r="AC325"/>
      <c r="AD325"/>
      <c r="AE325"/>
      <c r="AF325"/>
      <c r="AG325"/>
      <c r="AH325"/>
      <c r="AI325"/>
      <c r="AJ325"/>
      <c r="AK325"/>
      <c r="AL325"/>
      <c r="AM325"/>
    </row>
    <row r="326" spans="1:41" x14ac:dyDescent="0.2">
      <c r="A326"/>
      <c r="B326"/>
      <c r="C326"/>
      <c r="D326"/>
      <c r="E326"/>
      <c r="F326"/>
      <c r="G326"/>
      <c r="H326"/>
      <c r="I326"/>
      <c r="J326"/>
      <c r="K326"/>
      <c r="L326"/>
      <c r="M326"/>
      <c r="N326"/>
      <c r="O326"/>
      <c r="P326"/>
      <c r="Q326"/>
      <c r="R326"/>
      <c r="S326"/>
      <c r="T326"/>
      <c r="U326"/>
      <c r="V326"/>
      <c r="W326"/>
      <c r="X326"/>
      <c r="AC326"/>
      <c r="AD326"/>
      <c r="AE326"/>
      <c r="AF326"/>
      <c r="AG326"/>
      <c r="AH326"/>
      <c r="AI326"/>
      <c r="AJ326"/>
      <c r="AK326"/>
      <c r="AL326"/>
      <c r="AM326"/>
    </row>
    <row r="327" spans="1:41" x14ac:dyDescent="0.2">
      <c r="A327"/>
      <c r="B327"/>
      <c r="C327"/>
      <c r="D327"/>
      <c r="E327"/>
      <c r="F327"/>
      <c r="G327"/>
      <c r="H327"/>
      <c r="I327"/>
      <c r="J327"/>
      <c r="K327"/>
      <c r="L327"/>
      <c r="M327"/>
      <c r="N327"/>
      <c r="O327"/>
      <c r="P327"/>
      <c r="Q327"/>
      <c r="R327"/>
      <c r="S327"/>
      <c r="T327"/>
      <c r="U327"/>
      <c r="V327"/>
      <c r="W327"/>
      <c r="X327"/>
      <c r="AC327"/>
      <c r="AD327"/>
      <c r="AE327"/>
      <c r="AF327"/>
      <c r="AG327"/>
      <c r="AH327"/>
      <c r="AI327"/>
      <c r="AJ327"/>
      <c r="AK327"/>
      <c r="AL327"/>
      <c r="AM327"/>
    </row>
    <row r="328" spans="1:41"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row>
    <row r="329" spans="1:41"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row>
    <row r="330" spans="1:41"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row>
    <row r="331" spans="1:41" x14ac:dyDescent="0.2">
      <c r="A331"/>
      <c r="B331"/>
      <c r="C331"/>
      <c r="D331"/>
      <c r="E331"/>
      <c r="F331"/>
      <c r="G331"/>
      <c r="H331"/>
      <c r="I331"/>
      <c r="J331"/>
      <c r="K331"/>
      <c r="L331"/>
      <c r="M331"/>
      <c r="N331"/>
      <c r="O331"/>
      <c r="P331"/>
      <c r="Q331"/>
      <c r="R331"/>
      <c r="S331"/>
      <c r="T331"/>
      <c r="U331"/>
      <c r="V331"/>
      <c r="W331"/>
      <c r="X331"/>
      <c r="AC331"/>
      <c r="AD331"/>
      <c r="AE331"/>
      <c r="AF331"/>
      <c r="AG331"/>
      <c r="AH331"/>
      <c r="AI331"/>
      <c r="AJ331"/>
      <c r="AK331"/>
      <c r="AL331"/>
      <c r="AM331"/>
    </row>
    <row r="332" spans="1:41"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row>
    <row r="333" spans="1:41"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row>
    <row r="334" spans="1:41"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row>
    <row r="335" spans="1:41"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row>
    <row r="336" spans="1:41"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O336"/>
    </row>
    <row r="337" spans="1:39"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row>
    <row r="338" spans="1:39"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row>
    <row r="339" spans="1:39" x14ac:dyDescent="0.2">
      <c r="A339"/>
      <c r="B339"/>
      <c r="C339"/>
      <c r="D339"/>
      <c r="E339"/>
      <c r="F339"/>
      <c r="G339"/>
      <c r="H339"/>
      <c r="I339"/>
      <c r="J339"/>
      <c r="K339"/>
      <c r="L339"/>
      <c r="M339"/>
      <c r="N339"/>
      <c r="O339"/>
      <c r="P339"/>
      <c r="Q339"/>
      <c r="R339"/>
      <c r="S339"/>
      <c r="U339"/>
      <c r="Y339"/>
      <c r="AC339"/>
      <c r="AD339"/>
      <c r="AE339"/>
      <c r="AF339"/>
      <c r="AG339"/>
      <c r="AH339"/>
      <c r="AI339"/>
      <c r="AJ339"/>
      <c r="AK339"/>
      <c r="AL339"/>
      <c r="AM339"/>
    </row>
    <row r="340" spans="1:39" x14ac:dyDescent="0.2">
      <c r="A340"/>
      <c r="B340"/>
      <c r="C340"/>
      <c r="D340"/>
      <c r="E340"/>
      <c r="F340"/>
      <c r="G340"/>
      <c r="H340"/>
      <c r="I340"/>
      <c r="J340"/>
      <c r="K340"/>
      <c r="L340"/>
      <c r="M340"/>
      <c r="N340"/>
      <c r="O340"/>
      <c r="P340"/>
      <c r="Q340"/>
      <c r="R340"/>
      <c r="S340"/>
      <c r="T340"/>
      <c r="U340"/>
      <c r="Y340"/>
      <c r="AC340"/>
      <c r="AD340"/>
      <c r="AE340"/>
      <c r="AF340"/>
      <c r="AG340"/>
      <c r="AH340"/>
      <c r="AI340"/>
      <c r="AJ340"/>
      <c r="AK340"/>
      <c r="AL340"/>
      <c r="AM340"/>
    </row>
    <row r="341" spans="1:39"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row>
    <row r="342" spans="1:39"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row>
    <row r="343" spans="1:39"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row>
    <row r="344" spans="1:39"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row>
    <row r="345" spans="1:39"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row>
    <row r="346" spans="1:39" x14ac:dyDescent="0.2">
      <c r="A346"/>
      <c r="B346"/>
      <c r="C346"/>
      <c r="D346"/>
      <c r="E346"/>
      <c r="F346"/>
      <c r="G346"/>
      <c r="H346"/>
      <c r="I346"/>
      <c r="J346"/>
      <c r="K346"/>
      <c r="L346"/>
      <c r="M346"/>
      <c r="N346"/>
      <c r="O346"/>
      <c r="P346"/>
      <c r="U346"/>
      <c r="Y346"/>
      <c r="AC346"/>
      <c r="AD346"/>
      <c r="AE346"/>
      <c r="AF346"/>
      <c r="AG346"/>
      <c r="AH346"/>
      <c r="AI346"/>
      <c r="AJ346"/>
      <c r="AK346"/>
      <c r="AL346"/>
      <c r="AM346"/>
    </row>
    <row r="347" spans="1:39" x14ac:dyDescent="0.2">
      <c r="A347"/>
      <c r="B347"/>
      <c r="C347"/>
      <c r="D347"/>
      <c r="E347"/>
      <c r="F347"/>
      <c r="G347"/>
      <c r="H347"/>
      <c r="I347"/>
      <c r="J347"/>
      <c r="K347"/>
      <c r="L347"/>
      <c r="M347"/>
      <c r="N347"/>
      <c r="O347"/>
      <c r="P347"/>
      <c r="U347"/>
      <c r="Y347"/>
      <c r="AC347"/>
      <c r="AD347"/>
      <c r="AE347"/>
      <c r="AF347"/>
      <c r="AG347"/>
      <c r="AH347"/>
      <c r="AI347"/>
      <c r="AJ347"/>
      <c r="AK347"/>
      <c r="AL347"/>
      <c r="AM347"/>
    </row>
    <row r="348" spans="1:39"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row>
    <row r="349" spans="1:39" x14ac:dyDescent="0.2">
      <c r="A349"/>
      <c r="B349"/>
      <c r="C349"/>
      <c r="D349"/>
      <c r="E349"/>
      <c r="F349"/>
      <c r="G349"/>
      <c r="H349"/>
      <c r="I349"/>
      <c r="J349"/>
      <c r="K349"/>
      <c r="L349"/>
      <c r="M349"/>
      <c r="N349"/>
      <c r="O349"/>
      <c r="P349"/>
      <c r="Q349"/>
      <c r="R349"/>
      <c r="S349"/>
      <c r="T349"/>
      <c r="U349"/>
      <c r="V349"/>
      <c r="W349"/>
      <c r="X349"/>
      <c r="AC349"/>
      <c r="AD349"/>
      <c r="AE349"/>
      <c r="AF349"/>
      <c r="AG349"/>
      <c r="AH349"/>
      <c r="AI349"/>
      <c r="AJ349"/>
      <c r="AK349"/>
      <c r="AL349"/>
      <c r="AM349"/>
    </row>
    <row r="350" spans="1:39"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row>
    <row r="351" spans="1:39"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I351"/>
      <c r="AJ351"/>
      <c r="AK351"/>
      <c r="AL351"/>
      <c r="AM351"/>
    </row>
    <row r="352" spans="1:39"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row>
    <row r="353" spans="1:39" x14ac:dyDescent="0.2">
      <c r="A353"/>
      <c r="B353"/>
      <c r="C353"/>
      <c r="D353"/>
      <c r="E353"/>
      <c r="F353"/>
      <c r="G353"/>
      <c r="H353"/>
      <c r="I353"/>
      <c r="J353"/>
      <c r="K353"/>
      <c r="L353"/>
      <c r="M353"/>
      <c r="N353"/>
      <c r="O353"/>
      <c r="P353"/>
      <c r="Q353"/>
      <c r="R353"/>
      <c r="S353"/>
      <c r="T353"/>
      <c r="U353"/>
      <c r="V353"/>
      <c r="W353"/>
      <c r="X353"/>
      <c r="AC353"/>
      <c r="AD353"/>
      <c r="AE353"/>
      <c r="AF353"/>
      <c r="AG353"/>
      <c r="AH353"/>
      <c r="AI353"/>
      <c r="AJ353"/>
      <c r="AK353"/>
      <c r="AL353"/>
      <c r="AM353"/>
    </row>
    <row r="354" spans="1:39"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row>
    <row r="355" spans="1:39" x14ac:dyDescent="0.2">
      <c r="A355"/>
      <c r="B355"/>
      <c r="C355"/>
      <c r="D355"/>
      <c r="E355"/>
      <c r="F355"/>
      <c r="G355"/>
      <c r="H355"/>
      <c r="I355"/>
      <c r="J355"/>
      <c r="K355"/>
      <c r="L355"/>
      <c r="M355"/>
      <c r="N355"/>
      <c r="O355"/>
      <c r="P355"/>
      <c r="Q355"/>
      <c r="R355"/>
      <c r="S355"/>
      <c r="T355"/>
      <c r="U355"/>
      <c r="V355"/>
      <c r="W355"/>
      <c r="X355"/>
      <c r="AC355"/>
      <c r="AD355"/>
      <c r="AE355"/>
      <c r="AF355"/>
      <c r="AG355"/>
      <c r="AH355"/>
      <c r="AI355"/>
      <c r="AJ355"/>
      <c r="AK355"/>
      <c r="AL355"/>
      <c r="AM355"/>
    </row>
    <row r="356" spans="1:39" x14ac:dyDescent="0.2">
      <c r="A356"/>
      <c r="B356"/>
      <c r="C356"/>
      <c r="D356"/>
      <c r="E356"/>
      <c r="F356"/>
      <c r="G356"/>
      <c r="H356"/>
      <c r="I356"/>
      <c r="J356"/>
      <c r="K356"/>
      <c r="L356"/>
      <c r="M356"/>
      <c r="N356"/>
      <c r="O356"/>
      <c r="P356"/>
      <c r="Q356"/>
      <c r="R356"/>
      <c r="S356"/>
      <c r="T356"/>
      <c r="U356"/>
      <c r="V356"/>
      <c r="W356"/>
      <c r="X356"/>
      <c r="AC356"/>
      <c r="AD356"/>
      <c r="AE356"/>
      <c r="AF356"/>
      <c r="AG356"/>
      <c r="AH356"/>
      <c r="AI356"/>
      <c r="AJ356"/>
      <c r="AK356"/>
      <c r="AL356"/>
      <c r="AM356"/>
    </row>
    <row r="357" spans="1:39"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row>
    <row r="358" spans="1:39"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row>
    <row r="359" spans="1:39" x14ac:dyDescent="0.2">
      <c r="A359"/>
      <c r="B359"/>
      <c r="C359"/>
      <c r="D359"/>
      <c r="E359"/>
      <c r="F359"/>
      <c r="G359"/>
      <c r="H359"/>
      <c r="I359"/>
      <c r="J359"/>
      <c r="K359"/>
      <c r="L359"/>
      <c r="M359"/>
      <c r="O359"/>
      <c r="P359"/>
      <c r="Q359"/>
      <c r="R359"/>
      <c r="S359"/>
      <c r="T359"/>
      <c r="U359"/>
      <c r="V359"/>
      <c r="W359"/>
      <c r="X359"/>
      <c r="Y359"/>
      <c r="Z359"/>
      <c r="AA359"/>
      <c r="AB359"/>
      <c r="AC359"/>
      <c r="AD359"/>
      <c r="AE359"/>
      <c r="AF359"/>
      <c r="AG359"/>
      <c r="AH359"/>
      <c r="AI359"/>
      <c r="AJ359"/>
      <c r="AK359"/>
      <c r="AL359"/>
      <c r="AM359"/>
    </row>
    <row r="360" spans="1:39" x14ac:dyDescent="0.2">
      <c r="A360"/>
      <c r="B360"/>
      <c r="C360"/>
      <c r="D360"/>
      <c r="E360"/>
      <c r="F360"/>
      <c r="G360"/>
      <c r="H360"/>
      <c r="I360"/>
      <c r="J360"/>
      <c r="K360"/>
      <c r="L360"/>
      <c r="M360"/>
      <c r="O360"/>
      <c r="P360"/>
      <c r="Q360"/>
      <c r="R360"/>
      <c r="S360"/>
      <c r="T360"/>
      <c r="U360"/>
      <c r="V360"/>
      <c r="W360"/>
      <c r="X360"/>
      <c r="Y360"/>
      <c r="Z360"/>
      <c r="AA360"/>
      <c r="AB360"/>
      <c r="AC360"/>
      <c r="AD360"/>
      <c r="AE360"/>
      <c r="AF360"/>
      <c r="AG360"/>
      <c r="AH360"/>
      <c r="AI360"/>
      <c r="AJ360"/>
      <c r="AK360"/>
      <c r="AL360"/>
      <c r="AM360"/>
    </row>
    <row r="361" spans="1:39" x14ac:dyDescent="0.2">
      <c r="A361"/>
      <c r="B361"/>
      <c r="C361"/>
      <c r="D361"/>
      <c r="E361"/>
      <c r="F361"/>
      <c r="G361"/>
      <c r="H361"/>
      <c r="I361"/>
      <c r="J361"/>
      <c r="K361"/>
      <c r="L361"/>
      <c r="M361"/>
      <c r="O361"/>
      <c r="P361"/>
      <c r="Q361"/>
      <c r="R361"/>
      <c r="S361"/>
      <c r="T361"/>
      <c r="U361"/>
      <c r="V361"/>
      <c r="W361"/>
      <c r="X361"/>
      <c r="Y361"/>
      <c r="Z361"/>
      <c r="AA361"/>
      <c r="AB361"/>
      <c r="AC361"/>
      <c r="AD361"/>
      <c r="AE361"/>
      <c r="AF361"/>
      <c r="AG361"/>
      <c r="AH361"/>
      <c r="AI361"/>
      <c r="AJ361"/>
      <c r="AK361"/>
      <c r="AL361"/>
      <c r="AM361"/>
    </row>
    <row r="362" spans="1:39" x14ac:dyDescent="0.2">
      <c r="A362"/>
      <c r="B362"/>
      <c r="C362"/>
      <c r="D362"/>
      <c r="E362"/>
      <c r="F362"/>
      <c r="G362"/>
      <c r="H362"/>
      <c r="I362"/>
      <c r="J362"/>
      <c r="K362"/>
      <c r="L362"/>
      <c r="M362"/>
      <c r="O362"/>
      <c r="P362"/>
      <c r="Q362"/>
      <c r="R362"/>
      <c r="S362"/>
      <c r="T362"/>
      <c r="U362"/>
      <c r="V362"/>
      <c r="W362"/>
      <c r="X362"/>
      <c r="Y362"/>
      <c r="Z362"/>
      <c r="AA362"/>
      <c r="AB362"/>
      <c r="AC362"/>
      <c r="AD362"/>
      <c r="AE362"/>
      <c r="AF362"/>
      <c r="AG362"/>
      <c r="AH362"/>
      <c r="AI362"/>
      <c r="AJ362"/>
      <c r="AK362"/>
      <c r="AL362"/>
      <c r="AM362"/>
    </row>
    <row r="363" spans="1:39"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H363"/>
      <c r="AI363"/>
      <c r="AJ363"/>
      <c r="AK363"/>
      <c r="AL363"/>
      <c r="AM363"/>
    </row>
    <row r="364" spans="1:39"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row>
    <row r="365" spans="1:39" x14ac:dyDescent="0.2">
      <c r="A365"/>
      <c r="B365"/>
      <c r="C365"/>
      <c r="D365"/>
      <c r="E365"/>
      <c r="F365"/>
      <c r="G365"/>
      <c r="H365"/>
      <c r="I365"/>
      <c r="J365"/>
      <c r="K365"/>
      <c r="L365"/>
      <c r="M365"/>
      <c r="O365"/>
      <c r="P365"/>
      <c r="Q365"/>
      <c r="R365"/>
      <c r="S365"/>
      <c r="T365"/>
      <c r="U365"/>
      <c r="V365"/>
      <c r="W365"/>
      <c r="X365"/>
      <c r="Y365"/>
      <c r="Z365"/>
      <c r="AA365"/>
      <c r="AB365"/>
      <c r="AC365"/>
      <c r="AD365"/>
      <c r="AE365"/>
      <c r="AF365"/>
      <c r="AG365"/>
      <c r="AH365"/>
      <c r="AI365"/>
      <c r="AJ365"/>
      <c r="AK365"/>
      <c r="AL365"/>
      <c r="AM365"/>
    </row>
    <row r="366" spans="1:39" x14ac:dyDescent="0.2">
      <c r="A366"/>
      <c r="B366"/>
      <c r="C366"/>
      <c r="D366"/>
      <c r="E366"/>
      <c r="F366"/>
      <c r="G366"/>
      <c r="H366"/>
      <c r="I366"/>
      <c r="J366"/>
      <c r="K366"/>
      <c r="L366"/>
      <c r="M366"/>
      <c r="O366"/>
      <c r="P366"/>
      <c r="Q366"/>
      <c r="R366"/>
      <c r="S366"/>
      <c r="T366"/>
      <c r="U366"/>
      <c r="V366"/>
      <c r="W366"/>
      <c r="X366"/>
      <c r="Y366"/>
      <c r="Z366"/>
      <c r="AA366"/>
      <c r="AB366"/>
      <c r="AC366"/>
      <c r="AD366"/>
      <c r="AE366"/>
      <c r="AF366"/>
      <c r="AG366"/>
      <c r="AH366"/>
      <c r="AI366"/>
      <c r="AJ366"/>
      <c r="AK366"/>
      <c r="AL366"/>
      <c r="AM366"/>
    </row>
    <row r="367" spans="1:39" x14ac:dyDescent="0.2">
      <c r="A367"/>
      <c r="B367"/>
      <c r="C367"/>
      <c r="D367"/>
      <c r="E367"/>
      <c r="F367"/>
      <c r="G367"/>
      <c r="H367"/>
      <c r="I367"/>
      <c r="J367"/>
      <c r="K367"/>
      <c r="L367"/>
      <c r="M367"/>
      <c r="O367"/>
      <c r="P367"/>
      <c r="Q367"/>
      <c r="R367"/>
      <c r="S367"/>
      <c r="T367"/>
      <c r="U367"/>
      <c r="V367"/>
      <c r="W367"/>
      <c r="X367"/>
      <c r="Y367"/>
      <c r="Z367"/>
      <c r="AA367"/>
      <c r="AB367"/>
      <c r="AC367"/>
      <c r="AD367"/>
      <c r="AE367"/>
      <c r="AF367"/>
      <c r="AG367"/>
      <c r="AH367"/>
      <c r="AI367"/>
      <c r="AJ367"/>
      <c r="AK367"/>
      <c r="AL367"/>
      <c r="AM367"/>
    </row>
    <row r="368" spans="1:39" x14ac:dyDescent="0.2">
      <c r="A368"/>
      <c r="B368"/>
      <c r="C368"/>
      <c r="D368"/>
      <c r="E368"/>
      <c r="F368"/>
      <c r="G368"/>
      <c r="H368"/>
      <c r="I368"/>
      <c r="J368"/>
      <c r="K368"/>
      <c r="L368"/>
      <c r="M368"/>
      <c r="O368"/>
      <c r="P368"/>
      <c r="Q368"/>
      <c r="R368"/>
      <c r="S368"/>
      <c r="T368"/>
      <c r="U368"/>
      <c r="V368"/>
      <c r="W368"/>
      <c r="X368"/>
      <c r="Y368"/>
      <c r="Z368"/>
      <c r="AA368"/>
      <c r="AB368"/>
      <c r="AC368"/>
      <c r="AD368"/>
      <c r="AE368"/>
      <c r="AF368"/>
      <c r="AL368"/>
      <c r="AM368"/>
    </row>
    <row r="369" spans="1:39" x14ac:dyDescent="0.2">
      <c r="A369"/>
      <c r="B369"/>
      <c r="C369"/>
      <c r="D369"/>
      <c r="E369"/>
      <c r="F369"/>
      <c r="G369"/>
      <c r="H369"/>
      <c r="I369"/>
      <c r="J369"/>
      <c r="K369"/>
      <c r="L369"/>
      <c r="M369"/>
      <c r="O369"/>
      <c r="P369"/>
      <c r="Q369"/>
      <c r="R369"/>
      <c r="S369"/>
      <c r="T369"/>
      <c r="U369"/>
      <c r="V369"/>
      <c r="W369"/>
      <c r="X369"/>
      <c r="Y369"/>
      <c r="Z369"/>
      <c r="AA369"/>
      <c r="AB369"/>
      <c r="AC369"/>
      <c r="AD369"/>
      <c r="AE369"/>
      <c r="AF369"/>
      <c r="AG369"/>
      <c r="AH369"/>
      <c r="AI369"/>
      <c r="AJ369"/>
      <c r="AK369"/>
      <c r="AL369"/>
      <c r="AM369"/>
    </row>
    <row r="370" spans="1:39"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row>
    <row r="371" spans="1:39" x14ac:dyDescent="0.2">
      <c r="A371"/>
      <c r="B371"/>
      <c r="C371"/>
      <c r="D371"/>
      <c r="E371"/>
      <c r="F371"/>
      <c r="G371"/>
      <c r="H371"/>
      <c r="I371"/>
      <c r="J371"/>
      <c r="K371"/>
      <c r="L371"/>
      <c r="M371"/>
      <c r="O371"/>
      <c r="P371"/>
      <c r="Q371"/>
      <c r="R371"/>
      <c r="T371"/>
      <c r="U371"/>
      <c r="V371"/>
      <c r="W371"/>
      <c r="X371"/>
      <c r="AC371"/>
      <c r="AD371"/>
      <c r="AE371"/>
      <c r="AF371"/>
      <c r="AG371"/>
      <c r="AH371"/>
      <c r="AI371"/>
      <c r="AJ371"/>
      <c r="AK371"/>
      <c r="AL371"/>
      <c r="AM371"/>
    </row>
    <row r="372" spans="1:39" x14ac:dyDescent="0.2">
      <c r="A372"/>
      <c r="B372"/>
      <c r="C372"/>
      <c r="D372"/>
      <c r="E372"/>
      <c r="F372"/>
      <c r="G372"/>
      <c r="H372"/>
      <c r="I372"/>
      <c r="J372"/>
      <c r="K372"/>
      <c r="L372"/>
      <c r="M372"/>
      <c r="O372"/>
      <c r="P372"/>
      <c r="Q372"/>
      <c r="R372"/>
      <c r="S372"/>
      <c r="T372"/>
      <c r="U372"/>
      <c r="V372"/>
      <c r="W372"/>
      <c r="X372"/>
      <c r="AC372"/>
      <c r="AD372"/>
      <c r="AE372"/>
      <c r="AF372"/>
      <c r="AG372"/>
      <c r="AH372"/>
      <c r="AI372"/>
      <c r="AJ372"/>
      <c r="AK372"/>
      <c r="AL372"/>
      <c r="AM372"/>
    </row>
    <row r="373" spans="1:39" x14ac:dyDescent="0.2">
      <c r="A373"/>
      <c r="B373"/>
      <c r="C373"/>
      <c r="D373"/>
      <c r="E373"/>
      <c r="F373"/>
      <c r="G373"/>
      <c r="H373"/>
      <c r="I373"/>
      <c r="J373"/>
      <c r="K373"/>
      <c r="L373"/>
      <c r="M373"/>
      <c r="N373"/>
      <c r="O373"/>
      <c r="P373"/>
      <c r="Q373"/>
      <c r="R373"/>
      <c r="S373"/>
      <c r="T373"/>
      <c r="U373"/>
      <c r="V373"/>
      <c r="W373"/>
      <c r="X373"/>
      <c r="AC373"/>
      <c r="AD373"/>
      <c r="AE373"/>
      <c r="AF373"/>
      <c r="AG373"/>
      <c r="AH373"/>
      <c r="AI373"/>
      <c r="AJ373"/>
      <c r="AK373"/>
      <c r="AL373"/>
      <c r="AM373"/>
    </row>
    <row r="374" spans="1:39" x14ac:dyDescent="0.2">
      <c r="A374"/>
      <c r="B374"/>
      <c r="C374"/>
      <c r="D374"/>
      <c r="E374"/>
      <c r="F374"/>
      <c r="G374"/>
      <c r="H374"/>
      <c r="I374"/>
      <c r="J374"/>
      <c r="K374"/>
      <c r="L374"/>
      <c r="M374"/>
      <c r="O374"/>
      <c r="P374"/>
      <c r="Q374"/>
      <c r="R374"/>
      <c r="S374"/>
      <c r="T374"/>
      <c r="U374"/>
      <c r="V374"/>
      <c r="W374"/>
      <c r="X374"/>
      <c r="AC374"/>
      <c r="AD374"/>
      <c r="AE374"/>
      <c r="AF374"/>
      <c r="AG374"/>
      <c r="AH374"/>
      <c r="AI374"/>
      <c r="AJ374"/>
      <c r="AK374"/>
      <c r="AL374"/>
      <c r="AM374"/>
    </row>
    <row r="375" spans="1:39" x14ac:dyDescent="0.2">
      <c r="A375"/>
      <c r="B375"/>
      <c r="C375"/>
      <c r="D375"/>
      <c r="E375"/>
      <c r="F375"/>
      <c r="G375"/>
      <c r="H375"/>
      <c r="I375"/>
      <c r="J375"/>
      <c r="K375"/>
      <c r="L375"/>
      <c r="M375"/>
      <c r="O375"/>
      <c r="P375"/>
      <c r="Q375"/>
      <c r="R375"/>
      <c r="S375"/>
      <c r="T375"/>
      <c r="U375"/>
      <c r="V375"/>
      <c r="W375"/>
      <c r="X375"/>
      <c r="AC375"/>
      <c r="AD375"/>
      <c r="AE375"/>
      <c r="AF375"/>
      <c r="AG375"/>
      <c r="AH375"/>
      <c r="AI375"/>
      <c r="AJ375"/>
      <c r="AK375"/>
      <c r="AL375"/>
      <c r="AM375"/>
    </row>
    <row r="376" spans="1:39" x14ac:dyDescent="0.2">
      <c r="A376"/>
      <c r="B376"/>
      <c r="C376"/>
      <c r="D376"/>
      <c r="E376"/>
      <c r="F376"/>
      <c r="G376"/>
      <c r="H376"/>
      <c r="I376"/>
      <c r="J376"/>
      <c r="K376"/>
      <c r="L376"/>
      <c r="M376"/>
      <c r="N376"/>
      <c r="O376"/>
      <c r="P376"/>
      <c r="Q376"/>
      <c r="R376"/>
      <c r="S376"/>
      <c r="T376"/>
      <c r="U376"/>
      <c r="V376"/>
      <c r="W376"/>
      <c r="X376"/>
      <c r="AC376"/>
      <c r="AD376"/>
      <c r="AE376"/>
      <c r="AF376"/>
      <c r="AG376"/>
      <c r="AH376"/>
      <c r="AI376"/>
      <c r="AJ376"/>
      <c r="AK376"/>
      <c r="AL376"/>
      <c r="AM376"/>
    </row>
    <row r="377" spans="1:39" x14ac:dyDescent="0.2">
      <c r="A377"/>
      <c r="B377"/>
      <c r="C377"/>
      <c r="D377"/>
      <c r="E377"/>
      <c r="F377"/>
      <c r="G377"/>
      <c r="H377"/>
      <c r="I377"/>
      <c r="J377"/>
      <c r="K377"/>
      <c r="L377"/>
      <c r="M377"/>
      <c r="O377"/>
      <c r="P377"/>
      <c r="Q377"/>
      <c r="R377"/>
      <c r="S377"/>
      <c r="T377"/>
      <c r="U377"/>
      <c r="V377"/>
      <c r="W377"/>
      <c r="X377"/>
      <c r="AC377"/>
      <c r="AD377"/>
      <c r="AE377"/>
      <c r="AF377"/>
      <c r="AG377"/>
      <c r="AH377"/>
      <c r="AI377"/>
      <c r="AJ377"/>
      <c r="AK377"/>
      <c r="AL377"/>
      <c r="AM377"/>
    </row>
    <row r="378" spans="1:39" x14ac:dyDescent="0.2">
      <c r="A378"/>
      <c r="B378"/>
      <c r="C378"/>
      <c r="D378"/>
      <c r="E378"/>
      <c r="F378"/>
      <c r="G378"/>
      <c r="H378"/>
      <c r="I378"/>
      <c r="J378"/>
      <c r="K378"/>
      <c r="L378"/>
      <c r="M378"/>
      <c r="N378"/>
      <c r="O378"/>
      <c r="P378"/>
      <c r="Q378"/>
      <c r="R378"/>
      <c r="S378"/>
      <c r="T378"/>
      <c r="U378"/>
      <c r="V378"/>
      <c r="W378"/>
      <c r="X378"/>
      <c r="AC378"/>
      <c r="AD378"/>
      <c r="AE378"/>
      <c r="AF378"/>
      <c r="AG378"/>
      <c r="AI378"/>
      <c r="AJ378"/>
      <c r="AK378"/>
      <c r="AL378"/>
      <c r="AM378"/>
    </row>
    <row r="379" spans="1:39" x14ac:dyDescent="0.2">
      <c r="A379"/>
      <c r="B379"/>
      <c r="C379"/>
      <c r="D379"/>
      <c r="E379"/>
      <c r="F379"/>
      <c r="G379"/>
      <c r="H379"/>
      <c r="I379"/>
      <c r="J379"/>
      <c r="K379"/>
      <c r="L379"/>
      <c r="M379"/>
      <c r="N379"/>
      <c r="O379"/>
      <c r="P379"/>
      <c r="Q379"/>
      <c r="R379"/>
      <c r="S379"/>
      <c r="T379"/>
      <c r="U379"/>
      <c r="V379"/>
      <c r="W379"/>
      <c r="X379"/>
      <c r="AC379"/>
      <c r="AD379"/>
      <c r="AE379"/>
      <c r="AF379"/>
      <c r="AG379"/>
      <c r="AI379"/>
      <c r="AJ379"/>
      <c r="AK379"/>
      <c r="AL379"/>
      <c r="AM379"/>
    </row>
    <row r="380" spans="1:39" x14ac:dyDescent="0.2">
      <c r="A380"/>
      <c r="B380"/>
      <c r="C380"/>
      <c r="D380"/>
      <c r="E380"/>
      <c r="F380"/>
      <c r="G380"/>
      <c r="H380"/>
      <c r="I380"/>
      <c r="J380"/>
      <c r="K380"/>
      <c r="L380"/>
      <c r="M380"/>
      <c r="N380"/>
      <c r="O380"/>
      <c r="P380"/>
      <c r="Q380"/>
      <c r="R380"/>
      <c r="S380"/>
      <c r="T380"/>
      <c r="U380"/>
      <c r="V380"/>
      <c r="W380"/>
      <c r="X380"/>
      <c r="AC380"/>
      <c r="AD380"/>
      <c r="AE380"/>
      <c r="AF380"/>
      <c r="AG380"/>
      <c r="AH380"/>
      <c r="AI380"/>
      <c r="AJ380"/>
      <c r="AK380"/>
      <c r="AL380"/>
      <c r="AM380"/>
    </row>
    <row r="381" spans="1:39" x14ac:dyDescent="0.2">
      <c r="A381"/>
      <c r="B381"/>
      <c r="C381"/>
      <c r="D381"/>
      <c r="E381"/>
      <c r="F381"/>
      <c r="G381"/>
      <c r="H381"/>
      <c r="I381"/>
      <c r="J381"/>
      <c r="K381"/>
      <c r="L381"/>
      <c r="M381"/>
      <c r="N381"/>
      <c r="O381"/>
      <c r="P381"/>
      <c r="Q381"/>
      <c r="R381"/>
      <c r="S381"/>
      <c r="T381"/>
      <c r="U381"/>
      <c r="V381"/>
      <c r="W381"/>
      <c r="X381"/>
      <c r="AC381"/>
      <c r="AD381"/>
      <c r="AE381"/>
      <c r="AF381"/>
      <c r="AG381"/>
      <c r="AH381"/>
      <c r="AI381"/>
      <c r="AJ381"/>
      <c r="AK381"/>
      <c r="AL381"/>
      <c r="AM381"/>
    </row>
    <row r="382" spans="1:39" x14ac:dyDescent="0.2">
      <c r="A382"/>
      <c r="B382"/>
      <c r="C382"/>
      <c r="D382"/>
      <c r="E382"/>
      <c r="F382"/>
      <c r="G382"/>
      <c r="H382"/>
      <c r="I382"/>
      <c r="J382"/>
      <c r="K382"/>
      <c r="L382"/>
      <c r="M382"/>
      <c r="N382"/>
      <c r="O382"/>
      <c r="P382"/>
      <c r="Q382"/>
      <c r="R382"/>
      <c r="S382"/>
      <c r="T382"/>
      <c r="U382"/>
      <c r="V382"/>
      <c r="W382"/>
      <c r="X382"/>
      <c r="AC382"/>
      <c r="AD382"/>
      <c r="AE382"/>
      <c r="AF382"/>
      <c r="AG382"/>
      <c r="AH382"/>
      <c r="AI382"/>
      <c r="AJ382"/>
      <c r="AK382"/>
      <c r="AL382"/>
      <c r="AM382"/>
    </row>
    <row r="383" spans="1:39" x14ac:dyDescent="0.2">
      <c r="A383"/>
      <c r="B383"/>
      <c r="C383"/>
      <c r="D383"/>
      <c r="E383"/>
      <c r="F383"/>
      <c r="G383"/>
      <c r="H383"/>
      <c r="I383"/>
      <c r="J383"/>
      <c r="K383"/>
      <c r="L383"/>
      <c r="M383"/>
      <c r="N383"/>
      <c r="O383"/>
      <c r="P383"/>
      <c r="Q383"/>
      <c r="R383"/>
      <c r="S383"/>
      <c r="T383"/>
      <c r="U383"/>
      <c r="V383"/>
      <c r="W383"/>
      <c r="X383"/>
      <c r="AC383"/>
      <c r="AD383"/>
      <c r="AE383"/>
      <c r="AF383"/>
      <c r="AG383"/>
      <c r="AH383"/>
      <c r="AI383"/>
      <c r="AJ383"/>
      <c r="AK383"/>
      <c r="AL383"/>
      <c r="AM383"/>
    </row>
    <row r="384" spans="1:39" x14ac:dyDescent="0.2">
      <c r="A384"/>
      <c r="B384"/>
      <c r="C384"/>
      <c r="D384"/>
      <c r="E384"/>
      <c r="F384"/>
      <c r="G384"/>
      <c r="H384"/>
      <c r="I384"/>
      <c r="J384"/>
      <c r="K384"/>
      <c r="L384"/>
      <c r="M384"/>
      <c r="N384"/>
      <c r="O384"/>
      <c r="P384"/>
      <c r="Q384"/>
      <c r="R384"/>
      <c r="S384"/>
      <c r="T384"/>
      <c r="U384"/>
      <c r="V384"/>
      <c r="W384"/>
      <c r="X384"/>
      <c r="AC384"/>
      <c r="AD384"/>
      <c r="AE384"/>
      <c r="AF384"/>
      <c r="AG384"/>
      <c r="AH384"/>
      <c r="AI384"/>
      <c r="AJ384"/>
      <c r="AK384"/>
      <c r="AL384"/>
      <c r="AM384"/>
    </row>
    <row r="385" spans="1:41" x14ac:dyDescent="0.2">
      <c r="A385"/>
      <c r="B385"/>
      <c r="C385"/>
      <c r="D385"/>
      <c r="E385"/>
      <c r="F385"/>
      <c r="G385"/>
      <c r="H385"/>
      <c r="I385"/>
      <c r="J385"/>
      <c r="K385"/>
      <c r="L385"/>
      <c r="M385"/>
      <c r="N385"/>
      <c r="O385"/>
      <c r="P385"/>
      <c r="Q385"/>
      <c r="R385"/>
      <c r="S385"/>
      <c r="T385"/>
      <c r="U385"/>
      <c r="V385"/>
      <c r="W385"/>
      <c r="X385"/>
      <c r="AC385"/>
      <c r="AD385"/>
      <c r="AE385"/>
      <c r="AF385"/>
      <c r="AG385"/>
      <c r="AH385"/>
      <c r="AI385"/>
      <c r="AJ385"/>
      <c r="AK385"/>
      <c r="AL385"/>
      <c r="AM385"/>
    </row>
    <row r="386" spans="1:41" x14ac:dyDescent="0.2">
      <c r="A386"/>
      <c r="B386"/>
      <c r="C386"/>
      <c r="D386"/>
      <c r="E386"/>
      <c r="F386"/>
      <c r="G386"/>
      <c r="H386"/>
      <c r="I386"/>
      <c r="J386"/>
      <c r="K386"/>
      <c r="L386"/>
      <c r="M386"/>
      <c r="N386"/>
      <c r="O386"/>
      <c r="P386"/>
      <c r="Q386"/>
      <c r="R386"/>
      <c r="S386"/>
      <c r="T386"/>
      <c r="U386"/>
      <c r="V386"/>
      <c r="W386"/>
      <c r="X386"/>
      <c r="AC386"/>
      <c r="AD386"/>
      <c r="AE386"/>
      <c r="AF386"/>
      <c r="AG386"/>
      <c r="AH386"/>
      <c r="AI386"/>
      <c r="AJ386"/>
      <c r="AK386"/>
      <c r="AL386"/>
      <c r="AM386"/>
    </row>
    <row r="387" spans="1:41" x14ac:dyDescent="0.2">
      <c r="A387"/>
      <c r="B387"/>
      <c r="C387"/>
      <c r="D387"/>
      <c r="E387"/>
      <c r="F387"/>
      <c r="G387"/>
      <c r="H387"/>
      <c r="I387"/>
      <c r="J387"/>
      <c r="K387"/>
      <c r="L387"/>
      <c r="M387"/>
      <c r="N387"/>
      <c r="O387"/>
      <c r="P387"/>
      <c r="Q387"/>
      <c r="R387"/>
      <c r="S387"/>
      <c r="T387"/>
      <c r="U387"/>
      <c r="V387"/>
      <c r="W387"/>
      <c r="X387"/>
      <c r="AC387"/>
      <c r="AD387"/>
      <c r="AE387"/>
      <c r="AF387"/>
      <c r="AG387"/>
      <c r="AH387"/>
      <c r="AI387"/>
      <c r="AJ387"/>
      <c r="AK387"/>
      <c r="AL387"/>
      <c r="AM387"/>
    </row>
    <row r="388" spans="1:41" x14ac:dyDescent="0.2">
      <c r="A388"/>
      <c r="B388"/>
      <c r="C388"/>
      <c r="D388"/>
      <c r="E388"/>
      <c r="F388"/>
      <c r="G388"/>
      <c r="H388"/>
      <c r="I388"/>
      <c r="J388"/>
      <c r="K388"/>
      <c r="L388"/>
      <c r="M388"/>
      <c r="N388"/>
      <c r="O388"/>
      <c r="P388"/>
      <c r="Q388"/>
      <c r="R388"/>
      <c r="S388"/>
      <c r="T388"/>
      <c r="U388"/>
      <c r="V388"/>
      <c r="W388"/>
      <c r="X388"/>
      <c r="AC388"/>
      <c r="AD388"/>
      <c r="AE388"/>
      <c r="AF388"/>
      <c r="AG388"/>
      <c r="AH388"/>
      <c r="AI388"/>
      <c r="AJ388"/>
      <c r="AK388"/>
      <c r="AL388"/>
      <c r="AM388"/>
    </row>
    <row r="389" spans="1:41" x14ac:dyDescent="0.2">
      <c r="A389"/>
      <c r="B389"/>
      <c r="C389"/>
      <c r="D389"/>
      <c r="E389"/>
      <c r="F389"/>
      <c r="G389"/>
      <c r="H389"/>
      <c r="I389"/>
      <c r="J389"/>
      <c r="K389"/>
      <c r="L389"/>
      <c r="M389"/>
      <c r="N389"/>
      <c r="O389"/>
      <c r="P389"/>
      <c r="Q389"/>
      <c r="R389"/>
      <c r="S389"/>
      <c r="T389"/>
      <c r="U389"/>
      <c r="V389"/>
      <c r="W389"/>
      <c r="X389"/>
      <c r="AC389"/>
      <c r="AD389"/>
      <c r="AE389"/>
      <c r="AF389"/>
      <c r="AG389"/>
      <c r="AH389"/>
      <c r="AI389"/>
      <c r="AJ389"/>
      <c r="AK389"/>
      <c r="AL389"/>
      <c r="AM389"/>
    </row>
    <row r="390" spans="1:41" x14ac:dyDescent="0.2">
      <c r="A390"/>
      <c r="B390"/>
      <c r="C390"/>
      <c r="D390"/>
      <c r="E390"/>
      <c r="F390"/>
      <c r="G390"/>
      <c r="H390"/>
      <c r="I390"/>
      <c r="J390"/>
      <c r="K390"/>
      <c r="L390"/>
      <c r="M390"/>
      <c r="O390"/>
      <c r="P390"/>
      <c r="Q390"/>
      <c r="R390"/>
      <c r="S390"/>
      <c r="T390"/>
      <c r="U390"/>
      <c r="V390"/>
      <c r="W390"/>
      <c r="X390"/>
      <c r="AC390"/>
      <c r="AD390"/>
      <c r="AE390"/>
      <c r="AF390"/>
      <c r="AG390"/>
      <c r="AH390"/>
      <c r="AI390"/>
      <c r="AJ390"/>
      <c r="AK390"/>
      <c r="AL390"/>
      <c r="AM390"/>
    </row>
    <row r="391" spans="1:41" x14ac:dyDescent="0.2">
      <c r="A391"/>
      <c r="B391"/>
      <c r="C391"/>
      <c r="D391"/>
      <c r="E391"/>
      <c r="F391"/>
      <c r="G391"/>
      <c r="H391"/>
      <c r="I391"/>
      <c r="J391"/>
      <c r="K391"/>
      <c r="L391"/>
      <c r="M391"/>
      <c r="N391"/>
      <c r="O391"/>
      <c r="P391"/>
      <c r="Q391"/>
      <c r="R391"/>
      <c r="S391"/>
      <c r="T391"/>
      <c r="U391"/>
      <c r="V391"/>
      <c r="W391"/>
      <c r="X391"/>
      <c r="AC391"/>
      <c r="AD391"/>
      <c r="AE391"/>
      <c r="AF391"/>
      <c r="AG391"/>
      <c r="AH391"/>
      <c r="AI391"/>
      <c r="AJ391"/>
      <c r="AK391"/>
      <c r="AL391"/>
      <c r="AM391"/>
    </row>
    <row r="392" spans="1:41" x14ac:dyDescent="0.2">
      <c r="A392"/>
      <c r="B392"/>
      <c r="C392"/>
      <c r="D392"/>
      <c r="E392"/>
      <c r="F392"/>
      <c r="G392"/>
      <c r="H392"/>
      <c r="I392"/>
      <c r="J392"/>
      <c r="K392"/>
      <c r="L392"/>
      <c r="M392"/>
      <c r="N392"/>
      <c r="O392"/>
      <c r="P392"/>
      <c r="Q392"/>
      <c r="R392"/>
      <c r="S392"/>
      <c r="T392"/>
      <c r="U392"/>
      <c r="V392"/>
      <c r="W392"/>
      <c r="X392"/>
      <c r="AC392"/>
      <c r="AD392"/>
      <c r="AE392"/>
      <c r="AF392"/>
      <c r="AG392"/>
      <c r="AH392"/>
      <c r="AI392"/>
      <c r="AJ392"/>
      <c r="AK392"/>
      <c r="AL392"/>
      <c r="AM392"/>
    </row>
    <row r="393" spans="1:41"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row>
    <row r="394" spans="1:41" x14ac:dyDescent="0.2">
      <c r="A394"/>
      <c r="B394"/>
      <c r="C394"/>
      <c r="D394"/>
      <c r="E394"/>
      <c r="F394"/>
      <c r="G394"/>
      <c r="H394"/>
      <c r="I394"/>
      <c r="J394"/>
      <c r="K394"/>
      <c r="L394"/>
      <c r="M394"/>
      <c r="N394"/>
      <c r="O394"/>
      <c r="P394"/>
      <c r="Q394"/>
      <c r="R394"/>
      <c r="S394"/>
      <c r="T394"/>
      <c r="U394"/>
      <c r="V394"/>
      <c r="W394"/>
      <c r="X394"/>
      <c r="AC394"/>
      <c r="AD394"/>
      <c r="AE394"/>
      <c r="AF394"/>
      <c r="AG394"/>
      <c r="AH394"/>
      <c r="AI394"/>
      <c r="AJ394"/>
      <c r="AK394"/>
      <c r="AL394"/>
    </row>
    <row r="395" spans="1:41" x14ac:dyDescent="0.2">
      <c r="A395"/>
      <c r="B395"/>
      <c r="C395"/>
      <c r="D395"/>
      <c r="E395"/>
      <c r="F395"/>
      <c r="G395"/>
      <c r="H395"/>
      <c r="I395"/>
      <c r="J395"/>
      <c r="K395"/>
      <c r="L395"/>
      <c r="M395"/>
      <c r="N395"/>
      <c r="O395"/>
      <c r="P395"/>
      <c r="Q395"/>
      <c r="R395"/>
      <c r="S395"/>
      <c r="T395"/>
      <c r="U395"/>
      <c r="V395"/>
      <c r="W395"/>
      <c r="X395"/>
      <c r="AC395"/>
      <c r="AD395"/>
      <c r="AE395"/>
      <c r="AF395"/>
      <c r="AG395"/>
      <c r="AH395"/>
      <c r="AI395"/>
      <c r="AJ395"/>
      <c r="AK395"/>
      <c r="AL395"/>
      <c r="AM395"/>
    </row>
    <row r="396" spans="1:41"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row>
    <row r="397" spans="1:41"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row>
    <row r="398" spans="1:41"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row>
    <row r="399" spans="1:41"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O399"/>
    </row>
    <row r="400" spans="1:41" x14ac:dyDescent="0.2">
      <c r="A400"/>
      <c r="B400"/>
      <c r="C400"/>
      <c r="D400"/>
      <c r="E400"/>
      <c r="F400"/>
      <c r="G400"/>
      <c r="H400"/>
      <c r="I400"/>
      <c r="J400"/>
      <c r="K400"/>
      <c r="L400"/>
      <c r="M400"/>
      <c r="N400"/>
      <c r="O400"/>
      <c r="P400"/>
      <c r="Q400"/>
      <c r="R400"/>
      <c r="S400"/>
      <c r="T400"/>
      <c r="U400"/>
      <c r="V400"/>
      <c r="W400"/>
      <c r="X400"/>
      <c r="AC400"/>
      <c r="AD400"/>
      <c r="AE400"/>
      <c r="AF400"/>
      <c r="AG400"/>
      <c r="AH400"/>
      <c r="AI400"/>
      <c r="AJ400"/>
      <c r="AK400"/>
      <c r="AL400"/>
      <c r="AM400"/>
    </row>
    <row r="401" spans="1:39" x14ac:dyDescent="0.2">
      <c r="A401"/>
      <c r="B401"/>
      <c r="C401"/>
      <c r="D401"/>
      <c r="E401"/>
      <c r="F401"/>
      <c r="G401"/>
      <c r="H401"/>
      <c r="I401"/>
      <c r="J401"/>
      <c r="K401"/>
      <c r="L401"/>
      <c r="M401"/>
      <c r="N401"/>
      <c r="O401"/>
      <c r="P401"/>
      <c r="Q401"/>
      <c r="R401"/>
      <c r="S401"/>
      <c r="T401"/>
      <c r="U401"/>
      <c r="V401"/>
      <c r="W401"/>
      <c r="X401"/>
      <c r="AC401"/>
      <c r="AD401"/>
      <c r="AE401"/>
      <c r="AF401"/>
      <c r="AG401"/>
      <c r="AH401"/>
      <c r="AI401"/>
      <c r="AJ401"/>
      <c r="AK401"/>
      <c r="AL401"/>
      <c r="AM401"/>
    </row>
    <row r="402" spans="1:39"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row>
    <row r="403" spans="1:39" x14ac:dyDescent="0.2">
      <c r="A403"/>
      <c r="B403"/>
      <c r="C403"/>
      <c r="D403"/>
      <c r="E403"/>
      <c r="F403"/>
      <c r="G403"/>
      <c r="H403"/>
      <c r="I403"/>
      <c r="J403"/>
      <c r="K403"/>
      <c r="L403"/>
      <c r="M403"/>
      <c r="N403"/>
      <c r="O403"/>
      <c r="P403"/>
      <c r="Q403"/>
      <c r="R403"/>
      <c r="S403"/>
      <c r="T403"/>
      <c r="U403"/>
      <c r="V403"/>
      <c r="W403"/>
      <c r="X403"/>
      <c r="AC403"/>
      <c r="AD403"/>
      <c r="AE403"/>
      <c r="AF403"/>
      <c r="AG403"/>
      <c r="AH403"/>
      <c r="AI403"/>
      <c r="AJ403"/>
      <c r="AK403"/>
      <c r="AL403"/>
      <c r="AM403"/>
    </row>
    <row r="404" spans="1:39" x14ac:dyDescent="0.2">
      <c r="A404"/>
      <c r="B404"/>
      <c r="C404"/>
      <c r="D404"/>
      <c r="E404"/>
      <c r="F404"/>
      <c r="G404"/>
      <c r="H404"/>
      <c r="I404"/>
      <c r="J404"/>
      <c r="K404"/>
      <c r="L404"/>
      <c r="M404"/>
      <c r="N404"/>
      <c r="O404"/>
      <c r="P404"/>
      <c r="Q404"/>
      <c r="R404"/>
      <c r="S404"/>
      <c r="T404"/>
      <c r="U404"/>
      <c r="V404"/>
      <c r="W404"/>
      <c r="X404"/>
      <c r="AC404"/>
      <c r="AD404"/>
      <c r="AE404"/>
      <c r="AF404"/>
      <c r="AG404"/>
      <c r="AH404"/>
      <c r="AI404"/>
      <c r="AJ404"/>
      <c r="AK404"/>
      <c r="AL404"/>
      <c r="AM404"/>
    </row>
    <row r="405" spans="1:39" x14ac:dyDescent="0.2">
      <c r="A405"/>
      <c r="B405"/>
      <c r="C405"/>
      <c r="D405"/>
      <c r="E405"/>
      <c r="F405"/>
      <c r="G405"/>
      <c r="H405"/>
      <c r="I405"/>
      <c r="J405"/>
      <c r="K405"/>
      <c r="L405"/>
      <c r="M405"/>
      <c r="N405"/>
      <c r="O405"/>
      <c r="P405"/>
      <c r="Q405"/>
      <c r="R405"/>
      <c r="S405"/>
      <c r="T405"/>
      <c r="U405"/>
      <c r="V405"/>
      <c r="W405"/>
      <c r="X405"/>
      <c r="AC405"/>
      <c r="AD405"/>
      <c r="AE405"/>
      <c r="AF405"/>
      <c r="AG405"/>
      <c r="AH405"/>
      <c r="AI405"/>
      <c r="AJ405"/>
      <c r="AK405"/>
      <c r="AL405"/>
      <c r="AM405"/>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92" bestFit="1" customWidth="1"/>
    <col min="2" max="2" width="12.85546875" style="186" customWidth="1"/>
    <col min="3" max="3" width="16.5703125" style="191" customWidth="1"/>
    <col min="4" max="4" width="10.42578125" style="143" customWidth="1"/>
    <col min="5" max="5" width="10.28515625" style="143" customWidth="1"/>
    <col min="6" max="6" width="12.85546875" style="143" customWidth="1"/>
    <col min="7" max="7" width="17.7109375" style="143" customWidth="1"/>
    <col min="8" max="10" width="11.140625" style="143" customWidth="1"/>
    <col min="11" max="11" width="10.140625" style="143" bestFit="1" customWidth="1"/>
    <col min="12" max="12" width="11.7109375" style="143" bestFit="1" customWidth="1"/>
    <col min="13" max="13" width="19.85546875" style="143" customWidth="1"/>
    <col min="14" max="15" width="9.140625" style="143"/>
    <col min="16" max="16" width="16" style="143" customWidth="1"/>
    <col min="17" max="17" width="14.7109375" style="143" customWidth="1"/>
    <col min="18" max="18" width="10.140625" style="143" customWidth="1"/>
    <col min="19" max="19" width="12.140625" style="143" customWidth="1"/>
    <col min="20" max="20" width="3.5703125" style="316" customWidth="1"/>
    <col min="21" max="21" width="15.85546875" style="316" customWidth="1"/>
    <col min="22" max="22" width="13.5703125" style="316" customWidth="1"/>
    <col min="23" max="23" width="11.140625" style="316" customWidth="1"/>
    <col min="24" max="16384" width="9.140625" style="316"/>
  </cols>
  <sheetData>
    <row r="1" spans="1:22" ht="23.25" x14ac:dyDescent="0.35">
      <c r="A1" s="669" t="s">
        <v>956</v>
      </c>
      <c r="B1" s="333"/>
      <c r="C1" s="528" t="s">
        <v>50</v>
      </c>
      <c r="D1" s="529"/>
      <c r="E1" s="529"/>
      <c r="F1" s="529"/>
      <c r="G1" s="141" t="e" cm="1">
        <f t="array" ref="G1">GetFormattedWorkItemNumber(K14, D24)</f>
        <v>#VALUE!</v>
      </c>
      <c r="H1" s="141"/>
      <c r="I1" s="142"/>
      <c r="J1" s="316"/>
      <c r="K1" s="316"/>
      <c r="L1" s="316"/>
      <c r="M1" s="316"/>
      <c r="N1" s="316"/>
      <c r="O1" s="316"/>
      <c r="P1" s="316"/>
      <c r="Q1" s="316"/>
      <c r="R1" s="316"/>
      <c r="S1" s="316"/>
    </row>
    <row r="2" spans="1:22" ht="12.75" customHeight="1" x14ac:dyDescent="0.2">
      <c r="A2" s="334"/>
      <c r="B2" s="335"/>
      <c r="C2" s="316"/>
      <c r="D2" s="316"/>
      <c r="E2" s="336"/>
      <c r="F2" s="336"/>
      <c r="G2" s="335"/>
      <c r="H2" s="316"/>
      <c r="I2" s="316"/>
      <c r="J2" s="316"/>
      <c r="K2" s="316"/>
      <c r="L2" s="317"/>
      <c r="M2" s="317"/>
      <c r="N2" s="317"/>
      <c r="O2" s="317"/>
      <c r="P2" s="317"/>
      <c r="Q2" s="317"/>
      <c r="R2" s="317"/>
      <c r="S2" s="317"/>
      <c r="T2" s="317"/>
      <c r="U2" s="317"/>
      <c r="V2" s="317"/>
    </row>
    <row r="3" spans="1:22" s="291" customFormat="1" x14ac:dyDescent="0.2">
      <c r="A3" s="334"/>
      <c r="B3" s="144"/>
      <c r="C3" s="145" t="s">
        <v>72</v>
      </c>
      <c r="D3" s="293"/>
      <c r="E3" s="316"/>
      <c r="F3" s="316"/>
      <c r="G3" s="316"/>
      <c r="H3" s="316"/>
      <c r="I3" s="316"/>
      <c r="J3" s="530" t="s">
        <v>102</v>
      </c>
      <c r="K3" s="531"/>
      <c r="L3" s="532"/>
      <c r="M3" s="316"/>
      <c r="N3" s="547" t="s">
        <v>91</v>
      </c>
      <c r="O3" s="547"/>
      <c r="P3" s="547"/>
      <c r="Q3" s="547"/>
      <c r="R3" s="547"/>
      <c r="S3" s="547"/>
      <c r="T3" s="662"/>
    </row>
    <row r="4" spans="1:22" s="291" customFormat="1" x14ac:dyDescent="0.2">
      <c r="A4" s="334"/>
      <c r="B4" s="144"/>
      <c r="C4" s="145" t="s">
        <v>232</v>
      </c>
      <c r="D4" s="298" t="str">
        <f>IF(Condition="","",Condition)</f>
        <v/>
      </c>
      <c r="E4" s="316"/>
      <c r="F4" s="316"/>
      <c r="G4" s="316"/>
      <c r="H4" s="316"/>
      <c r="I4" s="316"/>
      <c r="J4" s="535" t="s">
        <v>1</v>
      </c>
      <c r="K4" s="536"/>
      <c r="L4" s="146">
        <f>IFERROR(Survey!N2,0)</f>
        <v>0</v>
      </c>
      <c r="M4" s="316"/>
      <c r="N4" s="147" t="s">
        <v>90</v>
      </c>
      <c r="O4" s="148" t="s">
        <v>89</v>
      </c>
      <c r="P4" s="533" t="s">
        <v>100</v>
      </c>
      <c r="Q4" s="534"/>
      <c r="R4" s="147" t="s">
        <v>137</v>
      </c>
      <c r="S4" s="147" t="s">
        <v>141</v>
      </c>
      <c r="T4" s="662"/>
    </row>
    <row r="5" spans="1:22" s="291" customFormat="1" x14ac:dyDescent="0.2">
      <c r="A5" s="334"/>
      <c r="B5" s="144"/>
      <c r="C5" s="145" t="s">
        <v>41</v>
      </c>
      <c r="D5" s="551" t="e">
        <f>companyName</f>
        <v>#N/A</v>
      </c>
      <c r="E5" s="552"/>
      <c r="F5" s="552"/>
      <c r="G5" s="552"/>
      <c r="H5" s="553"/>
      <c r="I5" s="299"/>
      <c r="J5" s="535" t="s">
        <v>2</v>
      </c>
      <c r="K5" s="536"/>
      <c r="L5" s="146">
        <f>IFERROR(Survey!N3,0)</f>
        <v>0</v>
      </c>
      <c r="M5" s="316"/>
      <c r="N5" s="462">
        <v>1</v>
      </c>
      <c r="O5" s="149"/>
      <c r="P5" s="564" t="str">
        <f>VLOOKUP(N5,Alerts[],3,FALSE)</f>
        <v/>
      </c>
      <c r="Q5" s="565"/>
      <c r="R5" s="463" t="str" cm="1">
        <f t="array" ref="R5">IFZERO(VLOOKUP(N5,Alerts[],4,FALSE),"")</f>
        <v/>
      </c>
      <c r="S5" s="150" t="str" cm="1">
        <f t="array" ref="S5">IFZERO(VLOOKUP(N5,Alerts[],5,FALSE),"")</f>
        <v/>
      </c>
      <c r="T5" s="662"/>
    </row>
    <row r="6" spans="1:22" s="291" customFormat="1" x14ac:dyDescent="0.2">
      <c r="A6" s="334"/>
      <c r="B6" s="144"/>
      <c r="C6" s="145" t="s">
        <v>40</v>
      </c>
      <c r="D6" s="548" t="e">
        <f>VLOOKUP("assetName",WorkItemDetails[],2,FALSE)</f>
        <v>#N/A</v>
      </c>
      <c r="E6" s="549"/>
      <c r="F6" s="549"/>
      <c r="G6" s="549"/>
      <c r="H6" s="550"/>
      <c r="J6" s="535" t="s">
        <v>101</v>
      </c>
      <c r="K6" s="536"/>
      <c r="L6" s="146">
        <f>L4-L5</f>
        <v>0</v>
      </c>
      <c r="M6" s="316"/>
      <c r="N6" s="462">
        <v>2</v>
      </c>
      <c r="O6" s="149"/>
      <c r="P6" s="564" t="str">
        <f>VLOOKUP(N6,Alerts[],3,FALSE)</f>
        <v/>
      </c>
      <c r="Q6" s="565"/>
      <c r="R6" s="463" t="str" cm="1">
        <f t="array" ref="R6">IFZERO(VLOOKUP(N6,Alerts[],4,FALSE),"")</f>
        <v/>
      </c>
      <c r="S6" s="150" t="str" cm="1">
        <f t="array" ref="S6">IFZERO(VLOOKUP(N6,Alerts[],5,FALSE),"")</f>
        <v/>
      </c>
      <c r="T6" s="662"/>
    </row>
    <row r="7" spans="1:22" s="291" customFormat="1" x14ac:dyDescent="0.2">
      <c r="A7" s="334"/>
      <c r="B7" s="151"/>
      <c r="C7" s="152" t="s">
        <v>27</v>
      </c>
      <c r="D7" s="413" t="str" cm="1">
        <f t="array" ref="D7">Employee[Name]</f>
        <v>Jeff Hall</v>
      </c>
      <c r="E7" s="316"/>
      <c r="F7" s="316"/>
      <c r="G7" s="316"/>
      <c r="H7" s="316"/>
      <c r="I7" s="316"/>
      <c r="J7" s="337"/>
      <c r="K7" s="337"/>
      <c r="L7" s="337"/>
      <c r="M7" s="316"/>
      <c r="N7" s="462">
        <v>3</v>
      </c>
      <c r="O7" s="149"/>
      <c r="P7" s="564" t="str">
        <f>VLOOKUP(N7,Alerts[],3,FALSE)</f>
        <v/>
      </c>
      <c r="Q7" s="565"/>
      <c r="R7" s="463" t="str" cm="1">
        <f t="array" ref="R7">IFZERO(VLOOKUP(N7,Alerts[],4,FALSE),"")</f>
        <v/>
      </c>
      <c r="S7" s="150" t="str" cm="1">
        <f t="array" ref="S7">IFZERO(VLOOKUP(N7,Alerts[],5,FALSE),"")</f>
        <v/>
      </c>
      <c r="T7" s="662"/>
    </row>
    <row r="8" spans="1:22" s="291" customFormat="1" x14ac:dyDescent="0.2">
      <c r="A8" s="334"/>
      <c r="B8" s="331"/>
      <c r="C8" s="338"/>
      <c r="D8" s="339"/>
      <c r="E8" s="316"/>
      <c r="F8" s="340" t="str">
        <f>IF(N49="","CHECK TUNING CONSTANTS","")</f>
        <v>CHECK TUNING CONSTANTS</v>
      </c>
      <c r="G8" s="316"/>
      <c r="H8" s="316"/>
      <c r="I8" s="316"/>
      <c r="J8" s="316"/>
      <c r="K8" s="316"/>
      <c r="L8" s="316"/>
      <c r="M8" s="316"/>
      <c r="N8" s="462">
        <v>4</v>
      </c>
      <c r="O8" s="149"/>
      <c r="P8" s="564" t="str">
        <f>VLOOKUP(N8,Alerts[],3,FALSE)</f>
        <v/>
      </c>
      <c r="Q8" s="565"/>
      <c r="R8" s="463" t="str" cm="1">
        <f t="array" ref="R8">IFZERO(VLOOKUP(N8,Alerts[],4,FALSE),"")</f>
        <v/>
      </c>
      <c r="S8" s="150" t="str" cm="1">
        <f t="array" ref="S8">IFZERO(VLOOKUP(N8,Alerts[],5,FALSE),"")</f>
        <v/>
      </c>
      <c r="T8" s="662"/>
    </row>
    <row r="9" spans="1:22" s="291" customFormat="1" ht="12.75" customHeight="1" x14ac:dyDescent="0.2">
      <c r="A9" s="334"/>
      <c r="B9" s="144"/>
      <c r="C9" s="153" t="s">
        <v>66</v>
      </c>
      <c r="D9" s="295"/>
      <c r="E9" s="299" t="str" cm="1">
        <f t="array" ref="E9">IFERROR(
  _xlfn.XLOOKUP(
    Main!$D$9,
    _xlfn._xlws.FILTER(AssetPool[asset_tag], AssetPool[root_category_name]="DAQ Modules"),
    _xlfn._xlws.FILTER(AssetPool[asset_id], AssetPool[root_category_name]="DAQ Modules")
  ),
  ""
)</f>
        <v/>
      </c>
      <c r="F9" s="316"/>
      <c r="G9" s="316"/>
      <c r="H9" s="316"/>
      <c r="I9" s="316"/>
      <c r="J9" s="316"/>
      <c r="K9" s="316"/>
      <c r="L9" s="316"/>
      <c r="M9" s="316"/>
      <c r="N9" s="462">
        <v>5</v>
      </c>
      <c r="O9" s="149"/>
      <c r="P9" s="564" t="str">
        <f>VLOOKUP(N9,Alerts[],3,FALSE)</f>
        <v/>
      </c>
      <c r="Q9" s="565"/>
      <c r="R9" s="463" t="str" cm="1">
        <f t="array" ref="R9">IFZERO(VLOOKUP(N9,Alerts[],4,FALSE),"")</f>
        <v/>
      </c>
      <c r="S9" s="150" t="str" cm="1">
        <f t="array" ref="S9">IFZERO(VLOOKUP(N9,Alerts[],5,FALSE),"")</f>
        <v/>
      </c>
      <c r="T9" s="662"/>
    </row>
    <row r="10" spans="1:22" s="291" customFormat="1" x14ac:dyDescent="0.2">
      <c r="A10" s="334"/>
      <c r="B10" s="331"/>
      <c r="C10" s="332"/>
      <c r="D10" s="316"/>
      <c r="E10" s="316"/>
      <c r="F10" s="316"/>
      <c r="G10" s="317" t="str">
        <f>IFERROR(IF(OR(Survey[OutOfTolerance]),"!!!!! OVEN IS OOT !!!!!",""),"")</f>
        <v/>
      </c>
      <c r="H10" s="316"/>
      <c r="I10" s="316"/>
      <c r="J10" s="316"/>
      <c r="K10" s="316"/>
      <c r="L10" s="316"/>
      <c r="M10" s="316"/>
      <c r="N10" s="462">
        <v>6</v>
      </c>
      <c r="O10" s="149"/>
      <c r="P10" s="564" t="str">
        <f>VLOOKUP(N10,Alerts[],3,FALSE)</f>
        <v/>
      </c>
      <c r="Q10" s="565"/>
      <c r="R10" s="463" t="str" cm="1">
        <f t="array" ref="R10">IFZERO(VLOOKUP(N10,Alerts[],4,FALSE),"")</f>
        <v/>
      </c>
      <c r="S10" s="150" t="str" cm="1">
        <f t="array" ref="S10">IFZERO(VLOOKUP(N10,Alerts[],5,FALSE),"")</f>
        <v/>
      </c>
      <c r="T10" s="662"/>
    </row>
    <row r="11" spans="1:22" s="291" customFormat="1" x14ac:dyDescent="0.2">
      <c r="A11" s="334"/>
      <c r="B11" s="144"/>
      <c r="C11" s="153" t="s">
        <v>53</v>
      </c>
      <c r="D11" s="493">
        <f>VLOOKUP("serial_number",DaqbookServiceRecord[], 2, FALSE)</f>
        <v>0</v>
      </c>
      <c r="E11" s="316"/>
      <c r="F11" s="316"/>
      <c r="G11" s="317" t="str">
        <f>IF(OR(ISBLANK(D3),ISBLANK(D13)),"",IF(D13&lt;D3,"!!!!! DAQBOOK IS OUT OF CERTIFICATION !!!!!",""))</f>
        <v/>
      </c>
      <c r="H11" s="316"/>
      <c r="I11" s="316"/>
      <c r="J11" s="316"/>
      <c r="K11" s="316"/>
      <c r="L11" s="316"/>
      <c r="M11" s="316"/>
      <c r="N11" s="462">
        <v>7</v>
      </c>
      <c r="O11" s="149"/>
      <c r="P11" s="564" t="str">
        <f>VLOOKUP(N11,Alerts[],3,FALSE)</f>
        <v/>
      </c>
      <c r="Q11" s="565"/>
      <c r="R11" s="463" t="str" cm="1">
        <f t="array" ref="R11">IFZERO(VLOOKUP(N11,Alerts[],4,FALSE),"")</f>
        <v/>
      </c>
      <c r="S11" s="150" t="str" cm="1">
        <f t="array" ref="S11">IFZERO(VLOOKUP(N11,Alerts[],5,FALSE),"")</f>
        <v/>
      </c>
      <c r="T11" s="662"/>
    </row>
    <row r="12" spans="1:22" s="291" customFormat="1" x14ac:dyDescent="0.2">
      <c r="A12" s="334"/>
      <c r="B12" s="144"/>
      <c r="C12" s="153" t="s">
        <v>87</v>
      </c>
      <c r="D12" s="292">
        <f>VLOOKUP("service_date",DaqbookServiceRecord[], 2, FALSE)</f>
        <v>0</v>
      </c>
      <c r="E12" s="316"/>
      <c r="F12" s="316"/>
      <c r="G12" s="317" t="str">
        <f>IF(IF(COUNTIFS(DataForChannels1to14[],"&gt;"&amp;B2,DataForChannels1to14[],"&lt;"&amp;(B2+200))&gt;0,1,0)=1,"!!!!! OVEN OVERSHOT IN POINTS 1-14 !!!!!","")</f>
        <v/>
      </c>
      <c r="H12" s="316"/>
      <c r="I12" s="316"/>
      <c r="J12" s="337"/>
      <c r="K12" s="320"/>
      <c r="L12" s="337"/>
      <c r="M12" s="320"/>
      <c r="N12" s="462">
        <v>8</v>
      </c>
      <c r="O12" s="149"/>
      <c r="P12" s="564" t="str">
        <f>VLOOKUP(N12,Alerts[],3,FALSE)</f>
        <v/>
      </c>
      <c r="Q12" s="565"/>
      <c r="R12" s="463" t="str" cm="1">
        <f t="array" ref="R12">IFZERO(VLOOKUP(N12,Alerts[],4,FALSE),"")</f>
        <v/>
      </c>
      <c r="S12" s="150" t="str" cm="1">
        <f t="array" ref="S12">IFZERO(VLOOKUP(N12,Alerts[],5,FALSE),"")</f>
        <v/>
      </c>
      <c r="T12" s="662"/>
    </row>
    <row r="13" spans="1:22" s="291" customFormat="1" x14ac:dyDescent="0.2">
      <c r="A13" s="334"/>
      <c r="B13" s="154"/>
      <c r="C13" s="155" t="s">
        <v>86</v>
      </c>
      <c r="D13" s="292">
        <f>VLOOKUP("next_service_date",DaqbookServiceRecord[], 2, FALSE)</f>
        <v>0</v>
      </c>
      <c r="E13" s="316"/>
      <c r="F13" s="341"/>
      <c r="G13" s="332" t="str">
        <f>IF(IF(COUNTIFS(DataForChannels15to28[],"&gt;"&amp;B2,DataForChannels15to28[],"&lt;"&amp;(B2+200))&gt;0,1,0)=1,"!!!!! OVEN OVERSHOT IN POINTS 15-28 !!!!!","")</f>
        <v/>
      </c>
      <c r="H13" s="316"/>
      <c r="I13" s="316"/>
      <c r="J13" s="252" t="s">
        <v>327</v>
      </c>
      <c r="K13" s="545" t="str">
        <f>IFERROR(VLOOKUP("PoNumber",WorkItemDetails[],2,FALSE),"")</f>
        <v/>
      </c>
      <c r="L13" s="546"/>
      <c r="M13" s="316"/>
      <c r="N13" s="462">
        <v>9</v>
      </c>
      <c r="O13" s="149"/>
      <c r="P13" s="564" t="str">
        <f>VLOOKUP(N13,Alerts[],3,FALSE)</f>
        <v/>
      </c>
      <c r="Q13" s="565"/>
      <c r="R13" s="463" t="str" cm="1">
        <f t="array" ref="R13">IFZERO(VLOOKUP(N13,Alerts[],4,FALSE),"")</f>
        <v/>
      </c>
      <c r="S13" s="150" t="str" cm="1">
        <f t="array" ref="S13">IFZERO(VLOOKUP(N13,Alerts[],5,FALSE),"")</f>
        <v/>
      </c>
      <c r="T13" s="662"/>
    </row>
    <row r="14" spans="1:22" s="291" customFormat="1" x14ac:dyDescent="0.2">
      <c r="A14" s="334"/>
      <c r="B14" s="144"/>
      <c r="C14" s="153" t="s">
        <v>88</v>
      </c>
      <c r="D14" s="493">
        <f>VLOOKUP("certificate_number",DaqbookServiceRecord[], 2, FALSE)</f>
        <v>0</v>
      </c>
      <c r="E14" s="316"/>
      <c r="F14" s="316"/>
      <c r="G14" s="317" t="str">
        <f>IF(IF(COUNTIFS(DataForChannels29to40[],"&gt;"&amp;B2,DataForChannels29to40[],"&lt;"&amp;(B2+200))&gt;0,1,0)=1,"!!!!! OVEN OVERSHOT IN POINTS 29-40 !!!!!","")</f>
        <v/>
      </c>
      <c r="H14" s="316"/>
      <c r="I14" s="316"/>
      <c r="J14" s="156" t="s">
        <v>136</v>
      </c>
      <c r="K14" s="554"/>
      <c r="L14" s="555"/>
      <c r="M14" s="316"/>
      <c r="N14" s="462">
        <v>10</v>
      </c>
      <c r="O14" s="149"/>
      <c r="P14" s="564" t="str">
        <f>VLOOKUP(N14,Alerts[],3,FALSE)</f>
        <v/>
      </c>
      <c r="Q14" s="565"/>
      <c r="R14" s="463" t="str" cm="1">
        <f t="array" ref="R14">IFZERO(VLOOKUP(N14,Alerts[],4,FALSE),"")</f>
        <v/>
      </c>
      <c r="S14" s="150" t="str" cm="1">
        <f t="array" ref="S14">IFZERO(VLOOKUP(N14,Alerts[],5,FALSE),"")</f>
        <v/>
      </c>
      <c r="T14" s="662"/>
    </row>
    <row r="15" spans="1:22" s="291" customFormat="1" x14ac:dyDescent="0.2">
      <c r="A15" s="334"/>
      <c r="B15" s="197"/>
      <c r="C15" s="195" t="s">
        <v>65</v>
      </c>
      <c r="D15" s="309"/>
      <c r="E15" s="316"/>
      <c r="F15" s="316"/>
      <c r="G15" s="316"/>
      <c r="H15" s="479" t="b">
        <v>1</v>
      </c>
      <c r="I15" s="316"/>
      <c r="J15" s="157" t="s">
        <v>131</v>
      </c>
      <c r="K15" s="539"/>
      <c r="L15" s="540"/>
      <c r="M15" s="316"/>
      <c r="N15" s="462">
        <v>11</v>
      </c>
      <c r="O15" s="149"/>
      <c r="P15" s="564" t="str">
        <f>VLOOKUP(N15,Alerts[],3,FALSE)</f>
        <v/>
      </c>
      <c r="Q15" s="565"/>
      <c r="R15" s="463" t="str" cm="1">
        <f t="array" ref="R15">IFZERO(VLOOKUP(N15,Alerts[],4,FALSE),"")</f>
        <v/>
      </c>
      <c r="S15" s="150" t="str" cm="1">
        <f t="array" ref="S15">IFZERO(VLOOKUP(N15,Alerts[],5,FALSE),"")</f>
        <v/>
      </c>
      <c r="T15" s="662"/>
    </row>
    <row r="16" spans="1:22" s="291" customFormat="1" x14ac:dyDescent="0.2">
      <c r="A16" s="334"/>
      <c r="B16" s="158"/>
      <c r="C16" s="196" t="s">
        <v>266</v>
      </c>
      <c r="D16" s="309"/>
      <c r="E16" s="316"/>
      <c r="F16" s="156" t="s">
        <v>77</v>
      </c>
      <c r="G16" s="441" t="s">
        <v>271</v>
      </c>
      <c r="H16" s="442"/>
      <c r="I16" s="316"/>
      <c r="J16" s="501" t="s">
        <v>165</v>
      </c>
      <c r="K16" s="502"/>
      <c r="L16" s="297"/>
      <c r="M16" s="316"/>
      <c r="N16" s="462">
        <v>12</v>
      </c>
      <c r="O16" s="149"/>
      <c r="P16" s="564" t="str">
        <f>VLOOKUP(N16,Alerts[],3,FALSE)</f>
        <v/>
      </c>
      <c r="Q16" s="565"/>
      <c r="R16" s="463" t="str" cm="1">
        <f t="array" ref="R16">IFZERO(VLOOKUP(N16,Alerts[],4,FALSE),"")</f>
        <v/>
      </c>
      <c r="S16" s="150" t="str" cm="1">
        <f t="array" ref="S16">IFZERO(VLOOKUP(N16,Alerts[],5,FALSE),"")</f>
        <v/>
      </c>
      <c r="T16" s="662"/>
    </row>
    <row r="17" spans="1:22" s="291" customFormat="1" x14ac:dyDescent="0.2">
      <c r="A17" s="334"/>
      <c r="B17" s="144"/>
      <c r="C17" s="145" t="s">
        <v>64</v>
      </c>
      <c r="D17" s="310"/>
      <c r="E17" s="316"/>
      <c r="F17" s="157" t="s">
        <v>96</v>
      </c>
      <c r="G17" s="414" t="str">
        <f>IF(ISBLANK(Load),"",Load)</f>
        <v/>
      </c>
      <c r="H17" s="316"/>
      <c r="I17" s="317"/>
      <c r="J17" s="501" t="s">
        <v>166</v>
      </c>
      <c r="K17" s="502"/>
      <c r="L17" s="160" t="str">
        <f>IF(K15="SIM Load Hot",TEXT(D26,"hh:mm"),"")</f>
        <v/>
      </c>
      <c r="M17" s="316"/>
      <c r="N17" s="462">
        <v>13</v>
      </c>
      <c r="O17" s="149"/>
      <c r="P17" s="564" t="str">
        <f>VLOOKUP(N17,Alerts[],3,FALSE)</f>
        <v/>
      </c>
      <c r="Q17" s="565"/>
      <c r="R17" s="463" t="str" cm="1">
        <f t="array" ref="R17">IFZERO(VLOOKUP(N17,Alerts[],4,FALSE),"")</f>
        <v/>
      </c>
      <c r="S17" s="150" t="str" cm="1">
        <f t="array" ref="S17">IFZERO(VLOOKUP(N17,Alerts[],5,FALSE),"")</f>
        <v/>
      </c>
      <c r="T17" s="662"/>
    </row>
    <row r="18" spans="1:22" s="291" customFormat="1" x14ac:dyDescent="0.2">
      <c r="A18" s="334"/>
      <c r="B18" s="154"/>
      <c r="C18" s="161" t="s">
        <v>67</v>
      </c>
      <c r="D18" s="295"/>
      <c r="E18" s="316"/>
      <c r="F18" s="162" t="s">
        <v>78</v>
      </c>
      <c r="G18" s="556" t="s">
        <v>19</v>
      </c>
      <c r="H18" s="557"/>
      <c r="I18" s="317"/>
      <c r="J18" s="342"/>
      <c r="K18" s="316"/>
      <c r="L18" s="317"/>
      <c r="M18" s="316"/>
      <c r="N18" s="462">
        <v>14</v>
      </c>
      <c r="O18" s="149"/>
      <c r="P18" s="564" t="str">
        <f>VLOOKUP(N18,Alerts[],3,FALSE)</f>
        <v/>
      </c>
      <c r="Q18" s="565"/>
      <c r="R18" s="463" t="str" cm="1">
        <f t="array" ref="R18">IFZERO(VLOOKUP(N18,Alerts[],4,FALSE),"")</f>
        <v/>
      </c>
      <c r="S18" s="150" t="str" cm="1">
        <f t="array" ref="S18">IFZERO(VLOOKUP(N18,Alerts[],5,FALSE),"")</f>
        <v/>
      </c>
      <c r="T18" s="662"/>
    </row>
    <row r="19" spans="1:22" s="291" customFormat="1" x14ac:dyDescent="0.2">
      <c r="A19" s="334"/>
      <c r="B19" s="144"/>
      <c r="C19" s="145" t="s">
        <v>10</v>
      </c>
      <c r="D19" s="485">
        <v>10</v>
      </c>
      <c r="E19" s="316"/>
      <c r="F19" s="157" t="s">
        <v>79</v>
      </c>
      <c r="G19" s="537" t="str">
        <f>IF(K15="Salt",0, IF(OR(K15="Hot",K15="SIM Load Hot"),IF(OR(D26="",D28=""),"N/A",IF(ISBLANK(D26),"N/A",D28-D26)),"N/A"))</f>
        <v>N/A</v>
      </c>
      <c r="H19" s="538"/>
      <c r="I19" s="343" t="str">
        <f>IF(G19="N/A","N/A",IF(G19=0,"&lt;2",ROUND(IF(LEN(G19)&gt;3,G19*1440,RIGHT(TEXT(G19,"hh:mm"),2)),0))&amp;" MINUTES")</f>
        <v>N/A</v>
      </c>
      <c r="J19" s="664">
        <f>D17</f>
        <v>0</v>
      </c>
      <c r="K19" s="316"/>
      <c r="L19" s="317"/>
      <c r="M19" s="316"/>
      <c r="N19" s="462">
        <v>15</v>
      </c>
      <c r="O19" s="149"/>
      <c r="P19" s="564" t="str">
        <f>VLOOKUP(N19,Alerts[],3,FALSE)</f>
        <v/>
      </c>
      <c r="Q19" s="565"/>
      <c r="R19" s="463" t="str" cm="1">
        <f t="array" ref="R19">IFZERO(VLOOKUP(N19,Alerts[],4,FALSE),"")</f>
        <v/>
      </c>
      <c r="S19" s="150" t="str" cm="1">
        <f t="array" ref="S19">IFZERO(VLOOKUP(N19,Alerts[],5,FALSE),"")</f>
        <v/>
      </c>
      <c r="T19" s="662"/>
      <c r="U19" s="299" t="s">
        <v>955</v>
      </c>
      <c r="V19" s="299">
        <f>L20</f>
        <v>1</v>
      </c>
    </row>
    <row r="20" spans="1:22" s="291" customFormat="1" ht="13.7" customHeight="1" x14ac:dyDescent="0.2">
      <c r="A20" s="192"/>
      <c r="B20" s="541" t="str">
        <f>IF(E20=TRUE,"SAT Tolerance (per AMS2750):","SAT Tolerance (per BAC5621):")</f>
        <v>SAT Tolerance (per BAC5621):</v>
      </c>
      <c r="C20" s="542"/>
      <c r="D20" s="412" t="str">
        <f>G94</f>
        <v>±3°F</v>
      </c>
      <c r="E20" s="477" t="b">
        <v>0</v>
      </c>
      <c r="F20" s="316"/>
      <c r="G20" s="316"/>
      <c r="H20" s="316"/>
      <c r="I20" s="317"/>
      <c r="J20" s="316"/>
      <c r="K20" s="316"/>
      <c r="L20" s="478">
        <v>1</v>
      </c>
      <c r="M20" s="316"/>
      <c r="N20" s="462">
        <v>16</v>
      </c>
      <c r="O20" s="149"/>
      <c r="P20" s="564" t="str">
        <f>VLOOKUP(N20,Alerts[],3,FALSE)</f>
        <v/>
      </c>
      <c r="Q20" s="565"/>
      <c r="R20" s="463" t="str" cm="1">
        <f t="array" ref="R20">IFZERO(VLOOKUP(N20,Alerts[],4,FALSE),"")</f>
        <v/>
      </c>
      <c r="S20" s="150" t="str" cm="1">
        <f t="array" ref="S20">IFZERO(VLOOKUP(N20,Alerts[],5,FALSE),"")</f>
        <v/>
      </c>
      <c r="T20" s="662"/>
      <c r="U20" s="299" t="s">
        <v>954</v>
      </c>
      <c r="V20" s="299">
        <f>(V19-1)*14</f>
        <v>0</v>
      </c>
    </row>
    <row r="21" spans="1:22" s="291" customFormat="1" x14ac:dyDescent="0.2">
      <c r="A21" s="334"/>
      <c r="B21" s="331"/>
      <c r="C21" s="344"/>
      <c r="D21" s="339"/>
      <c r="E21" s="316"/>
      <c r="F21" s="316"/>
      <c r="G21" s="316"/>
      <c r="H21" s="316"/>
      <c r="I21" s="317"/>
      <c r="J21" s="316"/>
      <c r="K21" s="316"/>
      <c r="L21" s="317"/>
      <c r="M21" s="316"/>
      <c r="N21" s="462">
        <v>17</v>
      </c>
      <c r="O21" s="149"/>
      <c r="P21" s="564" t="str">
        <f>VLOOKUP(N21,Alerts[],3,FALSE)</f>
        <v/>
      </c>
      <c r="Q21" s="565"/>
      <c r="R21" s="463" t="str" cm="1">
        <f t="array" ref="R21">IFZERO(VLOOKUP(N21,Alerts[],4,FALSE),"")</f>
        <v/>
      </c>
      <c r="S21" s="150" t="str" cm="1">
        <f t="array" ref="S21">IFZERO(VLOOKUP(N21,Alerts[],5,FALSE),"")</f>
        <v/>
      </c>
      <c r="T21" s="662"/>
      <c r="U21" s="299" t="s">
        <v>953</v>
      </c>
      <c r="V21" s="668">
        <f>IF(D17=0,40,D17)</f>
        <v>40</v>
      </c>
    </row>
    <row r="22" spans="1:22" s="291" customFormat="1" x14ac:dyDescent="0.2">
      <c r="A22" s="334"/>
      <c r="B22" s="158"/>
      <c r="C22" s="159" t="s">
        <v>42</v>
      </c>
      <c r="D22" s="294"/>
      <c r="E22" s="316"/>
      <c r="F22" s="345"/>
      <c r="G22" s="316"/>
      <c r="H22" s="316"/>
      <c r="I22" s="317"/>
      <c r="J22" s="316"/>
      <c r="K22" s="316"/>
      <c r="L22" s="317"/>
      <c r="M22" s="316"/>
      <c r="N22" s="462">
        <v>18</v>
      </c>
      <c r="O22" s="149"/>
      <c r="P22" s="564" t="str">
        <f>VLOOKUP(N22,Alerts[],3,FALSE)</f>
        <v/>
      </c>
      <c r="Q22" s="565"/>
      <c r="R22" s="463" t="str" cm="1">
        <f t="array" ref="R22">IFZERO(VLOOKUP(N22,Alerts[],4,FALSE),"")</f>
        <v/>
      </c>
      <c r="S22" s="150" t="str" cm="1">
        <f t="array" ref="S22">IFZERO(VLOOKUP(N22,Alerts[],5,FALSE),"")</f>
        <v/>
      </c>
      <c r="T22" s="662"/>
      <c r="U22" s="299" t="s">
        <v>952</v>
      </c>
      <c r="V22" s="299">
        <f>V20+1</f>
        <v>1</v>
      </c>
    </row>
    <row r="23" spans="1:22" s="291" customFormat="1" x14ac:dyDescent="0.2">
      <c r="A23" s="334"/>
      <c r="B23" s="144"/>
      <c r="C23" s="444" t="s">
        <v>917</v>
      </c>
      <c r="D23" s="295"/>
      <c r="E23" s="316"/>
      <c r="F23" s="163" t="s">
        <v>97</v>
      </c>
      <c r="G23" s="518" t="s">
        <v>375</v>
      </c>
      <c r="H23" s="519"/>
      <c r="I23" s="519"/>
      <c r="J23" s="519"/>
      <c r="K23" s="520"/>
      <c r="L23" s="317"/>
      <c r="M23" s="316"/>
      <c r="N23" s="462">
        <v>19</v>
      </c>
      <c r="O23" s="149"/>
      <c r="P23" s="564" t="str">
        <f>VLOOKUP(N23,Alerts[],3,FALSE)</f>
        <v/>
      </c>
      <c r="Q23" s="565"/>
      <c r="R23" s="463" t="str" cm="1">
        <f t="array" ref="R23">IFZERO(VLOOKUP(N23,Alerts[],4,FALSE),"")</f>
        <v/>
      </c>
      <c r="S23" s="150" t="str" cm="1">
        <f t="array" ref="S23">IFZERO(VLOOKUP(N23,Alerts[],5,FALSE),"")</f>
        <v/>
      </c>
      <c r="T23" s="662"/>
      <c r="U23" s="299" t="s">
        <v>951</v>
      </c>
      <c r="V23" s="299">
        <f>V20+V21</f>
        <v>40</v>
      </c>
    </row>
    <row r="24" spans="1:22" s="291" customFormat="1" x14ac:dyDescent="0.2">
      <c r="A24" s="334"/>
      <c r="B24" s="543" t="s">
        <v>556</v>
      </c>
      <c r="C24" s="544"/>
      <c r="D24" s="295">
        <v>1</v>
      </c>
      <c r="E24" s="316"/>
      <c r="F24" s="163" t="s">
        <v>98</v>
      </c>
      <c r="G24" s="521"/>
      <c r="H24" s="522"/>
      <c r="I24" s="522"/>
      <c r="J24" s="522"/>
      <c r="K24" s="523"/>
      <c r="L24" s="317"/>
      <c r="M24" s="316"/>
      <c r="N24" s="462">
        <v>20</v>
      </c>
      <c r="O24" s="149"/>
      <c r="P24" s="564" t="str">
        <f>VLOOKUP(N24,Alerts[],3,FALSE)</f>
        <v/>
      </c>
      <c r="Q24" s="565"/>
      <c r="R24" s="463" t="str" cm="1">
        <f t="array" ref="R24">IFZERO(VLOOKUP(N24,Alerts[],4,FALSE),"")</f>
        <v/>
      </c>
      <c r="S24" s="150" t="str" cm="1">
        <f t="array" ref="S24">IFZERO(VLOOKUP(N24,Alerts[],5,FALSE),"")</f>
        <v/>
      </c>
      <c r="T24" s="662"/>
      <c r="U24" s="299" t="s">
        <v>950</v>
      </c>
      <c r="V24" s="299" t="str">
        <f>IF(V19=1,"","DaqBook points "&amp;V22&amp;"-"&amp;V23&amp;" used.")</f>
        <v/>
      </c>
    </row>
    <row r="25" spans="1:22" s="291" customFormat="1" x14ac:dyDescent="0.2">
      <c r="A25" s="334"/>
      <c r="B25" s="331"/>
      <c r="C25" s="332"/>
      <c r="D25" s="339"/>
      <c r="E25" s="316"/>
      <c r="F25" s="163" t="s">
        <v>99</v>
      </c>
      <c r="G25" s="521"/>
      <c r="H25" s="522"/>
      <c r="I25" s="522"/>
      <c r="J25" s="522"/>
      <c r="K25" s="523"/>
      <c r="L25" s="317"/>
      <c r="M25" s="316"/>
      <c r="N25" s="462">
        <v>21</v>
      </c>
      <c r="O25" s="149"/>
      <c r="P25" s="564" t="str">
        <f>VLOOKUP(N25,Alerts[],3,FALSE)</f>
        <v/>
      </c>
      <c r="Q25" s="565"/>
      <c r="R25" s="463" t="str" cm="1">
        <f t="array" ref="R25">IFZERO(VLOOKUP(N25,Alerts[],4,FALSE),"")</f>
        <v/>
      </c>
      <c r="S25" s="150" t="str" cm="1">
        <f t="array" ref="S25">IFZERO(VLOOKUP(N25,Alerts[],5,FALSE),"")</f>
        <v/>
      </c>
      <c r="T25" s="662"/>
    </row>
    <row r="26" spans="1:22" s="291" customFormat="1" x14ac:dyDescent="0.2">
      <c r="A26" s="334"/>
      <c r="B26" s="158"/>
      <c r="C26" s="159" t="s">
        <v>60</v>
      </c>
      <c r="D26" s="305"/>
      <c r="E26" s="318" t="str">
        <f>TEXT(D26,"hh:mm")</f>
        <v>00:00</v>
      </c>
      <c r="F26" s="317"/>
      <c r="G26" s="317"/>
      <c r="H26" s="317"/>
      <c r="I26" s="317"/>
      <c r="J26" s="317"/>
      <c r="K26" s="317"/>
      <c r="L26" s="317"/>
      <c r="M26" s="316"/>
      <c r="N26" s="462">
        <v>22</v>
      </c>
      <c r="O26" s="149"/>
      <c r="P26" s="564" t="str">
        <f>VLOOKUP(N26,Alerts[],3,FALSE)</f>
        <v/>
      </c>
      <c r="Q26" s="565"/>
      <c r="R26" s="463" t="str" cm="1">
        <f t="array" ref="R26">IFZERO(VLOOKUP(N26,Alerts[],4,FALSE),"")</f>
        <v/>
      </c>
      <c r="S26" s="150" t="str" cm="1">
        <f t="array" ref="S26">IFZERO(VLOOKUP(N26,Alerts[],5,FALSE),"")</f>
        <v/>
      </c>
      <c r="T26" s="662"/>
    </row>
    <row r="27" spans="1:22" s="291" customFormat="1" x14ac:dyDescent="0.2">
      <c r="A27" s="334"/>
      <c r="B27" s="164">
        <v>10</v>
      </c>
      <c r="C27" s="145" t="s">
        <v>61</v>
      </c>
      <c r="D27" s="305"/>
      <c r="E27" s="318"/>
      <c r="F27" s="252" t="s">
        <v>274</v>
      </c>
      <c r="G27" s="251" t="str">
        <f>G28</f>
        <v/>
      </c>
      <c r="H27" s="516" t="str">
        <f>IF(ISBLANK(D6),"",IF(CheckRec="x","CHECK INSTRUMENT CAL DATES!!!!             CHECK INSTRUMENT CAL DATES!!!!",""))</f>
        <v/>
      </c>
      <c r="I27" s="517"/>
      <c r="J27" s="517"/>
      <c r="K27" s="517"/>
      <c r="L27" s="317"/>
      <c r="M27" s="316"/>
      <c r="N27" s="462">
        <v>23</v>
      </c>
      <c r="O27" s="149"/>
      <c r="P27" s="564" t="str">
        <f>VLOOKUP(N27,Alerts[],3,FALSE)</f>
        <v/>
      </c>
      <c r="Q27" s="565"/>
      <c r="R27" s="463" t="str" cm="1">
        <f t="array" ref="R27">IFZERO(VLOOKUP(N27,Alerts[],4,FALSE),"")</f>
        <v/>
      </c>
      <c r="S27" s="150" t="str" cm="1">
        <f t="array" ref="S27">IFZERO(VLOOKUP(N27,Alerts[],5,FALSE),"")</f>
        <v/>
      </c>
      <c r="T27" s="662"/>
    </row>
    <row r="28" spans="1:22" s="291" customFormat="1" x14ac:dyDescent="0.2">
      <c r="A28" s="334"/>
      <c r="B28" s="165">
        <v>30</v>
      </c>
      <c r="C28" s="161" t="s">
        <v>62</v>
      </c>
      <c r="D28" s="305"/>
      <c r="E28" s="318"/>
      <c r="F28" s="252" t="s">
        <v>275</v>
      </c>
      <c r="G28" s="251" t="str">
        <f>IF(CheckRec="y","Cal by Customer",IF(D$3,D$3,""))</f>
        <v/>
      </c>
      <c r="H28" s="516"/>
      <c r="I28" s="517"/>
      <c r="J28" s="517"/>
      <c r="K28" s="517"/>
      <c r="L28" s="317"/>
      <c r="M28" s="316"/>
      <c r="N28" s="462">
        <v>24</v>
      </c>
      <c r="O28" s="149"/>
      <c r="P28" s="564" t="str">
        <f>VLOOKUP(N28,Alerts[],3,FALSE)</f>
        <v/>
      </c>
      <c r="Q28" s="565"/>
      <c r="R28" s="463" t="str" cm="1">
        <f t="array" ref="R28">IFZERO(VLOOKUP(N28,Alerts[],4,FALSE),"")</f>
        <v/>
      </c>
      <c r="S28" s="150" t="str" cm="1">
        <f t="array" ref="S28">IFZERO(VLOOKUP(N28,Alerts[],5,FALSE),"")</f>
        <v/>
      </c>
      <c r="T28" s="662"/>
    </row>
    <row r="29" spans="1:22" s="291" customFormat="1" x14ac:dyDescent="0.2">
      <c r="A29" s="334"/>
      <c r="B29" s="164">
        <v>40</v>
      </c>
      <c r="C29" s="145" t="s">
        <v>73</v>
      </c>
      <c r="D29" s="166" t="str">
        <f>(IF(OR(D27="",D28=""),"",IF(ISBLANK(D27),"",D28-D27)))</f>
        <v/>
      </c>
      <c r="E29" s="346" t="str">
        <f>IFERROR(IF(D29=0,"&lt;2",ROUND(IF(LEN(D29)&gt;3,D29*1440,TEXT(D29,"hh:mm")),0)) &amp;" MINUTES","")</f>
        <v/>
      </c>
      <c r="F29" s="320" t="s">
        <v>276</v>
      </c>
      <c r="G29" s="317"/>
      <c r="H29" s="317"/>
      <c r="I29" s="317"/>
      <c r="J29" s="317"/>
      <c r="K29" s="317"/>
      <c r="L29" s="317"/>
      <c r="M29" s="316"/>
      <c r="N29" s="462">
        <v>25</v>
      </c>
      <c r="O29" s="149"/>
      <c r="P29" s="564" t="str">
        <f>VLOOKUP(N29,Alerts[],3,FALSE)</f>
        <v/>
      </c>
      <c r="Q29" s="565"/>
      <c r="R29" s="463" t="str" cm="1">
        <f t="array" ref="R29">IFZERO(VLOOKUP(N29,Alerts[],4,FALSE),"")</f>
        <v/>
      </c>
      <c r="S29" s="150" t="str" cm="1">
        <f t="array" ref="S29">IFZERO(VLOOKUP(N29,Alerts[],5,FALSE),"")</f>
        <v/>
      </c>
      <c r="T29" s="662"/>
    </row>
    <row r="30" spans="1:22" s="291" customFormat="1" x14ac:dyDescent="0.2">
      <c r="A30" s="334"/>
      <c r="B30" s="259">
        <v>45</v>
      </c>
      <c r="C30" s="161" t="s">
        <v>63</v>
      </c>
      <c r="D30" s="408"/>
      <c r="E30" s="347" t="str">
        <f>IF(ISBLANK(D30), "", TEXT(D30, "H:mm"))</f>
        <v/>
      </c>
      <c r="F30" s="316"/>
      <c r="G30" s="319">
        <f>IF(D29="",0,D29)</f>
        <v>0</v>
      </c>
      <c r="H30" s="348">
        <f>D28-D26</f>
        <v>0</v>
      </c>
      <c r="I30" s="317"/>
      <c r="J30" s="317"/>
      <c r="K30" s="317"/>
      <c r="L30" s="349"/>
      <c r="M30" s="316"/>
      <c r="N30" s="462">
        <v>26</v>
      </c>
      <c r="O30" s="149"/>
      <c r="P30" s="564" t="str">
        <f>VLOOKUP(N30,Alerts[],3,FALSE)</f>
        <v/>
      </c>
      <c r="Q30" s="565"/>
      <c r="R30" s="463" t="str" cm="1">
        <f t="array" ref="R30">IFZERO(VLOOKUP(N30,Alerts[],4,FALSE),"")</f>
        <v/>
      </c>
      <c r="S30" s="150" t="str" cm="1">
        <f t="array" ref="S30">IFZERO(VLOOKUP(N30,Alerts[],5,FALSE),"")</f>
        <v/>
      </c>
      <c r="T30" s="662"/>
    </row>
    <row r="31" spans="1:22" s="291" customFormat="1" x14ac:dyDescent="0.2">
      <c r="A31" s="334"/>
      <c r="B31" s="144"/>
      <c r="C31" s="145" t="s">
        <v>52</v>
      </c>
      <c r="D31" s="289">
        <f>D30+TIME(0,D32,0)</f>
        <v>0</v>
      </c>
      <c r="E31" s="316"/>
      <c r="F31" s="350" t="str">
        <f>IF(AND(LagLimit&gt;0,G30&gt;LagLimit),"LAG TIME TOO HIGH!!!","")</f>
        <v/>
      </c>
      <c r="G31" s="317"/>
      <c r="H31" s="351" t="str">
        <f>IF(AND(RecoveryLimit&gt;0,H30&gt;RecoveryLimit),"RECOVERY TIME TOO HIGH!!!!","")</f>
        <v/>
      </c>
      <c r="I31" s="317"/>
      <c r="J31" s="317"/>
      <c r="K31" s="317"/>
      <c r="L31" s="352"/>
      <c r="M31" s="352"/>
      <c r="N31" s="462">
        <v>27</v>
      </c>
      <c r="O31" s="149"/>
      <c r="P31" s="564" t="str">
        <f>VLOOKUP(N31,Alerts[],3,FALSE)</f>
        <v/>
      </c>
      <c r="Q31" s="565"/>
      <c r="R31" s="463" t="str" cm="1">
        <f t="array" ref="R31">IFZERO(VLOOKUP(N31,Alerts[],4,FALSE),"")</f>
        <v/>
      </c>
      <c r="S31" s="150" t="str" cm="1">
        <f t="array" ref="S31">IFZERO(VLOOKUP(N31,Alerts[],5,FALSE),"")</f>
        <v/>
      </c>
      <c r="T31" s="662"/>
    </row>
    <row r="32" spans="1:22" s="291" customFormat="1" x14ac:dyDescent="0.2">
      <c r="A32" s="344"/>
      <c r="B32" s="167"/>
      <c r="C32" s="168" t="s">
        <v>81</v>
      </c>
      <c r="D32" s="296"/>
      <c r="E32" s="316"/>
      <c r="F32" s="317" t="str">
        <f>IF(COUNTIF(Comparison_Report!R1:R8, 1) &gt; 0, "CHECK COMPARISON REPORT!!!", "")</f>
        <v/>
      </c>
      <c r="G32" s="317"/>
      <c r="H32" s="317"/>
      <c r="I32" s="317"/>
      <c r="J32" s="317"/>
      <c r="K32" s="317"/>
      <c r="L32" s="317"/>
      <c r="M32" s="316"/>
      <c r="N32" s="462">
        <v>28</v>
      </c>
      <c r="O32" s="149"/>
      <c r="P32" s="564" t="str">
        <f>VLOOKUP(N32,Alerts[],3,FALSE)</f>
        <v/>
      </c>
      <c r="Q32" s="565"/>
      <c r="R32" s="463" t="str" cm="1">
        <f t="array" ref="R32">IFZERO(VLOOKUP(N32,Alerts[],4,FALSE),"")</f>
        <v/>
      </c>
      <c r="S32" s="150" t="str" cm="1">
        <f t="array" ref="S32">IFZERO(VLOOKUP(N32,Alerts[],5,FALSE),"")</f>
        <v/>
      </c>
      <c r="T32" s="662"/>
    </row>
    <row r="33" spans="1:23" s="291" customFormat="1" x14ac:dyDescent="0.2">
      <c r="A33" s="334"/>
      <c r="B33" s="331"/>
      <c r="C33" s="353"/>
      <c r="D33" s="143"/>
      <c r="E33" s="143"/>
      <c r="F33" s="143"/>
      <c r="G33" s="143"/>
      <c r="H33" s="143"/>
      <c r="I33" s="143"/>
      <c r="J33" s="143"/>
      <c r="K33" s="143"/>
      <c r="L33" s="143"/>
      <c r="M33" s="316"/>
      <c r="N33" s="462">
        <v>29</v>
      </c>
      <c r="O33" s="149"/>
      <c r="P33" s="564" t="str">
        <f>VLOOKUP(N33,Alerts[],3,FALSE)</f>
        <v/>
      </c>
      <c r="Q33" s="565"/>
      <c r="R33" s="463" t="str" cm="1">
        <f t="array" ref="R33">IFZERO(VLOOKUP(N33,Alerts[],4,FALSE),"")</f>
        <v/>
      </c>
      <c r="S33" s="150" t="str" cm="1">
        <f t="array" ref="S33">IFZERO(VLOOKUP(N33,Alerts[],5,FALSE),"")</f>
        <v/>
      </c>
      <c r="T33" s="662"/>
    </row>
    <row r="34" spans="1:23" s="291" customFormat="1" ht="12.75" customHeight="1" x14ac:dyDescent="0.2">
      <c r="A34" s="334"/>
      <c r="B34" s="530" t="s">
        <v>49</v>
      </c>
      <c r="C34" s="531"/>
      <c r="D34" s="531"/>
      <c r="E34" s="531"/>
      <c r="F34" s="531"/>
      <c r="G34" s="531"/>
      <c r="H34" s="531"/>
      <c r="I34" s="531"/>
      <c r="J34" s="531"/>
      <c r="K34" s="531"/>
      <c r="L34" s="532"/>
      <c r="M34" s="316"/>
      <c r="N34" s="462">
        <v>30</v>
      </c>
      <c r="O34" s="149"/>
      <c r="P34" s="564" t="str">
        <f>VLOOKUP(N34,Alerts[],3,FALSE)</f>
        <v/>
      </c>
      <c r="Q34" s="565"/>
      <c r="R34" s="463" t="str" cm="1">
        <f t="array" ref="R34">IFZERO(VLOOKUP(N34,Alerts[],4,FALSE),"")</f>
        <v/>
      </c>
      <c r="S34" s="150" t="str" cm="1">
        <f t="array" ref="S34">IFZERO(VLOOKUP(N34,Alerts[],5,FALSE),"")</f>
        <v/>
      </c>
      <c r="T34" s="663"/>
    </row>
    <row r="35" spans="1:23" s="291" customFormat="1" ht="12.75" customHeight="1" thickBot="1" x14ac:dyDescent="0.25">
      <c r="A35" s="670"/>
      <c r="B35" s="169"/>
      <c r="C35" s="170"/>
      <c r="D35" s="175" t="s">
        <v>43</v>
      </c>
      <c r="E35" s="175" t="s">
        <v>44</v>
      </c>
      <c r="F35" s="175" t="s">
        <v>45</v>
      </c>
      <c r="G35" s="175" t="s">
        <v>46</v>
      </c>
      <c r="H35" s="175" t="str">
        <f>IF(D18=4,"Reading 5","")</f>
        <v/>
      </c>
      <c r="I35" s="175" t="str">
        <f>IF(D18=4,"Reading 6","")</f>
        <v/>
      </c>
      <c r="J35" s="175" t="str">
        <f>IF(D18=4,"Reading 7","")</f>
        <v/>
      </c>
      <c r="K35" s="175" t="str">
        <f>IF(D18=4,"Reading 8","")</f>
        <v/>
      </c>
      <c r="L35" s="175" t="str">
        <f>IF(D18=4,"Reading 9","")</f>
        <v/>
      </c>
      <c r="M35" s="316"/>
      <c r="N35" s="462">
        <v>31</v>
      </c>
      <c r="O35" s="149"/>
      <c r="P35" s="564" t="str">
        <f>VLOOKUP(N35,Alerts[],3,FALSE)</f>
        <v/>
      </c>
      <c r="Q35" s="565"/>
      <c r="R35" s="463" t="str" cm="1">
        <f t="array" ref="R35">IFZERO(VLOOKUP(N35,Alerts[],4,FALSE),"")</f>
        <v/>
      </c>
      <c r="S35" s="150" t="str" cm="1">
        <f t="array" ref="S35">IFZERO(VLOOKUP(N35,Alerts[],5,FALSE),"")</f>
        <v/>
      </c>
      <c r="T35" s="663"/>
    </row>
    <row r="36" spans="1:23" s="291" customFormat="1" ht="13.5" thickBot="1" x14ac:dyDescent="0.25">
      <c r="A36" s="671" t="s">
        <v>926</v>
      </c>
      <c r="B36" s="173" t="s">
        <v>12</v>
      </c>
      <c r="C36" s="174" t="s">
        <v>48</v>
      </c>
      <c r="D36" s="171" t="str">
        <f>IF($D$30,D30,"")</f>
        <v/>
      </c>
      <c r="E36" s="172" t="str">
        <f>IF($D$30,D36+TIME(0,$D$18,0),"")</f>
        <v/>
      </c>
      <c r="F36" s="172" t="str">
        <f>IF($D$30,E36+TIME(0,$D$18,0),"")</f>
        <v/>
      </c>
      <c r="G36" s="172" t="str">
        <f>IF($D$30,F36+TIME(0,$D$18,0),"")</f>
        <v/>
      </c>
      <c r="H36" s="172" t="str">
        <f>IF($D$30,IF($D$18=4,G36+TIME(0,4,0),""),"")</f>
        <v/>
      </c>
      <c r="I36" s="172" t="str">
        <f>IF($D$30,IF($D$18=4,H36+TIME(0,4,0),""),"")</f>
        <v/>
      </c>
      <c r="J36" s="172" t="str">
        <f>IF($D$30,IF($D$18=4,I36+TIME(0,4,0),""),"")</f>
        <v/>
      </c>
      <c r="K36" s="172" t="str">
        <f>IF($D$30,IF($D$18=4,J36+TIME(0,4,0),""),"")</f>
        <v/>
      </c>
      <c r="L36" s="172" t="str">
        <f>IF($D$30,IF($D$18=4,K36+TIME(0,2,0),""),"")</f>
        <v/>
      </c>
      <c r="M36" s="316"/>
      <c r="N36" s="462">
        <v>32</v>
      </c>
      <c r="O36" s="149"/>
      <c r="P36" s="564" t="str">
        <f>VLOOKUP(N36,Alerts[],3,FALSE)</f>
        <v/>
      </c>
      <c r="Q36" s="565"/>
      <c r="R36" s="463" t="str" cm="1">
        <f t="array" ref="R36">IFZERO(VLOOKUP(N36,Alerts[],4,FALSE),"")</f>
        <v/>
      </c>
      <c r="S36" s="150" t="str" cm="1">
        <f t="array" ref="S36">IFZERO(VLOOKUP(N36,Alerts[],5,FALSE),"")</f>
        <v/>
      </c>
      <c r="T36" s="663"/>
    </row>
    <row r="37" spans="1:23" s="291" customFormat="1" x14ac:dyDescent="0.2">
      <c r="A37" s="202" t="str">
        <f t="shared" ref="A37:A44" si="0">IF(B37,1,"")</f>
        <v/>
      </c>
      <c r="B37" s="202"/>
      <c r="C37" s="193"/>
      <c r="D37" s="203"/>
      <c r="E37" s="203"/>
      <c r="F37" s="203"/>
      <c r="G37" s="203"/>
      <c r="H37" s="203"/>
      <c r="I37" s="176"/>
      <c r="J37" s="176"/>
      <c r="K37" s="176"/>
      <c r="L37" s="176"/>
      <c r="M37" s="316"/>
      <c r="N37" s="462">
        <v>33</v>
      </c>
      <c r="O37" s="149"/>
      <c r="P37" s="564" t="str">
        <f>VLOOKUP(N37,Alerts[],3,FALSE)</f>
        <v/>
      </c>
      <c r="Q37" s="565"/>
      <c r="R37" s="463" t="str" cm="1">
        <f t="array" ref="R37">IFZERO(VLOOKUP(N37,Alerts[],4,FALSE),"")</f>
        <v/>
      </c>
      <c r="S37" s="150" t="str" cm="1">
        <f t="array" ref="S37">IFZERO(VLOOKUP(N37,Alerts[],5,FALSE),"")</f>
        <v/>
      </c>
      <c r="T37" s="663"/>
    </row>
    <row r="38" spans="1:23" s="291" customFormat="1" x14ac:dyDescent="0.2">
      <c r="A38" s="202" t="str">
        <f t="shared" si="0"/>
        <v/>
      </c>
      <c r="B38" s="204"/>
      <c r="C38" s="194"/>
      <c r="D38" s="203"/>
      <c r="E38" s="203"/>
      <c r="F38" s="203"/>
      <c r="G38" s="203"/>
      <c r="H38" s="203"/>
      <c r="I38" s="176"/>
      <c r="J38" s="176"/>
      <c r="K38" s="176"/>
      <c r="L38" s="176"/>
      <c r="M38" s="316"/>
      <c r="N38" s="462">
        <v>34</v>
      </c>
      <c r="O38" s="149"/>
      <c r="P38" s="564" t="str">
        <f>VLOOKUP(N38,Alerts[],3,FALSE)</f>
        <v/>
      </c>
      <c r="Q38" s="565"/>
      <c r="R38" s="463" t="str" cm="1">
        <f t="array" ref="R38">IFZERO(VLOOKUP(N38,Alerts[],4,FALSE),"")</f>
        <v/>
      </c>
      <c r="S38" s="150" t="str" cm="1">
        <f t="array" ref="S38">IFZERO(VLOOKUP(N38,Alerts[],5,FALSE),"")</f>
        <v/>
      </c>
      <c r="T38" s="663"/>
    </row>
    <row r="39" spans="1:23" s="291" customFormat="1" x14ac:dyDescent="0.2">
      <c r="A39" s="202" t="str">
        <f t="shared" si="0"/>
        <v/>
      </c>
      <c r="B39" s="204"/>
      <c r="C39" s="194"/>
      <c r="D39" s="203"/>
      <c r="E39" s="203"/>
      <c r="F39" s="203"/>
      <c r="G39" s="203"/>
      <c r="H39" s="176"/>
      <c r="I39" s="176"/>
      <c r="J39" s="176"/>
      <c r="K39" s="176"/>
      <c r="L39" s="176"/>
      <c r="M39" s="316"/>
      <c r="N39" s="462">
        <v>35</v>
      </c>
      <c r="O39" s="149"/>
      <c r="P39" s="564" t="str">
        <f>VLOOKUP(N39,Alerts[],3,FALSE)</f>
        <v/>
      </c>
      <c r="Q39" s="565"/>
      <c r="R39" s="463" t="str" cm="1">
        <f t="array" ref="R39">IFZERO(VLOOKUP(N39,Alerts[],4,FALSE),"")</f>
        <v/>
      </c>
      <c r="S39" s="150" t="str" cm="1">
        <f t="array" ref="S39">IFZERO(VLOOKUP(N39,Alerts[],5,FALSE),"")</f>
        <v/>
      </c>
      <c r="T39" s="663"/>
    </row>
    <row r="40" spans="1:23" s="291" customFormat="1" x14ac:dyDescent="0.2">
      <c r="A40" s="202" t="str">
        <f t="shared" si="0"/>
        <v/>
      </c>
      <c r="B40" s="204"/>
      <c r="C40" s="194"/>
      <c r="D40" s="203"/>
      <c r="E40" s="203"/>
      <c r="F40" s="203"/>
      <c r="G40" s="203"/>
      <c r="H40" s="176"/>
      <c r="I40" s="176"/>
      <c r="J40" s="176"/>
      <c r="K40" s="176"/>
      <c r="L40" s="176"/>
      <c r="M40" s="316"/>
      <c r="N40" s="462">
        <v>36</v>
      </c>
      <c r="O40" s="149"/>
      <c r="P40" s="564" t="str">
        <f>VLOOKUP(N40,Alerts[],3,FALSE)</f>
        <v/>
      </c>
      <c r="Q40" s="565"/>
      <c r="R40" s="463" t="str" cm="1">
        <f t="array" ref="R40">IFZERO(VLOOKUP(N40,Alerts[],4,FALSE),"")</f>
        <v/>
      </c>
      <c r="S40" s="150" t="str" cm="1">
        <f t="array" ref="S40">IFZERO(VLOOKUP(N40,Alerts[],5,FALSE),"")</f>
        <v/>
      </c>
      <c r="T40" s="663"/>
    </row>
    <row r="41" spans="1:23" s="291" customFormat="1" x14ac:dyDescent="0.2">
      <c r="A41" s="202" t="str">
        <f t="shared" si="0"/>
        <v/>
      </c>
      <c r="B41" s="177"/>
      <c r="C41" s="178"/>
      <c r="D41" s="179"/>
      <c r="E41" s="179"/>
      <c r="F41" s="179"/>
      <c r="G41" s="179"/>
      <c r="H41" s="179"/>
      <c r="I41" s="179"/>
      <c r="J41" s="179"/>
      <c r="K41" s="179"/>
      <c r="L41" s="179"/>
      <c r="M41" s="316"/>
      <c r="N41" s="462">
        <v>37</v>
      </c>
      <c r="O41" s="149"/>
      <c r="P41" s="564" t="str">
        <f>VLOOKUP(N41,Alerts[],3,FALSE)</f>
        <v/>
      </c>
      <c r="Q41" s="565"/>
      <c r="R41" s="463" t="str" cm="1">
        <f t="array" ref="R41">IFZERO(VLOOKUP(N41,Alerts[],4,FALSE),"")</f>
        <v/>
      </c>
      <c r="S41" s="150" t="str" cm="1">
        <f t="array" ref="S41">IFZERO(VLOOKUP(N41,Alerts[],5,FALSE),"")</f>
        <v/>
      </c>
      <c r="T41" s="663"/>
    </row>
    <row r="42" spans="1:23" s="291" customFormat="1" x14ac:dyDescent="0.2">
      <c r="A42" s="202" t="str">
        <f t="shared" si="0"/>
        <v/>
      </c>
      <c r="B42" s="177"/>
      <c r="C42" s="178"/>
      <c r="D42" s="179"/>
      <c r="E42" s="179"/>
      <c r="F42" s="179"/>
      <c r="G42" s="179"/>
      <c r="H42" s="179"/>
      <c r="I42" s="179"/>
      <c r="J42" s="179"/>
      <c r="K42" s="179"/>
      <c r="L42" s="179"/>
      <c r="M42" s="316"/>
      <c r="N42" s="462">
        <v>38</v>
      </c>
      <c r="O42" s="149"/>
      <c r="P42" s="564" t="str">
        <f>VLOOKUP(N42,Alerts[],3,FALSE)</f>
        <v/>
      </c>
      <c r="Q42" s="565"/>
      <c r="R42" s="463" t="str" cm="1">
        <f t="array" ref="R42">IFZERO(VLOOKUP(N42,Alerts[],4,FALSE),"")</f>
        <v/>
      </c>
      <c r="S42" s="150" t="str" cm="1">
        <f t="array" ref="S42">IFZERO(VLOOKUP(N42,Alerts[],5,FALSE),"")</f>
        <v/>
      </c>
      <c r="T42" s="663"/>
    </row>
    <row r="43" spans="1:23" s="291" customFormat="1" x14ac:dyDescent="0.2">
      <c r="A43" s="202" t="str">
        <f t="shared" si="0"/>
        <v/>
      </c>
      <c r="B43" s="177"/>
      <c r="C43" s="178"/>
      <c r="D43" s="179"/>
      <c r="E43" s="179"/>
      <c r="F43" s="179"/>
      <c r="G43" s="179"/>
      <c r="H43" s="179"/>
      <c r="I43" s="179"/>
      <c r="J43" s="179"/>
      <c r="K43" s="179"/>
      <c r="L43" s="179"/>
      <c r="M43" s="316"/>
      <c r="N43" s="462">
        <v>39</v>
      </c>
      <c r="O43" s="149"/>
      <c r="P43" s="564" t="str">
        <f>VLOOKUP(N43,Alerts[],3,FALSE)</f>
        <v/>
      </c>
      <c r="Q43" s="565"/>
      <c r="R43" s="463" t="str" cm="1">
        <f t="array" ref="R43">IFZERO(VLOOKUP(N43,Alerts[],4,FALSE),"")</f>
        <v/>
      </c>
      <c r="S43" s="150" t="str" cm="1">
        <f t="array" ref="S43">IFZERO(VLOOKUP(N43,Alerts[],5,FALSE),"")</f>
        <v/>
      </c>
      <c r="T43" s="663"/>
    </row>
    <row r="44" spans="1:23" s="291" customFormat="1" x14ac:dyDescent="0.2">
      <c r="A44" s="202" t="str">
        <f t="shared" si="0"/>
        <v/>
      </c>
      <c r="B44" s="177"/>
      <c r="C44" s="178"/>
      <c r="D44" s="179"/>
      <c r="E44" s="179"/>
      <c r="F44" s="179"/>
      <c r="G44" s="179"/>
      <c r="H44" s="179"/>
      <c r="I44" s="179"/>
      <c r="J44" s="179"/>
      <c r="K44" s="179"/>
      <c r="L44" s="179"/>
      <c r="M44" s="316"/>
      <c r="N44" s="462">
        <v>40</v>
      </c>
      <c r="O44" s="149"/>
      <c r="P44" s="564" t="str">
        <f>VLOOKUP(N44,Alerts[],3,FALSE)</f>
        <v/>
      </c>
      <c r="Q44" s="565"/>
      <c r="R44" s="463" t="str" cm="1">
        <f t="array" ref="R44">IFZERO(VLOOKUP(N44,Alerts[],4,FALSE),"")</f>
        <v/>
      </c>
      <c r="S44" s="150" t="str" cm="1">
        <f t="array" ref="S44">IFZERO(VLOOKUP(N44,Alerts[],5,FALSE),"")</f>
        <v/>
      </c>
      <c r="T44" s="663"/>
    </row>
    <row r="45" spans="1:23" s="320" customFormat="1" x14ac:dyDescent="0.2">
      <c r="A45" s="334"/>
      <c r="B45" s="355"/>
      <c r="C45" s="356"/>
      <c r="D45" s="316"/>
      <c r="E45" s="316"/>
      <c r="F45" s="316"/>
      <c r="G45" s="316"/>
      <c r="H45" s="316"/>
      <c r="I45" s="316"/>
      <c r="J45" s="316"/>
      <c r="K45" s="357"/>
      <c r="L45" s="316"/>
      <c r="M45" s="316"/>
      <c r="N45" s="318"/>
      <c r="P45" s="318"/>
      <c r="Q45" s="318"/>
      <c r="R45" s="318"/>
      <c r="S45" s="318"/>
      <c r="T45" s="318"/>
    </row>
    <row r="46" spans="1:23" x14ac:dyDescent="0.2">
      <c r="A46" s="338"/>
      <c r="B46" s="358"/>
      <c r="C46" s="359"/>
      <c r="D46" s="498" t="s">
        <v>33</v>
      </c>
      <c r="E46" s="499"/>
      <c r="F46" s="499"/>
      <c r="G46" s="499"/>
      <c r="H46" s="499"/>
      <c r="I46" s="500"/>
      <c r="J46" s="360"/>
      <c r="K46" s="360"/>
      <c r="L46" s="360"/>
      <c r="M46" s="524" t="s">
        <v>332</v>
      </c>
      <c r="N46" s="525"/>
      <c r="O46" s="526"/>
      <c r="P46" s="527"/>
      <c r="Q46" s="320"/>
      <c r="R46" s="320"/>
      <c r="S46" s="320"/>
      <c r="T46" s="320"/>
      <c r="U46" s="320"/>
    </row>
    <row r="47" spans="1:23" x14ac:dyDescent="0.2">
      <c r="A47" s="338"/>
      <c r="B47" s="358"/>
      <c r="C47" s="429" t="s">
        <v>59</v>
      </c>
      <c r="D47" s="302" t="str">
        <f>IF(D48="","",""""&amp;_xlfn.XLOOKUP(D$48,WireSets[serial_number],WireSets[type],"",0)&amp;"""")</f>
        <v/>
      </c>
      <c r="E47" s="302" t="str">
        <f>IF(E48="","",""""&amp;_xlfn.XLOOKUP(E$48,WireSets[serial_number],WireSets[type],"",0)&amp;"""")</f>
        <v/>
      </c>
      <c r="F47" s="302" t="str">
        <f>IF(F48="","",""""&amp;_xlfn.XLOOKUP(F$48,WireSets[serial_number],WireSets[type],"",0)&amp;"""")</f>
        <v/>
      </c>
      <c r="G47" s="302" t="str">
        <f>IF(G48="","",""""&amp;_xlfn.XLOOKUP(G$48,WireSets[serial_number],WireSets[type],"",0)&amp;"""")</f>
        <v/>
      </c>
      <c r="H47" s="302" t="str">
        <f>IF(H48="","",""""&amp;_xlfn.XLOOKUP(H$48,WireSets[serial_number],WireSets[type],"",0)&amp;"""")</f>
        <v/>
      </c>
      <c r="I47" s="302" t="str">
        <f>IF(I48="","",""""&amp;_xlfn.XLOOKUP(I$48,WireSets[serial_number],WireSets[type],"",0)&amp;"""")</f>
        <v/>
      </c>
      <c r="J47" s="360"/>
      <c r="K47" s="360"/>
      <c r="L47" s="316"/>
      <c r="M47" s="252" t="s">
        <v>333</v>
      </c>
      <c r="N47" s="314" t="s">
        <v>334</v>
      </c>
      <c r="O47" s="361"/>
      <c r="P47" s="505" t="s">
        <v>335</v>
      </c>
      <c r="Q47" s="505"/>
      <c r="R47" s="432" t="s">
        <v>336</v>
      </c>
      <c r="S47" s="320"/>
      <c r="T47" s="320"/>
      <c r="U47" s="320"/>
    </row>
    <row r="48" spans="1:23" x14ac:dyDescent="0.2">
      <c r="A48" s="334"/>
      <c r="B48" s="358"/>
      <c r="C48" s="430" t="s">
        <v>34</v>
      </c>
      <c r="D48" s="303"/>
      <c r="E48" s="303"/>
      <c r="F48" s="303"/>
      <c r="G48" s="303"/>
      <c r="H48" s="303"/>
      <c r="I48" s="303"/>
      <c r="J48" s="360"/>
      <c r="K48" s="360"/>
      <c r="L48" s="360"/>
      <c r="M48" s="506" t="s">
        <v>337</v>
      </c>
      <c r="N48" s="506"/>
      <c r="O48" s="362"/>
      <c r="P48" s="507" t="s">
        <v>384</v>
      </c>
      <c r="Q48" s="508"/>
      <c r="R48" s="509"/>
      <c r="S48" s="363"/>
      <c r="T48" s="321"/>
      <c r="U48" s="507" t="s">
        <v>387</v>
      </c>
      <c r="V48" s="508"/>
      <c r="W48" s="509"/>
    </row>
    <row r="49" spans="1:24" x14ac:dyDescent="0.2">
      <c r="A49" s="334"/>
      <c r="B49" s="364"/>
      <c r="C49" s="429" t="s">
        <v>35</v>
      </c>
      <c r="D49" s="301" t="str">
        <f>_xlfn.XLOOKUP(D$48,WireSets[serial_number],WireSets[service_date],"",0)</f>
        <v/>
      </c>
      <c r="E49" s="301" t="str">
        <f>_xlfn.XLOOKUP(E$48,WireSets[serial_number],WireSets[service_date],"",0)</f>
        <v/>
      </c>
      <c r="F49" s="301" t="str">
        <f>_xlfn.XLOOKUP(F$48,WireSets[serial_number],WireSets[service_date],"",0)</f>
        <v/>
      </c>
      <c r="G49" s="301" t="str">
        <f>_xlfn.XLOOKUP(G$48,WireSets[serial_number],WireSets[service_date],"",0)</f>
        <v/>
      </c>
      <c r="H49" s="301" t="str">
        <f>_xlfn.XLOOKUP(H$48,WireSets[serial_number],WireSets[service_date],"",0)</f>
        <v/>
      </c>
      <c r="I49" s="301" t="str">
        <f>_xlfn.XLOOKUP(I$48,WireSets[serial_number],WireSets[service_date],"",0)</f>
        <v/>
      </c>
      <c r="J49" s="360"/>
      <c r="K49" s="360" t="s">
        <v>861</v>
      </c>
      <c r="L49" s="360"/>
      <c r="M49" s="252" t="s">
        <v>338</v>
      </c>
      <c r="N49" s="313" t="str">
        <f>IF(PB="","",PB)</f>
        <v/>
      </c>
      <c r="O49" s="330"/>
      <c r="P49" s="510" t="s">
        <v>389</v>
      </c>
      <c r="Q49" s="511"/>
      <c r="R49" s="512"/>
      <c r="S49" s="433"/>
      <c r="T49" s="322"/>
      <c r="U49" s="510" t="s">
        <v>388</v>
      </c>
      <c r="V49" s="511"/>
      <c r="W49" s="512"/>
      <c r="X49" s="304"/>
    </row>
    <row r="50" spans="1:24" x14ac:dyDescent="0.2">
      <c r="A50" s="334"/>
      <c r="B50" s="365"/>
      <c r="C50" s="429" t="s">
        <v>36</v>
      </c>
      <c r="D50" s="301" t="str">
        <f>_xlfn.XLOOKUP(D$48,WireSets[serial_number],WireSets[next_service_date],"",0)</f>
        <v/>
      </c>
      <c r="E50" s="301" t="str">
        <f>_xlfn.XLOOKUP(E$48,WireSets[serial_number],WireSets[next_service_date],"",0)</f>
        <v/>
      </c>
      <c r="F50" s="301" t="str">
        <f>_xlfn.XLOOKUP(F$48,WireSets[serial_number],WireSets[next_service_date],"",0)</f>
        <v/>
      </c>
      <c r="G50" s="301" t="str">
        <f>_xlfn.XLOOKUP(G$48,WireSets[serial_number],WireSets[next_service_date],"",0)</f>
        <v/>
      </c>
      <c r="H50" s="301" t="str">
        <f>_xlfn.XLOOKUP(H$48,WireSets[serial_number],WireSets[next_service_date],"",0)</f>
        <v/>
      </c>
      <c r="I50" s="301" t="str">
        <f>_xlfn.XLOOKUP(I$48,WireSets[serial_number],WireSets[next_service_date],"",0)</f>
        <v/>
      </c>
      <c r="J50" s="360"/>
      <c r="K50" s="360"/>
      <c r="L50" s="360"/>
      <c r="M50" s="252" t="s">
        <v>339</v>
      </c>
      <c r="N50" s="313" t="str">
        <f>IF(Integral="","",Integral)</f>
        <v/>
      </c>
      <c r="O50" s="330"/>
      <c r="P50" s="513" t="s">
        <v>340</v>
      </c>
      <c r="Q50" s="514"/>
      <c r="R50" s="515"/>
      <c r="S50" s="366"/>
      <c r="T50" s="323"/>
      <c r="U50" s="513" t="s">
        <v>340</v>
      </c>
      <c r="V50" s="514"/>
      <c r="W50" s="515"/>
      <c r="X50" s="320"/>
    </row>
    <row r="51" spans="1:24" x14ac:dyDescent="0.2">
      <c r="A51" s="334"/>
      <c r="B51" s="367"/>
      <c r="C51" s="429" t="s">
        <v>57</v>
      </c>
      <c r="D51" s="303"/>
      <c r="E51" s="303"/>
      <c r="F51" s="303"/>
      <c r="G51" s="303"/>
      <c r="H51" s="303"/>
      <c r="I51" s="303"/>
      <c r="J51" s="360"/>
      <c r="K51" s="368"/>
      <c r="L51" s="360"/>
      <c r="M51" s="416" t="s">
        <v>341</v>
      </c>
      <c r="N51" s="313" t="str">
        <f>IF(Derivative="","",Derivative)</f>
        <v/>
      </c>
      <c r="O51" s="316"/>
      <c r="P51" s="510" t="s">
        <v>385</v>
      </c>
      <c r="Q51" s="511"/>
      <c r="R51" s="512"/>
      <c r="S51" s="433"/>
      <c r="T51" s="324"/>
      <c r="U51" s="510" t="s">
        <v>390</v>
      </c>
      <c r="V51" s="511"/>
      <c r="W51" s="512"/>
      <c r="X51" s="304"/>
    </row>
    <row r="52" spans="1:24" x14ac:dyDescent="0.2">
      <c r="A52" s="334"/>
      <c r="B52" s="358"/>
      <c r="C52" s="429" t="s">
        <v>347</v>
      </c>
      <c r="D52" s="303"/>
      <c r="E52" s="303"/>
      <c r="F52" s="303"/>
      <c r="G52" s="303"/>
      <c r="H52" s="303"/>
      <c r="I52" s="303"/>
      <c r="J52" s="360"/>
      <c r="K52" s="368"/>
      <c r="L52" s="360"/>
      <c r="M52" s="416" t="s">
        <v>342</v>
      </c>
      <c r="N52" s="313" t="str">
        <f>IF(Other1="","",Other1)</f>
        <v/>
      </c>
      <c r="O52" s="330"/>
      <c r="P52" s="513" t="s">
        <v>340</v>
      </c>
      <c r="Q52" s="514"/>
      <c r="R52" s="515"/>
      <c r="S52" s="366"/>
      <c r="T52" s="325"/>
      <c r="U52" s="513" t="s">
        <v>340</v>
      </c>
      <c r="V52" s="514"/>
      <c r="W52" s="515"/>
      <c r="X52" s="320"/>
    </row>
    <row r="53" spans="1:24" ht="12.75" customHeight="1" x14ac:dyDescent="0.2">
      <c r="A53" s="334"/>
      <c r="B53" s="358"/>
      <c r="C53" s="429" t="s">
        <v>58</v>
      </c>
      <c r="D53" s="308"/>
      <c r="E53" s="308"/>
      <c r="F53" s="308"/>
      <c r="G53" s="308"/>
      <c r="H53" s="308"/>
      <c r="I53" s="308"/>
      <c r="J53" s="360"/>
      <c r="K53" s="369"/>
      <c r="L53" s="369"/>
      <c r="M53" s="417" t="s">
        <v>342</v>
      </c>
      <c r="N53" s="313" t="str">
        <f>IF(Other2="","",Other2)</f>
        <v/>
      </c>
      <c r="O53" s="330"/>
      <c r="P53" s="558" t="s">
        <v>386</v>
      </c>
      <c r="Q53" s="559"/>
      <c r="R53" s="560"/>
      <c r="S53" s="434"/>
      <c r="T53" s="326"/>
      <c r="U53" s="558" t="s">
        <v>391</v>
      </c>
      <c r="V53" s="559"/>
      <c r="W53" s="560"/>
      <c r="X53" s="415"/>
    </row>
    <row r="54" spans="1:24" x14ac:dyDescent="0.2">
      <c r="A54" s="334"/>
      <c r="B54" s="358"/>
      <c r="C54" s="431" t="s">
        <v>82</v>
      </c>
      <c r="D54" s="487" t="str">
        <f>_xlfn.XLOOKUP(D$48,WireSets[serial_number],WireSets[certificate_number],"",0)</f>
        <v/>
      </c>
      <c r="E54" s="487" t="str">
        <f>_xlfn.XLOOKUP(E$48,WireSets[serial_number],WireSets[certificate_number],"",0)</f>
        <v/>
      </c>
      <c r="F54" s="487" t="str">
        <f>_xlfn.XLOOKUP(F$48,WireSets[serial_number],WireSets[certificate_number],"",0)</f>
        <v/>
      </c>
      <c r="G54" s="487" t="str">
        <f>_xlfn.XLOOKUP(G$48,WireSets[serial_number],WireSets[certificate_number],"",0)</f>
        <v/>
      </c>
      <c r="H54" s="487" t="str">
        <f>_xlfn.XLOOKUP(H$48,WireSets[serial_number],WireSets[certificate_number],"",0)</f>
        <v/>
      </c>
      <c r="I54" s="487" t="str">
        <f>_xlfn.XLOOKUP(I$48,WireSets[serial_number],WireSets[certificate_number],"",0)</f>
        <v/>
      </c>
      <c r="J54" s="370"/>
      <c r="K54" s="418"/>
      <c r="L54" s="419"/>
      <c r="M54" s="420" t="s">
        <v>369</v>
      </c>
      <c r="N54" s="312">
        <v>0</v>
      </c>
      <c r="O54" s="318"/>
      <c r="P54" s="561"/>
      <c r="Q54" s="562"/>
      <c r="R54" s="563"/>
      <c r="S54" s="371"/>
      <c r="T54" s="327"/>
      <c r="U54" s="561"/>
      <c r="V54" s="562"/>
      <c r="W54" s="563"/>
    </row>
    <row r="55" spans="1:24" x14ac:dyDescent="0.2">
      <c r="A55" s="334"/>
      <c r="B55" s="358"/>
      <c r="C55" s="431" t="s">
        <v>152</v>
      </c>
      <c r="D55" s="488" t="str">
        <f>_xlfn.XLOOKUP(D$48,WireSets[serial_number],WireSets[wire_roll_cert_number],"",0)</f>
        <v/>
      </c>
      <c r="E55" s="488" t="str">
        <f>_xlfn.XLOOKUP(E$48,WireSets[serial_number],WireSets[wire_roll_cert_number],"",0)</f>
        <v/>
      </c>
      <c r="F55" s="488" t="str">
        <f>_xlfn.XLOOKUP(F$48,WireSets[serial_number],WireSets[wire_roll_cert_number],"",0)</f>
        <v/>
      </c>
      <c r="G55" s="488" t="str">
        <f>_xlfn.XLOOKUP(G$48,WireSets[serial_number],WireSets[wire_roll_cert_number],"",0)</f>
        <v/>
      </c>
      <c r="H55" s="488" t="str">
        <f>_xlfn.XLOOKUP(H$48,WireSets[serial_number],WireSets[wire_roll_cert_number],"",0)</f>
        <v/>
      </c>
      <c r="I55" s="488" t="str">
        <f>_xlfn.XLOOKUP(I$48,WireSets[serial_number],WireSets[wire_roll_cert_number],"",0)</f>
        <v/>
      </c>
      <c r="J55" s="372"/>
      <c r="K55" s="421"/>
      <c r="L55" s="422"/>
      <c r="M55" s="423" t="s">
        <v>370</v>
      </c>
      <c r="N55" s="312">
        <v>0</v>
      </c>
      <c r="O55" s="318"/>
      <c r="P55" s="255" t="s">
        <v>343</v>
      </c>
      <c r="Q55" s="255" t="s">
        <v>14</v>
      </c>
      <c r="R55" s="263" t="s">
        <v>344</v>
      </c>
      <c r="S55" s="373"/>
      <c r="T55" s="328"/>
      <c r="U55" s="315" t="s">
        <v>345</v>
      </c>
      <c r="V55" s="255" t="s">
        <v>14</v>
      </c>
      <c r="W55" s="255" t="s">
        <v>346</v>
      </c>
    </row>
    <row r="56" spans="1:24" x14ac:dyDescent="0.2">
      <c r="A56" s="334"/>
      <c r="B56" s="374"/>
      <c r="C56" s="431" t="s">
        <v>153</v>
      </c>
      <c r="D56" s="303"/>
      <c r="E56" s="303"/>
      <c r="F56" s="303"/>
      <c r="G56" s="303"/>
      <c r="H56" s="303"/>
      <c r="I56" s="303"/>
      <c r="J56" s="375"/>
      <c r="K56" s="424"/>
      <c r="L56" s="425"/>
      <c r="M56" s="423" t="s">
        <v>371</v>
      </c>
      <c r="N56" s="312">
        <v>0</v>
      </c>
      <c r="O56" s="318"/>
      <c r="P56" s="435"/>
      <c r="Q56" s="436"/>
      <c r="R56" s="437"/>
      <c r="S56" s="376"/>
      <c r="T56" s="329"/>
      <c r="U56" s="438"/>
      <c r="V56" s="436"/>
      <c r="W56" s="435"/>
    </row>
    <row r="57" spans="1:24" x14ac:dyDescent="0.2">
      <c r="A57" s="334"/>
      <c r="B57" s="355"/>
      <c r="C57" s="252" t="s">
        <v>348</v>
      </c>
      <c r="D57" s="304"/>
      <c r="E57" s="304"/>
      <c r="F57" s="304"/>
      <c r="G57" s="304"/>
      <c r="H57" s="304"/>
      <c r="I57" s="304"/>
      <c r="J57" s="316"/>
      <c r="K57" s="426"/>
      <c r="L57" s="427"/>
      <c r="M57" s="428" t="s">
        <v>372</v>
      </c>
      <c r="N57" s="312">
        <v>0</v>
      </c>
      <c r="O57" s="318"/>
      <c r="P57" s="316"/>
      <c r="Q57" s="316"/>
      <c r="R57" s="316"/>
      <c r="S57" s="316"/>
    </row>
    <row r="58" spans="1:24" x14ac:dyDescent="0.2">
      <c r="A58" s="334"/>
      <c r="B58" s="355"/>
      <c r="C58" s="498" t="s">
        <v>158</v>
      </c>
      <c r="D58" s="499"/>
      <c r="E58" s="499"/>
      <c r="F58" s="499"/>
      <c r="G58" s="499"/>
      <c r="H58" s="499"/>
      <c r="I58" s="499"/>
      <c r="J58" s="499"/>
      <c r="K58" s="503"/>
      <c r="L58" s="504"/>
      <c r="M58" s="320"/>
      <c r="N58" s="320"/>
      <c r="O58" s="320"/>
      <c r="P58" s="320"/>
      <c r="Q58" s="320"/>
      <c r="R58" s="320"/>
      <c r="S58" s="320"/>
      <c r="T58" s="320"/>
      <c r="U58" s="320"/>
    </row>
    <row r="59" spans="1:24" x14ac:dyDescent="0.2">
      <c r="A59" s="334"/>
      <c r="B59" s="355"/>
      <c r="C59" s="498" t="s">
        <v>163</v>
      </c>
      <c r="D59" s="499"/>
      <c r="E59" s="499"/>
      <c r="F59" s="499"/>
      <c r="G59" s="499"/>
      <c r="H59" s="499"/>
      <c r="I59" s="499"/>
      <c r="J59" s="499"/>
      <c r="K59" s="499"/>
      <c r="L59" s="500"/>
      <c r="M59" s="320"/>
      <c r="N59" s="330" t="str">
        <f>"DOORS OPENED FOR " &amp;L16&amp; " SECONDS TO SIMULATE LOAD ENTRY AT " &amp;L17&amp; "."</f>
        <v>DOORS OPENED FOR  SECONDS TO SIMULATE LOAD ENTRY AT .</v>
      </c>
      <c r="O59" s="330"/>
      <c r="P59" s="330"/>
      <c r="Q59" s="330"/>
      <c r="R59" s="330"/>
      <c r="S59" s="330"/>
      <c r="T59" s="330"/>
      <c r="U59" s="330"/>
      <c r="V59" s="330"/>
    </row>
    <row r="60" spans="1:24" x14ac:dyDescent="0.2">
      <c r="A60" s="377"/>
      <c r="B60" s="364"/>
      <c r="C60" s="180"/>
      <c r="D60" s="181" t="s">
        <v>161</v>
      </c>
      <c r="E60" s="311"/>
      <c r="F60" s="182" t="s">
        <v>159</v>
      </c>
      <c r="G60" s="183"/>
      <c r="H60" s="183"/>
      <c r="I60" s="183"/>
      <c r="J60" s="184"/>
      <c r="K60" s="311"/>
      <c r="L60" s="185" t="s">
        <v>160</v>
      </c>
      <c r="M60" s="360"/>
      <c r="N60" s="378" t="str">
        <f>"AFTER TUS, HIGH LIMIT SET AT " &amp;E60&amp; "°F AND OVEN SETPOINT RAISED UNTIL HIGH LIMIT SYSTEM ACTIVATED AT " &amp;K60&amp; "°F."</f>
        <v>AFTER TUS, HIGH LIMIT SET AT °F AND OVEN SETPOINT RAISED UNTIL HIGH LIMIT SYSTEM ACTIVATED AT °F.</v>
      </c>
      <c r="O60" s="378"/>
      <c r="P60" s="330"/>
      <c r="Q60" s="330"/>
      <c r="R60" s="330"/>
      <c r="S60" s="330"/>
      <c r="T60" s="330"/>
      <c r="U60" s="330"/>
      <c r="V60" s="330"/>
    </row>
    <row r="61" spans="1:24" x14ac:dyDescent="0.2">
      <c r="A61" s="338"/>
      <c r="B61" s="331"/>
      <c r="C61" s="181"/>
      <c r="D61" s="181" t="s">
        <v>162</v>
      </c>
      <c r="E61" s="311"/>
      <c r="F61" s="187" t="s">
        <v>164</v>
      </c>
      <c r="G61" s="188"/>
      <c r="H61" s="188"/>
      <c r="I61" s="189"/>
      <c r="J61" s="311"/>
      <c r="K61" s="190" t="s">
        <v>160</v>
      </c>
      <c r="L61" s="316"/>
      <c r="M61" s="320"/>
      <c r="N61" s="378" t="str">
        <f>"AFTER TUS, HIGH LIMIT READING " &amp;E61&amp; "°F AND HIGH LIMIT SETPOINT LOWERED UNTIL ACTIVATION AT " &amp;J61&amp; "°F."</f>
        <v>AFTER TUS, HIGH LIMIT READING °F AND HIGH LIMIT SETPOINT LOWERED UNTIL ACTIVATION AT °F.</v>
      </c>
      <c r="O61" s="379"/>
      <c r="P61" s="330"/>
      <c r="Q61" s="330"/>
      <c r="R61" s="330"/>
      <c r="S61" s="330"/>
      <c r="T61" s="330"/>
      <c r="U61" s="330"/>
      <c r="V61" s="330"/>
    </row>
    <row r="62" spans="1:24" x14ac:dyDescent="0.2">
      <c r="A62" s="338"/>
      <c r="B62" s="331"/>
      <c r="C62" s="332"/>
      <c r="D62" s="316"/>
      <c r="E62" s="316"/>
      <c r="F62" s="320" t="s">
        <v>367</v>
      </c>
      <c r="G62" s="354"/>
      <c r="H62" s="354"/>
      <c r="I62" s="354"/>
      <c r="J62" s="316"/>
      <c r="K62" s="316"/>
      <c r="L62" s="316"/>
      <c r="M62" s="380"/>
      <c r="N62" s="379"/>
      <c r="O62" s="379"/>
      <c r="P62" s="330"/>
      <c r="Q62" s="330"/>
      <c r="R62" s="330"/>
      <c r="S62" s="330"/>
      <c r="T62" s="330"/>
      <c r="U62" s="330"/>
      <c r="V62" s="330"/>
    </row>
    <row r="63" spans="1:24" x14ac:dyDescent="0.2">
      <c r="A63" s="338"/>
      <c r="B63" s="331"/>
      <c r="C63" s="353"/>
      <c r="D63" s="354"/>
      <c r="E63" s="354"/>
      <c r="F63" s="354"/>
      <c r="G63" s="354"/>
      <c r="H63" s="354"/>
      <c r="I63" s="354"/>
      <c r="J63" s="316"/>
      <c r="K63" s="316"/>
      <c r="L63" s="316"/>
      <c r="M63" s="320"/>
      <c r="N63" s="360"/>
      <c r="O63" s="360"/>
      <c r="P63" s="320"/>
      <c r="Q63" s="320"/>
      <c r="R63" s="320"/>
      <c r="S63" s="320"/>
      <c r="T63" s="320"/>
      <c r="U63" s="320"/>
    </row>
    <row r="64" spans="1:24" x14ac:dyDescent="0.2">
      <c r="A64" s="381"/>
      <c r="B64" s="331"/>
      <c r="C64" s="353"/>
      <c r="D64" s="354"/>
      <c r="E64" s="354"/>
      <c r="F64" s="354"/>
      <c r="G64" s="354"/>
      <c r="H64" s="354"/>
      <c r="I64" s="354"/>
      <c r="J64" s="316"/>
      <c r="K64" s="316"/>
      <c r="L64" s="316"/>
      <c r="M64" s="320"/>
      <c r="N64" s="360"/>
      <c r="O64" s="360"/>
      <c r="P64" s="320"/>
      <c r="Q64" s="320"/>
      <c r="R64" s="320"/>
      <c r="S64" s="320"/>
      <c r="T64" s="320"/>
      <c r="U64" s="320"/>
    </row>
    <row r="65" spans="1:19" x14ac:dyDescent="0.2">
      <c r="A65" s="382"/>
      <c r="B65" s="331"/>
      <c r="C65" s="353"/>
      <c r="D65" s="354"/>
      <c r="E65" s="354"/>
      <c r="F65" s="354"/>
      <c r="G65" s="354"/>
      <c r="H65" s="354"/>
      <c r="I65" s="354"/>
      <c r="J65" s="316"/>
      <c r="K65" s="316"/>
      <c r="L65" s="316"/>
      <c r="M65" s="316"/>
      <c r="N65" s="383"/>
      <c r="O65" s="383"/>
      <c r="P65" s="316"/>
      <c r="Q65" s="316"/>
      <c r="R65" s="316"/>
      <c r="S65" s="316"/>
    </row>
    <row r="66" spans="1:19" x14ac:dyDescent="0.2">
      <c r="A66" s="384"/>
      <c r="B66" s="331"/>
      <c r="C66" s="353"/>
      <c r="D66" s="354"/>
      <c r="E66" s="354"/>
      <c r="F66" s="354"/>
      <c r="G66" s="354"/>
      <c r="H66" s="354"/>
      <c r="I66" s="354"/>
      <c r="J66" s="316"/>
      <c r="K66" s="316"/>
      <c r="L66" s="316"/>
      <c r="M66" s="316"/>
      <c r="N66" s="385"/>
      <c r="O66" s="385"/>
      <c r="P66" s="316"/>
      <c r="Q66" s="316"/>
      <c r="R66" s="316"/>
      <c r="S66" s="316"/>
    </row>
    <row r="67" spans="1:19" x14ac:dyDescent="0.2">
      <c r="A67" s="338"/>
      <c r="B67" s="331"/>
      <c r="C67" s="353"/>
      <c r="D67" s="354"/>
      <c r="E67" s="354"/>
      <c r="F67" s="354"/>
      <c r="G67" s="354"/>
      <c r="H67" s="354"/>
      <c r="I67" s="354"/>
      <c r="J67" s="316"/>
      <c r="K67" s="316"/>
      <c r="L67" s="316"/>
      <c r="M67" s="316"/>
      <c r="N67" s="385"/>
      <c r="O67" s="385"/>
      <c r="P67" s="316"/>
      <c r="Q67" s="316"/>
      <c r="R67" s="316"/>
      <c r="S67" s="316"/>
    </row>
    <row r="68" spans="1:19" x14ac:dyDescent="0.2">
      <c r="A68" s="338"/>
      <c r="B68" s="331"/>
      <c r="C68" s="353"/>
      <c r="D68" s="354"/>
      <c r="E68" s="354"/>
      <c r="F68" s="354"/>
      <c r="G68" s="354"/>
      <c r="H68" s="354"/>
      <c r="I68" s="354"/>
      <c r="J68" s="316"/>
      <c r="K68" s="316"/>
      <c r="L68" s="316"/>
      <c r="M68" s="316"/>
      <c r="N68" s="385"/>
      <c r="O68" s="385"/>
      <c r="P68" s="316"/>
      <c r="Q68" s="316"/>
      <c r="R68" s="316"/>
      <c r="S68" s="316"/>
    </row>
    <row r="69" spans="1:19" ht="24.75" customHeight="1" x14ac:dyDescent="0.2">
      <c r="A69" s="338"/>
      <c r="B69" s="331"/>
      <c r="C69" s="353"/>
      <c r="D69" s="354"/>
      <c r="E69" s="354"/>
      <c r="F69" s="354"/>
      <c r="G69" s="354"/>
      <c r="H69" s="354"/>
      <c r="I69" s="354"/>
      <c r="J69" s="316"/>
      <c r="K69" s="316"/>
      <c r="L69" s="316"/>
      <c r="M69" s="316"/>
      <c r="N69" s="385"/>
      <c r="O69" s="385"/>
      <c r="P69" s="316"/>
      <c r="Q69" s="316"/>
      <c r="R69" s="316"/>
      <c r="S69" s="316"/>
    </row>
    <row r="70" spans="1:19" x14ac:dyDescent="0.2">
      <c r="A70" s="338"/>
      <c r="B70" s="331"/>
      <c r="C70" s="332"/>
      <c r="D70" s="316"/>
      <c r="E70" s="316"/>
      <c r="F70" s="316"/>
      <c r="G70" s="316"/>
      <c r="H70" s="316"/>
      <c r="I70" s="316"/>
      <c r="J70" s="316"/>
      <c r="K70" s="316"/>
      <c r="L70" s="316"/>
      <c r="M70" s="316"/>
      <c r="N70" s="359"/>
      <c r="O70" s="359"/>
      <c r="P70" s="316"/>
      <c r="Q70" s="316"/>
      <c r="R70" s="316"/>
      <c r="S70" s="316"/>
    </row>
    <row r="71" spans="1:19" x14ac:dyDescent="0.2">
      <c r="A71" s="386"/>
      <c r="B71" s="331"/>
      <c r="C71" s="332"/>
      <c r="D71" s="316"/>
      <c r="E71" s="316"/>
      <c r="F71" s="316"/>
      <c r="G71" s="316"/>
      <c r="H71" s="316"/>
      <c r="I71" s="316"/>
      <c r="J71" s="316"/>
      <c r="K71" s="316"/>
      <c r="L71" s="316"/>
      <c r="M71" s="316"/>
      <c r="N71" s="316"/>
      <c r="O71" s="359"/>
      <c r="P71" s="316"/>
      <c r="Q71" s="316"/>
      <c r="R71" s="316"/>
      <c r="S71" s="316"/>
    </row>
    <row r="72" spans="1:19" x14ac:dyDescent="0.2">
      <c r="A72" s="387"/>
      <c r="B72" s="388"/>
      <c r="C72" s="389"/>
      <c r="D72" s="390"/>
      <c r="E72" s="390"/>
      <c r="F72" s="390"/>
      <c r="G72" s="390"/>
      <c r="H72" s="390"/>
      <c r="I72" s="390"/>
      <c r="J72" s="390"/>
      <c r="K72" s="390"/>
      <c r="L72" s="390"/>
      <c r="M72" s="390"/>
      <c r="N72" s="391"/>
      <c r="O72" s="391"/>
      <c r="P72" s="391"/>
      <c r="Q72" s="390"/>
      <c r="R72" s="316"/>
      <c r="S72" s="316"/>
    </row>
    <row r="73" spans="1:19" x14ac:dyDescent="0.2">
      <c r="A73" s="387"/>
      <c r="B73" s="388"/>
      <c r="C73" s="389"/>
      <c r="D73" s="390"/>
      <c r="E73" s="390"/>
      <c r="F73" s="390"/>
      <c r="G73" s="390"/>
      <c r="H73" s="390"/>
      <c r="I73" s="390"/>
      <c r="J73" s="390"/>
      <c r="K73" s="390"/>
      <c r="L73" s="390"/>
      <c r="M73" s="390"/>
      <c r="N73" s="391"/>
      <c r="O73" s="391"/>
      <c r="P73" s="391"/>
      <c r="Q73" s="390"/>
      <c r="R73" s="316"/>
      <c r="S73" s="316"/>
    </row>
    <row r="74" spans="1:19" x14ac:dyDescent="0.2">
      <c r="A74" s="387"/>
      <c r="B74" s="388"/>
      <c r="C74" s="389"/>
      <c r="D74" s="390"/>
      <c r="E74" s="390"/>
      <c r="F74" s="390"/>
      <c r="G74" s="390"/>
      <c r="H74" s="390"/>
      <c r="I74" s="390"/>
      <c r="J74" s="390"/>
      <c r="K74" s="390"/>
      <c r="L74" s="390"/>
      <c r="M74" s="390"/>
      <c r="N74" s="391"/>
      <c r="O74" s="391"/>
      <c r="P74" s="391"/>
      <c r="Q74" s="390"/>
      <c r="R74" s="316"/>
      <c r="S74" s="316"/>
    </row>
    <row r="75" spans="1:19" x14ac:dyDescent="0.2">
      <c r="A75" s="387"/>
      <c r="B75" s="388"/>
      <c r="C75" s="389"/>
      <c r="D75" s="390"/>
      <c r="E75" s="390"/>
      <c r="F75" s="390"/>
      <c r="G75" s="390"/>
      <c r="H75" s="390"/>
      <c r="I75" s="390"/>
      <c r="J75" s="390"/>
      <c r="K75" s="390"/>
      <c r="L75" s="390"/>
      <c r="M75" s="390"/>
      <c r="N75" s="391"/>
      <c r="O75" s="391"/>
      <c r="P75" s="391"/>
      <c r="Q75" s="390"/>
      <c r="R75" s="316"/>
      <c r="S75" s="316"/>
    </row>
    <row r="76" spans="1:19" x14ac:dyDescent="0.2">
      <c r="A76" s="387"/>
      <c r="B76" s="388"/>
      <c r="C76" s="389"/>
      <c r="D76" s="390"/>
      <c r="E76" s="390"/>
      <c r="F76" s="390"/>
      <c r="G76" s="390"/>
      <c r="H76" s="390"/>
      <c r="I76" s="390"/>
      <c r="J76" s="390"/>
      <c r="K76" s="390"/>
      <c r="L76" s="390"/>
      <c r="M76" s="390"/>
      <c r="N76" s="391"/>
      <c r="O76" s="391"/>
      <c r="P76" s="391"/>
      <c r="Q76" s="390"/>
      <c r="R76" s="316"/>
      <c r="S76" s="316"/>
    </row>
    <row r="77" spans="1:19" x14ac:dyDescent="0.2">
      <c r="A77" s="387"/>
      <c r="B77" s="388"/>
      <c r="C77" s="389"/>
      <c r="D77" s="390"/>
      <c r="E77" s="390"/>
      <c r="F77" s="390"/>
      <c r="G77" s="390"/>
      <c r="H77" s="390"/>
      <c r="I77" s="390"/>
      <c r="J77" s="390"/>
      <c r="K77" s="390"/>
      <c r="L77" s="390"/>
      <c r="M77" s="390"/>
      <c r="N77" s="391"/>
      <c r="O77" s="391"/>
      <c r="P77" s="391"/>
      <c r="Q77" s="390"/>
      <c r="R77" s="316"/>
      <c r="S77" s="316"/>
    </row>
    <row r="78" spans="1:19" x14ac:dyDescent="0.2">
      <c r="A78" s="387"/>
      <c r="B78" s="494"/>
      <c r="C78" s="389"/>
      <c r="D78" s="390"/>
      <c r="E78" s="390"/>
      <c r="F78" s="390"/>
      <c r="G78" s="390"/>
      <c r="H78" s="390"/>
      <c r="I78" s="390"/>
      <c r="J78" s="390"/>
      <c r="K78" s="390"/>
      <c r="L78" s="390"/>
      <c r="M78" s="390"/>
      <c r="N78" s="391"/>
      <c r="O78" s="391"/>
      <c r="P78" s="391"/>
      <c r="Q78" s="390"/>
      <c r="R78" s="316"/>
      <c r="S78" s="316"/>
    </row>
    <row r="79" spans="1:19" x14ac:dyDescent="0.2">
      <c r="A79" s="387"/>
      <c r="B79" s="388"/>
      <c r="C79" s="389"/>
      <c r="D79" s="390"/>
      <c r="E79" s="390"/>
      <c r="F79" s="390"/>
      <c r="G79" s="390"/>
      <c r="H79" s="390"/>
      <c r="I79" s="390"/>
      <c r="J79" s="390"/>
      <c r="K79" s="390"/>
      <c r="L79" s="390"/>
      <c r="M79" s="390"/>
      <c r="N79" s="391"/>
      <c r="O79" s="391"/>
      <c r="P79" s="391"/>
      <c r="Q79" s="390"/>
      <c r="R79" s="316"/>
      <c r="S79" s="316"/>
    </row>
    <row r="80" spans="1:19" x14ac:dyDescent="0.2">
      <c r="A80" s="387"/>
      <c r="B80" s="388"/>
      <c r="C80" s="389"/>
      <c r="D80" s="390"/>
      <c r="E80" s="390"/>
      <c r="F80" s="390"/>
      <c r="G80" s="390"/>
      <c r="H80" s="390"/>
      <c r="I80" s="390"/>
      <c r="J80" s="390"/>
      <c r="K80" s="390"/>
      <c r="L80" s="390"/>
      <c r="M80" s="390"/>
      <c r="N80" s="391"/>
      <c r="O80" s="391"/>
      <c r="P80" s="391"/>
      <c r="Q80" s="390"/>
      <c r="R80" s="316"/>
      <c r="S80" s="316"/>
    </row>
    <row r="81" spans="1:19" x14ac:dyDescent="0.2">
      <c r="A81" s="387"/>
      <c r="B81" s="388"/>
      <c r="C81" s="389"/>
      <c r="D81" s="390"/>
      <c r="E81" s="390"/>
      <c r="F81" s="390"/>
      <c r="G81" s="390"/>
      <c r="H81" s="390"/>
      <c r="I81" s="390"/>
      <c r="J81" s="390"/>
      <c r="K81" s="390"/>
      <c r="L81" s="390"/>
      <c r="M81" s="390"/>
      <c r="N81" s="391"/>
      <c r="O81" s="391"/>
      <c r="P81" s="391"/>
      <c r="Q81" s="390"/>
      <c r="R81" s="316"/>
      <c r="S81" s="316"/>
    </row>
    <row r="82" spans="1:19" x14ac:dyDescent="0.2">
      <c r="A82" s="387"/>
      <c r="B82" s="388"/>
      <c r="C82" s="389"/>
      <c r="D82" s="390"/>
      <c r="E82" s="390"/>
      <c r="F82" s="390"/>
      <c r="G82" s="390"/>
      <c r="I82" s="390"/>
      <c r="J82" s="390"/>
      <c r="K82" s="390"/>
      <c r="L82" s="390"/>
      <c r="M82" s="390"/>
      <c r="N82" s="391"/>
      <c r="O82" s="391"/>
      <c r="P82" s="391"/>
      <c r="Q82" s="390"/>
      <c r="R82" s="316"/>
      <c r="S82" s="316"/>
    </row>
    <row r="83" spans="1:19" x14ac:dyDescent="0.2">
      <c r="A83" s="387"/>
      <c r="B83" s="388"/>
      <c r="C83" s="389"/>
      <c r="D83" s="390"/>
      <c r="E83" s="392"/>
      <c r="F83" s="393"/>
      <c r="G83" s="320" t="s">
        <v>909</v>
      </c>
      <c r="H83" s="448">
        <f>MAX(NominalTemp/1000,1)</f>
        <v>1</v>
      </c>
      <c r="I83" s="392"/>
      <c r="J83" s="393"/>
      <c r="K83" s="394"/>
      <c r="L83" s="395"/>
      <c r="M83" s="390"/>
      <c r="N83" s="391"/>
      <c r="O83" s="391"/>
      <c r="P83" s="391"/>
      <c r="Q83" s="390"/>
      <c r="R83" s="316"/>
      <c r="S83" s="316"/>
    </row>
    <row r="84" spans="1:19" x14ac:dyDescent="0.2">
      <c r="A84" s="387"/>
      <c r="B84" s="388"/>
      <c r="C84" s="389"/>
      <c r="D84" s="390"/>
      <c r="E84" s="396"/>
      <c r="F84" s="397"/>
      <c r="G84" s="398"/>
      <c r="H84" s="399"/>
      <c r="I84" s="400"/>
      <c r="J84" s="393"/>
      <c r="K84" s="394"/>
      <c r="L84" s="395"/>
      <c r="M84" s="390"/>
      <c r="N84" s="391"/>
      <c r="O84" s="391"/>
      <c r="P84" s="391"/>
      <c r="Q84" s="390"/>
      <c r="R84" s="316"/>
      <c r="S84" s="316"/>
    </row>
    <row r="85" spans="1:19" x14ac:dyDescent="0.2">
      <c r="A85" s="387"/>
      <c r="B85" s="388"/>
      <c r="C85" s="389"/>
      <c r="D85" s="390"/>
      <c r="E85" s="396"/>
      <c r="F85" t="s">
        <v>907</v>
      </c>
      <c r="G85" t="s">
        <v>151</v>
      </c>
      <c r="H85" t="s">
        <v>150</v>
      </c>
      <c r="I85" s="39" t="s">
        <v>908</v>
      </c>
      <c r="J85" s="394"/>
      <c r="K85" s="395"/>
      <c r="L85" s="390"/>
      <c r="M85" s="391"/>
      <c r="N85" s="391"/>
      <c r="O85" s="391"/>
      <c r="P85" s="390"/>
      <c r="Q85" s="316"/>
      <c r="R85" s="316"/>
      <c r="S85" s="316"/>
    </row>
    <row r="86" spans="1:19" x14ac:dyDescent="0.2">
      <c r="A86" s="387"/>
      <c r="B86" s="388"/>
      <c r="C86" s="389"/>
      <c r="D86" s="390"/>
      <c r="E86" s="396"/>
      <c r="F86">
        <v>1</v>
      </c>
      <c r="G86" s="410">
        <v>5</v>
      </c>
      <c r="H86" s="410">
        <f>$H$83*Table18[[#This Row],[SAT Multiplier]]</f>
        <v>2</v>
      </c>
      <c r="I86">
        <v>2</v>
      </c>
      <c r="J86" s="394"/>
      <c r="K86" s="395"/>
      <c r="L86" s="390"/>
      <c r="M86" s="391"/>
      <c r="N86" s="391"/>
      <c r="O86" s="391"/>
      <c r="P86" s="390"/>
      <c r="Q86" s="316"/>
      <c r="R86" s="316"/>
      <c r="S86" s="316"/>
    </row>
    <row r="87" spans="1:19" x14ac:dyDescent="0.2">
      <c r="A87" s="387"/>
      <c r="B87" s="388"/>
      <c r="C87" s="389"/>
      <c r="D87" s="390"/>
      <c r="E87" s="396"/>
      <c r="F87">
        <v>2</v>
      </c>
      <c r="G87" s="410">
        <v>10</v>
      </c>
      <c r="H87" s="410">
        <f>$H$83*Table18[[#This Row],[SAT Multiplier]]</f>
        <v>3</v>
      </c>
      <c r="I87">
        <v>3</v>
      </c>
      <c r="J87" s="394"/>
      <c r="K87" s="395"/>
      <c r="L87" s="390"/>
      <c r="M87" s="391"/>
      <c r="N87" s="391"/>
      <c r="O87" s="391"/>
      <c r="P87" s="390"/>
      <c r="Q87" s="316"/>
      <c r="R87" s="316"/>
      <c r="S87" s="316"/>
    </row>
    <row r="88" spans="1:19" x14ac:dyDescent="0.2">
      <c r="A88" s="387"/>
      <c r="B88" s="388"/>
      <c r="C88" s="389"/>
      <c r="D88" s="390"/>
      <c r="E88" s="396"/>
      <c r="F88">
        <v>3</v>
      </c>
      <c r="G88" s="410">
        <v>15</v>
      </c>
      <c r="H88" s="410">
        <f>$H$83*Table18[[#This Row],[SAT Multiplier]]</f>
        <v>4</v>
      </c>
      <c r="I88">
        <v>4</v>
      </c>
      <c r="J88" s="394"/>
      <c r="K88" s="395"/>
      <c r="L88" s="390"/>
      <c r="M88" s="391"/>
      <c r="N88" s="391"/>
      <c r="O88" s="391"/>
      <c r="P88" s="390"/>
      <c r="Q88" s="316"/>
      <c r="R88" s="316"/>
      <c r="S88" s="316"/>
    </row>
    <row r="89" spans="1:19" x14ac:dyDescent="0.2">
      <c r="A89" s="387"/>
      <c r="B89" s="388"/>
      <c r="C89" s="389"/>
      <c r="D89" s="390"/>
      <c r="E89" s="396"/>
      <c r="F89">
        <v>4</v>
      </c>
      <c r="G89" s="410">
        <v>20</v>
      </c>
      <c r="H89" s="410">
        <f>$H$83*Table18[[#This Row],[SAT Multiplier]]</f>
        <v>4</v>
      </c>
      <c r="I89">
        <v>4</v>
      </c>
      <c r="J89" s="394"/>
      <c r="K89" s="395"/>
      <c r="L89" s="390"/>
      <c r="M89" s="391"/>
      <c r="N89" s="391"/>
      <c r="O89" s="391"/>
      <c r="P89" s="390"/>
      <c r="Q89" s="316"/>
      <c r="R89" s="316"/>
      <c r="S89" s="316"/>
    </row>
    <row r="90" spans="1:19" x14ac:dyDescent="0.2">
      <c r="A90" s="387"/>
      <c r="B90" s="388"/>
      <c r="C90" s="389"/>
      <c r="D90" s="390"/>
      <c r="E90" s="396"/>
      <c r="F90">
        <v>5</v>
      </c>
      <c r="G90" s="410">
        <v>25</v>
      </c>
      <c r="H90" s="410">
        <f>$H$83*Table18[[#This Row],[SAT Multiplier]]</f>
        <v>5</v>
      </c>
      <c r="I90">
        <v>5</v>
      </c>
      <c r="J90" s="394"/>
      <c r="K90" s="395"/>
      <c r="L90" s="390"/>
      <c r="M90" s="391"/>
      <c r="N90" s="391"/>
      <c r="O90" s="391"/>
      <c r="P90" s="390"/>
      <c r="Q90" s="316"/>
      <c r="R90" s="316"/>
      <c r="S90" s="316"/>
    </row>
    <row r="91" spans="1:19" x14ac:dyDescent="0.2">
      <c r="A91" s="387"/>
      <c r="B91" s="388"/>
      <c r="C91" s="389"/>
      <c r="D91" s="390"/>
      <c r="E91" s="396"/>
      <c r="F91">
        <v>6</v>
      </c>
      <c r="G91" s="410">
        <v>50</v>
      </c>
      <c r="H91" s="410">
        <f>$H$83*Table18[[#This Row],[SAT Multiplier]]</f>
        <v>10</v>
      </c>
      <c r="I91">
        <v>10</v>
      </c>
      <c r="J91" s="394"/>
      <c r="K91" s="395"/>
      <c r="L91" s="390"/>
      <c r="M91" s="391"/>
      <c r="N91" s="391"/>
      <c r="O91" s="391"/>
      <c r="P91" s="390"/>
      <c r="Q91" s="316"/>
      <c r="R91" s="316"/>
      <c r="S91" s="316"/>
    </row>
    <row r="92" spans="1:19" x14ac:dyDescent="0.2">
      <c r="A92" s="387"/>
      <c r="B92" s="388"/>
      <c r="C92" s="389"/>
      <c r="D92" s="390"/>
      <c r="E92" s="396"/>
      <c r="F92" s="397"/>
      <c r="G92" s="398"/>
      <c r="H92" s="399"/>
      <c r="I92" s="400"/>
      <c r="J92" s="393"/>
      <c r="K92" s="394"/>
      <c r="L92" s="395"/>
      <c r="M92" s="390"/>
      <c r="N92" s="391"/>
      <c r="O92" s="391"/>
      <c r="P92" s="391"/>
      <c r="Q92" s="390"/>
      <c r="R92" s="316"/>
      <c r="S92" s="316"/>
    </row>
    <row r="93" spans="1:19" x14ac:dyDescent="0.2">
      <c r="A93" s="387"/>
      <c r="B93" s="388"/>
      <c r="C93" s="389"/>
      <c r="D93" s="390"/>
      <c r="E93" s="396"/>
      <c r="F93" s="397" t="s">
        <v>267</v>
      </c>
      <c r="G93" s="398">
        <f>VLOOKUP(G97,G86:H91,2,FALSE)</f>
        <v>3</v>
      </c>
      <c r="H93" s="399" t="s">
        <v>268</v>
      </c>
      <c r="I93" s="400"/>
      <c r="J93" s="393"/>
      <c r="K93" s="394"/>
      <c r="L93" s="395"/>
      <c r="M93" s="390"/>
      <c r="N93" s="391"/>
      <c r="O93" s="391"/>
      <c r="P93" s="391"/>
      <c r="Q93" s="390"/>
      <c r="R93" s="316"/>
      <c r="S93" s="316"/>
    </row>
    <row r="94" spans="1:19" x14ac:dyDescent="0.2">
      <c r="A94" s="387"/>
      <c r="B94" s="388"/>
      <c r="C94" s="389"/>
      <c r="D94" s="390"/>
      <c r="E94" s="396"/>
      <c r="F94" s="401"/>
      <c r="G94" s="402" t="str">
        <f>F93&amp;G93&amp;H93</f>
        <v>±3°F</v>
      </c>
      <c r="H94" s="403"/>
      <c r="J94" s="393"/>
      <c r="K94" s="394"/>
      <c r="L94" s="395"/>
      <c r="M94" s="390"/>
      <c r="N94" s="391"/>
      <c r="O94" s="391"/>
      <c r="P94" s="391"/>
      <c r="Q94" s="390"/>
      <c r="R94" s="316"/>
      <c r="S94" s="316"/>
    </row>
    <row r="95" spans="1:19" x14ac:dyDescent="0.2">
      <c r="A95" s="387"/>
      <c r="B95" s="388"/>
      <c r="C95" s="389"/>
      <c r="D95" s="390"/>
      <c r="E95" s="392"/>
      <c r="F95" s="393"/>
      <c r="G95" s="394">
        <f>ROUNDDOWN(G93,2-(1+INT(LOG10(ABS(G93)))))</f>
        <v>3</v>
      </c>
      <c r="H95" s="395"/>
      <c r="I95" s="392"/>
      <c r="J95" s="393"/>
      <c r="K95" s="394"/>
      <c r="L95" s="395"/>
      <c r="M95" s="390"/>
      <c r="N95" s="391"/>
      <c r="O95" s="391"/>
      <c r="P95" s="391"/>
      <c r="Q95" s="390"/>
      <c r="R95" s="316"/>
      <c r="S95" s="316"/>
    </row>
    <row r="96" spans="1:19" x14ac:dyDescent="0.2">
      <c r="A96" s="387"/>
      <c r="B96" s="388"/>
      <c r="C96" s="389"/>
      <c r="D96" s="390"/>
      <c r="E96" s="387"/>
      <c r="F96" s="388"/>
      <c r="G96" s="389"/>
      <c r="H96" s="390"/>
      <c r="I96" s="387"/>
      <c r="J96" s="388"/>
      <c r="K96" s="389"/>
      <c r="L96" s="390"/>
      <c r="M96" s="390"/>
      <c r="N96" s="391"/>
      <c r="O96" s="391"/>
      <c r="P96" s="391"/>
      <c r="Q96" s="390"/>
      <c r="R96" s="316"/>
      <c r="S96" s="316"/>
    </row>
    <row r="97" spans="1:26" x14ac:dyDescent="0.2">
      <c r="A97" s="387"/>
      <c r="B97" s="388"/>
      <c r="C97" s="389"/>
      <c r="D97" s="390"/>
      <c r="E97" s="387"/>
      <c r="F97" s="388" t="s">
        <v>925</v>
      </c>
      <c r="G97" s="389" cm="1">
        <f t="array" ref="G97">_xlfn.LET(
  _xlpm.txt, D19,
  _xlpm.chars, MID(_xlpm.txt, _xlfn.SEQUENCE(LEN(_xlpm.txt)), 1),
  _xlpm.keep, IF(ISNUMBER(--_xlpm.chars) + (_xlpm.chars = "."), _xlpm.chars, ""),
  _xlpm.numberStrings, _xlfn.TEXTSPLIT(_xlfn.TEXTJOIN("",,_xlpm.keep), "."),
  _xlpm.reconstructed, _xlfn.TEXTJOIN(".",,_xlpm.numberStrings),
  IF(ISNUMBER(--_xlpm.reconstructed), --_xlpm.reconstructed, NA())
)</f>
        <v>10</v>
      </c>
      <c r="H97" s="390"/>
      <c r="I97" s="387"/>
      <c r="J97" s="388"/>
      <c r="K97" s="389"/>
      <c r="L97" s="390"/>
      <c r="M97" s="390"/>
      <c r="N97" s="391"/>
      <c r="O97" s="391"/>
      <c r="P97" s="391"/>
      <c r="Q97" s="390"/>
      <c r="R97" s="316"/>
      <c r="S97" s="316"/>
    </row>
    <row r="98" spans="1:26" x14ac:dyDescent="0.2">
      <c r="A98" s="387"/>
      <c r="B98" s="388"/>
      <c r="C98" s="389"/>
      <c r="D98" s="390"/>
      <c r="E98" s="390"/>
      <c r="F98" s="390"/>
      <c r="G98" s="390"/>
      <c r="H98" s="390"/>
      <c r="I98" s="390"/>
      <c r="J98" s="390"/>
      <c r="K98" s="390"/>
      <c r="L98" s="390"/>
      <c r="M98" s="390"/>
      <c r="N98" s="391"/>
      <c r="O98" s="391"/>
      <c r="P98" s="391"/>
      <c r="Q98" s="390"/>
      <c r="R98" s="316"/>
      <c r="S98" s="316"/>
    </row>
    <row r="99" spans="1:26" x14ac:dyDescent="0.2">
      <c r="A99" s="387"/>
      <c r="B99" s="388"/>
      <c r="C99" s="389"/>
      <c r="D99" s="390"/>
      <c r="E99" s="390"/>
      <c r="F99" s="390"/>
      <c r="G99" s="390"/>
      <c r="H99" s="390"/>
      <c r="I99" s="390"/>
      <c r="J99" s="390"/>
      <c r="K99" s="390"/>
      <c r="L99" s="390"/>
      <c r="M99" s="390"/>
      <c r="N99" s="391"/>
      <c r="O99" s="391"/>
      <c r="P99" s="391"/>
      <c r="Q99" s="390"/>
      <c r="R99" s="316"/>
      <c r="S99" s="316"/>
    </row>
    <row r="100" spans="1:26" x14ac:dyDescent="0.2">
      <c r="A100" s="387"/>
      <c r="B100" s="388"/>
      <c r="C100" s="389"/>
      <c r="D100" s="390"/>
      <c r="E100" s="390"/>
      <c r="F100" s="390"/>
      <c r="G100" s="390"/>
      <c r="H100" s="390"/>
      <c r="I100" s="390"/>
      <c r="J100" s="390"/>
      <c r="K100" s="390"/>
      <c r="L100" s="390"/>
      <c r="M100" s="390"/>
      <c r="N100" s="391"/>
      <c r="O100" s="391"/>
      <c r="P100" s="391"/>
      <c r="Q100" s="390"/>
      <c r="R100" s="316"/>
      <c r="S100" s="316"/>
      <c r="Z100" s="484"/>
    </row>
    <row r="101" spans="1:26" x14ac:dyDescent="0.2">
      <c r="A101" s="387"/>
      <c r="B101" s="388"/>
      <c r="C101" s="389"/>
      <c r="D101" s="390"/>
      <c r="E101" s="390"/>
      <c r="F101" s="390"/>
      <c r="G101" s="390"/>
      <c r="H101" s="390"/>
      <c r="I101" s="390"/>
      <c r="J101" s="390"/>
      <c r="K101" s="390"/>
      <c r="L101" s="390"/>
      <c r="M101" s="390"/>
      <c r="N101" s="391"/>
      <c r="O101" s="391"/>
      <c r="P101" s="391"/>
      <c r="Q101" s="390"/>
      <c r="R101" s="316"/>
      <c r="S101" s="316"/>
    </row>
    <row r="102" spans="1:26" x14ac:dyDescent="0.2">
      <c r="A102" s="387"/>
      <c r="B102" s="388"/>
      <c r="C102" s="389"/>
      <c r="D102" s="390"/>
      <c r="E102" s="390"/>
      <c r="F102" s="390"/>
      <c r="G102" s="390"/>
      <c r="H102" s="390"/>
      <c r="I102" s="390"/>
      <c r="J102" s="390"/>
      <c r="K102" s="390"/>
      <c r="L102" s="390"/>
      <c r="M102" s="390"/>
      <c r="N102" s="391"/>
      <c r="O102" s="391"/>
      <c r="P102" s="391"/>
      <c r="Q102" s="390"/>
      <c r="R102" s="316"/>
      <c r="S102" s="316"/>
    </row>
    <row r="103" spans="1:26" x14ac:dyDescent="0.2">
      <c r="A103" s="387"/>
      <c r="B103" s="388"/>
      <c r="C103" s="389"/>
      <c r="D103" s="390"/>
      <c r="E103" s="390"/>
      <c r="F103" s="390"/>
      <c r="G103" s="390"/>
      <c r="H103" s="390"/>
      <c r="I103" s="390"/>
      <c r="J103" s="390"/>
      <c r="K103" s="390"/>
      <c r="L103" s="390"/>
      <c r="M103" s="390"/>
      <c r="N103" s="391"/>
      <c r="O103" s="391"/>
      <c r="P103" s="391"/>
      <c r="Q103" s="390"/>
      <c r="R103" s="316"/>
      <c r="S103" s="316"/>
    </row>
    <row r="104" spans="1:26" x14ac:dyDescent="0.2">
      <c r="A104" s="387"/>
      <c r="B104" s="388"/>
      <c r="C104" s="389"/>
      <c r="D104" s="390"/>
      <c r="E104" s="390"/>
      <c r="F104" s="390"/>
      <c r="G104" s="390"/>
      <c r="H104" s="390"/>
      <c r="I104" s="390"/>
      <c r="J104" s="390"/>
      <c r="K104" s="390"/>
      <c r="L104" s="390"/>
      <c r="M104" s="390"/>
      <c r="N104" s="391"/>
      <c r="O104" s="391"/>
      <c r="P104" s="391"/>
      <c r="Q104" s="390"/>
      <c r="R104" s="316"/>
      <c r="S104" s="316"/>
    </row>
    <row r="105" spans="1:26" x14ac:dyDescent="0.2">
      <c r="A105" s="387"/>
      <c r="B105" s="388"/>
      <c r="C105" s="389"/>
      <c r="D105" s="390"/>
      <c r="E105" s="390"/>
      <c r="F105" s="390"/>
      <c r="G105" s="390"/>
      <c r="H105" s="390"/>
      <c r="I105" s="390"/>
      <c r="J105" s="390"/>
      <c r="K105" s="390"/>
      <c r="L105" s="390"/>
      <c r="M105" s="390"/>
      <c r="N105" s="391"/>
      <c r="O105" s="391"/>
      <c r="P105" s="391"/>
      <c r="Q105" s="390"/>
      <c r="R105" s="316"/>
      <c r="S105" s="316"/>
    </row>
    <row r="106" spans="1:26" x14ac:dyDescent="0.2">
      <c r="A106" s="387"/>
      <c r="B106" s="388"/>
      <c r="C106" s="389"/>
      <c r="D106" s="390"/>
      <c r="E106" s="390"/>
      <c r="F106" s="390"/>
      <c r="G106" s="483"/>
      <c r="H106" s="390"/>
      <c r="I106" s="390"/>
      <c r="J106" s="390"/>
      <c r="K106" s="390"/>
      <c r="L106" s="390"/>
      <c r="M106" s="390"/>
      <c r="N106" s="391"/>
      <c r="O106" s="391"/>
      <c r="P106" s="391"/>
      <c r="Q106" s="390"/>
      <c r="R106" s="316"/>
      <c r="S106" s="316"/>
    </row>
    <row r="107" spans="1:26" x14ac:dyDescent="0.2">
      <c r="A107" s="387"/>
      <c r="B107" s="388"/>
      <c r="C107" s="389"/>
      <c r="D107" s="390"/>
      <c r="E107" s="390"/>
      <c r="F107" s="390"/>
      <c r="G107" s="390"/>
      <c r="H107" s="390"/>
      <c r="I107" s="390"/>
      <c r="J107" s="390"/>
      <c r="K107" s="390"/>
      <c r="L107" s="390"/>
      <c r="M107" s="390"/>
      <c r="N107" s="391"/>
      <c r="O107" s="391"/>
      <c r="P107" s="391"/>
      <c r="Q107" s="390"/>
      <c r="R107" s="316"/>
      <c r="S107" s="316"/>
    </row>
    <row r="108" spans="1:26" x14ac:dyDescent="0.2">
      <c r="A108" s="387"/>
      <c r="B108" s="388"/>
      <c r="C108" s="389"/>
      <c r="D108" s="390"/>
      <c r="E108" s="390"/>
      <c r="F108" s="390"/>
      <c r="G108" s="390"/>
      <c r="H108" s="390"/>
      <c r="I108" s="390"/>
      <c r="J108" s="390"/>
      <c r="K108" s="390"/>
      <c r="L108" s="390"/>
      <c r="M108" s="390"/>
      <c r="N108" s="391"/>
      <c r="O108" s="391"/>
      <c r="P108" s="391"/>
      <c r="Q108" s="390"/>
      <c r="R108" s="316"/>
      <c r="S108" s="316"/>
    </row>
    <row r="109" spans="1:26" x14ac:dyDescent="0.2">
      <c r="A109" s="387"/>
      <c r="B109" s="388"/>
      <c r="C109" s="389"/>
      <c r="D109" s="390"/>
      <c r="E109" s="390"/>
      <c r="F109" s="390"/>
      <c r="G109" s="390"/>
      <c r="H109" s="390"/>
      <c r="I109" s="390"/>
      <c r="J109" s="390"/>
      <c r="K109" s="390"/>
      <c r="L109" s="390"/>
      <c r="M109" s="390"/>
      <c r="N109" s="391"/>
      <c r="O109" s="391"/>
      <c r="P109" s="391"/>
      <c r="Q109" s="390"/>
      <c r="R109" s="316"/>
      <c r="S109" s="316"/>
    </row>
    <row r="110" spans="1:26" x14ac:dyDescent="0.2">
      <c r="A110" s="387"/>
      <c r="B110" s="388"/>
      <c r="C110" s="389"/>
      <c r="D110" s="390"/>
      <c r="E110" s="390"/>
      <c r="F110" s="390"/>
      <c r="G110" s="390"/>
      <c r="H110" s="390"/>
      <c r="I110" s="390"/>
      <c r="J110" s="390"/>
      <c r="K110" s="390"/>
      <c r="L110" s="390"/>
      <c r="M110" s="390"/>
      <c r="N110" s="391"/>
      <c r="O110" s="391"/>
      <c r="P110" s="391"/>
      <c r="Q110" s="390"/>
      <c r="R110" s="316"/>
      <c r="S110" s="316"/>
    </row>
    <row r="111" spans="1:26" x14ac:dyDescent="0.2">
      <c r="A111" s="387"/>
      <c r="B111" s="388"/>
      <c r="C111" s="389"/>
      <c r="D111" s="390"/>
      <c r="E111" s="390"/>
      <c r="F111" s="390"/>
      <c r="G111" s="390"/>
      <c r="H111" s="390"/>
      <c r="I111" s="390"/>
      <c r="J111" s="390"/>
      <c r="K111" s="390"/>
      <c r="L111" s="390"/>
      <c r="M111" s="390"/>
      <c r="N111" s="391"/>
      <c r="O111" s="391"/>
      <c r="P111" s="391"/>
      <c r="Q111" s="390"/>
      <c r="R111" s="316"/>
      <c r="S111" s="316"/>
    </row>
    <row r="112" spans="1:26" x14ac:dyDescent="0.2">
      <c r="A112" s="387"/>
      <c r="B112" s="388"/>
      <c r="C112" s="389"/>
      <c r="D112" s="390"/>
      <c r="E112" s="390"/>
      <c r="F112" s="390"/>
      <c r="G112" s="390"/>
      <c r="H112" s="390"/>
      <c r="I112" s="390"/>
      <c r="J112" s="390"/>
      <c r="K112" s="390"/>
      <c r="L112" s="390"/>
      <c r="M112" s="390"/>
      <c r="N112" s="404"/>
      <c r="O112" s="404"/>
      <c r="P112" s="404"/>
      <c r="Q112" s="390"/>
      <c r="R112" s="316"/>
      <c r="S112" s="316"/>
    </row>
    <row r="113" spans="1:19" x14ac:dyDescent="0.2">
      <c r="A113" s="387"/>
      <c r="B113" s="388"/>
      <c r="C113" s="389"/>
      <c r="D113" s="390"/>
      <c r="E113" s="390"/>
      <c r="F113" s="390"/>
      <c r="G113" s="390"/>
      <c r="H113" s="390"/>
      <c r="I113" s="390"/>
      <c r="J113" s="390"/>
      <c r="K113" s="390"/>
      <c r="L113" s="390"/>
      <c r="M113" s="390"/>
      <c r="N113" s="404"/>
      <c r="O113" s="404"/>
      <c r="P113" s="404"/>
      <c r="Q113" s="390"/>
      <c r="R113" s="316"/>
      <c r="S113" s="316"/>
    </row>
    <row r="114" spans="1:19" x14ac:dyDescent="0.2">
      <c r="A114" s="387"/>
      <c r="B114" s="388"/>
      <c r="C114" s="389"/>
      <c r="D114" s="390"/>
      <c r="E114" s="390"/>
      <c r="F114" s="390"/>
      <c r="G114" s="390"/>
      <c r="H114" s="390"/>
      <c r="I114" s="390"/>
      <c r="J114" s="390"/>
      <c r="K114" s="390"/>
      <c r="L114" s="390"/>
      <c r="M114" s="390"/>
      <c r="N114" s="404"/>
      <c r="O114" s="404"/>
      <c r="P114" s="404"/>
      <c r="Q114" s="390"/>
      <c r="R114" s="316"/>
      <c r="S114" s="316"/>
    </row>
    <row r="115" spans="1:19" x14ac:dyDescent="0.2">
      <c r="A115" s="387"/>
      <c r="B115" s="388"/>
      <c r="C115" s="389"/>
      <c r="D115" s="390"/>
      <c r="E115" s="390"/>
      <c r="F115" s="390"/>
      <c r="G115" s="390"/>
      <c r="H115" s="390"/>
      <c r="I115" s="390"/>
      <c r="J115" s="390"/>
      <c r="K115" s="390"/>
      <c r="L115" s="390"/>
      <c r="M115" s="390"/>
      <c r="N115" s="404"/>
      <c r="O115" s="404"/>
      <c r="P115" s="404"/>
      <c r="Q115" s="390"/>
      <c r="R115" s="316"/>
      <c r="S115" s="316"/>
    </row>
    <row r="116" spans="1:19" x14ac:dyDescent="0.2">
      <c r="A116" s="387"/>
      <c r="B116" s="388"/>
      <c r="C116" s="389"/>
      <c r="D116" s="390"/>
      <c r="E116" s="390"/>
      <c r="F116" s="390"/>
      <c r="G116" s="390"/>
      <c r="H116" s="390"/>
      <c r="I116" s="390"/>
      <c r="J116" s="390"/>
      <c r="K116" s="390"/>
      <c r="L116" s="390"/>
      <c r="M116" s="390"/>
      <c r="N116" s="390"/>
      <c r="O116" s="390"/>
      <c r="P116" s="390"/>
      <c r="Q116" s="390"/>
      <c r="R116" s="316"/>
      <c r="S116" s="316"/>
    </row>
    <row r="117" spans="1:19" x14ac:dyDescent="0.2">
      <c r="A117" s="405"/>
      <c r="B117" s="406"/>
      <c r="C117" s="407"/>
      <c r="D117" s="318"/>
      <c r="E117" s="318"/>
      <c r="F117" s="318"/>
      <c r="G117" s="318"/>
      <c r="H117" s="318"/>
      <c r="I117" s="318"/>
      <c r="J117" s="316"/>
      <c r="K117" s="316"/>
      <c r="L117" s="316"/>
      <c r="M117" s="316"/>
      <c r="N117" s="316"/>
      <c r="O117" s="316"/>
      <c r="P117" s="316"/>
      <c r="Q117" s="316"/>
      <c r="R117" s="316"/>
      <c r="S117" s="316"/>
    </row>
    <row r="118" spans="1:19" x14ac:dyDescent="0.2">
      <c r="A118" s="405"/>
      <c r="B118" s="406"/>
      <c r="C118" s="407"/>
      <c r="D118" s="318"/>
      <c r="E118" s="318"/>
      <c r="F118" s="318"/>
      <c r="G118" s="318"/>
      <c r="H118" s="318"/>
      <c r="I118" s="318"/>
      <c r="J118" s="316"/>
      <c r="K118" s="316"/>
      <c r="L118" s="316"/>
      <c r="M118" s="316"/>
      <c r="N118" s="316"/>
      <c r="O118" s="316"/>
      <c r="P118" s="316"/>
      <c r="Q118" s="316"/>
      <c r="R118" s="316"/>
      <c r="S118" s="316"/>
    </row>
    <row r="119" spans="1:19" x14ac:dyDescent="0.2">
      <c r="A119" s="405"/>
      <c r="B119" s="406"/>
      <c r="C119" s="407"/>
      <c r="D119" s="318"/>
      <c r="E119" s="318"/>
      <c r="F119" s="318"/>
      <c r="G119" s="318"/>
      <c r="H119" s="318"/>
      <c r="I119" s="318"/>
      <c r="J119" s="316"/>
      <c r="K119" s="316"/>
      <c r="L119" s="316"/>
      <c r="M119" s="316"/>
      <c r="N119" s="316"/>
      <c r="O119" s="316"/>
      <c r="P119" s="316"/>
      <c r="Q119" s="316"/>
      <c r="R119" s="316"/>
      <c r="S119" s="316"/>
    </row>
  </sheetData>
  <sheetProtection algorithmName="SHA-512" hashValue="Ja//lEXvdqeouw0Kq9jKART/7n35JDxW5XkUK0TQEkVhGpAOO0Tuicta2pHG+sA1gmIbV2FONsp1Jmnlqk9sSw==" saltValue="5gLCAYP+gl2vvc3NYNn9zQ==" spinCount="100000" sheet="1" objects="1" scenarios="1" selectLockedCells="1" autoFilter="0"/>
  <dataConsolidate/>
  <mergeCells count="81">
    <mergeCell ref="P42:Q42"/>
    <mergeCell ref="P43:Q43"/>
    <mergeCell ref="P44:Q44"/>
    <mergeCell ref="P37:Q37"/>
    <mergeCell ref="P38:Q38"/>
    <mergeCell ref="P39:Q39"/>
    <mergeCell ref="P40:Q40"/>
    <mergeCell ref="P41:Q41"/>
    <mergeCell ref="P32:Q32"/>
    <mergeCell ref="P33:Q33"/>
    <mergeCell ref="P34:Q34"/>
    <mergeCell ref="P35:Q35"/>
    <mergeCell ref="P36:Q36"/>
    <mergeCell ref="P27:Q27"/>
    <mergeCell ref="P28:Q28"/>
    <mergeCell ref="P29:Q29"/>
    <mergeCell ref="P30:Q30"/>
    <mergeCell ref="P31:Q31"/>
    <mergeCell ref="P15:Q15"/>
    <mergeCell ref="P16:Q16"/>
    <mergeCell ref="P17:Q17"/>
    <mergeCell ref="P18:Q18"/>
    <mergeCell ref="P19:Q19"/>
    <mergeCell ref="P10:Q10"/>
    <mergeCell ref="P11:Q11"/>
    <mergeCell ref="P12:Q12"/>
    <mergeCell ref="P13:Q13"/>
    <mergeCell ref="P14:Q14"/>
    <mergeCell ref="P5:Q5"/>
    <mergeCell ref="P6:Q6"/>
    <mergeCell ref="P7:Q7"/>
    <mergeCell ref="P8:Q8"/>
    <mergeCell ref="P9:Q9"/>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conditionalFormatting sqref="O5:O44">
    <cfRule type="expression" dxfId="66" priority="1">
      <formula>OR(N5&gt;$V$23,N5&lt;$V$22)</formula>
    </cfRule>
  </conditionalFormatting>
  <dataValidations count="16">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2:D14" evalError="1"/>
    <ignoredError sqref="G27:G28 D7 A37:A44 D54:I55"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0</xdr:colOff>
                    <xdr:row>18</xdr:row>
                    <xdr:rowOff>152400</xdr:rowOff>
                  </from>
                  <to>
                    <xdr:col>6</xdr:col>
                    <xdr:colOff>981075</xdr:colOff>
                    <xdr:row>20</xdr:row>
                    <xdr:rowOff>9525</xdr:rowOff>
                  </to>
                </anchor>
              </controlPr>
            </control>
          </mc:Choice>
        </mc:AlternateContent>
        <mc:AlternateContent xmlns:mc="http://schemas.openxmlformats.org/markup-compatibility/2006">
          <mc:Choice Requires="x14">
            <control shapeId="4103" r:id="rId8"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9"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10"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1"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2"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943</v>
      </c>
      <c r="B1" s="1" t="s">
        <v>942</v>
      </c>
    </row>
    <row r="2" spans="1:2" x14ac:dyDescent="0.2">
      <c r="A2" t="s">
        <v>944</v>
      </c>
      <c r="B2" t="b">
        <v>1</v>
      </c>
    </row>
  </sheetData>
  <sheetProtection algorithmName="SHA-512" hashValue="L5PMqJG/NTtJOPhzTfTwGB81IMBvCsYeX/afuxVmnp7qIHniG4pNBkWuFJk3fiDW4kTh0Z5YRKcFXN+411BrIQ==" saltValue="32vPcnn9+Dhq8eC6yOePrA==" spinCount="100000" sheet="1" objects="1" scenarios="1" autoFilter="0"/>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AB10" sqref="AB10"/>
    </sheetView>
  </sheetViews>
  <sheetFormatPr defaultColWidth="9.140625" defaultRowHeight="12.75" x14ac:dyDescent="0.2"/>
  <cols>
    <col min="1" max="1" width="9" style="489" bestFit="1" customWidth="1"/>
    <col min="2" max="15" width="6" style="52" customWidth="1"/>
    <col min="16" max="16" width="2.140625" style="52" customWidth="1"/>
    <col min="17" max="17" width="9" style="443" bestFit="1" customWidth="1"/>
    <col min="18" max="31" width="6" style="52" customWidth="1"/>
    <col min="32" max="32" width="2.140625" style="52" customWidth="1"/>
    <col min="33" max="33" width="9" style="443" bestFit="1" customWidth="1"/>
    <col min="34" max="45" width="6" style="52" customWidth="1"/>
    <col min="46" max="16384" width="9.140625" style="52"/>
  </cols>
  <sheetData>
    <row r="1" spans="1:45" s="445" customFormat="1" ht="24.75" customHeight="1" x14ac:dyDescent="0.25"/>
    <row r="2" spans="1:45" s="446" customFormat="1" x14ac:dyDescent="0.2">
      <c r="A2" s="443" t="s">
        <v>14</v>
      </c>
      <c r="B2" s="48" t="s">
        <v>892</v>
      </c>
      <c r="C2" s="48" t="s">
        <v>893</v>
      </c>
      <c r="D2" s="48" t="s">
        <v>894</v>
      </c>
      <c r="E2" s="48" t="s">
        <v>399</v>
      </c>
      <c r="F2" s="48" t="s">
        <v>895</v>
      </c>
      <c r="G2" s="48" t="s">
        <v>896</v>
      </c>
      <c r="H2" s="48" t="s">
        <v>897</v>
      </c>
      <c r="I2" s="48" t="s">
        <v>898</v>
      </c>
      <c r="J2" s="48" t="s">
        <v>899</v>
      </c>
      <c r="K2" s="48" t="s">
        <v>400</v>
      </c>
      <c r="L2" s="48" t="s">
        <v>900</v>
      </c>
      <c r="M2" s="48" t="s">
        <v>901</v>
      </c>
      <c r="N2" s="48" t="s">
        <v>902</v>
      </c>
      <c r="O2" s="48" t="s">
        <v>903</v>
      </c>
      <c r="P2" s="52"/>
      <c r="Q2" s="443" t="s">
        <v>14</v>
      </c>
      <c r="R2" s="48" t="s">
        <v>878</v>
      </c>
      <c r="S2" s="48" t="s">
        <v>879</v>
      </c>
      <c r="T2" s="48" t="s">
        <v>880</v>
      </c>
      <c r="U2" s="48" t="s">
        <v>881</v>
      </c>
      <c r="V2" s="48" t="s">
        <v>882</v>
      </c>
      <c r="W2" s="48" t="s">
        <v>883</v>
      </c>
      <c r="X2" s="48" t="s">
        <v>884</v>
      </c>
      <c r="Y2" s="48" t="s">
        <v>885</v>
      </c>
      <c r="Z2" s="48" t="s">
        <v>886</v>
      </c>
      <c r="AA2" s="48" t="s">
        <v>887</v>
      </c>
      <c r="AB2" s="48" t="s">
        <v>888</v>
      </c>
      <c r="AC2" s="48" t="s">
        <v>889</v>
      </c>
      <c r="AD2" s="48" t="s">
        <v>890</v>
      </c>
      <c r="AE2" s="48" t="s">
        <v>891</v>
      </c>
      <c r="AF2" s="52"/>
      <c r="AG2" s="443" t="s">
        <v>14</v>
      </c>
      <c r="AH2" s="87" t="s">
        <v>866</v>
      </c>
      <c r="AI2" s="87" t="s">
        <v>867</v>
      </c>
      <c r="AJ2" s="87" t="s">
        <v>868</v>
      </c>
      <c r="AK2" s="87" t="s">
        <v>869</v>
      </c>
      <c r="AL2" s="87" t="s">
        <v>870</v>
      </c>
      <c r="AM2" s="87" t="s">
        <v>871</v>
      </c>
      <c r="AN2" s="87" t="s">
        <v>872</v>
      </c>
      <c r="AO2" s="87" t="s">
        <v>873</v>
      </c>
      <c r="AP2" s="87" t="s">
        <v>874</v>
      </c>
      <c r="AQ2" s="87" t="s">
        <v>875</v>
      </c>
      <c r="AR2" s="87" t="s">
        <v>876</v>
      </c>
      <c r="AS2" s="87" t="s">
        <v>877</v>
      </c>
    </row>
    <row r="3" spans="1:45" x14ac:dyDescent="0.2">
      <c r="A3" s="665"/>
      <c r="B3" s="666"/>
      <c r="C3" s="666"/>
      <c r="D3" s="666"/>
      <c r="E3" s="666"/>
      <c r="F3" s="666"/>
      <c r="G3" s="666"/>
      <c r="H3" s="666"/>
      <c r="I3" s="666"/>
      <c r="J3" s="666"/>
      <c r="K3" s="666"/>
      <c r="L3" s="491"/>
      <c r="M3" s="491"/>
      <c r="N3" s="491"/>
      <c r="O3" s="486"/>
      <c r="Q3" s="489"/>
      <c r="R3" s="490"/>
      <c r="S3" s="490"/>
      <c r="T3" s="490"/>
      <c r="U3" s="490"/>
      <c r="V3" s="490"/>
      <c r="W3" s="490"/>
      <c r="X3" s="490"/>
      <c r="Y3" s="490"/>
      <c r="Z3" s="490"/>
      <c r="AA3" s="490"/>
      <c r="AD3" s="492"/>
      <c r="AE3" s="486"/>
      <c r="AG3" s="489"/>
      <c r="AH3" s="490"/>
      <c r="AI3" s="490"/>
      <c r="AJ3" s="490"/>
      <c r="AK3" s="490"/>
      <c r="AL3" s="490"/>
      <c r="AM3" s="490"/>
      <c r="AN3" s="490"/>
      <c r="AO3" s="490"/>
      <c r="AP3" s="490"/>
      <c r="AQ3" s="490"/>
    </row>
    <row r="4" spans="1:45" x14ac:dyDescent="0.2">
      <c r="Q4" s="489"/>
      <c r="AG4" s="489"/>
    </row>
    <row r="5" spans="1:45" x14ac:dyDescent="0.2">
      <c r="Q5" s="489"/>
      <c r="AG5" s="489"/>
    </row>
    <row r="6" spans="1:45" x14ac:dyDescent="0.2">
      <c r="Q6" s="489"/>
      <c r="AG6" s="489"/>
    </row>
    <row r="7" spans="1:45" x14ac:dyDescent="0.2">
      <c r="Q7" s="489"/>
      <c r="AG7" s="489"/>
    </row>
    <row r="8" spans="1:45" x14ac:dyDescent="0.2">
      <c r="Q8" s="489"/>
      <c r="AG8" s="489"/>
    </row>
    <row r="9" spans="1:45" x14ac:dyDescent="0.2">
      <c r="Q9" s="489"/>
      <c r="AG9" s="489"/>
    </row>
    <row r="10" spans="1:45" x14ac:dyDescent="0.2">
      <c r="Q10" s="489"/>
      <c r="AG10" s="489"/>
    </row>
    <row r="11" spans="1:45" x14ac:dyDescent="0.2">
      <c r="Q11" s="489"/>
      <c r="AG11" s="489"/>
    </row>
    <row r="12" spans="1:45" x14ac:dyDescent="0.2">
      <c r="Q12" s="489"/>
      <c r="AG12" s="489"/>
    </row>
    <row r="13" spans="1:45" x14ac:dyDescent="0.2">
      <c r="Q13" s="489"/>
      <c r="AG13" s="489"/>
    </row>
    <row r="14" spans="1:45" x14ac:dyDescent="0.2">
      <c r="Q14" s="489"/>
      <c r="AG14" s="489"/>
    </row>
    <row r="15" spans="1:45" x14ac:dyDescent="0.2">
      <c r="Q15" s="489"/>
      <c r="AG15" s="489"/>
    </row>
    <row r="16" spans="1:45" x14ac:dyDescent="0.2">
      <c r="Q16" s="489"/>
      <c r="AG16" s="489"/>
    </row>
    <row r="17" spans="17:33" x14ac:dyDescent="0.2">
      <c r="Q17" s="489"/>
      <c r="AG17" s="489"/>
    </row>
    <row r="18" spans="17:33" x14ac:dyDescent="0.2">
      <c r="Q18" s="489"/>
      <c r="AG18" s="489"/>
    </row>
    <row r="19" spans="17:33" x14ac:dyDescent="0.2">
      <c r="Q19" s="489"/>
      <c r="AG19" s="489"/>
    </row>
    <row r="20" spans="17:33" x14ac:dyDescent="0.2">
      <c r="Q20" s="489"/>
      <c r="AG20" s="489"/>
    </row>
    <row r="21" spans="17:33" x14ac:dyDescent="0.2">
      <c r="Q21" s="489"/>
      <c r="AG21" s="489"/>
    </row>
    <row r="22" spans="17:33" x14ac:dyDescent="0.2">
      <c r="Q22" s="489"/>
      <c r="AG22" s="489"/>
    </row>
    <row r="23" spans="17:33" x14ac:dyDescent="0.2">
      <c r="Q23" s="489"/>
      <c r="AG23" s="489"/>
    </row>
    <row r="24" spans="17:33" x14ac:dyDescent="0.2">
      <c r="Q24" s="489"/>
      <c r="AG24" s="489"/>
    </row>
    <row r="25" spans="17:33" x14ac:dyDescent="0.2">
      <c r="Q25" s="489"/>
      <c r="AG25" s="489"/>
    </row>
    <row r="26" spans="17:33" x14ac:dyDescent="0.2">
      <c r="Q26" s="489"/>
      <c r="AG26" s="489"/>
    </row>
    <row r="27" spans="17:33" x14ac:dyDescent="0.2">
      <c r="Q27" s="489"/>
      <c r="AG27" s="489"/>
    </row>
    <row r="28" spans="17:33" x14ac:dyDescent="0.2">
      <c r="Q28" s="489"/>
      <c r="AG28" s="489"/>
    </row>
    <row r="29" spans="17:33" x14ac:dyDescent="0.2">
      <c r="Q29" s="489"/>
      <c r="AG29" s="489"/>
    </row>
    <row r="30" spans="17:33" x14ac:dyDescent="0.2">
      <c r="Q30" s="489"/>
      <c r="AG30" s="489"/>
    </row>
    <row r="31" spans="17:33" x14ac:dyDescent="0.2">
      <c r="Q31" s="489"/>
      <c r="AG31" s="489"/>
    </row>
    <row r="32" spans="17:33" x14ac:dyDescent="0.2">
      <c r="Q32" s="489"/>
      <c r="AG32" s="489"/>
    </row>
    <row r="33" spans="17:33" x14ac:dyDescent="0.2">
      <c r="Q33" s="489"/>
      <c r="AG33" s="489"/>
    </row>
    <row r="34" spans="17:33" x14ac:dyDescent="0.2">
      <c r="Q34" s="489"/>
      <c r="AG34" s="489"/>
    </row>
    <row r="35" spans="17:33" x14ac:dyDescent="0.2">
      <c r="Q35" s="489"/>
      <c r="AG35" s="489"/>
    </row>
    <row r="36" spans="17:33" x14ac:dyDescent="0.2">
      <c r="Q36" s="489"/>
      <c r="AG36" s="489"/>
    </row>
    <row r="37" spans="17:33" x14ac:dyDescent="0.2">
      <c r="Q37" s="489"/>
      <c r="AG37" s="489"/>
    </row>
    <row r="38" spans="17:33" x14ac:dyDescent="0.2">
      <c r="Q38" s="489"/>
      <c r="AG38" s="489"/>
    </row>
    <row r="39" spans="17:33" x14ac:dyDescent="0.2">
      <c r="Q39" s="489"/>
      <c r="AG39" s="489"/>
    </row>
    <row r="40" spans="17:33" x14ac:dyDescent="0.2">
      <c r="Q40" s="489"/>
      <c r="AG40" s="489"/>
    </row>
    <row r="41" spans="17:33" x14ac:dyDescent="0.2">
      <c r="Q41" s="489"/>
      <c r="AG41" s="489"/>
    </row>
    <row r="42" spans="17:33" x14ac:dyDescent="0.2">
      <c r="Q42" s="489"/>
      <c r="AG42" s="489"/>
    </row>
    <row r="43" spans="17:33" x14ac:dyDescent="0.2">
      <c r="Q43" s="489"/>
      <c r="AG43" s="489"/>
    </row>
    <row r="44" spans="17:33" x14ac:dyDescent="0.2">
      <c r="Q44" s="489"/>
      <c r="AG44" s="489"/>
    </row>
    <row r="45" spans="17:33" x14ac:dyDescent="0.2">
      <c r="Q45" s="489"/>
      <c r="AG45" s="489"/>
    </row>
    <row r="46" spans="17:33" x14ac:dyDescent="0.2">
      <c r="Q46" s="489"/>
      <c r="AG46" s="489"/>
    </row>
    <row r="47" spans="17:33" x14ac:dyDescent="0.2">
      <c r="Q47" s="489"/>
      <c r="AG47" s="489"/>
    </row>
    <row r="48" spans="17:33" x14ac:dyDescent="0.2">
      <c r="Q48" s="489"/>
      <c r="AG48" s="489"/>
    </row>
    <row r="49" spans="17:33" x14ac:dyDescent="0.2">
      <c r="Q49" s="489"/>
      <c r="AG49" s="489"/>
    </row>
    <row r="50" spans="17:33" x14ac:dyDescent="0.2">
      <c r="Q50" s="489"/>
      <c r="AG50" s="489"/>
    </row>
    <row r="51" spans="17:33" x14ac:dyDescent="0.2">
      <c r="Q51" s="489"/>
      <c r="AG51" s="489"/>
    </row>
    <row r="52" spans="17:33" x14ac:dyDescent="0.2">
      <c r="Q52" s="489"/>
      <c r="AG52" s="489"/>
    </row>
    <row r="53" spans="17:33" x14ac:dyDescent="0.2">
      <c r="Q53" s="489"/>
      <c r="AG53" s="489"/>
    </row>
    <row r="54" spans="17:33" x14ac:dyDescent="0.2">
      <c r="Q54" s="489"/>
      <c r="AG54" s="489"/>
    </row>
    <row r="55" spans="17:33" x14ac:dyDescent="0.2">
      <c r="Q55" s="489"/>
      <c r="AG55" s="489"/>
    </row>
    <row r="56" spans="17:33" x14ac:dyDescent="0.2">
      <c r="Q56" s="489"/>
      <c r="AG56" s="489"/>
    </row>
    <row r="57" spans="17:33" x14ac:dyDescent="0.2">
      <c r="Q57" s="489"/>
      <c r="AG57" s="489"/>
    </row>
    <row r="58" spans="17:33" x14ac:dyDescent="0.2">
      <c r="Q58" s="489"/>
      <c r="AG58" s="489"/>
    </row>
    <row r="59" spans="17:33" x14ac:dyDescent="0.2">
      <c r="Q59" s="489"/>
      <c r="AG59" s="489"/>
    </row>
    <row r="60" spans="17:33" x14ac:dyDescent="0.2">
      <c r="Q60" s="489"/>
      <c r="AG60" s="489"/>
    </row>
    <row r="61" spans="17:33" x14ac:dyDescent="0.2">
      <c r="Q61" s="489"/>
      <c r="AG61" s="489"/>
    </row>
    <row r="62" spans="17:33" x14ac:dyDescent="0.2">
      <c r="Q62" s="489"/>
      <c r="AG62" s="489"/>
    </row>
    <row r="63" spans="17:33" x14ac:dyDescent="0.2">
      <c r="Q63" s="489"/>
      <c r="AG63" s="489"/>
    </row>
    <row r="64" spans="17:33" x14ac:dyDescent="0.2">
      <c r="Q64" s="489"/>
      <c r="AG64" s="489"/>
    </row>
    <row r="65" spans="17:33" x14ac:dyDescent="0.2">
      <c r="Q65" s="489"/>
      <c r="AG65" s="489"/>
    </row>
    <row r="66" spans="17:33" x14ac:dyDescent="0.2">
      <c r="Q66" s="489"/>
      <c r="AG66" s="489"/>
    </row>
    <row r="67" spans="17:33" x14ac:dyDescent="0.2">
      <c r="Q67" s="489"/>
      <c r="AG67" s="489"/>
    </row>
    <row r="68" spans="17:33" x14ac:dyDescent="0.2">
      <c r="Q68" s="489"/>
      <c r="AG68" s="489"/>
    </row>
    <row r="69" spans="17:33" x14ac:dyDescent="0.2">
      <c r="Q69" s="489"/>
      <c r="AG69" s="489"/>
    </row>
    <row r="70" spans="17:33" x14ac:dyDescent="0.2">
      <c r="Q70" s="489"/>
      <c r="AG70" s="489"/>
    </row>
    <row r="71" spans="17:33" x14ac:dyDescent="0.2">
      <c r="Q71" s="489"/>
      <c r="AG71" s="489"/>
    </row>
    <row r="72" spans="17:33" x14ac:dyDescent="0.2">
      <c r="Q72" s="489"/>
      <c r="AG72" s="489"/>
    </row>
    <row r="73" spans="17:33" x14ac:dyDescent="0.2">
      <c r="Q73" s="489"/>
      <c r="AG73" s="489"/>
    </row>
    <row r="74" spans="17:33" x14ac:dyDescent="0.2">
      <c r="Q74" s="489"/>
      <c r="AG74" s="489"/>
    </row>
    <row r="75" spans="17:33" x14ac:dyDescent="0.2">
      <c r="Q75" s="489"/>
      <c r="AG75" s="489"/>
    </row>
    <row r="76" spans="17:33" x14ac:dyDescent="0.2">
      <c r="Q76" s="489"/>
      <c r="AG76" s="489"/>
    </row>
    <row r="77" spans="17:33" x14ac:dyDescent="0.2">
      <c r="Q77" s="489"/>
      <c r="AG77" s="489"/>
    </row>
    <row r="78" spans="17:33" x14ac:dyDescent="0.2">
      <c r="Q78" s="489"/>
      <c r="AG78" s="489"/>
    </row>
    <row r="79" spans="17:33" x14ac:dyDescent="0.2">
      <c r="Q79" s="489"/>
      <c r="AG79" s="489"/>
    </row>
    <row r="80" spans="17:33" x14ac:dyDescent="0.2">
      <c r="Q80" s="489"/>
      <c r="AG80" s="489"/>
    </row>
    <row r="81" spans="17:33" x14ac:dyDescent="0.2">
      <c r="Q81" s="489"/>
      <c r="AG81" s="489"/>
    </row>
    <row r="82" spans="17:33" x14ac:dyDescent="0.2">
      <c r="Q82" s="489"/>
      <c r="AG82" s="489"/>
    </row>
    <row r="83" spans="17:33" x14ac:dyDescent="0.2">
      <c r="Q83" s="489"/>
      <c r="AG83" s="489"/>
    </row>
    <row r="84" spans="17:33" x14ac:dyDescent="0.2">
      <c r="Q84" s="489"/>
      <c r="AG84" s="489"/>
    </row>
    <row r="85" spans="17:33" x14ac:dyDescent="0.2">
      <c r="Q85" s="489"/>
      <c r="AG85" s="489"/>
    </row>
    <row r="86" spans="17:33" x14ac:dyDescent="0.2">
      <c r="Q86" s="489"/>
      <c r="AG86" s="489"/>
    </row>
    <row r="87" spans="17:33" x14ac:dyDescent="0.2">
      <c r="Q87" s="489"/>
      <c r="AG87" s="489"/>
    </row>
    <row r="88" spans="17:33" x14ac:dyDescent="0.2">
      <c r="Q88" s="489"/>
      <c r="AG88" s="489"/>
    </row>
    <row r="89" spans="17:33" x14ac:dyDescent="0.2">
      <c r="Q89" s="489"/>
      <c r="AG89" s="489"/>
    </row>
    <row r="90" spans="17:33" x14ac:dyDescent="0.2">
      <c r="Q90" s="489"/>
      <c r="AG90" s="489"/>
    </row>
    <row r="91" spans="17:33" x14ac:dyDescent="0.2">
      <c r="Q91" s="489"/>
      <c r="AG91" s="489"/>
    </row>
    <row r="92" spans="17:33" x14ac:dyDescent="0.2">
      <c r="Q92" s="489"/>
      <c r="AG92" s="489"/>
    </row>
    <row r="93" spans="17:33" x14ac:dyDescent="0.2">
      <c r="Q93" s="489"/>
      <c r="AG93" s="489"/>
    </row>
    <row r="94" spans="17:33" x14ac:dyDescent="0.2">
      <c r="Q94" s="489"/>
      <c r="AG94" s="489"/>
    </row>
    <row r="95" spans="17:33" x14ac:dyDescent="0.2">
      <c r="Q95" s="489"/>
      <c r="AG95" s="489"/>
    </row>
    <row r="96" spans="17:33" x14ac:dyDescent="0.2">
      <c r="Q96" s="489"/>
      <c r="AG96" s="489"/>
    </row>
    <row r="97" spans="17:33" x14ac:dyDescent="0.2">
      <c r="Q97" s="489"/>
      <c r="AG97" s="489"/>
    </row>
    <row r="98" spans="17:33" x14ac:dyDescent="0.2">
      <c r="Q98" s="489"/>
      <c r="AG98" s="489"/>
    </row>
    <row r="99" spans="17:33" x14ac:dyDescent="0.2">
      <c r="Q99" s="489"/>
      <c r="AG99" s="489"/>
    </row>
    <row r="100" spans="17:33" x14ac:dyDescent="0.2">
      <c r="Q100" s="489"/>
      <c r="AG100" s="489"/>
    </row>
    <row r="101" spans="17:33" x14ac:dyDescent="0.2">
      <c r="Q101" s="489"/>
      <c r="AG101" s="489"/>
    </row>
    <row r="102" spans="17:33" x14ac:dyDescent="0.2">
      <c r="Q102" s="489"/>
      <c r="AG102" s="489"/>
    </row>
    <row r="103" spans="17:33" x14ac:dyDescent="0.2">
      <c r="Q103" s="489"/>
      <c r="AG103" s="489"/>
    </row>
    <row r="104" spans="17:33" x14ac:dyDescent="0.2">
      <c r="Q104" s="489"/>
      <c r="AG104" s="489"/>
    </row>
    <row r="105" spans="17:33" x14ac:dyDescent="0.2">
      <c r="Q105" s="489"/>
      <c r="AG105" s="489"/>
    </row>
    <row r="106" spans="17:33" x14ac:dyDescent="0.2">
      <c r="Q106" s="489"/>
      <c r="AG106" s="489"/>
    </row>
    <row r="107" spans="17:33" x14ac:dyDescent="0.2">
      <c r="Q107" s="489"/>
      <c r="AG107" s="489"/>
    </row>
    <row r="108" spans="17:33" x14ac:dyDescent="0.2">
      <c r="Q108" s="489"/>
      <c r="AG108" s="489"/>
    </row>
    <row r="109" spans="17:33" x14ac:dyDescent="0.2">
      <c r="Q109" s="489"/>
      <c r="AG109" s="489"/>
    </row>
    <row r="110" spans="17:33" x14ac:dyDescent="0.2">
      <c r="Q110" s="489"/>
      <c r="AG110" s="489"/>
    </row>
    <row r="111" spans="17:33" x14ac:dyDescent="0.2">
      <c r="Q111" s="489"/>
      <c r="AG111" s="489"/>
    </row>
    <row r="112" spans="17:33" x14ac:dyDescent="0.2">
      <c r="Q112" s="489"/>
      <c r="AG112" s="489"/>
    </row>
    <row r="113" spans="17:33" x14ac:dyDescent="0.2">
      <c r="Q113" s="489"/>
      <c r="AG113" s="489"/>
    </row>
    <row r="114" spans="17:33" x14ac:dyDescent="0.2">
      <c r="Q114" s="489"/>
      <c r="AG114" s="489"/>
    </row>
    <row r="115" spans="17:33" x14ac:dyDescent="0.2">
      <c r="Q115" s="489"/>
      <c r="AG115" s="489"/>
    </row>
    <row r="116" spans="17:33" x14ac:dyDescent="0.2">
      <c r="Q116" s="489"/>
      <c r="AG116" s="489"/>
    </row>
    <row r="117" spans="17:33" x14ac:dyDescent="0.2">
      <c r="Q117" s="489"/>
      <c r="AG117" s="489"/>
    </row>
    <row r="118" spans="17:33" x14ac:dyDescent="0.2">
      <c r="Q118" s="489"/>
      <c r="AG118" s="489"/>
    </row>
    <row r="119" spans="17:33" x14ac:dyDescent="0.2">
      <c r="Q119" s="489"/>
      <c r="AG119" s="489"/>
    </row>
    <row r="120" spans="17:33" x14ac:dyDescent="0.2">
      <c r="Q120" s="489"/>
      <c r="AG120" s="489"/>
    </row>
    <row r="121" spans="17:33" x14ac:dyDescent="0.2">
      <c r="Q121" s="489"/>
      <c r="AG121" s="489"/>
    </row>
    <row r="122" spans="17:33" x14ac:dyDescent="0.2">
      <c r="Q122" s="489"/>
      <c r="AG122" s="489"/>
    </row>
    <row r="123" spans="17:33" x14ac:dyDescent="0.2">
      <c r="Q123" s="489"/>
      <c r="AG123" s="489"/>
    </row>
    <row r="124" spans="17:33" x14ac:dyDescent="0.2">
      <c r="Q124" s="489"/>
      <c r="AG124" s="489"/>
    </row>
    <row r="125" spans="17:33" x14ac:dyDescent="0.2">
      <c r="Q125" s="489"/>
      <c r="AG125" s="489"/>
    </row>
    <row r="126" spans="17:33" x14ac:dyDescent="0.2">
      <c r="Q126" s="489"/>
      <c r="AG126" s="489"/>
    </row>
    <row r="127" spans="17:33" x14ac:dyDescent="0.2">
      <c r="Q127" s="489"/>
      <c r="AG127" s="489"/>
    </row>
    <row r="128" spans="17:33" x14ac:dyDescent="0.2">
      <c r="Q128" s="489"/>
      <c r="AG128" s="489"/>
    </row>
    <row r="129" spans="17:33" x14ac:dyDescent="0.2">
      <c r="Q129" s="489"/>
      <c r="AG129" s="489"/>
    </row>
    <row r="130" spans="17:33" x14ac:dyDescent="0.2">
      <c r="Q130" s="489"/>
      <c r="AG130" s="489"/>
    </row>
    <row r="131" spans="17:33" x14ac:dyDescent="0.2">
      <c r="Q131" s="489"/>
      <c r="AG131" s="489"/>
    </row>
    <row r="132" spans="17:33" x14ac:dyDescent="0.2">
      <c r="Q132" s="489"/>
      <c r="AG132" s="489"/>
    </row>
    <row r="133" spans="17:33" x14ac:dyDescent="0.2">
      <c r="Q133" s="489"/>
      <c r="AG133" s="489"/>
    </row>
    <row r="134" spans="17:33" x14ac:dyDescent="0.2">
      <c r="Q134" s="489"/>
      <c r="AG134" s="489"/>
    </row>
    <row r="135" spans="17:33" x14ac:dyDescent="0.2">
      <c r="Q135" s="489"/>
      <c r="AG135" s="489"/>
    </row>
    <row r="136" spans="17:33" x14ac:dyDescent="0.2">
      <c r="Q136" s="489"/>
      <c r="AG136" s="489"/>
    </row>
    <row r="137" spans="17:33" x14ac:dyDescent="0.2">
      <c r="Q137" s="489"/>
      <c r="AG137" s="489"/>
    </row>
    <row r="138" spans="17:33" x14ac:dyDescent="0.2">
      <c r="Q138" s="489"/>
      <c r="AG138" s="489"/>
    </row>
    <row r="139" spans="17:33" x14ac:dyDescent="0.2">
      <c r="Q139" s="489"/>
      <c r="AG139" s="489"/>
    </row>
    <row r="140" spans="17:33" x14ac:dyDescent="0.2">
      <c r="Q140" s="489"/>
      <c r="AG140" s="489"/>
    </row>
    <row r="141" spans="17:33" x14ac:dyDescent="0.2">
      <c r="Q141" s="489"/>
      <c r="AG141" s="489"/>
    </row>
    <row r="142" spans="17:33" x14ac:dyDescent="0.2">
      <c r="Q142" s="489"/>
      <c r="AG142" s="489"/>
    </row>
    <row r="143" spans="17:33" x14ac:dyDescent="0.2">
      <c r="Q143" s="489"/>
      <c r="AG143" s="489"/>
    </row>
    <row r="144" spans="17:33" x14ac:dyDescent="0.2">
      <c r="Q144" s="489"/>
      <c r="AG144" s="489"/>
    </row>
    <row r="145" spans="17:33" x14ac:dyDescent="0.2">
      <c r="Q145" s="489"/>
      <c r="AG145" s="489"/>
    </row>
    <row r="146" spans="17:33" x14ac:dyDescent="0.2">
      <c r="Q146" s="489"/>
      <c r="AG146" s="489"/>
    </row>
    <row r="147" spans="17:33" x14ac:dyDescent="0.2">
      <c r="Q147" s="489"/>
      <c r="AG147" s="489"/>
    </row>
    <row r="148" spans="17:33" x14ac:dyDescent="0.2">
      <c r="Q148" s="489"/>
      <c r="AG148" s="489"/>
    </row>
    <row r="149" spans="17:33" x14ac:dyDescent="0.2">
      <c r="Q149" s="489"/>
      <c r="AG149" s="489"/>
    </row>
    <row r="150" spans="17:33" x14ac:dyDescent="0.2">
      <c r="Q150" s="489"/>
      <c r="AG150" s="489"/>
    </row>
    <row r="151" spans="17:33" x14ac:dyDescent="0.2">
      <c r="Q151" s="489"/>
      <c r="AG151" s="489"/>
    </row>
    <row r="152" spans="17:33" x14ac:dyDescent="0.2">
      <c r="Q152" s="489"/>
      <c r="AG152" s="489"/>
    </row>
    <row r="153" spans="17:33" x14ac:dyDescent="0.2">
      <c r="Q153" s="489"/>
      <c r="AG153" s="489"/>
    </row>
    <row r="154" spans="17:33" x14ac:dyDescent="0.2">
      <c r="Q154" s="489"/>
      <c r="AG154" s="489"/>
    </row>
    <row r="155" spans="17:33" x14ac:dyDescent="0.2">
      <c r="Q155" s="489"/>
      <c r="AG155" s="489"/>
    </row>
    <row r="156" spans="17:33" x14ac:dyDescent="0.2">
      <c r="Q156" s="489"/>
      <c r="AG156" s="489"/>
    </row>
    <row r="157" spans="17:33" x14ac:dyDescent="0.2">
      <c r="Q157" s="489"/>
      <c r="AG157" s="489"/>
    </row>
    <row r="158" spans="17:33" x14ac:dyDescent="0.2">
      <c r="Q158" s="489"/>
      <c r="AG158" s="489"/>
    </row>
    <row r="159" spans="17:33" x14ac:dyDescent="0.2">
      <c r="Q159" s="489"/>
      <c r="AG159" s="489"/>
    </row>
    <row r="160" spans="17:33" x14ac:dyDescent="0.2">
      <c r="Q160" s="489"/>
      <c r="AG160" s="489"/>
    </row>
    <row r="161" spans="17:33" x14ac:dyDescent="0.2">
      <c r="Q161" s="489"/>
      <c r="AG161" s="489"/>
    </row>
    <row r="162" spans="17:33" x14ac:dyDescent="0.2">
      <c r="Q162" s="489"/>
      <c r="AG162" s="489"/>
    </row>
    <row r="163" spans="17:33" x14ac:dyDescent="0.2">
      <c r="Q163" s="489"/>
      <c r="AG163" s="489"/>
    </row>
    <row r="164" spans="17:33" x14ac:dyDescent="0.2">
      <c r="Q164" s="489"/>
      <c r="AG164" s="489"/>
    </row>
    <row r="165" spans="17:33" x14ac:dyDescent="0.2">
      <c r="Q165" s="489"/>
      <c r="AG165" s="489"/>
    </row>
    <row r="166" spans="17:33" x14ac:dyDescent="0.2">
      <c r="Q166" s="489"/>
      <c r="AG166" s="489"/>
    </row>
    <row r="167" spans="17:33" x14ac:dyDescent="0.2">
      <c r="Q167" s="489"/>
      <c r="AG167" s="489"/>
    </row>
    <row r="168" spans="17:33" x14ac:dyDescent="0.2">
      <c r="Q168" s="489"/>
      <c r="AG168" s="489"/>
    </row>
    <row r="169" spans="17:33" x14ac:dyDescent="0.2">
      <c r="Q169" s="489"/>
      <c r="AG169" s="489"/>
    </row>
    <row r="170" spans="17:33" x14ac:dyDescent="0.2">
      <c r="Q170" s="489"/>
      <c r="AG170" s="489"/>
    </row>
    <row r="171" spans="17:33" x14ac:dyDescent="0.2">
      <c r="Q171" s="489"/>
      <c r="AG171" s="489"/>
    </row>
    <row r="172" spans="17:33" x14ac:dyDescent="0.2">
      <c r="Q172" s="489"/>
      <c r="AG172" s="489"/>
    </row>
    <row r="173" spans="17:33" x14ac:dyDescent="0.2">
      <c r="Q173" s="489"/>
      <c r="AG173" s="489"/>
    </row>
    <row r="174" spans="17:33" x14ac:dyDescent="0.2">
      <c r="Q174" s="489"/>
      <c r="AG174" s="489"/>
    </row>
    <row r="175" spans="17:33" x14ac:dyDescent="0.2">
      <c r="Q175" s="489"/>
      <c r="AG175" s="489"/>
    </row>
    <row r="176" spans="17:33" x14ac:dyDescent="0.2">
      <c r="Q176" s="489"/>
      <c r="AG176" s="489"/>
    </row>
    <row r="177" spans="17:33" x14ac:dyDescent="0.2">
      <c r="Q177" s="489"/>
      <c r="AG177" s="489"/>
    </row>
    <row r="178" spans="17:33" x14ac:dyDescent="0.2">
      <c r="Q178" s="489"/>
      <c r="AG178" s="489"/>
    </row>
    <row r="179" spans="17:33" x14ac:dyDescent="0.2">
      <c r="Q179" s="489"/>
      <c r="AG179" s="489"/>
    </row>
    <row r="180" spans="17:33" x14ac:dyDescent="0.2">
      <c r="Q180" s="489"/>
      <c r="AG180" s="489"/>
    </row>
    <row r="181" spans="17:33" x14ac:dyDescent="0.2">
      <c r="Q181" s="489"/>
      <c r="AG181" s="489"/>
    </row>
    <row r="182" spans="17:33" x14ac:dyDescent="0.2">
      <c r="Q182" s="489"/>
      <c r="AG182" s="489"/>
    </row>
    <row r="183" spans="17:33" x14ac:dyDescent="0.2">
      <c r="Q183" s="489"/>
      <c r="AG183" s="489"/>
    </row>
    <row r="184" spans="17:33" x14ac:dyDescent="0.2">
      <c r="Q184" s="489"/>
      <c r="AG184" s="489"/>
    </row>
    <row r="185" spans="17:33" x14ac:dyDescent="0.2">
      <c r="Q185" s="489"/>
      <c r="AG185" s="489"/>
    </row>
    <row r="186" spans="17:33" x14ac:dyDescent="0.2">
      <c r="Q186" s="489"/>
      <c r="AG186" s="489"/>
    </row>
    <row r="187" spans="17:33" x14ac:dyDescent="0.2">
      <c r="Q187" s="489"/>
      <c r="AG187" s="489"/>
    </row>
    <row r="188" spans="17:33" x14ac:dyDescent="0.2">
      <c r="Q188" s="489"/>
      <c r="AG188" s="489"/>
    </row>
    <row r="189" spans="17:33" x14ac:dyDescent="0.2">
      <c r="Q189" s="489"/>
      <c r="AG189" s="489"/>
    </row>
    <row r="190" spans="17:33" x14ac:dyDescent="0.2">
      <c r="Q190" s="489"/>
      <c r="AG190" s="489"/>
    </row>
    <row r="191" spans="17:33" x14ac:dyDescent="0.2">
      <c r="Q191" s="489"/>
      <c r="AG191" s="489"/>
    </row>
    <row r="192" spans="17:33" x14ac:dyDescent="0.2">
      <c r="Q192" s="489"/>
      <c r="AG192" s="489"/>
    </row>
    <row r="193" spans="17:33" x14ac:dyDescent="0.2">
      <c r="Q193" s="489"/>
      <c r="AG193" s="489"/>
    </row>
    <row r="194" spans="17:33" x14ac:dyDescent="0.2">
      <c r="Q194" s="489"/>
      <c r="AG194" s="489"/>
    </row>
    <row r="195" spans="17:33" x14ac:dyDescent="0.2">
      <c r="Q195" s="489"/>
      <c r="AG195" s="489"/>
    </row>
    <row r="196" spans="17:33" x14ac:dyDescent="0.2">
      <c r="Q196" s="489"/>
      <c r="AG196" s="489"/>
    </row>
    <row r="197" spans="17:33" x14ac:dyDescent="0.2">
      <c r="Q197" s="489"/>
      <c r="AG197" s="489"/>
    </row>
    <row r="198" spans="17:33" x14ac:dyDescent="0.2">
      <c r="Q198" s="489"/>
      <c r="AG198" s="489"/>
    </row>
    <row r="199" spans="17:33" x14ac:dyDescent="0.2">
      <c r="Q199" s="489"/>
      <c r="AG199" s="489"/>
    </row>
    <row r="200" spans="17:33" x14ac:dyDescent="0.2">
      <c r="Q200" s="489"/>
      <c r="AG200" s="489"/>
    </row>
    <row r="201" spans="17:33" x14ac:dyDescent="0.2">
      <c r="Q201" s="489"/>
      <c r="AG201" s="489"/>
    </row>
    <row r="202" spans="17:33" x14ac:dyDescent="0.2">
      <c r="Q202" s="489"/>
      <c r="AG202" s="489"/>
    </row>
    <row r="203" spans="17:33" x14ac:dyDescent="0.2">
      <c r="Q203" s="489"/>
      <c r="AG203" s="489"/>
    </row>
    <row r="204" spans="17:33" x14ac:dyDescent="0.2">
      <c r="Q204" s="489"/>
      <c r="AG204" s="489"/>
    </row>
    <row r="205" spans="17:33" x14ac:dyDescent="0.2">
      <c r="Q205" s="489"/>
      <c r="AG205" s="489"/>
    </row>
    <row r="206" spans="17:33" x14ac:dyDescent="0.2">
      <c r="Q206" s="489"/>
      <c r="AG206" s="489"/>
    </row>
    <row r="207" spans="17:33" x14ac:dyDescent="0.2">
      <c r="Q207" s="489"/>
      <c r="AG207" s="489"/>
    </row>
    <row r="208" spans="17:33" x14ac:dyDescent="0.2">
      <c r="Q208" s="489"/>
      <c r="AG208" s="489"/>
    </row>
    <row r="209" spans="17:33" x14ac:dyDescent="0.2">
      <c r="Q209" s="489"/>
      <c r="AG209" s="489"/>
    </row>
    <row r="210" spans="17:33" x14ac:dyDescent="0.2">
      <c r="Q210" s="489"/>
      <c r="AG210" s="489"/>
    </row>
    <row r="211" spans="17:33" x14ac:dyDescent="0.2">
      <c r="Q211" s="489"/>
      <c r="AG211" s="489"/>
    </row>
    <row r="212" spans="17:33" x14ac:dyDescent="0.2">
      <c r="Q212" s="489"/>
      <c r="AG212" s="489"/>
    </row>
    <row r="213" spans="17:33" x14ac:dyDescent="0.2">
      <c r="Q213" s="489"/>
      <c r="AG213" s="489"/>
    </row>
    <row r="214" spans="17:33" x14ac:dyDescent="0.2">
      <c r="Q214" s="489"/>
      <c r="AG214" s="489"/>
    </row>
    <row r="215" spans="17:33" x14ac:dyDescent="0.2">
      <c r="Q215" s="489"/>
      <c r="AG215" s="489"/>
    </row>
    <row r="216" spans="17:33" x14ac:dyDescent="0.2">
      <c r="Q216" s="489"/>
      <c r="AG216" s="489"/>
    </row>
    <row r="217" spans="17:33" x14ac:dyDescent="0.2">
      <c r="Q217" s="489"/>
      <c r="AG217" s="489"/>
    </row>
    <row r="218" spans="17:33" x14ac:dyDescent="0.2">
      <c r="Q218" s="489"/>
      <c r="AG218" s="489"/>
    </row>
    <row r="219" spans="17:33" x14ac:dyDescent="0.2">
      <c r="Q219" s="489"/>
      <c r="AG219" s="489"/>
    </row>
    <row r="220" spans="17:33" x14ac:dyDescent="0.2">
      <c r="Q220" s="489"/>
      <c r="AG220" s="489"/>
    </row>
    <row r="221" spans="17:33" x14ac:dyDescent="0.2">
      <c r="Q221" s="489"/>
      <c r="AG221" s="489"/>
    </row>
    <row r="222" spans="17:33" x14ac:dyDescent="0.2">
      <c r="Q222" s="489"/>
      <c r="AG222" s="489"/>
    </row>
    <row r="223" spans="17:33" x14ac:dyDescent="0.2">
      <c r="Q223" s="489"/>
      <c r="AG223" s="489"/>
    </row>
    <row r="224" spans="17:33" x14ac:dyDescent="0.2">
      <c r="Q224" s="489"/>
      <c r="AG224" s="489"/>
    </row>
    <row r="225" spans="17:33" x14ac:dyDescent="0.2">
      <c r="Q225" s="489"/>
      <c r="AG225" s="489"/>
    </row>
    <row r="226" spans="17:33" x14ac:dyDescent="0.2">
      <c r="Q226" s="489"/>
      <c r="AG226" s="489"/>
    </row>
    <row r="227" spans="17:33" x14ac:dyDescent="0.2">
      <c r="Q227" s="489"/>
      <c r="AG227" s="489"/>
    </row>
    <row r="228" spans="17:33" x14ac:dyDescent="0.2">
      <c r="Q228" s="489"/>
      <c r="AG228" s="489"/>
    </row>
    <row r="229" spans="17:33" x14ac:dyDescent="0.2">
      <c r="Q229" s="489"/>
      <c r="AG229" s="489"/>
    </row>
    <row r="230" spans="17:33" x14ac:dyDescent="0.2">
      <c r="Q230" s="489"/>
      <c r="AG230" s="489"/>
    </row>
    <row r="231" spans="17:33" x14ac:dyDescent="0.2">
      <c r="Q231" s="489"/>
      <c r="AG231" s="489"/>
    </row>
    <row r="232" spans="17:33" x14ac:dyDescent="0.2">
      <c r="Q232" s="489"/>
      <c r="AG232" s="489"/>
    </row>
    <row r="233" spans="17:33" x14ac:dyDescent="0.2">
      <c r="Q233" s="489"/>
      <c r="AG233" s="489"/>
    </row>
    <row r="234" spans="17:33" x14ac:dyDescent="0.2">
      <c r="Q234" s="489"/>
      <c r="AG234" s="489"/>
    </row>
    <row r="235" spans="17:33" x14ac:dyDescent="0.2">
      <c r="Q235" s="489"/>
      <c r="AG235" s="489"/>
    </row>
    <row r="236" spans="17:33" x14ac:dyDescent="0.2">
      <c r="Q236" s="489"/>
      <c r="AG236" s="489"/>
    </row>
    <row r="237" spans="17:33" x14ac:dyDescent="0.2">
      <c r="Q237" s="489"/>
      <c r="AG237" s="489"/>
    </row>
    <row r="238" spans="17:33" x14ac:dyDescent="0.2">
      <c r="Q238" s="489"/>
      <c r="AG238" s="489"/>
    </row>
    <row r="239" spans="17:33" x14ac:dyDescent="0.2">
      <c r="Q239" s="489"/>
      <c r="AG239" s="489"/>
    </row>
    <row r="240" spans="17:33" x14ac:dyDescent="0.2">
      <c r="Q240" s="489"/>
      <c r="AG240" s="489"/>
    </row>
    <row r="241" spans="17:33" x14ac:dyDescent="0.2">
      <c r="Q241" s="489"/>
      <c r="AG241" s="489"/>
    </row>
    <row r="242" spans="17:33" x14ac:dyDescent="0.2">
      <c r="Q242" s="489"/>
      <c r="AG242" s="489"/>
    </row>
    <row r="243" spans="17:33" x14ac:dyDescent="0.2">
      <c r="Q243" s="489"/>
      <c r="AG243" s="489"/>
    </row>
    <row r="244" spans="17:33" x14ac:dyDescent="0.2">
      <c r="Q244" s="489"/>
      <c r="AG244" s="489"/>
    </row>
    <row r="245" spans="17:33" x14ac:dyDescent="0.2">
      <c r="Q245" s="489"/>
      <c r="AG245" s="489"/>
    </row>
    <row r="246" spans="17:33" x14ac:dyDescent="0.2">
      <c r="Q246" s="489"/>
      <c r="AG246" s="489"/>
    </row>
    <row r="247" spans="17:33" x14ac:dyDescent="0.2">
      <c r="Q247" s="489"/>
      <c r="AG247" s="489"/>
    </row>
    <row r="248" spans="17:33" x14ac:dyDescent="0.2">
      <c r="Q248" s="489"/>
      <c r="AG248" s="489"/>
    </row>
    <row r="249" spans="17:33" x14ac:dyDescent="0.2">
      <c r="Q249" s="489"/>
      <c r="AG249" s="489"/>
    </row>
    <row r="250" spans="17:33" x14ac:dyDescent="0.2">
      <c r="Q250" s="489"/>
      <c r="AG250" s="489"/>
    </row>
    <row r="251" spans="17:33" x14ac:dyDescent="0.2">
      <c r="Q251" s="489"/>
      <c r="AG251" s="489"/>
    </row>
    <row r="252" spans="17:33" x14ac:dyDescent="0.2">
      <c r="Q252" s="489"/>
      <c r="AG252" s="489"/>
    </row>
    <row r="253" spans="17:33" x14ac:dyDescent="0.2">
      <c r="Q253" s="489"/>
      <c r="AG253" s="489"/>
    </row>
    <row r="254" spans="17:33" x14ac:dyDescent="0.2">
      <c r="Q254" s="489"/>
      <c r="AG254" s="489"/>
    </row>
    <row r="255" spans="17:33" x14ac:dyDescent="0.2">
      <c r="Q255" s="489"/>
      <c r="AG255" s="489"/>
    </row>
    <row r="256" spans="17:33" x14ac:dyDescent="0.2">
      <c r="Q256" s="489"/>
      <c r="AG256" s="489"/>
    </row>
    <row r="257" spans="17:33" x14ac:dyDescent="0.2">
      <c r="Q257" s="489"/>
      <c r="AG257" s="489"/>
    </row>
    <row r="258" spans="17:33" x14ac:dyDescent="0.2">
      <c r="Q258" s="489"/>
      <c r="AG258" s="489"/>
    </row>
    <row r="259" spans="17:33" x14ac:dyDescent="0.2">
      <c r="Q259" s="489"/>
      <c r="AG259" s="489"/>
    </row>
    <row r="260" spans="17:33" x14ac:dyDescent="0.2">
      <c r="Q260" s="489"/>
      <c r="AG260" s="489"/>
    </row>
    <row r="261" spans="17:33" x14ac:dyDescent="0.2">
      <c r="Q261" s="489"/>
      <c r="AG261" s="489"/>
    </row>
    <row r="262" spans="17:33" x14ac:dyDescent="0.2">
      <c r="Q262" s="489"/>
      <c r="AG262" s="489"/>
    </row>
    <row r="263" spans="17:33" x14ac:dyDescent="0.2">
      <c r="Q263" s="489"/>
      <c r="AG263" s="489"/>
    </row>
    <row r="264" spans="17:33" x14ac:dyDescent="0.2">
      <c r="Q264" s="489"/>
      <c r="AG264" s="489"/>
    </row>
    <row r="265" spans="17:33" x14ac:dyDescent="0.2">
      <c r="Q265" s="489"/>
      <c r="AG265" s="489"/>
    </row>
    <row r="266" spans="17:33" x14ac:dyDescent="0.2">
      <c r="Q266" s="489"/>
      <c r="AG266" s="489"/>
    </row>
    <row r="267" spans="17:33" x14ac:dyDescent="0.2">
      <c r="Q267" s="489"/>
      <c r="AG267" s="489"/>
    </row>
    <row r="268" spans="17:33" x14ac:dyDescent="0.2">
      <c r="Q268" s="489"/>
      <c r="AG268" s="489"/>
    </row>
    <row r="269" spans="17:33" x14ac:dyDescent="0.2">
      <c r="Q269" s="489"/>
      <c r="AG269" s="489"/>
    </row>
    <row r="270" spans="17:33" x14ac:dyDescent="0.2">
      <c r="Q270" s="489"/>
      <c r="AG270" s="489"/>
    </row>
    <row r="271" spans="17:33" x14ac:dyDescent="0.2">
      <c r="Q271" s="489"/>
      <c r="AG271" s="489"/>
    </row>
    <row r="272" spans="17:33" x14ac:dyDescent="0.2">
      <c r="Q272" s="489"/>
      <c r="AG272" s="489"/>
    </row>
    <row r="273" spans="17:33" x14ac:dyDescent="0.2">
      <c r="Q273" s="489"/>
      <c r="AG273" s="489"/>
    </row>
    <row r="274" spans="17:33" x14ac:dyDescent="0.2">
      <c r="Q274" s="489"/>
      <c r="AG274" s="489"/>
    </row>
    <row r="275" spans="17:33" x14ac:dyDescent="0.2">
      <c r="Q275" s="489"/>
      <c r="AG275" s="489"/>
    </row>
    <row r="276" spans="17:33" x14ac:dyDescent="0.2">
      <c r="Q276" s="489"/>
      <c r="AG276" s="489"/>
    </row>
    <row r="277" spans="17:33" x14ac:dyDescent="0.2">
      <c r="Q277" s="489"/>
      <c r="AG277" s="489"/>
    </row>
    <row r="278" spans="17:33" x14ac:dyDescent="0.2">
      <c r="Q278" s="489"/>
      <c r="AG278" s="489"/>
    </row>
    <row r="279" spans="17:33" x14ac:dyDescent="0.2">
      <c r="Q279" s="489"/>
      <c r="AG279" s="489"/>
    </row>
    <row r="280" spans="17:33" x14ac:dyDescent="0.2">
      <c r="Q280" s="489"/>
      <c r="AG280" s="489"/>
    </row>
    <row r="281" spans="17:33" x14ac:dyDescent="0.2">
      <c r="Q281" s="489"/>
      <c r="AG281" s="489"/>
    </row>
    <row r="282" spans="17:33" x14ac:dyDescent="0.2">
      <c r="Q282" s="489"/>
      <c r="AG282" s="489"/>
    </row>
    <row r="283" spans="17:33" x14ac:dyDescent="0.2">
      <c r="Q283" s="489"/>
      <c r="AG283" s="489"/>
    </row>
    <row r="284" spans="17:33" x14ac:dyDescent="0.2">
      <c r="Q284" s="489"/>
      <c r="AG284" s="489"/>
    </row>
    <row r="285" spans="17:33" x14ac:dyDescent="0.2">
      <c r="Q285" s="489"/>
      <c r="AG285" s="489"/>
    </row>
    <row r="286" spans="17:33" x14ac:dyDescent="0.2">
      <c r="Q286" s="489"/>
      <c r="AG286" s="489"/>
    </row>
    <row r="287" spans="17:33" x14ac:dyDescent="0.2">
      <c r="Q287" s="489"/>
      <c r="AG287" s="489"/>
    </row>
    <row r="288" spans="17:33" x14ac:dyDescent="0.2">
      <c r="Q288" s="489"/>
      <c r="AG288" s="489"/>
    </row>
    <row r="289" spans="17:33" x14ac:dyDescent="0.2">
      <c r="Q289" s="489"/>
      <c r="AG289" s="489"/>
    </row>
    <row r="290" spans="17:33" x14ac:dyDescent="0.2">
      <c r="Q290" s="489"/>
      <c r="AG290" s="489"/>
    </row>
    <row r="291" spans="17:33" x14ac:dyDescent="0.2">
      <c r="Q291" s="489"/>
      <c r="AG291" s="489"/>
    </row>
    <row r="292" spans="17:33" x14ac:dyDescent="0.2">
      <c r="Q292" s="489"/>
      <c r="AG292" s="489"/>
    </row>
    <row r="293" spans="17:33" x14ac:dyDescent="0.2">
      <c r="Q293" s="489"/>
      <c r="AG293" s="489"/>
    </row>
    <row r="294" spans="17:33" x14ac:dyDescent="0.2">
      <c r="Q294" s="489"/>
      <c r="AG294" s="489"/>
    </row>
    <row r="295" spans="17:33" x14ac:dyDescent="0.2">
      <c r="Q295" s="489"/>
      <c r="AG295" s="489"/>
    </row>
    <row r="296" spans="17:33" x14ac:dyDescent="0.2">
      <c r="Q296" s="489"/>
      <c r="AG296" s="489"/>
    </row>
    <row r="297" spans="17:33" x14ac:dyDescent="0.2">
      <c r="Q297" s="489"/>
      <c r="AG297" s="489"/>
    </row>
    <row r="298" spans="17:33" x14ac:dyDescent="0.2">
      <c r="Q298" s="489"/>
      <c r="AG298" s="489"/>
    </row>
    <row r="299" spans="17:33" x14ac:dyDescent="0.2">
      <c r="Q299" s="489"/>
      <c r="AG299" s="489"/>
    </row>
    <row r="300" spans="17:33" x14ac:dyDescent="0.2">
      <c r="Q300" s="489"/>
      <c r="AG300" s="489"/>
    </row>
    <row r="301" spans="17:33" x14ac:dyDescent="0.2">
      <c r="Q301" s="489"/>
      <c r="AG301" s="489"/>
    </row>
    <row r="302" spans="17:33" x14ac:dyDescent="0.2">
      <c r="Q302" s="489"/>
      <c r="AG302" s="489"/>
    </row>
    <row r="303" spans="17:33" x14ac:dyDescent="0.2">
      <c r="Q303" s="489"/>
      <c r="AG303" s="489"/>
    </row>
    <row r="304" spans="17:33" x14ac:dyDescent="0.2">
      <c r="Q304" s="489"/>
      <c r="AG304" s="489"/>
    </row>
    <row r="305" spans="17:33" x14ac:dyDescent="0.2">
      <c r="Q305" s="489"/>
      <c r="AG305" s="489"/>
    </row>
    <row r="306" spans="17:33" x14ac:dyDescent="0.2">
      <c r="Q306" s="489"/>
      <c r="AG306" s="489"/>
    </row>
    <row r="307" spans="17:33" x14ac:dyDescent="0.2">
      <c r="Q307" s="489"/>
      <c r="AG307" s="489"/>
    </row>
    <row r="308" spans="17:33" x14ac:dyDescent="0.2">
      <c r="Q308" s="489"/>
      <c r="AG308" s="489"/>
    </row>
    <row r="309" spans="17:33" x14ac:dyDescent="0.2">
      <c r="Q309" s="489"/>
      <c r="AG309" s="489"/>
    </row>
    <row r="310" spans="17:33" x14ac:dyDescent="0.2">
      <c r="Q310" s="489"/>
      <c r="AG310" s="489"/>
    </row>
    <row r="311" spans="17:33" x14ac:dyDescent="0.2">
      <c r="Q311" s="489"/>
      <c r="AG311" s="489"/>
    </row>
    <row r="312" spans="17:33" x14ac:dyDescent="0.2">
      <c r="Q312" s="489"/>
      <c r="AG312" s="489"/>
    </row>
    <row r="313" spans="17:33" x14ac:dyDescent="0.2">
      <c r="Q313" s="489"/>
      <c r="AG313" s="489"/>
    </row>
    <row r="314" spans="17:33" x14ac:dyDescent="0.2">
      <c r="Q314" s="489"/>
      <c r="AG314" s="489"/>
    </row>
    <row r="315" spans="17:33" x14ac:dyDescent="0.2">
      <c r="Q315" s="489"/>
      <c r="AG315" s="489"/>
    </row>
    <row r="316" spans="17:33" x14ac:dyDescent="0.2">
      <c r="Q316" s="489"/>
      <c r="AG316" s="489"/>
    </row>
    <row r="317" spans="17:33" x14ac:dyDescent="0.2">
      <c r="Q317" s="489"/>
      <c r="AG317" s="489"/>
    </row>
    <row r="318" spans="17:33" x14ac:dyDescent="0.2">
      <c r="Q318" s="489"/>
      <c r="AG318" s="489"/>
    </row>
    <row r="319" spans="17:33" x14ac:dyDescent="0.2">
      <c r="Q319" s="489"/>
      <c r="AG319" s="489"/>
    </row>
    <row r="320" spans="17:33" x14ac:dyDescent="0.2">
      <c r="Q320" s="489"/>
      <c r="AG320" s="489"/>
    </row>
    <row r="321" spans="17:33" x14ac:dyDescent="0.2">
      <c r="Q321" s="489"/>
      <c r="AG321" s="489"/>
    </row>
    <row r="322" spans="17:33" x14ac:dyDescent="0.2">
      <c r="Q322" s="489"/>
      <c r="AG322" s="489"/>
    </row>
    <row r="323" spans="17:33" x14ac:dyDescent="0.2">
      <c r="Q323" s="489"/>
      <c r="AG323" s="489"/>
    </row>
    <row r="324" spans="17:33" x14ac:dyDescent="0.2">
      <c r="Q324" s="489"/>
      <c r="AG324" s="489"/>
    </row>
    <row r="325" spans="17:33" x14ac:dyDescent="0.2">
      <c r="Q325" s="489"/>
      <c r="AG325" s="489"/>
    </row>
    <row r="326" spans="17:33" x14ac:dyDescent="0.2">
      <c r="Q326" s="489"/>
      <c r="AG326" s="489"/>
    </row>
    <row r="327" spans="17:33" x14ac:dyDescent="0.2">
      <c r="Q327" s="489"/>
      <c r="AG327" s="489"/>
    </row>
    <row r="328" spans="17:33" x14ac:dyDescent="0.2">
      <c r="Q328" s="489"/>
      <c r="AG328" s="489"/>
    </row>
    <row r="329" spans="17:33" x14ac:dyDescent="0.2">
      <c r="Q329" s="489"/>
      <c r="AG329" s="489"/>
    </row>
    <row r="330" spans="17:33" x14ac:dyDescent="0.2">
      <c r="Q330" s="489"/>
      <c r="AG330" s="489"/>
    </row>
    <row r="331" spans="17:33" x14ac:dyDescent="0.2">
      <c r="Q331" s="489"/>
      <c r="AG331" s="489"/>
    </row>
    <row r="332" spans="17:33" x14ac:dyDescent="0.2">
      <c r="Q332" s="489"/>
      <c r="AG332" s="489"/>
    </row>
    <row r="333" spans="17:33" x14ac:dyDescent="0.2">
      <c r="Q333" s="489"/>
      <c r="AG333" s="489"/>
    </row>
    <row r="334" spans="17:33" x14ac:dyDescent="0.2">
      <c r="Q334" s="489"/>
      <c r="AG334" s="489"/>
    </row>
    <row r="335" spans="17:33" x14ac:dyDescent="0.2">
      <c r="Q335" s="489"/>
      <c r="AG335" s="489"/>
    </row>
    <row r="336" spans="17:33" x14ac:dyDescent="0.2">
      <c r="Q336" s="489"/>
      <c r="AG336" s="489"/>
    </row>
    <row r="337" spans="17:33" x14ac:dyDescent="0.2">
      <c r="Q337" s="489"/>
      <c r="AG337" s="489"/>
    </row>
    <row r="338" spans="17:33" x14ac:dyDescent="0.2">
      <c r="Q338" s="489"/>
      <c r="AG338" s="489"/>
    </row>
    <row r="339" spans="17:33" x14ac:dyDescent="0.2">
      <c r="Q339" s="489"/>
      <c r="AG339" s="489"/>
    </row>
    <row r="340" spans="17:33" x14ac:dyDescent="0.2">
      <c r="Q340" s="489"/>
      <c r="AG340" s="489"/>
    </row>
    <row r="341" spans="17:33" x14ac:dyDescent="0.2">
      <c r="Q341" s="489"/>
      <c r="AG341" s="489"/>
    </row>
    <row r="342" spans="17:33" x14ac:dyDescent="0.2">
      <c r="Q342" s="489"/>
      <c r="AG342" s="489"/>
    </row>
    <row r="343" spans="17:33" x14ac:dyDescent="0.2">
      <c r="Q343" s="489"/>
      <c r="AG343" s="489"/>
    </row>
    <row r="344" spans="17:33" x14ac:dyDescent="0.2">
      <c r="Q344" s="489"/>
      <c r="AG344" s="489"/>
    </row>
    <row r="345" spans="17:33" x14ac:dyDescent="0.2">
      <c r="Q345" s="489"/>
      <c r="AG345" s="489"/>
    </row>
    <row r="346" spans="17:33" x14ac:dyDescent="0.2">
      <c r="Q346" s="489"/>
      <c r="AG346" s="489"/>
    </row>
    <row r="347" spans="17:33" x14ac:dyDescent="0.2">
      <c r="Q347" s="489"/>
      <c r="AG347" s="489"/>
    </row>
    <row r="348" spans="17:33" x14ac:dyDescent="0.2">
      <c r="Q348" s="489"/>
      <c r="AG348" s="489"/>
    </row>
    <row r="349" spans="17:33" x14ac:dyDescent="0.2">
      <c r="Q349" s="489"/>
      <c r="AG349" s="489"/>
    </row>
    <row r="350" spans="17:33" x14ac:dyDescent="0.2">
      <c r="Q350" s="489"/>
      <c r="AG350" s="489"/>
    </row>
    <row r="351" spans="17:33" x14ac:dyDescent="0.2">
      <c r="Q351" s="489"/>
      <c r="AG351" s="489"/>
    </row>
    <row r="352" spans="17:33" x14ac:dyDescent="0.2">
      <c r="Q352" s="489"/>
      <c r="AG352" s="489"/>
    </row>
    <row r="353" spans="17:33" x14ac:dyDescent="0.2">
      <c r="Q353" s="489"/>
      <c r="AG353" s="489"/>
    </row>
    <row r="354" spans="17:33" x14ac:dyDescent="0.2">
      <c r="Q354" s="489"/>
      <c r="AG354" s="489"/>
    </row>
    <row r="355" spans="17:33" x14ac:dyDescent="0.2">
      <c r="Q355" s="489"/>
      <c r="AG355" s="489"/>
    </row>
    <row r="356" spans="17:33" x14ac:dyDescent="0.2">
      <c r="Q356" s="489"/>
      <c r="AG356" s="489"/>
    </row>
    <row r="357" spans="17:33" x14ac:dyDescent="0.2">
      <c r="Q357" s="489"/>
      <c r="AG357" s="489"/>
    </row>
    <row r="358" spans="17:33" x14ac:dyDescent="0.2">
      <c r="Q358" s="489"/>
      <c r="AG358" s="489"/>
    </row>
    <row r="359" spans="17:33" x14ac:dyDescent="0.2">
      <c r="Q359" s="489"/>
      <c r="AG359" s="489"/>
    </row>
    <row r="360" spans="17:33" x14ac:dyDescent="0.2">
      <c r="Q360" s="489"/>
      <c r="AG360" s="489"/>
    </row>
    <row r="361" spans="17:33" x14ac:dyDescent="0.2">
      <c r="Q361" s="489"/>
      <c r="AG361" s="489"/>
    </row>
    <row r="362" spans="17:33" x14ac:dyDescent="0.2">
      <c r="Q362" s="489"/>
      <c r="AG362" s="489"/>
    </row>
    <row r="363" spans="17:33" x14ac:dyDescent="0.2">
      <c r="Q363" s="489"/>
      <c r="AG363" s="489"/>
    </row>
    <row r="364" spans="17:33" x14ac:dyDescent="0.2">
      <c r="Q364" s="489"/>
      <c r="AG364" s="489"/>
    </row>
    <row r="365" spans="17:33" x14ac:dyDescent="0.2">
      <c r="Q365" s="489"/>
      <c r="AG365" s="489"/>
    </row>
    <row r="366" spans="17:33" x14ac:dyDescent="0.2">
      <c r="Q366" s="489"/>
      <c r="AG366" s="489"/>
    </row>
    <row r="367" spans="17:33" x14ac:dyDescent="0.2">
      <c r="Q367" s="489"/>
      <c r="AG367" s="489"/>
    </row>
    <row r="368" spans="17:33" x14ac:dyDescent="0.2">
      <c r="Q368" s="489"/>
      <c r="AG368" s="489"/>
    </row>
    <row r="369" spans="17:33" x14ac:dyDescent="0.2">
      <c r="Q369" s="489"/>
      <c r="AG369" s="489"/>
    </row>
    <row r="370" spans="17:33" x14ac:dyDescent="0.2">
      <c r="Q370" s="489"/>
      <c r="AG370" s="489"/>
    </row>
    <row r="371" spans="17:33" x14ac:dyDescent="0.2">
      <c r="Q371" s="489"/>
      <c r="AG371" s="489"/>
    </row>
    <row r="372" spans="17:33" x14ac:dyDescent="0.2">
      <c r="Q372" s="489"/>
      <c r="AG372" s="489"/>
    </row>
    <row r="373" spans="17:33" x14ac:dyDescent="0.2">
      <c r="Q373" s="489"/>
      <c r="AG373" s="489"/>
    </row>
    <row r="374" spans="17:33" x14ac:dyDescent="0.2">
      <c r="Q374" s="489"/>
      <c r="AG374" s="489"/>
    </row>
    <row r="375" spans="17:33" x14ac:dyDescent="0.2">
      <c r="Q375" s="489"/>
      <c r="AG375" s="489"/>
    </row>
    <row r="376" spans="17:33" x14ac:dyDescent="0.2">
      <c r="Q376" s="489"/>
      <c r="AG376" s="489"/>
    </row>
    <row r="377" spans="17:33" x14ac:dyDescent="0.2">
      <c r="Q377" s="489"/>
      <c r="AG377" s="489"/>
    </row>
    <row r="378" spans="17:33" x14ac:dyDescent="0.2">
      <c r="Q378" s="489"/>
      <c r="AG378" s="489"/>
    </row>
    <row r="379" spans="17:33" x14ac:dyDescent="0.2">
      <c r="Q379" s="489"/>
      <c r="AG379" s="489"/>
    </row>
    <row r="380" spans="17:33" x14ac:dyDescent="0.2">
      <c r="Q380" s="489"/>
      <c r="AG380" s="489"/>
    </row>
    <row r="381" spans="17:33" x14ac:dyDescent="0.2">
      <c r="Q381" s="489"/>
      <c r="AG381" s="489"/>
    </row>
    <row r="382" spans="17:33" x14ac:dyDescent="0.2">
      <c r="Q382" s="489"/>
      <c r="AG382" s="489"/>
    </row>
    <row r="383" spans="17:33" x14ac:dyDescent="0.2">
      <c r="Q383" s="489"/>
      <c r="AG383" s="489"/>
    </row>
    <row r="384" spans="17:33" x14ac:dyDescent="0.2">
      <c r="Q384" s="489"/>
      <c r="AG384" s="489"/>
    </row>
    <row r="385" spans="17:33" x14ac:dyDescent="0.2">
      <c r="Q385" s="489"/>
      <c r="AG385" s="489"/>
    </row>
    <row r="386" spans="17:33" x14ac:dyDescent="0.2">
      <c r="Q386" s="489"/>
      <c r="AG386" s="489"/>
    </row>
    <row r="387" spans="17:33" x14ac:dyDescent="0.2">
      <c r="Q387" s="489"/>
      <c r="AG387" s="489"/>
    </row>
    <row r="388" spans="17:33" x14ac:dyDescent="0.2">
      <c r="Q388" s="489"/>
      <c r="AG388" s="489"/>
    </row>
    <row r="389" spans="17:33" x14ac:dyDescent="0.2">
      <c r="Q389" s="489"/>
      <c r="AG389" s="489"/>
    </row>
    <row r="390" spans="17:33" x14ac:dyDescent="0.2">
      <c r="Q390" s="489"/>
      <c r="AG390" s="489"/>
    </row>
    <row r="391" spans="17:33" x14ac:dyDescent="0.2">
      <c r="Q391" s="489"/>
      <c r="AG391" s="489"/>
    </row>
    <row r="392" spans="17:33" x14ac:dyDescent="0.2">
      <c r="Q392" s="489"/>
      <c r="AG392" s="489"/>
    </row>
    <row r="393" spans="17:33" x14ac:dyDescent="0.2">
      <c r="Q393" s="489"/>
      <c r="AG393" s="489"/>
    </row>
    <row r="394" spans="17:33" x14ac:dyDescent="0.2">
      <c r="Q394" s="489"/>
      <c r="AG394" s="489"/>
    </row>
    <row r="395" spans="17:33" x14ac:dyDescent="0.2">
      <c r="Q395" s="489"/>
      <c r="AG395" s="489"/>
    </row>
    <row r="396" spans="17:33" x14ac:dyDescent="0.2">
      <c r="Q396" s="489"/>
      <c r="AG396" s="489"/>
    </row>
    <row r="397" spans="17:33" x14ac:dyDescent="0.2">
      <c r="Q397" s="489"/>
      <c r="AG397" s="489"/>
    </row>
    <row r="398" spans="17:33" x14ac:dyDescent="0.2">
      <c r="Q398" s="489"/>
      <c r="AG398" s="489"/>
    </row>
    <row r="399" spans="17:33" x14ac:dyDescent="0.2">
      <c r="Q399" s="489"/>
      <c r="AG399" s="489"/>
    </row>
    <row r="400" spans="17:33" x14ac:dyDescent="0.2">
      <c r="Q400" s="489"/>
      <c r="AG400" s="489"/>
    </row>
    <row r="401" spans="17:33" x14ac:dyDescent="0.2">
      <c r="Q401" s="489"/>
      <c r="AG401" s="489"/>
    </row>
    <row r="402" spans="17:33" x14ac:dyDescent="0.2">
      <c r="Q402" s="489"/>
      <c r="AG402" s="489"/>
    </row>
    <row r="403" spans="17:33" x14ac:dyDescent="0.2">
      <c r="Q403" s="489"/>
      <c r="AG403" s="489"/>
    </row>
    <row r="404" spans="17:33" x14ac:dyDescent="0.2">
      <c r="Q404" s="489"/>
      <c r="AG404" s="489"/>
    </row>
    <row r="405" spans="17:33" x14ac:dyDescent="0.2">
      <c r="Q405" s="489"/>
      <c r="AG405" s="489"/>
    </row>
    <row r="406" spans="17:33" x14ac:dyDescent="0.2">
      <c r="Q406" s="489"/>
      <c r="AG406" s="489"/>
    </row>
    <row r="407" spans="17:33" x14ac:dyDescent="0.2">
      <c r="Q407" s="489"/>
      <c r="AG407" s="489"/>
    </row>
    <row r="408" spans="17:33" x14ac:dyDescent="0.2">
      <c r="Q408" s="489"/>
      <c r="AG408" s="489"/>
    </row>
    <row r="409" spans="17:33" x14ac:dyDescent="0.2">
      <c r="Q409" s="489"/>
      <c r="AG409" s="489"/>
    </row>
    <row r="410" spans="17:33" x14ac:dyDescent="0.2">
      <c r="Q410" s="489"/>
      <c r="AG410" s="489"/>
    </row>
    <row r="411" spans="17:33" x14ac:dyDescent="0.2">
      <c r="Q411" s="489"/>
      <c r="AG411" s="489"/>
    </row>
    <row r="412" spans="17:33" x14ac:dyDescent="0.2">
      <c r="Q412" s="489"/>
      <c r="AG412" s="489"/>
    </row>
    <row r="413" spans="17:33" x14ac:dyDescent="0.2">
      <c r="Q413" s="489"/>
      <c r="AG413" s="489"/>
    </row>
    <row r="414" spans="17:33" x14ac:dyDescent="0.2">
      <c r="Q414" s="489"/>
      <c r="AG414" s="489"/>
    </row>
    <row r="415" spans="17:33" x14ac:dyDescent="0.2">
      <c r="Q415" s="489"/>
      <c r="AG415" s="489"/>
    </row>
    <row r="416" spans="17:33" x14ac:dyDescent="0.2">
      <c r="Q416" s="489"/>
      <c r="AG416" s="489"/>
    </row>
    <row r="417" spans="17:33" x14ac:dyDescent="0.2">
      <c r="Q417" s="489"/>
      <c r="AG417" s="489"/>
    </row>
    <row r="418" spans="17:33" x14ac:dyDescent="0.2">
      <c r="Q418" s="489"/>
      <c r="AG418" s="489"/>
    </row>
    <row r="419" spans="17:33" x14ac:dyDescent="0.2">
      <c r="Q419" s="489"/>
      <c r="AG419" s="489"/>
    </row>
    <row r="420" spans="17:33" x14ac:dyDescent="0.2">
      <c r="Q420" s="489"/>
      <c r="AG420" s="489"/>
    </row>
    <row r="421" spans="17:33" x14ac:dyDescent="0.2">
      <c r="Q421" s="489"/>
      <c r="AG421" s="489"/>
    </row>
    <row r="422" spans="17:33" x14ac:dyDescent="0.2">
      <c r="Q422" s="489"/>
      <c r="AG422" s="489"/>
    </row>
    <row r="423" spans="17:33" x14ac:dyDescent="0.2">
      <c r="Q423" s="489"/>
      <c r="AG423" s="489"/>
    </row>
    <row r="424" spans="17:33" x14ac:dyDescent="0.2">
      <c r="Q424" s="489"/>
      <c r="AG424" s="489"/>
    </row>
    <row r="425" spans="17:33" x14ac:dyDescent="0.2">
      <c r="Q425" s="489"/>
      <c r="AG425" s="489"/>
    </row>
    <row r="426" spans="17:33" x14ac:dyDescent="0.2">
      <c r="Q426" s="489"/>
      <c r="AG426" s="489"/>
    </row>
    <row r="427" spans="17:33" x14ac:dyDescent="0.2">
      <c r="Q427" s="489"/>
      <c r="AG427" s="489"/>
    </row>
    <row r="428" spans="17:33" x14ac:dyDescent="0.2">
      <c r="Q428" s="489"/>
      <c r="AG428" s="489"/>
    </row>
    <row r="429" spans="17:33" x14ac:dyDescent="0.2">
      <c r="Q429" s="489"/>
      <c r="AG429" s="489"/>
    </row>
    <row r="430" spans="17:33" x14ac:dyDescent="0.2">
      <c r="Q430" s="489"/>
      <c r="AG430" s="489"/>
    </row>
    <row r="431" spans="17:33" x14ac:dyDescent="0.2">
      <c r="Q431" s="489"/>
      <c r="AG431" s="489"/>
    </row>
    <row r="432" spans="17:33" x14ac:dyDescent="0.2">
      <c r="Q432" s="489"/>
      <c r="AG432" s="489"/>
    </row>
    <row r="433" spans="17:33" x14ac:dyDescent="0.2">
      <c r="Q433" s="489"/>
      <c r="AG433" s="489"/>
    </row>
    <row r="434" spans="17:33" x14ac:dyDescent="0.2">
      <c r="Q434" s="489"/>
      <c r="AG434" s="489"/>
    </row>
    <row r="435" spans="17:33" x14ac:dyDescent="0.2">
      <c r="Q435" s="489"/>
      <c r="AG435" s="489"/>
    </row>
    <row r="436" spans="17:33" x14ac:dyDescent="0.2">
      <c r="Q436" s="489"/>
      <c r="AG436" s="489"/>
    </row>
    <row r="437" spans="17:33" x14ac:dyDescent="0.2">
      <c r="Q437" s="489"/>
      <c r="AG437" s="489"/>
    </row>
    <row r="438" spans="17:33" x14ac:dyDescent="0.2">
      <c r="Q438" s="489"/>
      <c r="AG438" s="489"/>
    </row>
    <row r="439" spans="17:33" x14ac:dyDescent="0.2">
      <c r="Q439" s="489"/>
      <c r="AG439" s="489"/>
    </row>
    <row r="440" spans="17:33" x14ac:dyDescent="0.2">
      <c r="Q440" s="489"/>
      <c r="AG440" s="489"/>
    </row>
    <row r="441" spans="17:33" x14ac:dyDescent="0.2">
      <c r="Q441" s="489"/>
      <c r="AG441" s="489"/>
    </row>
    <row r="442" spans="17:33" x14ac:dyDescent="0.2">
      <c r="Q442" s="489"/>
      <c r="AG442" s="489"/>
    </row>
    <row r="443" spans="17:33" x14ac:dyDescent="0.2">
      <c r="Q443" s="489"/>
      <c r="AG443" s="489"/>
    </row>
    <row r="444" spans="17:33" x14ac:dyDescent="0.2">
      <c r="Q444" s="489"/>
      <c r="AG444" s="489"/>
    </row>
    <row r="445" spans="17:33" x14ac:dyDescent="0.2">
      <c r="Q445" s="489"/>
      <c r="AG445" s="489"/>
    </row>
    <row r="446" spans="17:33" x14ac:dyDescent="0.2">
      <c r="Q446" s="489"/>
      <c r="AG446" s="489"/>
    </row>
    <row r="447" spans="17:33" x14ac:dyDescent="0.2">
      <c r="Q447" s="489"/>
      <c r="AG447" s="489"/>
    </row>
    <row r="448" spans="17:33" x14ac:dyDescent="0.2">
      <c r="Q448" s="489"/>
      <c r="AG448" s="489"/>
    </row>
    <row r="449" spans="17:33" x14ac:dyDescent="0.2">
      <c r="Q449" s="489"/>
      <c r="AG449" s="489"/>
    </row>
    <row r="450" spans="17:33" x14ac:dyDescent="0.2">
      <c r="Q450" s="489"/>
      <c r="AG450" s="489"/>
    </row>
    <row r="451" spans="17:33" x14ac:dyDescent="0.2">
      <c r="Q451" s="489"/>
      <c r="AG451" s="489"/>
    </row>
    <row r="452" spans="17:33" x14ac:dyDescent="0.2">
      <c r="Q452" s="489"/>
      <c r="AG452" s="489"/>
    </row>
    <row r="453" spans="17:33" x14ac:dyDescent="0.2">
      <c r="Q453" s="489"/>
      <c r="AG453" s="489"/>
    </row>
    <row r="454" spans="17:33" x14ac:dyDescent="0.2">
      <c r="Q454" s="489"/>
      <c r="AG454" s="489"/>
    </row>
    <row r="455" spans="17:33" x14ac:dyDescent="0.2">
      <c r="Q455" s="489"/>
      <c r="AG455" s="489"/>
    </row>
    <row r="456" spans="17:33" x14ac:dyDescent="0.2">
      <c r="Q456" s="489"/>
      <c r="AG456" s="489"/>
    </row>
    <row r="457" spans="17:33" x14ac:dyDescent="0.2">
      <c r="Q457" s="489"/>
      <c r="AG457" s="489"/>
    </row>
    <row r="458" spans="17:33" x14ac:dyDescent="0.2">
      <c r="Q458" s="489"/>
      <c r="AG458" s="489"/>
    </row>
    <row r="459" spans="17:33" x14ac:dyDescent="0.2">
      <c r="Q459" s="489"/>
      <c r="AG459" s="489"/>
    </row>
    <row r="460" spans="17:33" x14ac:dyDescent="0.2">
      <c r="Q460" s="489"/>
      <c r="AG460" s="489"/>
    </row>
    <row r="461" spans="17:33" x14ac:dyDescent="0.2">
      <c r="Q461" s="489"/>
      <c r="AG461" s="489"/>
    </row>
    <row r="462" spans="17:33" x14ac:dyDescent="0.2">
      <c r="Q462" s="489"/>
      <c r="AG462" s="489"/>
    </row>
    <row r="463" spans="17:33" x14ac:dyDescent="0.2">
      <c r="Q463" s="489"/>
      <c r="AG463" s="489"/>
    </row>
    <row r="464" spans="17:33" x14ac:dyDescent="0.2">
      <c r="Q464" s="489"/>
      <c r="AG464" s="489"/>
    </row>
    <row r="465" spans="17:33" x14ac:dyDescent="0.2">
      <c r="Q465" s="489"/>
      <c r="AG465" s="489"/>
    </row>
    <row r="466" spans="17:33" x14ac:dyDescent="0.2">
      <c r="Q466" s="489"/>
      <c r="AG466" s="489"/>
    </row>
    <row r="467" spans="17:33" x14ac:dyDescent="0.2">
      <c r="Q467" s="489"/>
      <c r="AG467" s="489"/>
    </row>
    <row r="468" spans="17:33" x14ac:dyDescent="0.2">
      <c r="Q468" s="489"/>
      <c r="AG468" s="489"/>
    </row>
    <row r="469" spans="17:33" x14ac:dyDescent="0.2">
      <c r="Q469" s="489"/>
      <c r="AG469" s="489"/>
    </row>
    <row r="470" spans="17:33" x14ac:dyDescent="0.2">
      <c r="Q470" s="489"/>
      <c r="AG470" s="489"/>
    </row>
    <row r="471" spans="17:33" x14ac:dyDescent="0.2">
      <c r="Q471" s="489"/>
      <c r="AG471" s="489"/>
    </row>
    <row r="472" spans="17:33" x14ac:dyDescent="0.2">
      <c r="Q472" s="489"/>
      <c r="AG472" s="489"/>
    </row>
    <row r="473" spans="17:33" x14ac:dyDescent="0.2">
      <c r="Q473" s="489"/>
      <c r="AG473" s="489"/>
    </row>
    <row r="474" spans="17:33" x14ac:dyDescent="0.2">
      <c r="Q474" s="489"/>
      <c r="AG474" s="489"/>
    </row>
    <row r="475" spans="17:33" x14ac:dyDescent="0.2">
      <c r="Q475" s="489"/>
      <c r="AG475" s="489"/>
    </row>
    <row r="476" spans="17:33" x14ac:dyDescent="0.2">
      <c r="Q476" s="489"/>
      <c r="AG476" s="489"/>
    </row>
    <row r="477" spans="17:33" x14ac:dyDescent="0.2">
      <c r="Q477" s="489"/>
      <c r="AG477" s="489"/>
    </row>
    <row r="478" spans="17:33" x14ac:dyDescent="0.2">
      <c r="Q478" s="489"/>
      <c r="AG478" s="489"/>
    </row>
    <row r="479" spans="17:33" x14ac:dyDescent="0.2">
      <c r="Q479" s="489"/>
      <c r="AG479" s="489"/>
    </row>
    <row r="480" spans="17:33" x14ac:dyDescent="0.2">
      <c r="Q480" s="489"/>
      <c r="AG480" s="489"/>
    </row>
    <row r="481" spans="17:33" x14ac:dyDescent="0.2">
      <c r="Q481" s="489"/>
      <c r="AG481" s="489"/>
    </row>
    <row r="482" spans="17:33" x14ac:dyDescent="0.2">
      <c r="Q482" s="489"/>
      <c r="AG482" s="489"/>
    </row>
    <row r="483" spans="17:33" x14ac:dyDescent="0.2">
      <c r="Q483" s="489"/>
      <c r="AG483" s="489"/>
    </row>
    <row r="484" spans="17:33" x14ac:dyDescent="0.2">
      <c r="Q484" s="489"/>
      <c r="AG484" s="489"/>
    </row>
    <row r="485" spans="17:33" x14ac:dyDescent="0.2">
      <c r="Q485" s="489"/>
      <c r="AG485" s="489"/>
    </row>
    <row r="486" spans="17:33" x14ac:dyDescent="0.2">
      <c r="Q486" s="489"/>
      <c r="AG486" s="489"/>
    </row>
    <row r="487" spans="17:33" x14ac:dyDescent="0.2">
      <c r="Q487" s="489"/>
      <c r="AG487" s="489"/>
    </row>
    <row r="488" spans="17:33" x14ac:dyDescent="0.2">
      <c r="Q488" s="489"/>
      <c r="AG488" s="489"/>
    </row>
    <row r="489" spans="17:33" x14ac:dyDescent="0.2">
      <c r="Q489" s="489"/>
      <c r="AG489" s="489"/>
    </row>
    <row r="490" spans="17:33" x14ac:dyDescent="0.2">
      <c r="Q490" s="489"/>
      <c r="AG490" s="489"/>
    </row>
    <row r="491" spans="17:33" x14ac:dyDescent="0.2">
      <c r="Q491" s="489"/>
      <c r="AG491" s="489"/>
    </row>
    <row r="492" spans="17:33" x14ac:dyDescent="0.2">
      <c r="Q492" s="489"/>
      <c r="AG492" s="489"/>
    </row>
    <row r="493" spans="17:33" x14ac:dyDescent="0.2">
      <c r="Q493" s="489"/>
      <c r="AG493" s="489"/>
    </row>
    <row r="494" spans="17:33" x14ac:dyDescent="0.2">
      <c r="Q494" s="489"/>
      <c r="AG494" s="489"/>
    </row>
    <row r="495" spans="17:33" x14ac:dyDescent="0.2">
      <c r="Q495" s="489"/>
      <c r="AG495" s="489"/>
    </row>
    <row r="496" spans="17:33" x14ac:dyDescent="0.2">
      <c r="Q496" s="489"/>
      <c r="AG496" s="489"/>
    </row>
    <row r="497" spans="17:33" x14ac:dyDescent="0.2">
      <c r="Q497" s="489"/>
      <c r="AG497" s="489"/>
    </row>
    <row r="498" spans="17:33" x14ac:dyDescent="0.2">
      <c r="Q498" s="489"/>
      <c r="AG498" s="489"/>
    </row>
    <row r="499" spans="17:33" x14ac:dyDescent="0.2">
      <c r="Q499" s="489"/>
      <c r="AG499" s="489"/>
    </row>
    <row r="500" spans="17:33" x14ac:dyDescent="0.2">
      <c r="Q500" s="489"/>
      <c r="AG500" s="489"/>
    </row>
    <row r="501" spans="17:33" x14ac:dyDescent="0.2">
      <c r="Q501" s="489"/>
      <c r="AG501" s="489"/>
    </row>
    <row r="502" spans="17:33" x14ac:dyDescent="0.2">
      <c r="Q502" s="489"/>
      <c r="AG502" s="489"/>
    </row>
    <row r="503" spans="17:33" x14ac:dyDescent="0.2">
      <c r="Q503" s="489"/>
      <c r="AG503" s="489"/>
    </row>
    <row r="504" spans="17:33" x14ac:dyDescent="0.2">
      <c r="Q504" s="489"/>
      <c r="AG504" s="489"/>
    </row>
    <row r="505" spans="17:33" x14ac:dyDescent="0.2">
      <c r="Q505" s="489"/>
      <c r="AG505" s="489"/>
    </row>
    <row r="506" spans="17:33" x14ac:dyDescent="0.2">
      <c r="Q506" s="489"/>
      <c r="AG506" s="489"/>
    </row>
    <row r="507" spans="17:33" x14ac:dyDescent="0.2">
      <c r="Q507" s="489"/>
      <c r="AG507" s="489"/>
    </row>
    <row r="508" spans="17:33" x14ac:dyDescent="0.2">
      <c r="Q508" s="489"/>
      <c r="AG508" s="489"/>
    </row>
    <row r="509" spans="17:33" x14ac:dyDescent="0.2">
      <c r="Q509" s="489"/>
      <c r="AG509" s="489"/>
    </row>
    <row r="510" spans="17:33" x14ac:dyDescent="0.2">
      <c r="Q510" s="489"/>
      <c r="AG510" s="489"/>
    </row>
    <row r="511" spans="17:33" x14ac:dyDescent="0.2">
      <c r="Q511" s="489"/>
      <c r="AG511" s="489"/>
    </row>
    <row r="512" spans="17:33" x14ac:dyDescent="0.2">
      <c r="Q512" s="489"/>
      <c r="AG512" s="489"/>
    </row>
    <row r="513" spans="17:33" x14ac:dyDescent="0.2">
      <c r="Q513" s="489"/>
      <c r="AG513" s="489"/>
    </row>
    <row r="514" spans="17:33" x14ac:dyDescent="0.2">
      <c r="Q514" s="489"/>
      <c r="AG514" s="489"/>
    </row>
    <row r="515" spans="17:33" x14ac:dyDescent="0.2">
      <c r="Q515" s="489"/>
      <c r="AG515" s="489"/>
    </row>
    <row r="516" spans="17:33" x14ac:dyDescent="0.2">
      <c r="Q516" s="489"/>
      <c r="AG516" s="489"/>
    </row>
    <row r="517" spans="17:33" x14ac:dyDescent="0.2">
      <c r="Q517" s="489"/>
      <c r="AG517" s="489"/>
    </row>
    <row r="518" spans="17:33" x14ac:dyDescent="0.2">
      <c r="Q518" s="489"/>
      <c r="AG518" s="489"/>
    </row>
    <row r="519" spans="17:33" x14ac:dyDescent="0.2">
      <c r="Q519" s="489"/>
      <c r="AG519" s="489"/>
    </row>
    <row r="520" spans="17:33" x14ac:dyDescent="0.2">
      <c r="Q520" s="489"/>
      <c r="AG520" s="489"/>
    </row>
    <row r="521" spans="17:33" x14ac:dyDescent="0.2">
      <c r="Q521" s="489"/>
      <c r="AG521" s="489"/>
    </row>
    <row r="522" spans="17:33" x14ac:dyDescent="0.2">
      <c r="Q522" s="489"/>
      <c r="AG522" s="489"/>
    </row>
    <row r="523" spans="17:33" x14ac:dyDescent="0.2">
      <c r="Q523" s="489"/>
      <c r="AG523" s="489"/>
    </row>
    <row r="524" spans="17:33" x14ac:dyDescent="0.2">
      <c r="Q524" s="489"/>
      <c r="AG524" s="489"/>
    </row>
    <row r="525" spans="17:33" x14ac:dyDescent="0.2">
      <c r="Q525" s="489"/>
      <c r="AG525" s="489"/>
    </row>
    <row r="526" spans="17:33" x14ac:dyDescent="0.2">
      <c r="Q526" s="489"/>
      <c r="AG526" s="489"/>
    </row>
    <row r="527" spans="17:33" x14ac:dyDescent="0.2">
      <c r="Q527" s="489"/>
      <c r="AG527" s="489"/>
    </row>
    <row r="528" spans="17:33" x14ac:dyDescent="0.2">
      <c r="Q528" s="489"/>
      <c r="AG528" s="489"/>
    </row>
    <row r="529" spans="17:33" x14ac:dyDescent="0.2">
      <c r="Q529" s="489"/>
      <c r="AG529" s="489"/>
    </row>
    <row r="530" spans="17:33" x14ac:dyDescent="0.2">
      <c r="Q530" s="489"/>
      <c r="AG530" s="489"/>
    </row>
    <row r="531" spans="17:33" x14ac:dyDescent="0.2">
      <c r="Q531" s="489"/>
      <c r="AG531" s="489"/>
    </row>
    <row r="532" spans="17:33" x14ac:dyDescent="0.2">
      <c r="Q532" s="489"/>
      <c r="AG532" s="489"/>
    </row>
    <row r="533" spans="17:33" x14ac:dyDescent="0.2">
      <c r="Q533" s="489"/>
      <c r="AG533" s="489"/>
    </row>
    <row r="534" spans="17:33" x14ac:dyDescent="0.2">
      <c r="Q534" s="489"/>
      <c r="AG534" s="489"/>
    </row>
    <row r="535" spans="17:33" x14ac:dyDescent="0.2">
      <c r="Q535" s="489"/>
      <c r="AG535" s="489"/>
    </row>
    <row r="536" spans="17:33" x14ac:dyDescent="0.2">
      <c r="Q536" s="489"/>
      <c r="AG536" s="489"/>
    </row>
    <row r="537" spans="17:33" x14ac:dyDescent="0.2">
      <c r="Q537" s="489"/>
      <c r="AG537" s="489"/>
    </row>
    <row r="538" spans="17:33" x14ac:dyDescent="0.2">
      <c r="Q538" s="489"/>
      <c r="AG538" s="489"/>
    </row>
    <row r="539" spans="17:33" x14ac:dyDescent="0.2">
      <c r="Q539" s="489"/>
      <c r="AG539" s="489"/>
    </row>
    <row r="540" spans="17:33" x14ac:dyDescent="0.2">
      <c r="Q540" s="489"/>
      <c r="AG540" s="489"/>
    </row>
    <row r="541" spans="17:33" x14ac:dyDescent="0.2">
      <c r="Q541" s="489"/>
      <c r="AG541" s="489"/>
    </row>
    <row r="542" spans="17:33" x14ac:dyDescent="0.2">
      <c r="Q542" s="489"/>
      <c r="AG542" s="489"/>
    </row>
    <row r="543" spans="17:33" x14ac:dyDescent="0.2">
      <c r="Q543" s="489"/>
      <c r="AG543" s="489"/>
    </row>
    <row r="544" spans="17:33" x14ac:dyDescent="0.2">
      <c r="Q544" s="489"/>
      <c r="AG544" s="489"/>
    </row>
    <row r="545" spans="17:33" x14ac:dyDescent="0.2">
      <c r="Q545" s="489"/>
      <c r="AG545" s="489"/>
    </row>
    <row r="546" spans="17:33" x14ac:dyDescent="0.2">
      <c r="Q546" s="489"/>
      <c r="AG546" s="489"/>
    </row>
    <row r="547" spans="17:33" x14ac:dyDescent="0.2">
      <c r="Q547" s="489"/>
      <c r="AG547" s="489"/>
    </row>
    <row r="548" spans="17:33" x14ac:dyDescent="0.2">
      <c r="Q548" s="489"/>
      <c r="AG548" s="489"/>
    </row>
    <row r="549" spans="17:33" x14ac:dyDescent="0.2">
      <c r="Q549" s="489"/>
      <c r="AG549" s="489"/>
    </row>
    <row r="550" spans="17:33" x14ac:dyDescent="0.2">
      <c r="Q550" s="489"/>
      <c r="AG550" s="489"/>
    </row>
    <row r="551" spans="17:33" x14ac:dyDescent="0.2">
      <c r="Q551" s="489"/>
      <c r="AG551" s="489"/>
    </row>
    <row r="552" spans="17:33" x14ac:dyDescent="0.2">
      <c r="Q552" s="489"/>
      <c r="AG552" s="489"/>
    </row>
    <row r="553" spans="17:33" x14ac:dyDescent="0.2">
      <c r="Q553" s="489"/>
      <c r="AG553" s="489"/>
    </row>
    <row r="554" spans="17:33" x14ac:dyDescent="0.2">
      <c r="Q554" s="489"/>
      <c r="AG554" s="489"/>
    </row>
    <row r="555" spans="17:33" x14ac:dyDescent="0.2">
      <c r="Q555" s="489"/>
      <c r="AG555" s="489"/>
    </row>
    <row r="556" spans="17:33" x14ac:dyDescent="0.2">
      <c r="Q556" s="489"/>
      <c r="AG556" s="489"/>
    </row>
    <row r="557" spans="17:33" x14ac:dyDescent="0.2">
      <c r="Q557" s="489"/>
      <c r="AG557" s="489"/>
    </row>
    <row r="558" spans="17:33" x14ac:dyDescent="0.2">
      <c r="Q558" s="489"/>
      <c r="AG558" s="489"/>
    </row>
    <row r="559" spans="17:33" x14ac:dyDescent="0.2">
      <c r="Q559" s="489"/>
      <c r="AG559" s="489"/>
    </row>
    <row r="560" spans="17:33" x14ac:dyDescent="0.2">
      <c r="AG560" s="489"/>
    </row>
    <row r="561" spans="33:33" x14ac:dyDescent="0.2">
      <c r="AG561" s="489"/>
    </row>
    <row r="562" spans="33:33" x14ac:dyDescent="0.2">
      <c r="AG562" s="489"/>
    </row>
    <row r="563" spans="33:33" x14ac:dyDescent="0.2">
      <c r="AG563" s="489"/>
    </row>
    <row r="564" spans="33:33" x14ac:dyDescent="0.2">
      <c r="AG564" s="489"/>
    </row>
    <row r="565" spans="33:33" x14ac:dyDescent="0.2">
      <c r="AG565" s="489"/>
    </row>
    <row r="566" spans="33:33" x14ac:dyDescent="0.2">
      <c r="AG566" s="489"/>
    </row>
    <row r="567" spans="33:33" x14ac:dyDescent="0.2">
      <c r="AG567" s="489"/>
    </row>
    <row r="568" spans="33:33" x14ac:dyDescent="0.2">
      <c r="AG568" s="489"/>
    </row>
    <row r="569" spans="33:33" x14ac:dyDescent="0.2">
      <c r="AG569" s="489"/>
    </row>
    <row r="570" spans="33:33" x14ac:dyDescent="0.2">
      <c r="AG570" s="489"/>
    </row>
    <row r="571" spans="33:33" x14ac:dyDescent="0.2">
      <c r="AG571" s="489"/>
    </row>
    <row r="572" spans="33:33" x14ac:dyDescent="0.2">
      <c r="AG572" s="489"/>
    </row>
    <row r="573" spans="33:33" x14ac:dyDescent="0.2">
      <c r="AG573" s="489"/>
    </row>
    <row r="574" spans="33:33" x14ac:dyDescent="0.2">
      <c r="AG574" s="489"/>
    </row>
    <row r="575" spans="33:33" x14ac:dyDescent="0.2">
      <c r="AG575" s="489"/>
    </row>
    <row r="576" spans="33:33" x14ac:dyDescent="0.2">
      <c r="AG576" s="489"/>
    </row>
    <row r="577" spans="33:33" x14ac:dyDescent="0.2">
      <c r="AG577" s="489"/>
    </row>
    <row r="578" spans="33:33" x14ac:dyDescent="0.2">
      <c r="AG578" s="489"/>
    </row>
    <row r="579" spans="33:33" x14ac:dyDescent="0.2">
      <c r="AG579" s="489"/>
    </row>
    <row r="580" spans="33:33" x14ac:dyDescent="0.2">
      <c r="AG580" s="489"/>
    </row>
    <row r="581" spans="33:33" x14ac:dyDescent="0.2">
      <c r="AG581" s="489"/>
    </row>
    <row r="582" spans="33:33" x14ac:dyDescent="0.2">
      <c r="AG582" s="489"/>
    </row>
    <row r="583" spans="33:33" x14ac:dyDescent="0.2">
      <c r="AG583" s="489"/>
    </row>
    <row r="584" spans="33:33" x14ac:dyDescent="0.2">
      <c r="AG584" s="489"/>
    </row>
    <row r="585" spans="33:33" x14ac:dyDescent="0.2">
      <c r="AG585" s="489"/>
    </row>
    <row r="586" spans="33:33" x14ac:dyDescent="0.2">
      <c r="AG586" s="489"/>
    </row>
    <row r="587" spans="33:33" x14ac:dyDescent="0.2">
      <c r="AG587" s="489"/>
    </row>
    <row r="588" spans="33:33" x14ac:dyDescent="0.2">
      <c r="AG588" s="489"/>
    </row>
    <row r="589" spans="33:33" x14ac:dyDescent="0.2">
      <c r="AG589" s="489"/>
    </row>
    <row r="590" spans="33:33" x14ac:dyDescent="0.2">
      <c r="AG590" s="489"/>
    </row>
    <row r="591" spans="33:33" x14ac:dyDescent="0.2">
      <c r="AG591" s="489"/>
    </row>
    <row r="592" spans="33:33" x14ac:dyDescent="0.2">
      <c r="AG592" s="489"/>
    </row>
    <row r="593" spans="33:33" x14ac:dyDescent="0.2">
      <c r="AG593" s="489"/>
    </row>
    <row r="594" spans="33:33" x14ac:dyDescent="0.2">
      <c r="AG594" s="489"/>
    </row>
    <row r="595" spans="33:33" x14ac:dyDescent="0.2">
      <c r="AG595" s="489"/>
    </row>
    <row r="596" spans="33:33" x14ac:dyDescent="0.2">
      <c r="AG596" s="489"/>
    </row>
    <row r="597" spans="33:33" x14ac:dyDescent="0.2">
      <c r="AG597" s="489"/>
    </row>
    <row r="598" spans="33:33" x14ac:dyDescent="0.2">
      <c r="AG598" s="489"/>
    </row>
    <row r="599" spans="33:33" x14ac:dyDescent="0.2">
      <c r="AG599" s="489"/>
    </row>
    <row r="600" spans="33:33" x14ac:dyDescent="0.2">
      <c r="AG600" s="489"/>
    </row>
    <row r="601" spans="33:33" x14ac:dyDescent="0.2">
      <c r="AG601" s="489"/>
    </row>
    <row r="602" spans="33:33" x14ac:dyDescent="0.2">
      <c r="AG602" s="489"/>
    </row>
    <row r="603" spans="33:33" x14ac:dyDescent="0.2">
      <c r="AG603" s="489"/>
    </row>
    <row r="604" spans="33:33" x14ac:dyDescent="0.2">
      <c r="AG604" s="489"/>
    </row>
    <row r="605" spans="33:33" x14ac:dyDescent="0.2">
      <c r="AG605" s="489"/>
    </row>
    <row r="606" spans="33:33" x14ac:dyDescent="0.2">
      <c r="AG606" s="489"/>
    </row>
    <row r="607" spans="33:33" x14ac:dyDescent="0.2">
      <c r="AG607" s="489"/>
    </row>
    <row r="608" spans="33:33" x14ac:dyDescent="0.2">
      <c r="AG608" s="489"/>
    </row>
    <row r="609" spans="33:33" x14ac:dyDescent="0.2">
      <c r="AG609" s="489"/>
    </row>
    <row r="610" spans="33:33" x14ac:dyDescent="0.2">
      <c r="AG610" s="489"/>
    </row>
    <row r="611" spans="33:33" x14ac:dyDescent="0.2">
      <c r="AG611" s="489"/>
    </row>
    <row r="612" spans="33:33" x14ac:dyDescent="0.2">
      <c r="AG612" s="489"/>
    </row>
    <row r="613" spans="33:33" x14ac:dyDescent="0.2">
      <c r="AG613" s="489"/>
    </row>
    <row r="614" spans="33:33" x14ac:dyDescent="0.2">
      <c r="AG614" s="489"/>
    </row>
    <row r="615" spans="33:33" x14ac:dyDescent="0.2">
      <c r="AG615" s="489"/>
    </row>
    <row r="616" spans="33:33" x14ac:dyDescent="0.2">
      <c r="AG616" s="489"/>
    </row>
    <row r="617" spans="33:33" x14ac:dyDescent="0.2">
      <c r="AG617" s="489"/>
    </row>
    <row r="618" spans="33:33" x14ac:dyDescent="0.2">
      <c r="AG618" s="489"/>
    </row>
    <row r="619" spans="33:33" x14ac:dyDescent="0.2">
      <c r="AG619" s="489"/>
    </row>
    <row r="620" spans="33:33" x14ac:dyDescent="0.2">
      <c r="AG620" s="489"/>
    </row>
    <row r="621" spans="33:33" x14ac:dyDescent="0.2">
      <c r="AG621" s="489"/>
    </row>
    <row r="622" spans="33:33" x14ac:dyDescent="0.2">
      <c r="AG622" s="489"/>
    </row>
    <row r="623" spans="33:33" x14ac:dyDescent="0.2">
      <c r="AG623" s="489"/>
    </row>
    <row r="624" spans="33:33" x14ac:dyDescent="0.2">
      <c r="AG624" s="489"/>
    </row>
    <row r="625" spans="33:33" x14ac:dyDescent="0.2">
      <c r="AG625" s="489"/>
    </row>
    <row r="626" spans="33:33" x14ac:dyDescent="0.2">
      <c r="AG626" s="489"/>
    </row>
    <row r="627" spans="33:33" x14ac:dyDescent="0.2">
      <c r="AG627" s="489"/>
    </row>
    <row r="628" spans="33:33" x14ac:dyDescent="0.2">
      <c r="AG628" s="489"/>
    </row>
    <row r="629" spans="33:33" x14ac:dyDescent="0.2">
      <c r="AG629" s="489"/>
    </row>
    <row r="630" spans="33:33" x14ac:dyDescent="0.2">
      <c r="AG630" s="489"/>
    </row>
    <row r="631" spans="33:33" x14ac:dyDescent="0.2">
      <c r="AG631" s="489"/>
    </row>
    <row r="632" spans="33:33" x14ac:dyDescent="0.2">
      <c r="AG632" s="489"/>
    </row>
    <row r="633" spans="33:33" x14ac:dyDescent="0.2">
      <c r="AG633" s="489"/>
    </row>
    <row r="634" spans="33:33" x14ac:dyDescent="0.2">
      <c r="AG634" s="489"/>
    </row>
    <row r="635" spans="33:33" x14ac:dyDescent="0.2">
      <c r="AG635" s="489"/>
    </row>
    <row r="636" spans="33:33" x14ac:dyDescent="0.2">
      <c r="AG636" s="489"/>
    </row>
    <row r="637" spans="33:33" x14ac:dyDescent="0.2">
      <c r="AG637" s="489"/>
    </row>
    <row r="638" spans="33:33" x14ac:dyDescent="0.2">
      <c r="AG638" s="489"/>
    </row>
    <row r="639" spans="33:33" x14ac:dyDescent="0.2">
      <c r="AG639" s="489"/>
    </row>
    <row r="640" spans="33:33" x14ac:dyDescent="0.2">
      <c r="AG640" s="489"/>
    </row>
    <row r="641" spans="33:33" x14ac:dyDescent="0.2">
      <c r="AG641" s="489"/>
    </row>
    <row r="642" spans="33:33" x14ac:dyDescent="0.2">
      <c r="AG642" s="489"/>
    </row>
    <row r="643" spans="33:33" x14ac:dyDescent="0.2">
      <c r="AG643" s="489"/>
    </row>
    <row r="644" spans="33:33" x14ac:dyDescent="0.2">
      <c r="AG644" s="489"/>
    </row>
    <row r="645" spans="33:33" x14ac:dyDescent="0.2">
      <c r="AG645" s="489"/>
    </row>
    <row r="646" spans="33:33" x14ac:dyDescent="0.2">
      <c r="AG646" s="489"/>
    </row>
    <row r="647" spans="33:33" x14ac:dyDescent="0.2">
      <c r="AG647" s="489"/>
    </row>
    <row r="648" spans="33:33" x14ac:dyDescent="0.2">
      <c r="AG648" s="489"/>
    </row>
    <row r="649" spans="33:33" x14ac:dyDescent="0.2">
      <c r="AG649" s="489"/>
    </row>
    <row r="650" spans="33:33" x14ac:dyDescent="0.2">
      <c r="AG650" s="489"/>
    </row>
    <row r="651" spans="33:33" x14ac:dyDescent="0.2">
      <c r="AG651" s="489"/>
    </row>
    <row r="652" spans="33:33" x14ac:dyDescent="0.2">
      <c r="AG652" s="489"/>
    </row>
    <row r="653" spans="33:33" x14ac:dyDescent="0.2">
      <c r="AG653" s="489"/>
    </row>
    <row r="654" spans="33:33" x14ac:dyDescent="0.2">
      <c r="AG654" s="489"/>
    </row>
    <row r="655" spans="33:33" x14ac:dyDescent="0.2">
      <c r="AG655" s="489"/>
    </row>
    <row r="656" spans="33:33" x14ac:dyDescent="0.2">
      <c r="AG656" s="489"/>
    </row>
    <row r="657" spans="33:33" x14ac:dyDescent="0.2">
      <c r="AG657" s="489"/>
    </row>
    <row r="658" spans="33:33" x14ac:dyDescent="0.2">
      <c r="AG658" s="489"/>
    </row>
    <row r="659" spans="33:33" x14ac:dyDescent="0.2">
      <c r="AG659" s="489"/>
    </row>
    <row r="660" spans="33:33" x14ac:dyDescent="0.2">
      <c r="AG660" s="489"/>
    </row>
    <row r="661" spans="33:33" x14ac:dyDescent="0.2">
      <c r="AG661" s="489"/>
    </row>
    <row r="662" spans="33:33" x14ac:dyDescent="0.2">
      <c r="AG662" s="489"/>
    </row>
    <row r="663" spans="33:33" x14ac:dyDescent="0.2">
      <c r="AG663" s="489"/>
    </row>
    <row r="664" spans="33:33" x14ac:dyDescent="0.2">
      <c r="AG664" s="489"/>
    </row>
    <row r="665" spans="33:33" x14ac:dyDescent="0.2">
      <c r="AG665" s="489"/>
    </row>
    <row r="666" spans="33:33" x14ac:dyDescent="0.2">
      <c r="AG666" s="489"/>
    </row>
    <row r="667" spans="33:33" x14ac:dyDescent="0.2">
      <c r="AG667" s="489"/>
    </row>
    <row r="668" spans="33:33" x14ac:dyDescent="0.2">
      <c r="AG668" s="489"/>
    </row>
    <row r="669" spans="33:33" x14ac:dyDescent="0.2">
      <c r="AG669" s="489"/>
    </row>
    <row r="670" spans="33:33" x14ac:dyDescent="0.2">
      <c r="AG670" s="489"/>
    </row>
    <row r="671" spans="33:33" x14ac:dyDescent="0.2">
      <c r="AG671" s="489"/>
    </row>
    <row r="672" spans="33:33" x14ac:dyDescent="0.2">
      <c r="AG672" s="489"/>
    </row>
    <row r="673" spans="33:33" x14ac:dyDescent="0.2">
      <c r="AG673" s="489"/>
    </row>
    <row r="674" spans="33:33" x14ac:dyDescent="0.2">
      <c r="AG674" s="489"/>
    </row>
    <row r="675" spans="33:33" x14ac:dyDescent="0.2">
      <c r="AG675" s="489"/>
    </row>
    <row r="676" spans="33:33" x14ac:dyDescent="0.2">
      <c r="AG676" s="489"/>
    </row>
    <row r="677" spans="33:33" x14ac:dyDescent="0.2">
      <c r="AG677" s="489"/>
    </row>
    <row r="678" spans="33:33" x14ac:dyDescent="0.2">
      <c r="AG678" s="489"/>
    </row>
    <row r="679" spans="33:33" x14ac:dyDescent="0.2">
      <c r="AG679" s="489"/>
    </row>
    <row r="680" spans="33:33" x14ac:dyDescent="0.2">
      <c r="AG680" s="489"/>
    </row>
    <row r="681" spans="33:33" x14ac:dyDescent="0.2">
      <c r="AG681" s="489"/>
    </row>
    <row r="682" spans="33:33" x14ac:dyDescent="0.2">
      <c r="AG682" s="489"/>
    </row>
    <row r="683" spans="33:33" x14ac:dyDescent="0.2">
      <c r="AG683" s="489"/>
    </row>
    <row r="684" spans="33:33" x14ac:dyDescent="0.2">
      <c r="AG684" s="489"/>
    </row>
    <row r="685" spans="33:33" x14ac:dyDescent="0.2">
      <c r="AG685" s="489"/>
    </row>
    <row r="686" spans="33:33" x14ac:dyDescent="0.2">
      <c r="AG686" s="489"/>
    </row>
    <row r="687" spans="33:33" x14ac:dyDescent="0.2">
      <c r="AG687" s="489"/>
    </row>
    <row r="688" spans="33:33" x14ac:dyDescent="0.2">
      <c r="AG688" s="489"/>
    </row>
    <row r="689" spans="33:33" x14ac:dyDescent="0.2">
      <c r="AG689" s="489"/>
    </row>
    <row r="690" spans="33:33" x14ac:dyDescent="0.2">
      <c r="AG690" s="489"/>
    </row>
    <row r="691" spans="33:33" x14ac:dyDescent="0.2">
      <c r="AG691" s="489"/>
    </row>
    <row r="692" spans="33:33" x14ac:dyDescent="0.2">
      <c r="AG692" s="489"/>
    </row>
    <row r="693" spans="33:33" x14ac:dyDescent="0.2">
      <c r="AG693" s="489"/>
    </row>
    <row r="694" spans="33:33" x14ac:dyDescent="0.2">
      <c r="AG694" s="489"/>
    </row>
    <row r="695" spans="33:33" x14ac:dyDescent="0.2">
      <c r="AG695" s="489"/>
    </row>
    <row r="696" spans="33:33" x14ac:dyDescent="0.2">
      <c r="AG696" s="489"/>
    </row>
    <row r="697" spans="33:33" x14ac:dyDescent="0.2">
      <c r="AG697" s="489"/>
    </row>
    <row r="698" spans="33:33" x14ac:dyDescent="0.2">
      <c r="AG698" s="489"/>
    </row>
    <row r="699" spans="33:33" x14ac:dyDescent="0.2">
      <c r="AG699" s="489"/>
    </row>
    <row r="700" spans="33:33" x14ac:dyDescent="0.2">
      <c r="AG700" s="489"/>
    </row>
    <row r="701" spans="33:33" x14ac:dyDescent="0.2">
      <c r="AG701" s="489"/>
    </row>
    <row r="702" spans="33:33" x14ac:dyDescent="0.2">
      <c r="AG702" s="489"/>
    </row>
    <row r="703" spans="33:33" x14ac:dyDescent="0.2">
      <c r="AG703" s="489"/>
    </row>
    <row r="704" spans="33:33" x14ac:dyDescent="0.2">
      <c r="AG704" s="489"/>
    </row>
    <row r="705" spans="33:33" x14ac:dyDescent="0.2">
      <c r="AG705" s="489"/>
    </row>
    <row r="706" spans="33:33" x14ac:dyDescent="0.2">
      <c r="AG706" s="489"/>
    </row>
    <row r="707" spans="33:33" x14ac:dyDescent="0.2">
      <c r="AG707" s="489"/>
    </row>
    <row r="708" spans="33:33" x14ac:dyDescent="0.2">
      <c r="AG708" s="489"/>
    </row>
    <row r="709" spans="33:33" x14ac:dyDescent="0.2">
      <c r="AG709" s="489"/>
    </row>
    <row r="710" spans="33:33" x14ac:dyDescent="0.2">
      <c r="AG710" s="489"/>
    </row>
    <row r="711" spans="33:33" x14ac:dyDescent="0.2">
      <c r="AG711" s="489"/>
    </row>
    <row r="712" spans="33:33" x14ac:dyDescent="0.2">
      <c r="AG712" s="489"/>
    </row>
    <row r="713" spans="33:33" x14ac:dyDescent="0.2">
      <c r="AG713" s="489"/>
    </row>
    <row r="714" spans="33:33" x14ac:dyDescent="0.2">
      <c r="AG714" s="489"/>
    </row>
    <row r="715" spans="33:33" x14ac:dyDescent="0.2">
      <c r="AG715" s="489"/>
    </row>
    <row r="716" spans="33:33" x14ac:dyDescent="0.2">
      <c r="AG716" s="489"/>
    </row>
    <row r="717" spans="33:33" x14ac:dyDescent="0.2">
      <c r="AG717" s="489"/>
    </row>
    <row r="718" spans="33:33" x14ac:dyDescent="0.2">
      <c r="AG718" s="489"/>
    </row>
    <row r="719" spans="33:33" x14ac:dyDescent="0.2">
      <c r="AG719" s="489"/>
    </row>
    <row r="720" spans="33:33" x14ac:dyDescent="0.2">
      <c r="AG720" s="489"/>
    </row>
    <row r="721" spans="33:33" x14ac:dyDescent="0.2">
      <c r="AG721" s="489"/>
    </row>
    <row r="722" spans="33:33" x14ac:dyDescent="0.2">
      <c r="AG722" s="489"/>
    </row>
    <row r="723" spans="33:33" x14ac:dyDescent="0.2">
      <c r="AG723" s="489"/>
    </row>
    <row r="724" spans="33:33" x14ac:dyDescent="0.2">
      <c r="AG724" s="489"/>
    </row>
    <row r="725" spans="33:33" x14ac:dyDescent="0.2">
      <c r="AG725" s="489"/>
    </row>
    <row r="726" spans="33:33" x14ac:dyDescent="0.2">
      <c r="AG726" s="489"/>
    </row>
    <row r="727" spans="33:33" x14ac:dyDescent="0.2">
      <c r="AG727" s="489"/>
    </row>
    <row r="728" spans="33:33" x14ac:dyDescent="0.2">
      <c r="AG728" s="489"/>
    </row>
    <row r="729" spans="33:33" x14ac:dyDescent="0.2">
      <c r="AG729" s="489"/>
    </row>
    <row r="730" spans="33:33" x14ac:dyDescent="0.2">
      <c r="AG730" s="489"/>
    </row>
    <row r="731" spans="33:33" x14ac:dyDescent="0.2">
      <c r="AG731" s="489"/>
    </row>
    <row r="732" spans="33:33" x14ac:dyDescent="0.2">
      <c r="AG732" s="489"/>
    </row>
    <row r="733" spans="33:33" x14ac:dyDescent="0.2">
      <c r="AG733" s="489"/>
    </row>
    <row r="734" spans="33:33" x14ac:dyDescent="0.2">
      <c r="AG734" s="489"/>
    </row>
    <row r="735" spans="33:33" x14ac:dyDescent="0.2">
      <c r="AG735" s="489"/>
    </row>
    <row r="736" spans="33:33" x14ac:dyDescent="0.2">
      <c r="AG736" s="489"/>
    </row>
    <row r="737" spans="33:33" x14ac:dyDescent="0.2">
      <c r="AG737" s="489"/>
    </row>
    <row r="738" spans="33:33" x14ac:dyDescent="0.2">
      <c r="AG738" s="489"/>
    </row>
    <row r="739" spans="33:33" x14ac:dyDescent="0.2">
      <c r="AG739" s="489"/>
    </row>
    <row r="740" spans="33:33" x14ac:dyDescent="0.2">
      <c r="AG740" s="489"/>
    </row>
    <row r="741" spans="33:33" x14ac:dyDescent="0.2">
      <c r="AG741" s="489"/>
    </row>
    <row r="742" spans="33:33" x14ac:dyDescent="0.2">
      <c r="AG742" s="489"/>
    </row>
    <row r="743" spans="33:33" x14ac:dyDescent="0.2">
      <c r="AG743" s="489"/>
    </row>
    <row r="744" spans="33:33" x14ac:dyDescent="0.2">
      <c r="AG744" s="489"/>
    </row>
    <row r="745" spans="33:33" x14ac:dyDescent="0.2">
      <c r="AG745" s="489"/>
    </row>
    <row r="746" spans="33:33" x14ac:dyDescent="0.2">
      <c r="AG746" s="489"/>
    </row>
    <row r="747" spans="33:33" x14ac:dyDescent="0.2">
      <c r="AG747" s="489"/>
    </row>
    <row r="748" spans="33:33" x14ac:dyDescent="0.2">
      <c r="AG748" s="489"/>
    </row>
    <row r="749" spans="33:33" x14ac:dyDescent="0.2">
      <c r="AG749" s="489"/>
    </row>
    <row r="750" spans="33:33" x14ac:dyDescent="0.2">
      <c r="AG750" s="489"/>
    </row>
    <row r="751" spans="33:33" x14ac:dyDescent="0.2">
      <c r="AG751" s="489"/>
    </row>
    <row r="752" spans="33:33" x14ac:dyDescent="0.2">
      <c r="AG752" s="489"/>
    </row>
    <row r="753" spans="33:33" x14ac:dyDescent="0.2">
      <c r="AG753" s="489"/>
    </row>
    <row r="754" spans="33:33" x14ac:dyDescent="0.2">
      <c r="AG754" s="489"/>
    </row>
    <row r="755" spans="33:33" x14ac:dyDescent="0.2">
      <c r="AG755" s="489"/>
    </row>
    <row r="756" spans="33:33" x14ac:dyDescent="0.2">
      <c r="AG756" s="489"/>
    </row>
    <row r="757" spans="33:33" x14ac:dyDescent="0.2">
      <c r="AG757" s="489"/>
    </row>
    <row r="758" spans="33:33" x14ac:dyDescent="0.2">
      <c r="AG758" s="489"/>
    </row>
    <row r="759" spans="33:33" x14ac:dyDescent="0.2">
      <c r="AG759" s="489"/>
    </row>
    <row r="760" spans="33:33" x14ac:dyDescent="0.2">
      <c r="AG760" s="489"/>
    </row>
    <row r="761" spans="33:33" x14ac:dyDescent="0.2">
      <c r="AG761" s="489"/>
    </row>
    <row r="762" spans="33:33" x14ac:dyDescent="0.2">
      <c r="AG762" s="489"/>
    </row>
    <row r="763" spans="33:33" x14ac:dyDescent="0.2">
      <c r="AG763" s="489"/>
    </row>
    <row r="764" spans="33:33" x14ac:dyDescent="0.2">
      <c r="AG764" s="489"/>
    </row>
    <row r="765" spans="33:33" x14ac:dyDescent="0.2">
      <c r="AG765" s="489"/>
    </row>
    <row r="766" spans="33:33" x14ac:dyDescent="0.2">
      <c r="AG766" s="489"/>
    </row>
    <row r="767" spans="33:33" x14ac:dyDescent="0.2">
      <c r="AG767" s="489"/>
    </row>
    <row r="768" spans="33:33" x14ac:dyDescent="0.2">
      <c r="AG768" s="489"/>
    </row>
    <row r="769" spans="33:33" x14ac:dyDescent="0.2">
      <c r="AG769" s="489"/>
    </row>
    <row r="770" spans="33:33" x14ac:dyDescent="0.2">
      <c r="AG770" s="489"/>
    </row>
    <row r="771" spans="33:33" x14ac:dyDescent="0.2">
      <c r="AG771" s="489"/>
    </row>
    <row r="772" spans="33:33" x14ac:dyDescent="0.2">
      <c r="AG772" s="489"/>
    </row>
    <row r="773" spans="33:33" x14ac:dyDescent="0.2">
      <c r="AG773" s="489"/>
    </row>
    <row r="774" spans="33:33" x14ac:dyDescent="0.2">
      <c r="AG774" s="489"/>
    </row>
    <row r="775" spans="33:33" x14ac:dyDescent="0.2">
      <c r="AG775" s="489"/>
    </row>
    <row r="776" spans="33:33" x14ac:dyDescent="0.2">
      <c r="AG776" s="489"/>
    </row>
    <row r="777" spans="33:33" x14ac:dyDescent="0.2">
      <c r="AG777" s="489"/>
    </row>
    <row r="778" spans="33:33" x14ac:dyDescent="0.2">
      <c r="AG778" s="489"/>
    </row>
    <row r="779" spans="33:33" x14ac:dyDescent="0.2">
      <c r="AG779" s="489"/>
    </row>
    <row r="780" spans="33:33" x14ac:dyDescent="0.2">
      <c r="AG780" s="489"/>
    </row>
    <row r="781" spans="33:33" x14ac:dyDescent="0.2">
      <c r="AG781" s="489"/>
    </row>
    <row r="782" spans="33:33" x14ac:dyDescent="0.2">
      <c r="AG782" s="489"/>
    </row>
    <row r="783" spans="33:33" x14ac:dyDescent="0.2">
      <c r="AG783" s="489"/>
    </row>
    <row r="784" spans="33:33" x14ac:dyDescent="0.2">
      <c r="AG784" s="489"/>
    </row>
    <row r="785" spans="33:33" x14ac:dyDescent="0.2">
      <c r="AG785" s="489"/>
    </row>
    <row r="786" spans="33:33" x14ac:dyDescent="0.2">
      <c r="AG786" s="489"/>
    </row>
    <row r="787" spans="33:33" x14ac:dyDescent="0.2">
      <c r="AG787" s="489"/>
    </row>
    <row r="788" spans="33:33" x14ac:dyDescent="0.2">
      <c r="AG788" s="489"/>
    </row>
    <row r="789" spans="33:33" x14ac:dyDescent="0.2">
      <c r="AG789" s="489"/>
    </row>
    <row r="790" spans="33:33" x14ac:dyDescent="0.2">
      <c r="AG790" s="489"/>
    </row>
    <row r="791" spans="33:33" x14ac:dyDescent="0.2">
      <c r="AG791" s="489"/>
    </row>
    <row r="792" spans="33:33" x14ac:dyDescent="0.2">
      <c r="AG792" s="489"/>
    </row>
    <row r="793" spans="33:33" x14ac:dyDescent="0.2">
      <c r="AG793" s="489"/>
    </row>
    <row r="794" spans="33:33" x14ac:dyDescent="0.2">
      <c r="AG794" s="489"/>
    </row>
    <row r="795" spans="33:33" x14ac:dyDescent="0.2">
      <c r="AG795" s="489"/>
    </row>
    <row r="796" spans="33:33" x14ac:dyDescent="0.2">
      <c r="AG796" s="489"/>
    </row>
    <row r="797" spans="33:33" x14ac:dyDescent="0.2">
      <c r="AG797" s="489"/>
    </row>
    <row r="798" spans="33:33" x14ac:dyDescent="0.2">
      <c r="AG798" s="489"/>
    </row>
    <row r="799" spans="33:33" x14ac:dyDescent="0.2">
      <c r="AG799" s="489"/>
    </row>
    <row r="800" spans="33:33" x14ac:dyDescent="0.2">
      <c r="AG800" s="489"/>
    </row>
    <row r="801" spans="33:33" x14ac:dyDescent="0.2">
      <c r="AG801" s="489"/>
    </row>
    <row r="802" spans="33:33" x14ac:dyDescent="0.2">
      <c r="AG802" s="489"/>
    </row>
    <row r="803" spans="33:33" x14ac:dyDescent="0.2">
      <c r="AG803" s="489"/>
    </row>
    <row r="804" spans="33:33" x14ac:dyDescent="0.2">
      <c r="AG804" s="489"/>
    </row>
    <row r="805" spans="33:33" x14ac:dyDescent="0.2">
      <c r="AG805" s="489"/>
    </row>
    <row r="806" spans="33:33" x14ac:dyDescent="0.2">
      <c r="AG806" s="489"/>
    </row>
    <row r="807" spans="33:33" x14ac:dyDescent="0.2">
      <c r="AG807" s="489"/>
    </row>
    <row r="808" spans="33:33" x14ac:dyDescent="0.2">
      <c r="AG808" s="489"/>
    </row>
    <row r="809" spans="33:33" x14ac:dyDescent="0.2">
      <c r="AG809" s="489"/>
    </row>
    <row r="810" spans="33:33" x14ac:dyDescent="0.2">
      <c r="AG810" s="489"/>
    </row>
    <row r="811" spans="33:33" x14ac:dyDescent="0.2">
      <c r="AG811" s="489"/>
    </row>
    <row r="812" spans="33:33" x14ac:dyDescent="0.2">
      <c r="AG812" s="489"/>
    </row>
    <row r="813" spans="33:33" x14ac:dyDescent="0.2">
      <c r="AG813" s="489"/>
    </row>
    <row r="814" spans="33:33" x14ac:dyDescent="0.2">
      <c r="AG814" s="489"/>
    </row>
    <row r="815" spans="33:33" x14ac:dyDescent="0.2">
      <c r="AG815" s="489"/>
    </row>
    <row r="816" spans="33:33" x14ac:dyDescent="0.2">
      <c r="AG816" s="489"/>
    </row>
    <row r="817" spans="33:33" x14ac:dyDescent="0.2">
      <c r="AG817" s="489"/>
    </row>
    <row r="818" spans="33:33" x14ac:dyDescent="0.2">
      <c r="AG818" s="489"/>
    </row>
    <row r="819" spans="33:33" x14ac:dyDescent="0.2">
      <c r="AG819" s="489"/>
    </row>
    <row r="820" spans="33:33" x14ac:dyDescent="0.2">
      <c r="AG820" s="489"/>
    </row>
    <row r="821" spans="33:33" x14ac:dyDescent="0.2">
      <c r="AG821" s="489"/>
    </row>
    <row r="822" spans="33:33" x14ac:dyDescent="0.2">
      <c r="AG822" s="489"/>
    </row>
    <row r="823" spans="33:33" x14ac:dyDescent="0.2">
      <c r="AG823" s="489"/>
    </row>
    <row r="824" spans="33:33" x14ac:dyDescent="0.2">
      <c r="AG824" s="489"/>
    </row>
    <row r="825" spans="33:33" x14ac:dyDescent="0.2">
      <c r="AG825" s="489"/>
    </row>
    <row r="826" spans="33:33" x14ac:dyDescent="0.2">
      <c r="AG826" s="489"/>
    </row>
    <row r="827" spans="33:33" x14ac:dyDescent="0.2">
      <c r="AG827" s="489"/>
    </row>
    <row r="828" spans="33:33" x14ac:dyDescent="0.2">
      <c r="AG828" s="489"/>
    </row>
    <row r="829" spans="33:33" x14ac:dyDescent="0.2">
      <c r="AG829" s="489"/>
    </row>
    <row r="830" spans="33:33" x14ac:dyDescent="0.2">
      <c r="AG830" s="489"/>
    </row>
    <row r="831" spans="33:33" x14ac:dyDescent="0.2">
      <c r="AG831" s="489"/>
    </row>
    <row r="832" spans="33:33" x14ac:dyDescent="0.2">
      <c r="AG832" s="489"/>
    </row>
    <row r="833" spans="33:33" x14ac:dyDescent="0.2">
      <c r="AG833" s="489"/>
    </row>
    <row r="834" spans="33:33" x14ac:dyDescent="0.2">
      <c r="AG834" s="489"/>
    </row>
    <row r="835" spans="33:33" x14ac:dyDescent="0.2">
      <c r="AG835" s="489"/>
    </row>
    <row r="836" spans="33:33" x14ac:dyDescent="0.2">
      <c r="AG836" s="489"/>
    </row>
    <row r="837" spans="33:33" x14ac:dyDescent="0.2">
      <c r="AG837" s="489"/>
    </row>
    <row r="838" spans="33:33" x14ac:dyDescent="0.2">
      <c r="AG838" s="489"/>
    </row>
    <row r="839" spans="33:33" x14ac:dyDescent="0.2">
      <c r="AG839" s="489"/>
    </row>
    <row r="840" spans="33:33" x14ac:dyDescent="0.2">
      <c r="AG840" s="489"/>
    </row>
    <row r="841" spans="33:33" x14ac:dyDescent="0.2">
      <c r="AG841" s="489"/>
    </row>
    <row r="842" spans="33:33" x14ac:dyDescent="0.2">
      <c r="AG842" s="489"/>
    </row>
    <row r="843" spans="33:33" x14ac:dyDescent="0.2">
      <c r="AG843" s="489"/>
    </row>
    <row r="844" spans="33:33" x14ac:dyDescent="0.2">
      <c r="AG844" s="489"/>
    </row>
    <row r="845" spans="33:33" x14ac:dyDescent="0.2">
      <c r="AG845" s="489"/>
    </row>
    <row r="846" spans="33:33" x14ac:dyDescent="0.2">
      <c r="AG846" s="489"/>
    </row>
    <row r="847" spans="33:33" x14ac:dyDescent="0.2">
      <c r="AG847" s="489"/>
    </row>
    <row r="848" spans="33:33" x14ac:dyDescent="0.2">
      <c r="AG848" s="489"/>
    </row>
    <row r="849" spans="33:33" x14ac:dyDescent="0.2">
      <c r="AG849" s="489"/>
    </row>
    <row r="850" spans="33:33" x14ac:dyDescent="0.2">
      <c r="AG850" s="489"/>
    </row>
    <row r="851" spans="33:33" x14ac:dyDescent="0.2">
      <c r="AG851" s="489"/>
    </row>
    <row r="852" spans="33:33" x14ac:dyDescent="0.2">
      <c r="AG852" s="489"/>
    </row>
    <row r="853" spans="33:33" x14ac:dyDescent="0.2">
      <c r="AG853" s="489"/>
    </row>
    <row r="854" spans="33:33" x14ac:dyDescent="0.2">
      <c r="AG854" s="489"/>
    </row>
    <row r="855" spans="33:33" x14ac:dyDescent="0.2">
      <c r="AG855" s="489"/>
    </row>
    <row r="856" spans="33:33" x14ac:dyDescent="0.2">
      <c r="AG856" s="489"/>
    </row>
    <row r="857" spans="33:33" x14ac:dyDescent="0.2">
      <c r="AG857" s="489"/>
    </row>
    <row r="858" spans="33:33" x14ac:dyDescent="0.2">
      <c r="AG858" s="489"/>
    </row>
    <row r="859" spans="33:33" x14ac:dyDescent="0.2">
      <c r="AG859" s="489"/>
    </row>
    <row r="860" spans="33:33" x14ac:dyDescent="0.2">
      <c r="AG860" s="489"/>
    </row>
    <row r="861" spans="33:33" x14ac:dyDescent="0.2">
      <c r="AG861" s="489"/>
    </row>
    <row r="862" spans="33:33" x14ac:dyDescent="0.2">
      <c r="AG862" s="489"/>
    </row>
    <row r="863" spans="33:33" x14ac:dyDescent="0.2">
      <c r="AG863" s="489"/>
    </row>
    <row r="864" spans="33:33" x14ac:dyDescent="0.2">
      <c r="AG864" s="489"/>
    </row>
    <row r="865" spans="33:33" x14ac:dyDescent="0.2">
      <c r="AG865" s="489"/>
    </row>
    <row r="866" spans="33:33" x14ac:dyDescent="0.2">
      <c r="AG866" s="489"/>
    </row>
    <row r="867" spans="33:33" x14ac:dyDescent="0.2">
      <c r="AG867" s="489"/>
    </row>
    <row r="868" spans="33:33" x14ac:dyDescent="0.2">
      <c r="AG868" s="489"/>
    </row>
    <row r="869" spans="33:33" x14ac:dyDescent="0.2">
      <c r="AG869" s="489"/>
    </row>
    <row r="870" spans="33:33" x14ac:dyDescent="0.2">
      <c r="AG870" s="489"/>
    </row>
    <row r="871" spans="33:33" x14ac:dyDescent="0.2">
      <c r="AG871" s="489"/>
    </row>
    <row r="872" spans="33:33" x14ac:dyDescent="0.2">
      <c r="AG872" s="489"/>
    </row>
    <row r="873" spans="33:33" x14ac:dyDescent="0.2">
      <c r="AG873" s="489"/>
    </row>
    <row r="874" spans="33:33" x14ac:dyDescent="0.2">
      <c r="AG874" s="489"/>
    </row>
    <row r="875" spans="33:33" x14ac:dyDescent="0.2">
      <c r="AG875" s="489"/>
    </row>
    <row r="876" spans="33:33" x14ac:dyDescent="0.2">
      <c r="AG876" s="489"/>
    </row>
    <row r="877" spans="33:33" x14ac:dyDescent="0.2">
      <c r="AG877" s="489"/>
    </row>
    <row r="878" spans="33:33" x14ac:dyDescent="0.2">
      <c r="AG878" s="489"/>
    </row>
    <row r="879" spans="33:33" x14ac:dyDescent="0.2">
      <c r="AG879" s="489"/>
    </row>
    <row r="880" spans="33:33" x14ac:dyDescent="0.2">
      <c r="AG880" s="489"/>
    </row>
    <row r="881" spans="33:33" x14ac:dyDescent="0.2">
      <c r="AG881" s="489"/>
    </row>
    <row r="882" spans="33:33" x14ac:dyDescent="0.2">
      <c r="AG882" s="489"/>
    </row>
    <row r="883" spans="33:33" x14ac:dyDescent="0.2">
      <c r="AG883" s="489"/>
    </row>
    <row r="884" spans="33:33" x14ac:dyDescent="0.2">
      <c r="AG884" s="489"/>
    </row>
    <row r="885" spans="33:33" x14ac:dyDescent="0.2">
      <c r="AG885" s="489"/>
    </row>
    <row r="886" spans="33:33" x14ac:dyDescent="0.2">
      <c r="AG886" s="489"/>
    </row>
    <row r="887" spans="33:33" x14ac:dyDescent="0.2">
      <c r="AG887" s="489"/>
    </row>
    <row r="888" spans="33:33" x14ac:dyDescent="0.2">
      <c r="AG888" s="489"/>
    </row>
    <row r="889" spans="33:33" x14ac:dyDescent="0.2">
      <c r="AG889" s="489"/>
    </row>
    <row r="890" spans="33:33" x14ac:dyDescent="0.2">
      <c r="AG890" s="489"/>
    </row>
    <row r="891" spans="33:33" x14ac:dyDescent="0.2">
      <c r="AG891" s="489"/>
    </row>
    <row r="892" spans="33:33" x14ac:dyDescent="0.2">
      <c r="AG892" s="489"/>
    </row>
    <row r="893" spans="33:33" x14ac:dyDescent="0.2">
      <c r="AG893" s="489"/>
    </row>
    <row r="894" spans="33:33" x14ac:dyDescent="0.2">
      <c r="AG894" s="489"/>
    </row>
    <row r="895" spans="33:33" x14ac:dyDescent="0.2">
      <c r="AG895" s="489"/>
    </row>
    <row r="896" spans="33:33" x14ac:dyDescent="0.2">
      <c r="AG896" s="489"/>
    </row>
    <row r="897" spans="33:33" x14ac:dyDescent="0.2">
      <c r="AG897" s="489"/>
    </row>
    <row r="898" spans="33:33" x14ac:dyDescent="0.2">
      <c r="AG898" s="489"/>
    </row>
    <row r="899" spans="33:33" x14ac:dyDescent="0.2">
      <c r="AG899" s="489"/>
    </row>
    <row r="900" spans="33:33" x14ac:dyDescent="0.2">
      <c r="AG900" s="489"/>
    </row>
    <row r="901" spans="33:33" x14ac:dyDescent="0.2">
      <c r="AG901" s="489"/>
    </row>
    <row r="902" spans="33:33" x14ac:dyDescent="0.2">
      <c r="AG902" s="489"/>
    </row>
    <row r="903" spans="33:33" x14ac:dyDescent="0.2">
      <c r="AG903" s="489"/>
    </row>
    <row r="904" spans="33:33" x14ac:dyDescent="0.2">
      <c r="AG904" s="489"/>
    </row>
    <row r="905" spans="33:33" x14ac:dyDescent="0.2">
      <c r="AG905" s="489"/>
    </row>
    <row r="906" spans="33:33" x14ac:dyDescent="0.2">
      <c r="AG906" s="489"/>
    </row>
    <row r="907" spans="33:33" x14ac:dyDescent="0.2">
      <c r="AG907" s="489"/>
    </row>
    <row r="908" spans="33:33" x14ac:dyDescent="0.2">
      <c r="AG908" s="489"/>
    </row>
    <row r="909" spans="33:33" x14ac:dyDescent="0.2">
      <c r="AG909" s="489"/>
    </row>
    <row r="910" spans="33:33" x14ac:dyDescent="0.2">
      <c r="AG910" s="489"/>
    </row>
    <row r="911" spans="33:33" x14ac:dyDescent="0.2">
      <c r="AG911" s="489"/>
    </row>
    <row r="912" spans="33:33" x14ac:dyDescent="0.2">
      <c r="AG912" s="489"/>
    </row>
    <row r="913" spans="33:33" x14ac:dyDescent="0.2">
      <c r="AG913" s="489"/>
    </row>
    <row r="914" spans="33:33" x14ac:dyDescent="0.2">
      <c r="AG914" s="489"/>
    </row>
    <row r="915" spans="33:33" x14ac:dyDescent="0.2">
      <c r="AG915" s="489"/>
    </row>
    <row r="916" spans="33:33" x14ac:dyDescent="0.2">
      <c r="AG916" s="489"/>
    </row>
    <row r="917" spans="33:33" x14ac:dyDescent="0.2">
      <c r="AG917" s="489"/>
    </row>
    <row r="918" spans="33:33" x14ac:dyDescent="0.2">
      <c r="AG918" s="489"/>
    </row>
    <row r="919" spans="33:33" x14ac:dyDescent="0.2">
      <c r="AG919" s="489"/>
    </row>
    <row r="920" spans="33:33" x14ac:dyDescent="0.2">
      <c r="AG920" s="489"/>
    </row>
    <row r="921" spans="33:33" x14ac:dyDescent="0.2">
      <c r="AG921" s="489"/>
    </row>
    <row r="922" spans="33:33" x14ac:dyDescent="0.2">
      <c r="AG922" s="489"/>
    </row>
    <row r="923" spans="33:33" x14ac:dyDescent="0.2">
      <c r="AG923" s="489"/>
    </row>
    <row r="924" spans="33:33" x14ac:dyDescent="0.2">
      <c r="AG924" s="489"/>
    </row>
    <row r="925" spans="33:33" x14ac:dyDescent="0.2">
      <c r="AG925" s="489"/>
    </row>
    <row r="926" spans="33:33" x14ac:dyDescent="0.2">
      <c r="AG926" s="489"/>
    </row>
    <row r="927" spans="33:33" x14ac:dyDescent="0.2">
      <c r="AG927" s="489"/>
    </row>
  </sheetData>
  <sheetProtection algorithmName="SHA-512" hashValue="QeeHWLV5CyWiyEne8gwr4Ctagq5n42ZwNoMA8zqZehm4SToi+koqswAjfOEme0nQcQMNee5EuQliBGl+joJa7w==" saltValue="lv9amgr19eOj4qzkRkiTzw=="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3" t="s">
        <v>116</v>
      </c>
    </row>
    <row r="2" spans="3:8" x14ac:dyDescent="0.2">
      <c r="E2" s="74" t="s">
        <v>117</v>
      </c>
    </row>
    <row r="3" spans="3:8" x14ac:dyDescent="0.2">
      <c r="E3" s="74" t="s">
        <v>118</v>
      </c>
    </row>
    <row r="6" spans="3:8" ht="26.25" x14ac:dyDescent="0.4">
      <c r="E6" s="80" t="s">
        <v>119</v>
      </c>
    </row>
    <row r="8" spans="3:8" ht="20.25" x14ac:dyDescent="0.3">
      <c r="C8" s="85"/>
      <c r="D8" s="77"/>
      <c r="E8" s="77"/>
    </row>
    <row r="9" spans="3:8" ht="15.75" x14ac:dyDescent="0.25">
      <c r="C9" s="78" t="s">
        <v>41</v>
      </c>
      <c r="D9" s="79" t="e">
        <f>Main!D5</f>
        <v>#N/A</v>
      </c>
    </row>
    <row r="10" spans="3:8" ht="15.75" x14ac:dyDescent="0.25">
      <c r="C10" s="78" t="s">
        <v>120</v>
      </c>
      <c r="D10" s="568">
        <f>Main!D3</f>
        <v>0</v>
      </c>
      <c r="E10" s="568"/>
      <c r="F10" s="568"/>
    </row>
    <row r="11" spans="3:8" ht="15.75" x14ac:dyDescent="0.25">
      <c r="C11" s="78" t="s">
        <v>233</v>
      </c>
      <c r="D11" s="81" t="e">
        <f>Main!D6</f>
        <v>#N/A</v>
      </c>
    </row>
    <row r="14" spans="3:8" ht="15.75" x14ac:dyDescent="0.25">
      <c r="C14" s="83" t="s">
        <v>121</v>
      </c>
      <c r="E14" s="81"/>
      <c r="F14" s="82" t="s">
        <v>122</v>
      </c>
      <c r="G14" s="81"/>
      <c r="H14" s="81"/>
    </row>
    <row r="15" spans="3:8" ht="15.75" customHeight="1" x14ac:dyDescent="0.2">
      <c r="C15" s="133"/>
      <c r="D15" s="76"/>
      <c r="E15" s="567" t="s">
        <v>377</v>
      </c>
      <c r="F15" s="567"/>
      <c r="G15" s="567"/>
      <c r="H15" s="567"/>
    </row>
    <row r="16" spans="3:8" ht="15" x14ac:dyDescent="0.2">
      <c r="C16" s="133"/>
      <c r="D16" s="75"/>
      <c r="E16" s="300" t="s">
        <v>124</v>
      </c>
      <c r="F16" s="300"/>
      <c r="G16" s="300"/>
      <c r="H16" s="300"/>
    </row>
    <row r="17" spans="3:8" ht="15" x14ac:dyDescent="0.2">
      <c r="C17" s="133"/>
      <c r="D17" s="75"/>
      <c r="E17" s="566" t="s">
        <v>125</v>
      </c>
      <c r="F17" s="566"/>
      <c r="G17" s="566"/>
      <c r="H17" s="566"/>
    </row>
    <row r="18" spans="3:8" ht="15" x14ac:dyDescent="0.2">
      <c r="C18" s="133"/>
      <c r="D18" s="75"/>
      <c r="E18" s="566" t="s">
        <v>6</v>
      </c>
      <c r="F18" s="566"/>
      <c r="G18" s="566"/>
      <c r="H18" s="566"/>
    </row>
    <row r="19" spans="3:8" ht="15" x14ac:dyDescent="0.2">
      <c r="C19" s="133"/>
      <c r="D19" s="75"/>
      <c r="E19" s="566" t="s">
        <v>130</v>
      </c>
      <c r="F19" s="566"/>
      <c r="G19" s="566"/>
      <c r="H19" s="566"/>
    </row>
    <row r="20" spans="3:8" ht="15" x14ac:dyDescent="0.2">
      <c r="C20" s="133"/>
      <c r="D20" s="75"/>
      <c r="E20" s="566" t="s">
        <v>127</v>
      </c>
      <c r="F20" s="566"/>
      <c r="G20" s="566"/>
      <c r="H20" s="566"/>
    </row>
    <row r="21" spans="3:8" ht="15" x14ac:dyDescent="0.2">
      <c r="C21" s="133"/>
      <c r="D21" s="75"/>
      <c r="E21" s="566" t="s">
        <v>128</v>
      </c>
      <c r="F21" s="566"/>
      <c r="G21" s="566"/>
      <c r="H21" s="566"/>
    </row>
    <row r="22" spans="3:8" ht="15" x14ac:dyDescent="0.2">
      <c r="C22" s="133"/>
      <c r="D22" s="75"/>
      <c r="E22" s="566" t="s">
        <v>106</v>
      </c>
      <c r="F22" s="566"/>
      <c r="G22" s="566"/>
      <c r="H22" s="566"/>
    </row>
    <row r="23" spans="3:8" ht="15" x14ac:dyDescent="0.2">
      <c r="C23" s="133"/>
      <c r="D23" s="75"/>
      <c r="E23" s="566" t="s">
        <v>129</v>
      </c>
      <c r="F23" s="566"/>
      <c r="G23" s="566"/>
      <c r="H23" s="566"/>
    </row>
    <row r="24" spans="3:8" ht="15" x14ac:dyDescent="0.2">
      <c r="C24" s="84"/>
      <c r="D24" s="75"/>
      <c r="E24" s="566" t="s">
        <v>149</v>
      </c>
      <c r="F24" s="566"/>
      <c r="G24" s="566"/>
      <c r="H24" s="566"/>
    </row>
    <row r="25" spans="3:8" ht="15" x14ac:dyDescent="0.2">
      <c r="C25" s="84"/>
      <c r="D25" s="75"/>
      <c r="E25" s="566"/>
      <c r="F25" s="566"/>
      <c r="G25" s="566"/>
      <c r="H25" s="566"/>
    </row>
    <row r="26" spans="3:8" ht="15" x14ac:dyDescent="0.2">
      <c r="C26" s="84"/>
      <c r="D26" s="75"/>
      <c r="E26" s="566"/>
      <c r="F26" s="566"/>
      <c r="G26" s="566"/>
      <c r="H26" s="566"/>
    </row>
    <row r="27" spans="3:8" ht="15" x14ac:dyDescent="0.2">
      <c r="C27" s="84"/>
      <c r="D27" s="75"/>
      <c r="E27" s="566"/>
      <c r="F27" s="566"/>
      <c r="G27" s="566"/>
      <c r="H27" s="566"/>
    </row>
    <row r="28" spans="3:8" ht="15" x14ac:dyDescent="0.2">
      <c r="C28" s="84"/>
      <c r="D28" s="75"/>
      <c r="E28" s="566"/>
      <c r="F28" s="566"/>
      <c r="G28" s="566"/>
      <c r="H28" s="566"/>
    </row>
    <row r="29" spans="3:8" ht="15" x14ac:dyDescent="0.2">
      <c r="C29" s="84"/>
      <c r="D29" s="75"/>
      <c r="E29" s="566"/>
      <c r="F29" s="566"/>
      <c r="G29" s="566"/>
      <c r="H29" s="566"/>
    </row>
    <row r="30" spans="3:8" ht="15" x14ac:dyDescent="0.2">
      <c r="C30" s="84"/>
      <c r="D30" s="75"/>
      <c r="E30" s="566"/>
      <c r="F30" s="566"/>
      <c r="G30" s="566"/>
      <c r="H30" s="566"/>
    </row>
    <row r="31" spans="3:8" ht="15" x14ac:dyDescent="0.2">
      <c r="C31" s="260" t="s">
        <v>378</v>
      </c>
      <c r="E31" s="566"/>
      <c r="F31" s="566"/>
      <c r="G31" s="566"/>
      <c r="H31" s="566"/>
    </row>
    <row r="32" spans="3:8" ht="15" x14ac:dyDescent="0.2">
      <c r="C32" s="84"/>
      <c r="D32" s="75"/>
      <c r="E32" s="566"/>
      <c r="F32" s="566"/>
      <c r="G32" s="566"/>
      <c r="H32" s="566"/>
    </row>
    <row r="33" spans="3:8" ht="15" x14ac:dyDescent="0.2">
      <c r="C33" s="84"/>
      <c r="D33" s="75"/>
      <c r="E33" s="566"/>
      <c r="F33" s="566"/>
      <c r="G33" s="566"/>
      <c r="H33" s="566"/>
    </row>
    <row r="34" spans="3:8" ht="15" x14ac:dyDescent="0.2">
      <c r="C34" s="84"/>
      <c r="D34" s="75"/>
      <c r="E34" s="566"/>
      <c r="F34" s="566"/>
      <c r="G34" s="566"/>
      <c r="H34" s="566"/>
    </row>
    <row r="35" spans="3:8" ht="15" x14ac:dyDescent="0.2">
      <c r="C35" s="84"/>
      <c r="D35" s="75"/>
      <c r="E35" s="566"/>
      <c r="F35" s="566"/>
      <c r="G35" s="566"/>
      <c r="H35" s="566"/>
    </row>
    <row r="36" spans="3:8" ht="15" x14ac:dyDescent="0.2">
      <c r="C36" s="75"/>
      <c r="D36" s="75"/>
      <c r="E36" s="566"/>
      <c r="F36" s="566"/>
      <c r="G36" s="566"/>
      <c r="H36" s="566"/>
    </row>
    <row r="37" spans="3:8" x14ac:dyDescent="0.2">
      <c r="C37" s="75"/>
      <c r="D37" s="75"/>
      <c r="E37" s="75"/>
    </row>
    <row r="38" spans="3:8" x14ac:dyDescent="0.2">
      <c r="C38" s="75"/>
      <c r="D38" s="75"/>
      <c r="E38" s="75"/>
    </row>
    <row r="39" spans="3:8" x14ac:dyDescent="0.2">
      <c r="C39" s="75"/>
      <c r="D39" s="75"/>
      <c r="E39" s="75"/>
    </row>
    <row r="40" spans="3:8" x14ac:dyDescent="0.2">
      <c r="C40" s="75"/>
      <c r="D40" s="75"/>
      <c r="E40" s="75"/>
    </row>
    <row r="41" spans="3:8" x14ac:dyDescent="0.2">
      <c r="C41" s="75"/>
      <c r="D41" s="75"/>
      <c r="E41" s="75"/>
    </row>
    <row r="42" spans="3:8" x14ac:dyDescent="0.2">
      <c r="D42" s="75"/>
      <c r="E42" s="75"/>
    </row>
    <row r="43" spans="3:8" x14ac:dyDescent="0.2">
      <c r="D43" s="75"/>
      <c r="E43" s="75"/>
    </row>
    <row r="44" spans="3:8" x14ac:dyDescent="0.2">
      <c r="D44" s="75"/>
      <c r="E44" s="75"/>
    </row>
    <row r="45" spans="3:8" x14ac:dyDescent="0.2">
      <c r="D45" s="75"/>
    </row>
    <row r="46" spans="3:8" x14ac:dyDescent="0.2">
      <c r="D46" s="75"/>
    </row>
  </sheetData>
  <sheetProtection algorithmName="SHA-512" hashValue="NM9FHHG209+EOCDxB1Mc4xTxSfdGi92Ju0Ds6kpn4BUMwLzYModcXiWcb8PfK73d72RgmHMgcYjqZIYzBa7hqg==" saltValue="mwdMGp/0fjYGv1XHvHA1tg=="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zoomScale="70" zoomScaleNormal="100" zoomScaleSheetLayoutView="70" workbookViewId="0">
      <selection activeCell="B9" sqref="B9"/>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1"/>
      <c r="D1" s="589" t="s">
        <v>116</v>
      </c>
      <c r="E1" s="589"/>
      <c r="F1" s="589"/>
      <c r="G1" s="589"/>
      <c r="H1" s="589"/>
      <c r="I1" s="589"/>
      <c r="J1" s="589"/>
      <c r="K1" s="589"/>
      <c r="L1" s="589"/>
      <c r="M1" s="589"/>
    </row>
    <row r="2" spans="1:18" ht="23.25" customHeight="1" x14ac:dyDescent="0.3">
      <c r="C2" s="242"/>
      <c r="D2" s="242" t="s">
        <v>325</v>
      </c>
      <c r="E2" s="242"/>
      <c r="F2" s="242"/>
      <c r="G2" s="242"/>
      <c r="H2" s="242"/>
      <c r="I2" s="242"/>
      <c r="J2" s="242"/>
      <c r="K2" s="242"/>
      <c r="L2" s="242"/>
      <c r="M2" s="242"/>
    </row>
    <row r="3" spans="1:18" ht="23.25" x14ac:dyDescent="0.35">
      <c r="C3" s="590"/>
      <c r="D3" s="590"/>
      <c r="E3" s="590"/>
      <c r="F3" s="590"/>
      <c r="G3" s="590"/>
      <c r="H3" s="590"/>
      <c r="I3" s="590"/>
      <c r="J3" s="590"/>
      <c r="K3" s="590"/>
      <c r="L3" s="590"/>
      <c r="M3" s="590"/>
    </row>
    <row r="4" spans="1:18" ht="23.25" x14ac:dyDescent="0.35">
      <c r="C4" s="226"/>
      <c r="D4" s="226"/>
      <c r="E4" s="226"/>
      <c r="F4" s="226"/>
      <c r="G4" s="226"/>
      <c r="H4" s="226"/>
      <c r="I4" s="226"/>
      <c r="J4" s="226"/>
      <c r="K4" s="226"/>
      <c r="L4" s="226"/>
      <c r="M4" s="226"/>
    </row>
    <row r="5" spans="1:18" ht="23.25" x14ac:dyDescent="0.35">
      <c r="C5" s="586" t="s">
        <v>6</v>
      </c>
      <c r="D5" s="586"/>
      <c r="E5" s="586"/>
      <c r="F5" s="586"/>
      <c r="G5" s="586"/>
      <c r="H5" s="586"/>
      <c r="I5" s="586"/>
      <c r="J5" s="586"/>
      <c r="K5" s="586"/>
      <c r="L5" s="586"/>
      <c r="M5" s="586"/>
    </row>
    <row r="6" spans="1:18" ht="23.25" x14ac:dyDescent="0.35">
      <c r="C6" s="227"/>
      <c r="D6" s="227"/>
      <c r="E6" s="605" t="str">
        <f>IFERROR(CONCATENATE("Report Number: ", WorkItemNumber),"")</f>
        <v/>
      </c>
      <c r="F6" s="605"/>
      <c r="G6" s="605"/>
      <c r="H6" s="605"/>
      <c r="I6" s="605"/>
      <c r="J6" s="605"/>
      <c r="K6" s="605"/>
      <c r="L6" s="227"/>
      <c r="M6" s="227"/>
    </row>
    <row r="7" spans="1:18" ht="18.75" customHeight="1" x14ac:dyDescent="0.3">
      <c r="G7" s="587"/>
      <c r="H7" s="587"/>
      <c r="I7" s="201"/>
      <c r="R7" t="str">
        <f>CONCATENATE("Page ",Main!L9," of ",Main!L10)</f>
        <v xml:space="preserve">Page  of </v>
      </c>
    </row>
    <row r="8" spans="1:18" ht="18" customHeight="1" x14ac:dyDescent="0.25">
      <c r="G8" s="599"/>
      <c r="H8" s="599"/>
      <c r="J8" s="81"/>
      <c r="K8" s="228" t="s">
        <v>322</v>
      </c>
      <c r="L8" s="609">
        <f>FormNumber</f>
        <v>0</v>
      </c>
      <c r="M8" s="609"/>
      <c r="N8" s="609"/>
      <c r="O8" s="609"/>
    </row>
    <row r="9" spans="1:18" ht="18" customHeight="1" x14ac:dyDescent="0.25">
      <c r="A9" s="228" t="s">
        <v>279</v>
      </c>
      <c r="B9" s="34" t="e">
        <f>Main!D5</f>
        <v>#N/A</v>
      </c>
      <c r="J9" s="81"/>
      <c r="K9" s="228" t="s">
        <v>323</v>
      </c>
      <c r="L9" s="601">
        <f>CalMethod</f>
        <v>0</v>
      </c>
      <c r="M9" s="601"/>
      <c r="N9" s="601"/>
      <c r="O9" s="601"/>
    </row>
    <row r="10" spans="1:18" ht="18" customHeight="1" x14ac:dyDescent="0.25">
      <c r="A10" s="90"/>
      <c r="B10" s="223" t="str" cm="1">
        <f t="array" ref="B10">IFZERO('Customer Table'!R2,"")</f>
        <v/>
      </c>
      <c r="J10" s="81"/>
      <c r="K10" s="228"/>
      <c r="L10" s="601"/>
      <c r="M10" s="601"/>
      <c r="N10" s="601"/>
      <c r="O10" s="601"/>
    </row>
    <row r="11" spans="1:18" ht="18" customHeight="1" x14ac:dyDescent="0.25">
      <c r="A11" s="90"/>
      <c r="B11" s="223" t="str" cm="1">
        <f t="array" ref="B11">IFZERO('Customer Table'!S2,"")</f>
        <v/>
      </c>
      <c r="J11" s="81"/>
      <c r="K11" s="228" t="s">
        <v>324</v>
      </c>
      <c r="L11" s="609">
        <f>TolSource</f>
        <v>0</v>
      </c>
      <c r="M11" s="609"/>
      <c r="N11" s="609"/>
      <c r="O11" s="609"/>
    </row>
    <row r="12" spans="1:18" ht="18" customHeight="1" x14ac:dyDescent="0.25">
      <c r="A12" s="90"/>
      <c r="B12" s="223"/>
      <c r="J12" s="81"/>
      <c r="K12" s="228"/>
      <c r="L12" s="229"/>
      <c r="M12" s="229"/>
      <c r="N12" s="229"/>
      <c r="O12" s="229"/>
    </row>
    <row r="13" spans="1:18" ht="8.1" customHeight="1" x14ac:dyDescent="0.2">
      <c r="A13" s="90"/>
      <c r="K13" s="216"/>
    </row>
    <row r="14" spans="1:18" ht="18" customHeight="1" x14ac:dyDescent="0.25">
      <c r="A14" s="233" t="s">
        <v>280</v>
      </c>
      <c r="B14" s="230">
        <f>Item</f>
        <v>0</v>
      </c>
      <c r="C14" s="231"/>
      <c r="D14" s="231"/>
      <c r="E14" s="231"/>
      <c r="F14" s="205"/>
      <c r="G14" s="219" t="s">
        <v>285</v>
      </c>
      <c r="H14" s="230">
        <f>Range</f>
        <v>0</v>
      </c>
      <c r="I14" s="205"/>
      <c r="J14" s="205"/>
      <c r="K14" s="205"/>
      <c r="L14" s="205"/>
      <c r="M14" s="219" t="s">
        <v>290</v>
      </c>
      <c r="N14" s="230" t="str">
        <f>Main!D7</f>
        <v>Jeff Hall</v>
      </c>
      <c r="O14" s="206"/>
    </row>
    <row r="15" spans="1:18" ht="18" customHeight="1" x14ac:dyDescent="0.25">
      <c r="A15" s="234" t="s">
        <v>281</v>
      </c>
      <c r="B15" s="232">
        <f>ModelNumber</f>
        <v>0</v>
      </c>
      <c r="C15" s="223"/>
      <c r="D15" s="223"/>
      <c r="E15" s="223"/>
      <c r="G15" s="228" t="s">
        <v>286</v>
      </c>
      <c r="H15" s="232">
        <f>Tolerance</f>
        <v>10</v>
      </c>
      <c r="M15" s="228" t="s">
        <v>291</v>
      </c>
      <c r="N15" s="236">
        <f>Main!D3</f>
        <v>0</v>
      </c>
      <c r="O15" s="207"/>
    </row>
    <row r="16" spans="1:18" ht="18" customHeight="1" x14ac:dyDescent="0.25">
      <c r="A16" s="234" t="s">
        <v>282</v>
      </c>
      <c r="B16" s="602">
        <f>SerialNumber</f>
        <v>0</v>
      </c>
      <c r="C16" s="602"/>
      <c r="D16" s="602"/>
      <c r="E16" s="602"/>
      <c r="G16" s="228" t="s">
        <v>287</v>
      </c>
      <c r="H16" s="232">
        <f>HeatingMethod</f>
        <v>0</v>
      </c>
      <c r="M16" s="228" t="s">
        <v>292</v>
      </c>
      <c r="N16" s="236" t="e">
        <f>IF(CalInterval="N/A", "N/A", EDATE(N15, CHOOSE(MATCH(CalInterval, {"M","2 Mo","Q","4 Mo","6 Mo","A","2Yr","3Yr"}, 0), 1, 2, 3, 4, 6, 12, 24, 36)))</f>
        <v>#N/A</v>
      </c>
      <c r="O16" s="207"/>
    </row>
    <row r="17" spans="1:19" ht="18" customHeight="1" x14ac:dyDescent="0.25">
      <c r="A17" s="234" t="s">
        <v>283</v>
      </c>
      <c r="B17" s="257">
        <f>UnitNumber</f>
        <v>0</v>
      </c>
      <c r="C17" s="223"/>
      <c r="D17" s="223"/>
      <c r="E17" s="223"/>
      <c r="G17" s="228" t="s">
        <v>288</v>
      </c>
      <c r="H17" s="232">
        <f>WorkingZoneSize</f>
        <v>0</v>
      </c>
      <c r="M17" s="228" t="str">
        <f>IF(Main!K13="","","PO:")</f>
        <v/>
      </c>
      <c r="N17" s="232" t="str">
        <f>IF(Main!K13="","",Main!K13)</f>
        <v/>
      </c>
      <c r="O17" s="207"/>
    </row>
    <row r="18" spans="1:19" ht="18" customHeight="1" x14ac:dyDescent="0.25">
      <c r="A18" s="234" t="s">
        <v>284</v>
      </c>
      <c r="B18" s="593">
        <f>Class</f>
        <v>0</v>
      </c>
      <c r="C18" s="593"/>
      <c r="D18" s="593"/>
      <c r="E18" s="593"/>
      <c r="G18" s="228" t="s">
        <v>289</v>
      </c>
      <c r="H18" s="232">
        <f>CubicFeet</f>
        <v>0</v>
      </c>
      <c r="M18" s="228" t="s">
        <v>293</v>
      </c>
      <c r="N18" s="232" t="str">
        <f>Main!G18</f>
        <v>ACCEPTED</v>
      </c>
      <c r="O18" s="207"/>
    </row>
    <row r="19" spans="1:19" ht="18" customHeight="1" x14ac:dyDescent="0.25">
      <c r="A19" s="218"/>
      <c r="B19" s="594"/>
      <c r="C19" s="594"/>
      <c r="D19" s="594"/>
      <c r="E19" s="594"/>
      <c r="F19" s="208"/>
      <c r="G19" s="220"/>
      <c r="H19" s="235"/>
      <c r="I19" s="208"/>
      <c r="J19" s="208"/>
      <c r="K19" s="208"/>
      <c r="L19" s="208"/>
      <c r="M19" s="220"/>
      <c r="N19" s="235"/>
      <c r="O19" s="209"/>
    </row>
    <row r="20" spans="1:19" ht="8.1" customHeight="1" x14ac:dyDescent="0.2">
      <c r="A20" s="39"/>
      <c r="B20" s="212"/>
      <c r="C20" s="212"/>
      <c r="D20" s="212"/>
      <c r="N20" s="215"/>
    </row>
    <row r="21" spans="1:19" ht="18" customHeight="1" x14ac:dyDescent="0.25">
      <c r="A21" s="233" t="s">
        <v>294</v>
      </c>
      <c r="B21" s="603">
        <f>Controller</f>
        <v>0</v>
      </c>
      <c r="C21" s="603"/>
      <c r="D21" s="603"/>
      <c r="E21" s="603"/>
      <c r="F21" s="219" t="s">
        <v>296</v>
      </c>
      <c r="G21" s="603">
        <f>ContSN</f>
        <v>0</v>
      </c>
      <c r="H21" s="603"/>
      <c r="I21" s="603"/>
      <c r="J21" s="219" t="s">
        <v>297</v>
      </c>
      <c r="K21" s="231">
        <f>ContTol</f>
        <v>0</v>
      </c>
      <c r="L21" s="205"/>
      <c r="M21" s="219" t="s">
        <v>298</v>
      </c>
      <c r="N21" s="244" t="str">
        <f>Main!G27</f>
        <v/>
      </c>
      <c r="O21" s="206"/>
    </row>
    <row r="22" spans="1:19" ht="18" customHeight="1" x14ac:dyDescent="0.25">
      <c r="A22" s="237" t="s">
        <v>295</v>
      </c>
      <c r="B22" s="604">
        <f>_xlnm.Recorder</f>
        <v>0</v>
      </c>
      <c r="C22" s="604"/>
      <c r="D22" s="604"/>
      <c r="E22" s="604"/>
      <c r="F22" s="220" t="s">
        <v>296</v>
      </c>
      <c r="G22" s="604">
        <f>RecSN</f>
        <v>0</v>
      </c>
      <c r="H22" s="604"/>
      <c r="I22" s="604"/>
      <c r="J22" s="220" t="s">
        <v>297</v>
      </c>
      <c r="K22" s="243">
        <f>RecTol</f>
        <v>0</v>
      </c>
      <c r="L22" s="208"/>
      <c r="M22" s="220" t="s">
        <v>298</v>
      </c>
      <c r="N22" s="245" t="str">
        <f>Main!G28</f>
        <v/>
      </c>
      <c r="O22" s="209"/>
    </row>
    <row r="23" spans="1:19" ht="8.1" customHeight="1" x14ac:dyDescent="0.25">
      <c r="A23" s="81"/>
      <c r="B23" s="223"/>
      <c r="C23" s="223"/>
      <c r="D23" s="223"/>
      <c r="E23" s="212"/>
    </row>
    <row r="24" spans="1:19" ht="18" customHeight="1" x14ac:dyDescent="0.25">
      <c r="A24" s="233" t="s">
        <v>299</v>
      </c>
      <c r="B24" s="239">
        <f>NominalTemp</f>
        <v>0</v>
      </c>
      <c r="C24" s="231"/>
      <c r="D24" s="231"/>
      <c r="E24" s="213"/>
      <c r="F24" s="205"/>
      <c r="G24" s="219" t="s">
        <v>302</v>
      </c>
      <c r="H24" s="221">
        <f>Main!D26</f>
        <v>0</v>
      </c>
      <c r="I24" s="205"/>
      <c r="J24" s="205"/>
      <c r="K24" s="205"/>
      <c r="L24" s="217"/>
      <c r="M24" s="219" t="s">
        <v>305</v>
      </c>
      <c r="N24" s="231" t="str">
        <f>TEXT(Survey!N2,"0.0") &amp; "°F / " &amp; TEXT(Survey!N3,"0.0") &amp; "°F"</f>
        <v>0.0°F / 0.0°F</v>
      </c>
      <c r="O24" s="206"/>
    </row>
    <row r="25" spans="1:19" ht="18" customHeight="1" x14ac:dyDescent="0.25">
      <c r="A25" s="234" t="s">
        <v>300</v>
      </c>
      <c r="B25" s="240">
        <f>Main!D15</f>
        <v>0</v>
      </c>
      <c r="C25" s="223"/>
      <c r="D25" s="223"/>
      <c r="E25" s="212"/>
      <c r="G25" s="228" t="s">
        <v>303</v>
      </c>
      <c r="H25" s="222" t="str">
        <f>Main!E29</f>
        <v/>
      </c>
      <c r="L25" s="81"/>
      <c r="M25" s="228" t="s">
        <v>306</v>
      </c>
      <c r="N25" s="223" t="str">
        <f>IF(Main!H15=TRUE,Main!G17,"VERIFY LOAD!!!")</f>
        <v/>
      </c>
      <c r="O25" s="207"/>
      <c r="R25" s="140"/>
      <c r="S25" s="75"/>
    </row>
    <row r="26" spans="1:19" ht="18" customHeight="1" x14ac:dyDescent="0.25">
      <c r="A26" s="234" t="s">
        <v>301</v>
      </c>
      <c r="B26" s="223" t="s">
        <v>271</v>
      </c>
      <c r="C26" s="223"/>
      <c r="D26" s="223"/>
      <c r="E26" s="212"/>
      <c r="G26" s="228" t="s">
        <v>304</v>
      </c>
      <c r="H26" s="223" t="str">
        <f>Main!I19</f>
        <v>N/A</v>
      </c>
      <c r="L26" s="81"/>
      <c r="M26" s="228" t="e">
        <f>"Uncertainty @ k="&amp;ROUND(k,1)&amp;":"</f>
        <v>#NUM!</v>
      </c>
      <c r="N26" s="223" t="e">
        <f>TEXT(Survey!J9,"0.0") &amp; "°F"</f>
        <v>#NUM!</v>
      </c>
      <c r="O26" s="207"/>
    </row>
    <row r="27" spans="1:19" ht="18" customHeight="1" x14ac:dyDescent="0.2">
      <c r="A27" s="238"/>
      <c r="B27" s="208"/>
      <c r="C27" s="600" t="s">
        <v>307</v>
      </c>
      <c r="D27" s="600"/>
      <c r="E27" s="600"/>
      <c r="F27" s="600"/>
      <c r="G27" s="600"/>
      <c r="H27" s="600"/>
      <c r="I27" s="600"/>
      <c r="J27" s="600"/>
      <c r="K27" s="600"/>
      <c r="L27" s="600"/>
      <c r="M27" s="600"/>
      <c r="N27" s="208"/>
      <c r="O27" s="209"/>
    </row>
    <row r="28" spans="1:19" ht="8.1" customHeight="1" x14ac:dyDescent="0.2"/>
    <row r="29" spans="1:19" ht="18" customHeight="1" x14ac:dyDescent="0.2">
      <c r="A29" s="596" t="s">
        <v>277</v>
      </c>
      <c r="B29" s="597"/>
      <c r="C29" s="598"/>
      <c r="D29" s="596" t="s">
        <v>308</v>
      </c>
      <c r="E29" s="597"/>
      <c r="F29" s="597"/>
      <c r="G29" s="598"/>
      <c r="H29" s="596" t="s">
        <v>278</v>
      </c>
      <c r="I29" s="597"/>
      <c r="J29" s="597"/>
      <c r="K29" s="598"/>
      <c r="L29" s="596" t="s">
        <v>259</v>
      </c>
      <c r="M29" s="597"/>
      <c r="N29" s="597"/>
      <c r="O29" s="598"/>
    </row>
    <row r="30" spans="1:19" ht="18" customHeight="1" x14ac:dyDescent="0.2">
      <c r="A30" s="224"/>
      <c r="B30" s="214">
        <f>TestLocation</f>
        <v>0</v>
      </c>
      <c r="C30" s="225"/>
      <c r="D30" s="576" t="str">
        <f>CONCATENATE(Main!D22,"°F"," / ",Main!D23,"% RH")</f>
        <v>°F / % RH</v>
      </c>
      <c r="E30" s="577"/>
      <c r="F30" s="577"/>
      <c r="G30" s="578"/>
      <c r="H30" s="576">
        <f>OvenLocation</f>
        <v>0</v>
      </c>
      <c r="I30" s="577"/>
      <c r="J30" s="577"/>
      <c r="K30" s="578"/>
      <c r="L30" s="576">
        <f>Condition</f>
        <v>0</v>
      </c>
      <c r="M30" s="577"/>
      <c r="N30" s="577"/>
      <c r="O30" s="578"/>
    </row>
    <row r="31" spans="1:19" ht="18" customHeight="1" x14ac:dyDescent="0.2"/>
    <row r="32" spans="1:19" ht="18" customHeight="1" x14ac:dyDescent="0.25">
      <c r="A32" s="247" t="s">
        <v>309</v>
      </c>
      <c r="B32" s="588" t="s">
        <v>310</v>
      </c>
      <c r="C32" s="588"/>
      <c r="D32" s="247" t="s">
        <v>273</v>
      </c>
      <c r="E32" s="247" t="s">
        <v>272</v>
      </c>
      <c r="F32" s="247" t="s">
        <v>311</v>
      </c>
      <c r="G32" s="81"/>
      <c r="H32" s="81"/>
      <c r="I32" s="247" t="s">
        <v>309</v>
      </c>
      <c r="J32" s="588" t="s">
        <v>310</v>
      </c>
      <c r="K32" s="588"/>
      <c r="L32" s="247" t="s">
        <v>273</v>
      </c>
      <c r="M32" s="247" t="s">
        <v>272</v>
      </c>
      <c r="N32" s="247" t="s">
        <v>311</v>
      </c>
    </row>
    <row r="33" spans="1:14" ht="18" customHeight="1" x14ac:dyDescent="0.2">
      <c r="A33" s="248" t="str">
        <f>IF(B33="","",1)</f>
        <v/>
      </c>
      <c r="B33" s="587" t="str">
        <f>IF(Main!O5="","",Main!O5)</f>
        <v/>
      </c>
      <c r="C33" s="587"/>
      <c r="D33" s="249" t="str" cm="1">
        <f t="array" ref="D33">IF(A33&lt;&gt;"",_xlfn.LET(
  _xlpm.temps, _xlfn._xlws.FILTER(Survey[CorrectedTemp], Survey[TestPoint] = A33),
  _xlpm.minVal, MIN(_xlpm.temps),
  _xlpm.maxVal, MAX(_xlpm.temps),
  _xlpm.avgVal, AVERAGE(_xlpm.temps),
  CHOOSE({1,2,3}, _xlpm.minVal, _xlpm.maxVal, _xlpm.avgVal)
),"")</f>
        <v/>
      </c>
      <c r="E33" s="249"/>
      <c r="F33" s="249"/>
      <c r="G33" s="81"/>
      <c r="H33" s="81"/>
      <c r="I33" s="248" t="str">
        <f>IF(J33="","",21)</f>
        <v/>
      </c>
      <c r="J33" s="587" t="str">
        <f>IF(Main!O25="","",Main!O25)</f>
        <v/>
      </c>
      <c r="K33" s="587"/>
      <c r="L33" s="249" t="str" cm="1">
        <f t="array" ref="L33">IF(I33&lt;&gt;"",_xlfn.LET(
  _xlpm.temps, _xlfn._xlws.FILTER(Survey[CorrectedTemp], Survey[TestPoint] = I33),
  _xlpm.minVal, MIN(_xlpm.temps),
  _xlpm.maxVal, MAX(_xlpm.temps),
  _xlpm.avgVal, AVERAGE(_xlpm.temps),
  CHOOSE({1,2,3}, _xlpm.minVal, _xlpm.maxVal, _xlpm.avgVal)
),"")</f>
        <v/>
      </c>
      <c r="M33" s="249"/>
      <c r="N33" s="249"/>
    </row>
    <row r="34" spans="1:14" ht="18" customHeight="1" x14ac:dyDescent="0.2">
      <c r="A34" s="248" t="str">
        <f>IF(B34="","",2)</f>
        <v/>
      </c>
      <c r="B34" s="587" t="str">
        <f>IF(Main!O6="","",Main!O6)</f>
        <v/>
      </c>
      <c r="C34" s="587"/>
      <c r="D34" s="249" t="str" cm="1">
        <f t="array" ref="D34">IF(A34&lt;&gt;"",_xlfn.LET(
  _xlpm.temps, _xlfn._xlws.FILTER(Survey[CorrectedTemp], Survey[TestPoint] = A34),
  _xlpm.minVal, MIN(_xlpm.temps),
  _xlpm.maxVal, MAX(_xlpm.temps),
  _xlpm.avgVal, AVERAGE(_xlpm.temps),
  CHOOSE({1,2,3}, _xlpm.minVal, _xlpm.maxVal, _xlpm.avgVal)
),"")</f>
        <v/>
      </c>
      <c r="E34" s="249"/>
      <c r="F34" s="249"/>
      <c r="G34" s="81"/>
      <c r="H34" s="81"/>
      <c r="I34" s="248" t="str">
        <f>IF(J34="","",22)</f>
        <v/>
      </c>
      <c r="J34" s="587" t="str">
        <f>IF(Main!O26="","",Main!O26)</f>
        <v/>
      </c>
      <c r="K34" s="587"/>
      <c r="L34" s="249" t="str" cm="1">
        <f t="array" ref="L34">IF(I34&lt;&gt;"",_xlfn.LET(
  _xlpm.temps, _xlfn._xlws.FILTER(Survey[CorrectedTemp], Survey[TestPoint] = I34),
  _xlpm.minVal, MIN(_xlpm.temps),
  _xlpm.maxVal, MAX(_xlpm.temps),
  _xlpm.avgVal, AVERAGE(_xlpm.temps),
  CHOOSE({1,2,3}, _xlpm.minVal, _xlpm.maxVal, _xlpm.avgVal)
),"")</f>
        <v/>
      </c>
      <c r="M34" s="249"/>
      <c r="N34" s="249"/>
    </row>
    <row r="35" spans="1:14" ht="18" customHeight="1" x14ac:dyDescent="0.2">
      <c r="A35" s="248" t="str">
        <f>IF(B35="","",3)</f>
        <v/>
      </c>
      <c r="B35" s="587" t="str">
        <f>IF(Main!O7="","",Main!O7)</f>
        <v/>
      </c>
      <c r="C35" s="587"/>
      <c r="D35" s="249" t="str" cm="1">
        <f t="array" ref="D35">IF(A35&lt;&gt;"",_xlfn.LET(
  _xlpm.temps, _xlfn._xlws.FILTER(Survey[CorrectedTemp], Survey[TestPoint] = A35),
  _xlpm.minVal, MIN(_xlpm.temps),
  _xlpm.maxVal, MAX(_xlpm.temps),
  _xlpm.avgVal, AVERAGE(_xlpm.temps),
  CHOOSE({1,2,3}, _xlpm.minVal, _xlpm.maxVal, _xlpm.avgVal)
),"")</f>
        <v/>
      </c>
      <c r="E35" s="249"/>
      <c r="F35" s="249"/>
      <c r="G35" s="81"/>
      <c r="H35" s="81"/>
      <c r="I35" s="248" t="str">
        <f>IF(J35="","",23)</f>
        <v/>
      </c>
      <c r="J35" s="587" t="str">
        <f>IF(Main!O27="","",Main!O27)</f>
        <v/>
      </c>
      <c r="K35" s="587"/>
      <c r="L35" s="249" t="str" cm="1">
        <f t="array" ref="L35">IF(I35&lt;&gt;"",_xlfn.LET(
  _xlpm.temps, _xlfn._xlws.FILTER(Survey[CorrectedTemp], Survey[TestPoint] = I35),
  _xlpm.minVal, MIN(_xlpm.temps),
  _xlpm.maxVal, MAX(_xlpm.temps),
  _xlpm.avgVal, AVERAGE(_xlpm.temps),
  CHOOSE({1,2,3}, _xlpm.minVal, _xlpm.maxVal, _xlpm.avgVal)
),"")</f>
        <v/>
      </c>
      <c r="M35" s="249"/>
      <c r="N35" s="249"/>
    </row>
    <row r="36" spans="1:14" ht="18" customHeight="1" x14ac:dyDescent="0.2">
      <c r="A36" s="248" t="str">
        <f>IF(B36="","",4)</f>
        <v/>
      </c>
      <c r="B36" s="587" t="str">
        <f>IF(Main!O8="","",Main!O8)</f>
        <v/>
      </c>
      <c r="C36" s="587"/>
      <c r="D36" s="249" t="str" cm="1">
        <f t="array" ref="D36">IF(A36&lt;&gt;"",_xlfn.LET(
  _xlpm.temps, _xlfn._xlws.FILTER(Survey[CorrectedTemp], Survey[TestPoint] = A36),
  _xlpm.minVal, MIN(_xlpm.temps),
  _xlpm.maxVal, MAX(_xlpm.temps),
  _xlpm.avgVal, AVERAGE(_xlpm.temps),
  CHOOSE({1,2,3}, _xlpm.minVal, _xlpm.maxVal, _xlpm.avgVal)
),"")</f>
        <v/>
      </c>
      <c r="E36" s="249"/>
      <c r="F36" s="249"/>
      <c r="G36" s="81"/>
      <c r="H36" s="81"/>
      <c r="I36" s="248" t="str">
        <f>IF(J36="","",24)</f>
        <v/>
      </c>
      <c r="J36" s="587" t="str">
        <f>IF(Main!O28="","",Main!O28)</f>
        <v/>
      </c>
      <c r="K36" s="587"/>
      <c r="L36" s="249" t="str" cm="1">
        <f t="array" ref="L36">IF(I36&lt;&gt;"",_xlfn.LET(
  _xlpm.temps, _xlfn._xlws.FILTER(Survey[CorrectedTemp], Survey[TestPoint] = I36),
  _xlpm.minVal, MIN(_xlpm.temps),
  _xlpm.maxVal, MAX(_xlpm.temps),
  _xlpm.avgVal, AVERAGE(_xlpm.temps),
  CHOOSE({1,2,3}, _xlpm.minVal, _xlpm.maxVal, _xlpm.avgVal)
),"")</f>
        <v/>
      </c>
      <c r="M36" s="249"/>
      <c r="N36" s="249"/>
    </row>
    <row r="37" spans="1:14" ht="18" customHeight="1" x14ac:dyDescent="0.2">
      <c r="A37" s="248" t="str">
        <f>IF(B37="","",5)</f>
        <v/>
      </c>
      <c r="B37" s="587" t="str">
        <f>IF(Main!O9="","",Main!O9)</f>
        <v/>
      </c>
      <c r="C37" s="587"/>
      <c r="D37" s="249" t="str" cm="1">
        <f t="array" ref="D37">IF(A37&lt;&gt;"",_xlfn.LET(
  _xlpm.temps, _xlfn._xlws.FILTER(Survey[CorrectedTemp], Survey[TestPoint] = A37),
  _xlpm.minVal, MIN(_xlpm.temps),
  _xlpm.maxVal, MAX(_xlpm.temps),
  _xlpm.avgVal, AVERAGE(_xlpm.temps),
  CHOOSE({1,2,3}, _xlpm.minVal, _xlpm.maxVal, _xlpm.avgVal)
),"")</f>
        <v/>
      </c>
      <c r="E37" s="249"/>
      <c r="F37" s="249"/>
      <c r="G37" s="81"/>
      <c r="H37" s="81"/>
      <c r="I37" s="248" t="str">
        <f>IF(J37="","",25)</f>
        <v/>
      </c>
      <c r="J37" s="587" t="str">
        <f>IF(Main!O29="","",Main!O29)</f>
        <v/>
      </c>
      <c r="K37" s="587"/>
      <c r="L37" s="249" t="str" cm="1">
        <f t="array" ref="L37">IF(I37&lt;&gt;"",_xlfn.LET(
  _xlpm.temps, _xlfn._xlws.FILTER(Survey[CorrectedTemp], Survey[TestPoint] = I37),
  _xlpm.minVal, MIN(_xlpm.temps),
  _xlpm.maxVal, MAX(_xlpm.temps),
  _xlpm.avgVal, AVERAGE(_xlpm.temps),
  CHOOSE({1,2,3}, _xlpm.minVal, _xlpm.maxVal, _xlpm.avgVal)
),"")</f>
        <v/>
      </c>
      <c r="M37" s="249"/>
      <c r="N37" s="249"/>
    </row>
    <row r="38" spans="1:14" ht="18" customHeight="1" x14ac:dyDescent="0.2">
      <c r="A38" s="248" t="str">
        <f>IF(B38="","",6)</f>
        <v/>
      </c>
      <c r="B38" s="587" t="str">
        <f>IF(Main!O10="","",Main!O10)</f>
        <v/>
      </c>
      <c r="C38" s="587"/>
      <c r="D38" s="249" t="str" cm="1">
        <f t="array" ref="D38">IF(A38&lt;&gt;"",_xlfn.LET(
  _xlpm.temps, _xlfn._xlws.FILTER(Survey[CorrectedTemp], Survey[TestPoint] = A38),
  _xlpm.minVal, MIN(_xlpm.temps),
  _xlpm.maxVal, MAX(_xlpm.temps),
  _xlpm.avgVal, AVERAGE(_xlpm.temps),
  CHOOSE({1,2,3}, _xlpm.minVal, _xlpm.maxVal, _xlpm.avgVal)
),"")</f>
        <v/>
      </c>
      <c r="E38" s="249"/>
      <c r="F38" s="249"/>
      <c r="G38" s="81"/>
      <c r="H38" s="81"/>
      <c r="I38" s="248" t="str">
        <f>IF(J38="","",26)</f>
        <v/>
      </c>
      <c r="J38" s="587" t="str">
        <f>IF(Main!O30="","",Main!O30)</f>
        <v/>
      </c>
      <c r="K38" s="587"/>
      <c r="L38" s="249" t="str" cm="1">
        <f t="array" ref="L38">IF(I38&lt;&gt;"",_xlfn.LET(
  _xlpm.temps, _xlfn._xlws.FILTER(Survey[CorrectedTemp], Survey[TestPoint] = I38),
  _xlpm.minVal, MIN(_xlpm.temps),
  _xlpm.maxVal, MAX(_xlpm.temps),
  _xlpm.avgVal, AVERAGE(_xlpm.temps),
  CHOOSE({1,2,3}, _xlpm.minVal, _xlpm.maxVal, _xlpm.avgVal)
),"")</f>
        <v/>
      </c>
      <c r="M38" s="249"/>
      <c r="N38" s="249"/>
    </row>
    <row r="39" spans="1:14" ht="18" customHeight="1" x14ac:dyDescent="0.2">
      <c r="A39" s="248" t="str">
        <f>IF(B39="","",7)</f>
        <v/>
      </c>
      <c r="B39" s="587" t="str">
        <f>IF(Main!O11="","",Main!O11)</f>
        <v/>
      </c>
      <c r="C39" s="587"/>
      <c r="D39" s="249" t="str" cm="1">
        <f t="array" ref="D39">IF(A39&lt;&gt;"",_xlfn.LET(
  _xlpm.temps, _xlfn._xlws.FILTER(Survey[CorrectedTemp], Survey[TestPoint] = A39),
  _xlpm.minVal, MIN(_xlpm.temps),
  _xlpm.maxVal, MAX(_xlpm.temps),
  _xlpm.avgVal, AVERAGE(_xlpm.temps),
  CHOOSE({1,2,3}, _xlpm.minVal, _xlpm.maxVal, _xlpm.avgVal)
),"")</f>
        <v/>
      </c>
      <c r="E39" s="249"/>
      <c r="F39" s="249"/>
      <c r="G39" s="81"/>
      <c r="H39" s="81"/>
      <c r="I39" s="248" t="str">
        <f>IF(J39="","",27)</f>
        <v/>
      </c>
      <c r="J39" s="587" t="str">
        <f>IF(Main!O31="","",Main!O31)</f>
        <v/>
      </c>
      <c r="K39" s="587"/>
      <c r="L39" s="249" t="str" cm="1">
        <f t="array" ref="L39">IF(I39&lt;&gt;"",_xlfn.LET(
  _xlpm.temps, _xlfn._xlws.FILTER(Survey[CorrectedTemp], Survey[TestPoint] = I39),
  _xlpm.minVal, MIN(_xlpm.temps),
  _xlpm.maxVal, MAX(_xlpm.temps),
  _xlpm.avgVal, AVERAGE(_xlpm.temps),
  CHOOSE({1,2,3}, _xlpm.minVal, _xlpm.maxVal, _xlpm.avgVal)
),"")</f>
        <v/>
      </c>
      <c r="M39" s="249"/>
      <c r="N39" s="249"/>
    </row>
    <row r="40" spans="1:14" ht="18" customHeight="1" x14ac:dyDescent="0.2">
      <c r="A40" s="248" t="str">
        <f>IF(B40="","",8)</f>
        <v/>
      </c>
      <c r="B40" s="587" t="str">
        <f>IF(Main!O12="","",Main!O12)</f>
        <v/>
      </c>
      <c r="C40" s="587"/>
      <c r="D40" s="249" t="str" cm="1">
        <f t="array" ref="D40">IF(A40&lt;&gt;"",_xlfn.LET(
  _xlpm.temps, _xlfn._xlws.FILTER(Survey[CorrectedTemp], Survey[TestPoint] = A40),
  _xlpm.minVal, MIN(_xlpm.temps),
  _xlpm.maxVal, MAX(_xlpm.temps),
  _xlpm.avgVal, AVERAGE(_xlpm.temps),
  CHOOSE({1,2,3}, _xlpm.minVal, _xlpm.maxVal, _xlpm.avgVal)
),"")</f>
        <v/>
      </c>
      <c r="E40" s="249"/>
      <c r="F40" s="249"/>
      <c r="G40" s="81"/>
      <c r="H40" s="81"/>
      <c r="I40" s="248" t="str">
        <f>IF(J40="","",28)</f>
        <v/>
      </c>
      <c r="J40" s="587" t="str">
        <f>IF(Main!O32="","",Main!O32)</f>
        <v/>
      </c>
      <c r="K40" s="587"/>
      <c r="L40" s="249" t="str" cm="1">
        <f t="array" ref="L40">IF(I40&lt;&gt;"",_xlfn.LET(
  _xlpm.temps, _xlfn._xlws.FILTER(Survey[CorrectedTemp], Survey[TestPoint] = I40),
  _xlpm.minVal, MIN(_xlpm.temps),
  _xlpm.maxVal, MAX(_xlpm.temps),
  _xlpm.avgVal, AVERAGE(_xlpm.temps),
  CHOOSE({1,2,3}, _xlpm.minVal, _xlpm.maxVal, _xlpm.avgVal)
),"")</f>
        <v/>
      </c>
      <c r="M40" s="249"/>
      <c r="N40" s="249"/>
    </row>
    <row r="41" spans="1:14" ht="18" customHeight="1" x14ac:dyDescent="0.2">
      <c r="A41" s="248" t="str">
        <f>IF(B41="","",9)</f>
        <v/>
      </c>
      <c r="B41" s="587" t="str">
        <f>IF(Main!O13="","",Main!O13)</f>
        <v/>
      </c>
      <c r="C41" s="587"/>
      <c r="D41" s="249" t="str" cm="1">
        <f t="array" ref="D41">IF(A41&lt;&gt;"",_xlfn.LET(
  _xlpm.temps, _xlfn._xlws.FILTER(Survey[CorrectedTemp], Survey[TestPoint] = A41),
  _xlpm.minVal, MIN(_xlpm.temps),
  _xlpm.maxVal, MAX(_xlpm.temps),
  _xlpm.avgVal, AVERAGE(_xlpm.temps),
  CHOOSE({1,2,3}, _xlpm.minVal, _xlpm.maxVal, _xlpm.avgVal)
),"")</f>
        <v/>
      </c>
      <c r="E41" s="249"/>
      <c r="F41" s="249"/>
      <c r="G41" s="81"/>
      <c r="H41" s="81"/>
      <c r="I41" s="248" t="str">
        <f>IF(J41="","",29)</f>
        <v/>
      </c>
      <c r="J41" s="587" t="str">
        <f>IF(Main!O33="","",Main!O33)</f>
        <v/>
      </c>
      <c r="K41" s="587"/>
      <c r="L41" s="249" t="str" cm="1">
        <f t="array" ref="L41">IF(I41&lt;&gt;"",_xlfn.LET(
  _xlpm.temps, _xlfn._xlws.FILTER(Survey[CorrectedTemp], Survey[TestPoint] = I41),
  _xlpm.minVal, MIN(_xlpm.temps),
  _xlpm.maxVal, MAX(_xlpm.temps),
  _xlpm.avgVal, AVERAGE(_xlpm.temps),
  CHOOSE({1,2,3}, _xlpm.minVal, _xlpm.maxVal, _xlpm.avgVal)
),"")</f>
        <v/>
      </c>
      <c r="M41" s="249"/>
      <c r="N41" s="249"/>
    </row>
    <row r="42" spans="1:14" ht="18" customHeight="1" x14ac:dyDescent="0.2">
      <c r="A42" s="248" t="str">
        <f>IF(B42="","",10)</f>
        <v/>
      </c>
      <c r="B42" s="587" t="str">
        <f>IF(Main!O14="","",Main!O14)</f>
        <v/>
      </c>
      <c r="C42" s="587"/>
      <c r="D42" s="249" t="str" cm="1">
        <f t="array" ref="D42">IF(A42&lt;&gt;"",_xlfn.LET(
  _xlpm.temps, _xlfn._xlws.FILTER(Survey[CorrectedTemp], Survey[TestPoint] = A42),
  _xlpm.minVal, MIN(_xlpm.temps),
  _xlpm.maxVal, MAX(_xlpm.temps),
  _xlpm.avgVal, AVERAGE(_xlpm.temps),
  CHOOSE({1,2,3}, _xlpm.minVal, _xlpm.maxVal, _xlpm.avgVal)
),"")</f>
        <v/>
      </c>
      <c r="E42" s="249"/>
      <c r="F42" s="249"/>
      <c r="G42" s="81"/>
      <c r="H42" s="81"/>
      <c r="I42" s="248" t="str">
        <f>IF(J42="","",30)</f>
        <v/>
      </c>
      <c r="J42" s="587" t="str">
        <f>IF(Main!O34="","",Main!O34)</f>
        <v/>
      </c>
      <c r="K42" s="587"/>
      <c r="L42" s="249" t="str" cm="1">
        <f t="array" ref="L42">IF(I42&lt;&gt;"",_xlfn.LET(
  _xlpm.temps, _xlfn._xlws.FILTER(Survey[CorrectedTemp], Survey[TestPoint] = I42),
  _xlpm.minVal, MIN(_xlpm.temps),
  _xlpm.maxVal, MAX(_xlpm.temps),
  _xlpm.avgVal, AVERAGE(_xlpm.temps),
  CHOOSE({1,2,3}, _xlpm.minVal, _xlpm.maxVal, _xlpm.avgVal)
),"")</f>
        <v/>
      </c>
      <c r="M42" s="249"/>
      <c r="N42" s="249"/>
    </row>
    <row r="43" spans="1:14" ht="18" customHeight="1" x14ac:dyDescent="0.2">
      <c r="A43" s="248" t="str">
        <f>IF(B43="","",11)</f>
        <v/>
      </c>
      <c r="B43" s="587" t="str">
        <f>IF(Main!O15="","",Main!O15)</f>
        <v/>
      </c>
      <c r="C43" s="587"/>
      <c r="D43" s="249" t="str" cm="1">
        <f t="array" ref="D43">IF(A43&lt;&gt;"",_xlfn.LET(
  _xlpm.temps, _xlfn._xlws.FILTER(Survey[CorrectedTemp], Survey[TestPoint] = A43),
  _xlpm.minVal, MIN(_xlpm.temps),
  _xlpm.maxVal, MAX(_xlpm.temps),
  _xlpm.avgVal, AVERAGE(_xlpm.temps),
  CHOOSE({1,2,3}, _xlpm.minVal, _xlpm.maxVal, _xlpm.avgVal)
),"")</f>
        <v/>
      </c>
      <c r="E43" s="249"/>
      <c r="F43" s="249"/>
      <c r="G43" s="81"/>
      <c r="H43" s="81"/>
      <c r="I43" s="248" t="str">
        <f>IF(J43="","",31)</f>
        <v/>
      </c>
      <c r="J43" s="587" t="str">
        <f>IF(Main!O35="","",Main!O35)</f>
        <v/>
      </c>
      <c r="K43" s="587"/>
      <c r="L43" s="249" t="str" cm="1">
        <f t="array" ref="L43">IF(I43&lt;&gt;"",_xlfn.LET(
  _xlpm.temps, _xlfn._xlws.FILTER(Survey[CorrectedTemp], Survey[TestPoint] = I43),
  _xlpm.minVal, MIN(_xlpm.temps),
  _xlpm.maxVal, MAX(_xlpm.temps),
  _xlpm.avgVal, AVERAGE(_xlpm.temps),
  CHOOSE({1,2,3}, _xlpm.minVal, _xlpm.maxVal, _xlpm.avgVal)
),"")</f>
        <v/>
      </c>
      <c r="M43" s="249"/>
      <c r="N43" s="249"/>
    </row>
    <row r="44" spans="1:14" ht="18" customHeight="1" x14ac:dyDescent="0.2">
      <c r="A44" s="248" t="str">
        <f>IF(B44="","",12)</f>
        <v/>
      </c>
      <c r="B44" s="587" t="str">
        <f>IF(Main!O16="","",Main!O16)</f>
        <v/>
      </c>
      <c r="C44" s="587"/>
      <c r="D44" s="249" t="str" cm="1">
        <f t="array" ref="D44">IF(A44&lt;&gt;"",_xlfn.LET(
  _xlpm.temps, _xlfn._xlws.FILTER(Survey[CorrectedTemp], Survey[TestPoint] = A44),
  _xlpm.minVal, MIN(_xlpm.temps),
  _xlpm.maxVal, MAX(_xlpm.temps),
  _xlpm.avgVal, AVERAGE(_xlpm.temps),
  CHOOSE({1,2,3}, _xlpm.minVal, _xlpm.maxVal, _xlpm.avgVal)
),"")</f>
        <v/>
      </c>
      <c r="E44" s="249"/>
      <c r="F44" s="249"/>
      <c r="G44" s="81"/>
      <c r="H44" s="81"/>
      <c r="I44" s="248" t="str">
        <f>IF(J44="","",32)</f>
        <v/>
      </c>
      <c r="J44" s="587" t="str">
        <f>IF(Main!O36="","",Main!O36)</f>
        <v/>
      </c>
      <c r="K44" s="587"/>
      <c r="L44" s="249" t="str" cm="1">
        <f t="array" ref="L44">IF(I44&lt;&gt;"",_xlfn.LET(
  _xlpm.temps, _xlfn._xlws.FILTER(Survey[CorrectedTemp], Survey[TestPoint] = I44),
  _xlpm.minVal, MIN(_xlpm.temps),
  _xlpm.maxVal, MAX(_xlpm.temps),
  _xlpm.avgVal, AVERAGE(_xlpm.temps),
  CHOOSE({1,2,3}, _xlpm.minVal, _xlpm.maxVal, _xlpm.avgVal)
),"")</f>
        <v/>
      </c>
      <c r="M44" s="249"/>
      <c r="N44" s="249"/>
    </row>
    <row r="45" spans="1:14" ht="18" customHeight="1" x14ac:dyDescent="0.2">
      <c r="A45" s="248" t="str">
        <f>IF(B45="","",13)</f>
        <v/>
      </c>
      <c r="B45" s="587" t="str">
        <f>IF(Main!O17="","",Main!O17)</f>
        <v/>
      </c>
      <c r="C45" s="587"/>
      <c r="D45" s="249" t="str" cm="1">
        <f t="array" ref="D45">IF(A45&lt;&gt;"",_xlfn.LET(
  _xlpm.temps, _xlfn._xlws.FILTER(Survey[CorrectedTemp], Survey[TestPoint] = A45),
  _xlpm.minVal, MIN(_xlpm.temps),
  _xlpm.maxVal, MAX(_xlpm.temps),
  _xlpm.avgVal, AVERAGE(_xlpm.temps),
  CHOOSE({1,2,3}, _xlpm.minVal, _xlpm.maxVal, _xlpm.avgVal)
),"")</f>
        <v/>
      </c>
      <c r="E45" s="249"/>
      <c r="F45" s="249"/>
      <c r="G45" s="81"/>
      <c r="H45" s="81"/>
      <c r="I45" s="248" t="str">
        <f>IF(J45="","",33)</f>
        <v/>
      </c>
      <c r="J45" s="587" t="str">
        <f>IF(Main!O37="","",Main!O37)</f>
        <v/>
      </c>
      <c r="K45" s="587"/>
      <c r="L45" s="249" t="str" cm="1">
        <f t="array" ref="L45">IF(I45&lt;&gt;"",_xlfn.LET(
  _xlpm.temps, _xlfn._xlws.FILTER(Survey[CorrectedTemp], Survey[TestPoint] = I45),
  _xlpm.minVal, MIN(_xlpm.temps),
  _xlpm.maxVal, MAX(_xlpm.temps),
  _xlpm.avgVal, AVERAGE(_xlpm.temps),
  CHOOSE({1,2,3}, _xlpm.minVal, _xlpm.maxVal, _xlpm.avgVal)
),"")</f>
        <v/>
      </c>
      <c r="M45" s="249"/>
      <c r="N45" s="249"/>
    </row>
    <row r="46" spans="1:14" ht="18" customHeight="1" x14ac:dyDescent="0.2">
      <c r="A46" s="248" t="str">
        <f>IF(B46="","",14)</f>
        <v/>
      </c>
      <c r="B46" s="587" t="str">
        <f>IF(Main!O18="","",Main!O18)</f>
        <v/>
      </c>
      <c r="C46" s="587"/>
      <c r="D46" s="249" t="str" cm="1">
        <f t="array" ref="D46">IF(A46&lt;&gt;"",_xlfn.LET(
  _xlpm.temps, _xlfn._xlws.FILTER(Survey[CorrectedTemp], Survey[TestPoint] = A46),
  _xlpm.minVal, MIN(_xlpm.temps),
  _xlpm.maxVal, MAX(_xlpm.temps),
  _xlpm.avgVal, AVERAGE(_xlpm.temps),
  CHOOSE({1,2,3}, _xlpm.minVal, _xlpm.maxVal, _xlpm.avgVal)
),"")</f>
        <v/>
      </c>
      <c r="E46" s="249"/>
      <c r="F46" s="249"/>
      <c r="G46" s="81"/>
      <c r="H46" s="81"/>
      <c r="I46" s="248" t="str">
        <f>IF(J46="","",34)</f>
        <v/>
      </c>
      <c r="J46" s="587" t="str">
        <f>IF(Main!O38="","",Main!O38)</f>
        <v/>
      </c>
      <c r="K46" s="587"/>
      <c r="L46" s="249" t="str" cm="1">
        <f t="array" ref="L46">IF(I46&lt;&gt;"",_xlfn.LET(
  _xlpm.temps, _xlfn._xlws.FILTER(Survey[CorrectedTemp], Survey[TestPoint] = I46),
  _xlpm.minVal, MIN(_xlpm.temps),
  _xlpm.maxVal, MAX(_xlpm.temps),
  _xlpm.avgVal, AVERAGE(_xlpm.temps),
  CHOOSE({1,2,3}, _xlpm.minVal, _xlpm.maxVal, _xlpm.avgVal)
),"")</f>
        <v/>
      </c>
      <c r="M46" s="249"/>
      <c r="N46" s="249"/>
    </row>
    <row r="47" spans="1:14" ht="18" customHeight="1" x14ac:dyDescent="0.2">
      <c r="A47" s="248" t="str">
        <f>IF(B47="","",15)</f>
        <v/>
      </c>
      <c r="B47" s="587" t="str">
        <f>IF(Main!O19="","",Main!O19)</f>
        <v/>
      </c>
      <c r="C47" s="587"/>
      <c r="D47" s="249" t="str" cm="1">
        <f t="array" ref="D47">IF(A47&lt;&gt;"",_xlfn.LET(
  _xlpm.temps, _xlfn._xlws.FILTER(Survey[CorrectedTemp], Survey[TestPoint] = A47),
  _xlpm.minVal, MIN(_xlpm.temps),
  _xlpm.maxVal, MAX(_xlpm.temps),
  _xlpm.avgVal, AVERAGE(_xlpm.temps),
  CHOOSE({1,2,3}, _xlpm.minVal, _xlpm.maxVal, _xlpm.avgVal)
),"")</f>
        <v/>
      </c>
      <c r="E47" s="249"/>
      <c r="F47" s="249"/>
      <c r="G47" s="81"/>
      <c r="H47" s="81"/>
      <c r="I47" s="248" t="str">
        <f>IF(J47="","",35)</f>
        <v/>
      </c>
      <c r="J47" s="587" t="str">
        <f>IF(Main!O39="","",Main!O39)</f>
        <v/>
      </c>
      <c r="K47" s="587"/>
      <c r="L47" s="249" t="str" cm="1">
        <f t="array" ref="L47">IF(I47&lt;&gt;"",_xlfn.LET(
  _xlpm.temps, _xlfn._xlws.FILTER(Survey[CorrectedTemp], Survey[TestPoint] = I47),
  _xlpm.minVal, MIN(_xlpm.temps),
  _xlpm.maxVal, MAX(_xlpm.temps),
  _xlpm.avgVal, AVERAGE(_xlpm.temps),
  CHOOSE({1,2,3}, _xlpm.minVal, _xlpm.maxVal, _xlpm.avgVal)
),"")</f>
        <v/>
      </c>
      <c r="M47" s="249"/>
      <c r="N47" s="249"/>
    </row>
    <row r="48" spans="1:14" ht="18" customHeight="1" x14ac:dyDescent="0.2">
      <c r="A48" s="248" t="str">
        <f>IF(B48="","",16)</f>
        <v/>
      </c>
      <c r="B48" s="587" t="str">
        <f>IF(Main!O20="","",Main!O20)</f>
        <v/>
      </c>
      <c r="C48" s="587"/>
      <c r="D48" s="249" t="str" cm="1">
        <f t="array" ref="D48">IF(A48&lt;&gt;"",_xlfn.LET(
  _xlpm.temps, _xlfn._xlws.FILTER(Survey[CorrectedTemp], Survey[TestPoint] = A48),
  _xlpm.minVal, MIN(_xlpm.temps),
  _xlpm.maxVal, MAX(_xlpm.temps),
  _xlpm.avgVal, AVERAGE(_xlpm.temps),
  CHOOSE({1,2,3}, _xlpm.minVal, _xlpm.maxVal, _xlpm.avgVal)
),"")</f>
        <v/>
      </c>
      <c r="E48" s="249"/>
      <c r="F48" s="249"/>
      <c r="G48" s="81"/>
      <c r="H48" s="81"/>
      <c r="I48" s="248" t="str">
        <f>IF(J48="","",36)</f>
        <v/>
      </c>
      <c r="J48" s="587" t="str">
        <f>IF(Main!O40="","",Main!O40)</f>
        <v/>
      </c>
      <c r="K48" s="587"/>
      <c r="L48" s="249" t="str" cm="1">
        <f t="array" ref="L48">IF(I48&lt;&gt;"",_xlfn.LET(
  _xlpm.temps, _xlfn._xlws.FILTER(Survey[CorrectedTemp], Survey[TestPoint] = I48),
  _xlpm.minVal, MIN(_xlpm.temps),
  _xlpm.maxVal, MAX(_xlpm.temps),
  _xlpm.avgVal, AVERAGE(_xlpm.temps),
  CHOOSE({1,2,3}, _xlpm.minVal, _xlpm.maxVal, _xlpm.avgVal)
),"")</f>
        <v/>
      </c>
      <c r="M48" s="249"/>
      <c r="N48" s="249"/>
    </row>
    <row r="49" spans="1:20" ht="18" customHeight="1" x14ac:dyDescent="0.2">
      <c r="A49" s="248" t="str">
        <f>IF(B49="","",17)</f>
        <v/>
      </c>
      <c r="B49" s="587" t="str">
        <f>IF(Main!O21="","",Main!O21)</f>
        <v/>
      </c>
      <c r="C49" s="587"/>
      <c r="D49" s="249" t="str" cm="1">
        <f t="array" ref="D49">IF(A49&lt;&gt;"",_xlfn.LET(
  _xlpm.temps, _xlfn._xlws.FILTER(Survey[CorrectedTemp], Survey[TestPoint] = A49),
  _xlpm.minVal, MIN(_xlpm.temps),
  _xlpm.maxVal, MAX(_xlpm.temps),
  _xlpm.avgVal, AVERAGE(_xlpm.temps),
  CHOOSE({1,2,3}, _xlpm.minVal, _xlpm.maxVal, _xlpm.avgVal)
),"")</f>
        <v/>
      </c>
      <c r="E49" s="249"/>
      <c r="F49" s="249"/>
      <c r="G49" s="81"/>
      <c r="H49" s="81"/>
      <c r="I49" s="248" t="str">
        <f>IF(J49="","",37)</f>
        <v/>
      </c>
      <c r="J49" s="587" t="str">
        <f>IF(Main!O41="","",Main!O41)</f>
        <v/>
      </c>
      <c r="K49" s="587"/>
      <c r="L49" s="249" t="str" cm="1">
        <f t="array" ref="L49">IF(I49&lt;&gt;"",_xlfn.LET(
  _xlpm.temps, _xlfn._xlws.FILTER(Survey[CorrectedTemp], Survey[TestPoint] = I49),
  _xlpm.minVal, MIN(_xlpm.temps),
  _xlpm.maxVal, MAX(_xlpm.temps),
  _xlpm.avgVal, AVERAGE(_xlpm.temps),
  CHOOSE({1,2,3}, _xlpm.minVal, _xlpm.maxVal, _xlpm.avgVal)
),"")</f>
        <v/>
      </c>
      <c r="M49" s="249"/>
      <c r="N49" s="249"/>
    </row>
    <row r="50" spans="1:20" ht="18" customHeight="1" x14ac:dyDescent="0.2">
      <c r="A50" s="248" t="str">
        <f>IF(B50="","",18)</f>
        <v/>
      </c>
      <c r="B50" s="587" t="str">
        <f>IF(Main!O22="","",Main!O22)</f>
        <v/>
      </c>
      <c r="C50" s="587"/>
      <c r="D50" s="249" t="str" cm="1">
        <f t="array" ref="D50">IF(A50&lt;&gt;"",_xlfn.LET(
  _xlpm.temps, _xlfn._xlws.FILTER(Survey[CorrectedTemp], Survey[TestPoint] = A50),
  _xlpm.minVal, MIN(_xlpm.temps),
  _xlpm.maxVal, MAX(_xlpm.temps),
  _xlpm.avgVal, AVERAGE(_xlpm.temps),
  CHOOSE({1,2,3}, _xlpm.minVal, _xlpm.maxVal, _xlpm.avgVal)
),"")</f>
        <v/>
      </c>
      <c r="E50" s="249"/>
      <c r="F50" s="249"/>
      <c r="G50" s="81"/>
      <c r="H50" s="81"/>
      <c r="I50" s="248" t="str">
        <f>IF(J50="","",38)</f>
        <v/>
      </c>
      <c r="J50" s="587" t="str">
        <f>IF(Main!O42="","",Main!O42)</f>
        <v/>
      </c>
      <c r="K50" s="587"/>
      <c r="L50" s="249" t="str" cm="1">
        <f t="array" ref="L50">IF(I50&lt;&gt;"",_xlfn.LET(
  _xlpm.temps, _xlfn._xlws.FILTER(Survey[CorrectedTemp], Survey[TestPoint] = I50),
  _xlpm.minVal, MIN(_xlpm.temps),
  _xlpm.maxVal, MAX(_xlpm.temps),
  _xlpm.avgVal, AVERAGE(_xlpm.temps),
  CHOOSE({1,2,3}, _xlpm.minVal, _xlpm.maxVal, _xlpm.avgVal)
),"")</f>
        <v/>
      </c>
      <c r="M50" s="249"/>
      <c r="N50" s="249"/>
    </row>
    <row r="51" spans="1:20" ht="18" customHeight="1" x14ac:dyDescent="0.2">
      <c r="A51" s="248" t="str">
        <f>IF(B51="","",19)</f>
        <v/>
      </c>
      <c r="B51" s="587" t="str">
        <f>IF(Main!O23="","",Main!O23)</f>
        <v/>
      </c>
      <c r="C51" s="587"/>
      <c r="D51" s="249" t="str" cm="1">
        <f t="array" ref="D51">IF(A51&lt;&gt;"",_xlfn.LET(
  _xlpm.temps, _xlfn._xlws.FILTER(Survey[CorrectedTemp], Survey[TestPoint] = A51),
  _xlpm.minVal, MIN(_xlpm.temps),
  _xlpm.maxVal, MAX(_xlpm.temps),
  _xlpm.avgVal, AVERAGE(_xlpm.temps),
  CHOOSE({1,2,3}, _xlpm.minVal, _xlpm.maxVal, _xlpm.avgVal)
),"")</f>
        <v/>
      </c>
      <c r="E51" s="249"/>
      <c r="F51" s="249"/>
      <c r="G51" s="81"/>
      <c r="H51" s="81"/>
      <c r="I51" s="248" t="str">
        <f>IF(J51="","",39)</f>
        <v/>
      </c>
      <c r="J51" s="587" t="str">
        <f>IF(Main!O43="","",Main!O43)</f>
        <v/>
      </c>
      <c r="K51" s="587"/>
      <c r="L51" s="249" t="str" cm="1">
        <f t="array" ref="L51">IF(I51&lt;&gt;"",_xlfn.LET(
  _xlpm.temps, _xlfn._xlws.FILTER(Survey[CorrectedTemp], Survey[TestPoint] = I51),
  _xlpm.minVal, MIN(_xlpm.temps),
  _xlpm.maxVal, MAX(_xlpm.temps),
  _xlpm.avgVal, AVERAGE(_xlpm.temps),
  CHOOSE({1,2,3}, _xlpm.minVal, _xlpm.maxVal, _xlpm.avgVal)
),"")</f>
        <v/>
      </c>
      <c r="M51" s="249"/>
      <c r="N51" s="249"/>
    </row>
    <row r="52" spans="1:20" ht="18" customHeight="1" x14ac:dyDescent="0.2">
      <c r="A52" s="248" t="str">
        <f>IF(B52="","",20)</f>
        <v/>
      </c>
      <c r="B52" s="587" t="str">
        <f>IF(Main!O24="","",Main!O24)</f>
        <v/>
      </c>
      <c r="C52" s="587"/>
      <c r="D52" s="249" t="str" cm="1">
        <f t="array" ref="D52">IF(A52&lt;&gt;"",_xlfn.LET(
  _xlpm.temps, _xlfn._xlws.FILTER(Survey[CorrectedTemp], Survey[TestPoint] = A52),
  _xlpm.minVal, MIN(_xlpm.temps),
  _xlpm.maxVal, MAX(_xlpm.temps),
  _xlpm.avgVal, AVERAGE(_xlpm.temps),
  CHOOSE({1,2,3}, _xlpm.minVal, _xlpm.maxVal, _xlpm.avgVal)
),"")</f>
        <v/>
      </c>
      <c r="E52" s="249"/>
      <c r="F52" s="249"/>
      <c r="G52" s="81"/>
      <c r="H52" s="81"/>
      <c r="I52" s="248" t="str">
        <f>IF(J52="","",40)</f>
        <v/>
      </c>
      <c r="J52" s="587" t="str">
        <f>IF(Main!O44="","",Main!O44)</f>
        <v/>
      </c>
      <c r="K52" s="587"/>
      <c r="L52" s="249" t="str" cm="1">
        <f t="array" ref="L52">IF(I52&lt;&gt;"",_xlfn.LET(
  _xlpm.temps, _xlfn._xlws.FILTER(Survey[CorrectedTemp], Survey[TestPoint] = I52),
  _xlpm.minVal, MIN(_xlpm.temps),
  _xlpm.maxVal, MAX(_xlpm.temps),
  _xlpm.avgVal, AVERAGE(_xlpm.temps),
  CHOOSE({1,2,3}, _xlpm.minVal, _xlpm.maxVal, _xlpm.avgVal)
),"")</f>
        <v/>
      </c>
      <c r="M52" s="249"/>
      <c r="N52" s="249"/>
    </row>
    <row r="53" spans="1:20" ht="18" customHeight="1" x14ac:dyDescent="0.2">
      <c r="B53" s="592" t="s">
        <v>312</v>
      </c>
      <c r="C53" s="592"/>
      <c r="D53" s="592"/>
      <c r="E53" s="592"/>
      <c r="F53" s="592"/>
      <c r="G53" s="592"/>
      <c r="H53" s="592"/>
      <c r="I53" s="592"/>
      <c r="J53" s="592"/>
      <c r="K53" s="592"/>
      <c r="L53" s="592"/>
      <c r="M53" s="592"/>
      <c r="N53" s="592"/>
    </row>
    <row r="54" spans="1:20" ht="18" customHeight="1" x14ac:dyDescent="0.25">
      <c r="A54" s="250" t="s">
        <v>313</v>
      </c>
      <c r="B54" s="601" t="str">
        <f>CONCATENATE(Main!G23,"  ",FurnaceSpecificComments,Main!V24)</f>
        <v xml:space="preserve">Found in tolerance.  No adjustment required.  </v>
      </c>
      <c r="C54" s="601"/>
      <c r="D54" s="601"/>
      <c r="E54" s="601"/>
      <c r="F54" s="601"/>
      <c r="G54" s="601"/>
      <c r="H54" s="601"/>
      <c r="I54" s="601"/>
      <c r="J54" s="601"/>
      <c r="K54" s="601"/>
      <c r="L54" s="601"/>
      <c r="M54" s="601"/>
      <c r="N54" s="601"/>
      <c r="O54" s="601"/>
    </row>
    <row r="55" spans="1:20" ht="18" customHeight="1" x14ac:dyDescent="0.25">
      <c r="A55" s="78"/>
      <c r="B55" s="601"/>
      <c r="C55" s="601"/>
      <c r="D55" s="601"/>
      <c r="E55" s="601"/>
      <c r="F55" s="601"/>
      <c r="G55" s="601"/>
      <c r="H55" s="601"/>
      <c r="I55" s="601"/>
      <c r="J55" s="601"/>
      <c r="K55" s="601"/>
      <c r="L55" s="601"/>
      <c r="M55" s="601"/>
      <c r="N55" s="601"/>
      <c r="O55" s="601"/>
    </row>
    <row r="56" spans="1:20" ht="18" customHeight="1" x14ac:dyDescent="0.25">
      <c r="A56" s="78"/>
      <c r="B56" s="601"/>
      <c r="C56" s="601"/>
      <c r="D56" s="601"/>
      <c r="E56" s="601"/>
      <c r="F56" s="601"/>
      <c r="G56" s="601"/>
      <c r="H56" s="601"/>
      <c r="I56" s="601"/>
      <c r="J56" s="601"/>
      <c r="K56" s="601"/>
      <c r="L56" s="601"/>
      <c r="M56" s="601"/>
      <c r="N56" s="601"/>
      <c r="O56" s="601"/>
    </row>
    <row r="57" spans="1:20" ht="18" customHeight="1" x14ac:dyDescent="0.25">
      <c r="A57" s="78"/>
      <c r="B57" s="601"/>
      <c r="C57" s="601"/>
      <c r="D57" s="601"/>
      <c r="E57" s="601"/>
      <c r="F57" s="601"/>
      <c r="G57" s="601"/>
      <c r="H57" s="601"/>
      <c r="I57" s="601"/>
      <c r="J57" s="601"/>
      <c r="K57" s="601"/>
      <c r="L57" s="601"/>
      <c r="M57" s="601"/>
      <c r="N57" s="601"/>
      <c r="O57" s="601"/>
    </row>
    <row r="58" spans="1:20" ht="18" customHeight="1" x14ac:dyDescent="0.25">
      <c r="A58" s="78"/>
      <c r="B58" s="601"/>
      <c r="C58" s="601"/>
      <c r="D58" s="601"/>
      <c r="E58" s="601"/>
      <c r="F58" s="601"/>
      <c r="G58" s="601"/>
      <c r="H58" s="601"/>
      <c r="I58" s="601"/>
      <c r="J58" s="601"/>
      <c r="K58" s="601"/>
      <c r="L58" s="601"/>
      <c r="M58" s="601"/>
      <c r="N58" s="601"/>
      <c r="O58" s="601"/>
    </row>
    <row r="59" spans="1:20" ht="18" customHeight="1" x14ac:dyDescent="0.25">
      <c r="A59" s="78"/>
      <c r="B59" s="601"/>
      <c r="C59" s="601"/>
      <c r="D59" s="601"/>
      <c r="E59" s="601"/>
      <c r="F59" s="601"/>
      <c r="G59" s="601"/>
      <c r="H59" s="601"/>
      <c r="I59" s="601"/>
      <c r="J59" s="601"/>
      <c r="K59" s="601"/>
      <c r="L59" s="601"/>
      <c r="M59" s="601"/>
      <c r="N59" s="601"/>
      <c r="O59" s="601"/>
    </row>
    <row r="60" spans="1:20" ht="18" customHeight="1" x14ac:dyDescent="0.2">
      <c r="A60" s="591" t="s">
        <v>321</v>
      </c>
      <c r="B60" s="591"/>
      <c r="C60" s="591"/>
      <c r="D60" s="591"/>
      <c r="E60" s="591"/>
      <c r="F60" s="591"/>
      <c r="G60" s="591"/>
      <c r="H60" s="591"/>
      <c r="I60" s="591"/>
      <c r="J60" s="591"/>
      <c r="K60" s="591"/>
      <c r="L60" s="591"/>
      <c r="M60" s="591"/>
      <c r="N60" s="591"/>
      <c r="O60" s="591"/>
    </row>
    <row r="61" spans="1:20" ht="18" customHeight="1" x14ac:dyDescent="0.2">
      <c r="A61" s="595" t="s">
        <v>314</v>
      </c>
      <c r="B61" s="595"/>
      <c r="C61" s="595"/>
      <c r="D61" s="595"/>
      <c r="E61" s="595"/>
      <c r="F61" s="608" t="s">
        <v>315</v>
      </c>
      <c r="G61" s="608"/>
      <c r="H61" s="608"/>
      <c r="I61" s="608" t="s">
        <v>316</v>
      </c>
      <c r="J61" s="608"/>
      <c r="K61" s="608" t="s">
        <v>317</v>
      </c>
      <c r="L61" s="608"/>
      <c r="M61" s="608" t="s">
        <v>318</v>
      </c>
      <c r="N61" s="608"/>
      <c r="O61" s="608"/>
      <c r="R61" s="39" t="s">
        <v>859</v>
      </c>
      <c r="T61" s="39" t="s">
        <v>860</v>
      </c>
    </row>
    <row r="62" spans="1:20" ht="18" customHeight="1" x14ac:dyDescent="0.2">
      <c r="A62" s="579" t="str">
        <f>IF(F62="","",CONCATENATE(T62," - ",R62))</f>
        <v/>
      </c>
      <c r="B62" s="580"/>
      <c r="C62" s="580"/>
      <c r="D62" s="580"/>
      <c r="E62" s="581"/>
      <c r="F62" s="579" t="str" cm="1">
        <f t="array" ref="F62">IFERROR(
  _xlfn.XLOOKUP(
    Main!D9,
    _xlfn._xlws.FILTER(AssetPool[asset_tag], AssetPool[root_category_name]="DAQ Modules"),
    _xlfn._xlws.FILTER(AssetPool[serial_number], AssetPool[root_category_name]="DAQ Modules")
  ),
  ""
)</f>
        <v/>
      </c>
      <c r="G62" s="580"/>
      <c r="H62" s="581"/>
      <c r="I62" s="606" t="str">
        <f>IF(F62="","",Main!D12)</f>
        <v/>
      </c>
      <c r="J62" s="607"/>
      <c r="K62" s="606" t="str">
        <f>IF(F62="","",Main!D13)</f>
        <v/>
      </c>
      <c r="L62" s="607"/>
      <c r="M62" s="573" t="str">
        <f>IF(F62="","",REPLACE(Main!D14,3,1,""))</f>
        <v/>
      </c>
      <c r="N62" s="574"/>
      <c r="O62" s="575"/>
      <c r="Q62" t="str">
        <f>IF(CERT!F62="","",1)</f>
        <v/>
      </c>
      <c r="R62" s="205" t="str">
        <f>IF(Main!D9="", "", _xlfn.XLOOKUP(Main!D9,AssetPool[asset_tag],AssetPool[manufacturer_part_number]))</f>
        <v/>
      </c>
      <c r="T62" s="205" t="str">
        <f>IF(Main!D9="", "", _xlfn.XLOOKUP(Main!D9,AssetPool[asset_tag],AssetPool[category_name]))</f>
        <v/>
      </c>
    </row>
    <row r="63" spans="1:20" ht="18" customHeight="1" x14ac:dyDescent="0.2">
      <c r="A63" s="570" t="str">
        <f t="shared" ref="A63:A68" si="0">IF(Q63="","",CONCATENATE(T63," - ",R63))</f>
        <v/>
      </c>
      <c r="B63" s="571"/>
      <c r="C63" s="571"/>
      <c r="D63" s="571"/>
      <c r="E63" s="572"/>
      <c r="F63" s="570" t="str">
        <f>IF(Main!D48="","",Main!D48)</f>
        <v/>
      </c>
      <c r="G63" s="571"/>
      <c r="H63" s="572"/>
      <c r="I63" s="584" t="str">
        <f>IF(Q63="","",Main!D49)</f>
        <v/>
      </c>
      <c r="J63" s="585"/>
      <c r="K63" s="584" t="str">
        <f>IF(Q63="","",Main!D50)</f>
        <v/>
      </c>
      <c r="L63" s="585"/>
      <c r="M63" s="570" t="str">
        <f>IF(Q63="","",Main!D54)</f>
        <v/>
      </c>
      <c r="N63" s="571"/>
      <c r="O63" s="572"/>
      <c r="Q63" t="str">
        <f>IF(CERT!F63="","",2)</f>
        <v/>
      </c>
      <c r="R63" s="205" t="str">
        <f>IFERROR(_xlfn.XLOOKUP(F63,AssetPool[serial_number],AssetPool[manufacturer_part_number]),"")</f>
        <v/>
      </c>
      <c r="T63" s="205" t="str">
        <f>IFERROR(_xlfn.XLOOKUP(F63,AssetPool[serial_number],AssetPool[category_name]),"")</f>
        <v/>
      </c>
    </row>
    <row r="64" spans="1:20" ht="18" customHeight="1" x14ac:dyDescent="0.2">
      <c r="A64" s="570" t="str">
        <f t="shared" si="0"/>
        <v/>
      </c>
      <c r="B64" s="571"/>
      <c r="C64" s="571"/>
      <c r="D64" s="571"/>
      <c r="E64" s="572"/>
      <c r="F64" s="570" t="str">
        <f>IF(Main!E48="","",Main!E48)</f>
        <v/>
      </c>
      <c r="G64" s="571"/>
      <c r="H64" s="572"/>
      <c r="I64" s="584" t="str">
        <f>IF(Q64="","",Main!E49)</f>
        <v/>
      </c>
      <c r="J64" s="585"/>
      <c r="K64" s="584" t="str">
        <f>IF(Q64="","",Main!E50)</f>
        <v/>
      </c>
      <c r="L64" s="585"/>
      <c r="M64" s="570" t="str">
        <f>IF(Q64="","",Main!E54)</f>
        <v/>
      </c>
      <c r="N64" s="571"/>
      <c r="O64" s="572"/>
      <c r="Q64" t="str">
        <f>IF(CERT!F64="","",3)</f>
        <v/>
      </c>
      <c r="R64" s="205" t="str">
        <f>IFERROR(_xlfn.XLOOKUP(F64,AssetPool[serial_number],AssetPool[manufacturer_part_number]),"")</f>
        <v/>
      </c>
      <c r="T64" s="205" t="str">
        <f>IFERROR(_xlfn.XLOOKUP(F64,AssetPool[serial_number],AssetPool[category_name]),"")</f>
        <v/>
      </c>
    </row>
    <row r="65" spans="1:20" ht="18" customHeight="1" x14ac:dyDescent="0.2">
      <c r="A65" s="570" t="str">
        <f t="shared" si="0"/>
        <v/>
      </c>
      <c r="B65" s="571"/>
      <c r="C65" s="571"/>
      <c r="D65" s="571"/>
      <c r="E65" s="572"/>
      <c r="F65" s="570" t="str">
        <f>IF(Main!F48="","",Main!F48)</f>
        <v/>
      </c>
      <c r="G65" s="571"/>
      <c r="H65" s="572"/>
      <c r="I65" s="584" t="str">
        <f>IF(Q65="","",Main!F49)</f>
        <v/>
      </c>
      <c r="J65" s="585"/>
      <c r="K65" s="584" t="str">
        <f>IF(Q65="","",Main!F50)</f>
        <v/>
      </c>
      <c r="L65" s="585"/>
      <c r="M65" s="570" t="str">
        <f>IF(Q65="","",Main!F54)</f>
        <v/>
      </c>
      <c r="N65" s="571"/>
      <c r="O65" s="572"/>
      <c r="Q65" t="str">
        <f>IF(CERT!F65="","",4)</f>
        <v/>
      </c>
      <c r="R65" s="205" t="str">
        <f>IFERROR(_xlfn.XLOOKUP(F65,AssetPool[serial_number],AssetPool[manufacturer_part_number]),"")</f>
        <v/>
      </c>
      <c r="T65" s="205" t="str">
        <f>IFERROR(_xlfn.XLOOKUP(F65,AssetPool[serial_number],AssetPool[category_name]),"")</f>
        <v/>
      </c>
    </row>
    <row r="66" spans="1:20" ht="18" customHeight="1" x14ac:dyDescent="0.2">
      <c r="A66" s="570" t="str">
        <f t="shared" si="0"/>
        <v/>
      </c>
      <c r="B66" s="571"/>
      <c r="C66" s="571"/>
      <c r="D66" s="571"/>
      <c r="E66" s="572"/>
      <c r="F66" s="570" t="str">
        <f>IF(Main!G48="","",Main!G48)</f>
        <v/>
      </c>
      <c r="G66" s="571"/>
      <c r="H66" s="572"/>
      <c r="I66" s="584" t="str">
        <f>IF(Q66="","",Main!G49)</f>
        <v/>
      </c>
      <c r="J66" s="585"/>
      <c r="K66" s="584" t="str">
        <f>IF(Q66="","",Main!G50)</f>
        <v/>
      </c>
      <c r="L66" s="585"/>
      <c r="M66" s="570" t="str">
        <f>IF(Q66="","",Main!G54)</f>
        <v/>
      </c>
      <c r="N66" s="571"/>
      <c r="O66" s="572"/>
      <c r="Q66" t="str">
        <f>IF(CERT!F66="","",5)</f>
        <v/>
      </c>
      <c r="R66" s="205" t="str">
        <f>IFERROR(_xlfn.XLOOKUP(F66,AssetPool[serial_number],AssetPool[manufacturer_part_number]),"")</f>
        <v/>
      </c>
      <c r="T66" s="205" t="str">
        <f>IFERROR(_xlfn.XLOOKUP(F66,AssetPool[serial_number],AssetPool[category_name]),"")</f>
        <v/>
      </c>
    </row>
    <row r="67" spans="1:20" ht="18" customHeight="1" x14ac:dyDescent="0.2">
      <c r="A67" s="570" t="str">
        <f t="shared" si="0"/>
        <v/>
      </c>
      <c r="B67" s="571"/>
      <c r="C67" s="571"/>
      <c r="D67" s="571"/>
      <c r="E67" s="572"/>
      <c r="F67" s="570" t="str">
        <f>IF(Main!H48="","",Main!H48)</f>
        <v/>
      </c>
      <c r="G67" s="571"/>
      <c r="H67" s="572"/>
      <c r="I67" s="584" t="str">
        <f>IF(Q67="","",Main!H49)</f>
        <v/>
      </c>
      <c r="J67" s="585"/>
      <c r="K67" s="584" t="str">
        <f>IF(Q67="","",Main!H50)</f>
        <v/>
      </c>
      <c r="L67" s="585"/>
      <c r="M67" s="570" t="str">
        <f>IF(Q67="","",Main!H54)</f>
        <v/>
      </c>
      <c r="N67" s="571"/>
      <c r="O67" s="572"/>
      <c r="Q67" t="str">
        <f>IF(CERT!F67="","",6)</f>
        <v/>
      </c>
      <c r="R67" s="205" t="str">
        <f>IFERROR(_xlfn.XLOOKUP(F67,AssetPool[serial_number],AssetPool[manufacturer_part_number]),"")</f>
        <v/>
      </c>
      <c r="T67" s="205" t="str">
        <f>IFERROR(_xlfn.XLOOKUP(F67,AssetPool[serial_number],AssetPool[category_name]),"")</f>
        <v/>
      </c>
    </row>
    <row r="68" spans="1:20" ht="18" customHeight="1" x14ac:dyDescent="0.2">
      <c r="A68" s="570" t="str">
        <f t="shared" si="0"/>
        <v/>
      </c>
      <c r="B68" s="571"/>
      <c r="C68" s="571"/>
      <c r="D68" s="571"/>
      <c r="E68" s="572"/>
      <c r="F68" s="570" t="str">
        <f>IF(Main!I48="","",Main!I48)</f>
        <v/>
      </c>
      <c r="G68" s="571"/>
      <c r="H68" s="572"/>
      <c r="I68" s="584" t="str">
        <f>IF(Q68="","",Main!I49)</f>
        <v/>
      </c>
      <c r="J68" s="585"/>
      <c r="K68" s="584" t="str">
        <f>IF(Q68="","",Main!I50)</f>
        <v/>
      </c>
      <c r="L68" s="585"/>
      <c r="M68" s="570" t="str">
        <f>IF(Q68="","",Main!I54)</f>
        <v/>
      </c>
      <c r="N68" s="571"/>
      <c r="O68" s="572"/>
      <c r="Q68" t="str">
        <f>IF(CERT!F68="","",7)</f>
        <v/>
      </c>
      <c r="R68" s="205" t="str">
        <f>IFERROR(_xlfn.XLOOKUP(F68,AssetPool[serial_number],AssetPool[manufacturer_part_number]),"")</f>
        <v/>
      </c>
      <c r="T68" s="205" t="str">
        <f>IFERROR(_xlfn.XLOOKUP(F68,AssetPool[serial_number],AssetPool[category_name]),"")</f>
        <v/>
      </c>
    </row>
    <row r="69" spans="1:20" ht="18" customHeight="1" x14ac:dyDescent="0.2">
      <c r="A69" s="576" t="str">
        <f>IF(T69="","",CONCATENATE(T69," - ",R69))</f>
        <v/>
      </c>
      <c r="B69" s="577"/>
      <c r="C69" s="577"/>
      <c r="D69" s="577"/>
      <c r="E69" s="578"/>
      <c r="F69" s="576" t="str">
        <f>IF(Main!J48="","",Main!J48)</f>
        <v/>
      </c>
      <c r="G69" s="577"/>
      <c r="H69" s="578"/>
      <c r="I69" s="582" t="str">
        <f>IF(Q69="","",Main!J49)</f>
        <v/>
      </c>
      <c r="J69" s="583"/>
      <c r="K69" s="582" t="str">
        <f>IF(Q69="","",Main!J50)</f>
        <v/>
      </c>
      <c r="L69" s="583"/>
      <c r="M69" s="576" t="str">
        <f>IF(Q69="","",Main!J54)</f>
        <v/>
      </c>
      <c r="N69" s="577"/>
      <c r="O69" s="578"/>
    </row>
    <row r="70" spans="1:20" ht="18" customHeight="1" x14ac:dyDescent="0.2">
      <c r="B70" s="210"/>
      <c r="C70" s="210"/>
      <c r="D70" s="210"/>
      <c r="E70" s="210"/>
      <c r="F70" s="210"/>
      <c r="G70" s="210"/>
      <c r="H70" s="210"/>
      <c r="I70" s="211"/>
      <c r="J70" s="211"/>
      <c r="K70" s="211"/>
      <c r="L70" s="211"/>
      <c r="M70" s="210"/>
      <c r="N70" s="210"/>
      <c r="O70" s="210"/>
    </row>
    <row r="71" spans="1:20" ht="18" customHeight="1" x14ac:dyDescent="0.2">
      <c r="A71" s="569" t="s">
        <v>373</v>
      </c>
      <c r="B71" s="569"/>
      <c r="C71" s="569"/>
      <c r="D71" s="569"/>
      <c r="E71" s="569"/>
      <c r="F71" s="569"/>
      <c r="G71" s="569"/>
      <c r="H71" s="569"/>
      <c r="I71" s="569"/>
      <c r="J71" s="569"/>
      <c r="K71" s="569"/>
      <c r="L71" s="569"/>
      <c r="M71" s="569"/>
      <c r="N71" s="569"/>
      <c r="O71" s="569"/>
    </row>
    <row r="72" spans="1:20" ht="18" customHeight="1" x14ac:dyDescent="0.2">
      <c r="A72" s="569"/>
      <c r="B72" s="569"/>
      <c r="C72" s="569"/>
      <c r="D72" s="569"/>
      <c r="E72" s="569"/>
      <c r="F72" s="569"/>
      <c r="G72" s="569"/>
      <c r="H72" s="569"/>
      <c r="I72" s="569"/>
      <c r="J72" s="569"/>
      <c r="K72" s="569"/>
      <c r="L72" s="569"/>
      <c r="M72" s="569"/>
      <c r="N72" s="569"/>
      <c r="O72" s="569"/>
    </row>
    <row r="73" spans="1:20" ht="18" customHeight="1" x14ac:dyDescent="0.2">
      <c r="A73" s="569"/>
      <c r="B73" s="569"/>
      <c r="C73" s="569"/>
      <c r="D73" s="569"/>
      <c r="E73" s="569"/>
      <c r="F73" s="569"/>
      <c r="G73" s="569"/>
      <c r="H73" s="569"/>
      <c r="I73" s="569"/>
      <c r="J73" s="569"/>
      <c r="K73" s="569"/>
      <c r="L73" s="569"/>
      <c r="M73" s="569"/>
      <c r="N73" s="569"/>
      <c r="O73" s="569"/>
    </row>
    <row r="74" spans="1:20" ht="18" customHeight="1" x14ac:dyDescent="0.2"/>
    <row r="75" spans="1:20" ht="18" customHeight="1" x14ac:dyDescent="0.2"/>
    <row r="76" spans="1:20" ht="18" customHeight="1" x14ac:dyDescent="0.2"/>
    <row r="77" spans="1:20" ht="18" customHeight="1" x14ac:dyDescent="0.2"/>
    <row r="78" spans="1:20" ht="18" customHeight="1" x14ac:dyDescent="0.2">
      <c r="I78" s="81"/>
    </row>
    <row r="79" spans="1:20" ht="18" customHeight="1" x14ac:dyDescent="0.2"/>
    <row r="80" spans="1:20" ht="18" customHeight="1" x14ac:dyDescent="0.2">
      <c r="A80" s="246" t="s">
        <v>319</v>
      </c>
      <c r="N80" s="246" t="s">
        <v>320</v>
      </c>
    </row>
    <row r="81" ht="15" customHeight="1" x14ac:dyDescent="0.2"/>
    <row r="82" ht="15" customHeight="1" x14ac:dyDescent="0.2"/>
  </sheetData>
  <sheetProtection algorithmName="SHA-512" hashValue="G0w50PznA3Gu/B4ktva+EawZ4oCxUIib1VXWGy9SCw3zFaLPtb33IfxEkDwEyk51H2m1sGgTy4lSH0pH6ecLaA==" saltValue="v+qkALyChJdx0zsxfYVz2Q==" spinCount="100000" sheet="1" objects="1" scenarios="1" autoFilter="0"/>
  <dataConsolidate/>
  <mergeCells count="11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8"/>
  <sheetViews>
    <sheetView topLeftCell="N1"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53.85546875"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927</v>
      </c>
      <c r="R1" t="s">
        <v>928</v>
      </c>
      <c r="S1" t="s">
        <v>929</v>
      </c>
      <c r="T1" t="s">
        <v>930</v>
      </c>
      <c r="U1" t="s">
        <v>931</v>
      </c>
      <c r="V1" t="s">
        <v>932</v>
      </c>
      <c r="W1" t="s">
        <v>933</v>
      </c>
      <c r="X1" t="s">
        <v>934</v>
      </c>
      <c r="Y1" t="s">
        <v>935</v>
      </c>
      <c r="Z1" t="s">
        <v>936</v>
      </c>
      <c r="AA1" t="s">
        <v>937</v>
      </c>
      <c r="AB1" t="s">
        <v>938</v>
      </c>
      <c r="AC1" t="s">
        <v>939</v>
      </c>
      <c r="AD1" t="s">
        <v>940</v>
      </c>
      <c r="AE1" t="s">
        <v>941</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H6"/>
      <c r="J6"/>
      <c r="K6"/>
      <c r="L6"/>
      <c r="M6"/>
      <c r="N6"/>
      <c r="O6"/>
    </row>
    <row r="7" spans="1:31" x14ac:dyDescent="0.2">
      <c r="A7"/>
      <c r="B7"/>
      <c r="C7"/>
      <c r="F7"/>
      <c r="G7"/>
      <c r="L7"/>
      <c r="M7"/>
      <c r="N7"/>
      <c r="O7"/>
    </row>
    <row r="8" spans="1:31" x14ac:dyDescent="0.2">
      <c r="A8"/>
      <c r="B8"/>
      <c r="C8"/>
      <c r="F8"/>
      <c r="G8"/>
      <c r="I8"/>
      <c r="L8"/>
      <c r="M8"/>
      <c r="N8"/>
      <c r="O8"/>
    </row>
    <row r="9" spans="1:31" x14ac:dyDescent="0.2">
      <c r="A9"/>
      <c r="B9"/>
      <c r="C9"/>
      <c r="F9"/>
      <c r="G9"/>
      <c r="I9"/>
      <c r="L9"/>
      <c r="M9"/>
      <c r="N9"/>
      <c r="O9"/>
    </row>
    <row r="10" spans="1:31" x14ac:dyDescent="0.2">
      <c r="A10"/>
      <c r="B10"/>
      <c r="C10"/>
      <c r="F10"/>
      <c r="G10"/>
      <c r="H10"/>
      <c r="I10"/>
      <c r="L10"/>
      <c r="M10"/>
      <c r="N10"/>
      <c r="O10"/>
    </row>
    <row r="11" spans="1:31" x14ac:dyDescent="0.2">
      <c r="A11"/>
      <c r="B11"/>
      <c r="C11"/>
      <c r="F11"/>
      <c r="G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H14"/>
      <c r="I14"/>
      <c r="L14"/>
      <c r="M14"/>
      <c r="N14"/>
      <c r="O14"/>
    </row>
    <row r="15" spans="1:31" x14ac:dyDescent="0.2">
      <c r="A15"/>
      <c r="B15"/>
      <c r="C15"/>
      <c r="F15"/>
      <c r="G15"/>
      <c r="M15"/>
      <c r="N15"/>
      <c r="O15"/>
    </row>
    <row r="16" spans="1:31" x14ac:dyDescent="0.2">
      <c r="A16"/>
      <c r="B16"/>
      <c r="C16"/>
      <c r="F16"/>
      <c r="G16"/>
      <c r="L16"/>
      <c r="M16"/>
      <c r="N16"/>
      <c r="O16"/>
    </row>
    <row r="17" spans="1:15" x14ac:dyDescent="0.2">
      <c r="A17"/>
      <c r="B17"/>
      <c r="C17"/>
      <c r="F17"/>
      <c r="G17"/>
      <c r="M17"/>
      <c r="N17"/>
      <c r="O17"/>
    </row>
    <row r="18" spans="1:15" x14ac:dyDescent="0.2">
      <c r="A18"/>
      <c r="B18"/>
      <c r="C18"/>
      <c r="F18"/>
      <c r="G18"/>
      <c r="I18"/>
      <c r="L18"/>
      <c r="M18"/>
      <c r="N18"/>
      <c r="O18"/>
    </row>
    <row r="19" spans="1:15" x14ac:dyDescent="0.2">
      <c r="A19"/>
      <c r="B19"/>
      <c r="C19"/>
      <c r="F19"/>
      <c r="G19"/>
      <c r="I19"/>
      <c r="L19"/>
      <c r="M19"/>
      <c r="N19"/>
      <c r="O19"/>
    </row>
    <row r="20" spans="1:15" x14ac:dyDescent="0.2">
      <c r="A20"/>
      <c r="B20"/>
      <c r="C20"/>
      <c r="F20"/>
      <c r="G20"/>
      <c r="L20"/>
      <c r="M20"/>
      <c r="N20"/>
      <c r="O20"/>
    </row>
    <row r="21" spans="1:15" x14ac:dyDescent="0.2">
      <c r="A21"/>
      <c r="B21"/>
      <c r="C21"/>
      <c r="F21"/>
      <c r="G21"/>
      <c r="M21"/>
      <c r="N21"/>
      <c r="O21"/>
    </row>
    <row r="22" spans="1:15" x14ac:dyDescent="0.2">
      <c r="A22"/>
      <c r="B22"/>
      <c r="C22"/>
      <c r="F22"/>
      <c r="G22"/>
      <c r="I22"/>
      <c r="L22"/>
      <c r="M22"/>
      <c r="N22"/>
      <c r="O22"/>
    </row>
    <row r="23" spans="1:15" x14ac:dyDescent="0.2">
      <c r="A23"/>
      <c r="B23"/>
      <c r="C23"/>
      <c r="F23"/>
      <c r="G23"/>
      <c r="I23"/>
      <c r="L23"/>
      <c r="M23"/>
      <c r="N23"/>
      <c r="O23"/>
    </row>
    <row r="24" spans="1:15" x14ac:dyDescent="0.2">
      <c r="A24"/>
      <c r="B24"/>
      <c r="C24"/>
      <c r="F24"/>
      <c r="G24"/>
      <c r="J24"/>
      <c r="K24"/>
      <c r="L24"/>
      <c r="M24"/>
      <c r="N24"/>
      <c r="O24"/>
    </row>
    <row r="25" spans="1:15" x14ac:dyDescent="0.2">
      <c r="A25"/>
      <c r="B25"/>
      <c r="C25"/>
      <c r="F25"/>
      <c r="G25"/>
      <c r="I25"/>
      <c r="L25"/>
      <c r="M25"/>
      <c r="N25"/>
      <c r="O25"/>
    </row>
    <row r="26" spans="1:15" x14ac:dyDescent="0.2">
      <c r="A26"/>
      <c r="B26"/>
      <c r="C26"/>
      <c r="F26"/>
      <c r="G26"/>
      <c r="L26"/>
      <c r="M26"/>
      <c r="N26"/>
      <c r="O26"/>
    </row>
    <row r="27" spans="1:15" x14ac:dyDescent="0.2">
      <c r="A27"/>
      <c r="B27"/>
      <c r="C27"/>
      <c r="F27"/>
      <c r="G27"/>
      <c r="I27"/>
      <c r="L27"/>
      <c r="M27"/>
      <c r="N27"/>
      <c r="O27"/>
    </row>
    <row r="28" spans="1:15" x14ac:dyDescent="0.2">
      <c r="A28"/>
      <c r="B28"/>
      <c r="C28"/>
      <c r="F28"/>
      <c r="G28"/>
      <c r="I28"/>
      <c r="L28"/>
      <c r="M28"/>
      <c r="N28"/>
      <c r="O28"/>
    </row>
    <row r="29" spans="1:15" x14ac:dyDescent="0.2">
      <c r="A29"/>
      <c r="B29"/>
      <c r="C29"/>
      <c r="F29"/>
      <c r="G29"/>
      <c r="L29"/>
      <c r="N29"/>
      <c r="O29"/>
    </row>
    <row r="30" spans="1:15" x14ac:dyDescent="0.2">
      <c r="A30"/>
      <c r="B30"/>
      <c r="C30"/>
      <c r="F30"/>
      <c r="G30"/>
      <c r="L30"/>
      <c r="M30"/>
      <c r="N30"/>
      <c r="O30"/>
    </row>
    <row r="31" spans="1:15" x14ac:dyDescent="0.2">
      <c r="A31"/>
      <c r="B31"/>
      <c r="C31"/>
      <c r="F31"/>
      <c r="G31"/>
      <c r="H31"/>
      <c r="I31"/>
      <c r="L31"/>
      <c r="M31"/>
      <c r="N31"/>
      <c r="O31"/>
    </row>
    <row r="32" spans="1:15" x14ac:dyDescent="0.2">
      <c r="A32"/>
      <c r="B32"/>
      <c r="C32"/>
      <c r="F32"/>
      <c r="G32"/>
      <c r="L32"/>
      <c r="M32"/>
      <c r="N32"/>
      <c r="O32"/>
    </row>
    <row r="33" spans="1:15" x14ac:dyDescent="0.2">
      <c r="A33"/>
      <c r="B33"/>
      <c r="C33"/>
      <c r="F33"/>
      <c r="G33"/>
      <c r="I33"/>
      <c r="L33"/>
      <c r="M33"/>
      <c r="N33"/>
      <c r="O33"/>
    </row>
    <row r="34" spans="1:15" x14ac:dyDescent="0.2">
      <c r="A34"/>
      <c r="B34"/>
      <c r="C34"/>
      <c r="F34"/>
      <c r="G34"/>
      <c r="H34"/>
      <c r="I34"/>
      <c r="L34"/>
      <c r="M34"/>
      <c r="N34"/>
      <c r="O34"/>
    </row>
    <row r="35" spans="1:15" x14ac:dyDescent="0.2">
      <c r="A35"/>
      <c r="B35"/>
      <c r="C35"/>
      <c r="F35"/>
      <c r="G35"/>
      <c r="I35"/>
      <c r="L35"/>
      <c r="M35"/>
      <c r="N35"/>
      <c r="O35"/>
    </row>
    <row r="36" spans="1:15" x14ac:dyDescent="0.2">
      <c r="A36"/>
      <c r="B36"/>
      <c r="C36"/>
      <c r="F36"/>
      <c r="G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H41"/>
      <c r="I41"/>
      <c r="L41"/>
      <c r="M41"/>
      <c r="N41"/>
      <c r="O41"/>
    </row>
    <row r="42" spans="1:15" x14ac:dyDescent="0.2">
      <c r="A42"/>
      <c r="B42"/>
      <c r="C42"/>
      <c r="F42"/>
      <c r="G42"/>
      <c r="H42"/>
      <c r="I42"/>
      <c r="L42"/>
      <c r="M42"/>
      <c r="N42"/>
      <c r="O42"/>
    </row>
    <row r="43" spans="1:15" x14ac:dyDescent="0.2">
      <c r="A43"/>
      <c r="B43"/>
      <c r="C43"/>
      <c r="F43"/>
      <c r="G43"/>
      <c r="L43"/>
      <c r="M43"/>
      <c r="N43"/>
      <c r="O43"/>
    </row>
    <row r="44" spans="1:15" x14ac:dyDescent="0.2">
      <c r="A44"/>
      <c r="B44"/>
      <c r="C44"/>
      <c r="F44"/>
      <c r="G44"/>
      <c r="I44"/>
      <c r="L44"/>
      <c r="M44"/>
      <c r="N44"/>
      <c r="O44"/>
    </row>
    <row r="45" spans="1:15" x14ac:dyDescent="0.2">
      <c r="A45"/>
      <c r="B45"/>
      <c r="C45"/>
      <c r="F45"/>
      <c r="G45"/>
      <c r="I45"/>
      <c r="L45"/>
      <c r="M45"/>
      <c r="N45"/>
      <c r="O45"/>
    </row>
    <row r="46" spans="1:15" x14ac:dyDescent="0.2">
      <c r="A46"/>
      <c r="B46"/>
      <c r="C46"/>
      <c r="F46"/>
      <c r="G46"/>
      <c r="I46"/>
      <c r="L46"/>
      <c r="M46"/>
      <c r="N46"/>
      <c r="O46"/>
    </row>
    <row r="47" spans="1:15" x14ac:dyDescent="0.2">
      <c r="A47"/>
      <c r="B47"/>
      <c r="C47"/>
      <c r="F47"/>
      <c r="G47"/>
      <c r="H47"/>
      <c r="I47"/>
      <c r="L47"/>
      <c r="M47"/>
      <c r="N47"/>
      <c r="O47"/>
    </row>
    <row r="48" spans="1:15" x14ac:dyDescent="0.2">
      <c r="A48"/>
      <c r="B48"/>
      <c r="C48"/>
      <c r="F48"/>
      <c r="G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H52"/>
      <c r="J52"/>
      <c r="K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L55"/>
      <c r="M55"/>
      <c r="N55"/>
      <c r="O55"/>
    </row>
    <row r="56" spans="1:15" x14ac:dyDescent="0.2">
      <c r="A56"/>
      <c r="B56"/>
      <c r="C56"/>
      <c r="F56"/>
      <c r="G56"/>
      <c r="I56"/>
      <c r="L56"/>
      <c r="M56"/>
      <c r="N56"/>
      <c r="O56"/>
    </row>
    <row r="57" spans="1:15" x14ac:dyDescent="0.2">
      <c r="A57"/>
      <c r="B57"/>
      <c r="C57"/>
      <c r="F57"/>
      <c r="G57"/>
      <c r="H57"/>
      <c r="I57"/>
      <c r="L57"/>
      <c r="N57"/>
      <c r="O57"/>
    </row>
    <row r="58" spans="1:15" x14ac:dyDescent="0.2">
      <c r="A58"/>
      <c r="B58"/>
      <c r="C58"/>
      <c r="F58"/>
      <c r="G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I61"/>
      <c r="L61"/>
      <c r="M61"/>
      <c r="N61"/>
      <c r="O61"/>
    </row>
    <row r="62" spans="1:15" x14ac:dyDescent="0.2">
      <c r="A62"/>
      <c r="B62"/>
      <c r="C62"/>
      <c r="F62"/>
      <c r="G62"/>
      <c r="I62"/>
      <c r="L62"/>
      <c r="N62"/>
      <c r="O62"/>
    </row>
    <row r="63" spans="1:15" x14ac:dyDescent="0.2">
      <c r="A63"/>
      <c r="B63"/>
      <c r="C63"/>
      <c r="F63"/>
      <c r="G63"/>
      <c r="I63"/>
      <c r="L63"/>
      <c r="M63"/>
      <c r="N63"/>
      <c r="O63"/>
    </row>
    <row r="64" spans="1:15" x14ac:dyDescent="0.2">
      <c r="A64"/>
      <c r="B64"/>
      <c r="C64"/>
      <c r="F64"/>
      <c r="G64"/>
      <c r="H64"/>
      <c r="I64"/>
      <c r="L64"/>
      <c r="M64"/>
      <c r="N64"/>
      <c r="O64"/>
    </row>
    <row r="65" spans="1:15" x14ac:dyDescent="0.2">
      <c r="A65"/>
      <c r="B65"/>
      <c r="C65"/>
      <c r="F65"/>
      <c r="G65"/>
      <c r="H65"/>
      <c r="I65"/>
      <c r="L65"/>
      <c r="N65"/>
      <c r="O65"/>
    </row>
    <row r="66" spans="1:15" x14ac:dyDescent="0.2">
      <c r="A66"/>
      <c r="B66"/>
      <c r="C66"/>
      <c r="F66"/>
      <c r="G66"/>
      <c r="I66"/>
      <c r="L66"/>
      <c r="M66"/>
      <c r="N66"/>
      <c r="O66"/>
    </row>
    <row r="67" spans="1:15" x14ac:dyDescent="0.2">
      <c r="A67"/>
      <c r="B67"/>
      <c r="C67"/>
      <c r="F67"/>
      <c r="G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L72"/>
      <c r="M72"/>
      <c r="N72"/>
      <c r="O72"/>
    </row>
    <row r="73" spans="1:15" x14ac:dyDescent="0.2">
      <c r="A73"/>
      <c r="B73"/>
      <c r="C73"/>
      <c r="F73"/>
      <c r="G73"/>
      <c r="L73"/>
      <c r="M73"/>
      <c r="N73"/>
      <c r="O73"/>
    </row>
    <row r="74" spans="1:15" x14ac:dyDescent="0.2">
      <c r="A74"/>
      <c r="B74"/>
      <c r="C74"/>
      <c r="F74"/>
      <c r="G74"/>
      <c r="L74"/>
      <c r="M74"/>
      <c r="N74"/>
      <c r="O74"/>
    </row>
    <row r="75" spans="1:15" x14ac:dyDescent="0.2">
      <c r="A75"/>
      <c r="B75"/>
      <c r="C75"/>
      <c r="F75"/>
      <c r="G75"/>
      <c r="I75"/>
      <c r="L75"/>
      <c r="M75"/>
      <c r="N75"/>
      <c r="O75"/>
    </row>
    <row r="76" spans="1:15" x14ac:dyDescent="0.2">
      <c r="A76"/>
      <c r="B76"/>
      <c r="C76"/>
      <c r="F76"/>
      <c r="G76"/>
      <c r="I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H82"/>
      <c r="I82"/>
      <c r="L82"/>
      <c r="N82"/>
      <c r="O82"/>
    </row>
    <row r="83" spans="1:15" x14ac:dyDescent="0.2">
      <c r="A83"/>
      <c r="B83"/>
      <c r="C83"/>
      <c r="F83"/>
      <c r="G83"/>
      <c r="H83"/>
      <c r="J83"/>
      <c r="K83"/>
      <c r="L83"/>
      <c r="M83"/>
      <c r="N83"/>
      <c r="O83"/>
    </row>
    <row r="84" spans="1:15" x14ac:dyDescent="0.2">
      <c r="A84"/>
      <c r="B84"/>
      <c r="C84"/>
      <c r="F84"/>
      <c r="G84"/>
      <c r="H84"/>
      <c r="I84"/>
      <c r="L84"/>
      <c r="N84"/>
      <c r="O84"/>
    </row>
    <row r="85" spans="1:15" x14ac:dyDescent="0.2">
      <c r="A85"/>
      <c r="B85"/>
      <c r="C85"/>
      <c r="F85"/>
      <c r="G85"/>
      <c r="I85"/>
      <c r="J85"/>
      <c r="K85"/>
      <c r="L85"/>
      <c r="M85"/>
      <c r="N85"/>
      <c r="O85"/>
    </row>
    <row r="86" spans="1:15" x14ac:dyDescent="0.2">
      <c r="A86"/>
      <c r="B86"/>
      <c r="C86"/>
      <c r="F86"/>
      <c r="G86"/>
      <c r="I86"/>
      <c r="L86"/>
      <c r="M86"/>
      <c r="N86"/>
      <c r="O86"/>
    </row>
    <row r="87" spans="1:15" x14ac:dyDescent="0.2">
      <c r="A87"/>
      <c r="B87"/>
      <c r="C87"/>
      <c r="F87"/>
      <c r="G87"/>
      <c r="I87"/>
      <c r="L87"/>
      <c r="M87"/>
      <c r="N87"/>
      <c r="O87"/>
    </row>
    <row r="88" spans="1:15" x14ac:dyDescent="0.2">
      <c r="A88"/>
      <c r="B88"/>
      <c r="C88"/>
      <c r="F88"/>
      <c r="G88"/>
      <c r="I88"/>
      <c r="L88"/>
      <c r="M88"/>
      <c r="N88"/>
      <c r="O88"/>
    </row>
    <row r="89" spans="1:15" x14ac:dyDescent="0.2">
      <c r="A89"/>
      <c r="B89"/>
      <c r="C89"/>
      <c r="F89"/>
      <c r="G89"/>
      <c r="I89"/>
      <c r="J89"/>
      <c r="K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L92"/>
      <c r="M92"/>
      <c r="N92"/>
      <c r="O92"/>
    </row>
    <row r="93" spans="1:15" x14ac:dyDescent="0.2">
      <c r="A93"/>
      <c r="B93"/>
      <c r="C93"/>
      <c r="F93"/>
      <c r="G93"/>
      <c r="I93"/>
      <c r="J93"/>
      <c r="L93"/>
      <c r="M93"/>
      <c r="N93"/>
      <c r="O93"/>
    </row>
    <row r="94" spans="1:15" x14ac:dyDescent="0.2">
      <c r="A94"/>
      <c r="B94"/>
      <c r="C94"/>
      <c r="F94"/>
      <c r="G94"/>
      <c r="I94"/>
      <c r="L94"/>
      <c r="M94"/>
      <c r="N94"/>
      <c r="O94"/>
    </row>
    <row r="95" spans="1:15" x14ac:dyDescent="0.2">
      <c r="A95"/>
      <c r="B95"/>
      <c r="C95"/>
      <c r="F95"/>
      <c r="G95"/>
      <c r="I95"/>
      <c r="L95"/>
      <c r="M95"/>
      <c r="N95"/>
      <c r="O95"/>
    </row>
    <row r="96" spans="1:15" x14ac:dyDescent="0.2">
      <c r="A96"/>
      <c r="B96"/>
      <c r="C96"/>
      <c r="F96"/>
      <c r="G96"/>
      <c r="I96"/>
      <c r="L96"/>
      <c r="M96"/>
      <c r="N96"/>
      <c r="O96"/>
    </row>
    <row r="97" spans="1:15" x14ac:dyDescent="0.2">
      <c r="A97"/>
      <c r="B97"/>
      <c r="C97"/>
      <c r="F97"/>
      <c r="G97"/>
      <c r="N97"/>
      <c r="O97"/>
    </row>
    <row r="98" spans="1:15" x14ac:dyDescent="0.2">
      <c r="A98"/>
      <c r="B98"/>
      <c r="C98"/>
      <c r="F98"/>
      <c r="G98"/>
      <c r="L98"/>
      <c r="M98"/>
      <c r="N98"/>
      <c r="O98"/>
    </row>
    <row r="99" spans="1:15" x14ac:dyDescent="0.2">
      <c r="A99"/>
      <c r="B99"/>
      <c r="C99"/>
      <c r="F99"/>
      <c r="G99"/>
      <c r="L99"/>
      <c r="M99"/>
      <c r="N99"/>
      <c r="O99"/>
    </row>
    <row r="100" spans="1:15" x14ac:dyDescent="0.2">
      <c r="A100"/>
      <c r="B100"/>
      <c r="C100"/>
      <c r="F100"/>
      <c r="G100"/>
      <c r="I100"/>
      <c r="L100"/>
      <c r="M100"/>
      <c r="N100"/>
      <c r="O100"/>
    </row>
    <row r="101" spans="1:15" x14ac:dyDescent="0.2">
      <c r="A101"/>
      <c r="B101"/>
      <c r="C101"/>
      <c r="F101"/>
      <c r="G101"/>
      <c r="I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L104"/>
      <c r="M104"/>
      <c r="N104"/>
      <c r="O104"/>
    </row>
    <row r="105" spans="1:15" x14ac:dyDescent="0.2">
      <c r="A105"/>
      <c r="B105"/>
      <c r="C105"/>
      <c r="F105"/>
      <c r="G105"/>
      <c r="L105"/>
      <c r="M105"/>
      <c r="N105"/>
      <c r="O105"/>
    </row>
    <row r="106" spans="1:15" x14ac:dyDescent="0.2">
      <c r="A106"/>
      <c r="B106"/>
      <c r="C106"/>
      <c r="F106"/>
      <c r="G106"/>
      <c r="H106"/>
      <c r="J106"/>
      <c r="K106"/>
      <c r="L106"/>
      <c r="M106"/>
      <c r="N106"/>
      <c r="O106"/>
    </row>
    <row r="107" spans="1:15" x14ac:dyDescent="0.2">
      <c r="A107"/>
      <c r="B107"/>
      <c r="C107"/>
      <c r="F107"/>
      <c r="G107"/>
      <c r="L107"/>
      <c r="M107"/>
      <c r="N107"/>
      <c r="O107"/>
    </row>
    <row r="108" spans="1:15" x14ac:dyDescent="0.2">
      <c r="A108"/>
      <c r="B108"/>
      <c r="C108"/>
      <c r="F108"/>
      <c r="G108"/>
      <c r="I108"/>
      <c r="L108"/>
      <c r="M108"/>
      <c r="N108"/>
      <c r="O108"/>
    </row>
    <row r="109" spans="1:15" x14ac:dyDescent="0.2">
      <c r="A109"/>
      <c r="B109"/>
      <c r="C109"/>
      <c r="F109"/>
      <c r="G109"/>
      <c r="I109"/>
      <c r="L109"/>
      <c r="M109"/>
      <c r="N109"/>
      <c r="O109"/>
    </row>
    <row r="110" spans="1:15" x14ac:dyDescent="0.2">
      <c r="A110"/>
      <c r="B110"/>
      <c r="C110"/>
      <c r="F110"/>
      <c r="G110"/>
      <c r="L110"/>
      <c r="M110"/>
      <c r="N110"/>
      <c r="O110"/>
    </row>
    <row r="111" spans="1:15" x14ac:dyDescent="0.2">
      <c r="A111"/>
      <c r="B111"/>
      <c r="C111"/>
      <c r="F111"/>
      <c r="G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I114"/>
      <c r="L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H118"/>
      <c r="I118"/>
      <c r="L118"/>
      <c r="N118"/>
      <c r="O118"/>
    </row>
    <row r="119" spans="1:15" x14ac:dyDescent="0.2">
      <c r="A119"/>
      <c r="B119"/>
      <c r="C119"/>
      <c r="F119"/>
      <c r="G119"/>
      <c r="L119"/>
      <c r="M119"/>
      <c r="N119"/>
      <c r="O119"/>
    </row>
    <row r="120" spans="1:15" x14ac:dyDescent="0.2">
      <c r="A120"/>
      <c r="B120"/>
      <c r="C120"/>
      <c r="F120"/>
      <c r="G120"/>
      <c r="L120"/>
      <c r="M120"/>
      <c r="N120"/>
      <c r="O120"/>
    </row>
    <row r="121" spans="1:15" x14ac:dyDescent="0.2">
      <c r="A121"/>
      <c r="B121"/>
      <c r="C121"/>
      <c r="F121"/>
      <c r="G121"/>
      <c r="H121"/>
      <c r="I121"/>
      <c r="L121"/>
      <c r="N121"/>
      <c r="O121"/>
    </row>
    <row r="122" spans="1:15" x14ac:dyDescent="0.2">
      <c r="A122"/>
      <c r="B122"/>
      <c r="C122"/>
      <c r="F122"/>
      <c r="G122"/>
      <c r="H122"/>
      <c r="J122"/>
      <c r="K122"/>
      <c r="L122"/>
      <c r="M122"/>
      <c r="N122"/>
      <c r="O122"/>
    </row>
    <row r="123" spans="1:15" x14ac:dyDescent="0.2">
      <c r="A123"/>
      <c r="B123"/>
      <c r="C123"/>
      <c r="F123"/>
      <c r="G123"/>
      <c r="I123"/>
      <c r="L123"/>
      <c r="M123"/>
      <c r="N123"/>
      <c r="O123"/>
    </row>
    <row r="124" spans="1:15" x14ac:dyDescent="0.2">
      <c r="A124"/>
      <c r="B124"/>
      <c r="C124"/>
      <c r="F124"/>
      <c r="G124"/>
      <c r="H124"/>
      <c r="I124"/>
      <c r="L124"/>
      <c r="N124"/>
      <c r="O124"/>
    </row>
    <row r="125" spans="1:15" x14ac:dyDescent="0.2">
      <c r="A125"/>
      <c r="B125"/>
      <c r="C125"/>
      <c r="F125"/>
      <c r="G125"/>
      <c r="I125"/>
      <c r="L125"/>
      <c r="M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L130"/>
      <c r="M130"/>
      <c r="N130"/>
      <c r="O130"/>
    </row>
    <row r="131" spans="1:15" x14ac:dyDescent="0.2">
      <c r="A131"/>
      <c r="B131"/>
      <c r="C131"/>
      <c r="F131"/>
      <c r="G131"/>
      <c r="I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M134"/>
      <c r="N134"/>
      <c r="O134"/>
    </row>
    <row r="135" spans="1:15" x14ac:dyDescent="0.2">
      <c r="A135"/>
      <c r="B135"/>
      <c r="C135"/>
      <c r="F135"/>
      <c r="G135"/>
      <c r="L135"/>
      <c r="M135"/>
      <c r="N135"/>
      <c r="O135"/>
    </row>
    <row r="136" spans="1:15" x14ac:dyDescent="0.2">
      <c r="A136"/>
      <c r="B136"/>
      <c r="C136"/>
      <c r="F136"/>
      <c r="G136"/>
      <c r="I136"/>
      <c r="L136"/>
      <c r="M136"/>
      <c r="N136"/>
      <c r="O136"/>
    </row>
    <row r="137" spans="1:15" x14ac:dyDescent="0.2">
      <c r="A137"/>
      <c r="B137"/>
      <c r="C137"/>
      <c r="F137"/>
      <c r="G137"/>
      <c r="I137"/>
      <c r="L137"/>
      <c r="M137"/>
      <c r="N137"/>
      <c r="O137"/>
    </row>
    <row r="138" spans="1:15" x14ac:dyDescent="0.2">
      <c r="A138"/>
      <c r="B138"/>
      <c r="C138"/>
      <c r="F138"/>
      <c r="G138"/>
      <c r="L138"/>
      <c r="M138"/>
      <c r="N138"/>
      <c r="O138"/>
    </row>
    <row r="139" spans="1:15" x14ac:dyDescent="0.2">
      <c r="A139"/>
      <c r="B139"/>
      <c r="C139"/>
      <c r="F139"/>
      <c r="G139"/>
      <c r="J139"/>
      <c r="K139"/>
      <c r="L139"/>
      <c r="M139"/>
      <c r="N139"/>
      <c r="O139"/>
    </row>
    <row r="140" spans="1:15" x14ac:dyDescent="0.2">
      <c r="A140"/>
      <c r="B140"/>
      <c r="C140"/>
      <c r="F140"/>
      <c r="G140"/>
      <c r="H140"/>
      <c r="J140"/>
      <c r="K140"/>
      <c r="L140"/>
      <c r="M140"/>
      <c r="N140"/>
      <c r="O140"/>
    </row>
    <row r="141" spans="1:15" x14ac:dyDescent="0.2">
      <c r="A141"/>
      <c r="B141"/>
      <c r="C141"/>
      <c r="F141"/>
      <c r="G141"/>
      <c r="H141"/>
      <c r="J141"/>
      <c r="K141"/>
      <c r="L141"/>
      <c r="M141"/>
      <c r="N141"/>
      <c r="O141"/>
    </row>
    <row r="142" spans="1:15" x14ac:dyDescent="0.2">
      <c r="A142"/>
      <c r="B142"/>
      <c r="C142"/>
      <c r="F142"/>
      <c r="G142"/>
      <c r="L142"/>
      <c r="M142"/>
      <c r="N142"/>
      <c r="O142"/>
    </row>
    <row r="143" spans="1:15" x14ac:dyDescent="0.2">
      <c r="A143"/>
      <c r="B143"/>
      <c r="C143"/>
      <c r="F143"/>
      <c r="G143"/>
      <c r="H143"/>
      <c r="J143"/>
      <c r="K143"/>
      <c r="L143"/>
      <c r="M143"/>
      <c r="N143"/>
      <c r="O143"/>
    </row>
    <row r="144" spans="1:15" x14ac:dyDescent="0.2">
      <c r="A144"/>
      <c r="B144"/>
      <c r="C144"/>
      <c r="F144"/>
      <c r="G144"/>
      <c r="J144"/>
      <c r="K144"/>
      <c r="L144"/>
      <c r="M144"/>
      <c r="N144"/>
      <c r="O144"/>
    </row>
    <row r="145" spans="1:15" x14ac:dyDescent="0.2">
      <c r="A145"/>
      <c r="B145"/>
      <c r="C145"/>
      <c r="F145"/>
      <c r="G145"/>
      <c r="H145"/>
      <c r="J145"/>
      <c r="K145"/>
      <c r="L145"/>
      <c r="M145"/>
      <c r="N145"/>
      <c r="O145"/>
    </row>
    <row r="146" spans="1:15" x14ac:dyDescent="0.2">
      <c r="A146"/>
      <c r="B146"/>
      <c r="C146"/>
      <c r="F146"/>
      <c r="G146"/>
      <c r="I146"/>
      <c r="L146"/>
      <c r="M146"/>
      <c r="N146"/>
      <c r="O146"/>
    </row>
    <row r="147" spans="1:15" x14ac:dyDescent="0.2">
      <c r="A147"/>
      <c r="B147"/>
      <c r="C147"/>
      <c r="F147"/>
      <c r="G147"/>
      <c r="I147"/>
      <c r="L147"/>
      <c r="M147"/>
      <c r="N147"/>
      <c r="O147"/>
    </row>
    <row r="148" spans="1:15" x14ac:dyDescent="0.2">
      <c r="A148"/>
      <c r="B148"/>
      <c r="C148"/>
      <c r="F148"/>
      <c r="G148"/>
      <c r="H148"/>
      <c r="I148"/>
      <c r="L148"/>
      <c r="M148"/>
      <c r="N148"/>
      <c r="O148"/>
    </row>
    <row r="149" spans="1:15" x14ac:dyDescent="0.2">
      <c r="A149"/>
      <c r="B149"/>
      <c r="C149"/>
      <c r="F149"/>
      <c r="G149"/>
      <c r="H149"/>
      <c r="I149"/>
      <c r="L149"/>
      <c r="M149"/>
      <c r="N149"/>
      <c r="O149"/>
    </row>
    <row r="150" spans="1:15" x14ac:dyDescent="0.2">
      <c r="A150"/>
      <c r="B150"/>
      <c r="C150"/>
      <c r="F150"/>
      <c r="G150"/>
      <c r="I150"/>
      <c r="L150"/>
      <c r="M150"/>
      <c r="N150"/>
      <c r="O150"/>
    </row>
    <row r="151" spans="1:15" x14ac:dyDescent="0.2">
      <c r="A151"/>
      <c r="B151"/>
      <c r="C151"/>
      <c r="F151"/>
      <c r="G151"/>
      <c r="L151"/>
      <c r="M151"/>
      <c r="N151"/>
      <c r="O151"/>
    </row>
    <row r="152" spans="1:15" x14ac:dyDescent="0.2">
      <c r="A152"/>
      <c r="B152"/>
      <c r="C152"/>
      <c r="F152"/>
      <c r="G152"/>
      <c r="I152"/>
      <c r="L152"/>
      <c r="M152"/>
      <c r="N152"/>
      <c r="O152"/>
    </row>
    <row r="153" spans="1:15" x14ac:dyDescent="0.2">
      <c r="A153"/>
      <c r="B153"/>
      <c r="C153"/>
      <c r="F153"/>
      <c r="G153"/>
      <c r="L153"/>
      <c r="M153"/>
      <c r="N153"/>
      <c r="O153"/>
    </row>
    <row r="154" spans="1:15" x14ac:dyDescent="0.2">
      <c r="A154"/>
      <c r="B154"/>
      <c r="C154"/>
      <c r="F154"/>
      <c r="G154"/>
      <c r="L154"/>
      <c r="M154"/>
      <c r="N154"/>
      <c r="O154"/>
    </row>
    <row r="155" spans="1:15" x14ac:dyDescent="0.2">
      <c r="A155"/>
      <c r="B155"/>
      <c r="C155"/>
      <c r="F155"/>
      <c r="G155"/>
      <c r="H155"/>
      <c r="I155"/>
      <c r="L155"/>
      <c r="M155"/>
      <c r="N155"/>
      <c r="O155"/>
    </row>
    <row r="156" spans="1:15" x14ac:dyDescent="0.2">
      <c r="A156"/>
      <c r="B156"/>
      <c r="C156"/>
      <c r="F156"/>
      <c r="G156"/>
      <c r="H156"/>
      <c r="I156"/>
      <c r="L156"/>
      <c r="M156"/>
      <c r="N156"/>
      <c r="O156"/>
    </row>
    <row r="157" spans="1:15" x14ac:dyDescent="0.2">
      <c r="A157"/>
      <c r="B157"/>
      <c r="C157"/>
      <c r="F157"/>
      <c r="G157"/>
      <c r="I157"/>
      <c r="L157"/>
      <c r="M157"/>
      <c r="N157"/>
      <c r="O157"/>
    </row>
    <row r="158" spans="1:15" x14ac:dyDescent="0.2">
      <c r="A158"/>
      <c r="B158"/>
      <c r="C158"/>
      <c r="F158"/>
      <c r="G158"/>
      <c r="H158"/>
      <c r="I158"/>
      <c r="L158"/>
      <c r="M158"/>
      <c r="N158"/>
      <c r="O158"/>
    </row>
    <row r="159" spans="1:15" x14ac:dyDescent="0.2">
      <c r="A159"/>
      <c r="B159"/>
      <c r="C159"/>
      <c r="F159"/>
      <c r="G159"/>
      <c r="M159"/>
      <c r="N159"/>
      <c r="O159"/>
    </row>
    <row r="160" spans="1:15" x14ac:dyDescent="0.2">
      <c r="A160"/>
      <c r="B160"/>
      <c r="C160"/>
      <c r="F160"/>
      <c r="G160"/>
      <c r="I160"/>
      <c r="L160"/>
      <c r="M160"/>
      <c r="N160"/>
      <c r="O160"/>
    </row>
    <row r="161" spans="1:15" x14ac:dyDescent="0.2">
      <c r="A161"/>
      <c r="B161"/>
      <c r="C161"/>
      <c r="F161"/>
      <c r="G161"/>
      <c r="H161"/>
      <c r="I161"/>
      <c r="L161"/>
      <c r="N161"/>
      <c r="O161"/>
    </row>
    <row r="162" spans="1:15" x14ac:dyDescent="0.2">
      <c r="A162"/>
      <c r="B162"/>
      <c r="C162"/>
      <c r="F162"/>
      <c r="G162"/>
      <c r="H162"/>
      <c r="I162"/>
      <c r="L162"/>
      <c r="M162"/>
      <c r="N162"/>
      <c r="O162"/>
    </row>
    <row r="163" spans="1:15" x14ac:dyDescent="0.2">
      <c r="A163"/>
      <c r="B163"/>
      <c r="C163"/>
      <c r="F163"/>
      <c r="G163"/>
      <c r="H163"/>
      <c r="J163"/>
      <c r="K163"/>
      <c r="L163"/>
      <c r="M163"/>
      <c r="N163"/>
      <c r="O163"/>
    </row>
    <row r="164" spans="1:15" x14ac:dyDescent="0.2">
      <c r="A164"/>
      <c r="B164"/>
      <c r="C164"/>
      <c r="F164"/>
      <c r="G164"/>
      <c r="H164"/>
      <c r="I164"/>
      <c r="L164"/>
      <c r="M164"/>
      <c r="N164"/>
      <c r="O164"/>
    </row>
    <row r="165" spans="1:15" x14ac:dyDescent="0.2">
      <c r="A165"/>
      <c r="B165"/>
      <c r="C165"/>
      <c r="F165"/>
      <c r="G165"/>
      <c r="I165"/>
      <c r="L165"/>
      <c r="M165"/>
      <c r="N165"/>
      <c r="O165"/>
    </row>
    <row r="166" spans="1:15" x14ac:dyDescent="0.2">
      <c r="A166"/>
      <c r="B166"/>
      <c r="C166"/>
      <c r="F166"/>
      <c r="G166"/>
      <c r="H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I169"/>
      <c r="L169"/>
      <c r="M169"/>
      <c r="N169"/>
      <c r="O169"/>
    </row>
    <row r="170" spans="1:15" x14ac:dyDescent="0.2">
      <c r="A170"/>
      <c r="B170"/>
      <c r="C170"/>
      <c r="F170"/>
      <c r="G170"/>
      <c r="H170"/>
      <c r="I170"/>
      <c r="L170"/>
      <c r="M170"/>
      <c r="N170"/>
      <c r="O170"/>
    </row>
    <row r="171" spans="1:15" x14ac:dyDescent="0.2">
      <c r="A171"/>
      <c r="B171"/>
      <c r="C171"/>
      <c r="F171"/>
      <c r="G171"/>
      <c r="M171"/>
      <c r="N171"/>
      <c r="O171"/>
    </row>
    <row r="172" spans="1:15" x14ac:dyDescent="0.2">
      <c r="A172"/>
      <c r="B172"/>
      <c r="C172"/>
      <c r="F172"/>
      <c r="G172"/>
      <c r="H172"/>
      <c r="J172"/>
      <c r="K172"/>
      <c r="L172"/>
      <c r="M172"/>
      <c r="N172"/>
      <c r="O172"/>
    </row>
    <row r="173" spans="1:15" x14ac:dyDescent="0.2">
      <c r="A173"/>
      <c r="B173"/>
      <c r="C173"/>
      <c r="F173"/>
      <c r="G173"/>
      <c r="H173"/>
      <c r="J173"/>
      <c r="K173"/>
      <c r="L173"/>
      <c r="M173"/>
      <c r="N173"/>
      <c r="O173"/>
    </row>
    <row r="174" spans="1:15" x14ac:dyDescent="0.2">
      <c r="A174"/>
      <c r="B174"/>
      <c r="C174"/>
      <c r="F174"/>
      <c r="G174"/>
      <c r="L174"/>
      <c r="M174"/>
      <c r="N174"/>
      <c r="O174"/>
    </row>
    <row r="175" spans="1:15" x14ac:dyDescent="0.2">
      <c r="A175"/>
      <c r="B175"/>
      <c r="C175"/>
      <c r="F175"/>
      <c r="G175"/>
      <c r="H175"/>
      <c r="J175"/>
      <c r="K175"/>
      <c r="L175"/>
      <c r="M175"/>
      <c r="N175"/>
      <c r="O175"/>
    </row>
    <row r="176" spans="1:15" x14ac:dyDescent="0.2">
      <c r="A176"/>
      <c r="B176"/>
      <c r="C176"/>
      <c r="F176"/>
      <c r="G176"/>
      <c r="H176"/>
      <c r="I176"/>
      <c r="J176"/>
      <c r="K176"/>
      <c r="L176"/>
      <c r="M176"/>
      <c r="N176"/>
      <c r="O176"/>
    </row>
    <row r="177" spans="1:15" x14ac:dyDescent="0.2">
      <c r="A177"/>
      <c r="B177"/>
      <c r="C177"/>
      <c r="F177"/>
      <c r="G177"/>
      <c r="I177"/>
      <c r="L177"/>
      <c r="M177"/>
      <c r="N177"/>
      <c r="O177"/>
    </row>
    <row r="178" spans="1:15" x14ac:dyDescent="0.2">
      <c r="A178"/>
      <c r="B178"/>
      <c r="C178"/>
      <c r="F178"/>
      <c r="G178"/>
      <c r="H178"/>
      <c r="I178"/>
      <c r="L178"/>
      <c r="M178"/>
      <c r="N178"/>
      <c r="O178"/>
    </row>
    <row r="179" spans="1:15" x14ac:dyDescent="0.2">
      <c r="A179"/>
      <c r="B179"/>
      <c r="C179"/>
      <c r="F179"/>
      <c r="G179"/>
      <c r="H179"/>
      <c r="I179"/>
      <c r="L179"/>
      <c r="M179"/>
      <c r="N179"/>
      <c r="O179"/>
    </row>
    <row r="180" spans="1:15" x14ac:dyDescent="0.2">
      <c r="A180"/>
      <c r="B180"/>
      <c r="C180"/>
      <c r="F180"/>
      <c r="G180"/>
      <c r="I180"/>
      <c r="L180"/>
      <c r="M180"/>
      <c r="N180"/>
      <c r="O180"/>
    </row>
    <row r="181" spans="1:15" x14ac:dyDescent="0.2">
      <c r="A181"/>
      <c r="B181"/>
      <c r="C181"/>
      <c r="F181"/>
      <c r="G181"/>
      <c r="M181"/>
      <c r="N181"/>
      <c r="O181"/>
    </row>
    <row r="182" spans="1:15" x14ac:dyDescent="0.2">
      <c r="A182"/>
      <c r="B182"/>
      <c r="C182"/>
      <c r="F182"/>
      <c r="G182"/>
      <c r="H182"/>
      <c r="I182"/>
      <c r="L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L186"/>
      <c r="M186"/>
      <c r="N186"/>
      <c r="O186"/>
    </row>
    <row r="187" spans="1:15" x14ac:dyDescent="0.2">
      <c r="A187"/>
      <c r="B187"/>
      <c r="C187"/>
      <c r="F187"/>
      <c r="G187"/>
      <c r="M187"/>
      <c r="N187"/>
      <c r="O187"/>
    </row>
    <row r="188" spans="1:15" x14ac:dyDescent="0.2">
      <c r="A188"/>
      <c r="B188"/>
      <c r="C188"/>
      <c r="F188"/>
      <c r="G188"/>
      <c r="M188"/>
      <c r="N188"/>
      <c r="O188"/>
    </row>
    <row r="189" spans="1:15" x14ac:dyDescent="0.2">
      <c r="A189"/>
      <c r="B189"/>
      <c r="C189"/>
      <c r="F189"/>
      <c r="G189"/>
      <c r="H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H192"/>
      <c r="I192"/>
      <c r="L192"/>
      <c r="M192"/>
      <c r="N192"/>
      <c r="O192"/>
    </row>
    <row r="193" spans="1:15" x14ac:dyDescent="0.2">
      <c r="A193"/>
      <c r="B193"/>
      <c r="C193"/>
      <c r="F193"/>
      <c r="G193"/>
      <c r="L193"/>
      <c r="M193"/>
      <c r="N193"/>
      <c r="O193"/>
    </row>
    <row r="194" spans="1:15" x14ac:dyDescent="0.2">
      <c r="A194"/>
      <c r="B194"/>
      <c r="C194"/>
      <c r="F194"/>
      <c r="G194"/>
      <c r="L194"/>
      <c r="M194"/>
      <c r="N194"/>
      <c r="O194"/>
    </row>
    <row r="195" spans="1:15" x14ac:dyDescent="0.2">
      <c r="A195"/>
      <c r="B195"/>
      <c r="C195"/>
      <c r="F195"/>
      <c r="G195"/>
      <c r="H195"/>
      <c r="I195"/>
      <c r="L195"/>
      <c r="M195"/>
      <c r="N195"/>
      <c r="O195"/>
    </row>
    <row r="196" spans="1:15" x14ac:dyDescent="0.2">
      <c r="A196"/>
      <c r="B196"/>
      <c r="C196"/>
      <c r="F196"/>
      <c r="G196"/>
      <c r="I196"/>
      <c r="L196"/>
      <c r="M196"/>
      <c r="N196"/>
      <c r="O196"/>
    </row>
    <row r="197" spans="1:15" x14ac:dyDescent="0.2">
      <c r="A197"/>
      <c r="B197"/>
      <c r="C197"/>
      <c r="F197"/>
      <c r="G197"/>
      <c r="I197"/>
      <c r="L197"/>
      <c r="M197"/>
      <c r="N197"/>
      <c r="O197"/>
    </row>
    <row r="198" spans="1:15" x14ac:dyDescent="0.2">
      <c r="A198"/>
      <c r="B198"/>
      <c r="C198"/>
      <c r="F198"/>
      <c r="G198"/>
      <c r="I198"/>
      <c r="L198"/>
      <c r="M198"/>
      <c r="N198"/>
      <c r="O198"/>
    </row>
    <row r="199" spans="1:15" x14ac:dyDescent="0.2">
      <c r="A199"/>
      <c r="B199"/>
      <c r="C199"/>
      <c r="F199"/>
      <c r="G199"/>
      <c r="L199"/>
      <c r="M199"/>
      <c r="N199"/>
      <c r="O199"/>
    </row>
    <row r="200" spans="1:15" x14ac:dyDescent="0.2">
      <c r="A200"/>
      <c r="B200"/>
      <c r="C200"/>
      <c r="F200"/>
      <c r="G200"/>
      <c r="H200"/>
      <c r="L200"/>
      <c r="M200"/>
      <c r="N200"/>
      <c r="O200"/>
    </row>
    <row r="201" spans="1:15" x14ac:dyDescent="0.2">
      <c r="A201"/>
      <c r="B201"/>
      <c r="C201"/>
      <c r="F201"/>
      <c r="G201"/>
      <c r="H201"/>
      <c r="I201"/>
      <c r="L201"/>
      <c r="N201"/>
      <c r="O201"/>
    </row>
    <row r="202" spans="1:15" x14ac:dyDescent="0.2">
      <c r="A202"/>
      <c r="B202"/>
      <c r="C202"/>
      <c r="F202"/>
      <c r="G202"/>
      <c r="L202"/>
      <c r="M202"/>
      <c r="N202"/>
      <c r="O202"/>
    </row>
    <row r="203" spans="1:15" x14ac:dyDescent="0.2">
      <c r="A203"/>
      <c r="B203"/>
      <c r="C203"/>
      <c r="F203"/>
      <c r="G203"/>
      <c r="H203"/>
      <c r="I203"/>
      <c r="L203"/>
      <c r="M203"/>
      <c r="N203"/>
      <c r="O203"/>
    </row>
    <row r="204" spans="1:15" x14ac:dyDescent="0.2">
      <c r="A204"/>
      <c r="B204"/>
      <c r="C204"/>
      <c r="F204"/>
      <c r="G204"/>
      <c r="H204"/>
      <c r="I204"/>
      <c r="L204"/>
      <c r="M204"/>
      <c r="N204"/>
      <c r="O204"/>
    </row>
    <row r="205" spans="1:15" x14ac:dyDescent="0.2">
      <c r="A205"/>
      <c r="B205"/>
      <c r="C205"/>
      <c r="F205"/>
      <c r="G205"/>
      <c r="H205"/>
      <c r="I205"/>
      <c r="L205"/>
      <c r="M205"/>
      <c r="N205"/>
      <c r="O205"/>
    </row>
    <row r="206" spans="1:15" x14ac:dyDescent="0.2">
      <c r="A206"/>
      <c r="B206"/>
      <c r="C206"/>
      <c r="F206"/>
      <c r="G206"/>
      <c r="H206"/>
      <c r="I206"/>
      <c r="L206"/>
      <c r="M206"/>
      <c r="N206"/>
      <c r="O206"/>
    </row>
    <row r="207" spans="1:15" x14ac:dyDescent="0.2">
      <c r="A207"/>
      <c r="B207"/>
      <c r="C207"/>
      <c r="F207"/>
      <c r="G207"/>
      <c r="I207"/>
      <c r="L207"/>
      <c r="M207"/>
      <c r="N207"/>
      <c r="O207"/>
    </row>
    <row r="208" spans="1:15" x14ac:dyDescent="0.2">
      <c r="A208"/>
      <c r="B208"/>
      <c r="C208"/>
      <c r="F208"/>
      <c r="G208"/>
      <c r="I208"/>
      <c r="L208"/>
      <c r="M208"/>
      <c r="N208"/>
      <c r="O208"/>
    </row>
    <row r="209" spans="1:15" x14ac:dyDescent="0.2">
      <c r="A209"/>
      <c r="B209"/>
      <c r="C209"/>
      <c r="F209"/>
      <c r="G209"/>
      <c r="H209"/>
      <c r="I209"/>
      <c r="L209"/>
      <c r="M209"/>
      <c r="N209"/>
      <c r="O209"/>
    </row>
    <row r="210" spans="1:15" x14ac:dyDescent="0.2">
      <c r="A210"/>
      <c r="B210"/>
      <c r="C210"/>
      <c r="F210"/>
      <c r="G210"/>
      <c r="H210"/>
      <c r="I210"/>
      <c r="J210"/>
      <c r="K210"/>
      <c r="L210"/>
      <c r="M210"/>
      <c r="N210"/>
      <c r="O210"/>
    </row>
    <row r="211" spans="1:15" x14ac:dyDescent="0.2">
      <c r="A211"/>
      <c r="B211"/>
      <c r="C211"/>
      <c r="F211"/>
      <c r="G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H215"/>
      <c r="I215"/>
      <c r="L215"/>
      <c r="M215"/>
      <c r="N215"/>
      <c r="O215"/>
    </row>
    <row r="216" spans="1:15" x14ac:dyDescent="0.2">
      <c r="A216"/>
      <c r="B216"/>
      <c r="C216"/>
      <c r="F216"/>
      <c r="G216"/>
      <c r="I216"/>
      <c r="L216"/>
      <c r="M216"/>
      <c r="N216"/>
      <c r="O216"/>
    </row>
    <row r="217" spans="1:15" x14ac:dyDescent="0.2">
      <c r="A217"/>
      <c r="B217"/>
      <c r="C217"/>
      <c r="F217"/>
      <c r="G217"/>
      <c r="L217"/>
      <c r="M217"/>
      <c r="N217"/>
      <c r="O217"/>
    </row>
    <row r="218" spans="1:15" x14ac:dyDescent="0.2">
      <c r="A218"/>
      <c r="B218"/>
      <c r="C218"/>
      <c r="F218"/>
      <c r="G218"/>
      <c r="M218"/>
      <c r="N218"/>
      <c r="O218"/>
    </row>
    <row r="219" spans="1:15" x14ac:dyDescent="0.2">
      <c r="A219"/>
      <c r="B219"/>
      <c r="C219"/>
      <c r="F219"/>
      <c r="G219"/>
      <c r="H219"/>
      <c r="I219"/>
      <c r="L219"/>
      <c r="M219"/>
      <c r="N219"/>
      <c r="O219"/>
    </row>
    <row r="220" spans="1:15" x14ac:dyDescent="0.2">
      <c r="A220"/>
      <c r="B220"/>
      <c r="C220"/>
      <c r="F220"/>
      <c r="G220"/>
      <c r="I220"/>
      <c r="L220"/>
      <c r="M220"/>
      <c r="N220"/>
      <c r="O220"/>
    </row>
    <row r="221" spans="1:15" x14ac:dyDescent="0.2">
      <c r="A221"/>
      <c r="B221"/>
      <c r="C221"/>
      <c r="F221"/>
      <c r="G221"/>
      <c r="H221"/>
      <c r="I221"/>
      <c r="L221"/>
      <c r="M221"/>
      <c r="N221"/>
      <c r="O221"/>
    </row>
    <row r="222" spans="1:15" x14ac:dyDescent="0.2">
      <c r="A222"/>
      <c r="B222"/>
      <c r="C222"/>
      <c r="F222"/>
      <c r="G222"/>
      <c r="L222"/>
      <c r="M222"/>
      <c r="N222"/>
      <c r="O222"/>
    </row>
    <row r="223" spans="1:15" x14ac:dyDescent="0.2">
      <c r="A223"/>
      <c r="B223"/>
      <c r="C223"/>
      <c r="F223"/>
      <c r="G223"/>
      <c r="L223"/>
      <c r="M223"/>
      <c r="N223"/>
      <c r="O223"/>
    </row>
    <row r="224" spans="1:15" x14ac:dyDescent="0.2">
      <c r="A224"/>
      <c r="B224"/>
      <c r="C224"/>
      <c r="F224"/>
      <c r="G224"/>
      <c r="I224"/>
      <c r="L224"/>
      <c r="M224"/>
      <c r="N224"/>
      <c r="O224"/>
    </row>
    <row r="225" spans="1:15" x14ac:dyDescent="0.2">
      <c r="A225"/>
      <c r="B225"/>
      <c r="C225"/>
      <c r="F225"/>
      <c r="G225"/>
      <c r="H225"/>
      <c r="I225"/>
      <c r="L225"/>
      <c r="M225"/>
      <c r="N225"/>
      <c r="O225"/>
    </row>
    <row r="226" spans="1:15" x14ac:dyDescent="0.2">
      <c r="A226"/>
      <c r="B226"/>
      <c r="C226"/>
      <c r="F226"/>
      <c r="G226"/>
      <c r="I226"/>
      <c r="L226"/>
      <c r="M226"/>
      <c r="N226"/>
      <c r="O226"/>
    </row>
    <row r="227" spans="1:15" x14ac:dyDescent="0.2">
      <c r="A227"/>
      <c r="B227"/>
      <c r="C227"/>
      <c r="F227"/>
      <c r="G227"/>
      <c r="I227"/>
      <c r="L227"/>
      <c r="M227"/>
      <c r="N227"/>
      <c r="O227"/>
    </row>
    <row r="228" spans="1:15" x14ac:dyDescent="0.2">
      <c r="A228"/>
      <c r="B228"/>
      <c r="C228"/>
      <c r="F228"/>
      <c r="G228"/>
      <c r="I228"/>
      <c r="L228"/>
      <c r="M228"/>
      <c r="N228"/>
      <c r="O228"/>
    </row>
    <row r="229" spans="1:15" x14ac:dyDescent="0.2">
      <c r="A229"/>
      <c r="B229"/>
      <c r="C229"/>
      <c r="F229"/>
      <c r="G229"/>
      <c r="L229"/>
      <c r="M229"/>
      <c r="N229"/>
      <c r="O229"/>
    </row>
    <row r="230" spans="1:15" x14ac:dyDescent="0.2">
      <c r="A230"/>
      <c r="B230"/>
      <c r="C230"/>
      <c r="F230"/>
      <c r="G230"/>
      <c r="H230"/>
      <c r="I230"/>
      <c r="L230"/>
      <c r="M230"/>
      <c r="N230"/>
      <c r="O230"/>
    </row>
    <row r="231" spans="1:15" x14ac:dyDescent="0.2">
      <c r="A231"/>
      <c r="B231"/>
      <c r="C231"/>
      <c r="F231"/>
      <c r="G231"/>
      <c r="H231"/>
      <c r="I231"/>
      <c r="L231"/>
      <c r="M231"/>
      <c r="N231"/>
      <c r="O231"/>
    </row>
    <row r="232" spans="1:15" x14ac:dyDescent="0.2">
      <c r="A232"/>
      <c r="B232"/>
      <c r="C232"/>
      <c r="F232"/>
      <c r="G232"/>
      <c r="H232"/>
      <c r="I232"/>
      <c r="L232"/>
      <c r="M232"/>
      <c r="N232"/>
      <c r="O232"/>
    </row>
    <row r="233" spans="1:15" x14ac:dyDescent="0.2">
      <c r="A233"/>
      <c r="B233"/>
      <c r="C233"/>
      <c r="F233"/>
      <c r="G233"/>
      <c r="L233"/>
      <c r="M233"/>
      <c r="N233"/>
      <c r="O233"/>
    </row>
    <row r="234" spans="1:15" x14ac:dyDescent="0.2">
      <c r="A234"/>
      <c r="B234"/>
      <c r="C234"/>
      <c r="F234"/>
      <c r="G234"/>
      <c r="H234"/>
      <c r="L234"/>
      <c r="M234"/>
      <c r="N234"/>
      <c r="O234"/>
    </row>
    <row r="235" spans="1:15" x14ac:dyDescent="0.2">
      <c r="A235"/>
      <c r="B235"/>
      <c r="C235"/>
      <c r="F235"/>
      <c r="G235"/>
      <c r="I235"/>
      <c r="L235"/>
      <c r="M235"/>
      <c r="N235"/>
      <c r="O235"/>
    </row>
    <row r="236" spans="1:15" x14ac:dyDescent="0.2">
      <c r="A236"/>
      <c r="B236"/>
      <c r="C236"/>
      <c r="F236"/>
      <c r="G236"/>
      <c r="H236"/>
      <c r="I236"/>
      <c r="L236"/>
      <c r="M236"/>
      <c r="N236"/>
      <c r="O236"/>
    </row>
    <row r="237" spans="1:15" x14ac:dyDescent="0.2">
      <c r="A237"/>
      <c r="B237"/>
      <c r="C237"/>
      <c r="F237"/>
      <c r="G237"/>
      <c r="H237"/>
      <c r="J237"/>
      <c r="K237"/>
      <c r="L237"/>
      <c r="M237"/>
      <c r="N237"/>
      <c r="O237"/>
    </row>
    <row r="238" spans="1:15" x14ac:dyDescent="0.2">
      <c r="A238"/>
      <c r="B238"/>
      <c r="C238"/>
      <c r="F238"/>
      <c r="G238"/>
      <c r="H238"/>
      <c r="J238"/>
      <c r="K238"/>
      <c r="L238"/>
      <c r="M238"/>
      <c r="N238"/>
      <c r="O238"/>
    </row>
    <row r="239" spans="1:15" x14ac:dyDescent="0.2">
      <c r="A239"/>
      <c r="B239"/>
      <c r="C239"/>
      <c r="F239"/>
      <c r="G239"/>
      <c r="H239"/>
      <c r="J239"/>
      <c r="K239"/>
      <c r="L239"/>
      <c r="M239"/>
      <c r="N239"/>
      <c r="O239"/>
    </row>
    <row r="240" spans="1:15" x14ac:dyDescent="0.2">
      <c r="A240"/>
      <c r="B240"/>
      <c r="C240"/>
      <c r="F240"/>
      <c r="G240"/>
      <c r="J240"/>
      <c r="K240"/>
      <c r="L240"/>
      <c r="M240"/>
      <c r="N240"/>
      <c r="O240"/>
    </row>
    <row r="241" spans="1:15" x14ac:dyDescent="0.2">
      <c r="A241"/>
      <c r="B241"/>
      <c r="C241"/>
      <c r="F241"/>
      <c r="G241"/>
      <c r="M241"/>
      <c r="N241"/>
      <c r="O241"/>
    </row>
    <row r="242" spans="1:15" x14ac:dyDescent="0.2">
      <c r="A242"/>
      <c r="B242"/>
      <c r="C242"/>
      <c r="F242"/>
      <c r="G242"/>
      <c r="H242"/>
      <c r="I242"/>
      <c r="L242"/>
      <c r="M242"/>
      <c r="N242"/>
      <c r="O242"/>
    </row>
    <row r="243" spans="1:15" x14ac:dyDescent="0.2">
      <c r="A243"/>
      <c r="B243"/>
      <c r="C243"/>
      <c r="F243"/>
      <c r="G243"/>
      <c r="L243"/>
      <c r="M243"/>
      <c r="N243"/>
      <c r="O243"/>
    </row>
    <row r="244" spans="1:15" x14ac:dyDescent="0.2">
      <c r="A244"/>
      <c r="B244"/>
      <c r="C244"/>
      <c r="F244"/>
      <c r="G244"/>
      <c r="H244"/>
      <c r="I244"/>
      <c r="L244"/>
      <c r="M244"/>
      <c r="N244"/>
      <c r="O244"/>
    </row>
    <row r="245" spans="1:15" x14ac:dyDescent="0.2">
      <c r="A245"/>
      <c r="B245"/>
      <c r="C245"/>
      <c r="F245"/>
      <c r="G245"/>
      <c r="H245"/>
      <c r="I245"/>
      <c r="L245"/>
      <c r="M245"/>
      <c r="N245"/>
      <c r="O245"/>
    </row>
    <row r="246" spans="1:15" x14ac:dyDescent="0.2">
      <c r="A246"/>
      <c r="B246"/>
      <c r="C246"/>
      <c r="F246"/>
      <c r="G246"/>
      <c r="H246"/>
      <c r="I246"/>
      <c r="L246"/>
      <c r="M246"/>
      <c r="N246"/>
      <c r="O246"/>
    </row>
    <row r="247" spans="1:15" x14ac:dyDescent="0.2">
      <c r="A247"/>
      <c r="B247"/>
      <c r="C247"/>
      <c r="F247"/>
      <c r="G247"/>
      <c r="H247"/>
      <c r="J247"/>
      <c r="K247"/>
      <c r="L247"/>
      <c r="M247"/>
      <c r="N247"/>
      <c r="O247"/>
    </row>
    <row r="248" spans="1:15" x14ac:dyDescent="0.2">
      <c r="A248"/>
      <c r="B248"/>
      <c r="C248"/>
      <c r="F248"/>
      <c r="G248"/>
      <c r="L248"/>
      <c r="M248"/>
      <c r="N248"/>
      <c r="O248"/>
    </row>
    <row r="249" spans="1:15" x14ac:dyDescent="0.2">
      <c r="A249"/>
      <c r="B249"/>
      <c r="C249"/>
      <c r="F249"/>
      <c r="G249"/>
      <c r="I249"/>
      <c r="L249"/>
      <c r="M249"/>
      <c r="N249"/>
      <c r="O249"/>
    </row>
    <row r="250" spans="1:15" x14ac:dyDescent="0.2">
      <c r="A250"/>
      <c r="B250"/>
      <c r="C250"/>
      <c r="F250"/>
      <c r="G250"/>
      <c r="H250"/>
      <c r="I250"/>
      <c r="L250"/>
      <c r="N250"/>
      <c r="O250"/>
    </row>
    <row r="251" spans="1:15" x14ac:dyDescent="0.2">
      <c r="A251"/>
      <c r="B251"/>
      <c r="C251"/>
      <c r="F251"/>
      <c r="G251"/>
      <c r="H251"/>
      <c r="J251"/>
      <c r="K251"/>
      <c r="L251"/>
      <c r="M251"/>
      <c r="N251"/>
      <c r="O251"/>
    </row>
    <row r="252" spans="1:15" x14ac:dyDescent="0.2">
      <c r="A252"/>
      <c r="B252"/>
      <c r="C252"/>
      <c r="F252"/>
      <c r="G252"/>
      <c r="L252"/>
      <c r="M252"/>
      <c r="N252"/>
      <c r="O252"/>
    </row>
    <row r="253" spans="1:15" x14ac:dyDescent="0.2">
      <c r="A253"/>
      <c r="B253"/>
      <c r="C253"/>
      <c r="F253"/>
      <c r="G253"/>
      <c r="H253"/>
      <c r="I253"/>
      <c r="L253"/>
      <c r="M253"/>
      <c r="N253"/>
      <c r="O253"/>
    </row>
    <row r="254" spans="1:15" x14ac:dyDescent="0.2">
      <c r="A254"/>
      <c r="B254"/>
      <c r="C254"/>
      <c r="F254"/>
      <c r="G254"/>
      <c r="I254"/>
      <c r="L254"/>
      <c r="M254"/>
      <c r="N254"/>
      <c r="O254"/>
    </row>
    <row r="255" spans="1:15" x14ac:dyDescent="0.2">
      <c r="A255"/>
      <c r="B255"/>
      <c r="C255"/>
      <c r="F255"/>
      <c r="G255"/>
      <c r="H255"/>
      <c r="J255"/>
      <c r="K255"/>
      <c r="L255"/>
      <c r="M255"/>
      <c r="N255"/>
      <c r="O255"/>
    </row>
    <row r="256" spans="1:15" x14ac:dyDescent="0.2">
      <c r="A256"/>
      <c r="B256"/>
      <c r="C256"/>
      <c r="F256"/>
      <c r="G256"/>
      <c r="J256"/>
      <c r="L256"/>
      <c r="M256"/>
      <c r="N256"/>
      <c r="O256"/>
    </row>
    <row r="257" spans="1:15" x14ac:dyDescent="0.2">
      <c r="A257"/>
      <c r="B257"/>
      <c r="C257"/>
      <c r="F257"/>
      <c r="G257"/>
      <c r="I257"/>
      <c r="L257"/>
      <c r="M257"/>
      <c r="N257"/>
      <c r="O257"/>
    </row>
    <row r="258" spans="1:15" x14ac:dyDescent="0.2">
      <c r="A258"/>
      <c r="B258"/>
      <c r="C258"/>
      <c r="F258"/>
      <c r="G258"/>
      <c r="I258"/>
      <c r="L258"/>
      <c r="M258"/>
      <c r="N258"/>
      <c r="O258"/>
    </row>
    <row r="259" spans="1:15" x14ac:dyDescent="0.2">
      <c r="A259"/>
      <c r="B259"/>
      <c r="C259"/>
      <c r="F259"/>
      <c r="G259"/>
      <c r="L259"/>
      <c r="M259"/>
      <c r="N259"/>
      <c r="O259"/>
    </row>
    <row r="260" spans="1:15" x14ac:dyDescent="0.2">
      <c r="A260"/>
      <c r="B260"/>
      <c r="C260"/>
      <c r="F260"/>
      <c r="G260"/>
      <c r="H260"/>
      <c r="I260"/>
      <c r="L260"/>
      <c r="M260"/>
      <c r="N260"/>
      <c r="O260"/>
    </row>
    <row r="261" spans="1:15" x14ac:dyDescent="0.2">
      <c r="A261"/>
      <c r="B261"/>
      <c r="C261"/>
      <c r="F261"/>
      <c r="G261"/>
      <c r="I261"/>
      <c r="L261"/>
      <c r="M261"/>
      <c r="N261"/>
      <c r="O261"/>
    </row>
    <row r="262" spans="1:15" x14ac:dyDescent="0.2">
      <c r="A262"/>
      <c r="B262"/>
      <c r="C262"/>
      <c r="F262"/>
      <c r="G262"/>
      <c r="L262"/>
      <c r="M262"/>
      <c r="N262"/>
      <c r="O262"/>
    </row>
    <row r="263" spans="1:15" x14ac:dyDescent="0.2">
      <c r="A263"/>
      <c r="B263"/>
      <c r="C263"/>
      <c r="F263"/>
      <c r="G263"/>
      <c r="H263"/>
      <c r="I263"/>
      <c r="L263"/>
      <c r="M263"/>
      <c r="N263"/>
      <c r="O263"/>
    </row>
    <row r="264" spans="1:15" x14ac:dyDescent="0.2">
      <c r="A264"/>
      <c r="B264"/>
      <c r="C264"/>
      <c r="F264"/>
      <c r="G264"/>
      <c r="H264"/>
      <c r="I264"/>
      <c r="L264"/>
      <c r="M264"/>
      <c r="N264"/>
      <c r="O264"/>
    </row>
    <row r="265" spans="1:15" x14ac:dyDescent="0.2">
      <c r="A265"/>
      <c r="B265"/>
      <c r="C265"/>
      <c r="F265"/>
      <c r="G265"/>
      <c r="I265"/>
      <c r="L265"/>
      <c r="M265"/>
      <c r="N265"/>
      <c r="O265"/>
    </row>
    <row r="266" spans="1:15" x14ac:dyDescent="0.2">
      <c r="A266"/>
      <c r="B266"/>
      <c r="C266"/>
      <c r="F266"/>
      <c r="G266"/>
      <c r="I266"/>
      <c r="L266"/>
      <c r="M266"/>
      <c r="N266"/>
      <c r="O266"/>
    </row>
    <row r="267" spans="1:15" x14ac:dyDescent="0.2">
      <c r="A267"/>
      <c r="B267"/>
      <c r="C267"/>
      <c r="F267"/>
      <c r="G267"/>
      <c r="H267"/>
      <c r="I267"/>
      <c r="L267"/>
      <c r="M267"/>
      <c r="N267"/>
      <c r="O267"/>
    </row>
    <row r="268" spans="1:15" x14ac:dyDescent="0.2">
      <c r="A268"/>
      <c r="B268"/>
      <c r="C268"/>
      <c r="F268"/>
      <c r="G268"/>
      <c r="H268"/>
      <c r="I268"/>
      <c r="L268"/>
      <c r="M268"/>
      <c r="N268"/>
      <c r="O268"/>
    </row>
    <row r="269" spans="1:15" x14ac:dyDescent="0.2">
      <c r="A269"/>
      <c r="B269"/>
      <c r="C269"/>
      <c r="F269"/>
      <c r="G269"/>
      <c r="L269"/>
      <c r="M269"/>
      <c r="N269"/>
      <c r="O269"/>
    </row>
    <row r="270" spans="1:15" x14ac:dyDescent="0.2">
      <c r="A270"/>
      <c r="B270"/>
      <c r="C270"/>
      <c r="F270"/>
      <c r="G270"/>
      <c r="H270"/>
      <c r="I270"/>
      <c r="L270"/>
      <c r="M270"/>
      <c r="N270"/>
      <c r="O270"/>
    </row>
    <row r="271" spans="1:15" x14ac:dyDescent="0.2">
      <c r="A271"/>
      <c r="B271"/>
      <c r="C271"/>
      <c r="F271"/>
      <c r="G271"/>
      <c r="H271"/>
      <c r="I271"/>
      <c r="L271"/>
      <c r="M271"/>
      <c r="N271"/>
      <c r="O271"/>
    </row>
    <row r="272" spans="1:15" x14ac:dyDescent="0.2">
      <c r="A272"/>
      <c r="B272"/>
      <c r="C272"/>
      <c r="F272"/>
      <c r="G272"/>
      <c r="H272"/>
      <c r="I272"/>
      <c r="L272"/>
      <c r="M272"/>
      <c r="N272"/>
      <c r="O272"/>
    </row>
    <row r="273" spans="1:15" x14ac:dyDescent="0.2">
      <c r="A273"/>
      <c r="B273"/>
      <c r="C273"/>
      <c r="F273"/>
      <c r="G273"/>
      <c r="N273"/>
      <c r="O273"/>
    </row>
    <row r="274" spans="1:15" x14ac:dyDescent="0.2">
      <c r="A274"/>
      <c r="B274"/>
      <c r="C274"/>
      <c r="F274"/>
      <c r="G274"/>
      <c r="I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I277"/>
      <c r="L277"/>
      <c r="M277"/>
      <c r="N277"/>
      <c r="O277"/>
    </row>
    <row r="278" spans="1:15" x14ac:dyDescent="0.2">
      <c r="A278"/>
      <c r="B278"/>
      <c r="C278"/>
      <c r="F278"/>
      <c r="G278"/>
      <c r="H278"/>
      <c r="I278"/>
      <c r="L278"/>
      <c r="M278"/>
      <c r="N278"/>
      <c r="O278"/>
    </row>
    <row r="279" spans="1:15" x14ac:dyDescent="0.2">
      <c r="A279"/>
      <c r="B279"/>
      <c r="C279"/>
      <c r="F279"/>
      <c r="G279"/>
      <c r="I279"/>
      <c r="L279"/>
      <c r="M279"/>
      <c r="N279"/>
      <c r="O279"/>
    </row>
    <row r="280" spans="1:15" x14ac:dyDescent="0.2">
      <c r="A280"/>
      <c r="B280"/>
      <c r="C280"/>
      <c r="F280"/>
      <c r="G280"/>
      <c r="H280"/>
      <c r="I280"/>
      <c r="L280"/>
      <c r="M280"/>
      <c r="N280"/>
      <c r="O280"/>
    </row>
    <row r="281" spans="1:15" x14ac:dyDescent="0.2">
      <c r="A281"/>
      <c r="B281"/>
      <c r="C281"/>
      <c r="F281"/>
      <c r="G281"/>
      <c r="I281"/>
      <c r="L281"/>
      <c r="M281"/>
      <c r="N281"/>
      <c r="O281"/>
    </row>
    <row r="282" spans="1:15" x14ac:dyDescent="0.2">
      <c r="A282"/>
      <c r="B282"/>
      <c r="C282"/>
      <c r="F282"/>
      <c r="G282"/>
      <c r="I282"/>
      <c r="L282"/>
      <c r="M282"/>
      <c r="N282"/>
      <c r="O282"/>
    </row>
    <row r="283" spans="1:15" x14ac:dyDescent="0.2">
      <c r="A283"/>
      <c r="B283"/>
      <c r="C283"/>
      <c r="F283"/>
      <c r="G283"/>
      <c r="H283"/>
      <c r="I283"/>
      <c r="L283"/>
      <c r="M283"/>
      <c r="N283"/>
      <c r="O283"/>
    </row>
    <row r="284" spans="1:15" x14ac:dyDescent="0.2">
      <c r="A284"/>
      <c r="B284"/>
      <c r="C284"/>
      <c r="F284"/>
      <c r="G284"/>
      <c r="H284"/>
      <c r="I284"/>
      <c r="L284"/>
      <c r="M284"/>
      <c r="N284"/>
      <c r="O284"/>
    </row>
    <row r="285" spans="1:15" x14ac:dyDescent="0.2">
      <c r="A285"/>
      <c r="B285"/>
      <c r="C285"/>
      <c r="F285"/>
      <c r="G285"/>
      <c r="H285"/>
      <c r="I285"/>
      <c r="L285"/>
      <c r="M285"/>
      <c r="N285"/>
      <c r="O285"/>
    </row>
    <row r="286" spans="1:15" x14ac:dyDescent="0.2">
      <c r="A286"/>
      <c r="B286"/>
      <c r="C286"/>
      <c r="F286"/>
      <c r="G286"/>
      <c r="H286"/>
      <c r="I286"/>
      <c r="L286"/>
      <c r="M286"/>
      <c r="N286"/>
      <c r="O286"/>
    </row>
    <row r="287" spans="1:15" x14ac:dyDescent="0.2">
      <c r="A287"/>
      <c r="B287"/>
      <c r="C287"/>
      <c r="F287"/>
      <c r="G287"/>
      <c r="H287"/>
      <c r="I287"/>
      <c r="L287"/>
      <c r="M287"/>
      <c r="N287"/>
      <c r="O287"/>
    </row>
    <row r="288" spans="1:15" x14ac:dyDescent="0.2">
      <c r="A288"/>
      <c r="B288"/>
      <c r="C288"/>
      <c r="F288"/>
      <c r="G288"/>
      <c r="I288"/>
      <c r="L288"/>
      <c r="M288"/>
      <c r="N288"/>
      <c r="O288"/>
    </row>
    <row r="289" spans="1:15" x14ac:dyDescent="0.2">
      <c r="A289"/>
      <c r="B289"/>
      <c r="C289"/>
      <c r="F289"/>
      <c r="G289"/>
      <c r="L289"/>
      <c r="M289"/>
      <c r="N289"/>
      <c r="O289"/>
    </row>
    <row r="290" spans="1:15" x14ac:dyDescent="0.2">
      <c r="A290"/>
      <c r="B290"/>
      <c r="C290"/>
      <c r="F290"/>
      <c r="G290"/>
      <c r="H290"/>
      <c r="I290"/>
      <c r="L290"/>
      <c r="M290"/>
      <c r="N290"/>
      <c r="O290"/>
    </row>
    <row r="291" spans="1:15" x14ac:dyDescent="0.2">
      <c r="A291"/>
      <c r="B291"/>
      <c r="C291"/>
      <c r="F291"/>
      <c r="G291"/>
      <c r="H291"/>
      <c r="I291"/>
      <c r="L291"/>
      <c r="M291"/>
      <c r="N291"/>
      <c r="O291"/>
    </row>
    <row r="292" spans="1:15" x14ac:dyDescent="0.2">
      <c r="A292"/>
      <c r="B292"/>
      <c r="C292"/>
      <c r="F292"/>
      <c r="G292"/>
      <c r="H292"/>
      <c r="I292"/>
      <c r="L292"/>
      <c r="M292"/>
      <c r="N292"/>
      <c r="O292"/>
    </row>
    <row r="293" spans="1:15" x14ac:dyDescent="0.2">
      <c r="A293"/>
      <c r="B293"/>
      <c r="C293"/>
      <c r="F293"/>
      <c r="G293"/>
      <c r="H293"/>
      <c r="I293"/>
      <c r="L293"/>
      <c r="M293"/>
      <c r="N293"/>
      <c r="O293"/>
    </row>
    <row r="294" spans="1:15" x14ac:dyDescent="0.2">
      <c r="A294"/>
      <c r="B294"/>
      <c r="C294"/>
      <c r="F294"/>
      <c r="G294"/>
      <c r="H294"/>
      <c r="I294"/>
      <c r="L294"/>
      <c r="M294"/>
      <c r="N294"/>
      <c r="O294"/>
    </row>
    <row r="295" spans="1:15" x14ac:dyDescent="0.2">
      <c r="A295"/>
      <c r="B295"/>
      <c r="C295"/>
      <c r="F295"/>
      <c r="G295"/>
      <c r="H295"/>
      <c r="I295"/>
      <c r="L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N308"/>
      <c r="O308"/>
    </row>
    <row r="309" spans="1:15" x14ac:dyDescent="0.2">
      <c r="A309"/>
      <c r="B309"/>
      <c r="C309"/>
      <c r="F309"/>
      <c r="G309"/>
      <c r="H309"/>
      <c r="I309"/>
      <c r="L309"/>
      <c r="M309"/>
      <c r="N309"/>
      <c r="O309"/>
    </row>
    <row r="310" spans="1:15" x14ac:dyDescent="0.2">
      <c r="A310"/>
      <c r="B310"/>
      <c r="C310"/>
      <c r="F310"/>
      <c r="G310"/>
      <c r="H310"/>
      <c r="I310"/>
      <c r="L310"/>
      <c r="N310"/>
      <c r="O310"/>
    </row>
    <row r="311" spans="1:15" x14ac:dyDescent="0.2">
      <c r="A311"/>
      <c r="B311"/>
      <c r="C311"/>
      <c r="F311"/>
      <c r="G311"/>
      <c r="H311"/>
      <c r="I311"/>
      <c r="L311"/>
      <c r="M311"/>
      <c r="N311"/>
      <c r="O311"/>
    </row>
    <row r="312" spans="1:15" x14ac:dyDescent="0.2">
      <c r="A312"/>
      <c r="B312"/>
      <c r="C312"/>
      <c r="F312"/>
      <c r="G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M320"/>
      <c r="N320"/>
      <c r="O320"/>
    </row>
    <row r="321" spans="1:15" x14ac:dyDescent="0.2">
      <c r="A321"/>
      <c r="B321"/>
      <c r="C321"/>
      <c r="F321"/>
      <c r="G321"/>
      <c r="H321"/>
      <c r="I321"/>
      <c r="L321"/>
      <c r="M321"/>
      <c r="N321"/>
      <c r="O321"/>
    </row>
    <row r="322" spans="1:15" x14ac:dyDescent="0.2">
      <c r="A322"/>
      <c r="B322"/>
      <c r="C322"/>
      <c r="F322"/>
      <c r="G322"/>
      <c r="H322"/>
      <c r="I322"/>
      <c r="L322"/>
      <c r="M322"/>
      <c r="N322"/>
      <c r="O322"/>
    </row>
    <row r="323" spans="1:15" x14ac:dyDescent="0.2">
      <c r="A323"/>
      <c r="B323"/>
      <c r="C323"/>
      <c r="F323"/>
      <c r="G323"/>
      <c r="H323"/>
      <c r="I323"/>
      <c r="L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I328"/>
      <c r="L328"/>
      <c r="M328"/>
      <c r="N328"/>
      <c r="O328"/>
    </row>
    <row r="329" spans="1:15" x14ac:dyDescent="0.2">
      <c r="A329"/>
      <c r="B329"/>
      <c r="C329"/>
      <c r="F329"/>
      <c r="G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N333"/>
      <c r="O333"/>
    </row>
    <row r="334" spans="1:15" x14ac:dyDescent="0.2">
      <c r="A334"/>
      <c r="B334"/>
      <c r="C334"/>
      <c r="F334"/>
      <c r="G334"/>
      <c r="H334"/>
      <c r="I334"/>
      <c r="L334"/>
      <c r="M334"/>
      <c r="N334"/>
      <c r="O334"/>
    </row>
    <row r="335" spans="1:15" x14ac:dyDescent="0.2">
      <c r="A335"/>
      <c r="B335"/>
      <c r="C335"/>
      <c r="F335"/>
      <c r="G335"/>
      <c r="J335"/>
      <c r="K335"/>
      <c r="L335"/>
      <c r="M335"/>
      <c r="N335"/>
      <c r="O335"/>
    </row>
    <row r="336" spans="1:15" x14ac:dyDescent="0.2">
      <c r="A336"/>
      <c r="B336"/>
      <c r="C336"/>
      <c r="F336"/>
      <c r="G336"/>
      <c r="H336"/>
      <c r="J336"/>
      <c r="K336"/>
      <c r="L336"/>
      <c r="M336"/>
      <c r="N336"/>
      <c r="O336"/>
    </row>
    <row r="337" spans="1:15" x14ac:dyDescent="0.2">
      <c r="A337"/>
      <c r="B337"/>
      <c r="C337"/>
      <c r="F337"/>
      <c r="G337"/>
      <c r="M337"/>
      <c r="N337"/>
      <c r="O337"/>
    </row>
    <row r="338" spans="1:15" x14ac:dyDescent="0.2">
      <c r="A338"/>
      <c r="B338"/>
      <c r="C338"/>
      <c r="F338"/>
      <c r="G338"/>
      <c r="H338"/>
      <c r="I338"/>
      <c r="L338"/>
      <c r="M338"/>
      <c r="N338"/>
      <c r="O338"/>
    </row>
    <row r="339" spans="1:15" x14ac:dyDescent="0.2">
      <c r="A339"/>
      <c r="B339"/>
      <c r="C339"/>
      <c r="F339"/>
      <c r="G339"/>
      <c r="I339"/>
      <c r="L339"/>
      <c r="M339"/>
      <c r="N339"/>
      <c r="O339"/>
    </row>
    <row r="340" spans="1:15" x14ac:dyDescent="0.2">
      <c r="A340"/>
      <c r="B340"/>
      <c r="C340"/>
      <c r="F340"/>
      <c r="G340"/>
      <c r="H340"/>
      <c r="I340"/>
      <c r="L340"/>
      <c r="M340"/>
      <c r="N340"/>
      <c r="O340"/>
    </row>
    <row r="341" spans="1:15" x14ac:dyDescent="0.2">
      <c r="A341"/>
      <c r="B341"/>
      <c r="C341"/>
      <c r="F341"/>
      <c r="G341"/>
      <c r="H341"/>
      <c r="J341"/>
      <c r="K341"/>
      <c r="L341"/>
      <c r="M341"/>
      <c r="N341"/>
      <c r="O341"/>
    </row>
    <row r="342" spans="1:15" x14ac:dyDescent="0.2">
      <c r="A342"/>
      <c r="B342"/>
      <c r="C342"/>
      <c r="F342"/>
      <c r="G342"/>
      <c r="M342"/>
      <c r="N342"/>
      <c r="O342"/>
    </row>
    <row r="343" spans="1:15" x14ac:dyDescent="0.2">
      <c r="A343"/>
      <c r="B343"/>
      <c r="C343"/>
      <c r="F343"/>
      <c r="G343"/>
      <c r="L343"/>
      <c r="M343"/>
      <c r="N343"/>
      <c r="O343"/>
    </row>
    <row r="344" spans="1:15" x14ac:dyDescent="0.2">
      <c r="A344"/>
      <c r="B344"/>
      <c r="C344"/>
      <c r="F344"/>
      <c r="G344"/>
      <c r="H344"/>
      <c r="I344"/>
      <c r="J344"/>
      <c r="K344"/>
      <c r="L344"/>
      <c r="M344"/>
      <c r="N344"/>
      <c r="O344"/>
    </row>
    <row r="345" spans="1:15" x14ac:dyDescent="0.2">
      <c r="A345"/>
      <c r="B345"/>
      <c r="C345"/>
      <c r="F345"/>
      <c r="G345"/>
      <c r="H345"/>
      <c r="I345"/>
      <c r="L345"/>
      <c r="M345"/>
      <c r="N345"/>
      <c r="O345"/>
    </row>
    <row r="346" spans="1:15" x14ac:dyDescent="0.2">
      <c r="A346"/>
      <c r="B346"/>
      <c r="C346"/>
      <c r="F346"/>
      <c r="G346"/>
      <c r="H346"/>
      <c r="I346"/>
      <c r="L346"/>
      <c r="M346"/>
      <c r="N346"/>
      <c r="O346"/>
    </row>
    <row r="347" spans="1:15" x14ac:dyDescent="0.2">
      <c r="A347"/>
      <c r="B347"/>
      <c r="C347"/>
      <c r="F347"/>
      <c r="G347"/>
      <c r="H347"/>
      <c r="I347"/>
      <c r="L347"/>
      <c r="M347"/>
      <c r="N347"/>
      <c r="O347"/>
    </row>
    <row r="348" spans="1:15" x14ac:dyDescent="0.2">
      <c r="A348"/>
      <c r="B348"/>
      <c r="C348"/>
      <c r="F348"/>
      <c r="G348"/>
      <c r="I348"/>
      <c r="L348"/>
      <c r="M348"/>
      <c r="N348"/>
      <c r="O348"/>
    </row>
    <row r="349" spans="1:15" x14ac:dyDescent="0.2">
      <c r="A349"/>
      <c r="B349"/>
      <c r="C349"/>
      <c r="F349"/>
      <c r="G349"/>
      <c r="I349"/>
      <c r="L349"/>
      <c r="M349"/>
      <c r="N349"/>
      <c r="O349"/>
    </row>
    <row r="350" spans="1:15" x14ac:dyDescent="0.2">
      <c r="A350"/>
      <c r="B350"/>
      <c r="C350"/>
      <c r="F350"/>
      <c r="G350"/>
      <c r="J350"/>
      <c r="L350"/>
      <c r="M350"/>
      <c r="N350"/>
      <c r="O350"/>
    </row>
    <row r="351" spans="1:15" x14ac:dyDescent="0.2">
      <c r="A351"/>
      <c r="B351"/>
      <c r="C351"/>
      <c r="F351"/>
      <c r="G351"/>
      <c r="H351"/>
      <c r="I351"/>
      <c r="L351"/>
      <c r="M351"/>
      <c r="N351"/>
      <c r="O351"/>
    </row>
    <row r="352" spans="1:15" x14ac:dyDescent="0.2">
      <c r="A352"/>
      <c r="B352"/>
      <c r="C352"/>
      <c r="F352"/>
      <c r="G352"/>
      <c r="I352"/>
      <c r="L352"/>
      <c r="M352"/>
      <c r="N352"/>
      <c r="O352"/>
    </row>
    <row r="353" spans="1:15" x14ac:dyDescent="0.2">
      <c r="A353"/>
      <c r="B353"/>
      <c r="C353"/>
      <c r="F353"/>
      <c r="G353"/>
      <c r="H353"/>
      <c r="I353"/>
      <c r="L353"/>
      <c r="M353"/>
      <c r="N353"/>
      <c r="O353"/>
    </row>
    <row r="354" spans="1:15" x14ac:dyDescent="0.2">
      <c r="A354"/>
      <c r="B354"/>
      <c r="C354"/>
      <c r="F354"/>
      <c r="G354"/>
      <c r="H354"/>
      <c r="I354"/>
      <c r="L354"/>
      <c r="M354"/>
      <c r="N354"/>
      <c r="O354"/>
    </row>
    <row r="355" spans="1:15" x14ac:dyDescent="0.2">
      <c r="A355"/>
      <c r="B355"/>
      <c r="C355"/>
      <c r="F355"/>
      <c r="G355"/>
      <c r="H355"/>
      <c r="I355"/>
      <c r="L355"/>
      <c r="M355"/>
      <c r="N355"/>
      <c r="O355"/>
    </row>
    <row r="356" spans="1:15" x14ac:dyDescent="0.2">
      <c r="A356"/>
      <c r="B356"/>
      <c r="C356"/>
      <c r="F356"/>
      <c r="G356"/>
      <c r="H356"/>
      <c r="I356"/>
      <c r="L356"/>
      <c r="M356"/>
      <c r="N356"/>
      <c r="O356"/>
    </row>
    <row r="357" spans="1:15" x14ac:dyDescent="0.2">
      <c r="A357"/>
      <c r="B357"/>
      <c r="C357"/>
      <c r="F357"/>
      <c r="G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N360"/>
      <c r="O360"/>
    </row>
    <row r="361" spans="1:15" x14ac:dyDescent="0.2">
      <c r="A361"/>
      <c r="B361"/>
      <c r="C361"/>
      <c r="F361"/>
      <c r="G361"/>
      <c r="H361"/>
      <c r="I361"/>
      <c r="L361"/>
      <c r="M361"/>
      <c r="N361"/>
      <c r="O361"/>
    </row>
    <row r="362" spans="1:15" x14ac:dyDescent="0.2">
      <c r="A362"/>
      <c r="B362"/>
      <c r="C362"/>
      <c r="F362"/>
      <c r="G362"/>
      <c r="L362"/>
      <c r="M362"/>
      <c r="N362"/>
      <c r="O362"/>
    </row>
    <row r="363" spans="1:15" x14ac:dyDescent="0.2">
      <c r="A363"/>
      <c r="B363"/>
      <c r="C363"/>
      <c r="F363"/>
      <c r="G363"/>
      <c r="I363"/>
      <c r="L363"/>
      <c r="M363"/>
      <c r="N363"/>
      <c r="O363"/>
    </row>
    <row r="364" spans="1:15" x14ac:dyDescent="0.2">
      <c r="A364"/>
      <c r="B364"/>
      <c r="C364"/>
      <c r="F364"/>
      <c r="G364"/>
      <c r="H364"/>
      <c r="I364"/>
      <c r="L364"/>
      <c r="N364"/>
      <c r="O364"/>
    </row>
    <row r="365" spans="1:15" x14ac:dyDescent="0.2">
      <c r="A365"/>
      <c r="B365"/>
      <c r="C365"/>
      <c r="F365"/>
      <c r="G365"/>
      <c r="I365"/>
      <c r="L365"/>
      <c r="M365"/>
      <c r="N365"/>
      <c r="O365"/>
    </row>
    <row r="366" spans="1:15" x14ac:dyDescent="0.2">
      <c r="A366"/>
      <c r="B366"/>
      <c r="C366"/>
      <c r="F366"/>
      <c r="G366"/>
      <c r="L366"/>
      <c r="M366"/>
      <c r="N366"/>
      <c r="O366"/>
    </row>
    <row r="367" spans="1:15" x14ac:dyDescent="0.2">
      <c r="A367"/>
      <c r="B367"/>
      <c r="C367"/>
      <c r="F367"/>
      <c r="G367"/>
      <c r="H367"/>
      <c r="I367"/>
      <c r="L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I370"/>
      <c r="L370"/>
      <c r="M370"/>
      <c r="N370"/>
      <c r="O370"/>
    </row>
    <row r="371" spans="1:15" x14ac:dyDescent="0.2">
      <c r="A371"/>
      <c r="B371"/>
      <c r="C371"/>
      <c r="F371"/>
      <c r="G371"/>
      <c r="I371"/>
      <c r="L371"/>
      <c r="M371"/>
      <c r="N371"/>
      <c r="O371"/>
    </row>
    <row r="372" spans="1:15" x14ac:dyDescent="0.2">
      <c r="A372"/>
      <c r="B372"/>
      <c r="C372"/>
      <c r="F372"/>
      <c r="G372"/>
      <c r="L372"/>
      <c r="N372"/>
      <c r="O372"/>
    </row>
    <row r="373" spans="1:15" x14ac:dyDescent="0.2">
      <c r="A373"/>
      <c r="B373"/>
      <c r="C373"/>
      <c r="F373"/>
      <c r="G373"/>
      <c r="H373"/>
      <c r="I373"/>
      <c r="L373"/>
      <c r="M373"/>
      <c r="N373"/>
      <c r="O373"/>
    </row>
    <row r="374" spans="1:15" x14ac:dyDescent="0.2">
      <c r="A374"/>
      <c r="B374"/>
      <c r="C374"/>
      <c r="F374"/>
      <c r="G374"/>
      <c r="H374"/>
      <c r="I374"/>
      <c r="L374"/>
      <c r="M374"/>
      <c r="N374"/>
      <c r="O374"/>
    </row>
    <row r="375" spans="1:15" x14ac:dyDescent="0.2">
      <c r="A375"/>
      <c r="B375"/>
      <c r="C375"/>
      <c r="F375"/>
      <c r="G375"/>
      <c r="H375"/>
      <c r="I375"/>
      <c r="L375"/>
      <c r="M375"/>
      <c r="N375"/>
      <c r="O375"/>
    </row>
    <row r="376" spans="1:15" x14ac:dyDescent="0.2">
      <c r="A376"/>
      <c r="B376"/>
      <c r="C376"/>
      <c r="F376"/>
      <c r="G376"/>
      <c r="L376"/>
      <c r="M376"/>
      <c r="N376"/>
      <c r="O376"/>
    </row>
    <row r="377" spans="1:15" x14ac:dyDescent="0.2">
      <c r="A377"/>
      <c r="B377"/>
      <c r="C377"/>
      <c r="F377"/>
      <c r="G377"/>
      <c r="J377"/>
      <c r="K377"/>
      <c r="L377"/>
      <c r="M377"/>
      <c r="N377"/>
      <c r="O377"/>
    </row>
    <row r="378" spans="1:15" x14ac:dyDescent="0.2">
      <c r="A378"/>
      <c r="B378"/>
      <c r="C378"/>
      <c r="F378"/>
      <c r="G378"/>
      <c r="I378"/>
      <c r="L378"/>
      <c r="M378"/>
      <c r="N378"/>
      <c r="O378"/>
    </row>
    <row r="379" spans="1:15" x14ac:dyDescent="0.2">
      <c r="A379"/>
      <c r="B379"/>
      <c r="C379"/>
      <c r="F379"/>
      <c r="G379"/>
      <c r="I379"/>
      <c r="L379"/>
      <c r="M379"/>
      <c r="N379"/>
      <c r="O379"/>
    </row>
    <row r="380" spans="1:15" x14ac:dyDescent="0.2">
      <c r="A380"/>
      <c r="B380"/>
      <c r="C380"/>
      <c r="F380"/>
      <c r="G380"/>
      <c r="H380"/>
      <c r="I380"/>
      <c r="L380"/>
      <c r="M380"/>
      <c r="N380"/>
      <c r="O380"/>
    </row>
    <row r="381" spans="1:15" x14ac:dyDescent="0.2">
      <c r="A381"/>
      <c r="B381"/>
      <c r="C381"/>
      <c r="F381"/>
      <c r="G381"/>
      <c r="H381"/>
      <c r="I381"/>
      <c r="L381"/>
      <c r="M381"/>
      <c r="N381"/>
      <c r="O381"/>
    </row>
    <row r="382" spans="1:15" x14ac:dyDescent="0.2">
      <c r="A382"/>
      <c r="B382"/>
      <c r="C382"/>
      <c r="F382"/>
      <c r="G382"/>
      <c r="H382"/>
      <c r="I382"/>
      <c r="L382"/>
      <c r="M382"/>
      <c r="N382"/>
      <c r="O382"/>
    </row>
    <row r="383" spans="1:15" x14ac:dyDescent="0.2">
      <c r="A383"/>
      <c r="B383"/>
      <c r="C383"/>
      <c r="F383"/>
      <c r="G383"/>
      <c r="M383"/>
      <c r="N383"/>
      <c r="O383"/>
    </row>
    <row r="384" spans="1:15" x14ac:dyDescent="0.2">
      <c r="A384"/>
      <c r="B384"/>
      <c r="C384"/>
      <c r="F384"/>
      <c r="G384"/>
      <c r="J384"/>
      <c r="K384"/>
      <c r="L384"/>
      <c r="M384"/>
      <c r="N384"/>
      <c r="O384"/>
    </row>
    <row r="385" spans="1:15" x14ac:dyDescent="0.2">
      <c r="A385"/>
      <c r="B385"/>
      <c r="C385"/>
      <c r="F385"/>
      <c r="G385"/>
      <c r="H385"/>
      <c r="I385"/>
      <c r="L385"/>
      <c r="M385"/>
      <c r="N385"/>
      <c r="O385"/>
    </row>
    <row r="386" spans="1:15" x14ac:dyDescent="0.2">
      <c r="A386"/>
      <c r="B386"/>
      <c r="C386"/>
      <c r="F386"/>
      <c r="G386"/>
      <c r="I386"/>
      <c r="L386"/>
      <c r="M386"/>
      <c r="N386"/>
      <c r="O386"/>
    </row>
    <row r="387" spans="1:15" x14ac:dyDescent="0.2">
      <c r="A387"/>
      <c r="B387"/>
      <c r="C387"/>
      <c r="F387"/>
      <c r="G387"/>
      <c r="H387"/>
      <c r="I387"/>
      <c r="L387"/>
      <c r="M387"/>
      <c r="N387"/>
      <c r="O387"/>
    </row>
    <row r="388" spans="1:15" x14ac:dyDescent="0.2">
      <c r="A388"/>
      <c r="B388"/>
      <c r="C388"/>
      <c r="F388"/>
      <c r="G388"/>
      <c r="I388"/>
      <c r="L388"/>
      <c r="M388"/>
      <c r="N388"/>
      <c r="O388"/>
    </row>
    <row r="389" spans="1:15" x14ac:dyDescent="0.2">
      <c r="A389"/>
      <c r="B389"/>
      <c r="C389"/>
      <c r="F389"/>
      <c r="G389"/>
      <c r="J389"/>
      <c r="K389"/>
      <c r="L389"/>
      <c r="M389"/>
      <c r="N389"/>
      <c r="O389"/>
    </row>
    <row r="390" spans="1:15" x14ac:dyDescent="0.2">
      <c r="A390"/>
      <c r="B390"/>
      <c r="C390"/>
      <c r="F390"/>
      <c r="G390"/>
      <c r="I390"/>
      <c r="L390"/>
      <c r="M390"/>
      <c r="N390"/>
      <c r="O390"/>
    </row>
    <row r="391" spans="1:15" x14ac:dyDescent="0.2">
      <c r="A391"/>
      <c r="B391"/>
      <c r="C391"/>
      <c r="F391"/>
      <c r="G391"/>
      <c r="H391"/>
      <c r="I391"/>
      <c r="L391"/>
      <c r="N391"/>
      <c r="O391"/>
    </row>
    <row r="392" spans="1:15" x14ac:dyDescent="0.2">
      <c r="A392"/>
      <c r="B392"/>
      <c r="C392"/>
      <c r="F392"/>
      <c r="G392"/>
      <c r="H392"/>
      <c r="I392"/>
      <c r="L392"/>
      <c r="M392"/>
      <c r="N392"/>
      <c r="O392"/>
    </row>
    <row r="393" spans="1:15" x14ac:dyDescent="0.2">
      <c r="A393"/>
      <c r="B393"/>
      <c r="C393"/>
      <c r="F393"/>
      <c r="G393"/>
      <c r="H393"/>
      <c r="I393"/>
      <c r="L393"/>
      <c r="M393"/>
      <c r="N393"/>
      <c r="O393"/>
    </row>
    <row r="394" spans="1:15" x14ac:dyDescent="0.2">
      <c r="A394"/>
      <c r="B394"/>
      <c r="C394"/>
      <c r="F394"/>
      <c r="G394"/>
      <c r="L394"/>
      <c r="M394"/>
      <c r="N394"/>
      <c r="O394"/>
    </row>
    <row r="395" spans="1:15" x14ac:dyDescent="0.2">
      <c r="A395"/>
      <c r="B395"/>
      <c r="C395"/>
      <c r="F395"/>
      <c r="G395"/>
      <c r="I395"/>
      <c r="L395"/>
      <c r="M395"/>
      <c r="N395"/>
      <c r="O395"/>
    </row>
    <row r="396" spans="1:15" x14ac:dyDescent="0.2">
      <c r="A396"/>
      <c r="B396"/>
      <c r="C396"/>
      <c r="F396"/>
      <c r="G396"/>
      <c r="H396"/>
      <c r="I396"/>
      <c r="L396"/>
      <c r="M396"/>
      <c r="N396"/>
      <c r="O396"/>
    </row>
    <row r="397" spans="1:15" x14ac:dyDescent="0.2">
      <c r="A397"/>
      <c r="B397"/>
      <c r="C397"/>
      <c r="F397"/>
      <c r="G397"/>
      <c r="M397"/>
      <c r="N397"/>
      <c r="O397"/>
    </row>
    <row r="398" spans="1:15" x14ac:dyDescent="0.2">
      <c r="A398"/>
      <c r="B398"/>
      <c r="C398"/>
      <c r="F398"/>
      <c r="G398"/>
      <c r="H398"/>
      <c r="J398"/>
      <c r="K398"/>
      <c r="L398"/>
      <c r="M398"/>
      <c r="N398"/>
      <c r="O398"/>
    </row>
    <row r="399" spans="1:15" x14ac:dyDescent="0.2">
      <c r="A399"/>
      <c r="B399"/>
      <c r="C399"/>
      <c r="F399"/>
      <c r="G399"/>
      <c r="H399"/>
      <c r="J399"/>
      <c r="K399"/>
      <c r="L399"/>
      <c r="M399"/>
      <c r="N399"/>
      <c r="O399"/>
    </row>
    <row r="400" spans="1:15" x14ac:dyDescent="0.2">
      <c r="A400"/>
      <c r="B400"/>
      <c r="C400"/>
      <c r="F400"/>
      <c r="G400"/>
      <c r="H400"/>
      <c r="L400"/>
      <c r="M400"/>
      <c r="N400"/>
      <c r="O400"/>
    </row>
    <row r="401" spans="1:15" x14ac:dyDescent="0.2">
      <c r="A401"/>
      <c r="B401"/>
      <c r="C401"/>
      <c r="F401"/>
      <c r="G401"/>
      <c r="J401"/>
      <c r="K401"/>
      <c r="L401"/>
      <c r="M401"/>
      <c r="N401"/>
      <c r="O401"/>
    </row>
    <row r="402" spans="1:15" x14ac:dyDescent="0.2">
      <c r="A402"/>
      <c r="B402"/>
      <c r="C402"/>
      <c r="F402"/>
      <c r="G402"/>
      <c r="H402"/>
      <c r="J402"/>
      <c r="K402"/>
      <c r="L402"/>
      <c r="M402"/>
      <c r="N402"/>
      <c r="O402"/>
    </row>
    <row r="403" spans="1:15" x14ac:dyDescent="0.2">
      <c r="A403"/>
      <c r="B403"/>
      <c r="C403"/>
      <c r="G403"/>
      <c r="M403"/>
      <c r="N403"/>
      <c r="O403"/>
    </row>
    <row r="404" spans="1:15" x14ac:dyDescent="0.2">
      <c r="A404"/>
      <c r="B404"/>
      <c r="C404"/>
      <c r="F404"/>
      <c r="G404"/>
      <c r="H404"/>
      <c r="J404"/>
      <c r="K404"/>
      <c r="L404"/>
      <c r="M404"/>
      <c r="N404"/>
      <c r="O404"/>
    </row>
    <row r="405" spans="1:15" x14ac:dyDescent="0.2">
      <c r="A405"/>
      <c r="B405"/>
      <c r="C405"/>
      <c r="F405"/>
      <c r="G405"/>
      <c r="H405"/>
      <c r="K405"/>
      <c r="L405"/>
      <c r="M405"/>
      <c r="N405"/>
      <c r="O405"/>
    </row>
    <row r="406" spans="1:15" x14ac:dyDescent="0.2">
      <c r="A406"/>
      <c r="B406"/>
      <c r="C406"/>
      <c r="F406"/>
      <c r="G406"/>
      <c r="H406"/>
      <c r="I406"/>
      <c r="L406"/>
      <c r="N406"/>
      <c r="O406"/>
    </row>
    <row r="407" spans="1:15" x14ac:dyDescent="0.2">
      <c r="A407"/>
      <c r="B407"/>
      <c r="C407"/>
      <c r="F407"/>
      <c r="G407"/>
      <c r="J407"/>
      <c r="K407"/>
      <c r="L407"/>
      <c r="M407"/>
      <c r="N407"/>
      <c r="O407"/>
    </row>
    <row r="408" spans="1:15" x14ac:dyDescent="0.2">
      <c r="A408"/>
      <c r="B408"/>
      <c r="C408"/>
      <c r="F408"/>
      <c r="G408"/>
      <c r="H408"/>
      <c r="J408"/>
      <c r="K408"/>
      <c r="L408"/>
      <c r="M408"/>
      <c r="N408"/>
      <c r="O408"/>
    </row>
    <row r="409" spans="1:15" x14ac:dyDescent="0.2">
      <c r="A409"/>
      <c r="B409"/>
      <c r="C409"/>
      <c r="F409"/>
      <c r="G409"/>
      <c r="H409"/>
      <c r="J409"/>
      <c r="K409"/>
      <c r="L409"/>
      <c r="M409"/>
      <c r="N409"/>
      <c r="O409"/>
    </row>
    <row r="410" spans="1:15" x14ac:dyDescent="0.2">
      <c r="A410"/>
      <c r="B410"/>
      <c r="C410"/>
      <c r="F410"/>
      <c r="G410"/>
      <c r="H410"/>
      <c r="J410"/>
      <c r="K410"/>
      <c r="L410"/>
      <c r="M410"/>
      <c r="N410"/>
      <c r="O410"/>
    </row>
    <row r="411" spans="1:15" x14ac:dyDescent="0.2">
      <c r="A411"/>
      <c r="B411"/>
      <c r="C411"/>
      <c r="F411"/>
      <c r="G411"/>
      <c r="H411"/>
      <c r="J411"/>
      <c r="K411"/>
      <c r="L411"/>
      <c r="M411"/>
      <c r="N411"/>
      <c r="O411"/>
    </row>
    <row r="412" spans="1:15" x14ac:dyDescent="0.2">
      <c r="A412"/>
      <c r="B412"/>
      <c r="C412"/>
      <c r="F412"/>
      <c r="G412"/>
      <c r="H412"/>
      <c r="J412"/>
      <c r="K412"/>
      <c r="M412"/>
      <c r="N412"/>
      <c r="O412"/>
    </row>
    <row r="413" spans="1:15" x14ac:dyDescent="0.2">
      <c r="A413"/>
      <c r="B413"/>
      <c r="C413"/>
      <c r="F413"/>
      <c r="G413"/>
      <c r="H413"/>
      <c r="J413"/>
      <c r="K413"/>
      <c r="L413"/>
      <c r="M413"/>
      <c r="N413"/>
      <c r="O413"/>
    </row>
    <row r="414" spans="1:15" x14ac:dyDescent="0.2">
      <c r="A414"/>
      <c r="B414"/>
      <c r="C414"/>
      <c r="F414"/>
      <c r="G414"/>
      <c r="H414"/>
      <c r="I414"/>
      <c r="L414"/>
      <c r="M414"/>
      <c r="N414"/>
      <c r="O414"/>
    </row>
    <row r="415" spans="1:15" x14ac:dyDescent="0.2">
      <c r="A415"/>
      <c r="B415"/>
      <c r="C415"/>
      <c r="F415"/>
      <c r="G415"/>
      <c r="H415"/>
      <c r="I415"/>
      <c r="L415"/>
      <c r="M415"/>
      <c r="N415"/>
      <c r="O415"/>
    </row>
    <row r="416" spans="1:15" x14ac:dyDescent="0.2">
      <c r="A416"/>
      <c r="B416"/>
      <c r="C416"/>
      <c r="F416"/>
      <c r="G416"/>
      <c r="L416"/>
      <c r="M416"/>
      <c r="N416"/>
      <c r="O416"/>
    </row>
    <row r="417" spans="1:15" x14ac:dyDescent="0.2">
      <c r="A417"/>
      <c r="B417"/>
      <c r="C417"/>
      <c r="F417"/>
      <c r="G417"/>
      <c r="I417"/>
      <c r="L417"/>
      <c r="M417"/>
      <c r="N417"/>
      <c r="O417"/>
    </row>
    <row r="418" spans="1:15" x14ac:dyDescent="0.2">
      <c r="A418"/>
      <c r="B418"/>
      <c r="C418"/>
      <c r="F418"/>
      <c r="G418"/>
      <c r="H418"/>
      <c r="I418"/>
      <c r="L418"/>
      <c r="N418"/>
      <c r="O418"/>
    </row>
    <row r="419" spans="1:15" x14ac:dyDescent="0.2">
      <c r="A419"/>
      <c r="B419"/>
      <c r="C419"/>
      <c r="F419"/>
      <c r="G419"/>
      <c r="I419"/>
      <c r="L419"/>
      <c r="M419"/>
      <c r="N419"/>
      <c r="O419"/>
    </row>
    <row r="420" spans="1:15" x14ac:dyDescent="0.2">
      <c r="A420"/>
      <c r="B420"/>
      <c r="C420"/>
      <c r="F420"/>
      <c r="G420"/>
      <c r="I420"/>
      <c r="L420"/>
      <c r="M420"/>
      <c r="N420"/>
      <c r="O420"/>
    </row>
    <row r="421" spans="1:15" x14ac:dyDescent="0.2">
      <c r="A421"/>
      <c r="B421"/>
      <c r="C421"/>
      <c r="F421"/>
      <c r="G421"/>
      <c r="H421"/>
      <c r="I421"/>
      <c r="L421"/>
      <c r="M421"/>
      <c r="N421"/>
      <c r="O421"/>
    </row>
    <row r="422" spans="1:15" x14ac:dyDescent="0.2">
      <c r="A422"/>
      <c r="B422"/>
      <c r="C422"/>
      <c r="F422"/>
      <c r="G422"/>
      <c r="H422"/>
      <c r="I422"/>
      <c r="L422"/>
      <c r="M422"/>
      <c r="N422"/>
      <c r="O422"/>
    </row>
    <row r="423" spans="1:15" x14ac:dyDescent="0.2">
      <c r="A423"/>
      <c r="B423"/>
      <c r="C423"/>
      <c r="F423"/>
      <c r="G423"/>
      <c r="H423"/>
      <c r="I423"/>
      <c r="L423"/>
      <c r="N423"/>
      <c r="O423"/>
    </row>
    <row r="424" spans="1:15" x14ac:dyDescent="0.2">
      <c r="A424"/>
      <c r="B424"/>
      <c r="C424"/>
      <c r="F424"/>
      <c r="G424"/>
      <c r="H424"/>
      <c r="I424"/>
      <c r="L424"/>
      <c r="N424"/>
      <c r="O424"/>
    </row>
    <row r="425" spans="1:15" x14ac:dyDescent="0.2">
      <c r="A425"/>
      <c r="B425"/>
      <c r="C425"/>
      <c r="F425"/>
      <c r="G425"/>
      <c r="H425"/>
      <c r="I425"/>
      <c r="L425"/>
      <c r="M425"/>
      <c r="N425"/>
      <c r="O425"/>
    </row>
    <row r="426" spans="1:15" x14ac:dyDescent="0.2">
      <c r="A426"/>
      <c r="B426"/>
      <c r="C426"/>
      <c r="F426"/>
      <c r="G426"/>
      <c r="H426"/>
      <c r="I426"/>
      <c r="L426"/>
      <c r="M426"/>
      <c r="N426"/>
      <c r="O426"/>
    </row>
    <row r="427" spans="1:15" x14ac:dyDescent="0.2">
      <c r="A427"/>
      <c r="B427"/>
      <c r="C427"/>
      <c r="F427"/>
      <c r="G427"/>
      <c r="H427"/>
      <c r="I427"/>
      <c r="L427"/>
      <c r="M427"/>
      <c r="N427"/>
      <c r="O427"/>
    </row>
    <row r="428" spans="1:15" x14ac:dyDescent="0.2">
      <c r="A428"/>
      <c r="B428"/>
      <c r="C428"/>
      <c r="F428"/>
      <c r="G428"/>
      <c r="H428"/>
      <c r="I428"/>
      <c r="L428"/>
      <c r="M428"/>
      <c r="N428"/>
      <c r="O428"/>
    </row>
    <row r="429" spans="1:15" x14ac:dyDescent="0.2">
      <c r="A429"/>
      <c r="B429"/>
      <c r="C429"/>
      <c r="F429"/>
      <c r="G429"/>
      <c r="H429"/>
      <c r="I429"/>
      <c r="L429"/>
      <c r="M429"/>
      <c r="N429"/>
      <c r="O429"/>
    </row>
    <row r="430" spans="1:15" x14ac:dyDescent="0.2">
      <c r="A430"/>
      <c r="B430"/>
      <c r="C430"/>
      <c r="F430"/>
      <c r="G430"/>
      <c r="H430"/>
      <c r="I430"/>
      <c r="L430"/>
      <c r="M430"/>
      <c r="N430"/>
      <c r="O430"/>
    </row>
    <row r="431" spans="1:15" x14ac:dyDescent="0.2">
      <c r="A431"/>
      <c r="B431"/>
      <c r="C431"/>
      <c r="F431"/>
      <c r="G431"/>
      <c r="H431"/>
      <c r="I431"/>
      <c r="L431"/>
      <c r="N431"/>
      <c r="O431"/>
    </row>
    <row r="432" spans="1:15" x14ac:dyDescent="0.2">
      <c r="A432"/>
      <c r="B432"/>
      <c r="C432"/>
      <c r="F432"/>
      <c r="G432"/>
      <c r="H432"/>
      <c r="I432"/>
      <c r="L432"/>
      <c r="N432"/>
      <c r="O432"/>
    </row>
    <row r="433" spans="1:15" x14ac:dyDescent="0.2">
      <c r="A433"/>
      <c r="B433"/>
      <c r="C433"/>
      <c r="F433"/>
      <c r="G433"/>
      <c r="I433"/>
      <c r="L433"/>
      <c r="M433"/>
      <c r="N433"/>
      <c r="O433"/>
    </row>
    <row r="434" spans="1:15" x14ac:dyDescent="0.2">
      <c r="A434"/>
      <c r="B434"/>
      <c r="C434"/>
      <c r="F434"/>
      <c r="G434"/>
      <c r="L434"/>
      <c r="M434"/>
      <c r="N434"/>
      <c r="O434"/>
    </row>
    <row r="435" spans="1:15" x14ac:dyDescent="0.2">
      <c r="A435"/>
      <c r="B435"/>
      <c r="C435"/>
      <c r="F435"/>
      <c r="G435"/>
      <c r="H435"/>
      <c r="I435"/>
      <c r="L435"/>
      <c r="M435"/>
      <c r="N435"/>
      <c r="O435"/>
    </row>
    <row r="436" spans="1:15" x14ac:dyDescent="0.2">
      <c r="A436"/>
      <c r="B436"/>
      <c r="C436"/>
      <c r="F436"/>
      <c r="G436"/>
      <c r="H436"/>
      <c r="I436"/>
      <c r="L436"/>
      <c r="M436"/>
      <c r="N436"/>
      <c r="O436"/>
    </row>
    <row r="437" spans="1:15" x14ac:dyDescent="0.2">
      <c r="A437"/>
      <c r="B437"/>
      <c r="C437"/>
      <c r="F437"/>
      <c r="G437"/>
      <c r="H437"/>
      <c r="I437"/>
      <c r="L437"/>
      <c r="M437"/>
      <c r="N437"/>
      <c r="O437"/>
    </row>
    <row r="438" spans="1:15" x14ac:dyDescent="0.2">
      <c r="A438"/>
      <c r="B438"/>
      <c r="C438"/>
      <c r="F438"/>
      <c r="G438"/>
      <c r="H438"/>
      <c r="I438"/>
      <c r="L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I444"/>
      <c r="L444"/>
      <c r="N444"/>
      <c r="O444"/>
    </row>
    <row r="445" spans="1:15" x14ac:dyDescent="0.2">
      <c r="A445"/>
      <c r="B445"/>
      <c r="C445"/>
      <c r="F445"/>
      <c r="G445"/>
      <c r="H445"/>
      <c r="I445"/>
      <c r="L445"/>
      <c r="M445"/>
      <c r="N445"/>
      <c r="O445"/>
    </row>
    <row r="446" spans="1:15" x14ac:dyDescent="0.2">
      <c r="A446"/>
      <c r="B446"/>
      <c r="C446"/>
      <c r="F446"/>
      <c r="G446"/>
      <c r="H446"/>
      <c r="I446"/>
      <c r="L446"/>
      <c r="M446"/>
      <c r="N446"/>
      <c r="O446"/>
    </row>
    <row r="447" spans="1:15" x14ac:dyDescent="0.2">
      <c r="A447"/>
      <c r="B447"/>
      <c r="C447"/>
      <c r="F447"/>
      <c r="G447"/>
      <c r="L447"/>
      <c r="M447"/>
      <c r="N447"/>
      <c r="O447"/>
    </row>
    <row r="448" spans="1:15" x14ac:dyDescent="0.2">
      <c r="A448"/>
      <c r="B448"/>
      <c r="C448"/>
      <c r="F448"/>
      <c r="G448"/>
      <c r="H448"/>
      <c r="I448"/>
      <c r="L448"/>
      <c r="M448"/>
      <c r="N448"/>
      <c r="O448"/>
    </row>
    <row r="449" spans="1:15" x14ac:dyDescent="0.2">
      <c r="A449"/>
      <c r="B449"/>
      <c r="C449"/>
      <c r="F449"/>
      <c r="G449"/>
      <c r="H449"/>
      <c r="I449"/>
      <c r="L449"/>
      <c r="M449"/>
      <c r="N449"/>
      <c r="O449"/>
    </row>
    <row r="450" spans="1:15" x14ac:dyDescent="0.2">
      <c r="A450"/>
      <c r="B450"/>
      <c r="C450"/>
      <c r="F450"/>
      <c r="G450"/>
      <c r="H450"/>
      <c r="I450"/>
      <c r="L450"/>
      <c r="M450"/>
      <c r="N450"/>
      <c r="O450"/>
    </row>
    <row r="451" spans="1:15" x14ac:dyDescent="0.2">
      <c r="A451"/>
      <c r="B451"/>
      <c r="C451"/>
      <c r="F451"/>
      <c r="G451"/>
      <c r="H451"/>
      <c r="I451"/>
      <c r="L451"/>
      <c r="M451"/>
      <c r="N451"/>
      <c r="O451"/>
    </row>
    <row r="452" spans="1:15" x14ac:dyDescent="0.2">
      <c r="A452"/>
      <c r="B452"/>
      <c r="C452"/>
      <c r="F452"/>
      <c r="G452"/>
      <c r="I452"/>
      <c r="L452"/>
      <c r="M452"/>
      <c r="N452"/>
      <c r="O452"/>
    </row>
    <row r="453" spans="1:15" x14ac:dyDescent="0.2">
      <c r="A453"/>
      <c r="B453"/>
      <c r="C453"/>
      <c r="F453"/>
      <c r="G453"/>
      <c r="I453"/>
      <c r="L453"/>
      <c r="M453"/>
      <c r="N453"/>
      <c r="O453"/>
    </row>
    <row r="454" spans="1:15" x14ac:dyDescent="0.2">
      <c r="A454"/>
      <c r="B454"/>
      <c r="C454"/>
      <c r="F454"/>
      <c r="G454"/>
      <c r="M454"/>
      <c r="N454"/>
      <c r="O454"/>
    </row>
    <row r="455" spans="1:15" x14ac:dyDescent="0.2">
      <c r="A455"/>
      <c r="B455"/>
      <c r="C455"/>
      <c r="F455"/>
      <c r="G455"/>
      <c r="H455"/>
      <c r="I455"/>
      <c r="L455"/>
      <c r="M455"/>
      <c r="N455"/>
      <c r="O455"/>
    </row>
    <row r="456" spans="1:15" x14ac:dyDescent="0.2">
      <c r="A456"/>
      <c r="B456"/>
      <c r="C456"/>
      <c r="F456"/>
      <c r="G456"/>
      <c r="M456"/>
      <c r="N456"/>
      <c r="O456"/>
    </row>
    <row r="457" spans="1:15" x14ac:dyDescent="0.2">
      <c r="A457"/>
      <c r="B457"/>
      <c r="C457"/>
      <c r="F457"/>
      <c r="G457"/>
      <c r="I457"/>
      <c r="L457"/>
      <c r="M457"/>
      <c r="N457"/>
      <c r="O457"/>
    </row>
    <row r="458" spans="1:15" x14ac:dyDescent="0.2">
      <c r="A458"/>
      <c r="B458"/>
      <c r="C458"/>
      <c r="F458"/>
      <c r="G458"/>
      <c r="H458"/>
      <c r="I458"/>
      <c r="J458"/>
      <c r="K458"/>
      <c r="L458"/>
      <c r="M458"/>
      <c r="N458"/>
      <c r="O458"/>
    </row>
    <row r="459" spans="1:15" x14ac:dyDescent="0.2">
      <c r="A459"/>
      <c r="B459"/>
      <c r="C459"/>
      <c r="F459"/>
      <c r="G459"/>
      <c r="I459"/>
      <c r="L459"/>
      <c r="M459"/>
      <c r="N459"/>
      <c r="O459"/>
    </row>
    <row r="460" spans="1:15" x14ac:dyDescent="0.2">
      <c r="A460"/>
      <c r="B460"/>
      <c r="C460"/>
      <c r="F460"/>
      <c r="G460"/>
      <c r="L460"/>
      <c r="M460"/>
      <c r="N460"/>
      <c r="O460"/>
    </row>
    <row r="461" spans="1:15" x14ac:dyDescent="0.2">
      <c r="A461"/>
      <c r="B461"/>
      <c r="C461"/>
      <c r="F461"/>
      <c r="G461"/>
      <c r="H461"/>
      <c r="I461"/>
      <c r="L461"/>
      <c r="M461"/>
      <c r="N461"/>
      <c r="O461"/>
    </row>
    <row r="462" spans="1:15" x14ac:dyDescent="0.2">
      <c r="A462"/>
      <c r="B462"/>
      <c r="C462"/>
      <c r="F462"/>
      <c r="G462"/>
      <c r="I462"/>
      <c r="L462"/>
      <c r="M462"/>
      <c r="N462"/>
      <c r="O462"/>
    </row>
    <row r="463" spans="1:15" x14ac:dyDescent="0.2">
      <c r="A463"/>
      <c r="B463"/>
      <c r="C463"/>
      <c r="F463"/>
      <c r="G463"/>
      <c r="H463"/>
      <c r="I463"/>
      <c r="L463"/>
      <c r="M463"/>
      <c r="N463"/>
      <c r="O463"/>
    </row>
    <row r="464" spans="1:15" x14ac:dyDescent="0.2">
      <c r="A464"/>
      <c r="B464"/>
      <c r="C464"/>
      <c r="F464"/>
      <c r="G464"/>
      <c r="H464"/>
      <c r="I464"/>
      <c r="L464"/>
      <c r="M464"/>
      <c r="N464"/>
      <c r="O464"/>
    </row>
    <row r="465" spans="1:15" x14ac:dyDescent="0.2">
      <c r="A465"/>
      <c r="B465"/>
      <c r="C465"/>
      <c r="F465"/>
      <c r="G465"/>
      <c r="H465"/>
      <c r="I465"/>
      <c r="L465"/>
      <c r="M465"/>
      <c r="N465"/>
      <c r="O465"/>
    </row>
    <row r="466" spans="1:15" x14ac:dyDescent="0.2">
      <c r="A466"/>
      <c r="B466"/>
      <c r="C466"/>
      <c r="F466"/>
      <c r="G466"/>
      <c r="H466"/>
      <c r="J466"/>
      <c r="K466"/>
      <c r="L466"/>
      <c r="M466"/>
      <c r="N466"/>
      <c r="O466"/>
    </row>
    <row r="467" spans="1:15" x14ac:dyDescent="0.2">
      <c r="A467"/>
      <c r="B467"/>
      <c r="C467"/>
      <c r="F467"/>
      <c r="G467"/>
      <c r="J467"/>
      <c r="K467"/>
      <c r="L467"/>
      <c r="M467"/>
      <c r="N467"/>
      <c r="O467"/>
    </row>
    <row r="468" spans="1:15" x14ac:dyDescent="0.2">
      <c r="A468"/>
      <c r="B468"/>
      <c r="C468"/>
      <c r="F468"/>
      <c r="G468"/>
      <c r="J468"/>
      <c r="K468"/>
      <c r="L468"/>
      <c r="M468"/>
      <c r="N468"/>
      <c r="O468"/>
    </row>
    <row r="469" spans="1:15" x14ac:dyDescent="0.2">
      <c r="A469"/>
      <c r="B469"/>
      <c r="C469"/>
      <c r="F469"/>
      <c r="G469"/>
      <c r="H469"/>
      <c r="I469"/>
      <c r="L469"/>
      <c r="N469"/>
      <c r="O469"/>
    </row>
    <row r="470" spans="1:15" x14ac:dyDescent="0.2">
      <c r="A470"/>
      <c r="B470"/>
      <c r="C470"/>
      <c r="F470"/>
      <c r="G470"/>
      <c r="J470"/>
      <c r="K470"/>
      <c r="L470"/>
      <c r="M470"/>
      <c r="N470"/>
      <c r="O470"/>
    </row>
    <row r="471" spans="1:15" x14ac:dyDescent="0.2">
      <c r="A471"/>
      <c r="B471"/>
      <c r="C471"/>
      <c r="F471"/>
      <c r="G471"/>
      <c r="I471"/>
      <c r="L471"/>
      <c r="M471"/>
      <c r="N471"/>
      <c r="O471"/>
    </row>
    <row r="472" spans="1:15" x14ac:dyDescent="0.2">
      <c r="A472"/>
      <c r="B472"/>
      <c r="C472"/>
      <c r="F472"/>
      <c r="G472"/>
      <c r="H472"/>
      <c r="I472"/>
      <c r="L472"/>
      <c r="M472"/>
      <c r="N472"/>
      <c r="O472"/>
    </row>
    <row r="473" spans="1:15" x14ac:dyDescent="0.2">
      <c r="A473"/>
      <c r="B473"/>
      <c r="C473"/>
      <c r="F473"/>
      <c r="G473"/>
      <c r="L473"/>
      <c r="M473"/>
      <c r="N473"/>
      <c r="O473"/>
    </row>
    <row r="474" spans="1:15" x14ac:dyDescent="0.2">
      <c r="A474"/>
      <c r="B474"/>
      <c r="C474"/>
      <c r="F474"/>
      <c r="G474"/>
      <c r="L474"/>
      <c r="M474"/>
      <c r="N474"/>
      <c r="O474"/>
    </row>
    <row r="475" spans="1:15" x14ac:dyDescent="0.2">
      <c r="A475"/>
      <c r="B475"/>
      <c r="C475"/>
      <c r="F475"/>
      <c r="G475"/>
      <c r="L475"/>
      <c r="M475"/>
      <c r="N475"/>
      <c r="O475"/>
    </row>
    <row r="476" spans="1:15" x14ac:dyDescent="0.2">
      <c r="A476"/>
      <c r="B476"/>
      <c r="C476"/>
      <c r="F476"/>
      <c r="G476"/>
      <c r="L476"/>
      <c r="M476"/>
      <c r="N476"/>
      <c r="O476"/>
    </row>
    <row r="477" spans="1:15" x14ac:dyDescent="0.2">
      <c r="A477"/>
      <c r="B477"/>
      <c r="C477"/>
      <c r="F477"/>
      <c r="G477"/>
      <c r="H477"/>
      <c r="I477"/>
      <c r="L477"/>
      <c r="M477"/>
      <c r="N477"/>
      <c r="O477"/>
    </row>
    <row r="478" spans="1:15" x14ac:dyDescent="0.2">
      <c r="A478"/>
      <c r="B478"/>
      <c r="C478"/>
      <c r="F478"/>
      <c r="G478"/>
      <c r="H478"/>
      <c r="I478"/>
      <c r="L478"/>
      <c r="M478"/>
      <c r="N478"/>
      <c r="O478"/>
    </row>
    <row r="479" spans="1:15" x14ac:dyDescent="0.2">
      <c r="A479"/>
      <c r="B479"/>
      <c r="C479"/>
      <c r="F479"/>
      <c r="G479"/>
      <c r="H479"/>
      <c r="I479"/>
      <c r="L479"/>
      <c r="M479"/>
      <c r="N479"/>
      <c r="O479"/>
    </row>
    <row r="480" spans="1:15" x14ac:dyDescent="0.2">
      <c r="A480"/>
      <c r="B480"/>
      <c r="C480"/>
      <c r="F480"/>
      <c r="G480"/>
      <c r="I480"/>
      <c r="L480"/>
      <c r="M480"/>
      <c r="N480"/>
      <c r="O480"/>
    </row>
    <row r="481" spans="1:15" x14ac:dyDescent="0.2">
      <c r="A481"/>
      <c r="B481"/>
      <c r="C481"/>
      <c r="F481"/>
      <c r="G481"/>
      <c r="I481"/>
      <c r="L481"/>
      <c r="M481"/>
      <c r="N481"/>
      <c r="O481"/>
    </row>
    <row r="482" spans="1:15" x14ac:dyDescent="0.2">
      <c r="A482"/>
      <c r="B482"/>
      <c r="C482"/>
      <c r="F482"/>
      <c r="G482"/>
      <c r="H482"/>
      <c r="I482"/>
      <c r="L482"/>
      <c r="M482"/>
      <c r="N482"/>
      <c r="O482"/>
    </row>
    <row r="483" spans="1:15" x14ac:dyDescent="0.2">
      <c r="A483"/>
      <c r="B483"/>
      <c r="C483"/>
      <c r="F483"/>
      <c r="G483"/>
      <c r="H483"/>
      <c r="I483"/>
      <c r="L483"/>
      <c r="M483"/>
      <c r="N483"/>
      <c r="O483"/>
    </row>
    <row r="484" spans="1:15" x14ac:dyDescent="0.2">
      <c r="A484"/>
      <c r="B484"/>
      <c r="C484"/>
      <c r="F484"/>
      <c r="G484"/>
      <c r="H484"/>
      <c r="I484"/>
      <c r="L484"/>
      <c r="M484"/>
      <c r="N484"/>
      <c r="O484"/>
    </row>
    <row r="485" spans="1:15" x14ac:dyDescent="0.2">
      <c r="A485"/>
      <c r="B485"/>
      <c r="C485"/>
      <c r="F485"/>
      <c r="G485"/>
      <c r="J485"/>
      <c r="L485"/>
      <c r="M485"/>
      <c r="N485"/>
      <c r="O485"/>
    </row>
    <row r="486" spans="1:15" x14ac:dyDescent="0.2">
      <c r="A486"/>
      <c r="B486"/>
      <c r="C486"/>
      <c r="F486"/>
      <c r="G486"/>
      <c r="H486"/>
      <c r="I486"/>
      <c r="L486"/>
      <c r="M486"/>
      <c r="N486"/>
      <c r="O486"/>
    </row>
    <row r="487" spans="1:15" x14ac:dyDescent="0.2">
      <c r="A487"/>
      <c r="B487"/>
      <c r="C487"/>
      <c r="F487"/>
      <c r="G487"/>
      <c r="I487"/>
      <c r="L487"/>
      <c r="M487"/>
      <c r="N487"/>
      <c r="O487"/>
    </row>
    <row r="488" spans="1:15" x14ac:dyDescent="0.2">
      <c r="A488"/>
      <c r="B488"/>
      <c r="C488"/>
      <c r="F488"/>
      <c r="G488"/>
      <c r="I488"/>
      <c r="L488"/>
      <c r="M488"/>
      <c r="N488"/>
      <c r="O488"/>
    </row>
    <row r="489" spans="1:15" x14ac:dyDescent="0.2">
      <c r="A489"/>
      <c r="B489"/>
      <c r="C489"/>
      <c r="F489"/>
      <c r="G489"/>
      <c r="I489"/>
      <c r="L489"/>
      <c r="M489"/>
      <c r="N489"/>
      <c r="O489"/>
    </row>
    <row r="490" spans="1:15" x14ac:dyDescent="0.2">
      <c r="A490"/>
      <c r="B490"/>
      <c r="C490"/>
      <c r="F490"/>
      <c r="G490"/>
      <c r="H490"/>
      <c r="I490"/>
      <c r="L490"/>
      <c r="M490"/>
      <c r="N490"/>
      <c r="O490"/>
    </row>
    <row r="491" spans="1:15" x14ac:dyDescent="0.2">
      <c r="A491"/>
      <c r="B491"/>
      <c r="C491"/>
      <c r="F491"/>
      <c r="G491"/>
      <c r="I491"/>
      <c r="L491"/>
      <c r="M491"/>
      <c r="N491"/>
      <c r="O491"/>
    </row>
    <row r="492" spans="1:15" x14ac:dyDescent="0.2">
      <c r="A492"/>
      <c r="B492"/>
      <c r="C492"/>
      <c r="F492"/>
      <c r="G492"/>
      <c r="L492"/>
      <c r="M492"/>
      <c r="N492"/>
      <c r="O492"/>
    </row>
    <row r="493" spans="1:15" x14ac:dyDescent="0.2">
      <c r="A493"/>
      <c r="B493"/>
      <c r="C493"/>
      <c r="F493"/>
      <c r="G493"/>
      <c r="I493"/>
      <c r="L493"/>
      <c r="M493"/>
      <c r="N493"/>
      <c r="O493"/>
    </row>
    <row r="494" spans="1:15" x14ac:dyDescent="0.2">
      <c r="A494"/>
      <c r="B494"/>
      <c r="C494"/>
      <c r="F494"/>
      <c r="G494"/>
      <c r="H494"/>
      <c r="I494"/>
      <c r="L494"/>
      <c r="M494"/>
      <c r="N494"/>
      <c r="O494"/>
    </row>
    <row r="495" spans="1:15" x14ac:dyDescent="0.2">
      <c r="A495"/>
      <c r="B495"/>
      <c r="C495"/>
      <c r="F495"/>
      <c r="G495"/>
      <c r="I495"/>
      <c r="L495"/>
      <c r="M495"/>
      <c r="N495"/>
      <c r="O495"/>
    </row>
    <row r="496" spans="1:15" x14ac:dyDescent="0.2">
      <c r="A496"/>
      <c r="B496"/>
      <c r="C496"/>
      <c r="F496"/>
      <c r="G496"/>
      <c r="H496"/>
      <c r="J496"/>
      <c r="K496"/>
      <c r="L496"/>
      <c r="M496"/>
      <c r="N496"/>
      <c r="O496"/>
    </row>
    <row r="497" spans="1:15" x14ac:dyDescent="0.2">
      <c r="A497"/>
      <c r="B497"/>
      <c r="C497"/>
      <c r="F497"/>
      <c r="G497"/>
      <c r="H497"/>
      <c r="I497"/>
      <c r="L497"/>
      <c r="M497"/>
      <c r="N497"/>
      <c r="O497"/>
    </row>
    <row r="498" spans="1:15" x14ac:dyDescent="0.2">
      <c r="A498"/>
      <c r="B498"/>
      <c r="C498"/>
      <c r="F498"/>
      <c r="G498"/>
      <c r="I498"/>
      <c r="L498"/>
      <c r="M498"/>
      <c r="N498"/>
      <c r="O498"/>
    </row>
    <row r="499" spans="1:15" x14ac:dyDescent="0.2">
      <c r="A499"/>
      <c r="B499"/>
      <c r="C499"/>
      <c r="F499"/>
      <c r="G499"/>
      <c r="H499"/>
      <c r="I499"/>
      <c r="L499"/>
      <c r="M499"/>
      <c r="N499"/>
      <c r="O499"/>
    </row>
    <row r="500" spans="1:15" x14ac:dyDescent="0.2">
      <c r="A500"/>
      <c r="B500"/>
      <c r="C500"/>
      <c r="F500"/>
      <c r="G500"/>
      <c r="H500"/>
      <c r="I500"/>
      <c r="L500"/>
      <c r="M500"/>
      <c r="N500"/>
      <c r="O500"/>
    </row>
    <row r="501" spans="1:15" x14ac:dyDescent="0.2">
      <c r="A501"/>
      <c r="B501"/>
      <c r="C501"/>
      <c r="F501"/>
      <c r="G501"/>
      <c r="H501"/>
      <c r="I501"/>
      <c r="L501"/>
      <c r="M501"/>
      <c r="N501"/>
      <c r="O501"/>
    </row>
    <row r="502" spans="1:15" x14ac:dyDescent="0.2">
      <c r="A502"/>
      <c r="B502"/>
      <c r="C502"/>
      <c r="F502"/>
      <c r="G502"/>
      <c r="H502"/>
      <c r="J502"/>
      <c r="K502"/>
      <c r="L502"/>
      <c r="M502"/>
      <c r="N502"/>
      <c r="O502"/>
    </row>
    <row r="503" spans="1:15" x14ac:dyDescent="0.2">
      <c r="A503"/>
      <c r="B503"/>
      <c r="C503"/>
      <c r="F503"/>
      <c r="G503"/>
      <c r="M503"/>
      <c r="N503"/>
      <c r="O503"/>
    </row>
    <row r="504" spans="1:15" x14ac:dyDescent="0.2">
      <c r="A504"/>
      <c r="B504"/>
      <c r="C504"/>
      <c r="F504"/>
      <c r="G504"/>
      <c r="H504"/>
      <c r="I504"/>
      <c r="L504"/>
      <c r="M504"/>
      <c r="N504"/>
      <c r="O504"/>
    </row>
    <row r="505" spans="1:15" x14ac:dyDescent="0.2">
      <c r="A505"/>
      <c r="B505"/>
      <c r="C505"/>
      <c r="F505"/>
      <c r="G505"/>
      <c r="I505"/>
      <c r="L505"/>
      <c r="M505"/>
      <c r="N505"/>
      <c r="O505"/>
    </row>
    <row r="506" spans="1:15" x14ac:dyDescent="0.2">
      <c r="A506"/>
      <c r="B506"/>
      <c r="C506"/>
      <c r="F506"/>
      <c r="G506"/>
      <c r="H506"/>
      <c r="I506"/>
      <c r="L506"/>
      <c r="M506"/>
      <c r="N506"/>
      <c r="O506"/>
    </row>
    <row r="507" spans="1:15" x14ac:dyDescent="0.2">
      <c r="A507"/>
      <c r="B507"/>
      <c r="C507"/>
      <c r="F507"/>
      <c r="G507"/>
      <c r="H507"/>
      <c r="I507"/>
      <c r="L507"/>
      <c r="M507"/>
      <c r="N507"/>
      <c r="O507"/>
    </row>
    <row r="508" spans="1:15" x14ac:dyDescent="0.2">
      <c r="A508"/>
      <c r="B508"/>
      <c r="C508"/>
      <c r="F508"/>
      <c r="G508"/>
      <c r="I508"/>
      <c r="L508"/>
      <c r="M508"/>
      <c r="N508"/>
      <c r="O508"/>
    </row>
    <row r="509" spans="1:15" x14ac:dyDescent="0.2">
      <c r="A509"/>
      <c r="B509"/>
      <c r="C509"/>
      <c r="F509"/>
      <c r="G509"/>
      <c r="H509"/>
      <c r="J509"/>
      <c r="K509"/>
      <c r="L509"/>
      <c r="M509"/>
      <c r="N509"/>
      <c r="O509"/>
    </row>
    <row r="510" spans="1:15" x14ac:dyDescent="0.2">
      <c r="A510"/>
      <c r="B510"/>
      <c r="C510"/>
      <c r="F510"/>
      <c r="G510"/>
      <c r="H510"/>
      <c r="I510"/>
      <c r="L510"/>
      <c r="M510"/>
      <c r="N510"/>
      <c r="O510"/>
    </row>
    <row r="511" spans="1:15" x14ac:dyDescent="0.2">
      <c r="A511"/>
      <c r="B511"/>
      <c r="C511"/>
      <c r="F511"/>
      <c r="G511"/>
      <c r="H511"/>
      <c r="J511"/>
      <c r="K511"/>
      <c r="L511"/>
      <c r="M511"/>
      <c r="N511"/>
      <c r="O511"/>
    </row>
    <row r="512" spans="1:15" x14ac:dyDescent="0.2">
      <c r="A512"/>
      <c r="B512"/>
      <c r="C512"/>
      <c r="F512"/>
      <c r="G512"/>
      <c r="H512"/>
      <c r="I512"/>
      <c r="L512"/>
      <c r="M512"/>
      <c r="N512"/>
      <c r="O512"/>
    </row>
    <row r="513" spans="1:15" x14ac:dyDescent="0.2">
      <c r="A513"/>
      <c r="B513"/>
      <c r="C513"/>
      <c r="F513"/>
      <c r="G513"/>
      <c r="I513"/>
      <c r="L513"/>
      <c r="M513"/>
      <c r="N513"/>
      <c r="O513"/>
    </row>
    <row r="514" spans="1:15" x14ac:dyDescent="0.2">
      <c r="A514"/>
      <c r="B514"/>
      <c r="C514"/>
      <c r="F514"/>
      <c r="G514"/>
      <c r="I514"/>
      <c r="L514"/>
      <c r="M514"/>
      <c r="N514"/>
      <c r="O514"/>
    </row>
    <row r="515" spans="1:15" x14ac:dyDescent="0.2">
      <c r="A515"/>
      <c r="B515"/>
      <c r="C515"/>
      <c r="F515"/>
      <c r="G515"/>
      <c r="I515"/>
      <c r="L515"/>
      <c r="M515"/>
      <c r="N515"/>
      <c r="O515"/>
    </row>
    <row r="516" spans="1:15" x14ac:dyDescent="0.2">
      <c r="A516"/>
      <c r="B516"/>
      <c r="C516"/>
      <c r="F516"/>
      <c r="G516"/>
      <c r="I516"/>
      <c r="L516"/>
      <c r="M516"/>
      <c r="N516"/>
      <c r="O516"/>
    </row>
    <row r="517" spans="1:15" x14ac:dyDescent="0.2">
      <c r="A517"/>
      <c r="B517"/>
      <c r="C517"/>
      <c r="F517"/>
      <c r="G517"/>
      <c r="H517"/>
      <c r="I517"/>
      <c r="L517"/>
      <c r="M517"/>
      <c r="N517"/>
      <c r="O517"/>
    </row>
    <row r="518" spans="1:15" x14ac:dyDescent="0.2">
      <c r="A518"/>
      <c r="B518"/>
      <c r="C518"/>
      <c r="F518"/>
      <c r="G518"/>
      <c r="H518"/>
      <c r="I518"/>
      <c r="L518"/>
      <c r="M518"/>
      <c r="N518"/>
      <c r="O518"/>
    </row>
    <row r="519" spans="1:15" x14ac:dyDescent="0.2">
      <c r="A519"/>
      <c r="B519"/>
      <c r="C519"/>
      <c r="F519"/>
      <c r="G519"/>
      <c r="H519"/>
      <c r="I519"/>
      <c r="L519"/>
      <c r="M519"/>
      <c r="N519"/>
      <c r="O519"/>
    </row>
    <row r="520" spans="1:15" x14ac:dyDescent="0.2">
      <c r="A520"/>
      <c r="B520"/>
      <c r="C520"/>
      <c r="F520"/>
      <c r="G520"/>
      <c r="H520"/>
      <c r="I520"/>
      <c r="L520"/>
      <c r="M520"/>
      <c r="N520"/>
      <c r="O520"/>
    </row>
    <row r="521" spans="1:15" x14ac:dyDescent="0.2">
      <c r="A521"/>
      <c r="B521"/>
      <c r="C521"/>
      <c r="F521"/>
      <c r="G521"/>
      <c r="H521"/>
      <c r="I521"/>
      <c r="L521"/>
      <c r="M521"/>
      <c r="N521"/>
      <c r="O521"/>
    </row>
    <row r="522" spans="1:15" x14ac:dyDescent="0.2">
      <c r="A522"/>
      <c r="B522"/>
      <c r="C522"/>
      <c r="F522"/>
      <c r="G522"/>
      <c r="J522"/>
      <c r="L522"/>
      <c r="M522"/>
      <c r="N522"/>
      <c r="O522"/>
    </row>
    <row r="523" spans="1:15" x14ac:dyDescent="0.2">
      <c r="A523"/>
      <c r="B523"/>
      <c r="C523"/>
      <c r="F523"/>
      <c r="G523"/>
      <c r="H523"/>
      <c r="L523"/>
      <c r="M523"/>
      <c r="N523"/>
      <c r="O523"/>
    </row>
    <row r="524" spans="1:15" x14ac:dyDescent="0.2">
      <c r="A524"/>
      <c r="B524"/>
      <c r="C524"/>
      <c r="F524"/>
      <c r="G524"/>
      <c r="J524"/>
      <c r="K524"/>
      <c r="L524"/>
      <c r="M524"/>
      <c r="N524"/>
      <c r="O524"/>
    </row>
    <row r="525" spans="1:15" x14ac:dyDescent="0.2">
      <c r="A525"/>
      <c r="B525"/>
      <c r="C525"/>
      <c r="F525"/>
      <c r="G525"/>
      <c r="L525"/>
      <c r="M525"/>
      <c r="N525"/>
      <c r="O525"/>
    </row>
    <row r="526" spans="1:15" x14ac:dyDescent="0.2">
      <c r="A526"/>
      <c r="B526"/>
      <c r="C526"/>
      <c r="F526"/>
      <c r="G526"/>
      <c r="H526"/>
      <c r="J526"/>
      <c r="K526"/>
      <c r="L526"/>
      <c r="M526"/>
      <c r="N526"/>
      <c r="O526"/>
    </row>
    <row r="527" spans="1:15" x14ac:dyDescent="0.2">
      <c r="A527"/>
      <c r="B527"/>
      <c r="C527"/>
      <c r="F527"/>
      <c r="G527"/>
      <c r="L527"/>
      <c r="M527"/>
      <c r="N527"/>
      <c r="O527"/>
    </row>
    <row r="528" spans="1:15" x14ac:dyDescent="0.2">
      <c r="A528"/>
      <c r="B528"/>
      <c r="C528"/>
      <c r="F528"/>
      <c r="G528"/>
      <c r="L528"/>
      <c r="M528"/>
      <c r="N528"/>
      <c r="O528"/>
    </row>
    <row r="529" spans="1:15" x14ac:dyDescent="0.2">
      <c r="A529"/>
      <c r="B529"/>
      <c r="C529"/>
      <c r="F529"/>
      <c r="G529"/>
      <c r="L529"/>
      <c r="M529"/>
      <c r="N529"/>
      <c r="O529"/>
    </row>
    <row r="530" spans="1:15" x14ac:dyDescent="0.2">
      <c r="A530"/>
      <c r="B530"/>
      <c r="C530"/>
      <c r="F530"/>
      <c r="G530"/>
      <c r="L530"/>
      <c r="M530"/>
      <c r="N530"/>
      <c r="O530"/>
    </row>
    <row r="531" spans="1:15" x14ac:dyDescent="0.2">
      <c r="A531"/>
      <c r="B531"/>
      <c r="C531"/>
      <c r="F531"/>
      <c r="G531"/>
      <c r="L531"/>
      <c r="M531"/>
      <c r="N531"/>
      <c r="O531"/>
    </row>
    <row r="532" spans="1:15" x14ac:dyDescent="0.2">
      <c r="A532"/>
      <c r="B532"/>
      <c r="C532"/>
      <c r="F532"/>
      <c r="G532"/>
      <c r="L532"/>
      <c r="M532"/>
      <c r="N532"/>
      <c r="O532"/>
    </row>
    <row r="533" spans="1:15" x14ac:dyDescent="0.2">
      <c r="A533"/>
      <c r="B533"/>
      <c r="C533"/>
      <c r="F533"/>
      <c r="G533"/>
      <c r="I533"/>
      <c r="L533"/>
      <c r="M533"/>
      <c r="N533"/>
      <c r="O533"/>
    </row>
    <row r="534" spans="1:15" x14ac:dyDescent="0.2">
      <c r="A534"/>
      <c r="B534"/>
      <c r="C534"/>
      <c r="F534"/>
      <c r="G534"/>
      <c r="I534"/>
      <c r="L534"/>
      <c r="M534"/>
      <c r="N534"/>
      <c r="O534"/>
    </row>
    <row r="535" spans="1:15" x14ac:dyDescent="0.2">
      <c r="A535"/>
      <c r="B535"/>
      <c r="C535"/>
      <c r="F535"/>
      <c r="G535"/>
      <c r="I535"/>
      <c r="L535"/>
      <c r="M535"/>
      <c r="N535"/>
      <c r="O535"/>
    </row>
    <row r="536" spans="1:15" x14ac:dyDescent="0.2">
      <c r="A536"/>
      <c r="B536"/>
      <c r="C536"/>
      <c r="F536"/>
      <c r="G536"/>
      <c r="H536"/>
      <c r="I536"/>
      <c r="L536"/>
      <c r="M536"/>
      <c r="N536"/>
      <c r="O536"/>
    </row>
    <row r="537" spans="1:15" x14ac:dyDescent="0.2">
      <c r="A537"/>
      <c r="B537"/>
      <c r="C537"/>
      <c r="F537"/>
      <c r="G537"/>
      <c r="L537"/>
      <c r="M537"/>
      <c r="N537"/>
      <c r="O537"/>
    </row>
    <row r="538" spans="1:15" x14ac:dyDescent="0.2">
      <c r="A538"/>
      <c r="B538"/>
      <c r="C538"/>
      <c r="F538"/>
      <c r="G538"/>
      <c r="L538"/>
      <c r="M538"/>
      <c r="N538"/>
      <c r="O538"/>
    </row>
    <row r="539" spans="1:15" x14ac:dyDescent="0.2">
      <c r="A539"/>
      <c r="B539"/>
      <c r="C539"/>
      <c r="F539"/>
      <c r="G539"/>
      <c r="H539"/>
      <c r="I539"/>
      <c r="L539"/>
      <c r="M539"/>
      <c r="N539"/>
      <c r="O539"/>
    </row>
    <row r="540" spans="1:15" x14ac:dyDescent="0.2">
      <c r="A540"/>
      <c r="B540"/>
      <c r="C540"/>
      <c r="F540"/>
      <c r="G540"/>
      <c r="I540"/>
      <c r="L540"/>
      <c r="M540"/>
      <c r="N540"/>
      <c r="O540"/>
    </row>
    <row r="541" spans="1:15" x14ac:dyDescent="0.2">
      <c r="A541"/>
      <c r="B541"/>
      <c r="C541"/>
      <c r="F541"/>
      <c r="G541"/>
      <c r="H541"/>
      <c r="I541"/>
      <c r="L541"/>
      <c r="M541"/>
      <c r="N541"/>
      <c r="O541"/>
    </row>
    <row r="542" spans="1:15" x14ac:dyDescent="0.2">
      <c r="A542"/>
      <c r="B542"/>
      <c r="C542"/>
      <c r="F542"/>
      <c r="G542"/>
      <c r="H542"/>
      <c r="I542"/>
      <c r="L542"/>
      <c r="M542"/>
      <c r="N542"/>
      <c r="O542"/>
    </row>
    <row r="543" spans="1:15" x14ac:dyDescent="0.2">
      <c r="A543"/>
      <c r="B543"/>
      <c r="C543"/>
      <c r="F543"/>
      <c r="G543"/>
      <c r="M543"/>
      <c r="N543"/>
      <c r="O543"/>
    </row>
    <row r="544" spans="1:15" x14ac:dyDescent="0.2">
      <c r="A544"/>
      <c r="B544"/>
      <c r="C544"/>
      <c r="F544"/>
      <c r="G544"/>
      <c r="H544"/>
      <c r="I544"/>
      <c r="L544"/>
      <c r="M544"/>
      <c r="N544"/>
      <c r="O544"/>
    </row>
    <row r="545" spans="1:15" x14ac:dyDescent="0.2">
      <c r="A545"/>
      <c r="B545"/>
      <c r="C545"/>
      <c r="F545"/>
      <c r="G545"/>
      <c r="I545"/>
      <c r="L545"/>
      <c r="M545"/>
      <c r="N545"/>
      <c r="O545"/>
    </row>
    <row r="546" spans="1:15" x14ac:dyDescent="0.2">
      <c r="A546"/>
      <c r="B546"/>
      <c r="C546"/>
      <c r="F546"/>
      <c r="G546"/>
      <c r="M546"/>
      <c r="N546"/>
      <c r="O546"/>
    </row>
    <row r="547" spans="1:15" x14ac:dyDescent="0.2">
      <c r="A547"/>
      <c r="B547"/>
      <c r="C547"/>
      <c r="F547"/>
      <c r="G547"/>
      <c r="H547"/>
      <c r="I547"/>
      <c r="L547"/>
      <c r="M547"/>
      <c r="N547"/>
      <c r="O547"/>
    </row>
    <row r="548" spans="1:15" x14ac:dyDescent="0.2">
      <c r="A548"/>
      <c r="B548"/>
      <c r="C548"/>
      <c r="F548"/>
      <c r="G548"/>
      <c r="H548"/>
      <c r="I548"/>
      <c r="L548"/>
      <c r="M548"/>
      <c r="N548"/>
      <c r="O548"/>
    </row>
    <row r="549" spans="1:15" x14ac:dyDescent="0.2">
      <c r="A549"/>
      <c r="B549"/>
      <c r="C549"/>
      <c r="F549"/>
      <c r="G549"/>
      <c r="H549"/>
      <c r="I549"/>
      <c r="L549"/>
      <c r="M549"/>
      <c r="N549"/>
      <c r="O549"/>
    </row>
    <row r="550" spans="1:15" x14ac:dyDescent="0.2">
      <c r="A550"/>
      <c r="B550"/>
      <c r="C550"/>
      <c r="F550"/>
      <c r="G550"/>
      <c r="L550"/>
      <c r="M550"/>
      <c r="N550"/>
      <c r="O550"/>
    </row>
    <row r="551" spans="1:15" x14ac:dyDescent="0.2">
      <c r="A551"/>
      <c r="B551"/>
      <c r="C551"/>
      <c r="F551"/>
      <c r="G551"/>
      <c r="H551"/>
      <c r="I551"/>
      <c r="L551"/>
      <c r="M551"/>
      <c r="N551"/>
      <c r="O551"/>
    </row>
    <row r="552" spans="1:15" x14ac:dyDescent="0.2">
      <c r="A552"/>
      <c r="B552"/>
      <c r="C552"/>
      <c r="F552"/>
      <c r="G552"/>
      <c r="I552"/>
      <c r="L552"/>
      <c r="M552"/>
      <c r="N552"/>
      <c r="O552"/>
    </row>
    <row r="553" spans="1:15" x14ac:dyDescent="0.2">
      <c r="A553"/>
      <c r="B553"/>
      <c r="C553"/>
      <c r="F553"/>
      <c r="G553"/>
      <c r="I553"/>
      <c r="L553"/>
      <c r="M553"/>
      <c r="N553"/>
      <c r="O553"/>
    </row>
    <row r="554" spans="1:15" x14ac:dyDescent="0.2">
      <c r="A554"/>
      <c r="B554"/>
      <c r="C554"/>
      <c r="F554"/>
      <c r="G554"/>
      <c r="H554"/>
      <c r="I554"/>
      <c r="L554"/>
      <c r="N554"/>
      <c r="O554"/>
    </row>
    <row r="555" spans="1:15" x14ac:dyDescent="0.2">
      <c r="A555"/>
      <c r="B555"/>
      <c r="C555"/>
      <c r="F555"/>
      <c r="G555"/>
      <c r="H555"/>
      <c r="I555"/>
      <c r="L555"/>
      <c r="N555"/>
      <c r="O555"/>
    </row>
    <row r="556" spans="1:15" x14ac:dyDescent="0.2">
      <c r="A556"/>
      <c r="B556"/>
      <c r="C556"/>
      <c r="F556"/>
      <c r="G556"/>
      <c r="M556"/>
      <c r="N556"/>
      <c r="O556"/>
    </row>
    <row r="557" spans="1:15" x14ac:dyDescent="0.2">
      <c r="A557"/>
      <c r="B557"/>
      <c r="C557"/>
      <c r="F557"/>
      <c r="G557"/>
      <c r="I557"/>
      <c r="L557"/>
      <c r="M557"/>
      <c r="N557"/>
      <c r="O557"/>
    </row>
    <row r="558" spans="1:15" x14ac:dyDescent="0.2">
      <c r="A558"/>
      <c r="B558"/>
      <c r="C558"/>
      <c r="F558"/>
      <c r="G558"/>
      <c r="H558"/>
      <c r="I558"/>
      <c r="L558"/>
      <c r="M558"/>
      <c r="N558"/>
      <c r="O558"/>
    </row>
    <row r="559" spans="1:15" x14ac:dyDescent="0.2">
      <c r="A559"/>
      <c r="B559"/>
      <c r="C559"/>
      <c r="F559"/>
      <c r="G559"/>
      <c r="L559"/>
      <c r="M559"/>
      <c r="N559"/>
      <c r="O559"/>
    </row>
    <row r="560" spans="1:15" x14ac:dyDescent="0.2">
      <c r="A560"/>
      <c r="B560"/>
      <c r="C560"/>
      <c r="F560"/>
      <c r="G560"/>
      <c r="H560"/>
      <c r="I560"/>
      <c r="L560"/>
      <c r="M560"/>
      <c r="N560"/>
      <c r="O560"/>
    </row>
    <row r="561" spans="1:15" x14ac:dyDescent="0.2">
      <c r="A561"/>
      <c r="B561"/>
      <c r="C561"/>
      <c r="F561"/>
      <c r="G561"/>
      <c r="J561"/>
      <c r="K561"/>
      <c r="L561"/>
      <c r="M561"/>
      <c r="N561"/>
      <c r="O561"/>
    </row>
    <row r="562" spans="1:15" x14ac:dyDescent="0.2">
      <c r="A562"/>
      <c r="B562"/>
      <c r="C562"/>
      <c r="F562"/>
      <c r="G562"/>
      <c r="H562"/>
      <c r="I562"/>
      <c r="L562"/>
      <c r="M562"/>
      <c r="N562"/>
      <c r="O562"/>
    </row>
    <row r="563" spans="1:15" x14ac:dyDescent="0.2">
      <c r="A563"/>
      <c r="B563"/>
      <c r="C563"/>
      <c r="F563"/>
      <c r="G563"/>
      <c r="H563"/>
      <c r="I563"/>
      <c r="L563"/>
      <c r="M563"/>
      <c r="N563"/>
      <c r="O563"/>
    </row>
    <row r="564" spans="1:15" x14ac:dyDescent="0.2">
      <c r="A564"/>
      <c r="B564"/>
      <c r="C564"/>
      <c r="F564"/>
      <c r="G564"/>
      <c r="H564"/>
      <c r="I564"/>
      <c r="L564"/>
      <c r="M564"/>
      <c r="N564"/>
      <c r="O564"/>
    </row>
    <row r="565" spans="1:15" x14ac:dyDescent="0.2">
      <c r="A565"/>
      <c r="B565"/>
      <c r="C565"/>
      <c r="F565"/>
      <c r="G565"/>
      <c r="J565"/>
      <c r="M565"/>
      <c r="N565"/>
      <c r="O565"/>
    </row>
    <row r="566" spans="1:15" x14ac:dyDescent="0.2">
      <c r="A566"/>
      <c r="B566"/>
      <c r="C566"/>
      <c r="F566"/>
      <c r="G566"/>
      <c r="H566"/>
      <c r="I566"/>
      <c r="L566"/>
      <c r="M566"/>
      <c r="N566"/>
      <c r="O566"/>
    </row>
    <row r="567" spans="1:15" x14ac:dyDescent="0.2">
      <c r="A567"/>
      <c r="B567"/>
      <c r="C567"/>
      <c r="F567"/>
      <c r="G567"/>
      <c r="H567"/>
      <c r="I567"/>
      <c r="L567"/>
      <c r="M567"/>
      <c r="N567"/>
      <c r="O567"/>
    </row>
    <row r="568" spans="1:15" x14ac:dyDescent="0.2">
      <c r="A568"/>
      <c r="B568"/>
      <c r="C568"/>
      <c r="F568"/>
      <c r="G568"/>
      <c r="H568"/>
      <c r="I568"/>
      <c r="L568"/>
      <c r="M568"/>
      <c r="N568"/>
      <c r="O568"/>
    </row>
    <row r="569" spans="1:15" x14ac:dyDescent="0.2">
      <c r="A569"/>
      <c r="B569"/>
      <c r="C569"/>
      <c r="F569"/>
      <c r="G569"/>
      <c r="H569"/>
      <c r="I569"/>
      <c r="L569"/>
      <c r="N569"/>
      <c r="O569"/>
    </row>
    <row r="570" spans="1:15" x14ac:dyDescent="0.2">
      <c r="A570"/>
      <c r="B570"/>
      <c r="C570"/>
      <c r="F570"/>
      <c r="G570"/>
      <c r="H570"/>
      <c r="L570"/>
      <c r="M570"/>
      <c r="N570"/>
      <c r="O570"/>
    </row>
    <row r="571" spans="1:15" x14ac:dyDescent="0.2">
      <c r="A571"/>
      <c r="B571"/>
      <c r="C571"/>
      <c r="F571"/>
      <c r="G571"/>
      <c r="H571"/>
      <c r="I571"/>
      <c r="L571"/>
      <c r="M571"/>
      <c r="N571"/>
      <c r="O571"/>
    </row>
    <row r="572" spans="1:15" x14ac:dyDescent="0.2">
      <c r="A572"/>
      <c r="B572"/>
      <c r="C572"/>
      <c r="F572"/>
      <c r="G572"/>
      <c r="H572"/>
      <c r="I572"/>
      <c r="L572"/>
      <c r="M572"/>
      <c r="N572"/>
      <c r="O572"/>
    </row>
    <row r="573" spans="1:15" x14ac:dyDescent="0.2">
      <c r="A573"/>
      <c r="B573"/>
      <c r="C573"/>
      <c r="F573"/>
      <c r="G573"/>
      <c r="I573"/>
      <c r="L573"/>
      <c r="M573"/>
      <c r="N573"/>
      <c r="O573"/>
    </row>
    <row r="574" spans="1:15" x14ac:dyDescent="0.2">
      <c r="A574"/>
      <c r="B574"/>
      <c r="C574"/>
      <c r="F574"/>
      <c r="G574"/>
      <c r="H574"/>
      <c r="I574"/>
      <c r="L574"/>
      <c r="M574"/>
      <c r="N574"/>
      <c r="O574"/>
    </row>
    <row r="575" spans="1:15" x14ac:dyDescent="0.2">
      <c r="A575"/>
      <c r="B575"/>
      <c r="C575"/>
      <c r="F575"/>
      <c r="G575"/>
      <c r="I575"/>
      <c r="L575"/>
      <c r="M575"/>
      <c r="N575"/>
      <c r="O575"/>
    </row>
    <row r="576" spans="1:15" x14ac:dyDescent="0.2">
      <c r="A576"/>
      <c r="B576"/>
      <c r="C576"/>
      <c r="F576"/>
      <c r="G576"/>
      <c r="H576"/>
      <c r="I576"/>
      <c r="L576"/>
      <c r="M576"/>
      <c r="N576"/>
      <c r="O576"/>
    </row>
    <row r="577" spans="1:15" x14ac:dyDescent="0.2">
      <c r="A577"/>
      <c r="B577"/>
      <c r="C577"/>
      <c r="F577"/>
      <c r="G577"/>
      <c r="H577"/>
      <c r="I577"/>
      <c r="L577"/>
      <c r="M577"/>
      <c r="N577"/>
      <c r="O577"/>
    </row>
    <row r="578" spans="1:15" x14ac:dyDescent="0.2">
      <c r="A578"/>
      <c r="B578"/>
      <c r="C578"/>
      <c r="F578"/>
      <c r="G578"/>
      <c r="H578"/>
      <c r="J578"/>
      <c r="K578"/>
      <c r="L578"/>
      <c r="M578"/>
      <c r="N578"/>
      <c r="O578"/>
    </row>
    <row r="579" spans="1:15" x14ac:dyDescent="0.2">
      <c r="A579"/>
      <c r="B579"/>
      <c r="C579"/>
      <c r="F579"/>
      <c r="G579"/>
      <c r="H579"/>
      <c r="J579"/>
      <c r="K579"/>
      <c r="L579"/>
      <c r="M579"/>
      <c r="N579"/>
      <c r="O579"/>
    </row>
    <row r="580" spans="1:15" x14ac:dyDescent="0.2">
      <c r="A580"/>
      <c r="B580"/>
      <c r="C580"/>
      <c r="F580"/>
      <c r="G580"/>
      <c r="L580"/>
      <c r="M580"/>
      <c r="N580"/>
      <c r="O580"/>
    </row>
    <row r="581" spans="1:15" x14ac:dyDescent="0.2">
      <c r="A581"/>
      <c r="B581"/>
      <c r="C581"/>
      <c r="F581"/>
      <c r="G581"/>
      <c r="H581"/>
      <c r="I581"/>
      <c r="L581"/>
      <c r="M581"/>
      <c r="N581"/>
      <c r="O581"/>
    </row>
    <row r="582" spans="1:15" x14ac:dyDescent="0.2">
      <c r="A582"/>
      <c r="B582"/>
      <c r="C582"/>
      <c r="F582"/>
      <c r="G582"/>
      <c r="I582"/>
      <c r="L582"/>
      <c r="M582"/>
      <c r="N582"/>
      <c r="O582"/>
    </row>
    <row r="583" spans="1:15" x14ac:dyDescent="0.2">
      <c r="A583"/>
      <c r="B583"/>
      <c r="C583"/>
      <c r="F583"/>
      <c r="G583"/>
      <c r="L583"/>
      <c r="M583"/>
      <c r="N583"/>
      <c r="O583"/>
    </row>
    <row r="584" spans="1:15" x14ac:dyDescent="0.2">
      <c r="A584"/>
      <c r="B584"/>
      <c r="C584"/>
      <c r="F584"/>
      <c r="G584"/>
      <c r="J584"/>
      <c r="K584"/>
      <c r="L584"/>
      <c r="M584"/>
      <c r="N584"/>
      <c r="O584"/>
    </row>
    <row r="585" spans="1:15" x14ac:dyDescent="0.2">
      <c r="A585"/>
      <c r="B585"/>
      <c r="C585"/>
      <c r="F585"/>
      <c r="G585"/>
      <c r="H585"/>
      <c r="J585"/>
      <c r="K585"/>
      <c r="L585"/>
      <c r="M585"/>
      <c r="N585"/>
      <c r="O585"/>
    </row>
    <row r="586" spans="1:15" x14ac:dyDescent="0.2">
      <c r="A586"/>
      <c r="B586"/>
      <c r="C586"/>
      <c r="F586"/>
      <c r="G586"/>
      <c r="M586"/>
      <c r="N586"/>
      <c r="O586"/>
    </row>
    <row r="587" spans="1:15" x14ac:dyDescent="0.2">
      <c r="A587"/>
      <c r="B587"/>
      <c r="C587"/>
      <c r="F587"/>
      <c r="G587"/>
      <c r="L587"/>
      <c r="M587"/>
      <c r="N587"/>
      <c r="O587"/>
    </row>
    <row r="588" spans="1:15" x14ac:dyDescent="0.2">
      <c r="A588"/>
      <c r="B588"/>
      <c r="C588"/>
      <c r="F588"/>
      <c r="G588"/>
      <c r="H588"/>
      <c r="I588"/>
      <c r="L588"/>
      <c r="N588"/>
      <c r="O588"/>
    </row>
    <row r="589" spans="1:15" x14ac:dyDescent="0.2">
      <c r="A589"/>
      <c r="B589"/>
      <c r="C589"/>
      <c r="F589"/>
      <c r="G589"/>
      <c r="H589"/>
      <c r="I589"/>
      <c r="L589"/>
      <c r="M589"/>
      <c r="N589"/>
      <c r="O589"/>
    </row>
    <row r="590" spans="1:15" x14ac:dyDescent="0.2">
      <c r="A590"/>
      <c r="B590"/>
      <c r="C590"/>
      <c r="F590"/>
      <c r="G590"/>
      <c r="L590"/>
      <c r="M590"/>
      <c r="N590"/>
      <c r="O590"/>
    </row>
    <row r="591" spans="1:15" x14ac:dyDescent="0.2">
      <c r="A591"/>
      <c r="B591"/>
      <c r="C591"/>
      <c r="F591"/>
      <c r="G591"/>
      <c r="H591"/>
      <c r="I591"/>
      <c r="L591"/>
      <c r="M591"/>
      <c r="N591"/>
      <c r="O591"/>
    </row>
    <row r="592" spans="1:15" x14ac:dyDescent="0.2">
      <c r="A592"/>
      <c r="B592"/>
      <c r="C592"/>
      <c r="F592"/>
      <c r="G592"/>
      <c r="I592"/>
      <c r="L592"/>
      <c r="M592"/>
      <c r="N592"/>
      <c r="O592"/>
    </row>
    <row r="593" spans="1:15" x14ac:dyDescent="0.2">
      <c r="A593"/>
      <c r="B593"/>
      <c r="C593"/>
      <c r="F593"/>
      <c r="G593"/>
      <c r="I593"/>
      <c r="L593"/>
      <c r="M593"/>
      <c r="N593"/>
      <c r="O593"/>
    </row>
    <row r="594" spans="1:15" x14ac:dyDescent="0.2">
      <c r="A594"/>
      <c r="B594"/>
      <c r="C594"/>
      <c r="F594"/>
      <c r="G594"/>
      <c r="H594"/>
      <c r="L594"/>
      <c r="M594"/>
      <c r="N594"/>
      <c r="O594"/>
    </row>
    <row r="595" spans="1:15" x14ac:dyDescent="0.2">
      <c r="A595"/>
      <c r="B595"/>
      <c r="C595"/>
      <c r="F595"/>
      <c r="G595"/>
      <c r="H595"/>
      <c r="I595"/>
      <c r="L595"/>
      <c r="M595"/>
      <c r="N595"/>
      <c r="O595"/>
    </row>
    <row r="596" spans="1:15" x14ac:dyDescent="0.2">
      <c r="A596"/>
      <c r="B596"/>
      <c r="C596"/>
      <c r="F596"/>
      <c r="G596"/>
      <c r="H596"/>
      <c r="I596"/>
      <c r="L596"/>
      <c r="M596"/>
      <c r="N596"/>
      <c r="O596"/>
    </row>
    <row r="597" spans="1:15" x14ac:dyDescent="0.2">
      <c r="A597"/>
      <c r="B597"/>
      <c r="C597"/>
      <c r="F597"/>
      <c r="G597"/>
      <c r="H597"/>
      <c r="I597"/>
      <c r="L597"/>
      <c r="M597"/>
      <c r="N597"/>
      <c r="O597"/>
    </row>
    <row r="598" spans="1:15" x14ac:dyDescent="0.2">
      <c r="A598"/>
      <c r="B598"/>
      <c r="C598"/>
      <c r="F598"/>
      <c r="G598"/>
      <c r="H598"/>
      <c r="I598"/>
      <c r="L598"/>
      <c r="M598"/>
      <c r="N598"/>
      <c r="O598"/>
    </row>
    <row r="599" spans="1:15" x14ac:dyDescent="0.2">
      <c r="A599"/>
      <c r="B599"/>
      <c r="C599"/>
      <c r="F599"/>
      <c r="G599"/>
      <c r="H599"/>
      <c r="I599"/>
      <c r="L599"/>
      <c r="M599"/>
      <c r="N599"/>
      <c r="O599"/>
    </row>
    <row r="600" spans="1:15" x14ac:dyDescent="0.2">
      <c r="A600"/>
      <c r="B600"/>
      <c r="C600"/>
      <c r="F600"/>
      <c r="G600"/>
      <c r="H600"/>
      <c r="I600"/>
      <c r="L600"/>
      <c r="M600"/>
      <c r="N600"/>
      <c r="O600"/>
    </row>
    <row r="601" spans="1:15" x14ac:dyDescent="0.2">
      <c r="A601"/>
      <c r="B601"/>
      <c r="C601"/>
      <c r="F601"/>
      <c r="G601"/>
      <c r="H601"/>
      <c r="J601"/>
      <c r="K601"/>
      <c r="L601"/>
      <c r="M601"/>
      <c r="N601"/>
      <c r="O601"/>
    </row>
    <row r="602" spans="1:15" x14ac:dyDescent="0.2">
      <c r="A602"/>
      <c r="B602"/>
      <c r="C602"/>
      <c r="F602"/>
      <c r="G602"/>
      <c r="M602"/>
      <c r="N602"/>
      <c r="O602"/>
    </row>
    <row r="603" spans="1:15" x14ac:dyDescent="0.2">
      <c r="A603"/>
      <c r="B603"/>
      <c r="C603"/>
      <c r="F603"/>
      <c r="G603"/>
      <c r="I603"/>
      <c r="L603"/>
      <c r="M603"/>
      <c r="N603"/>
      <c r="O603"/>
    </row>
    <row r="604" spans="1:15" x14ac:dyDescent="0.2">
      <c r="A604"/>
      <c r="B604"/>
      <c r="C604"/>
      <c r="F604"/>
      <c r="G604"/>
      <c r="H604"/>
      <c r="I604"/>
      <c r="L604"/>
      <c r="M604"/>
      <c r="N604"/>
      <c r="O604"/>
    </row>
    <row r="605" spans="1:15" x14ac:dyDescent="0.2">
      <c r="A605"/>
      <c r="B605"/>
      <c r="C605"/>
      <c r="F605"/>
      <c r="G605"/>
      <c r="I605"/>
      <c r="L605"/>
      <c r="M605"/>
      <c r="N605"/>
      <c r="O605"/>
    </row>
    <row r="606" spans="1:15" x14ac:dyDescent="0.2">
      <c r="A606"/>
      <c r="B606"/>
      <c r="C606"/>
      <c r="F606"/>
      <c r="G606"/>
      <c r="H606"/>
      <c r="I606"/>
      <c r="L606"/>
      <c r="M606"/>
      <c r="N606"/>
      <c r="O606"/>
    </row>
    <row r="607" spans="1:15" x14ac:dyDescent="0.2">
      <c r="A607"/>
      <c r="B607"/>
      <c r="C607"/>
      <c r="F607"/>
      <c r="G607"/>
      <c r="I607"/>
      <c r="L607"/>
      <c r="M607"/>
      <c r="N607"/>
      <c r="O607"/>
    </row>
    <row r="608" spans="1:15" x14ac:dyDescent="0.2">
      <c r="A608"/>
      <c r="B608"/>
      <c r="C608"/>
      <c r="F608"/>
      <c r="G608"/>
      <c r="I608"/>
      <c r="L608"/>
      <c r="M608"/>
      <c r="N608"/>
      <c r="O608"/>
    </row>
    <row r="609" spans="1:15" x14ac:dyDescent="0.2">
      <c r="A609"/>
      <c r="B609"/>
      <c r="C609"/>
      <c r="F609"/>
      <c r="G609"/>
      <c r="L609"/>
      <c r="M609"/>
      <c r="N609"/>
      <c r="O609"/>
    </row>
    <row r="610" spans="1:15" x14ac:dyDescent="0.2">
      <c r="A610"/>
      <c r="B610"/>
      <c r="C610"/>
      <c r="F610"/>
      <c r="G610"/>
      <c r="I610"/>
      <c r="L610"/>
      <c r="M610"/>
      <c r="N610"/>
      <c r="O610"/>
    </row>
    <row r="611" spans="1:15" x14ac:dyDescent="0.2">
      <c r="A611"/>
      <c r="B611"/>
      <c r="C611"/>
      <c r="F611"/>
      <c r="G611"/>
      <c r="H611"/>
      <c r="I611"/>
      <c r="L611"/>
      <c r="M611"/>
      <c r="N611"/>
      <c r="O611"/>
    </row>
    <row r="612" spans="1:15" x14ac:dyDescent="0.2">
      <c r="A612"/>
      <c r="B612"/>
      <c r="C612"/>
      <c r="F612"/>
      <c r="G612"/>
      <c r="I612"/>
      <c r="L612"/>
      <c r="M612"/>
      <c r="N612"/>
      <c r="O612"/>
    </row>
    <row r="613" spans="1:15" x14ac:dyDescent="0.2">
      <c r="A613"/>
      <c r="B613"/>
      <c r="C613"/>
      <c r="F613"/>
      <c r="G613"/>
      <c r="I613"/>
      <c r="L613"/>
      <c r="M613"/>
      <c r="N613"/>
      <c r="O613"/>
    </row>
    <row r="614" spans="1:15" x14ac:dyDescent="0.2">
      <c r="A614"/>
      <c r="B614"/>
      <c r="C614"/>
      <c r="F614"/>
      <c r="G614"/>
      <c r="I614"/>
      <c r="L614"/>
      <c r="M614"/>
      <c r="N614"/>
      <c r="O614"/>
    </row>
    <row r="615" spans="1:15" x14ac:dyDescent="0.2">
      <c r="A615"/>
      <c r="B615"/>
      <c r="C615"/>
      <c r="F615"/>
      <c r="G615"/>
      <c r="I615"/>
      <c r="L615"/>
      <c r="M615"/>
      <c r="N615"/>
      <c r="O615"/>
    </row>
    <row r="616" spans="1:15" x14ac:dyDescent="0.2">
      <c r="A616"/>
      <c r="B616"/>
      <c r="C616"/>
      <c r="F616"/>
      <c r="G616"/>
      <c r="I616"/>
      <c r="L616"/>
      <c r="M616"/>
      <c r="N616"/>
      <c r="O616"/>
    </row>
    <row r="617" spans="1:15" x14ac:dyDescent="0.2">
      <c r="A617"/>
      <c r="B617"/>
      <c r="C617"/>
      <c r="F617"/>
      <c r="G617"/>
      <c r="I617"/>
      <c r="L617"/>
      <c r="M617"/>
      <c r="N617"/>
      <c r="O617"/>
    </row>
    <row r="618" spans="1:15" x14ac:dyDescent="0.2">
      <c r="A618"/>
      <c r="B618"/>
      <c r="C618"/>
      <c r="F618"/>
      <c r="G618"/>
      <c r="L618"/>
      <c r="M618"/>
      <c r="N618"/>
      <c r="O618"/>
    </row>
    <row r="619" spans="1:15" x14ac:dyDescent="0.2">
      <c r="A619"/>
      <c r="B619"/>
      <c r="C619"/>
      <c r="F619"/>
      <c r="G619"/>
      <c r="J619"/>
      <c r="K619"/>
      <c r="L619"/>
      <c r="M619"/>
      <c r="N619"/>
      <c r="O619"/>
    </row>
    <row r="620" spans="1:15" x14ac:dyDescent="0.2">
      <c r="A620"/>
      <c r="B620"/>
      <c r="C620"/>
      <c r="F620"/>
      <c r="G620"/>
      <c r="L620"/>
      <c r="M620"/>
      <c r="N620"/>
      <c r="O620"/>
    </row>
    <row r="621" spans="1:15" x14ac:dyDescent="0.2">
      <c r="A621"/>
      <c r="B621"/>
      <c r="C621"/>
      <c r="F621"/>
      <c r="G621"/>
      <c r="H621"/>
      <c r="I621"/>
      <c r="L621"/>
      <c r="M621"/>
      <c r="N621"/>
      <c r="O621"/>
    </row>
    <row r="622" spans="1:15" x14ac:dyDescent="0.2">
      <c r="A622"/>
      <c r="B622"/>
      <c r="C622"/>
      <c r="F622"/>
      <c r="G622"/>
      <c r="M622"/>
      <c r="N622"/>
      <c r="O622"/>
    </row>
    <row r="623" spans="1:15" x14ac:dyDescent="0.2">
      <c r="A623"/>
      <c r="B623"/>
      <c r="C623"/>
      <c r="F623"/>
      <c r="G623"/>
      <c r="I623"/>
      <c r="L623"/>
      <c r="M623"/>
      <c r="N623"/>
      <c r="O623"/>
    </row>
    <row r="624" spans="1:15" x14ac:dyDescent="0.2">
      <c r="A624"/>
      <c r="B624"/>
      <c r="C624"/>
      <c r="F624"/>
      <c r="G624"/>
      <c r="H624"/>
      <c r="I624"/>
      <c r="L624"/>
      <c r="M624"/>
      <c r="N624"/>
      <c r="O624"/>
    </row>
    <row r="625" spans="1:15" x14ac:dyDescent="0.2">
      <c r="A625"/>
      <c r="B625"/>
      <c r="C625"/>
      <c r="F625"/>
      <c r="G625"/>
      <c r="L625"/>
      <c r="M625"/>
      <c r="N625"/>
      <c r="O625"/>
    </row>
    <row r="626" spans="1:15" x14ac:dyDescent="0.2">
      <c r="A626"/>
      <c r="B626"/>
      <c r="C626"/>
      <c r="F626"/>
      <c r="G626"/>
      <c r="H626"/>
      <c r="I626"/>
      <c r="L626"/>
      <c r="M626"/>
      <c r="N626"/>
      <c r="O626"/>
    </row>
    <row r="627" spans="1:15" x14ac:dyDescent="0.2">
      <c r="A627"/>
      <c r="B627"/>
      <c r="C627"/>
      <c r="F627"/>
      <c r="G627"/>
      <c r="H627"/>
      <c r="I627"/>
      <c r="L627"/>
      <c r="M627"/>
      <c r="N627"/>
      <c r="O627"/>
    </row>
    <row r="628" spans="1:15" x14ac:dyDescent="0.2">
      <c r="A628"/>
      <c r="B628"/>
      <c r="C628"/>
      <c r="F628"/>
      <c r="G628"/>
      <c r="I628"/>
      <c r="L628"/>
      <c r="M628"/>
      <c r="N628"/>
      <c r="O628"/>
    </row>
    <row r="629" spans="1:15" x14ac:dyDescent="0.2">
      <c r="A629"/>
      <c r="B629"/>
      <c r="C629"/>
      <c r="F629"/>
      <c r="G629"/>
      <c r="H629"/>
      <c r="I629"/>
      <c r="L629"/>
      <c r="M629"/>
      <c r="N629"/>
      <c r="O629"/>
    </row>
    <row r="630" spans="1:15" x14ac:dyDescent="0.2">
      <c r="A630"/>
      <c r="B630"/>
      <c r="C630"/>
      <c r="F630"/>
      <c r="G630"/>
      <c r="H630"/>
      <c r="I630"/>
      <c r="L630"/>
      <c r="M630"/>
      <c r="N630"/>
      <c r="O630"/>
    </row>
    <row r="631" spans="1:15" x14ac:dyDescent="0.2">
      <c r="A631"/>
      <c r="B631"/>
      <c r="C631"/>
      <c r="F631"/>
      <c r="G631"/>
      <c r="H631"/>
      <c r="J631"/>
      <c r="K631"/>
      <c r="L631"/>
      <c r="M631"/>
      <c r="N631"/>
      <c r="O631"/>
    </row>
    <row r="632" spans="1:15" x14ac:dyDescent="0.2">
      <c r="A632"/>
      <c r="B632"/>
      <c r="C632"/>
      <c r="F632"/>
      <c r="G632"/>
      <c r="H632"/>
      <c r="I632"/>
      <c r="L632"/>
      <c r="M632"/>
      <c r="N632"/>
      <c r="O632"/>
    </row>
    <row r="633" spans="1:15" x14ac:dyDescent="0.2">
      <c r="A633"/>
      <c r="B633"/>
      <c r="C633"/>
      <c r="F633"/>
      <c r="G633"/>
      <c r="H633"/>
      <c r="I633"/>
      <c r="L633"/>
      <c r="M633"/>
      <c r="N633"/>
      <c r="O633"/>
    </row>
    <row r="634" spans="1:15" x14ac:dyDescent="0.2">
      <c r="A634"/>
      <c r="B634"/>
      <c r="C634"/>
      <c r="F634"/>
      <c r="G634"/>
      <c r="I634"/>
      <c r="L634"/>
      <c r="M634"/>
      <c r="N634"/>
      <c r="O634"/>
    </row>
    <row r="635" spans="1:15" x14ac:dyDescent="0.2">
      <c r="A635"/>
      <c r="B635"/>
      <c r="C635"/>
      <c r="F635"/>
      <c r="G635"/>
      <c r="I635"/>
      <c r="L635"/>
      <c r="M635"/>
      <c r="N635"/>
      <c r="O635"/>
    </row>
    <row r="636" spans="1:15" x14ac:dyDescent="0.2">
      <c r="A636"/>
      <c r="B636"/>
      <c r="C636"/>
      <c r="F636"/>
      <c r="G636"/>
      <c r="I636"/>
      <c r="L636"/>
      <c r="M636"/>
      <c r="N636"/>
      <c r="O636"/>
    </row>
    <row r="637" spans="1:15" x14ac:dyDescent="0.2">
      <c r="A637"/>
      <c r="B637"/>
      <c r="C637"/>
      <c r="F637"/>
      <c r="G637"/>
      <c r="H637"/>
      <c r="I637"/>
      <c r="L637"/>
      <c r="N637"/>
      <c r="O637"/>
    </row>
    <row r="638" spans="1:15" x14ac:dyDescent="0.2">
      <c r="A638"/>
      <c r="B638"/>
      <c r="C638"/>
      <c r="F638"/>
      <c r="G638"/>
      <c r="H638"/>
      <c r="I638"/>
      <c r="L638"/>
      <c r="N638"/>
      <c r="O638"/>
    </row>
    <row r="639" spans="1:15" x14ac:dyDescent="0.2">
      <c r="A639"/>
      <c r="B639"/>
      <c r="C639"/>
      <c r="F639"/>
      <c r="G639"/>
      <c r="H639"/>
      <c r="I639"/>
      <c r="L639"/>
      <c r="M639"/>
      <c r="N639"/>
      <c r="O639"/>
    </row>
    <row r="640" spans="1:15" x14ac:dyDescent="0.2">
      <c r="A640"/>
      <c r="B640"/>
      <c r="C640"/>
      <c r="F640"/>
      <c r="G640"/>
      <c r="H640"/>
      <c r="I640"/>
      <c r="L640"/>
      <c r="M640"/>
      <c r="N640"/>
      <c r="O640"/>
    </row>
    <row r="641" spans="1:15" x14ac:dyDescent="0.2">
      <c r="A641"/>
      <c r="B641"/>
      <c r="C641"/>
      <c r="F641"/>
      <c r="G641"/>
      <c r="I641"/>
      <c r="L641"/>
      <c r="M641"/>
      <c r="N641"/>
      <c r="O641"/>
    </row>
    <row r="642" spans="1:15" x14ac:dyDescent="0.2">
      <c r="A642"/>
      <c r="B642"/>
      <c r="C642"/>
      <c r="F642"/>
      <c r="G642"/>
      <c r="H642"/>
      <c r="I642"/>
      <c r="L642"/>
      <c r="M642"/>
      <c r="N642"/>
      <c r="O642"/>
    </row>
    <row r="643" spans="1:15" x14ac:dyDescent="0.2">
      <c r="A643"/>
      <c r="B643"/>
      <c r="C643"/>
      <c r="F643"/>
      <c r="G643"/>
      <c r="I643"/>
      <c r="L643"/>
      <c r="M643"/>
      <c r="N643"/>
      <c r="O643"/>
    </row>
    <row r="644" spans="1:15" x14ac:dyDescent="0.2">
      <c r="A644"/>
      <c r="B644"/>
      <c r="C644"/>
      <c r="F644"/>
      <c r="G644"/>
      <c r="M644"/>
      <c r="N644"/>
      <c r="O644"/>
    </row>
    <row r="645" spans="1:15" x14ac:dyDescent="0.2">
      <c r="A645"/>
      <c r="B645"/>
      <c r="C645"/>
      <c r="F645"/>
      <c r="G645"/>
      <c r="H645"/>
      <c r="I645"/>
      <c r="L645"/>
      <c r="M645"/>
      <c r="N645"/>
      <c r="O645"/>
    </row>
    <row r="646" spans="1:15" x14ac:dyDescent="0.2">
      <c r="A646"/>
      <c r="B646"/>
      <c r="C646"/>
      <c r="F646"/>
      <c r="G646"/>
      <c r="H646"/>
      <c r="I646"/>
      <c r="L646"/>
      <c r="M646"/>
      <c r="N646"/>
      <c r="O646"/>
    </row>
    <row r="647" spans="1:15" x14ac:dyDescent="0.2">
      <c r="A647"/>
      <c r="B647"/>
      <c r="C647"/>
      <c r="F647"/>
      <c r="G647"/>
      <c r="H647"/>
      <c r="I647"/>
      <c r="L647"/>
      <c r="M647"/>
      <c r="N647"/>
      <c r="O647"/>
    </row>
    <row r="648" spans="1:15" x14ac:dyDescent="0.2">
      <c r="A648"/>
      <c r="B648"/>
      <c r="C648"/>
      <c r="F648"/>
      <c r="G648"/>
      <c r="H648"/>
      <c r="I648"/>
      <c r="L648"/>
      <c r="M648"/>
      <c r="N648"/>
      <c r="O648"/>
    </row>
    <row r="649" spans="1:15" x14ac:dyDescent="0.2">
      <c r="A649"/>
      <c r="B649"/>
      <c r="C649"/>
      <c r="F649"/>
      <c r="G649"/>
      <c r="L649"/>
      <c r="M649"/>
      <c r="N649"/>
      <c r="O649"/>
    </row>
    <row r="650" spans="1:15" x14ac:dyDescent="0.2">
      <c r="A650"/>
      <c r="B650"/>
      <c r="C650"/>
      <c r="F650"/>
      <c r="G650"/>
      <c r="H650"/>
      <c r="I650"/>
      <c r="L650"/>
      <c r="M650"/>
      <c r="N650"/>
      <c r="O650"/>
    </row>
    <row r="651" spans="1:15" x14ac:dyDescent="0.2">
      <c r="A651"/>
      <c r="B651"/>
      <c r="C651"/>
      <c r="F651"/>
      <c r="G651"/>
      <c r="H651"/>
      <c r="I651"/>
      <c r="L651"/>
      <c r="M651"/>
      <c r="N651"/>
      <c r="O651"/>
    </row>
    <row r="652" spans="1:15" x14ac:dyDescent="0.2">
      <c r="A652"/>
      <c r="B652"/>
      <c r="C652"/>
      <c r="F652"/>
      <c r="G652"/>
      <c r="H652"/>
      <c r="I652"/>
      <c r="L652"/>
      <c r="N652"/>
      <c r="O652"/>
    </row>
    <row r="653" spans="1:15" x14ac:dyDescent="0.2">
      <c r="A653"/>
      <c r="B653"/>
      <c r="C653"/>
      <c r="F653"/>
      <c r="G653"/>
      <c r="H653"/>
      <c r="I653"/>
      <c r="L653"/>
      <c r="M653"/>
      <c r="N653"/>
      <c r="O653"/>
    </row>
    <row r="654" spans="1:15" x14ac:dyDescent="0.2">
      <c r="A654"/>
      <c r="B654"/>
      <c r="C654"/>
      <c r="F654"/>
      <c r="G654"/>
      <c r="J654"/>
      <c r="K654"/>
      <c r="L654"/>
      <c r="M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I657"/>
      <c r="L657"/>
      <c r="M657"/>
      <c r="N657"/>
      <c r="O657"/>
    </row>
    <row r="658" spans="1:15" x14ac:dyDescent="0.2">
      <c r="A658"/>
      <c r="B658"/>
      <c r="C658"/>
      <c r="F658"/>
      <c r="G658"/>
      <c r="H658"/>
      <c r="I658"/>
      <c r="L658"/>
      <c r="M658"/>
      <c r="N658"/>
      <c r="O658"/>
    </row>
    <row r="659" spans="1:15" x14ac:dyDescent="0.2">
      <c r="A659"/>
      <c r="B659"/>
      <c r="C659"/>
      <c r="F659"/>
      <c r="G659"/>
      <c r="H659"/>
      <c r="I659"/>
      <c r="L659"/>
      <c r="M659"/>
      <c r="N659"/>
      <c r="O659"/>
    </row>
    <row r="660" spans="1:15" x14ac:dyDescent="0.2">
      <c r="A660"/>
      <c r="B660"/>
      <c r="C660"/>
      <c r="F660"/>
      <c r="G660"/>
      <c r="H660"/>
      <c r="I660"/>
      <c r="L660"/>
      <c r="M660"/>
      <c r="N660"/>
      <c r="O660"/>
    </row>
    <row r="661" spans="1:15" x14ac:dyDescent="0.2">
      <c r="A661"/>
      <c r="B661"/>
      <c r="C661"/>
      <c r="F661"/>
      <c r="G661"/>
      <c r="I661"/>
      <c r="L661"/>
      <c r="M661"/>
      <c r="N661"/>
      <c r="O661"/>
    </row>
    <row r="662" spans="1:15" x14ac:dyDescent="0.2">
      <c r="A662"/>
      <c r="B662"/>
      <c r="C662"/>
      <c r="F662"/>
      <c r="G662"/>
      <c r="H662"/>
      <c r="I662"/>
      <c r="L662"/>
      <c r="M662"/>
      <c r="N662"/>
      <c r="O662"/>
    </row>
    <row r="663" spans="1:15" x14ac:dyDescent="0.2">
      <c r="A663"/>
      <c r="B663"/>
      <c r="C663"/>
      <c r="F663"/>
      <c r="G663"/>
      <c r="L663"/>
      <c r="M663"/>
      <c r="N663"/>
      <c r="O663"/>
    </row>
    <row r="664" spans="1:15" x14ac:dyDescent="0.2">
      <c r="A664"/>
      <c r="B664"/>
      <c r="C664"/>
      <c r="F664"/>
      <c r="G664"/>
      <c r="I664"/>
      <c r="L664"/>
      <c r="M664"/>
      <c r="N664"/>
      <c r="O664"/>
    </row>
    <row r="665" spans="1:15" x14ac:dyDescent="0.2">
      <c r="A665"/>
      <c r="B665"/>
      <c r="C665"/>
      <c r="F665"/>
      <c r="G665"/>
      <c r="H665"/>
      <c r="I665"/>
      <c r="L665"/>
      <c r="M665"/>
      <c r="N665"/>
      <c r="O665"/>
    </row>
    <row r="666" spans="1:15" x14ac:dyDescent="0.2">
      <c r="A666"/>
      <c r="B666"/>
      <c r="C666"/>
      <c r="F666"/>
      <c r="G666"/>
      <c r="H666"/>
      <c r="I666"/>
      <c r="L666"/>
      <c r="N666"/>
      <c r="O666"/>
    </row>
    <row r="667" spans="1:15" x14ac:dyDescent="0.2">
      <c r="A667"/>
      <c r="B667"/>
      <c r="C667"/>
      <c r="F667"/>
      <c r="G667"/>
      <c r="H667"/>
      <c r="I667"/>
      <c r="L667"/>
      <c r="M667"/>
      <c r="N667"/>
      <c r="O667"/>
    </row>
    <row r="668" spans="1:15" x14ac:dyDescent="0.2">
      <c r="A668"/>
      <c r="B668"/>
      <c r="C668"/>
      <c r="F668"/>
      <c r="G668"/>
      <c r="H668"/>
      <c r="J668"/>
      <c r="L668"/>
      <c r="M668"/>
      <c r="N668"/>
      <c r="O668"/>
    </row>
    <row r="669" spans="1:15" x14ac:dyDescent="0.2">
      <c r="A669"/>
      <c r="B669"/>
      <c r="C669"/>
      <c r="F669"/>
      <c r="G669"/>
      <c r="H669"/>
      <c r="I669"/>
      <c r="L669"/>
      <c r="M669"/>
      <c r="N669"/>
      <c r="O669"/>
    </row>
    <row r="670" spans="1:15" x14ac:dyDescent="0.2">
      <c r="A670"/>
      <c r="B670"/>
      <c r="C670"/>
      <c r="F670"/>
      <c r="G670"/>
      <c r="I670"/>
      <c r="L670"/>
      <c r="M670"/>
      <c r="N670"/>
      <c r="O670"/>
    </row>
    <row r="671" spans="1:15" x14ac:dyDescent="0.2">
      <c r="A671"/>
      <c r="B671"/>
      <c r="C671"/>
      <c r="F671"/>
      <c r="G671"/>
      <c r="M671"/>
      <c r="N671"/>
      <c r="O671"/>
    </row>
    <row r="672" spans="1:15" x14ac:dyDescent="0.2">
      <c r="A672"/>
      <c r="B672"/>
      <c r="C672"/>
      <c r="F672"/>
      <c r="G672"/>
      <c r="H672"/>
      <c r="M672"/>
      <c r="N672"/>
      <c r="O672"/>
    </row>
    <row r="673" spans="1:15" x14ac:dyDescent="0.2">
      <c r="A673"/>
      <c r="B673"/>
      <c r="C673"/>
      <c r="F673"/>
      <c r="G673"/>
      <c r="L673"/>
      <c r="M673"/>
      <c r="N673"/>
      <c r="O673"/>
    </row>
    <row r="674" spans="1:15" x14ac:dyDescent="0.2">
      <c r="A674"/>
      <c r="B674"/>
      <c r="C674"/>
      <c r="F674"/>
      <c r="G674"/>
      <c r="H674"/>
      <c r="I674"/>
      <c r="L674"/>
      <c r="M674"/>
      <c r="N674"/>
      <c r="O674"/>
    </row>
    <row r="675" spans="1:15" x14ac:dyDescent="0.2">
      <c r="A675"/>
      <c r="B675"/>
      <c r="C675"/>
      <c r="F675"/>
      <c r="G675"/>
      <c r="H675"/>
      <c r="I675"/>
      <c r="L675"/>
      <c r="M675"/>
      <c r="N675"/>
      <c r="O675"/>
    </row>
    <row r="676" spans="1:15" x14ac:dyDescent="0.2">
      <c r="A676"/>
      <c r="B676"/>
      <c r="C676"/>
      <c r="F676"/>
      <c r="G676"/>
      <c r="M676"/>
      <c r="N676"/>
      <c r="O676"/>
    </row>
    <row r="677" spans="1:15" x14ac:dyDescent="0.2">
      <c r="A677"/>
      <c r="B677"/>
      <c r="C677"/>
      <c r="F677"/>
      <c r="G677"/>
      <c r="H677"/>
      <c r="I677"/>
      <c r="L677"/>
      <c r="M677"/>
      <c r="N677"/>
      <c r="O677"/>
    </row>
    <row r="678" spans="1:15" x14ac:dyDescent="0.2">
      <c r="A678"/>
      <c r="B678"/>
      <c r="C678"/>
      <c r="F678"/>
      <c r="G678"/>
      <c r="L678"/>
      <c r="M678"/>
      <c r="N678"/>
      <c r="O678"/>
    </row>
    <row r="679" spans="1:15" x14ac:dyDescent="0.2">
      <c r="A679"/>
      <c r="B679"/>
      <c r="C679"/>
      <c r="F679"/>
      <c r="G679"/>
      <c r="H679"/>
      <c r="I679"/>
      <c r="L679"/>
      <c r="M679"/>
      <c r="N679"/>
      <c r="O679"/>
    </row>
    <row r="680" spans="1:15" x14ac:dyDescent="0.2">
      <c r="A680"/>
      <c r="B680"/>
      <c r="C680"/>
      <c r="F680"/>
      <c r="G680"/>
      <c r="H680"/>
      <c r="I680"/>
      <c r="L680"/>
      <c r="M680"/>
      <c r="N680"/>
      <c r="O680"/>
    </row>
    <row r="681" spans="1:15" x14ac:dyDescent="0.2">
      <c r="A681"/>
      <c r="B681"/>
      <c r="C681"/>
      <c r="F681"/>
      <c r="G681"/>
      <c r="H681"/>
      <c r="I681"/>
      <c r="L681"/>
      <c r="M681"/>
      <c r="N681"/>
      <c r="O681"/>
    </row>
    <row r="682" spans="1:15" x14ac:dyDescent="0.2">
      <c r="A682"/>
      <c r="B682"/>
      <c r="C682"/>
      <c r="F682"/>
      <c r="G682"/>
      <c r="H682"/>
      <c r="I682"/>
      <c r="L682"/>
      <c r="M682"/>
      <c r="N682"/>
      <c r="O682"/>
    </row>
    <row r="683" spans="1:15" x14ac:dyDescent="0.2">
      <c r="A683"/>
      <c r="B683"/>
      <c r="C683"/>
      <c r="F683"/>
      <c r="G683"/>
      <c r="M683"/>
      <c r="N683"/>
      <c r="O683"/>
    </row>
    <row r="684" spans="1:15" x14ac:dyDescent="0.2">
      <c r="A684"/>
      <c r="B684"/>
      <c r="C684"/>
      <c r="F684"/>
      <c r="G684"/>
      <c r="L684"/>
      <c r="M684"/>
      <c r="N684"/>
      <c r="O684"/>
    </row>
    <row r="685" spans="1:15" x14ac:dyDescent="0.2">
      <c r="A685"/>
      <c r="B685"/>
      <c r="C685"/>
      <c r="F685"/>
      <c r="G685"/>
      <c r="I685"/>
      <c r="L685"/>
      <c r="M685"/>
      <c r="N685"/>
      <c r="O685"/>
    </row>
    <row r="686" spans="1:15" x14ac:dyDescent="0.2">
      <c r="A686"/>
      <c r="B686"/>
      <c r="C686"/>
      <c r="F686"/>
      <c r="G686"/>
      <c r="H686"/>
      <c r="I686"/>
      <c r="L686"/>
      <c r="M686"/>
      <c r="N686"/>
      <c r="O686"/>
    </row>
    <row r="687" spans="1:15" x14ac:dyDescent="0.2">
      <c r="A687"/>
      <c r="B687"/>
      <c r="C687"/>
      <c r="F687"/>
      <c r="G687"/>
      <c r="H687"/>
      <c r="I687"/>
      <c r="L687"/>
      <c r="M687"/>
      <c r="N687"/>
      <c r="O687"/>
    </row>
    <row r="688" spans="1:15" x14ac:dyDescent="0.2">
      <c r="A688"/>
      <c r="B688"/>
      <c r="C688"/>
      <c r="F688"/>
      <c r="G688"/>
      <c r="H688"/>
      <c r="I688"/>
      <c r="L688"/>
      <c r="M688"/>
      <c r="N688"/>
      <c r="O688"/>
    </row>
    <row r="689" spans="1:15" x14ac:dyDescent="0.2">
      <c r="A689"/>
      <c r="B689"/>
      <c r="C689"/>
      <c r="F689"/>
      <c r="G689"/>
      <c r="H689"/>
      <c r="I689"/>
      <c r="L689"/>
      <c r="M689"/>
      <c r="N689"/>
      <c r="O689"/>
    </row>
    <row r="690" spans="1:15" x14ac:dyDescent="0.2">
      <c r="A690"/>
      <c r="B690"/>
      <c r="C690"/>
      <c r="F690"/>
      <c r="G690"/>
      <c r="H690"/>
      <c r="I690"/>
      <c r="L690"/>
      <c r="N690"/>
      <c r="O690"/>
    </row>
    <row r="691" spans="1:15" x14ac:dyDescent="0.2">
      <c r="A691"/>
      <c r="B691"/>
      <c r="C691"/>
      <c r="F691"/>
      <c r="G691"/>
      <c r="M691"/>
      <c r="N691"/>
      <c r="O691"/>
    </row>
    <row r="692" spans="1:15" x14ac:dyDescent="0.2">
      <c r="A692"/>
      <c r="B692"/>
      <c r="C692"/>
      <c r="F692"/>
      <c r="G692"/>
      <c r="H692"/>
      <c r="I692"/>
      <c r="L692"/>
      <c r="M692"/>
      <c r="N692"/>
      <c r="O692"/>
    </row>
    <row r="693" spans="1:15" x14ac:dyDescent="0.2">
      <c r="A693"/>
      <c r="B693"/>
      <c r="C693"/>
      <c r="F693"/>
      <c r="G693"/>
      <c r="H693"/>
      <c r="I693"/>
      <c r="L693"/>
      <c r="M693"/>
      <c r="N693"/>
      <c r="O693"/>
    </row>
    <row r="694" spans="1:15" x14ac:dyDescent="0.2">
      <c r="A694"/>
      <c r="B694"/>
      <c r="C694"/>
      <c r="F694"/>
      <c r="G694"/>
      <c r="M694"/>
      <c r="N694"/>
      <c r="O694"/>
    </row>
    <row r="695" spans="1:15" x14ac:dyDescent="0.2">
      <c r="A695"/>
      <c r="B695"/>
      <c r="C695"/>
      <c r="F695"/>
      <c r="G695"/>
      <c r="I695"/>
      <c r="L695"/>
      <c r="M695"/>
      <c r="N695"/>
      <c r="O695"/>
    </row>
    <row r="696" spans="1:15" x14ac:dyDescent="0.2">
      <c r="A696"/>
      <c r="B696"/>
      <c r="C696"/>
      <c r="F696"/>
      <c r="G696"/>
      <c r="J696"/>
      <c r="K696"/>
      <c r="L696"/>
      <c r="M696"/>
      <c r="N696"/>
      <c r="O696"/>
    </row>
    <row r="697" spans="1:15" x14ac:dyDescent="0.2">
      <c r="A697"/>
      <c r="B697"/>
      <c r="C697"/>
      <c r="F697"/>
      <c r="G697"/>
      <c r="H697"/>
      <c r="I697"/>
      <c r="L697"/>
      <c r="M697"/>
      <c r="N697"/>
      <c r="O697"/>
    </row>
    <row r="698" spans="1:15" x14ac:dyDescent="0.2">
      <c r="A698"/>
      <c r="B698"/>
      <c r="C698"/>
      <c r="F698"/>
      <c r="G698"/>
      <c r="I698"/>
      <c r="L698"/>
      <c r="M698"/>
      <c r="N698"/>
      <c r="O698"/>
    </row>
    <row r="699" spans="1:15" x14ac:dyDescent="0.2">
      <c r="A699"/>
      <c r="B699"/>
      <c r="C699"/>
      <c r="F699"/>
      <c r="G699"/>
      <c r="L699"/>
      <c r="M699"/>
      <c r="N699"/>
      <c r="O699"/>
    </row>
    <row r="700" spans="1:15" x14ac:dyDescent="0.2">
      <c r="A700"/>
      <c r="B700"/>
      <c r="C700"/>
      <c r="F700"/>
      <c r="G700"/>
      <c r="H700"/>
      <c r="J700"/>
      <c r="K700"/>
      <c r="L700"/>
      <c r="M700"/>
      <c r="N700"/>
      <c r="O700"/>
    </row>
    <row r="701" spans="1:15" x14ac:dyDescent="0.2">
      <c r="A701"/>
      <c r="B701"/>
      <c r="C701"/>
      <c r="F701"/>
      <c r="G701"/>
      <c r="H701"/>
      <c r="J701"/>
      <c r="K701"/>
      <c r="L701"/>
      <c r="M701"/>
      <c r="N701"/>
      <c r="O701"/>
    </row>
    <row r="702" spans="1:15" x14ac:dyDescent="0.2">
      <c r="A702"/>
      <c r="B702"/>
      <c r="C702"/>
      <c r="F702"/>
      <c r="G702"/>
      <c r="H702"/>
      <c r="J702"/>
      <c r="K702"/>
      <c r="L702"/>
      <c r="M702"/>
      <c r="N702"/>
      <c r="O702"/>
    </row>
    <row r="703" spans="1:15" x14ac:dyDescent="0.2">
      <c r="A703"/>
      <c r="B703"/>
      <c r="C703"/>
      <c r="F703"/>
      <c r="G703"/>
      <c r="I703"/>
      <c r="L703"/>
      <c r="M703"/>
      <c r="N703"/>
      <c r="O703"/>
    </row>
    <row r="704" spans="1:15" x14ac:dyDescent="0.2">
      <c r="A704"/>
      <c r="B704"/>
      <c r="C704"/>
      <c r="F704"/>
      <c r="G704"/>
      <c r="I704"/>
      <c r="L704"/>
      <c r="M704"/>
      <c r="N704"/>
      <c r="O704"/>
    </row>
    <row r="705" spans="1:15" x14ac:dyDescent="0.2">
      <c r="A705"/>
      <c r="B705"/>
      <c r="C705"/>
      <c r="F705"/>
      <c r="G705"/>
      <c r="J705"/>
      <c r="K705"/>
      <c r="L705"/>
      <c r="M705"/>
      <c r="N705"/>
      <c r="O705"/>
    </row>
    <row r="706" spans="1:15" x14ac:dyDescent="0.2">
      <c r="A706"/>
      <c r="B706"/>
      <c r="C706"/>
      <c r="F706"/>
      <c r="G706"/>
      <c r="H706"/>
      <c r="I706"/>
      <c r="J706"/>
      <c r="K706"/>
      <c r="L706"/>
      <c r="M706"/>
      <c r="N706"/>
      <c r="O706"/>
    </row>
    <row r="707" spans="1:15" x14ac:dyDescent="0.2">
      <c r="A707"/>
      <c r="B707"/>
      <c r="C707"/>
      <c r="F707"/>
      <c r="G707"/>
      <c r="H707"/>
      <c r="I707"/>
      <c r="L707"/>
      <c r="M707"/>
      <c r="N707"/>
      <c r="O707"/>
    </row>
    <row r="708" spans="1:15" x14ac:dyDescent="0.2">
      <c r="A708"/>
      <c r="B708"/>
      <c r="C708"/>
      <c r="F708"/>
      <c r="G708"/>
      <c r="H708"/>
      <c r="I708"/>
      <c r="J708"/>
      <c r="K708"/>
      <c r="L708"/>
      <c r="M708"/>
      <c r="N708"/>
      <c r="O708"/>
    </row>
    <row r="709" spans="1:15" x14ac:dyDescent="0.2">
      <c r="A709"/>
      <c r="B709"/>
      <c r="C709"/>
      <c r="F709"/>
      <c r="G709"/>
      <c r="I709"/>
      <c r="L709"/>
      <c r="M709"/>
      <c r="N709"/>
      <c r="O709"/>
    </row>
    <row r="710" spans="1:15" x14ac:dyDescent="0.2">
      <c r="A710"/>
      <c r="B710"/>
      <c r="C710"/>
      <c r="F710"/>
      <c r="G710"/>
      <c r="H710"/>
      <c r="I710"/>
      <c r="L710"/>
      <c r="M710"/>
      <c r="N710"/>
      <c r="O710"/>
    </row>
    <row r="711" spans="1:15" x14ac:dyDescent="0.2">
      <c r="A711"/>
      <c r="B711"/>
      <c r="C711"/>
      <c r="F711"/>
      <c r="G711"/>
      <c r="H711"/>
      <c r="I711"/>
      <c r="L711"/>
      <c r="M711"/>
      <c r="N711"/>
      <c r="O711"/>
    </row>
    <row r="712" spans="1:15" x14ac:dyDescent="0.2">
      <c r="A712"/>
      <c r="B712"/>
      <c r="C712"/>
      <c r="F712"/>
      <c r="G712"/>
      <c r="H712"/>
      <c r="I712"/>
      <c r="L712"/>
      <c r="M712"/>
      <c r="N712"/>
      <c r="O712"/>
    </row>
    <row r="713" spans="1:15" x14ac:dyDescent="0.2">
      <c r="A713"/>
      <c r="B713"/>
      <c r="C713"/>
      <c r="F713"/>
      <c r="G713"/>
      <c r="H713"/>
      <c r="I713"/>
      <c r="L713"/>
      <c r="M713"/>
      <c r="N713"/>
      <c r="O713"/>
    </row>
    <row r="714" spans="1:15" x14ac:dyDescent="0.2">
      <c r="A714"/>
      <c r="B714"/>
      <c r="C714"/>
      <c r="F714"/>
      <c r="G714"/>
      <c r="I714"/>
      <c r="L714"/>
      <c r="M714"/>
      <c r="N714"/>
      <c r="O714"/>
    </row>
    <row r="715" spans="1:15" x14ac:dyDescent="0.2">
      <c r="A715"/>
      <c r="B715"/>
      <c r="C715"/>
      <c r="F715"/>
      <c r="G715"/>
      <c r="H715"/>
      <c r="I715"/>
      <c r="L715"/>
      <c r="M715"/>
      <c r="N715"/>
      <c r="O715"/>
    </row>
    <row r="716" spans="1:15" x14ac:dyDescent="0.2">
      <c r="A716"/>
      <c r="B716"/>
      <c r="C716"/>
      <c r="F716"/>
      <c r="G716"/>
      <c r="H716"/>
      <c r="I716"/>
      <c r="L716"/>
      <c r="M716"/>
      <c r="N716"/>
      <c r="O716"/>
    </row>
    <row r="717" spans="1:15" x14ac:dyDescent="0.2">
      <c r="A717"/>
      <c r="B717"/>
      <c r="C717"/>
      <c r="F717"/>
      <c r="G717"/>
      <c r="H717"/>
      <c r="I717"/>
      <c r="L717"/>
      <c r="M717"/>
      <c r="N717"/>
      <c r="O717"/>
    </row>
    <row r="718" spans="1:15" x14ac:dyDescent="0.2">
      <c r="A718"/>
      <c r="B718"/>
      <c r="C718"/>
      <c r="F718"/>
      <c r="G718"/>
      <c r="L718"/>
      <c r="M718"/>
      <c r="N718"/>
      <c r="O718"/>
    </row>
    <row r="719" spans="1:15" x14ac:dyDescent="0.2">
      <c r="A719"/>
      <c r="B719"/>
      <c r="C719"/>
      <c r="F719"/>
      <c r="G719"/>
      <c r="H719"/>
      <c r="I719"/>
      <c r="L719"/>
      <c r="M719"/>
      <c r="N719"/>
      <c r="O719"/>
    </row>
    <row r="720" spans="1:15" x14ac:dyDescent="0.2">
      <c r="A720"/>
      <c r="B720"/>
      <c r="C720"/>
      <c r="F720"/>
      <c r="G720"/>
      <c r="H720"/>
      <c r="I720"/>
      <c r="L720"/>
      <c r="M720"/>
      <c r="N720"/>
      <c r="O720"/>
    </row>
    <row r="721" spans="1:15" x14ac:dyDescent="0.2">
      <c r="A721"/>
      <c r="B721"/>
      <c r="C721"/>
      <c r="F721"/>
      <c r="G721"/>
      <c r="I721"/>
      <c r="L721"/>
      <c r="M721"/>
      <c r="N721"/>
      <c r="O721"/>
    </row>
    <row r="722" spans="1:15" x14ac:dyDescent="0.2">
      <c r="A722"/>
      <c r="B722"/>
      <c r="C722"/>
      <c r="F722"/>
      <c r="G722"/>
      <c r="L722"/>
      <c r="M722"/>
      <c r="N722"/>
      <c r="O722"/>
    </row>
    <row r="723" spans="1:15" x14ac:dyDescent="0.2">
      <c r="A723"/>
      <c r="B723"/>
      <c r="C723"/>
      <c r="F723"/>
      <c r="G723"/>
      <c r="H723"/>
      <c r="J723"/>
      <c r="K723"/>
      <c r="L723"/>
      <c r="M723"/>
      <c r="N723"/>
      <c r="O723"/>
    </row>
    <row r="724" spans="1:15" x14ac:dyDescent="0.2">
      <c r="A724"/>
      <c r="B724"/>
      <c r="C724"/>
      <c r="F724"/>
      <c r="G724"/>
      <c r="H724"/>
      <c r="I724"/>
      <c r="L724"/>
      <c r="M724"/>
      <c r="N724"/>
      <c r="O724"/>
    </row>
    <row r="725" spans="1:15" x14ac:dyDescent="0.2">
      <c r="A725"/>
      <c r="B725"/>
      <c r="C725"/>
      <c r="F725"/>
      <c r="G725"/>
      <c r="J725"/>
      <c r="K725"/>
      <c r="L725"/>
      <c r="M725"/>
      <c r="N725"/>
      <c r="O725"/>
    </row>
    <row r="726" spans="1:15" x14ac:dyDescent="0.2">
      <c r="A726"/>
      <c r="B726"/>
      <c r="C726"/>
      <c r="F726"/>
      <c r="G726"/>
      <c r="H726"/>
      <c r="I726"/>
      <c r="L726"/>
      <c r="M726"/>
      <c r="N726"/>
      <c r="O726"/>
    </row>
    <row r="727" spans="1:15" x14ac:dyDescent="0.2">
      <c r="A727"/>
      <c r="B727"/>
      <c r="C727"/>
      <c r="F727"/>
      <c r="G727"/>
      <c r="H727"/>
      <c r="I727"/>
      <c r="L727"/>
      <c r="M727"/>
      <c r="N727"/>
      <c r="O727"/>
    </row>
    <row r="728" spans="1:15" x14ac:dyDescent="0.2">
      <c r="A728"/>
      <c r="B728"/>
      <c r="C728"/>
      <c r="F728"/>
      <c r="G728"/>
      <c r="I728"/>
      <c r="K728"/>
      <c r="L728"/>
      <c r="M728"/>
      <c r="N728"/>
      <c r="O728"/>
    </row>
    <row r="729" spans="1:15" x14ac:dyDescent="0.2">
      <c r="A729"/>
      <c r="B729"/>
      <c r="C729"/>
      <c r="F729"/>
      <c r="G729"/>
      <c r="L729"/>
      <c r="M729"/>
      <c r="N729"/>
      <c r="O729"/>
    </row>
    <row r="730" spans="1:15" x14ac:dyDescent="0.2">
      <c r="A730"/>
      <c r="B730"/>
      <c r="C730"/>
      <c r="F730"/>
      <c r="G730"/>
      <c r="L730"/>
      <c r="M730"/>
      <c r="N730"/>
      <c r="O730"/>
    </row>
    <row r="731" spans="1:15" x14ac:dyDescent="0.2">
      <c r="A731"/>
      <c r="B731"/>
      <c r="C731"/>
      <c r="F731"/>
      <c r="G731"/>
      <c r="H731"/>
      <c r="I731"/>
      <c r="L731"/>
      <c r="M731"/>
      <c r="N731"/>
      <c r="O731"/>
    </row>
    <row r="732" spans="1:15" x14ac:dyDescent="0.2">
      <c r="A732"/>
      <c r="B732"/>
      <c r="C732"/>
      <c r="F732"/>
      <c r="G732"/>
      <c r="J732"/>
      <c r="L732"/>
      <c r="M732"/>
      <c r="N732"/>
      <c r="O732"/>
    </row>
    <row r="733" spans="1:15" x14ac:dyDescent="0.2">
      <c r="A733"/>
      <c r="B733"/>
      <c r="C733"/>
      <c r="F733"/>
      <c r="G733"/>
      <c r="H733"/>
      <c r="L733"/>
      <c r="M733"/>
      <c r="N733"/>
      <c r="O733"/>
    </row>
    <row r="734" spans="1:15" x14ac:dyDescent="0.2">
      <c r="A734"/>
      <c r="B734"/>
      <c r="C734"/>
      <c r="F734"/>
      <c r="G734"/>
      <c r="H734"/>
      <c r="I734"/>
      <c r="L734"/>
      <c r="M734"/>
      <c r="N734"/>
      <c r="O734"/>
    </row>
    <row r="735" spans="1:15" x14ac:dyDescent="0.2">
      <c r="A735"/>
      <c r="B735"/>
      <c r="C735"/>
      <c r="F735"/>
      <c r="G735"/>
      <c r="L735"/>
      <c r="M735"/>
      <c r="N735"/>
      <c r="O735"/>
    </row>
    <row r="736" spans="1:15" x14ac:dyDescent="0.2">
      <c r="A736"/>
      <c r="B736"/>
      <c r="C736"/>
      <c r="F736"/>
      <c r="G736"/>
      <c r="J736"/>
      <c r="K736"/>
      <c r="L736"/>
      <c r="M736"/>
      <c r="N736"/>
      <c r="O736"/>
    </row>
    <row r="737" spans="1:15" x14ac:dyDescent="0.2">
      <c r="A737"/>
      <c r="B737"/>
      <c r="C737"/>
      <c r="F737"/>
      <c r="G737"/>
      <c r="H737"/>
      <c r="I737"/>
      <c r="L737"/>
      <c r="M737"/>
      <c r="N737"/>
      <c r="O737"/>
    </row>
    <row r="738" spans="1:15" x14ac:dyDescent="0.2">
      <c r="A738"/>
      <c r="B738"/>
      <c r="C738"/>
      <c r="F738"/>
      <c r="G738"/>
      <c r="M738"/>
      <c r="N738"/>
      <c r="O738"/>
    </row>
    <row r="739" spans="1:15" x14ac:dyDescent="0.2">
      <c r="A739"/>
      <c r="B739"/>
      <c r="C739"/>
      <c r="F739"/>
      <c r="G739"/>
      <c r="H739"/>
      <c r="I739"/>
      <c r="L739"/>
      <c r="M739"/>
      <c r="N739"/>
      <c r="O739"/>
    </row>
    <row r="740" spans="1:15" x14ac:dyDescent="0.2">
      <c r="A740"/>
      <c r="B740"/>
      <c r="C740"/>
      <c r="F740"/>
      <c r="G740"/>
      <c r="I740"/>
      <c r="L740"/>
      <c r="M740"/>
      <c r="N740"/>
      <c r="O740"/>
    </row>
    <row r="741" spans="1:15" x14ac:dyDescent="0.2">
      <c r="A741"/>
      <c r="B741"/>
      <c r="C741"/>
      <c r="F741"/>
      <c r="G741"/>
      <c r="H741"/>
      <c r="I741"/>
      <c r="L741"/>
      <c r="M741"/>
      <c r="N741"/>
      <c r="O741"/>
    </row>
    <row r="742" spans="1:15" x14ac:dyDescent="0.2">
      <c r="A742"/>
      <c r="B742"/>
      <c r="C742"/>
      <c r="F742"/>
      <c r="G742"/>
      <c r="H742"/>
      <c r="I742"/>
      <c r="L742"/>
      <c r="M742"/>
      <c r="N742"/>
      <c r="O742"/>
    </row>
    <row r="743" spans="1:15" x14ac:dyDescent="0.2">
      <c r="A743"/>
      <c r="B743"/>
      <c r="C743"/>
      <c r="F743"/>
      <c r="G743"/>
      <c r="H743"/>
      <c r="I743"/>
      <c r="L743"/>
      <c r="N743"/>
      <c r="O743"/>
    </row>
    <row r="744" spans="1:15" x14ac:dyDescent="0.2">
      <c r="A744"/>
      <c r="B744"/>
      <c r="C744"/>
      <c r="F744"/>
      <c r="G744"/>
      <c r="H744"/>
      <c r="I744"/>
      <c r="L744"/>
      <c r="M744"/>
      <c r="N744"/>
      <c r="O744"/>
    </row>
    <row r="745" spans="1:15" x14ac:dyDescent="0.2">
      <c r="A745"/>
      <c r="B745"/>
      <c r="C745"/>
      <c r="F745"/>
      <c r="G745"/>
      <c r="L745"/>
      <c r="M745"/>
      <c r="N745"/>
      <c r="O745"/>
    </row>
    <row r="746" spans="1:15" x14ac:dyDescent="0.2">
      <c r="A746"/>
      <c r="B746"/>
      <c r="C746"/>
      <c r="F746"/>
      <c r="G746"/>
      <c r="H746"/>
      <c r="I746"/>
      <c r="L746"/>
      <c r="M746"/>
      <c r="N746"/>
      <c r="O746"/>
    </row>
    <row r="747" spans="1:15" x14ac:dyDescent="0.2">
      <c r="A747"/>
      <c r="B747"/>
      <c r="C747"/>
      <c r="F747"/>
      <c r="G747"/>
      <c r="L747"/>
      <c r="M747"/>
      <c r="N747"/>
      <c r="O747"/>
    </row>
    <row r="748" spans="1:15" x14ac:dyDescent="0.2">
      <c r="A748"/>
      <c r="B748"/>
      <c r="C748"/>
      <c r="F748"/>
      <c r="G748"/>
      <c r="H748"/>
      <c r="I748"/>
      <c r="L748"/>
      <c r="M748"/>
      <c r="N748"/>
      <c r="O748"/>
    </row>
    <row r="749" spans="1:15" x14ac:dyDescent="0.2">
      <c r="A749"/>
      <c r="B749"/>
      <c r="C749"/>
      <c r="F749"/>
      <c r="G749"/>
      <c r="H749"/>
      <c r="I749"/>
      <c r="L749"/>
      <c r="M749"/>
      <c r="N749"/>
      <c r="O749"/>
    </row>
    <row r="750" spans="1:15" x14ac:dyDescent="0.2">
      <c r="A750"/>
      <c r="B750"/>
      <c r="C750"/>
      <c r="F750"/>
      <c r="G750"/>
      <c r="H750"/>
      <c r="I750"/>
      <c r="L750"/>
      <c r="M750"/>
      <c r="N750"/>
      <c r="O750"/>
    </row>
    <row r="751" spans="1:15" x14ac:dyDescent="0.2">
      <c r="A751"/>
      <c r="B751"/>
      <c r="C751"/>
      <c r="F751"/>
      <c r="G751"/>
      <c r="L751"/>
      <c r="M751"/>
      <c r="N751"/>
      <c r="O751"/>
    </row>
    <row r="752" spans="1:15" x14ac:dyDescent="0.2">
      <c r="A752"/>
      <c r="B752"/>
      <c r="C752"/>
      <c r="F752"/>
      <c r="G752"/>
      <c r="H752"/>
      <c r="I752"/>
      <c r="L752"/>
      <c r="M752"/>
      <c r="N752"/>
      <c r="O752"/>
    </row>
    <row r="753" spans="1:15" x14ac:dyDescent="0.2">
      <c r="A753"/>
      <c r="B753"/>
      <c r="C753"/>
      <c r="F753"/>
      <c r="G753"/>
      <c r="H753"/>
      <c r="I753"/>
      <c r="L753"/>
      <c r="M753"/>
      <c r="N753"/>
      <c r="O753"/>
    </row>
    <row r="754" spans="1:15" x14ac:dyDescent="0.2">
      <c r="A754"/>
      <c r="B754"/>
      <c r="C754"/>
      <c r="F754"/>
      <c r="G754"/>
      <c r="M754"/>
      <c r="N754"/>
      <c r="O754"/>
    </row>
    <row r="755" spans="1:15" x14ac:dyDescent="0.2">
      <c r="A755"/>
      <c r="B755"/>
      <c r="C755"/>
      <c r="F755"/>
      <c r="G755"/>
      <c r="H755"/>
      <c r="I755"/>
      <c r="L755"/>
      <c r="M755"/>
      <c r="N755"/>
      <c r="O755"/>
    </row>
    <row r="756" spans="1:15" x14ac:dyDescent="0.2">
      <c r="A756"/>
      <c r="B756"/>
      <c r="C756"/>
      <c r="F756"/>
      <c r="G756"/>
      <c r="H756"/>
      <c r="I756"/>
      <c r="L756"/>
      <c r="M756"/>
      <c r="N756"/>
      <c r="O756"/>
    </row>
    <row r="757" spans="1:15" x14ac:dyDescent="0.2">
      <c r="A757"/>
      <c r="B757"/>
      <c r="C757"/>
      <c r="F757"/>
      <c r="G757"/>
      <c r="H757"/>
      <c r="I757"/>
      <c r="L757"/>
      <c r="M757"/>
      <c r="N757"/>
      <c r="O757"/>
    </row>
    <row r="758" spans="1:15" x14ac:dyDescent="0.2">
      <c r="A758"/>
      <c r="B758"/>
      <c r="C758"/>
      <c r="F758"/>
      <c r="G758"/>
      <c r="H758"/>
      <c r="J758"/>
      <c r="K758"/>
      <c r="L758"/>
      <c r="M758"/>
      <c r="N758"/>
      <c r="O758"/>
    </row>
    <row r="759" spans="1:15" x14ac:dyDescent="0.2">
      <c r="A759"/>
      <c r="B759"/>
      <c r="C759"/>
      <c r="F759"/>
      <c r="G759"/>
      <c r="H759"/>
      <c r="L759"/>
      <c r="M759"/>
      <c r="N759"/>
      <c r="O759"/>
    </row>
    <row r="760" spans="1:15" x14ac:dyDescent="0.2">
      <c r="A760"/>
      <c r="B760"/>
      <c r="C760"/>
      <c r="F760"/>
      <c r="G760"/>
      <c r="H760"/>
      <c r="I760"/>
      <c r="L760"/>
      <c r="M760"/>
      <c r="N760"/>
      <c r="O760"/>
    </row>
    <row r="761" spans="1:15" x14ac:dyDescent="0.2">
      <c r="A761"/>
      <c r="B761"/>
      <c r="C761"/>
      <c r="F761"/>
      <c r="G761"/>
      <c r="I761"/>
      <c r="L761"/>
      <c r="M761"/>
      <c r="N761"/>
      <c r="O761"/>
    </row>
    <row r="762" spans="1:15" x14ac:dyDescent="0.2">
      <c r="A762"/>
      <c r="B762"/>
      <c r="C762"/>
      <c r="F762"/>
      <c r="G762"/>
      <c r="H762"/>
      <c r="I762"/>
      <c r="L762"/>
      <c r="M762"/>
      <c r="N762"/>
      <c r="O762"/>
    </row>
    <row r="763" spans="1:15" x14ac:dyDescent="0.2">
      <c r="A763"/>
      <c r="B763"/>
      <c r="C763"/>
      <c r="F763"/>
      <c r="G763"/>
      <c r="H763"/>
      <c r="I763"/>
      <c r="L763"/>
      <c r="M763"/>
      <c r="N763"/>
      <c r="O763"/>
    </row>
    <row r="764" spans="1:15" x14ac:dyDescent="0.2">
      <c r="A764"/>
      <c r="B764"/>
      <c r="C764"/>
      <c r="F764"/>
      <c r="G764"/>
      <c r="H764"/>
      <c r="I764"/>
      <c r="L764"/>
      <c r="M764"/>
      <c r="N764"/>
      <c r="O764"/>
    </row>
    <row r="765" spans="1:15" x14ac:dyDescent="0.2">
      <c r="A765"/>
      <c r="B765"/>
      <c r="C765"/>
      <c r="F765"/>
      <c r="G765"/>
      <c r="H765"/>
      <c r="I765"/>
      <c r="L765"/>
      <c r="M765"/>
      <c r="N765"/>
      <c r="O765"/>
    </row>
    <row r="766" spans="1:15" x14ac:dyDescent="0.2">
      <c r="A766"/>
      <c r="B766"/>
      <c r="C766"/>
      <c r="F766"/>
      <c r="G766"/>
      <c r="L766"/>
      <c r="M766"/>
      <c r="N766"/>
      <c r="O766"/>
    </row>
    <row r="767" spans="1:15" x14ac:dyDescent="0.2">
      <c r="A767"/>
      <c r="B767"/>
      <c r="C767"/>
      <c r="F767"/>
      <c r="G767"/>
      <c r="M767"/>
      <c r="N767"/>
      <c r="O767"/>
    </row>
    <row r="768" spans="1:15" x14ac:dyDescent="0.2">
      <c r="A768"/>
      <c r="B768"/>
      <c r="C768"/>
      <c r="F768"/>
      <c r="G768"/>
      <c r="I768"/>
      <c r="L768"/>
      <c r="M768"/>
      <c r="N768"/>
      <c r="O768"/>
    </row>
    <row r="769" spans="1:15" x14ac:dyDescent="0.2">
      <c r="A769"/>
      <c r="B769"/>
      <c r="C769"/>
      <c r="F769"/>
      <c r="G769"/>
      <c r="H769"/>
      <c r="I769"/>
      <c r="L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L772"/>
      <c r="M772"/>
      <c r="N772"/>
      <c r="O772"/>
    </row>
    <row r="773" spans="1:15" x14ac:dyDescent="0.2">
      <c r="A773"/>
      <c r="B773"/>
      <c r="C773"/>
      <c r="F773"/>
      <c r="G773"/>
      <c r="L773"/>
      <c r="M773"/>
      <c r="N773"/>
      <c r="O773"/>
    </row>
    <row r="774" spans="1:15" x14ac:dyDescent="0.2">
      <c r="A774"/>
      <c r="B774"/>
      <c r="C774"/>
      <c r="F774"/>
      <c r="G774"/>
      <c r="H774"/>
      <c r="J774"/>
      <c r="K774"/>
      <c r="L774"/>
      <c r="M774"/>
      <c r="N774"/>
      <c r="O774"/>
    </row>
    <row r="775" spans="1:15" x14ac:dyDescent="0.2">
      <c r="A775"/>
      <c r="B775"/>
      <c r="C775"/>
      <c r="F775"/>
      <c r="G775"/>
      <c r="H775"/>
      <c r="I775"/>
      <c r="L775"/>
      <c r="M775"/>
      <c r="N775"/>
      <c r="O775"/>
    </row>
    <row r="776" spans="1:15" x14ac:dyDescent="0.2">
      <c r="A776"/>
      <c r="B776"/>
      <c r="C776"/>
      <c r="F776"/>
      <c r="G776"/>
      <c r="L776"/>
      <c r="M776"/>
      <c r="N776"/>
      <c r="O776"/>
    </row>
    <row r="777" spans="1:15" x14ac:dyDescent="0.2">
      <c r="A777"/>
      <c r="B777"/>
      <c r="C777"/>
      <c r="F777"/>
      <c r="G777"/>
      <c r="M777"/>
      <c r="N777"/>
      <c r="O777"/>
    </row>
    <row r="778" spans="1:15" x14ac:dyDescent="0.2">
      <c r="A778"/>
      <c r="B778"/>
      <c r="C778"/>
      <c r="F778"/>
      <c r="G778"/>
      <c r="H778"/>
      <c r="I778"/>
      <c r="L778"/>
      <c r="N778"/>
      <c r="O778"/>
    </row>
    <row r="779" spans="1:15" x14ac:dyDescent="0.2">
      <c r="A779"/>
      <c r="B779"/>
      <c r="C779"/>
      <c r="F779"/>
      <c r="G779"/>
      <c r="H779"/>
      <c r="J779"/>
      <c r="K779"/>
      <c r="L779"/>
      <c r="M779"/>
      <c r="N779"/>
      <c r="O779"/>
    </row>
    <row r="780" spans="1:15" x14ac:dyDescent="0.2">
      <c r="A780"/>
      <c r="B780"/>
      <c r="C780"/>
      <c r="F780"/>
      <c r="G780"/>
      <c r="H780"/>
      <c r="J780"/>
      <c r="K780"/>
      <c r="L780"/>
      <c r="M780"/>
      <c r="N780"/>
      <c r="O780"/>
    </row>
    <row r="781" spans="1:15" x14ac:dyDescent="0.2">
      <c r="A781"/>
      <c r="B781"/>
      <c r="C781"/>
      <c r="F781"/>
      <c r="G781"/>
      <c r="H781"/>
      <c r="J781"/>
      <c r="K781"/>
      <c r="L781"/>
      <c r="M781"/>
      <c r="N781"/>
      <c r="O781"/>
    </row>
    <row r="782" spans="1:15" x14ac:dyDescent="0.2">
      <c r="A782"/>
      <c r="B782"/>
      <c r="C782"/>
      <c r="F782"/>
      <c r="G782"/>
      <c r="J782"/>
      <c r="K782"/>
      <c r="L782"/>
      <c r="M782"/>
      <c r="N782"/>
      <c r="O782"/>
    </row>
    <row r="783" spans="1:15" x14ac:dyDescent="0.2">
      <c r="A783"/>
      <c r="B783"/>
      <c r="C783"/>
      <c r="F783"/>
      <c r="G783"/>
      <c r="H783"/>
      <c r="I783"/>
      <c r="L783"/>
      <c r="M783"/>
      <c r="N783"/>
      <c r="O783"/>
    </row>
    <row r="784" spans="1:15" x14ac:dyDescent="0.2">
      <c r="A784"/>
      <c r="B784"/>
      <c r="C784"/>
      <c r="F784"/>
      <c r="G784"/>
      <c r="L784"/>
      <c r="M784"/>
      <c r="N784"/>
      <c r="O784"/>
    </row>
    <row r="785" spans="1:15" x14ac:dyDescent="0.2">
      <c r="A785"/>
      <c r="B785"/>
      <c r="C785"/>
      <c r="F785"/>
      <c r="G785"/>
      <c r="H785"/>
      <c r="I785"/>
      <c r="L785"/>
      <c r="M785"/>
      <c r="N785"/>
      <c r="O785"/>
    </row>
    <row r="786" spans="1:15" x14ac:dyDescent="0.2">
      <c r="A786"/>
      <c r="B786"/>
      <c r="C786"/>
      <c r="F786"/>
      <c r="G786"/>
      <c r="L786"/>
      <c r="M786"/>
      <c r="N786"/>
      <c r="O786"/>
    </row>
    <row r="787" spans="1:15" x14ac:dyDescent="0.2">
      <c r="A787"/>
      <c r="B787"/>
      <c r="C787"/>
      <c r="F787"/>
      <c r="G787"/>
      <c r="L787"/>
      <c r="M787"/>
      <c r="N787"/>
      <c r="O787"/>
    </row>
    <row r="788" spans="1:15" x14ac:dyDescent="0.2">
      <c r="A788"/>
      <c r="B788"/>
      <c r="C788"/>
      <c r="F788"/>
      <c r="G788"/>
      <c r="I788"/>
      <c r="L788"/>
      <c r="M788"/>
      <c r="N788"/>
      <c r="O788"/>
    </row>
    <row r="789" spans="1:15" x14ac:dyDescent="0.2">
      <c r="A789"/>
      <c r="B789"/>
      <c r="C789"/>
      <c r="F789"/>
      <c r="G789"/>
      <c r="H789"/>
      <c r="I789"/>
      <c r="L789"/>
      <c r="M789"/>
      <c r="N789"/>
      <c r="O789"/>
    </row>
    <row r="790" spans="1:15" x14ac:dyDescent="0.2">
      <c r="A790"/>
      <c r="B790"/>
      <c r="C790"/>
      <c r="F790"/>
      <c r="G790"/>
      <c r="H790"/>
      <c r="I790"/>
      <c r="L790"/>
      <c r="N790"/>
      <c r="O790"/>
    </row>
    <row r="791" spans="1:15" x14ac:dyDescent="0.2">
      <c r="A791"/>
      <c r="B791"/>
      <c r="C791"/>
      <c r="F791"/>
      <c r="G791"/>
      <c r="H791"/>
      <c r="L791"/>
      <c r="M791"/>
      <c r="N791"/>
      <c r="O791"/>
    </row>
    <row r="792" spans="1:15" x14ac:dyDescent="0.2">
      <c r="A792"/>
      <c r="B792"/>
      <c r="C792"/>
      <c r="F792"/>
      <c r="G792"/>
      <c r="L792"/>
      <c r="M792"/>
      <c r="N792"/>
      <c r="O792"/>
    </row>
    <row r="793" spans="1:15" x14ac:dyDescent="0.2">
      <c r="A793"/>
      <c r="B793"/>
      <c r="C793"/>
      <c r="F793"/>
      <c r="G793"/>
      <c r="I793"/>
      <c r="L793"/>
      <c r="M793"/>
      <c r="N793"/>
      <c r="O793"/>
    </row>
    <row r="794" spans="1:15" x14ac:dyDescent="0.2">
      <c r="A794"/>
      <c r="B794"/>
      <c r="C794"/>
      <c r="F794"/>
      <c r="G794"/>
      <c r="L794"/>
      <c r="M794"/>
      <c r="N794"/>
      <c r="O794"/>
    </row>
    <row r="795" spans="1:15" x14ac:dyDescent="0.2">
      <c r="A795"/>
      <c r="B795"/>
      <c r="C795"/>
      <c r="F795"/>
      <c r="G795"/>
      <c r="H795"/>
      <c r="I795"/>
      <c r="J795"/>
      <c r="K795"/>
      <c r="L795"/>
      <c r="M795"/>
      <c r="N795"/>
      <c r="O795"/>
    </row>
    <row r="796" spans="1:15" x14ac:dyDescent="0.2">
      <c r="A796"/>
      <c r="B796"/>
      <c r="C796"/>
      <c r="F796"/>
      <c r="G796"/>
      <c r="J796"/>
      <c r="M796"/>
      <c r="N796"/>
      <c r="O796"/>
    </row>
    <row r="797" spans="1:15" x14ac:dyDescent="0.2">
      <c r="A797"/>
      <c r="B797"/>
      <c r="C797"/>
      <c r="F797"/>
      <c r="G797"/>
      <c r="I797"/>
      <c r="L797"/>
      <c r="M797"/>
      <c r="N797"/>
      <c r="O797"/>
    </row>
    <row r="798" spans="1:15" x14ac:dyDescent="0.2">
      <c r="A798"/>
      <c r="B798"/>
      <c r="C798"/>
      <c r="F798"/>
      <c r="G798"/>
      <c r="H798"/>
      <c r="J798"/>
      <c r="K798"/>
      <c r="L798"/>
      <c r="M798"/>
      <c r="N798"/>
      <c r="O798"/>
    </row>
    <row r="799" spans="1:15" x14ac:dyDescent="0.2">
      <c r="A799"/>
      <c r="B799"/>
      <c r="C799"/>
      <c r="F799"/>
      <c r="G799"/>
      <c r="L799"/>
      <c r="M799"/>
      <c r="N799"/>
      <c r="O799"/>
    </row>
    <row r="800" spans="1:15" x14ac:dyDescent="0.2">
      <c r="A800"/>
      <c r="B800"/>
      <c r="C800"/>
      <c r="F800"/>
      <c r="G800"/>
      <c r="L800"/>
      <c r="M800"/>
      <c r="N800"/>
      <c r="O800"/>
    </row>
    <row r="801" spans="1:15" x14ac:dyDescent="0.2">
      <c r="A801"/>
      <c r="B801"/>
      <c r="C801"/>
      <c r="F801"/>
      <c r="G801"/>
      <c r="J801"/>
      <c r="K801"/>
      <c r="L801"/>
      <c r="M801"/>
      <c r="N801"/>
      <c r="O801"/>
    </row>
    <row r="802" spans="1:15" x14ac:dyDescent="0.2">
      <c r="A802"/>
      <c r="B802"/>
      <c r="C802"/>
      <c r="F802"/>
      <c r="G802"/>
      <c r="I802"/>
      <c r="L802"/>
      <c r="M802"/>
      <c r="N802"/>
      <c r="O802"/>
    </row>
    <row r="803" spans="1:15" x14ac:dyDescent="0.2">
      <c r="A803"/>
      <c r="B803"/>
      <c r="C803"/>
      <c r="F803"/>
      <c r="G803"/>
      <c r="H803"/>
      <c r="I803"/>
      <c r="L803"/>
      <c r="M803"/>
      <c r="N803"/>
      <c r="O803"/>
    </row>
    <row r="804" spans="1:15" x14ac:dyDescent="0.2">
      <c r="A804"/>
      <c r="B804"/>
      <c r="C804"/>
      <c r="F804"/>
      <c r="G804"/>
      <c r="L804"/>
      <c r="M804"/>
      <c r="N804"/>
      <c r="O804"/>
    </row>
    <row r="805" spans="1:15" x14ac:dyDescent="0.2">
      <c r="A805"/>
      <c r="B805"/>
      <c r="C805"/>
      <c r="F805"/>
      <c r="G805"/>
      <c r="L805"/>
      <c r="M805"/>
      <c r="N805"/>
      <c r="O805"/>
    </row>
    <row r="806" spans="1:15" x14ac:dyDescent="0.2">
      <c r="A806"/>
      <c r="B806"/>
      <c r="C806"/>
      <c r="F806"/>
      <c r="G806"/>
      <c r="H806"/>
      <c r="I806"/>
      <c r="L806"/>
      <c r="M806"/>
      <c r="N806"/>
      <c r="O806"/>
    </row>
    <row r="807" spans="1:15" x14ac:dyDescent="0.2">
      <c r="A807"/>
      <c r="B807"/>
      <c r="C807"/>
      <c r="F807"/>
      <c r="G807"/>
      <c r="L807"/>
      <c r="M807"/>
      <c r="N807"/>
      <c r="O807"/>
    </row>
    <row r="808" spans="1:15" x14ac:dyDescent="0.2">
      <c r="A808"/>
      <c r="B808"/>
      <c r="C808"/>
      <c r="F808"/>
      <c r="G808"/>
      <c r="H808"/>
      <c r="J808"/>
      <c r="K808"/>
      <c r="L808"/>
      <c r="M808"/>
      <c r="N808"/>
      <c r="O808"/>
    </row>
    <row r="809" spans="1:15" x14ac:dyDescent="0.2">
      <c r="A809"/>
      <c r="B809"/>
      <c r="C809"/>
      <c r="F809"/>
      <c r="G809"/>
      <c r="H809"/>
      <c r="I809"/>
      <c r="L809"/>
      <c r="M809"/>
      <c r="N809"/>
      <c r="O809"/>
    </row>
    <row r="810" spans="1:15" x14ac:dyDescent="0.2">
      <c r="A810"/>
      <c r="B810"/>
      <c r="C810"/>
      <c r="F810"/>
      <c r="G810"/>
      <c r="I810"/>
      <c r="L810"/>
      <c r="M810"/>
      <c r="N810"/>
      <c r="O810"/>
    </row>
    <row r="811" spans="1:15" x14ac:dyDescent="0.2">
      <c r="A811"/>
      <c r="B811"/>
      <c r="C811"/>
      <c r="F811"/>
      <c r="G811"/>
      <c r="H811"/>
      <c r="I811"/>
      <c r="L811"/>
      <c r="M811"/>
      <c r="N811"/>
      <c r="O811"/>
    </row>
    <row r="812" spans="1:15" x14ac:dyDescent="0.2">
      <c r="A812"/>
      <c r="B812"/>
      <c r="C812"/>
      <c r="F812"/>
      <c r="G812"/>
      <c r="H812"/>
      <c r="I812"/>
      <c r="L812"/>
      <c r="M812"/>
      <c r="N812"/>
      <c r="O812"/>
    </row>
    <row r="813" spans="1:15" x14ac:dyDescent="0.2">
      <c r="A813"/>
      <c r="B813"/>
      <c r="C813"/>
      <c r="F813"/>
      <c r="G813"/>
      <c r="L813"/>
      <c r="M813"/>
      <c r="N813"/>
      <c r="O813"/>
    </row>
    <row r="814" spans="1:15" x14ac:dyDescent="0.2">
      <c r="A814"/>
      <c r="B814"/>
      <c r="C814"/>
      <c r="F814"/>
      <c r="G814"/>
      <c r="H814"/>
      <c r="I814"/>
      <c r="L814"/>
      <c r="M814"/>
      <c r="N814"/>
      <c r="O814"/>
    </row>
    <row r="815" spans="1:15" x14ac:dyDescent="0.2">
      <c r="A815"/>
      <c r="B815"/>
      <c r="C815"/>
      <c r="F815"/>
      <c r="G815"/>
      <c r="J815"/>
      <c r="K815"/>
      <c r="L815"/>
      <c r="M815"/>
      <c r="N815"/>
      <c r="O815"/>
    </row>
    <row r="816" spans="1:15" x14ac:dyDescent="0.2">
      <c r="A816"/>
      <c r="B816"/>
      <c r="C816"/>
      <c r="F816"/>
      <c r="G816"/>
      <c r="L816"/>
      <c r="M816"/>
      <c r="N816"/>
      <c r="O816"/>
    </row>
    <row r="817" spans="1:15" x14ac:dyDescent="0.2">
      <c r="A817"/>
      <c r="B817"/>
      <c r="C817"/>
      <c r="F817"/>
      <c r="G817"/>
      <c r="M817"/>
      <c r="N817"/>
      <c r="O817"/>
    </row>
    <row r="818" spans="1:15" x14ac:dyDescent="0.2">
      <c r="A818"/>
      <c r="B818"/>
      <c r="C818"/>
      <c r="F818"/>
      <c r="G818"/>
      <c r="H818"/>
      <c r="I818"/>
      <c r="L818"/>
      <c r="M818"/>
      <c r="N818"/>
      <c r="O818"/>
    </row>
    <row r="819" spans="1:15" x14ac:dyDescent="0.2">
      <c r="A819"/>
      <c r="B819"/>
      <c r="C819"/>
      <c r="F819"/>
      <c r="G819"/>
      <c r="H819"/>
      <c r="L819"/>
      <c r="M819"/>
      <c r="N819"/>
      <c r="O819"/>
    </row>
    <row r="820" spans="1:15" x14ac:dyDescent="0.2">
      <c r="A820"/>
      <c r="B820"/>
      <c r="C820"/>
      <c r="F820"/>
      <c r="G820"/>
      <c r="H820"/>
      <c r="I820"/>
      <c r="L820"/>
      <c r="M820"/>
      <c r="N820"/>
      <c r="O820"/>
    </row>
    <row r="821" spans="1:15" x14ac:dyDescent="0.2">
      <c r="A821"/>
      <c r="B821"/>
      <c r="C821"/>
      <c r="F821"/>
      <c r="G821"/>
      <c r="H821"/>
      <c r="I821"/>
      <c r="L821"/>
      <c r="M821"/>
      <c r="N821"/>
      <c r="O821"/>
    </row>
    <row r="822" spans="1:15" x14ac:dyDescent="0.2">
      <c r="A822"/>
      <c r="B822"/>
      <c r="C822"/>
      <c r="F822"/>
      <c r="G822"/>
      <c r="L822"/>
      <c r="M822"/>
      <c r="N822"/>
      <c r="O822"/>
    </row>
    <row r="823" spans="1:15" x14ac:dyDescent="0.2">
      <c r="A823"/>
      <c r="B823"/>
      <c r="C823"/>
      <c r="F823"/>
      <c r="G823"/>
      <c r="I823"/>
      <c r="L823"/>
      <c r="M823"/>
      <c r="N823"/>
      <c r="O823"/>
    </row>
    <row r="824" spans="1:15" x14ac:dyDescent="0.2">
      <c r="A824"/>
      <c r="B824"/>
      <c r="C824"/>
      <c r="F824"/>
      <c r="G824"/>
      <c r="H824"/>
      <c r="I824"/>
      <c r="L824"/>
      <c r="N824"/>
      <c r="O824"/>
    </row>
    <row r="825" spans="1:15" x14ac:dyDescent="0.2">
      <c r="A825"/>
      <c r="B825"/>
      <c r="C825"/>
      <c r="F825"/>
      <c r="G825"/>
      <c r="I825"/>
      <c r="L825"/>
      <c r="M825"/>
      <c r="N825"/>
      <c r="O825"/>
    </row>
    <row r="826" spans="1:15" x14ac:dyDescent="0.2">
      <c r="A826"/>
      <c r="B826"/>
      <c r="C826"/>
      <c r="F826"/>
      <c r="G826"/>
      <c r="H826"/>
      <c r="L826"/>
      <c r="M826"/>
      <c r="N826"/>
      <c r="O826"/>
    </row>
    <row r="827" spans="1:15" x14ac:dyDescent="0.2">
      <c r="A827"/>
      <c r="B827"/>
      <c r="C827"/>
      <c r="F827"/>
      <c r="G827"/>
      <c r="H827"/>
      <c r="I827"/>
      <c r="L827"/>
      <c r="M827"/>
      <c r="N827"/>
      <c r="O827"/>
    </row>
    <row r="828" spans="1:15" x14ac:dyDescent="0.2">
      <c r="A828"/>
      <c r="B828"/>
      <c r="C828"/>
      <c r="F828"/>
      <c r="G828"/>
      <c r="H828"/>
      <c r="I828"/>
      <c r="L828"/>
      <c r="M828"/>
      <c r="N828"/>
      <c r="O828"/>
    </row>
    <row r="829" spans="1:15" x14ac:dyDescent="0.2">
      <c r="A829"/>
      <c r="B829"/>
      <c r="C829"/>
      <c r="F829"/>
      <c r="G829"/>
      <c r="H829"/>
      <c r="I829"/>
      <c r="L829"/>
      <c r="M829"/>
      <c r="N829"/>
      <c r="O829"/>
    </row>
    <row r="830" spans="1:15" x14ac:dyDescent="0.2">
      <c r="A830"/>
      <c r="B830"/>
      <c r="C830"/>
      <c r="F830"/>
      <c r="G830"/>
      <c r="M830"/>
      <c r="N830"/>
      <c r="O830"/>
    </row>
    <row r="831" spans="1:15" x14ac:dyDescent="0.2">
      <c r="A831"/>
      <c r="B831"/>
      <c r="C831"/>
      <c r="F831"/>
      <c r="G831"/>
      <c r="H831"/>
      <c r="M831"/>
      <c r="N831"/>
      <c r="O831"/>
    </row>
    <row r="832" spans="1:15" x14ac:dyDescent="0.2">
      <c r="A832"/>
      <c r="B832"/>
      <c r="C832"/>
      <c r="F832"/>
      <c r="G832"/>
      <c r="I832"/>
      <c r="L832"/>
      <c r="M832"/>
      <c r="N832"/>
      <c r="O832"/>
    </row>
    <row r="833" spans="1:15" x14ac:dyDescent="0.2">
      <c r="A833"/>
      <c r="B833"/>
      <c r="C833"/>
      <c r="F833"/>
      <c r="G833"/>
      <c r="M833"/>
      <c r="N833"/>
      <c r="O833"/>
    </row>
    <row r="834" spans="1:15" x14ac:dyDescent="0.2">
      <c r="A834"/>
      <c r="B834"/>
      <c r="C834"/>
      <c r="F834"/>
      <c r="G834"/>
      <c r="H834"/>
      <c r="I834"/>
      <c r="L834"/>
      <c r="M834"/>
      <c r="N834"/>
      <c r="O834"/>
    </row>
    <row r="835" spans="1:15" x14ac:dyDescent="0.2">
      <c r="A835"/>
      <c r="B835"/>
      <c r="C835"/>
      <c r="F835"/>
      <c r="G835"/>
      <c r="H835"/>
      <c r="I835"/>
      <c r="L835"/>
      <c r="M835"/>
      <c r="N835"/>
      <c r="O835"/>
    </row>
    <row r="836" spans="1:15" x14ac:dyDescent="0.2">
      <c r="A836"/>
      <c r="B836"/>
      <c r="C836"/>
      <c r="F836"/>
      <c r="G836"/>
      <c r="M836"/>
      <c r="N836"/>
      <c r="O836"/>
    </row>
    <row r="837" spans="1:15" x14ac:dyDescent="0.2">
      <c r="A837"/>
      <c r="B837"/>
      <c r="C837"/>
      <c r="F837"/>
      <c r="G837"/>
      <c r="L837"/>
      <c r="M837"/>
      <c r="N837"/>
      <c r="O837"/>
    </row>
    <row r="838" spans="1:15" x14ac:dyDescent="0.2">
      <c r="A838"/>
      <c r="B838"/>
      <c r="C838"/>
      <c r="F838"/>
      <c r="G838"/>
      <c r="H838"/>
      <c r="I838"/>
      <c r="L838"/>
      <c r="M838"/>
      <c r="N838"/>
      <c r="O838"/>
    </row>
    <row r="839" spans="1:15" x14ac:dyDescent="0.2">
      <c r="A839"/>
      <c r="B839"/>
      <c r="C839"/>
      <c r="F839"/>
      <c r="G839"/>
      <c r="L839"/>
      <c r="M839"/>
      <c r="N839"/>
      <c r="O839"/>
    </row>
    <row r="840" spans="1:15" x14ac:dyDescent="0.2">
      <c r="A840"/>
      <c r="B840"/>
      <c r="C840"/>
      <c r="F840"/>
      <c r="G840"/>
      <c r="L840"/>
      <c r="M840"/>
      <c r="N840"/>
      <c r="O840"/>
    </row>
    <row r="841" spans="1:15" x14ac:dyDescent="0.2">
      <c r="A841"/>
      <c r="B841"/>
      <c r="C841"/>
      <c r="F841"/>
      <c r="G841"/>
      <c r="H841"/>
      <c r="I841"/>
      <c r="J841"/>
      <c r="K841"/>
      <c r="L841"/>
      <c r="M841"/>
      <c r="N841"/>
      <c r="O841"/>
    </row>
    <row r="842" spans="1:15" x14ac:dyDescent="0.2">
      <c r="A842"/>
      <c r="B842"/>
      <c r="C842"/>
      <c r="F842"/>
      <c r="G842"/>
      <c r="I842"/>
      <c r="L842"/>
      <c r="M842"/>
      <c r="N842"/>
      <c r="O842"/>
    </row>
    <row r="843" spans="1:15" x14ac:dyDescent="0.2">
      <c r="A843"/>
      <c r="B843"/>
      <c r="C843"/>
      <c r="F843"/>
      <c r="G843"/>
      <c r="H843"/>
      <c r="I843"/>
      <c r="L843"/>
      <c r="M843"/>
      <c r="N843"/>
      <c r="O843"/>
    </row>
    <row r="844" spans="1:15" x14ac:dyDescent="0.2">
      <c r="A844"/>
      <c r="B844"/>
      <c r="C844"/>
      <c r="F844"/>
      <c r="G844"/>
      <c r="I844"/>
      <c r="L844"/>
      <c r="M844"/>
      <c r="N844"/>
      <c r="O844"/>
    </row>
    <row r="845" spans="1:15" x14ac:dyDescent="0.2">
      <c r="A845"/>
      <c r="B845"/>
      <c r="C845"/>
      <c r="F845"/>
      <c r="G845"/>
      <c r="H845"/>
      <c r="I845"/>
      <c r="L845"/>
      <c r="M845"/>
      <c r="N845"/>
      <c r="O845"/>
    </row>
    <row r="846" spans="1:15" x14ac:dyDescent="0.2">
      <c r="A846"/>
      <c r="B846"/>
      <c r="C846"/>
      <c r="F846"/>
      <c r="G846"/>
      <c r="L846"/>
      <c r="M846"/>
      <c r="N846"/>
      <c r="O846"/>
    </row>
    <row r="847" spans="1:15" x14ac:dyDescent="0.2">
      <c r="A847"/>
      <c r="B847"/>
      <c r="C847"/>
      <c r="F847"/>
      <c r="G847"/>
      <c r="J847"/>
      <c r="K847"/>
      <c r="L847"/>
      <c r="M847"/>
      <c r="N847"/>
      <c r="O847"/>
    </row>
    <row r="848" spans="1:15" x14ac:dyDescent="0.2">
      <c r="A848"/>
      <c r="B848"/>
      <c r="C848"/>
      <c r="F848"/>
      <c r="G848"/>
      <c r="I848"/>
      <c r="L848"/>
      <c r="M848"/>
      <c r="N848"/>
      <c r="O848"/>
    </row>
    <row r="849" spans="1:15" x14ac:dyDescent="0.2">
      <c r="A849"/>
      <c r="B849"/>
      <c r="C849"/>
      <c r="F849"/>
      <c r="G849"/>
      <c r="H849"/>
      <c r="I849"/>
      <c r="L849"/>
      <c r="N849"/>
      <c r="O849"/>
    </row>
    <row r="850" spans="1:15" x14ac:dyDescent="0.2">
      <c r="A850"/>
      <c r="B850"/>
      <c r="C850"/>
      <c r="F850"/>
      <c r="G850"/>
      <c r="H850"/>
      <c r="I850"/>
      <c r="L850"/>
      <c r="M850"/>
      <c r="N850"/>
      <c r="O850"/>
    </row>
    <row r="851" spans="1:15" x14ac:dyDescent="0.2">
      <c r="A851"/>
      <c r="B851"/>
      <c r="C851"/>
      <c r="F851"/>
      <c r="G851"/>
      <c r="J851"/>
      <c r="K851"/>
      <c r="L851"/>
      <c r="M851"/>
      <c r="N851"/>
      <c r="O851"/>
    </row>
    <row r="852" spans="1:15" x14ac:dyDescent="0.2">
      <c r="A852"/>
      <c r="B852"/>
      <c r="C852"/>
      <c r="F852"/>
      <c r="G852"/>
      <c r="H852"/>
      <c r="I852"/>
      <c r="L852"/>
      <c r="M852"/>
      <c r="N852"/>
      <c r="O852"/>
    </row>
    <row r="853" spans="1:15" x14ac:dyDescent="0.2">
      <c r="A853"/>
      <c r="B853"/>
      <c r="C853"/>
      <c r="F853"/>
      <c r="G853"/>
      <c r="H853"/>
      <c r="I853"/>
      <c r="L853"/>
      <c r="M853"/>
      <c r="N853"/>
      <c r="O853"/>
    </row>
    <row r="854" spans="1:15" x14ac:dyDescent="0.2">
      <c r="A854"/>
      <c r="B854"/>
      <c r="C854"/>
      <c r="F854"/>
      <c r="G854"/>
      <c r="L854"/>
      <c r="M854"/>
      <c r="N854"/>
      <c r="O854"/>
    </row>
    <row r="855" spans="1:15" x14ac:dyDescent="0.2">
      <c r="A855"/>
      <c r="B855"/>
      <c r="C855"/>
      <c r="F855"/>
      <c r="G855"/>
      <c r="L855"/>
      <c r="M855"/>
      <c r="N855"/>
      <c r="O855"/>
    </row>
    <row r="856" spans="1:15" x14ac:dyDescent="0.2">
      <c r="A856"/>
      <c r="B856"/>
      <c r="C856"/>
      <c r="F856"/>
      <c r="G856"/>
      <c r="H856"/>
      <c r="J856"/>
      <c r="K856"/>
      <c r="L856"/>
      <c r="M856"/>
      <c r="N856"/>
      <c r="O856"/>
    </row>
    <row r="857" spans="1:15" x14ac:dyDescent="0.2">
      <c r="A857"/>
      <c r="B857"/>
      <c r="C857"/>
      <c r="F857"/>
      <c r="G857"/>
      <c r="J857"/>
      <c r="K857"/>
      <c r="L857"/>
      <c r="M857"/>
      <c r="N857"/>
      <c r="O857"/>
    </row>
    <row r="858" spans="1:15" x14ac:dyDescent="0.2">
      <c r="A858"/>
      <c r="B858"/>
      <c r="C858"/>
      <c r="F858"/>
      <c r="G858"/>
      <c r="H858"/>
      <c r="J858"/>
      <c r="K858"/>
      <c r="L858"/>
      <c r="M858"/>
      <c r="N858"/>
      <c r="O858"/>
    </row>
    <row r="859" spans="1:15" x14ac:dyDescent="0.2">
      <c r="A859"/>
      <c r="B859"/>
      <c r="C859"/>
      <c r="F859"/>
      <c r="G859"/>
      <c r="J859"/>
      <c r="K859"/>
      <c r="L859"/>
      <c r="M859"/>
      <c r="N859"/>
      <c r="O859"/>
    </row>
    <row r="860" spans="1:15" x14ac:dyDescent="0.2">
      <c r="A860"/>
      <c r="B860"/>
      <c r="C860"/>
      <c r="F860"/>
      <c r="G860"/>
      <c r="H860"/>
      <c r="J860"/>
      <c r="K860"/>
      <c r="L860"/>
      <c r="M860"/>
      <c r="N860"/>
      <c r="O860"/>
    </row>
    <row r="861" spans="1:15" x14ac:dyDescent="0.2">
      <c r="A861"/>
      <c r="B861"/>
      <c r="C861"/>
      <c r="F861"/>
      <c r="G861"/>
      <c r="H861"/>
      <c r="I861"/>
      <c r="L861"/>
      <c r="N861"/>
      <c r="O861"/>
    </row>
    <row r="862" spans="1:15" x14ac:dyDescent="0.2">
      <c r="A862"/>
      <c r="B862"/>
      <c r="C862"/>
      <c r="F862"/>
      <c r="G862"/>
      <c r="I862"/>
      <c r="L862"/>
      <c r="M862"/>
      <c r="N862"/>
      <c r="O862"/>
    </row>
    <row r="863" spans="1:15" x14ac:dyDescent="0.2">
      <c r="A863"/>
      <c r="B863"/>
      <c r="C863"/>
      <c r="F863"/>
      <c r="G863"/>
      <c r="L863"/>
      <c r="M863"/>
      <c r="N863"/>
      <c r="O863"/>
    </row>
    <row r="864" spans="1:15" x14ac:dyDescent="0.2">
      <c r="A864"/>
      <c r="B864"/>
      <c r="C864"/>
      <c r="F864"/>
      <c r="G864"/>
      <c r="H864"/>
      <c r="J864"/>
      <c r="K864"/>
      <c r="L864"/>
      <c r="M864"/>
      <c r="N864"/>
      <c r="O864"/>
    </row>
    <row r="865" spans="1:15" x14ac:dyDescent="0.2">
      <c r="A865"/>
      <c r="B865"/>
      <c r="C865"/>
      <c r="F865"/>
      <c r="G865"/>
      <c r="H865"/>
      <c r="I865"/>
      <c r="L865"/>
      <c r="M865"/>
      <c r="N865"/>
      <c r="O865"/>
    </row>
    <row r="866" spans="1:15" x14ac:dyDescent="0.2">
      <c r="A866"/>
      <c r="B866"/>
      <c r="C866"/>
      <c r="F866"/>
      <c r="G866"/>
      <c r="H866"/>
      <c r="I866"/>
      <c r="L866"/>
      <c r="N866"/>
      <c r="O866"/>
    </row>
    <row r="867" spans="1:15" x14ac:dyDescent="0.2">
      <c r="A867"/>
      <c r="B867"/>
      <c r="C867"/>
      <c r="F867"/>
      <c r="G867"/>
      <c r="H867"/>
      <c r="I867"/>
      <c r="L867"/>
      <c r="M867"/>
      <c r="N867"/>
      <c r="O867"/>
    </row>
    <row r="868" spans="1:15" x14ac:dyDescent="0.2">
      <c r="A868"/>
      <c r="B868"/>
      <c r="C868"/>
      <c r="F868"/>
      <c r="G868"/>
      <c r="H868"/>
      <c r="I868"/>
      <c r="L868"/>
      <c r="M868"/>
      <c r="N868"/>
      <c r="O868"/>
    </row>
    <row r="869" spans="1:15" x14ac:dyDescent="0.2">
      <c r="A869"/>
      <c r="B869"/>
      <c r="C869"/>
      <c r="F869"/>
      <c r="G869"/>
      <c r="H869"/>
      <c r="I869"/>
      <c r="L869"/>
      <c r="M869"/>
      <c r="N869"/>
      <c r="O869"/>
    </row>
    <row r="870" spans="1:15" x14ac:dyDescent="0.2">
      <c r="A870"/>
      <c r="B870"/>
      <c r="C870"/>
      <c r="F870"/>
      <c r="G870"/>
      <c r="I870"/>
      <c r="L870"/>
      <c r="M870"/>
      <c r="N870"/>
      <c r="O870"/>
    </row>
    <row r="871" spans="1:15" x14ac:dyDescent="0.2">
      <c r="A871"/>
      <c r="B871"/>
      <c r="C871"/>
      <c r="F871"/>
      <c r="G871"/>
      <c r="L871"/>
      <c r="M871"/>
      <c r="N871"/>
      <c r="O871"/>
    </row>
    <row r="872" spans="1:15" x14ac:dyDescent="0.2">
      <c r="A872"/>
      <c r="B872"/>
      <c r="C872"/>
      <c r="F872"/>
      <c r="G872"/>
      <c r="H872"/>
      <c r="J872"/>
      <c r="K872"/>
      <c r="L872"/>
      <c r="M872"/>
      <c r="N872"/>
      <c r="O872"/>
    </row>
    <row r="873" spans="1:15" x14ac:dyDescent="0.2">
      <c r="A873"/>
      <c r="B873"/>
      <c r="C873"/>
      <c r="F873"/>
      <c r="G873"/>
      <c r="I873"/>
      <c r="L873"/>
      <c r="M873"/>
      <c r="N873"/>
      <c r="O873"/>
    </row>
    <row r="874" spans="1:15" x14ac:dyDescent="0.2">
      <c r="A874"/>
      <c r="B874"/>
      <c r="C874"/>
      <c r="F874"/>
      <c r="G874"/>
      <c r="I874"/>
      <c r="L874"/>
      <c r="M874"/>
      <c r="N874"/>
      <c r="O874"/>
    </row>
    <row r="875" spans="1:15" x14ac:dyDescent="0.2">
      <c r="A875"/>
      <c r="B875"/>
      <c r="C875"/>
      <c r="F875"/>
      <c r="G875"/>
      <c r="M875"/>
      <c r="N875"/>
      <c r="O875"/>
    </row>
    <row r="876" spans="1:15" x14ac:dyDescent="0.2">
      <c r="A876"/>
      <c r="B876"/>
      <c r="C876"/>
      <c r="F876"/>
      <c r="G876"/>
      <c r="I876"/>
      <c r="L876"/>
      <c r="M876"/>
      <c r="N876"/>
      <c r="O876"/>
    </row>
    <row r="877" spans="1:15" x14ac:dyDescent="0.2">
      <c r="A877"/>
      <c r="B877"/>
      <c r="C877"/>
      <c r="F877"/>
      <c r="G877"/>
      <c r="I877"/>
      <c r="L877"/>
      <c r="M877"/>
      <c r="N877"/>
      <c r="O877"/>
    </row>
    <row r="878" spans="1:15" x14ac:dyDescent="0.2">
      <c r="A878"/>
      <c r="B878"/>
      <c r="C878"/>
      <c r="F878"/>
      <c r="G878"/>
      <c r="I878"/>
      <c r="L878"/>
      <c r="M878"/>
      <c r="N878"/>
      <c r="O878"/>
    </row>
    <row r="879" spans="1:15" x14ac:dyDescent="0.2">
      <c r="A879"/>
      <c r="B879"/>
      <c r="C879"/>
      <c r="F879"/>
      <c r="G879"/>
      <c r="I879"/>
      <c r="L879"/>
      <c r="M879"/>
      <c r="N879"/>
      <c r="O879"/>
    </row>
    <row r="880" spans="1:15" x14ac:dyDescent="0.2">
      <c r="A880"/>
      <c r="B880"/>
      <c r="C880"/>
      <c r="F880"/>
      <c r="G880"/>
      <c r="H880"/>
      <c r="I880"/>
      <c r="L880"/>
      <c r="M880"/>
      <c r="N880"/>
      <c r="O880"/>
    </row>
    <row r="881" spans="1:15" x14ac:dyDescent="0.2">
      <c r="A881"/>
      <c r="B881"/>
      <c r="C881"/>
      <c r="F881"/>
      <c r="G881"/>
      <c r="H881"/>
      <c r="I881"/>
      <c r="L881"/>
      <c r="M881"/>
      <c r="N881"/>
      <c r="O881"/>
    </row>
    <row r="882" spans="1:15" x14ac:dyDescent="0.2">
      <c r="A882"/>
      <c r="B882"/>
      <c r="C882"/>
      <c r="F882"/>
      <c r="G882"/>
      <c r="H882"/>
      <c r="I882"/>
      <c r="L882"/>
      <c r="M882"/>
      <c r="N882"/>
      <c r="O882"/>
    </row>
    <row r="883" spans="1:15" x14ac:dyDescent="0.2">
      <c r="A883"/>
      <c r="B883"/>
      <c r="C883"/>
      <c r="F883"/>
      <c r="G883"/>
      <c r="L883"/>
      <c r="M883"/>
      <c r="N883"/>
      <c r="O883"/>
    </row>
    <row r="884" spans="1:15" x14ac:dyDescent="0.2">
      <c r="A884"/>
      <c r="B884"/>
      <c r="C884"/>
      <c r="F884"/>
      <c r="G884"/>
      <c r="H884"/>
      <c r="I884"/>
      <c r="L884"/>
      <c r="M884"/>
      <c r="N884"/>
      <c r="O884"/>
    </row>
    <row r="885" spans="1:15" x14ac:dyDescent="0.2">
      <c r="A885"/>
      <c r="B885"/>
      <c r="C885"/>
      <c r="F885"/>
      <c r="G885"/>
      <c r="H885"/>
      <c r="I885"/>
      <c r="L885"/>
      <c r="M885"/>
      <c r="N885"/>
      <c r="O885"/>
    </row>
    <row r="886" spans="1:15" x14ac:dyDescent="0.2">
      <c r="A886"/>
      <c r="B886"/>
      <c r="C886"/>
      <c r="F886"/>
      <c r="G886"/>
      <c r="L886"/>
      <c r="M886"/>
      <c r="N886"/>
      <c r="O886"/>
    </row>
    <row r="887" spans="1:15" x14ac:dyDescent="0.2">
      <c r="A887"/>
      <c r="B887"/>
      <c r="C887"/>
      <c r="F887"/>
      <c r="G887"/>
      <c r="H887"/>
      <c r="I887"/>
      <c r="L887"/>
      <c r="M887"/>
      <c r="N887"/>
      <c r="O887"/>
    </row>
    <row r="888" spans="1:15" x14ac:dyDescent="0.2">
      <c r="A888"/>
      <c r="B888"/>
      <c r="C888"/>
      <c r="F888"/>
      <c r="G888"/>
      <c r="H888"/>
      <c r="I888"/>
      <c r="L888"/>
      <c r="M888"/>
      <c r="N888"/>
      <c r="O888"/>
    </row>
    <row r="889" spans="1:15" x14ac:dyDescent="0.2">
      <c r="A889"/>
      <c r="B889"/>
      <c r="C889"/>
      <c r="F889"/>
      <c r="G889"/>
      <c r="M889"/>
      <c r="N889"/>
      <c r="O889"/>
    </row>
    <row r="890" spans="1:15" x14ac:dyDescent="0.2">
      <c r="A890"/>
      <c r="B890"/>
      <c r="C890"/>
      <c r="F890"/>
      <c r="G890"/>
      <c r="H890"/>
      <c r="I890"/>
      <c r="L890"/>
      <c r="M890"/>
      <c r="N890"/>
      <c r="O890"/>
    </row>
    <row r="891" spans="1:15" x14ac:dyDescent="0.2">
      <c r="A891"/>
      <c r="B891"/>
      <c r="C891"/>
      <c r="F891"/>
      <c r="G891"/>
      <c r="H891"/>
      <c r="I891"/>
      <c r="L891"/>
      <c r="M891"/>
      <c r="N891"/>
      <c r="O891"/>
    </row>
    <row r="892" spans="1:15" x14ac:dyDescent="0.2">
      <c r="A892"/>
      <c r="B892"/>
      <c r="C892"/>
      <c r="F892"/>
      <c r="G892"/>
      <c r="L892"/>
      <c r="M892"/>
      <c r="N892"/>
      <c r="O892"/>
    </row>
    <row r="893" spans="1:15" x14ac:dyDescent="0.2">
      <c r="A893"/>
      <c r="B893"/>
      <c r="C893"/>
      <c r="F893"/>
      <c r="G893"/>
      <c r="I893"/>
      <c r="J893"/>
      <c r="K893"/>
      <c r="L893"/>
      <c r="M893"/>
      <c r="N893"/>
      <c r="O893"/>
    </row>
    <row r="894" spans="1:15" x14ac:dyDescent="0.2">
      <c r="A894"/>
      <c r="B894"/>
      <c r="C894"/>
      <c r="F894"/>
      <c r="G894"/>
      <c r="I894"/>
      <c r="L894"/>
      <c r="M894"/>
      <c r="N894"/>
      <c r="O894"/>
    </row>
    <row r="895" spans="1:15" x14ac:dyDescent="0.2">
      <c r="A895"/>
      <c r="B895"/>
      <c r="C895"/>
      <c r="F895"/>
      <c r="G895"/>
      <c r="I895"/>
      <c r="L895"/>
      <c r="M895"/>
      <c r="N895"/>
      <c r="O895"/>
    </row>
    <row r="896" spans="1:15" x14ac:dyDescent="0.2">
      <c r="A896"/>
      <c r="B896"/>
      <c r="C896"/>
      <c r="F896"/>
      <c r="G896"/>
      <c r="I896"/>
      <c r="L896"/>
      <c r="M896"/>
      <c r="N896"/>
      <c r="O896"/>
    </row>
    <row r="897" spans="1:15" x14ac:dyDescent="0.2">
      <c r="A897"/>
      <c r="B897"/>
      <c r="C897"/>
      <c r="F897"/>
      <c r="G897"/>
      <c r="H897"/>
      <c r="I897"/>
      <c r="L897"/>
      <c r="M897"/>
      <c r="N897"/>
      <c r="O897"/>
    </row>
    <row r="898" spans="1:15" x14ac:dyDescent="0.2">
      <c r="A898"/>
      <c r="B898"/>
      <c r="C898"/>
      <c r="F898"/>
      <c r="G898"/>
      <c r="H898"/>
      <c r="I898"/>
      <c r="L898"/>
      <c r="M898"/>
      <c r="N898"/>
      <c r="O898"/>
    </row>
    <row r="899" spans="1:15" x14ac:dyDescent="0.2">
      <c r="A899"/>
      <c r="B899"/>
      <c r="C899"/>
      <c r="F899"/>
      <c r="G899"/>
      <c r="H899"/>
      <c r="I899"/>
      <c r="L899"/>
      <c r="M899"/>
      <c r="N899"/>
      <c r="O899"/>
    </row>
    <row r="900" spans="1:15" x14ac:dyDescent="0.2">
      <c r="A900"/>
      <c r="B900"/>
      <c r="C900"/>
      <c r="F900"/>
      <c r="G900"/>
      <c r="H900"/>
      <c r="I900"/>
      <c r="L900"/>
      <c r="M900"/>
      <c r="N900"/>
      <c r="O900"/>
    </row>
    <row r="901" spans="1:15" x14ac:dyDescent="0.2">
      <c r="A901"/>
      <c r="B901"/>
      <c r="C901"/>
      <c r="F901"/>
      <c r="G901"/>
      <c r="I901"/>
      <c r="L901"/>
      <c r="M901"/>
      <c r="N901"/>
      <c r="O901"/>
    </row>
    <row r="902" spans="1:15" x14ac:dyDescent="0.2">
      <c r="A902"/>
      <c r="B902"/>
      <c r="C902"/>
      <c r="F902"/>
      <c r="G902"/>
      <c r="I902"/>
      <c r="L902"/>
      <c r="M902"/>
      <c r="N902"/>
      <c r="O902"/>
    </row>
    <row r="903" spans="1:15" x14ac:dyDescent="0.2">
      <c r="A903"/>
      <c r="B903"/>
      <c r="C903"/>
      <c r="F903"/>
      <c r="G903"/>
      <c r="H903"/>
      <c r="I903"/>
      <c r="L903"/>
      <c r="M903"/>
      <c r="N903"/>
      <c r="O903"/>
    </row>
    <row r="904" spans="1:15" x14ac:dyDescent="0.2">
      <c r="A904"/>
      <c r="B904"/>
      <c r="C904"/>
      <c r="F904"/>
      <c r="G904"/>
      <c r="H904"/>
      <c r="I904"/>
      <c r="L904"/>
      <c r="M904"/>
      <c r="N904"/>
      <c r="O904"/>
    </row>
    <row r="905" spans="1:15" x14ac:dyDescent="0.2">
      <c r="A905"/>
      <c r="B905"/>
      <c r="C905"/>
      <c r="F905"/>
      <c r="G905"/>
      <c r="I905"/>
      <c r="L905"/>
      <c r="M905"/>
      <c r="N905"/>
      <c r="O905"/>
    </row>
    <row r="906" spans="1:15" x14ac:dyDescent="0.2">
      <c r="A906"/>
      <c r="B906"/>
      <c r="C906"/>
      <c r="F906"/>
      <c r="G906"/>
      <c r="J906"/>
      <c r="K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I909"/>
      <c r="L909"/>
      <c r="M909"/>
      <c r="N909"/>
      <c r="O909"/>
    </row>
    <row r="910" spans="1:15" x14ac:dyDescent="0.2">
      <c r="A910"/>
      <c r="B910"/>
      <c r="C910"/>
      <c r="F910"/>
      <c r="G910"/>
      <c r="H910"/>
      <c r="I910"/>
      <c r="L910"/>
      <c r="M910"/>
      <c r="N910"/>
      <c r="O910"/>
    </row>
    <row r="911" spans="1:15" x14ac:dyDescent="0.2">
      <c r="A911"/>
      <c r="B911"/>
      <c r="C911"/>
      <c r="F911"/>
      <c r="G911"/>
      <c r="I911"/>
      <c r="L911"/>
      <c r="M911"/>
      <c r="N911"/>
      <c r="O911"/>
    </row>
    <row r="912" spans="1:15" x14ac:dyDescent="0.2">
      <c r="A912"/>
      <c r="B912"/>
      <c r="C912"/>
      <c r="F912"/>
      <c r="G912"/>
      <c r="H912"/>
      <c r="I912"/>
      <c r="L912"/>
      <c r="M912"/>
      <c r="N912"/>
      <c r="O912"/>
    </row>
    <row r="913" spans="1:15" x14ac:dyDescent="0.2">
      <c r="A913"/>
      <c r="B913"/>
      <c r="C913"/>
      <c r="F913"/>
      <c r="G913"/>
      <c r="H913"/>
      <c r="I913"/>
      <c r="L913"/>
      <c r="M913"/>
      <c r="N913"/>
      <c r="O913"/>
    </row>
    <row r="914" spans="1:15" x14ac:dyDescent="0.2">
      <c r="A914"/>
      <c r="B914"/>
      <c r="C914"/>
      <c r="F914"/>
      <c r="G914"/>
      <c r="H914"/>
      <c r="J914"/>
      <c r="K914"/>
      <c r="L914"/>
      <c r="M914"/>
      <c r="N914"/>
      <c r="O914"/>
    </row>
    <row r="915" spans="1:15" x14ac:dyDescent="0.2">
      <c r="A915"/>
      <c r="B915"/>
      <c r="C915"/>
      <c r="F915"/>
      <c r="G915"/>
      <c r="H915"/>
      <c r="J915"/>
      <c r="K915"/>
      <c r="L915"/>
      <c r="M915"/>
      <c r="N915"/>
      <c r="O915"/>
    </row>
    <row r="916" spans="1:15" x14ac:dyDescent="0.2">
      <c r="A916"/>
      <c r="B916"/>
      <c r="C916"/>
      <c r="F916"/>
      <c r="G916"/>
      <c r="L916"/>
      <c r="M916"/>
      <c r="N916"/>
      <c r="O916"/>
    </row>
    <row r="917" spans="1:15" x14ac:dyDescent="0.2">
      <c r="A917"/>
      <c r="B917"/>
      <c r="C917"/>
      <c r="F917"/>
      <c r="G917"/>
      <c r="H917"/>
      <c r="J917"/>
      <c r="K917"/>
      <c r="L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H922"/>
      <c r="J922"/>
      <c r="K922"/>
      <c r="L922"/>
      <c r="M922"/>
      <c r="N922"/>
      <c r="O922"/>
    </row>
    <row r="923" spans="1:15" x14ac:dyDescent="0.2">
      <c r="A923"/>
      <c r="B923"/>
      <c r="C923"/>
      <c r="F923"/>
      <c r="G923"/>
      <c r="H923"/>
      <c r="I923"/>
      <c r="L923"/>
      <c r="N923"/>
      <c r="O923"/>
    </row>
    <row r="924" spans="1:15" x14ac:dyDescent="0.2">
      <c r="A924"/>
      <c r="B924"/>
      <c r="C924"/>
      <c r="F924"/>
      <c r="G924"/>
      <c r="H924"/>
      <c r="I924"/>
      <c r="L924"/>
      <c r="M924"/>
      <c r="N924"/>
      <c r="O924"/>
    </row>
    <row r="925" spans="1:15" x14ac:dyDescent="0.2">
      <c r="A925"/>
      <c r="B925"/>
      <c r="C925"/>
      <c r="F925"/>
      <c r="G925"/>
      <c r="H925"/>
      <c r="I925"/>
      <c r="L925"/>
      <c r="M925"/>
      <c r="N925"/>
      <c r="O925"/>
    </row>
    <row r="926" spans="1:15" x14ac:dyDescent="0.2">
      <c r="A926"/>
      <c r="B926"/>
      <c r="C926"/>
      <c r="F926"/>
      <c r="G926"/>
      <c r="L926"/>
      <c r="M926"/>
      <c r="N926"/>
      <c r="O926"/>
    </row>
    <row r="927" spans="1:15" x14ac:dyDescent="0.2">
      <c r="A927"/>
      <c r="B927"/>
      <c r="C927"/>
      <c r="F927"/>
      <c r="G927"/>
      <c r="I927"/>
      <c r="L927"/>
      <c r="M927"/>
      <c r="N927"/>
      <c r="O927"/>
    </row>
    <row r="928" spans="1:15" x14ac:dyDescent="0.2">
      <c r="A928"/>
      <c r="B928"/>
      <c r="C928"/>
      <c r="F928"/>
      <c r="G928"/>
      <c r="H928"/>
      <c r="I928"/>
      <c r="L928"/>
      <c r="M928"/>
      <c r="N928"/>
      <c r="O928"/>
    </row>
    <row r="929" spans="1:15" x14ac:dyDescent="0.2">
      <c r="A929"/>
      <c r="B929"/>
      <c r="C929"/>
      <c r="F929"/>
      <c r="G929"/>
      <c r="L929"/>
      <c r="M929"/>
      <c r="N929"/>
      <c r="O929"/>
    </row>
    <row r="930" spans="1:15" x14ac:dyDescent="0.2">
      <c r="A930"/>
      <c r="B930"/>
      <c r="C930"/>
      <c r="F930"/>
      <c r="G930"/>
      <c r="I930"/>
      <c r="L930"/>
      <c r="M930"/>
      <c r="N930"/>
      <c r="O930"/>
    </row>
    <row r="931" spans="1:15" x14ac:dyDescent="0.2">
      <c r="A931"/>
      <c r="B931"/>
      <c r="C931"/>
      <c r="F931"/>
      <c r="G931"/>
      <c r="I931"/>
      <c r="L931"/>
      <c r="M931"/>
      <c r="N931"/>
      <c r="O931"/>
    </row>
    <row r="932" spans="1:15" x14ac:dyDescent="0.2">
      <c r="A932"/>
      <c r="B932"/>
      <c r="C932"/>
      <c r="F932"/>
      <c r="G932"/>
      <c r="H932"/>
      <c r="I932"/>
      <c r="L932"/>
      <c r="M932"/>
      <c r="N932"/>
      <c r="O932"/>
    </row>
    <row r="933" spans="1:15" x14ac:dyDescent="0.2">
      <c r="A933"/>
      <c r="B933"/>
      <c r="C933"/>
      <c r="F933"/>
      <c r="G933"/>
      <c r="H933"/>
      <c r="I933"/>
      <c r="L933"/>
      <c r="M933"/>
      <c r="N933"/>
      <c r="O933"/>
    </row>
    <row r="934" spans="1:15" x14ac:dyDescent="0.2">
      <c r="A934"/>
      <c r="B934"/>
      <c r="C934"/>
      <c r="F934"/>
      <c r="G934"/>
      <c r="H934"/>
      <c r="I934"/>
      <c r="L934"/>
      <c r="M934"/>
      <c r="N934"/>
      <c r="O934"/>
    </row>
    <row r="935" spans="1:15" x14ac:dyDescent="0.2">
      <c r="A935"/>
      <c r="B935"/>
      <c r="C935"/>
      <c r="F935"/>
      <c r="G935"/>
      <c r="H935"/>
      <c r="I935"/>
      <c r="L935"/>
      <c r="M935"/>
      <c r="N935"/>
      <c r="O935"/>
    </row>
    <row r="936" spans="1:15" x14ac:dyDescent="0.2">
      <c r="A936"/>
      <c r="B936"/>
      <c r="C936"/>
      <c r="F936"/>
      <c r="G936"/>
      <c r="I936"/>
      <c r="L936"/>
      <c r="M936"/>
      <c r="N936"/>
      <c r="O936"/>
    </row>
    <row r="937" spans="1:15" x14ac:dyDescent="0.2">
      <c r="A937"/>
      <c r="B937"/>
      <c r="C937"/>
      <c r="F937"/>
      <c r="G937"/>
      <c r="H937"/>
      <c r="I937"/>
      <c r="L937"/>
      <c r="M937"/>
      <c r="N937"/>
      <c r="O937"/>
    </row>
    <row r="938" spans="1:15" x14ac:dyDescent="0.2">
      <c r="A938"/>
      <c r="B938"/>
      <c r="C938"/>
      <c r="F938"/>
      <c r="G938"/>
      <c r="H938"/>
      <c r="I938"/>
      <c r="L938"/>
      <c r="M938"/>
      <c r="N938"/>
      <c r="O938"/>
    </row>
    <row r="939" spans="1:15" x14ac:dyDescent="0.2">
      <c r="A939"/>
      <c r="B939"/>
      <c r="C939"/>
      <c r="F939"/>
      <c r="G939"/>
      <c r="H939"/>
      <c r="I939"/>
      <c r="L939"/>
      <c r="M939"/>
      <c r="N939"/>
      <c r="O939"/>
    </row>
    <row r="940" spans="1:15" x14ac:dyDescent="0.2">
      <c r="A940"/>
      <c r="B940"/>
      <c r="C940"/>
      <c r="F940"/>
      <c r="G940"/>
      <c r="I940"/>
      <c r="L940"/>
      <c r="M940"/>
      <c r="N940"/>
      <c r="O940"/>
    </row>
    <row r="941" spans="1:15" x14ac:dyDescent="0.2">
      <c r="A941"/>
      <c r="B941"/>
      <c r="C941"/>
      <c r="F941"/>
      <c r="G941"/>
      <c r="H941"/>
      <c r="I941"/>
      <c r="L941"/>
      <c r="M941"/>
      <c r="N941"/>
      <c r="O941"/>
    </row>
    <row r="942" spans="1:15" x14ac:dyDescent="0.2">
      <c r="A942"/>
      <c r="B942"/>
      <c r="C942"/>
      <c r="F942"/>
      <c r="G942"/>
      <c r="H942"/>
      <c r="I942"/>
      <c r="L942"/>
      <c r="M942"/>
      <c r="N942"/>
      <c r="O942"/>
    </row>
    <row r="943" spans="1:15" x14ac:dyDescent="0.2">
      <c r="A943"/>
      <c r="B943"/>
      <c r="C943"/>
      <c r="F943"/>
      <c r="G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H946"/>
      <c r="I946"/>
      <c r="J946"/>
      <c r="K946"/>
      <c r="L946"/>
      <c r="M946"/>
      <c r="N946"/>
      <c r="O946"/>
    </row>
    <row r="947" spans="1:15" x14ac:dyDescent="0.2">
      <c r="A947"/>
      <c r="B947"/>
      <c r="C947"/>
      <c r="F947"/>
      <c r="G947"/>
      <c r="H947"/>
      <c r="I947"/>
      <c r="L947"/>
      <c r="M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I950"/>
      <c r="L950"/>
      <c r="M950"/>
      <c r="N950"/>
      <c r="O950"/>
    </row>
    <row r="951" spans="1:15" x14ac:dyDescent="0.2">
      <c r="A951"/>
      <c r="B951"/>
      <c r="C951"/>
      <c r="F951"/>
      <c r="G951"/>
      <c r="H951"/>
      <c r="I951"/>
      <c r="L951"/>
      <c r="M951"/>
      <c r="N951"/>
      <c r="O951"/>
    </row>
    <row r="952" spans="1:15" x14ac:dyDescent="0.2">
      <c r="A952"/>
      <c r="B952"/>
      <c r="C952"/>
      <c r="F952"/>
      <c r="G952"/>
      <c r="H952"/>
      <c r="J952"/>
      <c r="K952"/>
      <c r="L952"/>
      <c r="M952"/>
      <c r="N952"/>
      <c r="O952"/>
    </row>
    <row r="953" spans="1:15" x14ac:dyDescent="0.2">
      <c r="A953"/>
      <c r="B953"/>
      <c r="C953"/>
      <c r="F953"/>
      <c r="G953"/>
      <c r="L953"/>
      <c r="M953"/>
      <c r="N953"/>
      <c r="O953"/>
    </row>
    <row r="954" spans="1:15" x14ac:dyDescent="0.2">
      <c r="A954"/>
      <c r="B954"/>
      <c r="C954"/>
      <c r="F954"/>
      <c r="G954"/>
      <c r="H954"/>
      <c r="I954"/>
      <c r="L954"/>
      <c r="M954"/>
      <c r="N954"/>
      <c r="O954"/>
    </row>
    <row r="955" spans="1:15" x14ac:dyDescent="0.2">
      <c r="A955"/>
      <c r="B955"/>
      <c r="C955"/>
      <c r="F955"/>
      <c r="G955"/>
      <c r="I955"/>
      <c r="L955"/>
      <c r="M955"/>
      <c r="N955"/>
      <c r="O955"/>
    </row>
    <row r="956" spans="1:15" x14ac:dyDescent="0.2">
      <c r="A956"/>
      <c r="B956"/>
      <c r="C956"/>
      <c r="F956"/>
      <c r="G956"/>
      <c r="I956"/>
      <c r="L956"/>
      <c r="M956"/>
      <c r="N956"/>
      <c r="O956"/>
    </row>
    <row r="957" spans="1:15" x14ac:dyDescent="0.2">
      <c r="A957"/>
      <c r="B957"/>
      <c r="C957"/>
      <c r="F957"/>
      <c r="G957"/>
      <c r="I957"/>
      <c r="L957"/>
      <c r="M957"/>
      <c r="N957"/>
      <c r="O957"/>
    </row>
    <row r="958" spans="1:15" x14ac:dyDescent="0.2">
      <c r="A958"/>
      <c r="B958"/>
      <c r="C958"/>
      <c r="F958"/>
      <c r="G958"/>
      <c r="I958"/>
      <c r="L958"/>
      <c r="M958"/>
      <c r="N958"/>
      <c r="O958"/>
    </row>
    <row r="959" spans="1:15" x14ac:dyDescent="0.2">
      <c r="A959"/>
      <c r="B959"/>
      <c r="C959"/>
      <c r="F959"/>
      <c r="G959"/>
      <c r="H959"/>
      <c r="I959"/>
      <c r="L959"/>
      <c r="M959"/>
      <c r="N959"/>
      <c r="O959"/>
    </row>
    <row r="960" spans="1:15" x14ac:dyDescent="0.2">
      <c r="A960"/>
      <c r="B960"/>
      <c r="C960"/>
      <c r="F960"/>
      <c r="G960"/>
      <c r="H960"/>
      <c r="I960"/>
      <c r="L960"/>
      <c r="M960"/>
      <c r="N960"/>
      <c r="O960"/>
    </row>
    <row r="961" spans="1:15" x14ac:dyDescent="0.2">
      <c r="A961"/>
      <c r="B961"/>
      <c r="C961"/>
      <c r="F961"/>
      <c r="G961"/>
      <c r="H961"/>
      <c r="J961"/>
      <c r="K961"/>
      <c r="L961"/>
      <c r="M961"/>
      <c r="N961"/>
      <c r="O961"/>
    </row>
    <row r="962" spans="1:15" x14ac:dyDescent="0.2">
      <c r="A962"/>
      <c r="B962"/>
      <c r="C962"/>
      <c r="F962"/>
      <c r="G962"/>
      <c r="H962"/>
      <c r="J962"/>
      <c r="K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H965"/>
      <c r="I965"/>
      <c r="L965"/>
      <c r="M965"/>
      <c r="N965"/>
      <c r="O965"/>
    </row>
    <row r="966" spans="1:15" x14ac:dyDescent="0.2">
      <c r="A966"/>
      <c r="B966"/>
      <c r="C966"/>
      <c r="F966"/>
      <c r="G966"/>
      <c r="L966"/>
      <c r="M966"/>
      <c r="N966"/>
      <c r="O966"/>
    </row>
    <row r="967" spans="1:15" x14ac:dyDescent="0.2">
      <c r="A967"/>
      <c r="B967"/>
      <c r="C967"/>
      <c r="F967"/>
      <c r="G967"/>
      <c r="L967"/>
      <c r="M967"/>
      <c r="N967"/>
      <c r="O967"/>
    </row>
    <row r="968" spans="1:15" x14ac:dyDescent="0.2">
      <c r="A968"/>
      <c r="B968"/>
      <c r="C968"/>
      <c r="F968"/>
      <c r="G968"/>
      <c r="H968"/>
      <c r="I968"/>
      <c r="L968"/>
      <c r="M968"/>
      <c r="N968"/>
      <c r="O968"/>
    </row>
    <row r="969" spans="1:15" x14ac:dyDescent="0.2">
      <c r="A969"/>
      <c r="B969"/>
      <c r="C969"/>
      <c r="F969"/>
      <c r="G969"/>
      <c r="I969"/>
      <c r="L969"/>
      <c r="M969"/>
      <c r="N969"/>
      <c r="O969"/>
    </row>
    <row r="970" spans="1:15" x14ac:dyDescent="0.2">
      <c r="A970"/>
      <c r="B970"/>
      <c r="C970"/>
      <c r="F970"/>
      <c r="G970"/>
      <c r="H970"/>
      <c r="I970"/>
      <c r="L970"/>
      <c r="M970"/>
      <c r="N970"/>
      <c r="O970"/>
    </row>
    <row r="971" spans="1:15" x14ac:dyDescent="0.2">
      <c r="A971"/>
      <c r="B971"/>
      <c r="C971"/>
      <c r="F971"/>
      <c r="G971"/>
      <c r="I971"/>
      <c r="L971"/>
      <c r="M971"/>
      <c r="N971"/>
      <c r="O971"/>
    </row>
    <row r="972" spans="1:15" x14ac:dyDescent="0.2">
      <c r="A972"/>
      <c r="B972"/>
      <c r="C972"/>
      <c r="F972"/>
      <c r="G972"/>
      <c r="I972"/>
      <c r="L972"/>
      <c r="M972"/>
      <c r="N972"/>
      <c r="O972"/>
    </row>
    <row r="973" spans="1:15" x14ac:dyDescent="0.2">
      <c r="A973"/>
      <c r="B973"/>
      <c r="C973"/>
      <c r="F973"/>
      <c r="G973"/>
      <c r="I973"/>
      <c r="L973"/>
      <c r="M973"/>
      <c r="N973"/>
      <c r="O973"/>
    </row>
    <row r="974" spans="1:15" x14ac:dyDescent="0.2">
      <c r="A974"/>
      <c r="B974"/>
      <c r="C974"/>
      <c r="F974"/>
      <c r="G974"/>
      <c r="L974"/>
      <c r="M974"/>
      <c r="N974"/>
      <c r="O974"/>
    </row>
    <row r="975" spans="1:15" x14ac:dyDescent="0.2">
      <c r="A975"/>
      <c r="B975"/>
      <c r="C975"/>
      <c r="F975"/>
      <c r="G975"/>
      <c r="H975"/>
      <c r="I975"/>
      <c r="L975"/>
      <c r="M975"/>
      <c r="N975"/>
      <c r="O975"/>
    </row>
    <row r="976" spans="1:15" x14ac:dyDescent="0.2">
      <c r="A976"/>
      <c r="B976"/>
      <c r="C976"/>
      <c r="F976"/>
      <c r="G976"/>
      <c r="I976"/>
      <c r="L976"/>
      <c r="M976"/>
      <c r="N976"/>
      <c r="O976"/>
    </row>
    <row r="977" spans="1:15" x14ac:dyDescent="0.2">
      <c r="A977"/>
      <c r="B977"/>
      <c r="C977"/>
      <c r="F977"/>
      <c r="G977"/>
      <c r="M977"/>
      <c r="N977"/>
      <c r="O977"/>
    </row>
    <row r="978" spans="1:15" x14ac:dyDescent="0.2">
      <c r="A978"/>
      <c r="B978"/>
      <c r="C978"/>
      <c r="F978"/>
      <c r="G978"/>
      <c r="M978"/>
      <c r="N978"/>
      <c r="O978"/>
    </row>
    <row r="979" spans="1:15" x14ac:dyDescent="0.2">
      <c r="A979"/>
      <c r="B979"/>
      <c r="C979"/>
      <c r="F979"/>
      <c r="G979"/>
      <c r="H979"/>
      <c r="I979"/>
      <c r="L979"/>
      <c r="M979"/>
      <c r="N979"/>
      <c r="O979"/>
    </row>
    <row r="980" spans="1:15" x14ac:dyDescent="0.2">
      <c r="A980"/>
      <c r="B980"/>
      <c r="C980"/>
      <c r="F980"/>
      <c r="G980"/>
      <c r="H980"/>
      <c r="I980"/>
      <c r="L980"/>
      <c r="M980"/>
      <c r="N980"/>
      <c r="O980"/>
    </row>
    <row r="981" spans="1:15" x14ac:dyDescent="0.2">
      <c r="A981"/>
      <c r="B981"/>
      <c r="C981"/>
      <c r="F981"/>
      <c r="G981"/>
      <c r="H981"/>
      <c r="I981"/>
      <c r="L981"/>
      <c r="M981"/>
      <c r="N981"/>
      <c r="O981"/>
    </row>
    <row r="982" spans="1:15" x14ac:dyDescent="0.2">
      <c r="A982"/>
      <c r="B982"/>
      <c r="C982"/>
      <c r="F982"/>
      <c r="G982"/>
      <c r="I982"/>
      <c r="L982"/>
      <c r="M982"/>
      <c r="N982"/>
      <c r="O982"/>
    </row>
    <row r="983" spans="1:15" x14ac:dyDescent="0.2">
      <c r="A983"/>
      <c r="B983"/>
      <c r="C983"/>
      <c r="F983"/>
      <c r="G983"/>
      <c r="I983"/>
      <c r="L983"/>
      <c r="M983"/>
      <c r="N983"/>
      <c r="O983"/>
    </row>
    <row r="984" spans="1:15" x14ac:dyDescent="0.2">
      <c r="A984"/>
      <c r="B984"/>
      <c r="C984"/>
      <c r="F984"/>
      <c r="G984"/>
      <c r="H984"/>
      <c r="I984"/>
      <c r="L984"/>
      <c r="M984"/>
      <c r="N984"/>
      <c r="O984"/>
    </row>
    <row r="985" spans="1:15" x14ac:dyDescent="0.2">
      <c r="A985"/>
      <c r="B985"/>
      <c r="C985"/>
      <c r="F985"/>
      <c r="G985"/>
      <c r="J985"/>
      <c r="K985"/>
      <c r="L985"/>
      <c r="M985"/>
      <c r="N985"/>
      <c r="O985"/>
    </row>
    <row r="986" spans="1:15" x14ac:dyDescent="0.2">
      <c r="A986"/>
      <c r="B986"/>
      <c r="C986"/>
      <c r="F986"/>
      <c r="G986"/>
      <c r="H986"/>
      <c r="I986"/>
      <c r="L986"/>
      <c r="M986"/>
      <c r="N986"/>
      <c r="O986"/>
    </row>
    <row r="987" spans="1:15" x14ac:dyDescent="0.2">
      <c r="A987"/>
      <c r="B987"/>
      <c r="C987"/>
      <c r="F987"/>
      <c r="G987"/>
      <c r="I987"/>
      <c r="L987"/>
      <c r="M987"/>
      <c r="N987"/>
      <c r="O987"/>
    </row>
    <row r="988" spans="1:15" x14ac:dyDescent="0.2">
      <c r="A988"/>
      <c r="B988"/>
      <c r="C988"/>
      <c r="F988"/>
      <c r="G988"/>
      <c r="I988"/>
      <c r="L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H991"/>
      <c r="I991"/>
      <c r="L991"/>
      <c r="M991"/>
      <c r="N991"/>
      <c r="O991"/>
    </row>
    <row r="992" spans="1:15" x14ac:dyDescent="0.2">
      <c r="A992"/>
      <c r="B992"/>
      <c r="C992"/>
      <c r="F992"/>
      <c r="G992"/>
      <c r="H992"/>
      <c r="I992"/>
      <c r="L992"/>
      <c r="M992"/>
      <c r="N992"/>
      <c r="O992"/>
    </row>
    <row r="993" spans="1:15" x14ac:dyDescent="0.2">
      <c r="A993"/>
      <c r="B993"/>
      <c r="C993"/>
      <c r="F993"/>
      <c r="G993"/>
      <c r="L993"/>
      <c r="M993"/>
      <c r="N993"/>
      <c r="O993"/>
    </row>
    <row r="994" spans="1:15" x14ac:dyDescent="0.2">
      <c r="A994"/>
      <c r="B994"/>
      <c r="C994"/>
      <c r="F994"/>
      <c r="G994"/>
      <c r="H994"/>
      <c r="I994"/>
      <c r="L994"/>
      <c r="M994"/>
      <c r="N994"/>
      <c r="O994"/>
    </row>
    <row r="995" spans="1:15" x14ac:dyDescent="0.2">
      <c r="A995"/>
      <c r="B995"/>
      <c r="C995"/>
      <c r="F995"/>
      <c r="G995"/>
      <c r="L995"/>
      <c r="M995"/>
      <c r="N995"/>
      <c r="O995"/>
    </row>
    <row r="996" spans="1:15" x14ac:dyDescent="0.2">
      <c r="A996"/>
      <c r="B996"/>
      <c r="C996"/>
      <c r="F996"/>
      <c r="G996"/>
      <c r="H996"/>
      <c r="I996"/>
      <c r="L996"/>
      <c r="M996"/>
      <c r="N996"/>
      <c r="O996"/>
    </row>
    <row r="997" spans="1:15" x14ac:dyDescent="0.2">
      <c r="A997"/>
      <c r="B997"/>
      <c r="C997"/>
      <c r="F997"/>
      <c r="G997"/>
      <c r="I997"/>
      <c r="L997"/>
      <c r="M997"/>
      <c r="N997"/>
      <c r="O997"/>
    </row>
    <row r="998" spans="1:15" x14ac:dyDescent="0.2">
      <c r="A998"/>
      <c r="B998"/>
      <c r="C998"/>
      <c r="F998"/>
      <c r="G998"/>
      <c r="H998"/>
      <c r="I998"/>
      <c r="L998"/>
      <c r="M998"/>
      <c r="N998"/>
      <c r="O998"/>
    </row>
    <row r="999" spans="1:15" x14ac:dyDescent="0.2">
      <c r="A999"/>
      <c r="B999"/>
      <c r="C999"/>
      <c r="F999"/>
      <c r="G999"/>
      <c r="H999"/>
      <c r="I999"/>
      <c r="L999"/>
      <c r="M999"/>
      <c r="N999"/>
      <c r="O999"/>
    </row>
    <row r="1000" spans="1:15" x14ac:dyDescent="0.2">
      <c r="A1000"/>
      <c r="B1000"/>
      <c r="C1000"/>
      <c r="F1000"/>
      <c r="G1000"/>
      <c r="H1000"/>
      <c r="I1000"/>
      <c r="L1000"/>
      <c r="M1000"/>
      <c r="N1000"/>
      <c r="O1000"/>
    </row>
    <row r="1001" spans="1:15" x14ac:dyDescent="0.2">
      <c r="A1001"/>
      <c r="B1001"/>
      <c r="C1001"/>
      <c r="F1001"/>
      <c r="G1001"/>
      <c r="H1001"/>
      <c r="I1001"/>
      <c r="L1001"/>
      <c r="M1001"/>
      <c r="N1001"/>
      <c r="O1001"/>
    </row>
    <row r="1002" spans="1:15" x14ac:dyDescent="0.2">
      <c r="A1002"/>
      <c r="B1002"/>
      <c r="C1002"/>
      <c r="F1002"/>
      <c r="G1002"/>
      <c r="H1002"/>
      <c r="I1002"/>
      <c r="L1002"/>
      <c r="M1002"/>
      <c r="N1002"/>
      <c r="O1002"/>
    </row>
    <row r="1003" spans="1:15" x14ac:dyDescent="0.2">
      <c r="A1003"/>
      <c r="B1003"/>
      <c r="C1003"/>
      <c r="F1003"/>
      <c r="G1003"/>
      <c r="H1003"/>
      <c r="I1003"/>
      <c r="L1003"/>
      <c r="M1003"/>
      <c r="N1003"/>
      <c r="O1003"/>
    </row>
    <row r="1004" spans="1:15" x14ac:dyDescent="0.2">
      <c r="A1004"/>
      <c r="B1004"/>
      <c r="C1004"/>
      <c r="F1004"/>
      <c r="G1004"/>
      <c r="I1004"/>
      <c r="L1004"/>
      <c r="M1004"/>
      <c r="N1004"/>
      <c r="O1004"/>
    </row>
    <row r="1005" spans="1:15" x14ac:dyDescent="0.2">
      <c r="A1005"/>
      <c r="B1005"/>
      <c r="C1005"/>
      <c r="F1005"/>
      <c r="G1005"/>
      <c r="I1005"/>
      <c r="L1005"/>
      <c r="M1005"/>
      <c r="N1005"/>
      <c r="O1005"/>
    </row>
    <row r="1006" spans="1:15" x14ac:dyDescent="0.2">
      <c r="A1006"/>
      <c r="B1006"/>
      <c r="C1006"/>
      <c r="F1006"/>
      <c r="G1006"/>
      <c r="I1006"/>
      <c r="J1006"/>
      <c r="K1006"/>
      <c r="L1006"/>
      <c r="M1006"/>
      <c r="N1006"/>
      <c r="O1006"/>
    </row>
    <row r="1007" spans="1:15" x14ac:dyDescent="0.2">
      <c r="A1007"/>
      <c r="B1007"/>
      <c r="C1007"/>
      <c r="F1007"/>
      <c r="G1007"/>
      <c r="H1007"/>
      <c r="I1007"/>
      <c r="L1007"/>
      <c r="M1007"/>
      <c r="N1007"/>
      <c r="O1007"/>
    </row>
    <row r="1008" spans="1:15" x14ac:dyDescent="0.2">
      <c r="A1008"/>
      <c r="B1008"/>
      <c r="C1008"/>
      <c r="F1008"/>
      <c r="G1008"/>
      <c r="H1008"/>
      <c r="I1008"/>
      <c r="L1008"/>
      <c r="M1008"/>
      <c r="N1008"/>
      <c r="O1008"/>
    </row>
    <row r="1009" spans="1:15" x14ac:dyDescent="0.2">
      <c r="A1009"/>
      <c r="B1009"/>
      <c r="C1009"/>
      <c r="F1009"/>
      <c r="G1009"/>
      <c r="L1009"/>
      <c r="M1009"/>
      <c r="N1009"/>
      <c r="O1009"/>
    </row>
    <row r="1010" spans="1:15" x14ac:dyDescent="0.2">
      <c r="A1010"/>
      <c r="B1010"/>
      <c r="C1010"/>
      <c r="F1010"/>
      <c r="G1010"/>
      <c r="I1010"/>
      <c r="L1010"/>
      <c r="M1010"/>
      <c r="N1010"/>
      <c r="O1010"/>
    </row>
    <row r="1011" spans="1:15" x14ac:dyDescent="0.2">
      <c r="A1011"/>
      <c r="B1011"/>
      <c r="C1011"/>
      <c r="F1011"/>
      <c r="G1011"/>
      <c r="H1011"/>
      <c r="I1011"/>
      <c r="L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L1015"/>
      <c r="M1015"/>
      <c r="N1015"/>
      <c r="O1015"/>
    </row>
    <row r="1016" spans="1:15" x14ac:dyDescent="0.2">
      <c r="A1016"/>
      <c r="B1016"/>
      <c r="C1016"/>
      <c r="F1016"/>
      <c r="G1016"/>
      <c r="H1016"/>
      <c r="I1016"/>
      <c r="L1016"/>
      <c r="M1016"/>
      <c r="N1016"/>
      <c r="O1016"/>
    </row>
    <row r="1017" spans="1:15" x14ac:dyDescent="0.2">
      <c r="A1017"/>
      <c r="B1017"/>
      <c r="C1017"/>
      <c r="F1017"/>
      <c r="G1017"/>
      <c r="J1017"/>
      <c r="K1017"/>
      <c r="M1017"/>
      <c r="N1017"/>
      <c r="O1017"/>
    </row>
    <row r="1018" spans="1:15" x14ac:dyDescent="0.2">
      <c r="A1018"/>
      <c r="B1018"/>
      <c r="C1018"/>
      <c r="F1018"/>
      <c r="G1018"/>
      <c r="H1018"/>
      <c r="I1018"/>
      <c r="L1018"/>
      <c r="M1018"/>
      <c r="N1018"/>
      <c r="O1018"/>
    </row>
    <row r="1019" spans="1:15" x14ac:dyDescent="0.2">
      <c r="A1019"/>
      <c r="B1019"/>
      <c r="C1019"/>
      <c r="F1019"/>
      <c r="G1019"/>
      <c r="H1019"/>
      <c r="I1019"/>
      <c r="L1019"/>
      <c r="M1019"/>
      <c r="N1019"/>
      <c r="O1019"/>
    </row>
    <row r="1020" spans="1:15" x14ac:dyDescent="0.2">
      <c r="A1020"/>
      <c r="B1020"/>
      <c r="C1020"/>
      <c r="F1020"/>
      <c r="G1020"/>
      <c r="I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I1024"/>
      <c r="L1024"/>
      <c r="M1024"/>
      <c r="N1024"/>
      <c r="O1024"/>
    </row>
    <row r="1025" spans="1:15" x14ac:dyDescent="0.2">
      <c r="A1025"/>
      <c r="B1025"/>
      <c r="C1025"/>
      <c r="F1025"/>
      <c r="G1025"/>
      <c r="H1025"/>
      <c r="I1025"/>
      <c r="L1025"/>
      <c r="M1025"/>
      <c r="N1025"/>
      <c r="O1025"/>
    </row>
    <row r="1026" spans="1:15" x14ac:dyDescent="0.2">
      <c r="A1026"/>
      <c r="B1026"/>
      <c r="C1026"/>
      <c r="F1026"/>
      <c r="G1026"/>
      <c r="I1026"/>
      <c r="L1026"/>
      <c r="M1026"/>
      <c r="N1026"/>
      <c r="O1026"/>
    </row>
    <row r="1027" spans="1:15" x14ac:dyDescent="0.2">
      <c r="A1027"/>
      <c r="B1027"/>
      <c r="C1027"/>
      <c r="F1027"/>
      <c r="G1027"/>
      <c r="I1027"/>
      <c r="L1027"/>
      <c r="M1027"/>
      <c r="N1027"/>
      <c r="O1027"/>
    </row>
    <row r="1028" spans="1:15" x14ac:dyDescent="0.2">
      <c r="A1028"/>
      <c r="B1028"/>
      <c r="C1028"/>
      <c r="F1028"/>
      <c r="G1028"/>
      <c r="L1028"/>
      <c r="M1028"/>
      <c r="N1028"/>
      <c r="O1028"/>
    </row>
    <row r="1029" spans="1:15" x14ac:dyDescent="0.2">
      <c r="A1029"/>
      <c r="B1029"/>
      <c r="C1029"/>
      <c r="F1029"/>
      <c r="G1029"/>
      <c r="H1029"/>
      <c r="I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H1032"/>
      <c r="J1032"/>
      <c r="K1032"/>
      <c r="L1032"/>
      <c r="M1032"/>
      <c r="N1032"/>
      <c r="O1032"/>
    </row>
    <row r="1033" spans="1:15" x14ac:dyDescent="0.2">
      <c r="A1033"/>
      <c r="B1033"/>
      <c r="C1033"/>
      <c r="F1033"/>
      <c r="G1033"/>
      <c r="I1033"/>
      <c r="L1033"/>
      <c r="M1033"/>
      <c r="N1033"/>
      <c r="O1033"/>
    </row>
    <row r="1034" spans="1:15" x14ac:dyDescent="0.2">
      <c r="A1034"/>
      <c r="B1034"/>
      <c r="C1034"/>
      <c r="F1034"/>
      <c r="G1034"/>
      <c r="H1034"/>
      <c r="I1034"/>
      <c r="J1034"/>
      <c r="K1034"/>
      <c r="L1034"/>
      <c r="M1034"/>
      <c r="N1034"/>
      <c r="O1034"/>
    </row>
    <row r="1035" spans="1:15" x14ac:dyDescent="0.2">
      <c r="A1035"/>
      <c r="B1035"/>
      <c r="C1035"/>
      <c r="F1035"/>
      <c r="G1035"/>
      <c r="H1035"/>
      <c r="I1035"/>
      <c r="L1035"/>
      <c r="M1035"/>
      <c r="N1035"/>
      <c r="O1035"/>
    </row>
    <row r="1036" spans="1:15" x14ac:dyDescent="0.2">
      <c r="A1036"/>
      <c r="B1036"/>
      <c r="C1036"/>
      <c r="F1036"/>
      <c r="G1036"/>
      <c r="H1036"/>
      <c r="I1036"/>
      <c r="L1036"/>
      <c r="M1036"/>
      <c r="N1036"/>
      <c r="O1036"/>
    </row>
    <row r="1037" spans="1:15" x14ac:dyDescent="0.2">
      <c r="A1037"/>
      <c r="B1037"/>
      <c r="C1037"/>
      <c r="F1037"/>
      <c r="G1037"/>
      <c r="J1037"/>
      <c r="K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H1040"/>
      <c r="J1040"/>
      <c r="K1040"/>
      <c r="L1040"/>
      <c r="M1040"/>
      <c r="N1040"/>
      <c r="O1040"/>
    </row>
    <row r="1041" spans="1:15" x14ac:dyDescent="0.2">
      <c r="A1041"/>
      <c r="B1041"/>
      <c r="C1041"/>
      <c r="F1041"/>
      <c r="G1041"/>
      <c r="H1041"/>
      <c r="J1041"/>
      <c r="K1041"/>
      <c r="L1041"/>
      <c r="M1041"/>
      <c r="N1041"/>
      <c r="O1041"/>
    </row>
    <row r="1042" spans="1:15" x14ac:dyDescent="0.2">
      <c r="A1042"/>
      <c r="B1042"/>
      <c r="C1042"/>
      <c r="F1042"/>
      <c r="G1042"/>
      <c r="H1042"/>
      <c r="I1042"/>
      <c r="L1042"/>
      <c r="N1042"/>
      <c r="O1042"/>
    </row>
    <row r="1043" spans="1:15" x14ac:dyDescent="0.2">
      <c r="A1043"/>
      <c r="B1043"/>
      <c r="C1043"/>
      <c r="F1043"/>
      <c r="G1043"/>
      <c r="H1043"/>
      <c r="J1043"/>
      <c r="K1043"/>
      <c r="L1043"/>
      <c r="M1043"/>
      <c r="N1043"/>
      <c r="O1043"/>
    </row>
    <row r="1044" spans="1:15" x14ac:dyDescent="0.2">
      <c r="A1044"/>
      <c r="B1044"/>
      <c r="C1044"/>
      <c r="F1044"/>
      <c r="G1044"/>
      <c r="H1044"/>
      <c r="J1044"/>
      <c r="K1044"/>
      <c r="L1044"/>
      <c r="M1044"/>
      <c r="N1044"/>
      <c r="O1044"/>
    </row>
    <row r="1045" spans="1:15" x14ac:dyDescent="0.2">
      <c r="A1045"/>
      <c r="B1045"/>
      <c r="C1045"/>
      <c r="F1045"/>
      <c r="G1045"/>
      <c r="H1045"/>
      <c r="I1045"/>
      <c r="L1045"/>
      <c r="M1045"/>
      <c r="N1045"/>
      <c r="O1045"/>
    </row>
    <row r="1046" spans="1:15" x14ac:dyDescent="0.2">
      <c r="A1046"/>
      <c r="B1046"/>
      <c r="C1046"/>
      <c r="F1046"/>
      <c r="G1046"/>
      <c r="H1046"/>
      <c r="J1046"/>
      <c r="K1046"/>
      <c r="L1046"/>
      <c r="M1046"/>
      <c r="N1046"/>
      <c r="O1046"/>
    </row>
    <row r="1047" spans="1:15" x14ac:dyDescent="0.2">
      <c r="A1047"/>
      <c r="B1047"/>
      <c r="C1047"/>
      <c r="G1047"/>
      <c r="J1047"/>
      <c r="K1047"/>
      <c r="L1047"/>
      <c r="M1047"/>
      <c r="N1047"/>
      <c r="O1047"/>
    </row>
    <row r="1048" spans="1:15" x14ac:dyDescent="0.2">
      <c r="A1048"/>
      <c r="B1048"/>
      <c r="C1048"/>
      <c r="F1048"/>
      <c r="G1048"/>
      <c r="H1048"/>
      <c r="I1048"/>
      <c r="L1048"/>
      <c r="N1048"/>
      <c r="O1048"/>
    </row>
    <row r="1049" spans="1:15" x14ac:dyDescent="0.2">
      <c r="A1049"/>
      <c r="B1049"/>
      <c r="C1049"/>
      <c r="F1049"/>
      <c r="G1049"/>
      <c r="L1049"/>
      <c r="M1049"/>
      <c r="N1049"/>
      <c r="O1049"/>
    </row>
    <row r="1050" spans="1:15" x14ac:dyDescent="0.2">
      <c r="A1050"/>
      <c r="B1050"/>
      <c r="C1050"/>
      <c r="F1050"/>
      <c r="G1050"/>
      <c r="J1050"/>
      <c r="K1050"/>
      <c r="L1050"/>
      <c r="M1050"/>
      <c r="N1050"/>
      <c r="O1050"/>
    </row>
    <row r="1051" spans="1:15" x14ac:dyDescent="0.2">
      <c r="A1051"/>
      <c r="B1051"/>
      <c r="C1051"/>
      <c r="F1051"/>
      <c r="G1051"/>
      <c r="H1051"/>
      <c r="I1051"/>
      <c r="L1051"/>
      <c r="M1051"/>
      <c r="N1051"/>
      <c r="O1051"/>
    </row>
    <row r="1052" spans="1:15" x14ac:dyDescent="0.2">
      <c r="A1052"/>
      <c r="B1052"/>
      <c r="C1052"/>
      <c r="F1052"/>
      <c r="G1052"/>
      <c r="H1052"/>
      <c r="I1052"/>
      <c r="L1052"/>
      <c r="M1052"/>
      <c r="N1052"/>
      <c r="O1052"/>
    </row>
    <row r="1053" spans="1:15" x14ac:dyDescent="0.2">
      <c r="A1053"/>
      <c r="B1053"/>
      <c r="C1053"/>
      <c r="F1053"/>
      <c r="G1053"/>
      <c r="L1053"/>
      <c r="M1053"/>
      <c r="N1053"/>
      <c r="O1053"/>
    </row>
    <row r="1054" spans="1:15" x14ac:dyDescent="0.2">
      <c r="A1054"/>
      <c r="B1054"/>
      <c r="C1054"/>
      <c r="F1054"/>
      <c r="G1054"/>
      <c r="I1054"/>
      <c r="L1054"/>
      <c r="M1054"/>
      <c r="N1054"/>
      <c r="O1054"/>
    </row>
    <row r="1055" spans="1:15" x14ac:dyDescent="0.2">
      <c r="A1055"/>
      <c r="B1055"/>
      <c r="C1055"/>
      <c r="F1055"/>
      <c r="G1055"/>
      <c r="H1055"/>
      <c r="I1055"/>
      <c r="L1055"/>
      <c r="M1055"/>
      <c r="N1055"/>
      <c r="O1055"/>
    </row>
    <row r="1056" spans="1:15" x14ac:dyDescent="0.2">
      <c r="A1056"/>
      <c r="B1056"/>
      <c r="C1056"/>
      <c r="F1056"/>
      <c r="G1056"/>
      <c r="H1056"/>
      <c r="I1056"/>
      <c r="L1056"/>
      <c r="M1056"/>
      <c r="N1056"/>
      <c r="O1056"/>
    </row>
    <row r="1057" spans="1:15" x14ac:dyDescent="0.2">
      <c r="A1057"/>
      <c r="B1057"/>
      <c r="C1057"/>
      <c r="F1057"/>
      <c r="G1057"/>
      <c r="M1057"/>
      <c r="N1057"/>
      <c r="O1057"/>
    </row>
    <row r="1058" spans="1:15" x14ac:dyDescent="0.2">
      <c r="A1058"/>
      <c r="B1058"/>
      <c r="C1058"/>
      <c r="F1058"/>
      <c r="G1058"/>
      <c r="M1058"/>
      <c r="N1058"/>
      <c r="O1058"/>
    </row>
    <row r="1059" spans="1:15" x14ac:dyDescent="0.2">
      <c r="A1059"/>
      <c r="B1059"/>
      <c r="C1059"/>
      <c r="F1059"/>
      <c r="G1059"/>
      <c r="N1059"/>
      <c r="O1059"/>
    </row>
    <row r="1060" spans="1:15" x14ac:dyDescent="0.2">
      <c r="A1060"/>
      <c r="B1060"/>
      <c r="C1060"/>
      <c r="F1060"/>
      <c r="G1060"/>
      <c r="H1060"/>
      <c r="I1060"/>
      <c r="L1060"/>
      <c r="M1060"/>
      <c r="N1060"/>
      <c r="O1060"/>
    </row>
    <row r="1061" spans="1:15" x14ac:dyDescent="0.2">
      <c r="A1061"/>
      <c r="B1061"/>
      <c r="C1061"/>
      <c r="F1061"/>
      <c r="G1061"/>
      <c r="L1061"/>
      <c r="M1061"/>
      <c r="N1061"/>
      <c r="O1061"/>
    </row>
    <row r="1062" spans="1:15" x14ac:dyDescent="0.2">
      <c r="A1062"/>
      <c r="B1062"/>
      <c r="C1062"/>
      <c r="F1062"/>
      <c r="G1062"/>
      <c r="H1062"/>
      <c r="I1062"/>
      <c r="L1062"/>
      <c r="M1062"/>
      <c r="N1062"/>
      <c r="O1062"/>
    </row>
    <row r="1063" spans="1:15" x14ac:dyDescent="0.2">
      <c r="A1063"/>
      <c r="B1063"/>
      <c r="C1063"/>
      <c r="F1063"/>
      <c r="G1063"/>
      <c r="H1063"/>
      <c r="I1063"/>
      <c r="L1063"/>
      <c r="N1063"/>
      <c r="O1063"/>
    </row>
    <row r="1064" spans="1:15" x14ac:dyDescent="0.2">
      <c r="A1064"/>
      <c r="B1064"/>
      <c r="C1064"/>
      <c r="F1064"/>
      <c r="G1064"/>
      <c r="I1064"/>
      <c r="L1064"/>
      <c r="M1064"/>
      <c r="N1064"/>
      <c r="O1064"/>
    </row>
    <row r="1065" spans="1:15" x14ac:dyDescent="0.2">
      <c r="A1065"/>
      <c r="B1065"/>
      <c r="C1065"/>
      <c r="F1065"/>
      <c r="G1065"/>
      <c r="H1065"/>
      <c r="I1065"/>
      <c r="L1065"/>
      <c r="M1065"/>
      <c r="N1065"/>
      <c r="O1065"/>
    </row>
    <row r="1066" spans="1:15" x14ac:dyDescent="0.2">
      <c r="A1066"/>
      <c r="B1066"/>
      <c r="C1066"/>
      <c r="F1066"/>
      <c r="G1066"/>
      <c r="H1066"/>
      <c r="I1066"/>
      <c r="L1066"/>
      <c r="M1066"/>
      <c r="N1066"/>
      <c r="O1066"/>
    </row>
    <row r="1067" spans="1:15" x14ac:dyDescent="0.2">
      <c r="A1067"/>
      <c r="B1067"/>
      <c r="C1067"/>
      <c r="F1067"/>
      <c r="G1067"/>
      <c r="I1067"/>
      <c r="L1067"/>
      <c r="M1067"/>
      <c r="N1067"/>
      <c r="O1067"/>
    </row>
    <row r="1068" spans="1:15" x14ac:dyDescent="0.2">
      <c r="A1068"/>
      <c r="B1068"/>
      <c r="C1068"/>
      <c r="F1068"/>
      <c r="G1068"/>
      <c r="I1068"/>
      <c r="L1068"/>
      <c r="M1068"/>
      <c r="N1068"/>
      <c r="O1068"/>
    </row>
    <row r="1069" spans="1:15" x14ac:dyDescent="0.2">
      <c r="A1069"/>
      <c r="B1069"/>
      <c r="C1069"/>
      <c r="F1069"/>
      <c r="G1069"/>
      <c r="L1069"/>
      <c r="M1069"/>
      <c r="N1069"/>
      <c r="O1069"/>
    </row>
    <row r="1070" spans="1:15" x14ac:dyDescent="0.2">
      <c r="A1070"/>
      <c r="B1070"/>
      <c r="C1070"/>
      <c r="F1070"/>
      <c r="G1070"/>
      <c r="H1070"/>
      <c r="I1070"/>
      <c r="L1070"/>
      <c r="M1070"/>
      <c r="N1070"/>
      <c r="O1070"/>
    </row>
    <row r="1071" spans="1:15" x14ac:dyDescent="0.2">
      <c r="A1071"/>
      <c r="B1071"/>
      <c r="C1071"/>
      <c r="F1071"/>
      <c r="G1071"/>
      <c r="L1071"/>
      <c r="M1071"/>
      <c r="N1071"/>
      <c r="O1071"/>
    </row>
    <row r="1072" spans="1:15" x14ac:dyDescent="0.2">
      <c r="A1072"/>
      <c r="B1072"/>
      <c r="C1072"/>
      <c r="F1072"/>
      <c r="G1072"/>
      <c r="H1072"/>
      <c r="I1072"/>
      <c r="L1072"/>
      <c r="M1072"/>
      <c r="N1072"/>
      <c r="O1072"/>
    </row>
    <row r="1073" spans="1:15" x14ac:dyDescent="0.2">
      <c r="A1073"/>
      <c r="B1073"/>
      <c r="C1073"/>
      <c r="F1073"/>
      <c r="G1073"/>
      <c r="M1073"/>
      <c r="N1073"/>
      <c r="O1073"/>
    </row>
    <row r="1074" spans="1:15" x14ac:dyDescent="0.2">
      <c r="A1074"/>
      <c r="B1074"/>
      <c r="C1074"/>
      <c r="F1074"/>
      <c r="G1074"/>
      <c r="H1074"/>
      <c r="I1074"/>
      <c r="L1074"/>
      <c r="M1074"/>
      <c r="N1074"/>
      <c r="O1074"/>
    </row>
    <row r="1075" spans="1:15" x14ac:dyDescent="0.2">
      <c r="A1075"/>
      <c r="B1075"/>
      <c r="C1075"/>
      <c r="F1075"/>
      <c r="G1075"/>
      <c r="H1075"/>
      <c r="I1075"/>
      <c r="L1075"/>
      <c r="M1075"/>
      <c r="N1075"/>
      <c r="O1075"/>
    </row>
    <row r="1076" spans="1:15" x14ac:dyDescent="0.2">
      <c r="A1076"/>
      <c r="B1076"/>
      <c r="C1076"/>
      <c r="F1076"/>
      <c r="G1076"/>
      <c r="H1076"/>
      <c r="I1076"/>
      <c r="L1076"/>
      <c r="M1076"/>
      <c r="N1076"/>
      <c r="O1076"/>
    </row>
    <row r="1077" spans="1:15" x14ac:dyDescent="0.2">
      <c r="A1077"/>
      <c r="B1077"/>
      <c r="C1077"/>
      <c r="F1077"/>
      <c r="G1077"/>
      <c r="H1077"/>
      <c r="I1077"/>
      <c r="L1077"/>
      <c r="M1077"/>
      <c r="N1077"/>
      <c r="O1077"/>
    </row>
    <row r="1078" spans="1:15" x14ac:dyDescent="0.2">
      <c r="A1078"/>
      <c r="B1078"/>
      <c r="C1078"/>
      <c r="F1078"/>
      <c r="G1078"/>
      <c r="H1078"/>
      <c r="J1078"/>
      <c r="K1078"/>
      <c r="L1078"/>
      <c r="M1078"/>
      <c r="N1078"/>
      <c r="O1078"/>
    </row>
    <row r="1079" spans="1:15" x14ac:dyDescent="0.2">
      <c r="A1079"/>
      <c r="B1079"/>
      <c r="C1079"/>
      <c r="F1079"/>
      <c r="G1079"/>
      <c r="H1079"/>
      <c r="J1079"/>
      <c r="K1079"/>
      <c r="L1079"/>
      <c r="M1079"/>
      <c r="N1079"/>
      <c r="O1079"/>
    </row>
    <row r="1080" spans="1:15" x14ac:dyDescent="0.2">
      <c r="A1080"/>
      <c r="B1080"/>
      <c r="C1080"/>
      <c r="F1080"/>
      <c r="G1080"/>
      <c r="H1080"/>
      <c r="J1080"/>
      <c r="K1080"/>
      <c r="L1080"/>
      <c r="M1080"/>
      <c r="N1080"/>
      <c r="O1080"/>
    </row>
    <row r="1081" spans="1:15" x14ac:dyDescent="0.2">
      <c r="A1081"/>
      <c r="B1081"/>
      <c r="C1081"/>
      <c r="F1081"/>
      <c r="G1081"/>
      <c r="H1081"/>
      <c r="L1081"/>
      <c r="M1081"/>
      <c r="N1081"/>
      <c r="O1081"/>
    </row>
    <row r="1082" spans="1:15" x14ac:dyDescent="0.2">
      <c r="A1082"/>
      <c r="B1082"/>
      <c r="C1082"/>
      <c r="F1082"/>
      <c r="G1082"/>
      <c r="I1082"/>
      <c r="L1082"/>
      <c r="M1082"/>
      <c r="N1082"/>
      <c r="O1082"/>
    </row>
    <row r="1083" spans="1:15" x14ac:dyDescent="0.2">
      <c r="A1083"/>
      <c r="B1083"/>
      <c r="C1083"/>
      <c r="F1083"/>
      <c r="G1083"/>
      <c r="I1083"/>
      <c r="L1083"/>
      <c r="M1083"/>
      <c r="N1083"/>
      <c r="O1083"/>
    </row>
    <row r="1084" spans="1:15" x14ac:dyDescent="0.2">
      <c r="A1084"/>
      <c r="B1084"/>
      <c r="C1084"/>
      <c r="F1084"/>
      <c r="G1084"/>
      <c r="M1084"/>
      <c r="N1084"/>
      <c r="O1084"/>
    </row>
    <row r="1085" spans="1:15" x14ac:dyDescent="0.2">
      <c r="A1085"/>
      <c r="B1085"/>
      <c r="C1085"/>
      <c r="F1085"/>
      <c r="G1085"/>
      <c r="H1085"/>
      <c r="I1085"/>
      <c r="L1085"/>
      <c r="M1085"/>
      <c r="N1085"/>
      <c r="O1085"/>
    </row>
    <row r="1086" spans="1:15" x14ac:dyDescent="0.2">
      <c r="A1086"/>
      <c r="B1086"/>
      <c r="C1086"/>
      <c r="F1086"/>
      <c r="G1086"/>
      <c r="J1086"/>
      <c r="K1086"/>
      <c r="L1086"/>
      <c r="M1086"/>
      <c r="N1086"/>
      <c r="O1086"/>
    </row>
    <row r="1087" spans="1:15" x14ac:dyDescent="0.2">
      <c r="A1087"/>
      <c r="B1087"/>
      <c r="C1087"/>
      <c r="F1087"/>
      <c r="G1087"/>
      <c r="H1087"/>
      <c r="I1087"/>
      <c r="L1087"/>
      <c r="M1087"/>
      <c r="N1087"/>
      <c r="O1087"/>
    </row>
    <row r="1088" spans="1:15" x14ac:dyDescent="0.2">
      <c r="A1088"/>
      <c r="B1088"/>
      <c r="C1088"/>
      <c r="F1088"/>
      <c r="G1088"/>
      <c r="H1088"/>
      <c r="I1088"/>
      <c r="L1088"/>
      <c r="N1088"/>
      <c r="O1088"/>
    </row>
    <row r="1089" spans="1:15" x14ac:dyDescent="0.2">
      <c r="A1089"/>
      <c r="B1089"/>
      <c r="C1089"/>
      <c r="F1089"/>
      <c r="G1089"/>
      <c r="H1089"/>
      <c r="J1089"/>
      <c r="K1089"/>
      <c r="L1089"/>
      <c r="M1089"/>
      <c r="N1089"/>
      <c r="O1089"/>
    </row>
    <row r="1090" spans="1:15" x14ac:dyDescent="0.2">
      <c r="A1090"/>
      <c r="B1090"/>
      <c r="C1090"/>
      <c r="F1090"/>
      <c r="G1090"/>
      <c r="H1090"/>
      <c r="I1090"/>
      <c r="L1090"/>
      <c r="M1090"/>
      <c r="N1090"/>
      <c r="O1090"/>
    </row>
    <row r="1091" spans="1:15" x14ac:dyDescent="0.2">
      <c r="A1091"/>
      <c r="B1091"/>
      <c r="C1091"/>
      <c r="F1091"/>
      <c r="G1091"/>
      <c r="I1091"/>
      <c r="L1091"/>
      <c r="M1091"/>
      <c r="N1091"/>
      <c r="O1091"/>
    </row>
    <row r="1092" spans="1:15" x14ac:dyDescent="0.2">
      <c r="A1092"/>
      <c r="B1092"/>
      <c r="C1092"/>
      <c r="F1092"/>
      <c r="G1092"/>
      <c r="H1092"/>
      <c r="I1092"/>
      <c r="L1092"/>
      <c r="M1092"/>
      <c r="N1092"/>
      <c r="O1092"/>
    </row>
    <row r="1093" spans="1:15" x14ac:dyDescent="0.2">
      <c r="A1093"/>
      <c r="B1093"/>
      <c r="C1093"/>
      <c r="F1093"/>
      <c r="G1093"/>
      <c r="L1093"/>
      <c r="M1093"/>
      <c r="N1093"/>
      <c r="O1093"/>
    </row>
    <row r="1094" spans="1:15" x14ac:dyDescent="0.2">
      <c r="A1094"/>
      <c r="B1094"/>
      <c r="C1094"/>
      <c r="F1094"/>
      <c r="G1094"/>
      <c r="L1094"/>
      <c r="M1094"/>
      <c r="N1094"/>
      <c r="O1094"/>
    </row>
    <row r="1095" spans="1:15" x14ac:dyDescent="0.2">
      <c r="A1095"/>
      <c r="B1095"/>
      <c r="C1095"/>
      <c r="F1095"/>
      <c r="G1095"/>
      <c r="L1095"/>
      <c r="M1095"/>
      <c r="N1095"/>
      <c r="O1095"/>
    </row>
    <row r="1096" spans="1:15" x14ac:dyDescent="0.2">
      <c r="A1096"/>
      <c r="B1096"/>
      <c r="C1096"/>
      <c r="F1096"/>
      <c r="G1096"/>
      <c r="I1096"/>
      <c r="L1096"/>
      <c r="M1096"/>
      <c r="N1096"/>
      <c r="O1096"/>
    </row>
    <row r="1097" spans="1:15" x14ac:dyDescent="0.2">
      <c r="A1097"/>
      <c r="B1097"/>
      <c r="C1097"/>
      <c r="F1097"/>
      <c r="G1097"/>
      <c r="I1097"/>
      <c r="L1097"/>
      <c r="M1097"/>
      <c r="N1097"/>
      <c r="O1097"/>
    </row>
    <row r="1098" spans="1:15" x14ac:dyDescent="0.2">
      <c r="A1098"/>
      <c r="B1098"/>
      <c r="C1098"/>
      <c r="F1098"/>
      <c r="G1098"/>
      <c r="I1098"/>
      <c r="L1098"/>
      <c r="M1098"/>
      <c r="N1098"/>
      <c r="O1098"/>
    </row>
    <row r="1099" spans="1:15" x14ac:dyDescent="0.2">
      <c r="A1099"/>
      <c r="B1099"/>
      <c r="C1099"/>
      <c r="F1099"/>
      <c r="G1099"/>
      <c r="H1099"/>
      <c r="I1099"/>
      <c r="L1099"/>
      <c r="M1099"/>
      <c r="N1099"/>
      <c r="O1099"/>
    </row>
    <row r="1100" spans="1:15" x14ac:dyDescent="0.2">
      <c r="A1100"/>
      <c r="B1100"/>
      <c r="C1100"/>
      <c r="F1100"/>
      <c r="G1100"/>
      <c r="H1100"/>
      <c r="L1100"/>
      <c r="M1100"/>
      <c r="N1100"/>
      <c r="O1100"/>
    </row>
    <row r="1101" spans="1:15" x14ac:dyDescent="0.2">
      <c r="A1101"/>
      <c r="B1101"/>
      <c r="C1101"/>
      <c r="F1101"/>
      <c r="G1101"/>
      <c r="I1101"/>
      <c r="L1101"/>
      <c r="M1101"/>
      <c r="N1101"/>
      <c r="O1101"/>
    </row>
    <row r="1102" spans="1:15" x14ac:dyDescent="0.2">
      <c r="A1102"/>
      <c r="B1102"/>
      <c r="C1102"/>
      <c r="F1102"/>
      <c r="G1102"/>
      <c r="N1102"/>
      <c r="O1102"/>
    </row>
    <row r="1103" spans="1:15" x14ac:dyDescent="0.2">
      <c r="A1103"/>
      <c r="B1103"/>
      <c r="C1103"/>
      <c r="F1103"/>
      <c r="G1103"/>
      <c r="I1103"/>
      <c r="L1103"/>
      <c r="M1103"/>
      <c r="N1103"/>
      <c r="O1103"/>
    </row>
    <row r="1104" spans="1:15" x14ac:dyDescent="0.2">
      <c r="A1104"/>
      <c r="B1104"/>
      <c r="C1104"/>
      <c r="F1104"/>
      <c r="G1104"/>
      <c r="L1104"/>
      <c r="M1104"/>
      <c r="N1104"/>
      <c r="O1104"/>
    </row>
    <row r="1105" spans="1:15" x14ac:dyDescent="0.2">
      <c r="A1105"/>
      <c r="B1105"/>
      <c r="C1105"/>
      <c r="F1105"/>
      <c r="G1105"/>
      <c r="I1105"/>
      <c r="L1105"/>
      <c r="M1105"/>
      <c r="N1105"/>
      <c r="O1105"/>
    </row>
    <row r="1106" spans="1:15" x14ac:dyDescent="0.2">
      <c r="A1106"/>
      <c r="B1106"/>
      <c r="C1106"/>
      <c r="F1106"/>
      <c r="G1106"/>
      <c r="H1106"/>
      <c r="I1106"/>
      <c r="L1106"/>
      <c r="M1106"/>
      <c r="N1106"/>
      <c r="O1106"/>
    </row>
    <row r="1107" spans="1:15" x14ac:dyDescent="0.2">
      <c r="A1107"/>
      <c r="B1107"/>
      <c r="C1107"/>
      <c r="F1107"/>
      <c r="G1107"/>
      <c r="H1107"/>
      <c r="J1107"/>
      <c r="K1107"/>
      <c r="L1107"/>
      <c r="M1107"/>
      <c r="N1107"/>
      <c r="O1107"/>
    </row>
    <row r="1108" spans="1:15" x14ac:dyDescent="0.2">
      <c r="A1108"/>
      <c r="B1108"/>
      <c r="C1108"/>
      <c r="F1108"/>
      <c r="G1108"/>
      <c r="I1108"/>
      <c r="L1108"/>
      <c r="M1108"/>
      <c r="N1108"/>
      <c r="O1108"/>
    </row>
    <row r="1109" spans="1:15" x14ac:dyDescent="0.2">
      <c r="A1109"/>
      <c r="B1109"/>
      <c r="C1109"/>
      <c r="F1109"/>
      <c r="G1109"/>
      <c r="J1109"/>
      <c r="K1109"/>
      <c r="L1109"/>
      <c r="M1109"/>
      <c r="N1109"/>
      <c r="O1109"/>
    </row>
    <row r="1110" spans="1:15" x14ac:dyDescent="0.2">
      <c r="A1110"/>
      <c r="B1110"/>
      <c r="C1110"/>
      <c r="F1110"/>
      <c r="G1110"/>
      <c r="I1110"/>
      <c r="L1110"/>
      <c r="M1110"/>
      <c r="N1110"/>
      <c r="O1110"/>
    </row>
    <row r="1111" spans="1:15" x14ac:dyDescent="0.2">
      <c r="A1111"/>
      <c r="B1111"/>
      <c r="C1111"/>
      <c r="F1111"/>
      <c r="G1111"/>
      <c r="I1111"/>
      <c r="L1111"/>
      <c r="M1111"/>
      <c r="N1111"/>
      <c r="O1111"/>
    </row>
    <row r="1112" spans="1:15" x14ac:dyDescent="0.2">
      <c r="A1112"/>
      <c r="B1112"/>
      <c r="C1112"/>
      <c r="F1112"/>
      <c r="G1112"/>
      <c r="M1112"/>
      <c r="N1112"/>
      <c r="O1112"/>
    </row>
    <row r="1113" spans="1:15" x14ac:dyDescent="0.2">
      <c r="A1113"/>
      <c r="B1113"/>
      <c r="C1113"/>
      <c r="F1113"/>
      <c r="G1113"/>
      <c r="H1113"/>
      <c r="L1113"/>
      <c r="M1113"/>
      <c r="N1113"/>
      <c r="O1113"/>
    </row>
    <row r="1114" spans="1:15" x14ac:dyDescent="0.2">
      <c r="A1114"/>
      <c r="B1114"/>
      <c r="C1114"/>
      <c r="F1114"/>
      <c r="G1114"/>
      <c r="I1114"/>
      <c r="L1114"/>
      <c r="M1114"/>
      <c r="N1114"/>
      <c r="O1114"/>
    </row>
    <row r="1115" spans="1:15" x14ac:dyDescent="0.2">
      <c r="A1115"/>
      <c r="B1115"/>
      <c r="C1115"/>
      <c r="F1115"/>
      <c r="G1115"/>
      <c r="H1115"/>
      <c r="I1115"/>
      <c r="L1115"/>
      <c r="M1115"/>
      <c r="N1115"/>
      <c r="O1115"/>
    </row>
    <row r="1116" spans="1:15" x14ac:dyDescent="0.2">
      <c r="A1116"/>
      <c r="B1116"/>
      <c r="C1116"/>
      <c r="F1116"/>
      <c r="G1116"/>
      <c r="H1116"/>
      <c r="I1116"/>
      <c r="L1116"/>
      <c r="M1116"/>
      <c r="N1116"/>
      <c r="O1116"/>
    </row>
    <row r="1117" spans="1:15" x14ac:dyDescent="0.2">
      <c r="A1117"/>
      <c r="B1117"/>
      <c r="C1117"/>
      <c r="F1117"/>
      <c r="G1117"/>
      <c r="H1117"/>
      <c r="J1117"/>
      <c r="K1117"/>
      <c r="L1117"/>
      <c r="M1117"/>
      <c r="N1117"/>
      <c r="O1117"/>
    </row>
    <row r="1118" spans="1:15" x14ac:dyDescent="0.2">
      <c r="A1118"/>
      <c r="B1118"/>
      <c r="C1118"/>
      <c r="F1118"/>
      <c r="G1118"/>
      <c r="L1118"/>
      <c r="M1118"/>
      <c r="N1118"/>
      <c r="O1118"/>
    </row>
    <row r="1119" spans="1:15" x14ac:dyDescent="0.2">
      <c r="A1119"/>
      <c r="B1119"/>
      <c r="C1119"/>
      <c r="F1119"/>
      <c r="G1119"/>
      <c r="H1119"/>
      <c r="L1119"/>
      <c r="M1119"/>
      <c r="N1119"/>
      <c r="O1119"/>
    </row>
    <row r="1120" spans="1:15" x14ac:dyDescent="0.2">
      <c r="A1120"/>
      <c r="B1120"/>
      <c r="C1120"/>
      <c r="F1120"/>
      <c r="G1120"/>
      <c r="J1120"/>
      <c r="K1120"/>
      <c r="L1120"/>
      <c r="M1120"/>
      <c r="N1120"/>
      <c r="O1120"/>
    </row>
    <row r="1121" spans="1:15" x14ac:dyDescent="0.2">
      <c r="A1121"/>
      <c r="B1121"/>
      <c r="C1121"/>
      <c r="F1121"/>
      <c r="G1121"/>
      <c r="L1121"/>
      <c r="M1121"/>
      <c r="N1121"/>
      <c r="O1121"/>
    </row>
    <row r="1122" spans="1:15" x14ac:dyDescent="0.2">
      <c r="A1122"/>
      <c r="B1122"/>
      <c r="C1122"/>
      <c r="F1122"/>
      <c r="G1122"/>
      <c r="L1122"/>
      <c r="M1122"/>
      <c r="N1122"/>
      <c r="O1122"/>
    </row>
    <row r="1123" spans="1:15" x14ac:dyDescent="0.2">
      <c r="A1123"/>
      <c r="B1123"/>
      <c r="C1123"/>
      <c r="F1123"/>
      <c r="G1123"/>
      <c r="H1123"/>
      <c r="L1123"/>
      <c r="M1123"/>
      <c r="N1123"/>
      <c r="O1123"/>
    </row>
    <row r="1124" spans="1:15" x14ac:dyDescent="0.2">
      <c r="A1124"/>
      <c r="B1124"/>
      <c r="C1124"/>
      <c r="F1124"/>
      <c r="G1124"/>
      <c r="H1124"/>
      <c r="I1124"/>
      <c r="L1124"/>
      <c r="M1124"/>
      <c r="N1124"/>
      <c r="O1124"/>
    </row>
    <row r="1125" spans="1:15" x14ac:dyDescent="0.2">
      <c r="A1125"/>
      <c r="B1125"/>
      <c r="C1125"/>
      <c r="F1125"/>
      <c r="G1125"/>
      <c r="L1125"/>
      <c r="M1125"/>
      <c r="N1125"/>
      <c r="O1125"/>
    </row>
    <row r="1126" spans="1:15" x14ac:dyDescent="0.2">
      <c r="A1126"/>
      <c r="B1126"/>
      <c r="C1126"/>
      <c r="F1126"/>
      <c r="G1126"/>
      <c r="L1126"/>
      <c r="M1126"/>
      <c r="N1126"/>
      <c r="O1126"/>
    </row>
    <row r="1127" spans="1:15" x14ac:dyDescent="0.2">
      <c r="A1127"/>
      <c r="B1127"/>
      <c r="C1127"/>
      <c r="F1127"/>
      <c r="G1127"/>
      <c r="H1127"/>
      <c r="I1127"/>
      <c r="L1127"/>
      <c r="M1127"/>
      <c r="N1127"/>
      <c r="O1127"/>
    </row>
    <row r="1128" spans="1:15" x14ac:dyDescent="0.2">
      <c r="A1128"/>
      <c r="B1128"/>
      <c r="C1128"/>
      <c r="F1128"/>
      <c r="G1128"/>
      <c r="J1128"/>
      <c r="K1128"/>
      <c r="L1128"/>
      <c r="M1128"/>
      <c r="N1128"/>
      <c r="O1128"/>
    </row>
    <row r="1129" spans="1:15" x14ac:dyDescent="0.2">
      <c r="A1129"/>
      <c r="B1129"/>
      <c r="C1129"/>
      <c r="F1129"/>
      <c r="G1129"/>
      <c r="I1129"/>
      <c r="L1129"/>
      <c r="M1129"/>
      <c r="N1129"/>
      <c r="O1129"/>
    </row>
    <row r="1130" spans="1:15" x14ac:dyDescent="0.2">
      <c r="A1130"/>
      <c r="B1130"/>
      <c r="C1130"/>
      <c r="F1130"/>
      <c r="G1130"/>
      <c r="H1130"/>
      <c r="I1130"/>
      <c r="L1130"/>
      <c r="M1130"/>
      <c r="N1130"/>
      <c r="O1130"/>
    </row>
    <row r="1131" spans="1:15" x14ac:dyDescent="0.2">
      <c r="A1131"/>
      <c r="B1131"/>
      <c r="C1131"/>
      <c r="F1131"/>
      <c r="G1131"/>
      <c r="H1131"/>
      <c r="J1131"/>
      <c r="L1131"/>
      <c r="M1131"/>
      <c r="N1131"/>
      <c r="O1131"/>
    </row>
    <row r="1132" spans="1:15" x14ac:dyDescent="0.2">
      <c r="A1132"/>
      <c r="B1132"/>
      <c r="C1132"/>
      <c r="F1132"/>
      <c r="G1132"/>
      <c r="H1132"/>
      <c r="I1132"/>
      <c r="L1132"/>
      <c r="M1132"/>
      <c r="N1132"/>
      <c r="O1132"/>
    </row>
    <row r="1133" spans="1:15" x14ac:dyDescent="0.2">
      <c r="A1133"/>
      <c r="B1133"/>
      <c r="C1133"/>
      <c r="F1133"/>
      <c r="G1133"/>
      <c r="H1133"/>
      <c r="I1133"/>
      <c r="L1133"/>
      <c r="M1133"/>
      <c r="N1133"/>
      <c r="O1133"/>
    </row>
    <row r="1134" spans="1:15" x14ac:dyDescent="0.2">
      <c r="A1134"/>
      <c r="B1134"/>
      <c r="C1134"/>
      <c r="F1134"/>
      <c r="G1134"/>
      <c r="L1134"/>
      <c r="M1134"/>
      <c r="N1134"/>
      <c r="O1134"/>
    </row>
    <row r="1135" spans="1:15" x14ac:dyDescent="0.2">
      <c r="A1135"/>
      <c r="B1135"/>
      <c r="C1135"/>
      <c r="F1135"/>
      <c r="G1135"/>
      <c r="H1135"/>
      <c r="I1135"/>
      <c r="L1135"/>
      <c r="M1135"/>
      <c r="N1135"/>
      <c r="O1135"/>
    </row>
    <row r="1136" spans="1:15" x14ac:dyDescent="0.2">
      <c r="A1136"/>
      <c r="B1136"/>
      <c r="C1136"/>
      <c r="F1136"/>
      <c r="G1136"/>
      <c r="H1136"/>
      <c r="I1136"/>
      <c r="L1136"/>
      <c r="M1136"/>
      <c r="N1136"/>
      <c r="O1136"/>
    </row>
    <row r="1137" spans="1:15" x14ac:dyDescent="0.2">
      <c r="A1137"/>
      <c r="B1137"/>
      <c r="C1137"/>
      <c r="F1137"/>
      <c r="G1137"/>
      <c r="I1137"/>
      <c r="L1137"/>
      <c r="M1137"/>
      <c r="N1137"/>
      <c r="O1137"/>
    </row>
    <row r="1138" spans="1:15" x14ac:dyDescent="0.2">
      <c r="A1138"/>
      <c r="B1138"/>
      <c r="C1138"/>
      <c r="F1138"/>
      <c r="G1138"/>
      <c r="H1138"/>
      <c r="I1138"/>
      <c r="L1138"/>
      <c r="N1138"/>
      <c r="O1138"/>
    </row>
    <row r="1139" spans="1:15" x14ac:dyDescent="0.2">
      <c r="A1139"/>
      <c r="B1139"/>
      <c r="C1139"/>
      <c r="F1139"/>
      <c r="G1139"/>
      <c r="I1139"/>
      <c r="L1139"/>
      <c r="M1139"/>
      <c r="N1139"/>
      <c r="O1139"/>
    </row>
    <row r="1140" spans="1:15" x14ac:dyDescent="0.2">
      <c r="A1140"/>
      <c r="B1140"/>
      <c r="C1140"/>
      <c r="F1140"/>
      <c r="G1140"/>
      <c r="I1140"/>
      <c r="L1140"/>
      <c r="M1140"/>
      <c r="N1140"/>
      <c r="O1140"/>
    </row>
    <row r="1141" spans="1:15" x14ac:dyDescent="0.2">
      <c r="A1141"/>
      <c r="B1141"/>
      <c r="C1141"/>
      <c r="F1141"/>
      <c r="G1141"/>
      <c r="J1141"/>
      <c r="K1141"/>
      <c r="L1141"/>
      <c r="M1141"/>
      <c r="N1141"/>
      <c r="O1141"/>
    </row>
    <row r="1142" spans="1:15" x14ac:dyDescent="0.2">
      <c r="A1142"/>
      <c r="B1142"/>
      <c r="C1142"/>
      <c r="F1142"/>
      <c r="G1142"/>
      <c r="I1142"/>
      <c r="L1142"/>
      <c r="M1142"/>
      <c r="N1142"/>
      <c r="O1142"/>
    </row>
    <row r="1143" spans="1:15" x14ac:dyDescent="0.2">
      <c r="A1143"/>
      <c r="B1143"/>
      <c r="C1143"/>
      <c r="F1143"/>
      <c r="G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I1145"/>
      <c r="L1145"/>
      <c r="M1145"/>
      <c r="N1145"/>
      <c r="O1145"/>
    </row>
    <row r="1146" spans="1:15" x14ac:dyDescent="0.2">
      <c r="A1146"/>
      <c r="B1146"/>
      <c r="C1146"/>
      <c r="F1146"/>
      <c r="G1146"/>
      <c r="H1146"/>
      <c r="I1146"/>
      <c r="L1146"/>
      <c r="M1146"/>
      <c r="N1146"/>
      <c r="O1146"/>
    </row>
    <row r="1147" spans="1:15" x14ac:dyDescent="0.2">
      <c r="A1147"/>
      <c r="B1147"/>
      <c r="C1147"/>
      <c r="F1147"/>
      <c r="G1147"/>
      <c r="H1147"/>
      <c r="I1147"/>
      <c r="L1147"/>
      <c r="M1147"/>
      <c r="N1147"/>
      <c r="O1147"/>
    </row>
    <row r="1148" spans="1:15" x14ac:dyDescent="0.2">
      <c r="A1148"/>
      <c r="B1148"/>
      <c r="C1148"/>
      <c r="F1148"/>
      <c r="G1148"/>
      <c r="I1148"/>
      <c r="L1148"/>
      <c r="M1148"/>
      <c r="N1148"/>
      <c r="O1148"/>
    </row>
    <row r="1149" spans="1:15" x14ac:dyDescent="0.2">
      <c r="A1149"/>
      <c r="B1149"/>
      <c r="C1149"/>
      <c r="F1149"/>
      <c r="G1149"/>
      <c r="H1149"/>
      <c r="I1149"/>
      <c r="L1149"/>
      <c r="M1149"/>
      <c r="N1149"/>
      <c r="O1149"/>
    </row>
    <row r="1150" spans="1:15" x14ac:dyDescent="0.2">
      <c r="A1150"/>
      <c r="B1150"/>
      <c r="C1150"/>
      <c r="F1150"/>
      <c r="G1150"/>
      <c r="H1150"/>
      <c r="I1150"/>
      <c r="L1150"/>
      <c r="N1150"/>
      <c r="O1150"/>
    </row>
    <row r="1151" spans="1:15" x14ac:dyDescent="0.2">
      <c r="A1151"/>
      <c r="B1151"/>
      <c r="C1151"/>
      <c r="F1151"/>
      <c r="G1151"/>
      <c r="I1151"/>
      <c r="L1151"/>
      <c r="M1151"/>
      <c r="N1151"/>
      <c r="O1151"/>
    </row>
    <row r="1152" spans="1:15" x14ac:dyDescent="0.2">
      <c r="A1152"/>
      <c r="B1152"/>
      <c r="C1152"/>
      <c r="F1152"/>
      <c r="G1152"/>
      <c r="H1152"/>
      <c r="I1152"/>
      <c r="L1152"/>
      <c r="M1152"/>
      <c r="N1152"/>
      <c r="O1152"/>
    </row>
    <row r="1153" spans="1:15" x14ac:dyDescent="0.2">
      <c r="A1153"/>
      <c r="B1153"/>
      <c r="C1153"/>
      <c r="F1153"/>
      <c r="G1153"/>
      <c r="L1153"/>
      <c r="M1153"/>
      <c r="N1153"/>
      <c r="O1153"/>
    </row>
    <row r="1154" spans="1:15" x14ac:dyDescent="0.2">
      <c r="A1154"/>
      <c r="B1154"/>
      <c r="C1154"/>
      <c r="F1154"/>
      <c r="G1154"/>
      <c r="H1154"/>
      <c r="L1154"/>
      <c r="M1154"/>
      <c r="N1154"/>
      <c r="O1154"/>
    </row>
    <row r="1155" spans="1:15" x14ac:dyDescent="0.2">
      <c r="A1155"/>
      <c r="B1155"/>
      <c r="C1155"/>
      <c r="F1155"/>
      <c r="G1155"/>
      <c r="H1155"/>
      <c r="I1155"/>
      <c r="L1155"/>
      <c r="M1155"/>
      <c r="N1155"/>
      <c r="O1155"/>
    </row>
    <row r="1156" spans="1:15" x14ac:dyDescent="0.2">
      <c r="A1156"/>
      <c r="B1156"/>
      <c r="C1156"/>
      <c r="F1156"/>
      <c r="G1156"/>
      <c r="H1156"/>
      <c r="J1156"/>
      <c r="K1156"/>
      <c r="L1156"/>
      <c r="M1156"/>
      <c r="N1156"/>
      <c r="O1156"/>
    </row>
    <row r="1157" spans="1:15" x14ac:dyDescent="0.2">
      <c r="A1157"/>
      <c r="B1157"/>
      <c r="C1157"/>
      <c r="F1157"/>
      <c r="G1157"/>
      <c r="H1157"/>
      <c r="I1157"/>
      <c r="L1157"/>
      <c r="M1157"/>
      <c r="N1157"/>
      <c r="O1157"/>
    </row>
    <row r="1158" spans="1:15" x14ac:dyDescent="0.2">
      <c r="A1158"/>
      <c r="B1158"/>
      <c r="C1158"/>
      <c r="F1158"/>
      <c r="G1158"/>
      <c r="L1158"/>
      <c r="M1158"/>
      <c r="N1158"/>
      <c r="O1158"/>
    </row>
    <row r="1159" spans="1:15" x14ac:dyDescent="0.2">
      <c r="A1159"/>
      <c r="B1159"/>
      <c r="C1159"/>
      <c r="F1159"/>
      <c r="G1159"/>
      <c r="H1159"/>
      <c r="I1159"/>
      <c r="L1159"/>
      <c r="M1159"/>
      <c r="N1159"/>
      <c r="O1159"/>
    </row>
    <row r="1160" spans="1:15" x14ac:dyDescent="0.2">
      <c r="A1160"/>
      <c r="B1160"/>
      <c r="C1160"/>
      <c r="F1160"/>
      <c r="G1160"/>
      <c r="M1160"/>
      <c r="N1160"/>
      <c r="O1160"/>
    </row>
    <row r="1161" spans="1:15" x14ac:dyDescent="0.2">
      <c r="A1161"/>
      <c r="B1161"/>
      <c r="C1161"/>
      <c r="F1161"/>
      <c r="G1161"/>
      <c r="H1161"/>
      <c r="L1161"/>
      <c r="M1161"/>
      <c r="N1161"/>
      <c r="O1161"/>
    </row>
    <row r="1162" spans="1:15" x14ac:dyDescent="0.2">
      <c r="A1162"/>
      <c r="B1162"/>
      <c r="C1162"/>
      <c r="F1162"/>
      <c r="G1162"/>
      <c r="H1162"/>
      <c r="I1162"/>
      <c r="L1162"/>
      <c r="M1162"/>
      <c r="N1162"/>
      <c r="O1162"/>
    </row>
    <row r="1163" spans="1:15" x14ac:dyDescent="0.2">
      <c r="A1163"/>
      <c r="B1163"/>
      <c r="C1163"/>
      <c r="F1163"/>
      <c r="G1163"/>
      <c r="L1163"/>
      <c r="M1163"/>
      <c r="N1163"/>
      <c r="O1163"/>
    </row>
    <row r="1164" spans="1:15" x14ac:dyDescent="0.2">
      <c r="A1164"/>
      <c r="B1164"/>
      <c r="C1164"/>
      <c r="F1164"/>
      <c r="G1164"/>
      <c r="I1164"/>
      <c r="L1164"/>
      <c r="M1164"/>
      <c r="N1164"/>
      <c r="O1164"/>
    </row>
    <row r="1165" spans="1:15" x14ac:dyDescent="0.2">
      <c r="A1165"/>
      <c r="B1165"/>
      <c r="C1165"/>
      <c r="F1165"/>
      <c r="G1165"/>
      <c r="H1165"/>
      <c r="J1165"/>
      <c r="K1165"/>
      <c r="L1165"/>
      <c r="M1165"/>
      <c r="N1165"/>
      <c r="O1165"/>
    </row>
    <row r="1166" spans="1:15" x14ac:dyDescent="0.2">
      <c r="A1166"/>
      <c r="B1166"/>
      <c r="C1166"/>
      <c r="F1166"/>
      <c r="G1166"/>
      <c r="L1166"/>
      <c r="M1166"/>
      <c r="N1166"/>
      <c r="O1166"/>
    </row>
    <row r="1167" spans="1:15" x14ac:dyDescent="0.2">
      <c r="A1167"/>
      <c r="B1167"/>
      <c r="C1167"/>
      <c r="F1167"/>
      <c r="G1167"/>
      <c r="H1167"/>
      <c r="J1167"/>
      <c r="K1167"/>
      <c r="L1167"/>
      <c r="M1167"/>
      <c r="N1167"/>
      <c r="O1167"/>
    </row>
    <row r="1168" spans="1:15" x14ac:dyDescent="0.2">
      <c r="A1168"/>
      <c r="B1168"/>
      <c r="C1168"/>
      <c r="F1168"/>
      <c r="G1168"/>
      <c r="H1168"/>
      <c r="J1168"/>
      <c r="K1168"/>
      <c r="L1168"/>
      <c r="M1168"/>
      <c r="N1168"/>
      <c r="O1168"/>
    </row>
    <row r="1169" spans="1:15" x14ac:dyDescent="0.2">
      <c r="A1169"/>
      <c r="B1169"/>
      <c r="C1169"/>
      <c r="F1169"/>
      <c r="G1169"/>
      <c r="H1169"/>
      <c r="L1169"/>
      <c r="M1169"/>
      <c r="N1169"/>
      <c r="O1169"/>
    </row>
    <row r="1170" spans="1:15" x14ac:dyDescent="0.2">
      <c r="A1170"/>
      <c r="B1170"/>
      <c r="C1170"/>
      <c r="F1170"/>
      <c r="G1170"/>
      <c r="H1170"/>
      <c r="J1170"/>
      <c r="K1170"/>
      <c r="L1170"/>
      <c r="M1170"/>
      <c r="N1170"/>
      <c r="O1170"/>
    </row>
    <row r="1171" spans="1:15" x14ac:dyDescent="0.2">
      <c r="A1171"/>
      <c r="B1171"/>
      <c r="C1171"/>
      <c r="F1171"/>
      <c r="G1171"/>
      <c r="H1171"/>
      <c r="I1171"/>
      <c r="L1171"/>
      <c r="M1171"/>
      <c r="N1171"/>
      <c r="O1171"/>
    </row>
    <row r="1172" spans="1:15" x14ac:dyDescent="0.2">
      <c r="A1172"/>
      <c r="B1172"/>
      <c r="C1172"/>
      <c r="F1172"/>
      <c r="G1172"/>
      <c r="H1172"/>
      <c r="I1172"/>
      <c r="L1172"/>
      <c r="M1172"/>
      <c r="N1172"/>
      <c r="O1172"/>
    </row>
    <row r="1173" spans="1:15" x14ac:dyDescent="0.2">
      <c r="A1173"/>
      <c r="B1173"/>
      <c r="C1173"/>
      <c r="F1173"/>
      <c r="G1173"/>
      <c r="H1173"/>
      <c r="I1173"/>
      <c r="L1173"/>
      <c r="M1173"/>
      <c r="N1173"/>
      <c r="O1173"/>
    </row>
    <row r="1174" spans="1:15" x14ac:dyDescent="0.2">
      <c r="A1174"/>
      <c r="B1174"/>
      <c r="C1174"/>
      <c r="F1174"/>
      <c r="G1174"/>
      <c r="H1174"/>
      <c r="I1174"/>
      <c r="L1174"/>
      <c r="M1174"/>
      <c r="N1174"/>
      <c r="O1174"/>
    </row>
    <row r="1175" spans="1:15" x14ac:dyDescent="0.2">
      <c r="A1175"/>
      <c r="B1175"/>
      <c r="C1175"/>
      <c r="F1175"/>
      <c r="G1175"/>
      <c r="H1175"/>
      <c r="I1175"/>
      <c r="L1175"/>
      <c r="M1175"/>
      <c r="N1175"/>
      <c r="O1175"/>
    </row>
    <row r="1176" spans="1:15" x14ac:dyDescent="0.2">
      <c r="A1176"/>
      <c r="B1176"/>
      <c r="C1176"/>
      <c r="F1176"/>
      <c r="G1176"/>
      <c r="J1176"/>
      <c r="K1176"/>
      <c r="L1176"/>
      <c r="M1176"/>
      <c r="N1176"/>
      <c r="O1176"/>
    </row>
    <row r="1177" spans="1:15" x14ac:dyDescent="0.2">
      <c r="A1177"/>
      <c r="B1177"/>
      <c r="C1177"/>
      <c r="F1177"/>
      <c r="G1177"/>
      <c r="I1177"/>
      <c r="L1177"/>
      <c r="M1177"/>
      <c r="N1177"/>
      <c r="O1177"/>
    </row>
    <row r="1178" spans="1:15" x14ac:dyDescent="0.2">
      <c r="A1178"/>
      <c r="B1178"/>
      <c r="C1178"/>
      <c r="F1178"/>
      <c r="G1178"/>
      <c r="H1178"/>
      <c r="I1178"/>
      <c r="L1178"/>
      <c r="M1178"/>
      <c r="N1178"/>
      <c r="O1178"/>
    </row>
    <row r="1179" spans="1:15" x14ac:dyDescent="0.2">
      <c r="A1179"/>
      <c r="B1179"/>
      <c r="C1179"/>
      <c r="F1179"/>
      <c r="G1179"/>
      <c r="H1179"/>
      <c r="I1179"/>
      <c r="L1179"/>
      <c r="M1179"/>
      <c r="N1179"/>
      <c r="O1179"/>
    </row>
    <row r="1180" spans="1:15" x14ac:dyDescent="0.2">
      <c r="A1180"/>
      <c r="B1180"/>
      <c r="C1180"/>
      <c r="F1180"/>
      <c r="G1180"/>
      <c r="H1180"/>
      <c r="I1180"/>
      <c r="L1180"/>
      <c r="M1180"/>
      <c r="N1180"/>
      <c r="O1180"/>
    </row>
    <row r="1181" spans="1:15" x14ac:dyDescent="0.2">
      <c r="A1181"/>
      <c r="B1181"/>
      <c r="C1181"/>
      <c r="F1181"/>
      <c r="G1181"/>
      <c r="H1181"/>
      <c r="I1181"/>
      <c r="L1181"/>
      <c r="M1181"/>
      <c r="N1181"/>
      <c r="O1181"/>
    </row>
    <row r="1182" spans="1:15" x14ac:dyDescent="0.2">
      <c r="A1182"/>
      <c r="B1182"/>
      <c r="C1182"/>
      <c r="F1182"/>
      <c r="G1182"/>
      <c r="J1182"/>
      <c r="K1182"/>
      <c r="L1182"/>
      <c r="M1182"/>
      <c r="N1182"/>
      <c r="O1182"/>
    </row>
    <row r="1183" spans="1:15" x14ac:dyDescent="0.2">
      <c r="A1183"/>
      <c r="B1183"/>
      <c r="C1183"/>
      <c r="F1183"/>
      <c r="G1183"/>
      <c r="H1183"/>
      <c r="I1183"/>
      <c r="L1183"/>
      <c r="N1183"/>
      <c r="O1183"/>
    </row>
    <row r="1184" spans="1:15" x14ac:dyDescent="0.2">
      <c r="A1184"/>
      <c r="B1184"/>
      <c r="C1184"/>
      <c r="F1184"/>
      <c r="G1184"/>
      <c r="J1184"/>
      <c r="K1184"/>
      <c r="L1184"/>
      <c r="M1184"/>
      <c r="N1184"/>
      <c r="O1184"/>
    </row>
    <row r="1185" spans="1:15" x14ac:dyDescent="0.2">
      <c r="A1185"/>
      <c r="B1185"/>
      <c r="C1185"/>
      <c r="F1185"/>
      <c r="G1185"/>
      <c r="H1185"/>
      <c r="I1185"/>
      <c r="L1185"/>
      <c r="M1185"/>
      <c r="N1185"/>
      <c r="O1185"/>
    </row>
    <row r="1186" spans="1:15" x14ac:dyDescent="0.2">
      <c r="A1186"/>
      <c r="B1186"/>
      <c r="C1186"/>
      <c r="F1186"/>
      <c r="G1186"/>
      <c r="I1186"/>
      <c r="L1186"/>
      <c r="M1186"/>
      <c r="N1186"/>
      <c r="O1186"/>
    </row>
    <row r="1187" spans="1:15" x14ac:dyDescent="0.2">
      <c r="A1187"/>
      <c r="B1187"/>
      <c r="C1187"/>
      <c r="F1187"/>
      <c r="G1187"/>
      <c r="J1187"/>
      <c r="K1187"/>
      <c r="L1187"/>
      <c r="M1187"/>
      <c r="N1187"/>
      <c r="O1187"/>
    </row>
    <row r="1188" spans="1:15" x14ac:dyDescent="0.2">
      <c r="A1188"/>
      <c r="B1188"/>
      <c r="C1188"/>
      <c r="F1188"/>
      <c r="G1188"/>
      <c r="L1188"/>
      <c r="M1188"/>
      <c r="N1188"/>
      <c r="O1188"/>
    </row>
    <row r="1189" spans="1:15" x14ac:dyDescent="0.2">
      <c r="A1189"/>
      <c r="B1189"/>
      <c r="C1189"/>
      <c r="F1189"/>
      <c r="G1189"/>
      <c r="H1189"/>
      <c r="I1189"/>
      <c r="L1189"/>
      <c r="M1189"/>
      <c r="N1189"/>
      <c r="O1189"/>
    </row>
    <row r="1190" spans="1:15" x14ac:dyDescent="0.2">
      <c r="A1190"/>
      <c r="B1190"/>
      <c r="C1190"/>
      <c r="F1190"/>
      <c r="G1190"/>
      <c r="I1190"/>
      <c r="L1190"/>
      <c r="M1190"/>
      <c r="N1190"/>
      <c r="O1190"/>
    </row>
    <row r="1191" spans="1:15" x14ac:dyDescent="0.2">
      <c r="A1191"/>
      <c r="B1191"/>
      <c r="C1191"/>
      <c r="F1191"/>
      <c r="G1191"/>
      <c r="I1191"/>
      <c r="L1191"/>
      <c r="M1191"/>
      <c r="N1191"/>
      <c r="O1191"/>
    </row>
    <row r="1192" spans="1:15" x14ac:dyDescent="0.2">
      <c r="A1192"/>
      <c r="B1192"/>
      <c r="C1192"/>
      <c r="F1192"/>
      <c r="G1192"/>
      <c r="H1192"/>
      <c r="L1192"/>
      <c r="M1192"/>
      <c r="N1192"/>
      <c r="O1192"/>
    </row>
    <row r="1193" spans="1:15" x14ac:dyDescent="0.2">
      <c r="A1193"/>
      <c r="B1193"/>
      <c r="C1193"/>
      <c r="F1193"/>
      <c r="G1193"/>
      <c r="H1193"/>
      <c r="I1193"/>
      <c r="L1193"/>
      <c r="M1193"/>
      <c r="N1193"/>
      <c r="O1193"/>
    </row>
    <row r="1194" spans="1:15" x14ac:dyDescent="0.2">
      <c r="A1194"/>
      <c r="B1194"/>
      <c r="C1194"/>
      <c r="F1194"/>
      <c r="G1194"/>
      <c r="I1194"/>
      <c r="L1194"/>
      <c r="M1194"/>
      <c r="N1194"/>
      <c r="O1194"/>
    </row>
    <row r="1195" spans="1:15" x14ac:dyDescent="0.2">
      <c r="A1195"/>
      <c r="B1195"/>
      <c r="C1195"/>
      <c r="F1195"/>
      <c r="G1195"/>
      <c r="H1195"/>
      <c r="J1195"/>
      <c r="K1195"/>
      <c r="L1195"/>
      <c r="M1195"/>
      <c r="N1195"/>
      <c r="O1195"/>
    </row>
    <row r="1196" spans="1:15" x14ac:dyDescent="0.2">
      <c r="A1196"/>
      <c r="B1196"/>
      <c r="C1196"/>
      <c r="F1196"/>
      <c r="G1196"/>
      <c r="H1196"/>
      <c r="I1196"/>
      <c r="L1196"/>
      <c r="M1196"/>
      <c r="N1196"/>
      <c r="O1196"/>
    </row>
    <row r="1197" spans="1:15" x14ac:dyDescent="0.2">
      <c r="A1197"/>
      <c r="B1197"/>
      <c r="C1197"/>
      <c r="F1197"/>
      <c r="G1197"/>
      <c r="H1197"/>
      <c r="I1197"/>
      <c r="L1197"/>
      <c r="M1197"/>
      <c r="N1197"/>
      <c r="O1197"/>
    </row>
    <row r="1198" spans="1:15" x14ac:dyDescent="0.2">
      <c r="A1198"/>
      <c r="B1198"/>
      <c r="C1198"/>
      <c r="F1198"/>
      <c r="G1198"/>
      <c r="L1198"/>
      <c r="M1198"/>
      <c r="N1198"/>
      <c r="O1198"/>
    </row>
    <row r="1199" spans="1:15" x14ac:dyDescent="0.2">
      <c r="A1199"/>
      <c r="B1199"/>
      <c r="C1199"/>
      <c r="F1199"/>
      <c r="G1199"/>
      <c r="H1199"/>
      <c r="I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I1202"/>
      <c r="L1202"/>
      <c r="M1202"/>
      <c r="N1202"/>
      <c r="O1202"/>
    </row>
    <row r="1203" spans="1:15" x14ac:dyDescent="0.2">
      <c r="A1203"/>
      <c r="B1203"/>
      <c r="C1203"/>
      <c r="F1203"/>
      <c r="G1203"/>
      <c r="H1203"/>
      <c r="I1203"/>
      <c r="L1203"/>
      <c r="M1203"/>
      <c r="N1203"/>
      <c r="O1203"/>
    </row>
    <row r="1204" spans="1:15" x14ac:dyDescent="0.2">
      <c r="A1204"/>
      <c r="B1204"/>
      <c r="C1204"/>
      <c r="F1204"/>
      <c r="G1204"/>
      <c r="I1204"/>
      <c r="L1204"/>
      <c r="M1204"/>
      <c r="N1204"/>
      <c r="O1204"/>
    </row>
    <row r="1205" spans="1:15" x14ac:dyDescent="0.2">
      <c r="A1205"/>
      <c r="B1205"/>
      <c r="C1205"/>
      <c r="F1205"/>
      <c r="G1205"/>
      <c r="L1205"/>
      <c r="M1205"/>
      <c r="N1205"/>
      <c r="O1205"/>
    </row>
    <row r="1206" spans="1:15" x14ac:dyDescent="0.2">
      <c r="A1206"/>
      <c r="B1206"/>
      <c r="C1206"/>
      <c r="F1206"/>
      <c r="G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L1209"/>
      <c r="M1209"/>
      <c r="N1209"/>
      <c r="O1209"/>
    </row>
    <row r="1210" spans="1:15" x14ac:dyDescent="0.2">
      <c r="A1210"/>
      <c r="B1210"/>
      <c r="C1210"/>
      <c r="F1210"/>
      <c r="G1210"/>
      <c r="H1210"/>
      <c r="M1210"/>
      <c r="N1210"/>
      <c r="O1210"/>
    </row>
    <row r="1211" spans="1:15" x14ac:dyDescent="0.2">
      <c r="A1211"/>
      <c r="B1211"/>
      <c r="C1211"/>
      <c r="F1211"/>
      <c r="G1211"/>
      <c r="H1211"/>
      <c r="I1211"/>
      <c r="L1211"/>
      <c r="M1211"/>
      <c r="N1211"/>
      <c r="O1211"/>
    </row>
    <row r="1212" spans="1:15" x14ac:dyDescent="0.2">
      <c r="A1212"/>
      <c r="B1212"/>
      <c r="C1212"/>
      <c r="F1212"/>
      <c r="G1212"/>
      <c r="H1212"/>
      <c r="I1212"/>
      <c r="L1212"/>
      <c r="M1212"/>
      <c r="N1212"/>
      <c r="O1212"/>
    </row>
    <row r="1213" spans="1:15" x14ac:dyDescent="0.2">
      <c r="A1213"/>
      <c r="B1213"/>
      <c r="C1213"/>
      <c r="F1213"/>
      <c r="G1213"/>
      <c r="L1213"/>
      <c r="M1213"/>
      <c r="N1213"/>
      <c r="O1213"/>
    </row>
    <row r="1214" spans="1:15" x14ac:dyDescent="0.2">
      <c r="A1214"/>
      <c r="B1214"/>
      <c r="C1214"/>
      <c r="F1214"/>
      <c r="G1214"/>
      <c r="H1214"/>
      <c r="I1214"/>
      <c r="J1214"/>
      <c r="K1214"/>
      <c r="L1214"/>
      <c r="M1214"/>
      <c r="N1214"/>
      <c r="O1214"/>
    </row>
    <row r="1215" spans="1:15" x14ac:dyDescent="0.2">
      <c r="A1215"/>
      <c r="B1215"/>
      <c r="C1215"/>
      <c r="F1215"/>
      <c r="G1215"/>
      <c r="H1215"/>
      <c r="I1215"/>
      <c r="L1215"/>
      <c r="M1215"/>
      <c r="N1215"/>
      <c r="O1215"/>
    </row>
    <row r="1216" spans="1:15" x14ac:dyDescent="0.2">
      <c r="A1216"/>
      <c r="B1216"/>
      <c r="C1216"/>
      <c r="F1216"/>
      <c r="G1216"/>
      <c r="H1216"/>
      <c r="J1216"/>
      <c r="K1216"/>
      <c r="L1216"/>
      <c r="M1216"/>
      <c r="N1216"/>
      <c r="O1216"/>
    </row>
    <row r="1217" spans="1:15" x14ac:dyDescent="0.2">
      <c r="A1217"/>
      <c r="B1217"/>
      <c r="C1217"/>
      <c r="F1217"/>
      <c r="G1217"/>
      <c r="H1217"/>
      <c r="J1217"/>
      <c r="K1217"/>
      <c r="L1217"/>
      <c r="M1217"/>
      <c r="N1217"/>
      <c r="O1217"/>
    </row>
    <row r="1218" spans="1:15" x14ac:dyDescent="0.2">
      <c r="A1218"/>
      <c r="B1218"/>
      <c r="C1218"/>
      <c r="F1218"/>
      <c r="G1218"/>
      <c r="H1218"/>
      <c r="J1218"/>
      <c r="K1218"/>
      <c r="L1218"/>
      <c r="M1218"/>
      <c r="N1218"/>
      <c r="O1218"/>
    </row>
    <row r="1219" spans="1:15" x14ac:dyDescent="0.2">
      <c r="A1219"/>
      <c r="B1219"/>
      <c r="C1219"/>
      <c r="F1219"/>
      <c r="G1219"/>
      <c r="H1219"/>
      <c r="J1219"/>
      <c r="K1219"/>
      <c r="L1219"/>
      <c r="M1219"/>
      <c r="N1219"/>
      <c r="O1219"/>
    </row>
    <row r="1220" spans="1:15" x14ac:dyDescent="0.2">
      <c r="A1220"/>
      <c r="B1220"/>
      <c r="C1220"/>
      <c r="F1220"/>
      <c r="G1220"/>
      <c r="H1220"/>
      <c r="I1220"/>
      <c r="J1220"/>
      <c r="K1220"/>
      <c r="L1220"/>
      <c r="M1220"/>
      <c r="N1220"/>
      <c r="O1220"/>
    </row>
    <row r="1221" spans="1:15" x14ac:dyDescent="0.2">
      <c r="A1221"/>
      <c r="B1221"/>
      <c r="C1221"/>
      <c r="F1221"/>
      <c r="G1221"/>
      <c r="H1221"/>
      <c r="J1221"/>
      <c r="K1221"/>
      <c r="L1221"/>
      <c r="M1221"/>
      <c r="N1221"/>
      <c r="O1221"/>
    </row>
    <row r="1222" spans="1:15" x14ac:dyDescent="0.2">
      <c r="A1222"/>
      <c r="B1222"/>
      <c r="C1222"/>
      <c r="F1222"/>
      <c r="G1222"/>
      <c r="J1222"/>
      <c r="K1222"/>
      <c r="L1222"/>
      <c r="M1222"/>
      <c r="N1222"/>
      <c r="O1222"/>
    </row>
    <row r="1223" spans="1:15" x14ac:dyDescent="0.2">
      <c r="A1223"/>
      <c r="B1223"/>
      <c r="C1223"/>
      <c r="F1223"/>
      <c r="G1223"/>
      <c r="H1223"/>
      <c r="J1223"/>
      <c r="K1223"/>
      <c r="L1223"/>
      <c r="M1223"/>
      <c r="N1223"/>
      <c r="O1223"/>
    </row>
    <row r="1224" spans="1:15" x14ac:dyDescent="0.2">
      <c r="A1224"/>
      <c r="B1224"/>
      <c r="C1224"/>
      <c r="F1224"/>
      <c r="G1224"/>
      <c r="H1224"/>
      <c r="J1224"/>
      <c r="K1224"/>
      <c r="L1224"/>
      <c r="M1224"/>
      <c r="N1224"/>
      <c r="O1224"/>
    </row>
    <row r="1225" spans="1:15" x14ac:dyDescent="0.2">
      <c r="A1225"/>
      <c r="B1225"/>
      <c r="C1225"/>
      <c r="F1225"/>
      <c r="G1225"/>
      <c r="H1225"/>
      <c r="I1225"/>
      <c r="L1225"/>
      <c r="M1225"/>
      <c r="N1225"/>
      <c r="O1225"/>
    </row>
    <row r="1226" spans="1:15" x14ac:dyDescent="0.2">
      <c r="A1226"/>
      <c r="C1226"/>
      <c r="F1226"/>
      <c r="G1226"/>
      <c r="H1226"/>
      <c r="J1226"/>
      <c r="K1226"/>
      <c r="L1226"/>
      <c r="M1226"/>
      <c r="N1226"/>
      <c r="O1226"/>
    </row>
    <row r="1227" spans="1:15" x14ac:dyDescent="0.2">
      <c r="A1227"/>
      <c r="B1227"/>
      <c r="C1227"/>
      <c r="F1227"/>
      <c r="G1227"/>
      <c r="H1227"/>
      <c r="I1227"/>
      <c r="L1227"/>
      <c r="M1227"/>
      <c r="N1227"/>
      <c r="O1227"/>
    </row>
    <row r="1228" spans="1:15" x14ac:dyDescent="0.2">
      <c r="A1228"/>
      <c r="B1228"/>
      <c r="C1228"/>
      <c r="F1228"/>
      <c r="G1228"/>
      <c r="H1228"/>
      <c r="I1228"/>
      <c r="L1228"/>
      <c r="M1228"/>
      <c r="N1228"/>
      <c r="O1228"/>
    </row>
    <row r="1229" spans="1:15" x14ac:dyDescent="0.2">
      <c r="A1229"/>
      <c r="B1229"/>
      <c r="C1229"/>
      <c r="F1229"/>
      <c r="G1229"/>
      <c r="L1229"/>
      <c r="M1229"/>
      <c r="N1229"/>
      <c r="O1229"/>
    </row>
    <row r="1230" spans="1:15" x14ac:dyDescent="0.2">
      <c r="A1230"/>
      <c r="B1230"/>
      <c r="C1230"/>
      <c r="F1230"/>
      <c r="G1230"/>
      <c r="H1230"/>
      <c r="I1230"/>
      <c r="L1230"/>
      <c r="M1230"/>
      <c r="N1230"/>
      <c r="O1230"/>
    </row>
    <row r="1231" spans="1:15" x14ac:dyDescent="0.2">
      <c r="A1231"/>
      <c r="B1231"/>
      <c r="C1231"/>
      <c r="F1231"/>
      <c r="G1231"/>
      <c r="L1231"/>
      <c r="M1231"/>
      <c r="N1231"/>
      <c r="O1231"/>
    </row>
    <row r="1232" spans="1:15" x14ac:dyDescent="0.2">
      <c r="A1232"/>
      <c r="B1232"/>
      <c r="C1232"/>
      <c r="F1232"/>
      <c r="G1232"/>
      <c r="H1232"/>
      <c r="I1232"/>
      <c r="L1232"/>
      <c r="M1232"/>
      <c r="N1232"/>
      <c r="O1232"/>
    </row>
    <row r="1233" spans="1:15" x14ac:dyDescent="0.2">
      <c r="A1233"/>
      <c r="B1233"/>
      <c r="C1233"/>
      <c r="F1233"/>
      <c r="G1233"/>
      <c r="L1233"/>
      <c r="M1233"/>
      <c r="N1233"/>
      <c r="O1233"/>
    </row>
    <row r="1234" spans="1:15" x14ac:dyDescent="0.2">
      <c r="A1234"/>
      <c r="B1234"/>
      <c r="C1234"/>
      <c r="F1234"/>
      <c r="G1234"/>
      <c r="I1234"/>
      <c r="L1234"/>
      <c r="M1234"/>
      <c r="N1234"/>
      <c r="O1234"/>
    </row>
    <row r="1235" spans="1:15" x14ac:dyDescent="0.2">
      <c r="A1235"/>
      <c r="B1235"/>
      <c r="C1235"/>
      <c r="F1235"/>
      <c r="G1235"/>
      <c r="J1235"/>
      <c r="K1235"/>
      <c r="L1235"/>
      <c r="M1235"/>
      <c r="N1235"/>
      <c r="O1235"/>
    </row>
    <row r="1236" spans="1:15" x14ac:dyDescent="0.2">
      <c r="A1236"/>
      <c r="B1236"/>
      <c r="C1236"/>
      <c r="F1236"/>
      <c r="G1236"/>
      <c r="H1236"/>
      <c r="I1236"/>
      <c r="L1236"/>
      <c r="M1236"/>
      <c r="N1236"/>
      <c r="O1236"/>
    </row>
    <row r="1237" spans="1:15" x14ac:dyDescent="0.2">
      <c r="A1237"/>
      <c r="B1237"/>
      <c r="C1237"/>
      <c r="F1237"/>
      <c r="G1237"/>
      <c r="L1237"/>
      <c r="M1237"/>
      <c r="N1237"/>
      <c r="O1237"/>
    </row>
    <row r="1238" spans="1:15" x14ac:dyDescent="0.2">
      <c r="A1238"/>
      <c r="B1238"/>
      <c r="C1238"/>
      <c r="F1238"/>
      <c r="G1238"/>
      <c r="I1238"/>
      <c r="L1238"/>
      <c r="M1238"/>
      <c r="N1238"/>
      <c r="O1238"/>
    </row>
    <row r="1239" spans="1:15" x14ac:dyDescent="0.2">
      <c r="A1239"/>
      <c r="B1239"/>
      <c r="C1239"/>
      <c r="F1239"/>
      <c r="G1239"/>
      <c r="H1239"/>
      <c r="I1239"/>
      <c r="L1239"/>
      <c r="M1239"/>
      <c r="N1239"/>
      <c r="O1239"/>
    </row>
    <row r="1240" spans="1:15" x14ac:dyDescent="0.2">
      <c r="A1240"/>
      <c r="B1240"/>
      <c r="C1240"/>
      <c r="F1240"/>
      <c r="G1240"/>
      <c r="H1240"/>
      <c r="I1240"/>
      <c r="L1240"/>
      <c r="M1240"/>
      <c r="N1240"/>
      <c r="O1240"/>
    </row>
    <row r="1241" spans="1:15" x14ac:dyDescent="0.2">
      <c r="A1241"/>
      <c r="B1241"/>
      <c r="C1241"/>
      <c r="F1241"/>
      <c r="G1241"/>
      <c r="H1241"/>
      <c r="I1241"/>
      <c r="L1241"/>
      <c r="M1241"/>
      <c r="N1241"/>
      <c r="O1241"/>
    </row>
    <row r="1242" spans="1:15" x14ac:dyDescent="0.2">
      <c r="A1242"/>
      <c r="B1242"/>
      <c r="C1242"/>
      <c r="F1242"/>
      <c r="G1242"/>
      <c r="I1242"/>
      <c r="L1242"/>
      <c r="M1242"/>
      <c r="N1242"/>
      <c r="O1242"/>
    </row>
    <row r="1243" spans="1:15" x14ac:dyDescent="0.2">
      <c r="A1243"/>
      <c r="B1243"/>
      <c r="C1243"/>
      <c r="F1243"/>
      <c r="G1243"/>
      <c r="I1243"/>
      <c r="L1243"/>
      <c r="M1243"/>
      <c r="N1243"/>
      <c r="O1243"/>
    </row>
    <row r="1244" spans="1:15" x14ac:dyDescent="0.2">
      <c r="A1244"/>
      <c r="B1244"/>
      <c r="C1244"/>
      <c r="F1244"/>
      <c r="G1244"/>
      <c r="H1244"/>
      <c r="I1244"/>
      <c r="L1244"/>
      <c r="M1244"/>
      <c r="N1244"/>
      <c r="O1244"/>
    </row>
    <row r="1245" spans="1:15" x14ac:dyDescent="0.2">
      <c r="A1245"/>
      <c r="B1245"/>
      <c r="C1245"/>
      <c r="F1245"/>
      <c r="G1245"/>
      <c r="L1245"/>
      <c r="M1245"/>
      <c r="N1245"/>
      <c r="O1245"/>
    </row>
    <row r="1246" spans="1:15" x14ac:dyDescent="0.2">
      <c r="A1246"/>
      <c r="B1246"/>
      <c r="C1246"/>
      <c r="F1246"/>
      <c r="G1246"/>
      <c r="H1246"/>
      <c r="I1246"/>
      <c r="L1246"/>
      <c r="M1246"/>
      <c r="N1246"/>
      <c r="O1246"/>
    </row>
    <row r="1247" spans="1:15" x14ac:dyDescent="0.2">
      <c r="A1247"/>
      <c r="B1247"/>
      <c r="C1247"/>
      <c r="F1247"/>
      <c r="G1247"/>
      <c r="I1247"/>
      <c r="L1247"/>
      <c r="M1247"/>
      <c r="N1247"/>
      <c r="O1247"/>
    </row>
    <row r="1248" spans="1:15" x14ac:dyDescent="0.2">
      <c r="A1248"/>
      <c r="B1248"/>
      <c r="C1248"/>
      <c r="F1248"/>
      <c r="G1248"/>
      <c r="H1248"/>
      <c r="I1248"/>
      <c r="L1248"/>
      <c r="M1248"/>
      <c r="N1248"/>
      <c r="O1248"/>
    </row>
    <row r="1249" spans="1:15" x14ac:dyDescent="0.2">
      <c r="A1249"/>
      <c r="B1249"/>
      <c r="C1249"/>
      <c r="F1249"/>
      <c r="G1249"/>
      <c r="I1249"/>
      <c r="L1249"/>
      <c r="M1249"/>
      <c r="N1249"/>
      <c r="O1249"/>
    </row>
    <row r="1250" spans="1:15" x14ac:dyDescent="0.2">
      <c r="A1250"/>
      <c r="B1250"/>
      <c r="C1250"/>
      <c r="F1250"/>
      <c r="G1250"/>
      <c r="H1250"/>
      <c r="I1250"/>
      <c r="L1250"/>
      <c r="M1250"/>
      <c r="N1250"/>
      <c r="O1250"/>
    </row>
    <row r="1251" spans="1:15" x14ac:dyDescent="0.2">
      <c r="A1251"/>
      <c r="B1251"/>
      <c r="C1251"/>
      <c r="F1251"/>
      <c r="G1251"/>
      <c r="H1251"/>
      <c r="I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J1253"/>
      <c r="K1253"/>
      <c r="L1253"/>
      <c r="M1253"/>
      <c r="N1253"/>
      <c r="O1253"/>
    </row>
    <row r="1254" spans="1:15" x14ac:dyDescent="0.2">
      <c r="A1254"/>
      <c r="B1254"/>
      <c r="C1254"/>
      <c r="F1254"/>
      <c r="G1254"/>
      <c r="L1254"/>
      <c r="M1254"/>
      <c r="N1254"/>
      <c r="O1254"/>
    </row>
    <row r="1255" spans="1:15" x14ac:dyDescent="0.2">
      <c r="A1255"/>
      <c r="B1255"/>
      <c r="C1255"/>
      <c r="F1255"/>
      <c r="G1255"/>
      <c r="H1255"/>
      <c r="I1255"/>
      <c r="L1255"/>
      <c r="M1255"/>
      <c r="N1255"/>
      <c r="O1255"/>
    </row>
    <row r="1256" spans="1:15" x14ac:dyDescent="0.2">
      <c r="A1256"/>
      <c r="B1256"/>
      <c r="C1256"/>
      <c r="F1256"/>
      <c r="G1256"/>
      <c r="H1256"/>
      <c r="I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I1258"/>
      <c r="L1258"/>
      <c r="M1258"/>
      <c r="N1258"/>
      <c r="O1258"/>
    </row>
    <row r="1259" spans="1:15" x14ac:dyDescent="0.2">
      <c r="A1259"/>
      <c r="B1259"/>
      <c r="C1259"/>
      <c r="F1259"/>
      <c r="G1259"/>
      <c r="H1259"/>
      <c r="I1259"/>
      <c r="L1259"/>
      <c r="M1259"/>
      <c r="N1259"/>
      <c r="O1259"/>
    </row>
    <row r="1260" spans="1:15" x14ac:dyDescent="0.2">
      <c r="A1260"/>
      <c r="B1260"/>
      <c r="C1260"/>
      <c r="F1260"/>
      <c r="G1260"/>
      <c r="J1260"/>
      <c r="K1260"/>
      <c r="L1260"/>
      <c r="M1260"/>
      <c r="N1260"/>
      <c r="O1260"/>
    </row>
    <row r="1261" spans="1:15" x14ac:dyDescent="0.2">
      <c r="A1261"/>
      <c r="B1261"/>
      <c r="C1261"/>
      <c r="F1261"/>
      <c r="G1261"/>
      <c r="L1261"/>
      <c r="M1261"/>
      <c r="N1261"/>
      <c r="O1261"/>
    </row>
    <row r="1262" spans="1:15" x14ac:dyDescent="0.2">
      <c r="A1262"/>
      <c r="B1262"/>
      <c r="C1262"/>
      <c r="F1262"/>
      <c r="G1262"/>
      <c r="H1262"/>
      <c r="I1262"/>
      <c r="L1262"/>
      <c r="M1262"/>
      <c r="N1262"/>
      <c r="O1262"/>
    </row>
    <row r="1263" spans="1:15" x14ac:dyDescent="0.2">
      <c r="A1263"/>
      <c r="B1263"/>
      <c r="C1263"/>
      <c r="F1263"/>
      <c r="G1263"/>
      <c r="H1263"/>
      <c r="I1263"/>
      <c r="L1263"/>
      <c r="M1263"/>
      <c r="N1263"/>
      <c r="O1263"/>
    </row>
    <row r="1264" spans="1:15" x14ac:dyDescent="0.2">
      <c r="A1264"/>
      <c r="B1264"/>
      <c r="C1264"/>
      <c r="F1264"/>
      <c r="G1264"/>
      <c r="I1264"/>
      <c r="L1264"/>
      <c r="M1264"/>
      <c r="N1264"/>
      <c r="O1264"/>
    </row>
    <row r="1265" spans="1:15" x14ac:dyDescent="0.2">
      <c r="A1265"/>
      <c r="B1265"/>
      <c r="C1265"/>
      <c r="F1265"/>
      <c r="G1265"/>
      <c r="H1265"/>
      <c r="I1265"/>
      <c r="L1265"/>
      <c r="M1265"/>
      <c r="N1265"/>
      <c r="O1265"/>
    </row>
    <row r="1266" spans="1:15" x14ac:dyDescent="0.2">
      <c r="A1266"/>
      <c r="B1266"/>
      <c r="C1266"/>
      <c r="F1266"/>
      <c r="G1266"/>
      <c r="H1266"/>
      <c r="J1266"/>
      <c r="K1266"/>
      <c r="L1266"/>
      <c r="M1266"/>
      <c r="N1266"/>
      <c r="O1266"/>
    </row>
    <row r="1267" spans="1:15" x14ac:dyDescent="0.2">
      <c r="A1267"/>
      <c r="B1267"/>
      <c r="C1267"/>
      <c r="F1267"/>
      <c r="G1267"/>
      <c r="H1267"/>
      <c r="I1267"/>
      <c r="L1267"/>
      <c r="M1267"/>
      <c r="N1267"/>
      <c r="O1267"/>
    </row>
    <row r="1268" spans="1:15" x14ac:dyDescent="0.2">
      <c r="A1268"/>
      <c r="B1268"/>
      <c r="C1268"/>
      <c r="F1268"/>
      <c r="G1268"/>
      <c r="I1268"/>
      <c r="L1268"/>
      <c r="M1268"/>
      <c r="N1268"/>
      <c r="O1268"/>
    </row>
    <row r="1269" spans="1:15" x14ac:dyDescent="0.2">
      <c r="A1269"/>
      <c r="B1269"/>
      <c r="C1269"/>
      <c r="F1269"/>
      <c r="G1269"/>
      <c r="H1269"/>
      <c r="I1269"/>
      <c r="L1269"/>
      <c r="M1269"/>
      <c r="N1269"/>
      <c r="O1269"/>
    </row>
    <row r="1270" spans="1:15" x14ac:dyDescent="0.2">
      <c r="A1270"/>
      <c r="B1270"/>
      <c r="C1270"/>
      <c r="F1270"/>
      <c r="G1270"/>
      <c r="I1270"/>
      <c r="L1270"/>
      <c r="M1270"/>
      <c r="N1270"/>
      <c r="O1270"/>
    </row>
    <row r="1271" spans="1:15" x14ac:dyDescent="0.2">
      <c r="A1271"/>
      <c r="B1271"/>
      <c r="C1271"/>
      <c r="F1271"/>
      <c r="G1271"/>
      <c r="I1271"/>
      <c r="L1271"/>
      <c r="M1271"/>
      <c r="N1271"/>
      <c r="O1271"/>
    </row>
    <row r="1272" spans="1:15" x14ac:dyDescent="0.2">
      <c r="A1272"/>
      <c r="B1272"/>
      <c r="C1272"/>
      <c r="F1272"/>
      <c r="G1272"/>
      <c r="H1272"/>
      <c r="I1272"/>
      <c r="L1272"/>
      <c r="M1272"/>
      <c r="N1272"/>
      <c r="O1272"/>
    </row>
    <row r="1273" spans="1:15" x14ac:dyDescent="0.2">
      <c r="A1273"/>
      <c r="B1273"/>
      <c r="C1273"/>
      <c r="F1273"/>
      <c r="G1273"/>
      <c r="H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I1275"/>
      <c r="L1275"/>
      <c r="M1275"/>
      <c r="N1275"/>
      <c r="O1275"/>
    </row>
    <row r="1276" spans="1:15" x14ac:dyDescent="0.2">
      <c r="A1276"/>
      <c r="B1276"/>
      <c r="C1276"/>
      <c r="F1276"/>
      <c r="G1276"/>
      <c r="H1276"/>
      <c r="I1276"/>
      <c r="L1276"/>
      <c r="N1276"/>
      <c r="O1276"/>
    </row>
    <row r="1277" spans="1:15" x14ac:dyDescent="0.2">
      <c r="A1277"/>
      <c r="B1277"/>
      <c r="C1277"/>
      <c r="F1277"/>
      <c r="G1277"/>
      <c r="I1277"/>
      <c r="L1277"/>
      <c r="M1277"/>
      <c r="N1277"/>
      <c r="O1277"/>
    </row>
    <row r="1278" spans="1:15" x14ac:dyDescent="0.2">
      <c r="A1278"/>
      <c r="B1278"/>
      <c r="C1278"/>
      <c r="F1278"/>
      <c r="G1278"/>
      <c r="I1278"/>
      <c r="L1278"/>
      <c r="M1278"/>
      <c r="N1278"/>
      <c r="O1278"/>
    </row>
    <row r="1279" spans="1:15" x14ac:dyDescent="0.2">
      <c r="A1279"/>
      <c r="B1279"/>
      <c r="C1279"/>
      <c r="F1279"/>
      <c r="G1279"/>
      <c r="I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H1282"/>
      <c r="I1282"/>
      <c r="L1282"/>
      <c r="M1282"/>
      <c r="N1282"/>
      <c r="O1282"/>
    </row>
    <row r="1283" spans="1:15" x14ac:dyDescent="0.2">
      <c r="A1283"/>
      <c r="B1283"/>
      <c r="C1283"/>
      <c r="F1283"/>
      <c r="G1283"/>
      <c r="H1283"/>
      <c r="I1283"/>
      <c r="L1283"/>
      <c r="M1283"/>
      <c r="N1283"/>
      <c r="O1283"/>
    </row>
    <row r="1284" spans="1:15" x14ac:dyDescent="0.2">
      <c r="A1284"/>
      <c r="B1284"/>
      <c r="C1284"/>
      <c r="F1284"/>
      <c r="G1284"/>
      <c r="I1284"/>
      <c r="L1284"/>
      <c r="M1284"/>
      <c r="N1284"/>
      <c r="O1284"/>
    </row>
    <row r="1285" spans="1:15" x14ac:dyDescent="0.2">
      <c r="A1285"/>
      <c r="B1285"/>
      <c r="C1285"/>
      <c r="F1285"/>
      <c r="G1285"/>
      <c r="I1285"/>
      <c r="L1285"/>
      <c r="M1285"/>
      <c r="N1285"/>
      <c r="O1285"/>
    </row>
    <row r="1286" spans="1:15" x14ac:dyDescent="0.2">
      <c r="A1286"/>
      <c r="B1286"/>
      <c r="C1286"/>
      <c r="F1286"/>
      <c r="G1286"/>
      <c r="I1286"/>
      <c r="L1286"/>
      <c r="M1286"/>
      <c r="N1286"/>
      <c r="O1286"/>
    </row>
    <row r="1287" spans="1:15" x14ac:dyDescent="0.2">
      <c r="A1287"/>
      <c r="B1287"/>
      <c r="C1287"/>
      <c r="F1287"/>
      <c r="G1287"/>
      <c r="M1287"/>
      <c r="N1287"/>
      <c r="O1287"/>
    </row>
    <row r="1288" spans="1:15" x14ac:dyDescent="0.2">
      <c r="A1288"/>
      <c r="B1288"/>
      <c r="C1288"/>
      <c r="F1288"/>
      <c r="G1288"/>
      <c r="H1288"/>
      <c r="I1288"/>
      <c r="L1288"/>
      <c r="M1288"/>
      <c r="N1288"/>
      <c r="O1288"/>
    </row>
    <row r="1289" spans="1:15" x14ac:dyDescent="0.2">
      <c r="A1289"/>
      <c r="B1289"/>
      <c r="C1289"/>
      <c r="F1289"/>
      <c r="G1289"/>
      <c r="H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J1292"/>
      <c r="K1292"/>
      <c r="L1292"/>
      <c r="M1292"/>
      <c r="N1292"/>
      <c r="O1292"/>
    </row>
    <row r="1293" spans="1:15" x14ac:dyDescent="0.2">
      <c r="A1293"/>
      <c r="B1293"/>
      <c r="C1293"/>
      <c r="F1293"/>
      <c r="G1293"/>
      <c r="L1293"/>
      <c r="M1293"/>
      <c r="N1293"/>
      <c r="O1293"/>
    </row>
    <row r="1294" spans="1:15" x14ac:dyDescent="0.2">
      <c r="A1294"/>
      <c r="B1294"/>
      <c r="C1294"/>
      <c r="F1294"/>
      <c r="G1294"/>
      <c r="L1294"/>
      <c r="M1294"/>
      <c r="N1294"/>
      <c r="O1294"/>
    </row>
    <row r="1295" spans="1:15" x14ac:dyDescent="0.2">
      <c r="A1295"/>
      <c r="B1295"/>
      <c r="C1295"/>
      <c r="F1295"/>
      <c r="G1295"/>
      <c r="H1295"/>
      <c r="J1295"/>
      <c r="K1295"/>
      <c r="L1295"/>
      <c r="M1295"/>
      <c r="N1295"/>
      <c r="O1295"/>
    </row>
    <row r="1296" spans="1:15" x14ac:dyDescent="0.2">
      <c r="A1296"/>
      <c r="B1296"/>
      <c r="C1296"/>
      <c r="F1296"/>
      <c r="G1296"/>
      <c r="J1296"/>
      <c r="K1296"/>
      <c r="L1296"/>
      <c r="M1296"/>
      <c r="N1296"/>
      <c r="O1296"/>
    </row>
    <row r="1297" spans="1:15" x14ac:dyDescent="0.2">
      <c r="A1297"/>
      <c r="B1297"/>
      <c r="C1297"/>
      <c r="F1297"/>
      <c r="G1297"/>
      <c r="H1297"/>
      <c r="I1297"/>
      <c r="L1297"/>
      <c r="N1297"/>
      <c r="O1297"/>
    </row>
    <row r="1298" spans="1:15" x14ac:dyDescent="0.2">
      <c r="A1298"/>
      <c r="B1298"/>
      <c r="C1298"/>
      <c r="F1298"/>
      <c r="G1298"/>
      <c r="I1298"/>
      <c r="L1298"/>
      <c r="M1298"/>
      <c r="N1298"/>
      <c r="O1298"/>
    </row>
    <row r="1299" spans="1:15" x14ac:dyDescent="0.2">
      <c r="A1299"/>
      <c r="B1299"/>
      <c r="C1299"/>
      <c r="F1299"/>
      <c r="G1299"/>
      <c r="L1299"/>
      <c r="M1299"/>
      <c r="N1299"/>
      <c r="O1299"/>
    </row>
    <row r="1300" spans="1:15" x14ac:dyDescent="0.2">
      <c r="A1300"/>
      <c r="B1300"/>
      <c r="C1300"/>
      <c r="F1300"/>
      <c r="G1300"/>
      <c r="H1300"/>
      <c r="I1300"/>
      <c r="L1300"/>
      <c r="M1300"/>
      <c r="N1300"/>
      <c r="O1300"/>
    </row>
    <row r="1301" spans="1:15" x14ac:dyDescent="0.2">
      <c r="A1301"/>
      <c r="B1301"/>
      <c r="C1301"/>
      <c r="F1301"/>
      <c r="G1301"/>
      <c r="L1301"/>
      <c r="M1301"/>
      <c r="N1301"/>
      <c r="O1301"/>
    </row>
    <row r="1302" spans="1:15" x14ac:dyDescent="0.2">
      <c r="A1302"/>
      <c r="B1302"/>
      <c r="C1302"/>
      <c r="F1302"/>
      <c r="G1302"/>
      <c r="L1302"/>
      <c r="M1302"/>
      <c r="N1302"/>
      <c r="O1302"/>
    </row>
    <row r="1303" spans="1:15" x14ac:dyDescent="0.2">
      <c r="A1303"/>
      <c r="B1303"/>
      <c r="C1303"/>
      <c r="F1303"/>
      <c r="G1303"/>
      <c r="I1303"/>
      <c r="L1303"/>
      <c r="M1303"/>
      <c r="N1303"/>
      <c r="O1303"/>
    </row>
    <row r="1304" spans="1:15" x14ac:dyDescent="0.2">
      <c r="A1304"/>
      <c r="B1304"/>
      <c r="C1304"/>
      <c r="F1304"/>
      <c r="G1304"/>
      <c r="H1304"/>
      <c r="I1304"/>
      <c r="L1304"/>
      <c r="M1304"/>
      <c r="N1304"/>
      <c r="O1304"/>
    </row>
    <row r="1305" spans="1:15" x14ac:dyDescent="0.2">
      <c r="A1305"/>
      <c r="B1305"/>
      <c r="C1305"/>
      <c r="F1305"/>
      <c r="G1305"/>
      <c r="L1305"/>
      <c r="M1305"/>
      <c r="N1305"/>
      <c r="O1305"/>
    </row>
    <row r="1306" spans="1:15" x14ac:dyDescent="0.2">
      <c r="A1306"/>
      <c r="B1306"/>
      <c r="C1306"/>
      <c r="F1306"/>
      <c r="G1306"/>
      <c r="H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M1309"/>
      <c r="N1309"/>
      <c r="O1309"/>
    </row>
    <row r="1310" spans="1:15" x14ac:dyDescent="0.2">
      <c r="A1310"/>
      <c r="B1310"/>
      <c r="C1310"/>
      <c r="F1310"/>
      <c r="G1310"/>
      <c r="I1310"/>
      <c r="L1310"/>
      <c r="M1310"/>
      <c r="N1310"/>
      <c r="O1310"/>
    </row>
    <row r="1311" spans="1:15" x14ac:dyDescent="0.2">
      <c r="A1311"/>
      <c r="B1311"/>
      <c r="C1311"/>
      <c r="F1311"/>
      <c r="G1311"/>
      <c r="H1311"/>
      <c r="I1311"/>
      <c r="L1311"/>
      <c r="N1311"/>
      <c r="O1311"/>
    </row>
    <row r="1312" spans="1:15" x14ac:dyDescent="0.2">
      <c r="A1312"/>
      <c r="B1312"/>
      <c r="C1312"/>
      <c r="F1312"/>
      <c r="G1312"/>
      <c r="I1312"/>
      <c r="L1312"/>
      <c r="M1312"/>
      <c r="N1312"/>
      <c r="O1312"/>
    </row>
    <row r="1313" spans="1:15" x14ac:dyDescent="0.2">
      <c r="A1313"/>
      <c r="B1313"/>
      <c r="C1313"/>
      <c r="F1313"/>
      <c r="G1313"/>
      <c r="I1313"/>
      <c r="L1313"/>
      <c r="M1313"/>
      <c r="N1313"/>
      <c r="O1313"/>
    </row>
    <row r="1314" spans="1:15" x14ac:dyDescent="0.2">
      <c r="A1314"/>
      <c r="B1314"/>
      <c r="C1314"/>
      <c r="F1314"/>
      <c r="G1314"/>
      <c r="H1314"/>
      <c r="I1314"/>
      <c r="L1314"/>
      <c r="M1314"/>
      <c r="N1314"/>
      <c r="O1314"/>
    </row>
    <row r="1315" spans="1:15" x14ac:dyDescent="0.2">
      <c r="A1315"/>
      <c r="B1315"/>
      <c r="C1315"/>
      <c r="F1315"/>
      <c r="G1315"/>
      <c r="J1315"/>
      <c r="K1315"/>
      <c r="L1315"/>
      <c r="M1315"/>
      <c r="N1315"/>
      <c r="O1315"/>
    </row>
    <row r="1316" spans="1:15" x14ac:dyDescent="0.2">
      <c r="A1316"/>
      <c r="B1316"/>
      <c r="C1316"/>
      <c r="F1316"/>
      <c r="G1316"/>
      <c r="H1316"/>
      <c r="I1316"/>
      <c r="L1316"/>
      <c r="M1316"/>
      <c r="N1316"/>
      <c r="O1316"/>
    </row>
    <row r="1317" spans="1:15" x14ac:dyDescent="0.2">
      <c r="A1317"/>
      <c r="B1317"/>
      <c r="C1317"/>
      <c r="F1317"/>
      <c r="G1317"/>
      <c r="H1317"/>
      <c r="I1317"/>
      <c r="L1317"/>
      <c r="M1317"/>
      <c r="N1317"/>
      <c r="O1317"/>
    </row>
    <row r="1318" spans="1:15" x14ac:dyDescent="0.2">
      <c r="A1318"/>
      <c r="B1318"/>
      <c r="C1318"/>
      <c r="F1318"/>
      <c r="G1318"/>
      <c r="I1318"/>
      <c r="L1318"/>
      <c r="M1318"/>
      <c r="N1318"/>
      <c r="O1318"/>
    </row>
    <row r="1319" spans="1:15" x14ac:dyDescent="0.2">
      <c r="A1319"/>
      <c r="B1319"/>
      <c r="C1319"/>
      <c r="F1319"/>
      <c r="G1319"/>
      <c r="I1319"/>
      <c r="L1319"/>
      <c r="M1319"/>
      <c r="N1319"/>
      <c r="O1319"/>
    </row>
    <row r="1320" spans="1:15" x14ac:dyDescent="0.2">
      <c r="A1320"/>
      <c r="B1320"/>
      <c r="C1320"/>
      <c r="F1320"/>
      <c r="G1320"/>
      <c r="H1320"/>
      <c r="I1320"/>
      <c r="L1320"/>
      <c r="M1320"/>
      <c r="N1320"/>
      <c r="O1320"/>
    </row>
    <row r="1321" spans="1:15" x14ac:dyDescent="0.2">
      <c r="A1321"/>
      <c r="B1321"/>
      <c r="C1321"/>
      <c r="F1321"/>
      <c r="G1321"/>
      <c r="L1321"/>
      <c r="M1321"/>
      <c r="N1321"/>
      <c r="O1321"/>
    </row>
    <row r="1322" spans="1:15" x14ac:dyDescent="0.2">
      <c r="A1322"/>
      <c r="B1322"/>
      <c r="C1322"/>
      <c r="F1322"/>
      <c r="G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I1325"/>
      <c r="L1325"/>
      <c r="M1325"/>
      <c r="N1325"/>
      <c r="O1325"/>
    </row>
    <row r="1326" spans="1:15" x14ac:dyDescent="0.2">
      <c r="A1326"/>
      <c r="B1326"/>
      <c r="C1326"/>
      <c r="F1326"/>
      <c r="G1326"/>
      <c r="I1326"/>
      <c r="L1326"/>
      <c r="M1326"/>
      <c r="N1326"/>
      <c r="O1326"/>
    </row>
    <row r="1327" spans="1:15" x14ac:dyDescent="0.2">
      <c r="A1327"/>
      <c r="B1327"/>
      <c r="C1327"/>
      <c r="F1327"/>
      <c r="G1327"/>
      <c r="H1327"/>
      <c r="I1327"/>
      <c r="L1327"/>
      <c r="M1327"/>
      <c r="N1327"/>
      <c r="O1327"/>
    </row>
    <row r="1328" spans="1:15" x14ac:dyDescent="0.2">
      <c r="A1328"/>
      <c r="B1328"/>
      <c r="C1328"/>
      <c r="F1328"/>
      <c r="G1328"/>
      <c r="H1328"/>
      <c r="I1328"/>
      <c r="L1328"/>
      <c r="M1328"/>
      <c r="N1328"/>
      <c r="O1328"/>
    </row>
    <row r="1329" spans="1:15" x14ac:dyDescent="0.2">
      <c r="A1329"/>
      <c r="B1329"/>
      <c r="C1329"/>
      <c r="F1329"/>
      <c r="G1329"/>
      <c r="I1329"/>
      <c r="L1329"/>
      <c r="M1329"/>
      <c r="N1329"/>
      <c r="O1329"/>
    </row>
    <row r="1330" spans="1:15" x14ac:dyDescent="0.2">
      <c r="A1330"/>
      <c r="B1330"/>
      <c r="C1330"/>
      <c r="F1330"/>
      <c r="G1330"/>
      <c r="I1330"/>
      <c r="L1330"/>
      <c r="M1330"/>
      <c r="N1330"/>
      <c r="O1330"/>
    </row>
    <row r="1331" spans="1:15" x14ac:dyDescent="0.2">
      <c r="A1331"/>
      <c r="B1331"/>
      <c r="C1331"/>
      <c r="F1331"/>
      <c r="G1331"/>
      <c r="H1331"/>
      <c r="I1331"/>
      <c r="L1331"/>
      <c r="M1331"/>
      <c r="N1331"/>
      <c r="O1331"/>
    </row>
    <row r="1332" spans="1:15" x14ac:dyDescent="0.2">
      <c r="A1332"/>
      <c r="B1332"/>
      <c r="C1332"/>
      <c r="F1332"/>
      <c r="G1332"/>
      <c r="I1332"/>
      <c r="L1332"/>
      <c r="M1332"/>
      <c r="N1332"/>
      <c r="O1332"/>
    </row>
    <row r="1333" spans="1:15" x14ac:dyDescent="0.2">
      <c r="A1333"/>
      <c r="B1333"/>
      <c r="C1333"/>
      <c r="F1333"/>
      <c r="G1333"/>
      <c r="I1333"/>
      <c r="L1333"/>
      <c r="M1333"/>
      <c r="N1333"/>
      <c r="O1333"/>
    </row>
    <row r="1334" spans="1:15" x14ac:dyDescent="0.2">
      <c r="A1334"/>
      <c r="B1334"/>
      <c r="C1334"/>
      <c r="F1334"/>
      <c r="G1334"/>
      <c r="H1334"/>
      <c r="I1334"/>
      <c r="L1334"/>
      <c r="M1334"/>
      <c r="N1334"/>
      <c r="O1334"/>
    </row>
    <row r="1335" spans="1:15" x14ac:dyDescent="0.2">
      <c r="A1335"/>
      <c r="B1335"/>
      <c r="C1335"/>
      <c r="F1335"/>
      <c r="G1335"/>
      <c r="J1335"/>
      <c r="K1335"/>
      <c r="L1335"/>
      <c r="M1335"/>
      <c r="N1335"/>
      <c r="O1335"/>
    </row>
    <row r="1336" spans="1:15" x14ac:dyDescent="0.2">
      <c r="A1336"/>
      <c r="B1336"/>
      <c r="C1336"/>
      <c r="F1336"/>
      <c r="G1336"/>
      <c r="H1336"/>
      <c r="I1336"/>
      <c r="L1336"/>
      <c r="M1336"/>
      <c r="N1336"/>
      <c r="O1336"/>
    </row>
    <row r="1337" spans="1:15" x14ac:dyDescent="0.2">
      <c r="A1337"/>
      <c r="B1337"/>
      <c r="C1337"/>
      <c r="F1337"/>
      <c r="G1337"/>
      <c r="I1337"/>
      <c r="L1337"/>
      <c r="M1337"/>
      <c r="N1337"/>
      <c r="O1337"/>
    </row>
    <row r="1338" spans="1:15" x14ac:dyDescent="0.2">
      <c r="A1338"/>
      <c r="B1338"/>
      <c r="C1338"/>
      <c r="F1338"/>
      <c r="G1338"/>
      <c r="L1338"/>
      <c r="M1338"/>
      <c r="N1338"/>
      <c r="O1338"/>
    </row>
    <row r="1339" spans="1:15" x14ac:dyDescent="0.2">
      <c r="A1339"/>
      <c r="B1339"/>
      <c r="C1339"/>
      <c r="F1339"/>
      <c r="G1339"/>
      <c r="H1339"/>
      <c r="I1339"/>
      <c r="L1339"/>
      <c r="M1339"/>
      <c r="N1339"/>
      <c r="O1339"/>
    </row>
    <row r="1340" spans="1:15" x14ac:dyDescent="0.2">
      <c r="A1340"/>
      <c r="B1340"/>
      <c r="C1340"/>
      <c r="F1340"/>
      <c r="G1340"/>
      <c r="J1340"/>
      <c r="K1340"/>
      <c r="L1340"/>
      <c r="M1340"/>
      <c r="N1340"/>
      <c r="O1340"/>
    </row>
    <row r="1341" spans="1:15" x14ac:dyDescent="0.2">
      <c r="A1341"/>
      <c r="B1341"/>
      <c r="C1341"/>
      <c r="F1341"/>
      <c r="G1341"/>
      <c r="H1341"/>
      <c r="I1341"/>
      <c r="L1341"/>
      <c r="M1341"/>
      <c r="N1341"/>
      <c r="O1341"/>
    </row>
    <row r="1342" spans="1:15" x14ac:dyDescent="0.2">
      <c r="A1342"/>
      <c r="B1342"/>
      <c r="C1342"/>
      <c r="F1342"/>
      <c r="G1342"/>
      <c r="H1342"/>
      <c r="I1342"/>
      <c r="L1342"/>
      <c r="M1342"/>
      <c r="N1342"/>
      <c r="O1342"/>
    </row>
    <row r="1343" spans="1:15" x14ac:dyDescent="0.2">
      <c r="A1343"/>
      <c r="B1343"/>
      <c r="C1343"/>
      <c r="F1343"/>
      <c r="G1343"/>
      <c r="I1343"/>
      <c r="L1343"/>
      <c r="M1343"/>
      <c r="N1343"/>
      <c r="O1343"/>
    </row>
    <row r="1344" spans="1:15" x14ac:dyDescent="0.2">
      <c r="A1344"/>
      <c r="B1344"/>
      <c r="C1344"/>
      <c r="F1344"/>
      <c r="G1344"/>
      <c r="L1344"/>
      <c r="M1344"/>
      <c r="N1344"/>
      <c r="O1344"/>
    </row>
    <row r="1345" spans="1:15" x14ac:dyDescent="0.2">
      <c r="A1345"/>
      <c r="B1345"/>
      <c r="C1345"/>
      <c r="F1345"/>
      <c r="G1345"/>
      <c r="I1345"/>
      <c r="L1345"/>
      <c r="M1345"/>
      <c r="N1345"/>
      <c r="O1345"/>
    </row>
    <row r="1346" spans="1:15" x14ac:dyDescent="0.2">
      <c r="A1346"/>
      <c r="B1346"/>
      <c r="C1346"/>
      <c r="F1346"/>
      <c r="G1346"/>
      <c r="H1346"/>
      <c r="I1346"/>
      <c r="L1346"/>
      <c r="M1346"/>
      <c r="N1346"/>
      <c r="O1346"/>
    </row>
    <row r="1347" spans="1:15" x14ac:dyDescent="0.2">
      <c r="A1347"/>
      <c r="B1347"/>
      <c r="C1347"/>
      <c r="F1347"/>
      <c r="G1347"/>
      <c r="I1347"/>
      <c r="L1347"/>
      <c r="M1347"/>
      <c r="N1347"/>
      <c r="O1347"/>
    </row>
    <row r="1348" spans="1:15" x14ac:dyDescent="0.2">
      <c r="A1348"/>
      <c r="B1348"/>
      <c r="C1348"/>
      <c r="F1348"/>
      <c r="G1348"/>
      <c r="H1348"/>
      <c r="I1348"/>
      <c r="L1348"/>
      <c r="M1348"/>
      <c r="N1348"/>
      <c r="O1348"/>
    </row>
    <row r="1349" spans="1:15" x14ac:dyDescent="0.2">
      <c r="A1349"/>
      <c r="B1349"/>
      <c r="C1349"/>
      <c r="F1349"/>
      <c r="G1349"/>
      <c r="H1349"/>
      <c r="J1349"/>
      <c r="K1349"/>
      <c r="L1349"/>
      <c r="M1349"/>
      <c r="N1349"/>
      <c r="O1349"/>
    </row>
    <row r="1350" spans="1:15" x14ac:dyDescent="0.2">
      <c r="A1350"/>
      <c r="B1350"/>
      <c r="C1350"/>
      <c r="F1350"/>
      <c r="G1350"/>
      <c r="H1350"/>
      <c r="I1350"/>
      <c r="L1350"/>
      <c r="M1350"/>
      <c r="N1350"/>
      <c r="O1350"/>
    </row>
    <row r="1351" spans="1:15" x14ac:dyDescent="0.2">
      <c r="A1351"/>
      <c r="B1351"/>
      <c r="C1351"/>
      <c r="F1351"/>
      <c r="G1351"/>
      <c r="H1351"/>
      <c r="I1351"/>
      <c r="L1351"/>
      <c r="M1351"/>
      <c r="N1351"/>
      <c r="O1351"/>
    </row>
    <row r="1352" spans="1:15" x14ac:dyDescent="0.2">
      <c r="A1352"/>
      <c r="B1352"/>
      <c r="C1352"/>
      <c r="F1352"/>
      <c r="G1352"/>
      <c r="I1352"/>
      <c r="L1352"/>
      <c r="M1352"/>
      <c r="N1352"/>
      <c r="O1352"/>
    </row>
    <row r="1353" spans="1:15" x14ac:dyDescent="0.2">
      <c r="A1353"/>
      <c r="B1353"/>
      <c r="C1353"/>
      <c r="F1353"/>
      <c r="G1353"/>
      <c r="L1353"/>
      <c r="M1353"/>
      <c r="N1353"/>
      <c r="O1353"/>
    </row>
    <row r="1354" spans="1:15" x14ac:dyDescent="0.2">
      <c r="A1354"/>
      <c r="B1354"/>
      <c r="C1354"/>
      <c r="F1354"/>
      <c r="G1354"/>
      <c r="H1354"/>
      <c r="I1354"/>
      <c r="L1354"/>
      <c r="M1354"/>
      <c r="N1354"/>
      <c r="O1354"/>
    </row>
    <row r="1355" spans="1:15" x14ac:dyDescent="0.2">
      <c r="A1355"/>
      <c r="B1355"/>
      <c r="C1355"/>
      <c r="F1355"/>
      <c r="G1355"/>
      <c r="L1355"/>
      <c r="M1355"/>
      <c r="N1355"/>
      <c r="O1355"/>
    </row>
    <row r="1356" spans="1:15" x14ac:dyDescent="0.2">
      <c r="A1356"/>
      <c r="B1356"/>
      <c r="C1356"/>
      <c r="F1356"/>
      <c r="G1356"/>
      <c r="H1356"/>
      <c r="J1356"/>
      <c r="K1356"/>
      <c r="L1356"/>
      <c r="N1356"/>
      <c r="O1356"/>
    </row>
    <row r="1357" spans="1:15" x14ac:dyDescent="0.2">
      <c r="A1357"/>
      <c r="B1357"/>
      <c r="C1357"/>
      <c r="F1357"/>
      <c r="G1357"/>
      <c r="L1357"/>
      <c r="M1357"/>
      <c r="N1357"/>
      <c r="O1357"/>
    </row>
    <row r="1358" spans="1:15" x14ac:dyDescent="0.2">
      <c r="A1358"/>
      <c r="B1358"/>
      <c r="C1358"/>
      <c r="F1358"/>
      <c r="G1358"/>
      <c r="H1358"/>
      <c r="I1358"/>
      <c r="L1358"/>
      <c r="M1358"/>
      <c r="N1358"/>
      <c r="O1358"/>
    </row>
    <row r="1359" spans="1:15" x14ac:dyDescent="0.2">
      <c r="A1359"/>
      <c r="B1359"/>
      <c r="C1359"/>
      <c r="F1359"/>
      <c r="G1359"/>
      <c r="H1359"/>
      <c r="I1359"/>
      <c r="L1359"/>
      <c r="M1359"/>
      <c r="N1359"/>
      <c r="O1359"/>
    </row>
    <row r="1360" spans="1:15" x14ac:dyDescent="0.2">
      <c r="A1360"/>
      <c r="B1360"/>
      <c r="C1360"/>
      <c r="F1360"/>
      <c r="G1360"/>
      <c r="L1360"/>
      <c r="M1360"/>
      <c r="N1360"/>
      <c r="O1360"/>
    </row>
    <row r="1361" spans="1:15" x14ac:dyDescent="0.2">
      <c r="A1361"/>
      <c r="B1361"/>
      <c r="C1361"/>
      <c r="F1361"/>
      <c r="G1361"/>
      <c r="L1361"/>
      <c r="M1361"/>
      <c r="N1361"/>
      <c r="O1361"/>
    </row>
    <row r="1362" spans="1:15" x14ac:dyDescent="0.2">
      <c r="A1362"/>
      <c r="B1362"/>
      <c r="C1362"/>
      <c r="F1362"/>
      <c r="G1362"/>
      <c r="J1362"/>
      <c r="K1362"/>
      <c r="L1362"/>
      <c r="M1362"/>
      <c r="N1362"/>
      <c r="O1362"/>
    </row>
    <row r="1363" spans="1:15" x14ac:dyDescent="0.2">
      <c r="A1363"/>
      <c r="B1363"/>
      <c r="C1363"/>
      <c r="F1363"/>
      <c r="G1363"/>
      <c r="H1363"/>
      <c r="I1363"/>
      <c r="L1363"/>
      <c r="M1363"/>
      <c r="N1363"/>
      <c r="O1363"/>
    </row>
    <row r="1364" spans="1:15" x14ac:dyDescent="0.2">
      <c r="A1364"/>
      <c r="B1364"/>
      <c r="C1364"/>
      <c r="F1364"/>
      <c r="G1364"/>
      <c r="I1364"/>
      <c r="L1364"/>
      <c r="M1364"/>
      <c r="N1364"/>
      <c r="O1364"/>
    </row>
    <row r="1365" spans="1:15" x14ac:dyDescent="0.2">
      <c r="A1365"/>
      <c r="B1365"/>
      <c r="C1365"/>
      <c r="F1365"/>
      <c r="G1365"/>
      <c r="I1365"/>
      <c r="L1365"/>
      <c r="M1365"/>
      <c r="N1365"/>
      <c r="O1365"/>
    </row>
    <row r="1366" spans="1:15" x14ac:dyDescent="0.2">
      <c r="A1366"/>
      <c r="B1366"/>
      <c r="C1366"/>
      <c r="F1366"/>
      <c r="G1366"/>
      <c r="H1366"/>
      <c r="I1366"/>
      <c r="L1366"/>
      <c r="M1366"/>
      <c r="N1366"/>
      <c r="O1366"/>
    </row>
    <row r="1367" spans="1:15" x14ac:dyDescent="0.2">
      <c r="A1367"/>
      <c r="B1367"/>
      <c r="C1367"/>
      <c r="F1367"/>
      <c r="G1367"/>
      <c r="H1367"/>
      <c r="I1367"/>
      <c r="L1367"/>
      <c r="M1367"/>
      <c r="N1367"/>
      <c r="O1367"/>
    </row>
    <row r="1368" spans="1:15" x14ac:dyDescent="0.2">
      <c r="A1368"/>
      <c r="B1368"/>
      <c r="C1368"/>
      <c r="F1368"/>
      <c r="G1368"/>
      <c r="I1368"/>
      <c r="L1368"/>
      <c r="M1368"/>
      <c r="N1368"/>
      <c r="O1368"/>
    </row>
    <row r="1369" spans="1:15" x14ac:dyDescent="0.2">
      <c r="A1369"/>
      <c r="B1369"/>
      <c r="C1369"/>
      <c r="F1369"/>
      <c r="G1369"/>
      <c r="H1369"/>
      <c r="L1369"/>
      <c r="M1369"/>
      <c r="N1369"/>
      <c r="O1369"/>
    </row>
    <row r="1370" spans="1:15" x14ac:dyDescent="0.2">
      <c r="A1370"/>
      <c r="B1370"/>
      <c r="C1370"/>
      <c r="F1370"/>
      <c r="G1370"/>
      <c r="H1370"/>
      <c r="I1370"/>
      <c r="L1370"/>
      <c r="M1370"/>
      <c r="N1370"/>
      <c r="O1370"/>
    </row>
    <row r="1371" spans="1:15" x14ac:dyDescent="0.2">
      <c r="A1371"/>
      <c r="B1371"/>
      <c r="C1371"/>
      <c r="F1371"/>
      <c r="G1371"/>
      <c r="H1371"/>
      <c r="M1371"/>
      <c r="N1371"/>
      <c r="O1371"/>
    </row>
    <row r="1372" spans="1:15" x14ac:dyDescent="0.2">
      <c r="A1372"/>
      <c r="B1372"/>
      <c r="C1372"/>
      <c r="F1372"/>
      <c r="G1372"/>
      <c r="L1372"/>
      <c r="M1372"/>
      <c r="N1372"/>
      <c r="O1372"/>
    </row>
    <row r="1373" spans="1:15" x14ac:dyDescent="0.2">
      <c r="A1373"/>
      <c r="B1373"/>
      <c r="C1373"/>
      <c r="F1373"/>
      <c r="G1373"/>
      <c r="H1373"/>
      <c r="I1373"/>
      <c r="L1373"/>
      <c r="M1373"/>
      <c r="N1373"/>
      <c r="O1373"/>
    </row>
    <row r="1374" spans="1:15" x14ac:dyDescent="0.2">
      <c r="A1374"/>
      <c r="B1374"/>
      <c r="C1374"/>
      <c r="F1374"/>
      <c r="G1374"/>
      <c r="H1374"/>
      <c r="I1374"/>
      <c r="L1374"/>
      <c r="M1374"/>
      <c r="N1374"/>
      <c r="O1374"/>
    </row>
    <row r="1375" spans="1:15" x14ac:dyDescent="0.2">
      <c r="A1375"/>
      <c r="B1375"/>
      <c r="C1375"/>
      <c r="F1375"/>
      <c r="G1375"/>
      <c r="H1375"/>
      <c r="I1375"/>
      <c r="L1375"/>
      <c r="M1375"/>
      <c r="N1375"/>
      <c r="O1375"/>
    </row>
    <row r="1376" spans="1:15" x14ac:dyDescent="0.2">
      <c r="A1376"/>
      <c r="B1376"/>
      <c r="C1376"/>
      <c r="F1376"/>
      <c r="G1376"/>
      <c r="I1376"/>
      <c r="L1376"/>
      <c r="M1376"/>
      <c r="N1376"/>
      <c r="O1376"/>
    </row>
    <row r="1377" spans="1:15" x14ac:dyDescent="0.2">
      <c r="A1377"/>
      <c r="B1377"/>
      <c r="C1377"/>
      <c r="F1377"/>
      <c r="G1377"/>
      <c r="H1377"/>
      <c r="L1377"/>
      <c r="M1377"/>
      <c r="N1377"/>
      <c r="O1377"/>
    </row>
    <row r="1378" spans="1:15" x14ac:dyDescent="0.2">
      <c r="A1378"/>
      <c r="B1378"/>
      <c r="C1378"/>
      <c r="F1378"/>
      <c r="G1378"/>
      <c r="H1378"/>
      <c r="I1378"/>
      <c r="L1378"/>
      <c r="M1378"/>
      <c r="N1378"/>
      <c r="O1378"/>
    </row>
    <row r="1379" spans="1:15" x14ac:dyDescent="0.2">
      <c r="A1379"/>
      <c r="B1379"/>
      <c r="C1379"/>
      <c r="F1379"/>
      <c r="G1379"/>
      <c r="H1379"/>
      <c r="I1379"/>
      <c r="L1379"/>
      <c r="M1379"/>
      <c r="N1379"/>
      <c r="O1379"/>
    </row>
    <row r="1380" spans="1:15" x14ac:dyDescent="0.2">
      <c r="A1380"/>
      <c r="B1380"/>
      <c r="C1380"/>
      <c r="F1380"/>
      <c r="G1380"/>
      <c r="H1380"/>
      <c r="I1380"/>
      <c r="L1380"/>
      <c r="M1380"/>
      <c r="N1380"/>
      <c r="O1380"/>
    </row>
    <row r="1381" spans="1:15" x14ac:dyDescent="0.2">
      <c r="A1381"/>
      <c r="B1381"/>
      <c r="C1381"/>
      <c r="F1381"/>
      <c r="G1381"/>
      <c r="H1381"/>
      <c r="I1381"/>
      <c r="L1381"/>
      <c r="M1381"/>
      <c r="N1381"/>
      <c r="O1381"/>
    </row>
    <row r="1382" spans="1:15" x14ac:dyDescent="0.2">
      <c r="A1382"/>
      <c r="B1382"/>
      <c r="C1382"/>
      <c r="F1382"/>
      <c r="G1382"/>
      <c r="L1382"/>
      <c r="M1382"/>
      <c r="N1382"/>
      <c r="O1382"/>
    </row>
    <row r="1383" spans="1:15" x14ac:dyDescent="0.2">
      <c r="A1383"/>
      <c r="B1383"/>
      <c r="C1383"/>
      <c r="F1383"/>
      <c r="G1383"/>
      <c r="I1383"/>
      <c r="L1383"/>
      <c r="M1383"/>
      <c r="N1383"/>
      <c r="O1383"/>
    </row>
    <row r="1384" spans="1:15" x14ac:dyDescent="0.2">
      <c r="A1384"/>
      <c r="B1384"/>
      <c r="C1384"/>
      <c r="F1384"/>
      <c r="G1384"/>
      <c r="H1384"/>
      <c r="I1384"/>
      <c r="L1384"/>
      <c r="M1384"/>
      <c r="N1384"/>
      <c r="O1384"/>
    </row>
    <row r="1385" spans="1:15" x14ac:dyDescent="0.2">
      <c r="A1385"/>
      <c r="B1385"/>
      <c r="C1385"/>
      <c r="F1385"/>
      <c r="G1385"/>
      <c r="H1385"/>
      <c r="I1385"/>
      <c r="L1385"/>
      <c r="M1385"/>
      <c r="N1385"/>
      <c r="O1385"/>
    </row>
    <row r="1386" spans="1:15" x14ac:dyDescent="0.2">
      <c r="A1386"/>
      <c r="B1386"/>
      <c r="C1386"/>
      <c r="F1386"/>
      <c r="G1386"/>
      <c r="H1386"/>
      <c r="I1386"/>
      <c r="L1386"/>
      <c r="M1386"/>
      <c r="N1386"/>
      <c r="O1386"/>
    </row>
    <row r="1387" spans="1:15" x14ac:dyDescent="0.2">
      <c r="A1387"/>
      <c r="B1387"/>
      <c r="C1387"/>
      <c r="F1387"/>
      <c r="G1387"/>
      <c r="L1387"/>
      <c r="M1387"/>
      <c r="N1387"/>
      <c r="O1387"/>
    </row>
    <row r="1388" spans="1:15" x14ac:dyDescent="0.2">
      <c r="A1388"/>
      <c r="B1388"/>
      <c r="C1388"/>
      <c r="F1388"/>
      <c r="G1388"/>
      <c r="L1388"/>
      <c r="M1388"/>
      <c r="N1388"/>
      <c r="O1388"/>
    </row>
    <row r="1389" spans="1:15" x14ac:dyDescent="0.2">
      <c r="A1389"/>
      <c r="B1389"/>
      <c r="C1389"/>
      <c r="F1389"/>
      <c r="G1389"/>
      <c r="J1389"/>
      <c r="K1389"/>
      <c r="L1389"/>
      <c r="M1389"/>
      <c r="N1389"/>
      <c r="O1389"/>
    </row>
    <row r="1390" spans="1:15" x14ac:dyDescent="0.2">
      <c r="A1390"/>
      <c r="B1390"/>
      <c r="C1390"/>
      <c r="F1390"/>
      <c r="G1390"/>
      <c r="L1390"/>
      <c r="M1390"/>
      <c r="N1390"/>
      <c r="O1390"/>
    </row>
    <row r="1391" spans="1:15" x14ac:dyDescent="0.2">
      <c r="A1391"/>
      <c r="B1391"/>
      <c r="C1391"/>
      <c r="F1391"/>
      <c r="G1391"/>
      <c r="I1391"/>
      <c r="L1391"/>
      <c r="M1391"/>
      <c r="N1391"/>
      <c r="O1391"/>
    </row>
    <row r="1392" spans="1:15" x14ac:dyDescent="0.2">
      <c r="A1392"/>
      <c r="B1392"/>
      <c r="C1392"/>
      <c r="F1392"/>
      <c r="G1392"/>
      <c r="H1392"/>
      <c r="I1392"/>
      <c r="L1392"/>
      <c r="M1392"/>
      <c r="N1392"/>
      <c r="O1392"/>
    </row>
    <row r="1393" spans="1:15" x14ac:dyDescent="0.2">
      <c r="A1393"/>
      <c r="B1393"/>
      <c r="C1393"/>
      <c r="F1393"/>
      <c r="G1393"/>
      <c r="L1393"/>
      <c r="M1393"/>
      <c r="N1393"/>
      <c r="O1393"/>
    </row>
    <row r="1394" spans="1:15" x14ac:dyDescent="0.2">
      <c r="A1394"/>
      <c r="B1394"/>
      <c r="C1394"/>
      <c r="F1394"/>
      <c r="G1394"/>
      <c r="I1394"/>
      <c r="L1394"/>
      <c r="M1394"/>
      <c r="N1394"/>
      <c r="O1394"/>
    </row>
    <row r="1395" spans="1:15" x14ac:dyDescent="0.2">
      <c r="A1395"/>
      <c r="B1395"/>
      <c r="C1395"/>
      <c r="F1395"/>
      <c r="G1395"/>
      <c r="H1395"/>
      <c r="J1395"/>
      <c r="K1395"/>
      <c r="L1395"/>
      <c r="M1395"/>
      <c r="N1395"/>
      <c r="O1395"/>
    </row>
    <row r="1396" spans="1:15" x14ac:dyDescent="0.2">
      <c r="A1396"/>
      <c r="B1396"/>
      <c r="C1396"/>
      <c r="F1396"/>
      <c r="G1396"/>
      <c r="H1396"/>
      <c r="I1396"/>
      <c r="L1396"/>
      <c r="M1396"/>
      <c r="N1396"/>
      <c r="O1396"/>
    </row>
    <row r="1397" spans="1:15" x14ac:dyDescent="0.2">
      <c r="A1397"/>
      <c r="B1397"/>
      <c r="C1397"/>
      <c r="F1397"/>
      <c r="G1397"/>
      <c r="H1397"/>
      <c r="I1397"/>
      <c r="L1397"/>
      <c r="M1397"/>
      <c r="N1397"/>
      <c r="O1397"/>
    </row>
    <row r="1398" spans="1:15" x14ac:dyDescent="0.2">
      <c r="A1398"/>
      <c r="B1398"/>
      <c r="C1398"/>
      <c r="F1398"/>
      <c r="G1398"/>
      <c r="H1398"/>
      <c r="I1398"/>
      <c r="L1398"/>
      <c r="M1398"/>
      <c r="N1398"/>
      <c r="O1398"/>
    </row>
    <row r="1399" spans="1:15" x14ac:dyDescent="0.2">
      <c r="A1399"/>
      <c r="B1399"/>
      <c r="C1399"/>
      <c r="F1399"/>
      <c r="G1399"/>
      <c r="H1399"/>
      <c r="I1399"/>
      <c r="L1399"/>
      <c r="M1399"/>
      <c r="N1399"/>
      <c r="O1399"/>
    </row>
    <row r="1400" spans="1:15" x14ac:dyDescent="0.2">
      <c r="A1400"/>
      <c r="B1400"/>
      <c r="C1400"/>
      <c r="F1400"/>
      <c r="G1400"/>
      <c r="I1400"/>
      <c r="L1400"/>
      <c r="M1400"/>
      <c r="N1400"/>
      <c r="O1400"/>
    </row>
    <row r="1401" spans="1:15" x14ac:dyDescent="0.2">
      <c r="A1401"/>
      <c r="B1401"/>
      <c r="C1401"/>
      <c r="F1401"/>
      <c r="G1401"/>
      <c r="H1401"/>
      <c r="I1401"/>
      <c r="L1401"/>
      <c r="M1401"/>
      <c r="N1401"/>
      <c r="O1401"/>
    </row>
    <row r="1402" spans="1:15" x14ac:dyDescent="0.2">
      <c r="A1402"/>
      <c r="B1402"/>
      <c r="C1402"/>
      <c r="F1402"/>
      <c r="G1402"/>
      <c r="H1402"/>
      <c r="I1402"/>
      <c r="L1402"/>
      <c r="N1402"/>
      <c r="O1402"/>
    </row>
    <row r="1403" spans="1:15" x14ac:dyDescent="0.2">
      <c r="A1403"/>
      <c r="B1403"/>
      <c r="C1403"/>
      <c r="F1403"/>
      <c r="G1403"/>
      <c r="J1403"/>
      <c r="K1403"/>
      <c r="L1403"/>
      <c r="M1403"/>
      <c r="N1403"/>
      <c r="O1403"/>
    </row>
    <row r="1404" spans="1:15" x14ac:dyDescent="0.2">
      <c r="A1404"/>
      <c r="B1404"/>
      <c r="C1404"/>
      <c r="F1404"/>
      <c r="G1404"/>
      <c r="H1404"/>
      <c r="J1404"/>
      <c r="K1404"/>
      <c r="L1404"/>
      <c r="M1404"/>
      <c r="N1404"/>
      <c r="O1404"/>
    </row>
    <row r="1405" spans="1:15" x14ac:dyDescent="0.2">
      <c r="A1405"/>
      <c r="B1405"/>
      <c r="C1405"/>
      <c r="F1405"/>
      <c r="G1405"/>
      <c r="L1405"/>
      <c r="M1405"/>
      <c r="N1405"/>
      <c r="O1405"/>
    </row>
    <row r="1406" spans="1:15" x14ac:dyDescent="0.2">
      <c r="A1406"/>
      <c r="B1406"/>
      <c r="C1406"/>
      <c r="F1406"/>
      <c r="G1406"/>
      <c r="H1406"/>
      <c r="I1406"/>
      <c r="J1406"/>
      <c r="K1406"/>
      <c r="L1406"/>
      <c r="M1406"/>
      <c r="N1406"/>
      <c r="O1406"/>
    </row>
    <row r="1407" spans="1:15" x14ac:dyDescent="0.2">
      <c r="A1407"/>
      <c r="B1407"/>
      <c r="C1407"/>
      <c r="F1407"/>
      <c r="G1407"/>
      <c r="H1407"/>
      <c r="J1407"/>
      <c r="K1407"/>
      <c r="M1407"/>
      <c r="N1407"/>
      <c r="O1407"/>
    </row>
    <row r="1408" spans="1:15" x14ac:dyDescent="0.2">
      <c r="A1408"/>
      <c r="B1408"/>
      <c r="C1408"/>
      <c r="F1408"/>
      <c r="G1408"/>
      <c r="H1408"/>
      <c r="J1408"/>
      <c r="K1408"/>
      <c r="L1408"/>
      <c r="M1408"/>
      <c r="N1408"/>
      <c r="O1408"/>
    </row>
    <row r="1409" spans="1:15" x14ac:dyDescent="0.2">
      <c r="A1409"/>
      <c r="B1409"/>
      <c r="C1409"/>
      <c r="F1409"/>
      <c r="G1409"/>
      <c r="J1409"/>
      <c r="K1409"/>
      <c r="L1409"/>
      <c r="M1409"/>
      <c r="N1409"/>
      <c r="O1409"/>
    </row>
    <row r="1410" spans="1:15" x14ac:dyDescent="0.2">
      <c r="A1410"/>
      <c r="B1410"/>
      <c r="C1410"/>
      <c r="F1410"/>
      <c r="G1410"/>
      <c r="H1410"/>
      <c r="I1410"/>
      <c r="J1410"/>
      <c r="K1410"/>
      <c r="L1410"/>
      <c r="M1410"/>
      <c r="N1410"/>
      <c r="O1410"/>
    </row>
    <row r="1411" spans="1:15" x14ac:dyDescent="0.2">
      <c r="A1411"/>
      <c r="B1411"/>
      <c r="C1411"/>
      <c r="F1411"/>
      <c r="G1411"/>
      <c r="J1411"/>
      <c r="L1411"/>
      <c r="M1411"/>
      <c r="N1411"/>
      <c r="O1411"/>
    </row>
    <row r="1412" spans="1:15" x14ac:dyDescent="0.2">
      <c r="A1412"/>
      <c r="B1412"/>
      <c r="C1412"/>
      <c r="F1412"/>
      <c r="G1412"/>
      <c r="I1412"/>
      <c r="L1412"/>
      <c r="N1412"/>
      <c r="O1412"/>
    </row>
    <row r="1413" spans="1:15" x14ac:dyDescent="0.2">
      <c r="A1413"/>
      <c r="B1413"/>
      <c r="C1413"/>
      <c r="F1413"/>
      <c r="G1413"/>
      <c r="L1413"/>
      <c r="M1413"/>
      <c r="N1413"/>
      <c r="O1413"/>
    </row>
    <row r="1414" spans="1:15" x14ac:dyDescent="0.2">
      <c r="A1414"/>
      <c r="B1414"/>
      <c r="C1414"/>
      <c r="F1414"/>
      <c r="G1414"/>
      <c r="H1414"/>
      <c r="J1414"/>
      <c r="K1414"/>
      <c r="L1414"/>
      <c r="M1414"/>
      <c r="N1414"/>
      <c r="O1414"/>
    </row>
    <row r="1415" spans="1:15" x14ac:dyDescent="0.2">
      <c r="A1415"/>
      <c r="B1415"/>
      <c r="C1415"/>
      <c r="F1415"/>
      <c r="G1415"/>
      <c r="J1415"/>
      <c r="K1415"/>
      <c r="L1415"/>
      <c r="M1415"/>
      <c r="N1415"/>
      <c r="O1415"/>
    </row>
    <row r="1416" spans="1:15" x14ac:dyDescent="0.2">
      <c r="A1416"/>
      <c r="B1416"/>
      <c r="C1416"/>
      <c r="F1416"/>
      <c r="G1416"/>
      <c r="H1416"/>
      <c r="I1416"/>
      <c r="L1416"/>
      <c r="M1416"/>
      <c r="N1416"/>
      <c r="O1416"/>
    </row>
    <row r="1417" spans="1:15" x14ac:dyDescent="0.2">
      <c r="A1417"/>
      <c r="B1417"/>
      <c r="C1417"/>
      <c r="F1417"/>
      <c r="G1417"/>
      <c r="H1417"/>
      <c r="L1417"/>
      <c r="M1417"/>
      <c r="N1417"/>
      <c r="O1417"/>
    </row>
    <row r="1418" spans="1:15" x14ac:dyDescent="0.2">
      <c r="A1418"/>
      <c r="B1418"/>
      <c r="C1418"/>
      <c r="F1418"/>
      <c r="G1418"/>
      <c r="H1418"/>
      <c r="I1418"/>
      <c r="L1418"/>
      <c r="N1418"/>
      <c r="O1418"/>
    </row>
    <row r="1419" spans="1:15" x14ac:dyDescent="0.2">
      <c r="A1419"/>
      <c r="B1419"/>
      <c r="C1419"/>
      <c r="F1419"/>
      <c r="G1419"/>
      <c r="I1419"/>
      <c r="L1419"/>
      <c r="M1419"/>
      <c r="N1419"/>
      <c r="O1419"/>
    </row>
    <row r="1420" spans="1:15" x14ac:dyDescent="0.2">
      <c r="A1420"/>
      <c r="B1420"/>
      <c r="C1420"/>
      <c r="F1420"/>
      <c r="G1420"/>
      <c r="L1420"/>
      <c r="M1420"/>
      <c r="N1420"/>
      <c r="O1420"/>
    </row>
    <row r="1421" spans="1:15" x14ac:dyDescent="0.2">
      <c r="A1421"/>
      <c r="B1421"/>
      <c r="C1421"/>
      <c r="F1421"/>
      <c r="G1421"/>
      <c r="L1421"/>
      <c r="M1421"/>
      <c r="N1421"/>
      <c r="O1421"/>
    </row>
    <row r="1422" spans="1:15" x14ac:dyDescent="0.2">
      <c r="A1422"/>
      <c r="B1422"/>
      <c r="C1422"/>
      <c r="F1422"/>
      <c r="G1422"/>
      <c r="H1422"/>
      <c r="I1422"/>
      <c r="L1422"/>
      <c r="M1422"/>
      <c r="N1422"/>
      <c r="O1422"/>
    </row>
    <row r="1423" spans="1:15" x14ac:dyDescent="0.2">
      <c r="A1423"/>
      <c r="B1423"/>
      <c r="C1423"/>
      <c r="F1423"/>
      <c r="G1423"/>
      <c r="L1423"/>
      <c r="M1423"/>
      <c r="N1423"/>
      <c r="O1423"/>
    </row>
    <row r="1424" spans="1:15" x14ac:dyDescent="0.2">
      <c r="A1424"/>
      <c r="B1424"/>
      <c r="C1424"/>
      <c r="F1424"/>
      <c r="G1424"/>
      <c r="H1424"/>
      <c r="I1424"/>
      <c r="L1424"/>
      <c r="M1424"/>
      <c r="N1424"/>
      <c r="O1424"/>
    </row>
    <row r="1425" spans="1:15" x14ac:dyDescent="0.2">
      <c r="A1425"/>
      <c r="B1425"/>
      <c r="C1425"/>
      <c r="F1425"/>
      <c r="G1425"/>
      <c r="H1425"/>
      <c r="I1425"/>
      <c r="L1425"/>
      <c r="M1425"/>
      <c r="N1425"/>
      <c r="O1425"/>
    </row>
    <row r="1426" spans="1:15" x14ac:dyDescent="0.2">
      <c r="A1426"/>
      <c r="B1426"/>
      <c r="C1426"/>
      <c r="F1426"/>
      <c r="G1426"/>
      <c r="H1426"/>
      <c r="I1426"/>
      <c r="L1426"/>
      <c r="M1426"/>
      <c r="N1426"/>
      <c r="O1426"/>
    </row>
    <row r="1427" spans="1:15" x14ac:dyDescent="0.2">
      <c r="A1427"/>
      <c r="B1427"/>
      <c r="C1427"/>
      <c r="F1427"/>
      <c r="G1427"/>
      <c r="H1427"/>
      <c r="I1427"/>
      <c r="L1427"/>
      <c r="M1427"/>
      <c r="N1427"/>
      <c r="O1427"/>
    </row>
    <row r="1428" spans="1:15" x14ac:dyDescent="0.2">
      <c r="A1428"/>
      <c r="B1428"/>
      <c r="C1428"/>
      <c r="F1428"/>
      <c r="G1428"/>
      <c r="H1428"/>
      <c r="I1428"/>
      <c r="L1428"/>
      <c r="M1428"/>
      <c r="N1428"/>
      <c r="O1428"/>
    </row>
    <row r="1429" spans="1:15" x14ac:dyDescent="0.2">
      <c r="A1429"/>
      <c r="B1429"/>
      <c r="C1429"/>
      <c r="F1429"/>
      <c r="G1429"/>
      <c r="H1429"/>
      <c r="I1429"/>
      <c r="L1429"/>
      <c r="M1429"/>
      <c r="N1429"/>
      <c r="O1429"/>
    </row>
    <row r="1430" spans="1:15" x14ac:dyDescent="0.2">
      <c r="A1430"/>
      <c r="B1430"/>
      <c r="C1430"/>
      <c r="F1430"/>
      <c r="G1430"/>
      <c r="J1430"/>
      <c r="K1430"/>
      <c r="L1430"/>
      <c r="M1430"/>
      <c r="N1430"/>
      <c r="O1430"/>
    </row>
    <row r="1431" spans="1:15" x14ac:dyDescent="0.2">
      <c r="A1431"/>
      <c r="B1431"/>
      <c r="C1431"/>
      <c r="F1431"/>
      <c r="G1431"/>
      <c r="H1431"/>
      <c r="I1431"/>
      <c r="L1431"/>
      <c r="M1431"/>
      <c r="N1431"/>
      <c r="O1431"/>
    </row>
    <row r="1432" spans="1:15" x14ac:dyDescent="0.2">
      <c r="A1432"/>
      <c r="B1432"/>
      <c r="C1432"/>
      <c r="F1432"/>
      <c r="G1432"/>
      <c r="I1432"/>
      <c r="L1432"/>
      <c r="M1432"/>
      <c r="N1432"/>
      <c r="O1432"/>
    </row>
    <row r="1433" spans="1:15" x14ac:dyDescent="0.2">
      <c r="A1433"/>
      <c r="B1433"/>
      <c r="C1433"/>
      <c r="F1433"/>
      <c r="G1433"/>
      <c r="H1433"/>
      <c r="I1433"/>
      <c r="L1433"/>
      <c r="M1433"/>
      <c r="N1433"/>
      <c r="O1433"/>
    </row>
    <row r="1434" spans="1:15" x14ac:dyDescent="0.2">
      <c r="A1434"/>
      <c r="B1434"/>
      <c r="C1434"/>
      <c r="F1434"/>
      <c r="G1434"/>
      <c r="I1434"/>
      <c r="L1434"/>
      <c r="M1434"/>
      <c r="N1434"/>
      <c r="O1434"/>
    </row>
    <row r="1435" spans="1:15" x14ac:dyDescent="0.2">
      <c r="A1435"/>
      <c r="B1435"/>
      <c r="C1435"/>
      <c r="F1435"/>
      <c r="G1435"/>
      <c r="L1435"/>
      <c r="M1435"/>
      <c r="N1435"/>
      <c r="O1435"/>
    </row>
    <row r="1436" spans="1:15" x14ac:dyDescent="0.2">
      <c r="A1436"/>
      <c r="B1436"/>
      <c r="C1436"/>
      <c r="F1436"/>
      <c r="G1436"/>
      <c r="H1436"/>
      <c r="I1436"/>
      <c r="L1436"/>
      <c r="M1436"/>
      <c r="N1436"/>
      <c r="O1436"/>
    </row>
    <row r="1437" spans="1:15" x14ac:dyDescent="0.2">
      <c r="A1437"/>
      <c r="B1437"/>
      <c r="C1437"/>
      <c r="F1437"/>
      <c r="G1437"/>
      <c r="H1437"/>
      <c r="I1437"/>
      <c r="L1437"/>
      <c r="N1437"/>
      <c r="O1437"/>
    </row>
    <row r="1438" spans="1:15" x14ac:dyDescent="0.2">
      <c r="A1438"/>
      <c r="B1438"/>
      <c r="C1438"/>
      <c r="F1438"/>
      <c r="G1438"/>
      <c r="I1438"/>
      <c r="L1438"/>
      <c r="M1438"/>
      <c r="N1438"/>
      <c r="O1438"/>
    </row>
    <row r="1439" spans="1:15" x14ac:dyDescent="0.2">
      <c r="A1439"/>
      <c r="B1439"/>
      <c r="C1439"/>
      <c r="F1439"/>
      <c r="G1439"/>
      <c r="L1439"/>
      <c r="M1439"/>
      <c r="N1439"/>
      <c r="O1439"/>
    </row>
    <row r="1440" spans="1:15" x14ac:dyDescent="0.2">
      <c r="A1440"/>
      <c r="B1440"/>
      <c r="C1440"/>
      <c r="F1440"/>
      <c r="G1440"/>
      <c r="H1440"/>
      <c r="I1440"/>
      <c r="L1440"/>
      <c r="M1440"/>
      <c r="N1440"/>
      <c r="O1440"/>
    </row>
    <row r="1441" spans="1:15" x14ac:dyDescent="0.2">
      <c r="A1441"/>
      <c r="B1441"/>
      <c r="C1441"/>
      <c r="F1441"/>
      <c r="G1441"/>
      <c r="H1441"/>
      <c r="J1441"/>
      <c r="K1441"/>
      <c r="L1441"/>
      <c r="M1441"/>
      <c r="N1441"/>
      <c r="O1441"/>
    </row>
    <row r="1442" spans="1:15" x14ac:dyDescent="0.2">
      <c r="A1442"/>
      <c r="B1442"/>
      <c r="C1442"/>
      <c r="F1442"/>
      <c r="G1442"/>
      <c r="L1442"/>
      <c r="M1442"/>
      <c r="N1442"/>
      <c r="O1442"/>
    </row>
    <row r="1443" spans="1:15" x14ac:dyDescent="0.2">
      <c r="A1443"/>
      <c r="B1443"/>
      <c r="C1443"/>
      <c r="F1443"/>
      <c r="G1443"/>
      <c r="H1443"/>
      <c r="I1443"/>
      <c r="L1443"/>
      <c r="M1443"/>
      <c r="N1443"/>
      <c r="O1443"/>
    </row>
    <row r="1444" spans="1:15" x14ac:dyDescent="0.2">
      <c r="A1444"/>
      <c r="B1444"/>
      <c r="C1444"/>
      <c r="F1444"/>
      <c r="G1444"/>
      <c r="H1444"/>
      <c r="I1444"/>
      <c r="L1444"/>
      <c r="M1444"/>
      <c r="N1444"/>
      <c r="O1444"/>
    </row>
    <row r="1445" spans="1:15" x14ac:dyDescent="0.2">
      <c r="A1445"/>
      <c r="B1445"/>
      <c r="C1445"/>
      <c r="F1445"/>
      <c r="G1445"/>
      <c r="H1445"/>
      <c r="L1445"/>
      <c r="M1445"/>
      <c r="N1445"/>
      <c r="O1445"/>
    </row>
    <row r="1446" spans="1:15" x14ac:dyDescent="0.2">
      <c r="A1446"/>
      <c r="B1446"/>
      <c r="C1446"/>
      <c r="F1446"/>
      <c r="G1446"/>
      <c r="H1446"/>
      <c r="I1446"/>
      <c r="L1446"/>
      <c r="M1446"/>
      <c r="N1446"/>
      <c r="O1446"/>
    </row>
    <row r="1447" spans="1:15" x14ac:dyDescent="0.2">
      <c r="A1447"/>
      <c r="B1447"/>
      <c r="C1447"/>
      <c r="F1447"/>
      <c r="G1447"/>
      <c r="H1447"/>
      <c r="I1447"/>
      <c r="L1447"/>
      <c r="N1447"/>
      <c r="O1447"/>
    </row>
    <row r="1448" spans="1:15" x14ac:dyDescent="0.2">
      <c r="A1448"/>
      <c r="B1448"/>
      <c r="C1448"/>
      <c r="F1448"/>
      <c r="G1448"/>
      <c r="H1448"/>
      <c r="I1448"/>
      <c r="L1448"/>
      <c r="M1448"/>
      <c r="N1448"/>
      <c r="O1448"/>
    </row>
    <row r="1449" spans="1:15" x14ac:dyDescent="0.2">
      <c r="A1449"/>
      <c r="B1449"/>
      <c r="C1449"/>
      <c r="F1449"/>
      <c r="G1449"/>
      <c r="H1449"/>
      <c r="I1449"/>
      <c r="J1449"/>
      <c r="K1449"/>
      <c r="L1449"/>
      <c r="M1449"/>
      <c r="N1449"/>
      <c r="O1449"/>
    </row>
    <row r="1450" spans="1:15" x14ac:dyDescent="0.2">
      <c r="A1450"/>
      <c r="B1450"/>
      <c r="C1450"/>
      <c r="F1450"/>
      <c r="G1450"/>
      <c r="H1450"/>
      <c r="J1450"/>
      <c r="K1450"/>
      <c r="L1450"/>
      <c r="M1450"/>
      <c r="N1450"/>
      <c r="O1450"/>
    </row>
    <row r="1451" spans="1:15" x14ac:dyDescent="0.2">
      <c r="A1451"/>
      <c r="B1451"/>
      <c r="C1451"/>
      <c r="F1451"/>
      <c r="G1451"/>
      <c r="L1451"/>
      <c r="M1451"/>
      <c r="N1451"/>
      <c r="O1451"/>
    </row>
    <row r="1452" spans="1:15" x14ac:dyDescent="0.2">
      <c r="A1452"/>
      <c r="B1452"/>
      <c r="C1452"/>
      <c r="F1452"/>
      <c r="G1452"/>
      <c r="H1452"/>
      <c r="I1452"/>
      <c r="L1452"/>
      <c r="M1452"/>
      <c r="N1452"/>
      <c r="O1452"/>
    </row>
    <row r="1453" spans="1:15" x14ac:dyDescent="0.2">
      <c r="A1453"/>
      <c r="B1453"/>
      <c r="C1453"/>
      <c r="F1453"/>
      <c r="G1453"/>
      <c r="M1453"/>
      <c r="N1453"/>
      <c r="O1453"/>
    </row>
    <row r="1454" spans="1:15" x14ac:dyDescent="0.2">
      <c r="A1454"/>
      <c r="B1454"/>
      <c r="C1454"/>
      <c r="F1454"/>
      <c r="G1454"/>
      <c r="L1454"/>
      <c r="M1454"/>
      <c r="N1454"/>
      <c r="O1454"/>
    </row>
    <row r="1455" spans="1:15" x14ac:dyDescent="0.2">
      <c r="A1455"/>
      <c r="B1455"/>
      <c r="C1455"/>
      <c r="F1455"/>
      <c r="G1455"/>
      <c r="M1455"/>
      <c r="N1455"/>
      <c r="O1455"/>
    </row>
    <row r="1456" spans="1:15" x14ac:dyDescent="0.2">
      <c r="A1456"/>
      <c r="B1456"/>
      <c r="C1456"/>
      <c r="F1456"/>
      <c r="G1456"/>
      <c r="L1456"/>
      <c r="M1456"/>
      <c r="N1456"/>
      <c r="O1456"/>
    </row>
    <row r="1457" spans="1:15" x14ac:dyDescent="0.2">
      <c r="A1457"/>
      <c r="B1457"/>
      <c r="C1457"/>
      <c r="F1457"/>
      <c r="G1457"/>
      <c r="H1457"/>
      <c r="I1457"/>
      <c r="L1457"/>
      <c r="N1457"/>
      <c r="O1457"/>
    </row>
    <row r="1458" spans="1:15" x14ac:dyDescent="0.2">
      <c r="A1458"/>
      <c r="B1458"/>
      <c r="C1458"/>
      <c r="F1458"/>
      <c r="G1458"/>
      <c r="L1458"/>
      <c r="M1458"/>
      <c r="N1458"/>
      <c r="O1458"/>
    </row>
    <row r="1459" spans="1:15" x14ac:dyDescent="0.2">
      <c r="A1459"/>
      <c r="B1459"/>
      <c r="C1459"/>
      <c r="F1459"/>
      <c r="G1459"/>
      <c r="J1459"/>
      <c r="K1459"/>
      <c r="L1459"/>
      <c r="M1459"/>
      <c r="N1459"/>
      <c r="O1459"/>
    </row>
    <row r="1460" spans="1:15" x14ac:dyDescent="0.2">
      <c r="A1460"/>
      <c r="B1460"/>
      <c r="C1460"/>
      <c r="F1460"/>
      <c r="G1460"/>
      <c r="H1460"/>
      <c r="I1460"/>
      <c r="L1460"/>
      <c r="N1460"/>
      <c r="O1460"/>
    </row>
    <row r="1461" spans="1:15" x14ac:dyDescent="0.2">
      <c r="A1461"/>
      <c r="B1461"/>
      <c r="C1461"/>
      <c r="F1461"/>
      <c r="G1461"/>
      <c r="H1461"/>
      <c r="I1461"/>
      <c r="L1461"/>
      <c r="M1461"/>
      <c r="N1461"/>
      <c r="O1461"/>
    </row>
    <row r="1462" spans="1:15" x14ac:dyDescent="0.2">
      <c r="A1462"/>
      <c r="B1462"/>
      <c r="C1462"/>
      <c r="F1462"/>
      <c r="G1462"/>
      <c r="H1462"/>
      <c r="I1462"/>
      <c r="L1462"/>
      <c r="M1462"/>
      <c r="N1462"/>
      <c r="O1462"/>
    </row>
    <row r="1463" spans="1:15" x14ac:dyDescent="0.2">
      <c r="A1463"/>
      <c r="B1463"/>
      <c r="C1463"/>
      <c r="F1463"/>
      <c r="G1463"/>
      <c r="L1463"/>
      <c r="M1463"/>
      <c r="N1463"/>
      <c r="O1463"/>
    </row>
    <row r="1464" spans="1:15" x14ac:dyDescent="0.2">
      <c r="A1464"/>
      <c r="B1464"/>
      <c r="C1464"/>
      <c r="F1464"/>
      <c r="G1464"/>
      <c r="H1464"/>
      <c r="I1464"/>
      <c r="L1464"/>
      <c r="M1464"/>
      <c r="N1464"/>
      <c r="O1464"/>
    </row>
    <row r="1465" spans="1:15" x14ac:dyDescent="0.2">
      <c r="A1465"/>
      <c r="B1465"/>
      <c r="C1465"/>
      <c r="F1465"/>
      <c r="G1465"/>
      <c r="H1465"/>
      <c r="I1465"/>
      <c r="L1465"/>
      <c r="M1465"/>
      <c r="N1465"/>
      <c r="O1465"/>
    </row>
    <row r="1466" spans="1:15" x14ac:dyDescent="0.2">
      <c r="A1466"/>
      <c r="B1466"/>
      <c r="C1466"/>
      <c r="F1466"/>
      <c r="G1466"/>
      <c r="H1466"/>
      <c r="L1466"/>
      <c r="M1466"/>
      <c r="N1466"/>
      <c r="O1466"/>
    </row>
    <row r="1467" spans="1:15" x14ac:dyDescent="0.2">
      <c r="A1467"/>
      <c r="B1467"/>
      <c r="C1467"/>
      <c r="F1467"/>
      <c r="G1467"/>
      <c r="L1467"/>
      <c r="M1467"/>
      <c r="N1467"/>
      <c r="O1467"/>
    </row>
    <row r="1468" spans="1:15" x14ac:dyDescent="0.2">
      <c r="A1468"/>
      <c r="B1468"/>
      <c r="C1468"/>
      <c r="F1468"/>
      <c r="G1468"/>
      <c r="M1468"/>
      <c r="N1468"/>
      <c r="O1468"/>
    </row>
    <row r="1469" spans="1:15" x14ac:dyDescent="0.2">
      <c r="A1469"/>
      <c r="B1469"/>
      <c r="C1469"/>
      <c r="F1469"/>
      <c r="G1469"/>
      <c r="H1469"/>
      <c r="I1469"/>
      <c r="L1469"/>
      <c r="M1469"/>
      <c r="N1469"/>
      <c r="O1469"/>
    </row>
    <row r="1470" spans="1:15" x14ac:dyDescent="0.2">
      <c r="A1470"/>
      <c r="B1470"/>
      <c r="C1470"/>
      <c r="F1470"/>
      <c r="G1470"/>
      <c r="I1470"/>
      <c r="L1470"/>
      <c r="M1470"/>
      <c r="N1470"/>
      <c r="O1470"/>
    </row>
    <row r="1471" spans="1:15" x14ac:dyDescent="0.2">
      <c r="A1471"/>
      <c r="B1471"/>
      <c r="C1471"/>
      <c r="F1471"/>
      <c r="G1471"/>
      <c r="H1471"/>
      <c r="I1471"/>
      <c r="L1471"/>
      <c r="M1471"/>
      <c r="N1471"/>
      <c r="O1471"/>
    </row>
    <row r="1472" spans="1:15" x14ac:dyDescent="0.2">
      <c r="A1472"/>
      <c r="B1472"/>
      <c r="C1472"/>
      <c r="F1472"/>
      <c r="G1472"/>
      <c r="H1472"/>
      <c r="J1472"/>
      <c r="K1472"/>
      <c r="L1472"/>
      <c r="M1472"/>
      <c r="N1472"/>
      <c r="O1472"/>
    </row>
    <row r="1473" spans="1:15" x14ac:dyDescent="0.2">
      <c r="A1473"/>
      <c r="B1473"/>
      <c r="C1473"/>
      <c r="F1473"/>
      <c r="G1473"/>
      <c r="H1473"/>
      <c r="I1473"/>
      <c r="L1473"/>
      <c r="M1473"/>
      <c r="N1473"/>
      <c r="O1473"/>
    </row>
    <row r="1474" spans="1:15" x14ac:dyDescent="0.2">
      <c r="A1474"/>
      <c r="B1474"/>
      <c r="C1474"/>
      <c r="F1474"/>
      <c r="G1474"/>
      <c r="L1474"/>
      <c r="M1474"/>
      <c r="N1474"/>
      <c r="O1474"/>
    </row>
    <row r="1475" spans="1:15" x14ac:dyDescent="0.2">
      <c r="A1475"/>
      <c r="B1475"/>
      <c r="C1475"/>
      <c r="F1475"/>
      <c r="G1475"/>
      <c r="H1475"/>
      <c r="I1475"/>
      <c r="L1475"/>
      <c r="M1475"/>
      <c r="N1475"/>
      <c r="O1475"/>
    </row>
    <row r="1476" spans="1:15" x14ac:dyDescent="0.2">
      <c r="A1476"/>
      <c r="B1476"/>
      <c r="C1476"/>
      <c r="F1476"/>
      <c r="G1476"/>
      <c r="H1476"/>
      <c r="I1476"/>
      <c r="L1476"/>
      <c r="N1476"/>
      <c r="O1476"/>
    </row>
    <row r="1477" spans="1:15" x14ac:dyDescent="0.2">
      <c r="A1477"/>
      <c r="B1477"/>
      <c r="C1477"/>
      <c r="F1477"/>
      <c r="G1477"/>
      <c r="L1477"/>
      <c r="M1477"/>
      <c r="N1477"/>
      <c r="O1477"/>
    </row>
    <row r="1478" spans="1:15" x14ac:dyDescent="0.2">
      <c r="A1478"/>
      <c r="B1478"/>
      <c r="C1478"/>
      <c r="F1478"/>
      <c r="G1478"/>
      <c r="H1478"/>
      <c r="J1478"/>
      <c r="K1478"/>
      <c r="L1478"/>
      <c r="M1478"/>
      <c r="N1478"/>
      <c r="O1478"/>
    </row>
    <row r="1479" spans="1:15" x14ac:dyDescent="0.2">
      <c r="A1479"/>
      <c r="B1479"/>
      <c r="C1479"/>
      <c r="F1479"/>
      <c r="G1479"/>
      <c r="H1479"/>
      <c r="I1479"/>
      <c r="L1479"/>
      <c r="N1479"/>
      <c r="O1479"/>
    </row>
    <row r="1480" spans="1:15" x14ac:dyDescent="0.2">
      <c r="A1480"/>
      <c r="B1480"/>
      <c r="C1480"/>
      <c r="F1480"/>
      <c r="G1480"/>
      <c r="L1480"/>
      <c r="M1480"/>
      <c r="N1480"/>
      <c r="O1480"/>
    </row>
    <row r="1481" spans="1:15" x14ac:dyDescent="0.2">
      <c r="A1481"/>
      <c r="B1481"/>
      <c r="C1481"/>
      <c r="F1481"/>
      <c r="G1481"/>
      <c r="H1481"/>
      <c r="I1481"/>
      <c r="L1481"/>
      <c r="M1481"/>
      <c r="N1481"/>
      <c r="O1481"/>
    </row>
    <row r="1482" spans="1:15" x14ac:dyDescent="0.2">
      <c r="A1482"/>
      <c r="B1482"/>
      <c r="C1482"/>
      <c r="F1482"/>
      <c r="G1482"/>
      <c r="H1482"/>
      <c r="I1482"/>
      <c r="L1482"/>
      <c r="M1482"/>
      <c r="N1482"/>
      <c r="O1482"/>
    </row>
    <row r="1483" spans="1:15" x14ac:dyDescent="0.2">
      <c r="A1483"/>
      <c r="B1483"/>
      <c r="C1483"/>
      <c r="F1483"/>
      <c r="G1483"/>
      <c r="I1483"/>
      <c r="L1483"/>
      <c r="M1483"/>
      <c r="N1483"/>
      <c r="O1483"/>
    </row>
    <row r="1484" spans="1:15" x14ac:dyDescent="0.2">
      <c r="A1484"/>
      <c r="B1484"/>
      <c r="C1484"/>
      <c r="F1484"/>
      <c r="G1484"/>
      <c r="I1484"/>
      <c r="L1484"/>
      <c r="M1484"/>
      <c r="N1484"/>
      <c r="O1484"/>
    </row>
    <row r="1485" spans="1:15" x14ac:dyDescent="0.2">
      <c r="A1485"/>
      <c r="B1485"/>
      <c r="C1485"/>
      <c r="F1485"/>
      <c r="G1485"/>
      <c r="L1485"/>
      <c r="M1485"/>
      <c r="N1485"/>
      <c r="O1485"/>
    </row>
    <row r="1486" spans="1:15" x14ac:dyDescent="0.2">
      <c r="A1486"/>
      <c r="B1486"/>
      <c r="C1486"/>
      <c r="F1486"/>
      <c r="G1486"/>
      <c r="H1486"/>
      <c r="I1486"/>
      <c r="L1486"/>
      <c r="M1486"/>
      <c r="N1486"/>
      <c r="O1486"/>
    </row>
    <row r="1487" spans="1:15" x14ac:dyDescent="0.2">
      <c r="A1487"/>
      <c r="B1487"/>
      <c r="C1487"/>
      <c r="F1487"/>
      <c r="G1487"/>
      <c r="J1487"/>
      <c r="K1487"/>
      <c r="L1487"/>
      <c r="M1487"/>
      <c r="N1487"/>
      <c r="O1487"/>
    </row>
    <row r="1488" spans="1:15" x14ac:dyDescent="0.2">
      <c r="A1488"/>
      <c r="B1488"/>
      <c r="C1488"/>
      <c r="F1488"/>
      <c r="G1488"/>
      <c r="M1488"/>
      <c r="N1488"/>
      <c r="O1488"/>
    </row>
    <row r="1489" spans="1:15" x14ac:dyDescent="0.2">
      <c r="A1489"/>
      <c r="B1489"/>
      <c r="C1489"/>
      <c r="F1489"/>
      <c r="G1489"/>
      <c r="L1489"/>
      <c r="M1489"/>
      <c r="N1489"/>
      <c r="O1489"/>
    </row>
    <row r="1490" spans="1:15" x14ac:dyDescent="0.2">
      <c r="A1490"/>
      <c r="B1490"/>
      <c r="C1490"/>
      <c r="F1490"/>
      <c r="G1490"/>
      <c r="L1490"/>
      <c r="M1490"/>
      <c r="N1490"/>
      <c r="O1490"/>
    </row>
    <row r="1491" spans="1:15" x14ac:dyDescent="0.2">
      <c r="A1491"/>
      <c r="B1491"/>
      <c r="C1491"/>
      <c r="F1491"/>
      <c r="G1491"/>
      <c r="H1491"/>
      <c r="I1491"/>
      <c r="J1491"/>
      <c r="K1491"/>
      <c r="L1491"/>
      <c r="M1491"/>
      <c r="N1491"/>
      <c r="O1491"/>
    </row>
    <row r="1492" spans="1:15" x14ac:dyDescent="0.2">
      <c r="A1492"/>
      <c r="B1492"/>
      <c r="C1492"/>
      <c r="F1492"/>
      <c r="G1492"/>
      <c r="I1492"/>
      <c r="L1492"/>
      <c r="M1492"/>
      <c r="N1492"/>
      <c r="O1492"/>
    </row>
    <row r="1493" spans="1:15" x14ac:dyDescent="0.2">
      <c r="A1493"/>
      <c r="B1493"/>
      <c r="C1493"/>
      <c r="F1493"/>
      <c r="G1493"/>
      <c r="I1493"/>
      <c r="L1493"/>
      <c r="M1493"/>
      <c r="N1493"/>
      <c r="O1493"/>
    </row>
    <row r="1494" spans="1:15" x14ac:dyDescent="0.2">
      <c r="A1494"/>
      <c r="B1494"/>
      <c r="C1494"/>
      <c r="F1494"/>
      <c r="G1494"/>
      <c r="N1494"/>
      <c r="O1494"/>
    </row>
    <row r="1495" spans="1:15" x14ac:dyDescent="0.2">
      <c r="A1495"/>
      <c r="B1495"/>
      <c r="C1495"/>
      <c r="F1495"/>
      <c r="G1495"/>
      <c r="H1495"/>
      <c r="I1495"/>
      <c r="L1495"/>
      <c r="M1495"/>
      <c r="N1495"/>
      <c r="O1495"/>
    </row>
    <row r="1496" spans="1:15" x14ac:dyDescent="0.2">
      <c r="A1496"/>
      <c r="B1496"/>
      <c r="C1496"/>
      <c r="F1496"/>
      <c r="G1496"/>
      <c r="L1496"/>
      <c r="M1496"/>
      <c r="N1496"/>
      <c r="O1496"/>
    </row>
    <row r="1497" spans="1:15" x14ac:dyDescent="0.2">
      <c r="A1497"/>
      <c r="B1497"/>
      <c r="C1497"/>
      <c r="F1497"/>
      <c r="G1497"/>
      <c r="L1497"/>
      <c r="M1497"/>
      <c r="N1497"/>
      <c r="O1497"/>
    </row>
    <row r="1498" spans="1:15" x14ac:dyDescent="0.2">
      <c r="A1498"/>
      <c r="B1498"/>
      <c r="C1498"/>
      <c r="F1498"/>
      <c r="G1498"/>
      <c r="H1498"/>
      <c r="J1498"/>
      <c r="K1498"/>
      <c r="M1498"/>
      <c r="N1498"/>
      <c r="O1498"/>
    </row>
    <row r="1499" spans="1:15" x14ac:dyDescent="0.2">
      <c r="A1499"/>
      <c r="B1499"/>
      <c r="C1499"/>
      <c r="F1499"/>
      <c r="G1499"/>
      <c r="H1499"/>
      <c r="I1499"/>
      <c r="L1499"/>
      <c r="M1499"/>
      <c r="N1499"/>
      <c r="O1499"/>
    </row>
    <row r="1500" spans="1:15" x14ac:dyDescent="0.2">
      <c r="A1500"/>
      <c r="B1500"/>
      <c r="C1500"/>
      <c r="F1500"/>
      <c r="G1500"/>
      <c r="H1500"/>
      <c r="I1500"/>
      <c r="L1500"/>
      <c r="M1500"/>
      <c r="N1500"/>
      <c r="O1500"/>
    </row>
    <row r="1501" spans="1:15" x14ac:dyDescent="0.2">
      <c r="A1501"/>
      <c r="B1501"/>
      <c r="C1501"/>
      <c r="F1501"/>
      <c r="G1501"/>
      <c r="H1501"/>
      <c r="I1501"/>
      <c r="L1501"/>
      <c r="M1501"/>
      <c r="N1501"/>
      <c r="O1501"/>
    </row>
    <row r="1502" spans="1:15" x14ac:dyDescent="0.2">
      <c r="A1502"/>
      <c r="B1502"/>
      <c r="C1502"/>
      <c r="F1502"/>
      <c r="G1502"/>
      <c r="H1502"/>
      <c r="I1502"/>
      <c r="L1502"/>
      <c r="M1502"/>
      <c r="N1502"/>
      <c r="O1502"/>
    </row>
    <row r="1503" spans="1:15" x14ac:dyDescent="0.2">
      <c r="A1503"/>
      <c r="B1503"/>
      <c r="C1503"/>
      <c r="F1503"/>
      <c r="G1503"/>
      <c r="H1503"/>
      <c r="I1503"/>
      <c r="L1503"/>
      <c r="M1503"/>
      <c r="N1503"/>
      <c r="O1503"/>
    </row>
    <row r="1504" spans="1:15" x14ac:dyDescent="0.2">
      <c r="A1504"/>
      <c r="B1504"/>
      <c r="C1504"/>
      <c r="F1504"/>
      <c r="G1504"/>
      <c r="H1504"/>
      <c r="I1504"/>
      <c r="L1504"/>
      <c r="M1504"/>
      <c r="N1504"/>
      <c r="O1504"/>
    </row>
    <row r="1505" spans="1:15" x14ac:dyDescent="0.2">
      <c r="A1505"/>
      <c r="B1505"/>
      <c r="C1505"/>
      <c r="F1505"/>
      <c r="G1505"/>
      <c r="I1505"/>
      <c r="L1505"/>
      <c r="M1505"/>
      <c r="N1505"/>
      <c r="O1505"/>
    </row>
    <row r="1506" spans="1:15" x14ac:dyDescent="0.2">
      <c r="A1506"/>
      <c r="B1506"/>
      <c r="C1506"/>
      <c r="F1506"/>
      <c r="G1506"/>
      <c r="L1506"/>
      <c r="M1506"/>
      <c r="N1506"/>
      <c r="O1506"/>
    </row>
    <row r="1507" spans="1:15" x14ac:dyDescent="0.2">
      <c r="A1507"/>
      <c r="B1507"/>
      <c r="C1507"/>
      <c r="F1507"/>
      <c r="G1507"/>
      <c r="H1507"/>
      <c r="I1507"/>
      <c r="L1507"/>
      <c r="M1507"/>
      <c r="N1507"/>
      <c r="O1507"/>
    </row>
    <row r="1508" spans="1:15" x14ac:dyDescent="0.2">
      <c r="A1508"/>
      <c r="B1508"/>
      <c r="C1508"/>
      <c r="F1508"/>
      <c r="G1508"/>
      <c r="H1508"/>
      <c r="N1508"/>
      <c r="O1508"/>
    </row>
    <row r="1509" spans="1:15" x14ac:dyDescent="0.2">
      <c r="A1509"/>
      <c r="B1509"/>
      <c r="C1509"/>
      <c r="F1509"/>
      <c r="G1509"/>
      <c r="H1509"/>
      <c r="I1509"/>
      <c r="L1509"/>
      <c r="M1509"/>
      <c r="N1509"/>
      <c r="O1509"/>
    </row>
    <row r="1510" spans="1:15" x14ac:dyDescent="0.2">
      <c r="A1510"/>
      <c r="B1510"/>
      <c r="C1510"/>
      <c r="F1510"/>
      <c r="G1510"/>
      <c r="H1510"/>
      <c r="I1510"/>
      <c r="L1510"/>
      <c r="M1510"/>
      <c r="N1510"/>
      <c r="O1510"/>
    </row>
    <row r="1511" spans="1:15" x14ac:dyDescent="0.2">
      <c r="A1511"/>
      <c r="B1511"/>
      <c r="C1511"/>
      <c r="F1511"/>
      <c r="G1511"/>
      <c r="H1511"/>
      <c r="I1511"/>
      <c r="L1511"/>
      <c r="M1511"/>
      <c r="N1511"/>
      <c r="O1511"/>
    </row>
    <row r="1512" spans="1:15" x14ac:dyDescent="0.2">
      <c r="A1512"/>
      <c r="B1512"/>
      <c r="C1512"/>
      <c r="F1512"/>
      <c r="G1512"/>
      <c r="H1512"/>
      <c r="I1512"/>
      <c r="L1512"/>
      <c r="M1512"/>
      <c r="N1512"/>
      <c r="O1512"/>
    </row>
    <row r="1513" spans="1:15" x14ac:dyDescent="0.2">
      <c r="A1513"/>
      <c r="B1513"/>
      <c r="C1513"/>
      <c r="F1513"/>
      <c r="G1513"/>
      <c r="H1513"/>
      <c r="I1513"/>
      <c r="L1513"/>
      <c r="M1513"/>
      <c r="N1513"/>
      <c r="O1513"/>
    </row>
    <row r="1514" spans="1:15" x14ac:dyDescent="0.2">
      <c r="A1514"/>
      <c r="B1514"/>
      <c r="C1514"/>
      <c r="F1514"/>
      <c r="G1514"/>
      <c r="I1514"/>
      <c r="L1514"/>
      <c r="M1514"/>
      <c r="N1514"/>
      <c r="O1514"/>
    </row>
    <row r="1515" spans="1:15" x14ac:dyDescent="0.2">
      <c r="A1515"/>
      <c r="B1515"/>
      <c r="C1515"/>
      <c r="F1515"/>
      <c r="G1515"/>
      <c r="M1515"/>
      <c r="N1515"/>
      <c r="O1515"/>
    </row>
    <row r="1516" spans="1:15" x14ac:dyDescent="0.2">
      <c r="A1516"/>
      <c r="B1516"/>
      <c r="C1516"/>
      <c r="F1516"/>
      <c r="G1516"/>
      <c r="L1516"/>
      <c r="M1516"/>
      <c r="N1516"/>
      <c r="O1516"/>
    </row>
    <row r="1517" spans="1:15" x14ac:dyDescent="0.2">
      <c r="A1517"/>
      <c r="B1517"/>
      <c r="C1517"/>
      <c r="F1517"/>
      <c r="G1517"/>
      <c r="H1517"/>
      <c r="I1517"/>
      <c r="J1517"/>
      <c r="K1517"/>
      <c r="L1517"/>
      <c r="M1517"/>
      <c r="N1517"/>
      <c r="O1517"/>
    </row>
    <row r="1518" spans="1:15" x14ac:dyDescent="0.2">
      <c r="A1518"/>
      <c r="B1518"/>
      <c r="C1518"/>
      <c r="F1518"/>
      <c r="G1518"/>
      <c r="H1518"/>
      <c r="I1518"/>
      <c r="L1518"/>
      <c r="M1518"/>
      <c r="N1518"/>
      <c r="O1518"/>
    </row>
    <row r="1519" spans="1:15" x14ac:dyDescent="0.2">
      <c r="A1519"/>
      <c r="B1519"/>
      <c r="C1519"/>
      <c r="F1519"/>
      <c r="G1519"/>
      <c r="J1519"/>
      <c r="K1519"/>
      <c r="L1519"/>
      <c r="M1519"/>
      <c r="N1519"/>
      <c r="O1519"/>
    </row>
    <row r="1520" spans="1:15" x14ac:dyDescent="0.2">
      <c r="A1520"/>
      <c r="B1520"/>
      <c r="C1520"/>
      <c r="F1520"/>
      <c r="G1520"/>
      <c r="L1520"/>
      <c r="M1520"/>
      <c r="N1520"/>
      <c r="O1520"/>
    </row>
    <row r="1521" spans="1:15" x14ac:dyDescent="0.2">
      <c r="A1521"/>
      <c r="B1521"/>
      <c r="C1521"/>
      <c r="F1521"/>
      <c r="G1521"/>
      <c r="H1521"/>
      <c r="J1521"/>
      <c r="K1521"/>
      <c r="L1521"/>
      <c r="M1521"/>
      <c r="N1521"/>
      <c r="O1521"/>
    </row>
    <row r="1522" spans="1:15" x14ac:dyDescent="0.2">
      <c r="A1522"/>
      <c r="B1522"/>
      <c r="C1522"/>
      <c r="F1522"/>
      <c r="G1522"/>
      <c r="H1522"/>
      <c r="I1522"/>
      <c r="J1522"/>
      <c r="K1522"/>
      <c r="L1522"/>
      <c r="M1522"/>
      <c r="N1522"/>
      <c r="O1522"/>
    </row>
    <row r="1523" spans="1:15" x14ac:dyDescent="0.2">
      <c r="A1523"/>
      <c r="B1523"/>
      <c r="C1523"/>
      <c r="F1523"/>
      <c r="G1523"/>
      <c r="H1523"/>
      <c r="J1523"/>
      <c r="K1523"/>
      <c r="L1523"/>
      <c r="M1523"/>
      <c r="N1523"/>
      <c r="O1523"/>
    </row>
    <row r="1524" spans="1:15" x14ac:dyDescent="0.2">
      <c r="A1524"/>
      <c r="B1524"/>
      <c r="C1524"/>
      <c r="F1524"/>
      <c r="G1524"/>
      <c r="L1524"/>
      <c r="M1524"/>
      <c r="N1524"/>
      <c r="O1524"/>
    </row>
    <row r="1525" spans="1:15" x14ac:dyDescent="0.2">
      <c r="A1525"/>
      <c r="B1525"/>
      <c r="C1525"/>
      <c r="F1525"/>
      <c r="G1525"/>
      <c r="H1525"/>
      <c r="J1525"/>
      <c r="K1525"/>
      <c r="L1525"/>
      <c r="M1525"/>
      <c r="N1525"/>
      <c r="O1525"/>
    </row>
    <row r="1526" spans="1:15" x14ac:dyDescent="0.2">
      <c r="A1526"/>
      <c r="B1526"/>
      <c r="C1526"/>
      <c r="F1526"/>
      <c r="G1526"/>
      <c r="H1526"/>
      <c r="L1526"/>
      <c r="M1526"/>
      <c r="N1526"/>
      <c r="O1526"/>
    </row>
    <row r="1527" spans="1:15" x14ac:dyDescent="0.2">
      <c r="A1527"/>
      <c r="B1527"/>
      <c r="C1527"/>
      <c r="F1527"/>
      <c r="G1527"/>
      <c r="H1527"/>
      <c r="I1527"/>
      <c r="L1527"/>
      <c r="M1527"/>
      <c r="N1527"/>
      <c r="O1527"/>
    </row>
    <row r="1528" spans="1:15" x14ac:dyDescent="0.2">
      <c r="A1528"/>
      <c r="B1528"/>
      <c r="C1528"/>
      <c r="F1528"/>
      <c r="G1528"/>
      <c r="J1528"/>
      <c r="K1528"/>
      <c r="L1528"/>
      <c r="M1528"/>
      <c r="N1528"/>
      <c r="O1528"/>
    </row>
    <row r="1529" spans="1:15" x14ac:dyDescent="0.2">
      <c r="A1529"/>
      <c r="B1529"/>
      <c r="C1529"/>
      <c r="F1529"/>
      <c r="G1529"/>
      <c r="H1529"/>
      <c r="I1529"/>
      <c r="L1529"/>
      <c r="M1529"/>
      <c r="N1529"/>
      <c r="O1529"/>
    </row>
    <row r="1530" spans="1:15" x14ac:dyDescent="0.2">
      <c r="A1530"/>
      <c r="B1530"/>
      <c r="C1530"/>
      <c r="F1530"/>
      <c r="G1530"/>
      <c r="H1530"/>
      <c r="I1530"/>
      <c r="L1530"/>
      <c r="M1530"/>
      <c r="N1530"/>
      <c r="O1530"/>
    </row>
    <row r="1531" spans="1:15" x14ac:dyDescent="0.2">
      <c r="A1531"/>
      <c r="B1531"/>
      <c r="C1531"/>
      <c r="F1531"/>
      <c r="G1531"/>
      <c r="H1531"/>
      <c r="I1531"/>
      <c r="L1531"/>
      <c r="M1531"/>
      <c r="N1531"/>
      <c r="O1531"/>
    </row>
    <row r="1532" spans="1:15" x14ac:dyDescent="0.2">
      <c r="A1532"/>
      <c r="B1532"/>
      <c r="C1532"/>
      <c r="F1532"/>
      <c r="G1532"/>
      <c r="H1532"/>
      <c r="I1532"/>
      <c r="L1532"/>
      <c r="M1532"/>
      <c r="N1532"/>
      <c r="O1532"/>
    </row>
    <row r="1533" spans="1:15" x14ac:dyDescent="0.2">
      <c r="A1533"/>
      <c r="B1533"/>
      <c r="C1533"/>
      <c r="F1533"/>
      <c r="G1533"/>
      <c r="H1533"/>
      <c r="I1533"/>
      <c r="L1533"/>
      <c r="M1533"/>
      <c r="N1533"/>
      <c r="O1533"/>
    </row>
    <row r="1534" spans="1:15" x14ac:dyDescent="0.2">
      <c r="A1534"/>
      <c r="B1534"/>
      <c r="C1534"/>
      <c r="F1534"/>
      <c r="G1534"/>
      <c r="I1534"/>
      <c r="L1534"/>
      <c r="M1534"/>
      <c r="N1534"/>
      <c r="O1534"/>
    </row>
    <row r="1535" spans="1:15" x14ac:dyDescent="0.2">
      <c r="A1535"/>
      <c r="B1535"/>
      <c r="C1535"/>
      <c r="F1535"/>
      <c r="G1535"/>
      <c r="I1535"/>
      <c r="L1535"/>
      <c r="M1535"/>
      <c r="N1535"/>
      <c r="O1535"/>
    </row>
    <row r="1536" spans="1:15" x14ac:dyDescent="0.2">
      <c r="A1536"/>
      <c r="B1536"/>
      <c r="C1536"/>
      <c r="F1536"/>
      <c r="G1536"/>
      <c r="H1536"/>
      <c r="I1536"/>
      <c r="L1536"/>
      <c r="M1536"/>
      <c r="N1536"/>
      <c r="O1536"/>
    </row>
    <row r="1537" spans="1:15" x14ac:dyDescent="0.2">
      <c r="A1537"/>
      <c r="B1537"/>
      <c r="C1537"/>
      <c r="F1537"/>
      <c r="G1537"/>
      <c r="H1537"/>
      <c r="I1537"/>
      <c r="L1537"/>
      <c r="M1537"/>
      <c r="N1537"/>
      <c r="O1537"/>
    </row>
    <row r="1538" spans="1:15" x14ac:dyDescent="0.2">
      <c r="A1538"/>
      <c r="B1538"/>
      <c r="C1538"/>
      <c r="F1538"/>
      <c r="G1538"/>
      <c r="H1538"/>
      <c r="I1538"/>
      <c r="L1538"/>
      <c r="M1538"/>
      <c r="N1538"/>
      <c r="O1538"/>
    </row>
    <row r="1539" spans="1:15" x14ac:dyDescent="0.2">
      <c r="A1539"/>
      <c r="B1539"/>
      <c r="C1539"/>
      <c r="F1539"/>
      <c r="G1539"/>
      <c r="I1539"/>
      <c r="L1539"/>
      <c r="M1539"/>
      <c r="N1539"/>
      <c r="O1539"/>
    </row>
    <row r="1540" spans="1:15" x14ac:dyDescent="0.2">
      <c r="A1540"/>
      <c r="B1540"/>
      <c r="C1540"/>
      <c r="F1540"/>
      <c r="G1540"/>
      <c r="I1540"/>
      <c r="L1540"/>
      <c r="M1540"/>
      <c r="N1540"/>
      <c r="O1540"/>
    </row>
    <row r="1541" spans="1:15" x14ac:dyDescent="0.2">
      <c r="A1541"/>
      <c r="B1541"/>
      <c r="C1541"/>
      <c r="F1541"/>
      <c r="G1541"/>
      <c r="H1541"/>
      <c r="I1541"/>
      <c r="L1541"/>
      <c r="M1541"/>
      <c r="N1541"/>
      <c r="O1541"/>
    </row>
    <row r="1542" spans="1:15" x14ac:dyDescent="0.2">
      <c r="A1542"/>
      <c r="B1542"/>
      <c r="C1542"/>
      <c r="F1542"/>
      <c r="G1542"/>
      <c r="J1542"/>
      <c r="K1542"/>
      <c r="L1542"/>
      <c r="M1542"/>
      <c r="N1542"/>
      <c r="O1542"/>
    </row>
    <row r="1543" spans="1:15" x14ac:dyDescent="0.2">
      <c r="A1543"/>
      <c r="B1543"/>
      <c r="C1543"/>
      <c r="F1543"/>
      <c r="G1543"/>
      <c r="H1543"/>
      <c r="I1543"/>
      <c r="L1543"/>
      <c r="M1543"/>
      <c r="N1543"/>
      <c r="O1543"/>
    </row>
    <row r="1544" spans="1:15" x14ac:dyDescent="0.2">
      <c r="A1544"/>
      <c r="B1544"/>
      <c r="C1544"/>
      <c r="F1544"/>
      <c r="G1544"/>
      <c r="L1544"/>
      <c r="M1544"/>
      <c r="N1544"/>
      <c r="O1544"/>
    </row>
    <row r="1545" spans="1:15" x14ac:dyDescent="0.2">
      <c r="A1545"/>
      <c r="B1545"/>
      <c r="C1545"/>
      <c r="F1545"/>
      <c r="G1545"/>
      <c r="H1545"/>
      <c r="I1545"/>
      <c r="L1545"/>
      <c r="M1545"/>
      <c r="N1545"/>
      <c r="O1545"/>
    </row>
    <row r="1546" spans="1:15" x14ac:dyDescent="0.2">
      <c r="A1546"/>
      <c r="B1546"/>
      <c r="C1546"/>
      <c r="F1546"/>
      <c r="G1546"/>
      <c r="H1546"/>
      <c r="J1546"/>
      <c r="K1546"/>
      <c r="L1546"/>
      <c r="M1546"/>
      <c r="N1546"/>
      <c r="O1546"/>
    </row>
    <row r="1547" spans="1:15" x14ac:dyDescent="0.2">
      <c r="A1547"/>
      <c r="B1547"/>
      <c r="C1547"/>
      <c r="F1547"/>
      <c r="G1547"/>
      <c r="H1547"/>
      <c r="I1547"/>
      <c r="L1547"/>
      <c r="M1547"/>
      <c r="N1547"/>
      <c r="O1547"/>
    </row>
    <row r="1548" spans="1:15" x14ac:dyDescent="0.2">
      <c r="A1548"/>
      <c r="B1548"/>
      <c r="C1548"/>
      <c r="F1548"/>
      <c r="G1548"/>
      <c r="H1548"/>
      <c r="J1548"/>
      <c r="K1548"/>
      <c r="L1548"/>
      <c r="M1548"/>
      <c r="N1548"/>
      <c r="O1548"/>
    </row>
    <row r="1549" spans="1:15" x14ac:dyDescent="0.2">
      <c r="A1549"/>
      <c r="B1549"/>
      <c r="C1549"/>
      <c r="F1549"/>
      <c r="G1549"/>
      <c r="J1549"/>
      <c r="K1549"/>
      <c r="L1549"/>
      <c r="M1549"/>
      <c r="N1549"/>
      <c r="O1549"/>
    </row>
    <row r="1550" spans="1:15" x14ac:dyDescent="0.2">
      <c r="A1550"/>
      <c r="B1550"/>
      <c r="C1550"/>
      <c r="F1550"/>
      <c r="G1550"/>
      <c r="J1550"/>
      <c r="K1550"/>
      <c r="L1550"/>
      <c r="M1550"/>
      <c r="N1550"/>
      <c r="O1550"/>
    </row>
    <row r="1551" spans="1:15" x14ac:dyDescent="0.2">
      <c r="A1551"/>
      <c r="B1551"/>
      <c r="C1551"/>
      <c r="F1551"/>
      <c r="G1551"/>
      <c r="H1551"/>
      <c r="J1551"/>
      <c r="K1551"/>
      <c r="L1551"/>
      <c r="M1551"/>
      <c r="N1551"/>
      <c r="O1551"/>
    </row>
    <row r="1552" spans="1:15" x14ac:dyDescent="0.2">
      <c r="A1552"/>
      <c r="B1552"/>
      <c r="C1552"/>
      <c r="F1552"/>
      <c r="G1552"/>
      <c r="H1552"/>
      <c r="J1552"/>
      <c r="K1552"/>
      <c r="L1552"/>
      <c r="M1552"/>
      <c r="N1552"/>
      <c r="O1552"/>
    </row>
    <row r="1553" spans="1:15" x14ac:dyDescent="0.2">
      <c r="A1553"/>
      <c r="B1553"/>
      <c r="C1553"/>
      <c r="F1553"/>
      <c r="G1553"/>
      <c r="H1553"/>
      <c r="I1553"/>
      <c r="L1553"/>
      <c r="M1553"/>
      <c r="N1553"/>
      <c r="O1553"/>
    </row>
    <row r="1554" spans="1:15" x14ac:dyDescent="0.2">
      <c r="A1554"/>
      <c r="B1554"/>
      <c r="C1554"/>
      <c r="F1554"/>
      <c r="G1554"/>
      <c r="I1554"/>
      <c r="L1554"/>
      <c r="M1554"/>
      <c r="N1554"/>
      <c r="O1554"/>
    </row>
    <row r="1555" spans="1:15" x14ac:dyDescent="0.2">
      <c r="A1555"/>
      <c r="B1555"/>
      <c r="C1555"/>
      <c r="F1555"/>
      <c r="G1555"/>
      <c r="H1555"/>
      <c r="I1555"/>
      <c r="L1555"/>
      <c r="N1555"/>
      <c r="O1555"/>
    </row>
    <row r="1556" spans="1:15" x14ac:dyDescent="0.2">
      <c r="A1556"/>
      <c r="B1556"/>
      <c r="C1556"/>
      <c r="F1556"/>
      <c r="G1556"/>
      <c r="H1556"/>
      <c r="I1556"/>
      <c r="L1556"/>
      <c r="M1556"/>
      <c r="N1556"/>
      <c r="O1556"/>
    </row>
    <row r="1557" spans="1:15" x14ac:dyDescent="0.2">
      <c r="A1557"/>
      <c r="B1557"/>
      <c r="C1557"/>
      <c r="F1557"/>
      <c r="G1557"/>
      <c r="H1557"/>
      <c r="I1557"/>
      <c r="L1557"/>
      <c r="N1557"/>
      <c r="O1557"/>
    </row>
    <row r="1558" spans="1:15" x14ac:dyDescent="0.2">
      <c r="A1558"/>
      <c r="B1558"/>
      <c r="C1558"/>
      <c r="F1558"/>
      <c r="G1558"/>
      <c r="I1558"/>
      <c r="L1558"/>
      <c r="M1558"/>
      <c r="N1558"/>
      <c r="O1558"/>
    </row>
    <row r="1559" spans="1:15" x14ac:dyDescent="0.2">
      <c r="A1559"/>
      <c r="B1559"/>
      <c r="C1559"/>
      <c r="F1559"/>
      <c r="G1559"/>
      <c r="H1559"/>
      <c r="I1559"/>
      <c r="L1559"/>
      <c r="M1559"/>
      <c r="N1559"/>
      <c r="O1559"/>
    </row>
    <row r="1560" spans="1:15" x14ac:dyDescent="0.2">
      <c r="A1560"/>
      <c r="B1560"/>
      <c r="C1560"/>
      <c r="F1560"/>
      <c r="G1560"/>
      <c r="I1560"/>
      <c r="L1560"/>
      <c r="M1560"/>
      <c r="N1560"/>
      <c r="O1560"/>
    </row>
    <row r="1561" spans="1:15" x14ac:dyDescent="0.2">
      <c r="A1561"/>
      <c r="B1561"/>
      <c r="C1561"/>
      <c r="F1561"/>
      <c r="G1561"/>
      <c r="I1561"/>
      <c r="L1561"/>
      <c r="M1561"/>
      <c r="N1561"/>
      <c r="O1561"/>
    </row>
    <row r="1562" spans="1:15" x14ac:dyDescent="0.2">
      <c r="A1562"/>
      <c r="B1562"/>
      <c r="C1562"/>
      <c r="F1562"/>
      <c r="G1562"/>
      <c r="I1562"/>
      <c r="L1562"/>
      <c r="M1562"/>
      <c r="N1562"/>
      <c r="O1562"/>
    </row>
    <row r="1563" spans="1:15" x14ac:dyDescent="0.2">
      <c r="A1563"/>
      <c r="B1563"/>
      <c r="C1563"/>
      <c r="F1563"/>
      <c r="G1563"/>
      <c r="H1563"/>
      <c r="I1563"/>
      <c r="L1563"/>
      <c r="M1563"/>
      <c r="N1563"/>
      <c r="O1563"/>
    </row>
    <row r="1564" spans="1:15" x14ac:dyDescent="0.2">
      <c r="A1564"/>
      <c r="B1564"/>
      <c r="C1564"/>
      <c r="F1564"/>
      <c r="G1564"/>
      <c r="L1564"/>
      <c r="M1564"/>
      <c r="N1564"/>
      <c r="O1564"/>
    </row>
    <row r="1565" spans="1:15" x14ac:dyDescent="0.2">
      <c r="A1565"/>
      <c r="B1565"/>
      <c r="C1565"/>
      <c r="F1565"/>
      <c r="G1565"/>
      <c r="H1565"/>
      <c r="I1565"/>
      <c r="L1565"/>
      <c r="M1565"/>
      <c r="N1565"/>
      <c r="O1565"/>
    </row>
    <row r="1566" spans="1:15" x14ac:dyDescent="0.2">
      <c r="A1566"/>
      <c r="B1566"/>
      <c r="C1566"/>
      <c r="F1566"/>
      <c r="G1566"/>
      <c r="J1566"/>
      <c r="K1566"/>
      <c r="L1566"/>
      <c r="M1566"/>
      <c r="N1566"/>
      <c r="O1566"/>
    </row>
    <row r="1567" spans="1:15" x14ac:dyDescent="0.2">
      <c r="A1567"/>
      <c r="B1567"/>
      <c r="C1567"/>
      <c r="F1567"/>
      <c r="G1567"/>
      <c r="I1567"/>
      <c r="L1567"/>
      <c r="M1567"/>
      <c r="N1567"/>
      <c r="O1567"/>
    </row>
    <row r="1568" spans="1:15" x14ac:dyDescent="0.2">
      <c r="A1568"/>
      <c r="B1568"/>
      <c r="C1568"/>
      <c r="F1568"/>
      <c r="G1568"/>
      <c r="H1568"/>
      <c r="I1568"/>
      <c r="L1568"/>
      <c r="N1568"/>
      <c r="O1568"/>
    </row>
    <row r="1569" spans="1:15" x14ac:dyDescent="0.2">
      <c r="A1569"/>
      <c r="B1569"/>
      <c r="C1569"/>
      <c r="F1569"/>
      <c r="G1569"/>
      <c r="M1569"/>
      <c r="N1569"/>
      <c r="O1569"/>
    </row>
    <row r="1570" spans="1:15" x14ac:dyDescent="0.2">
      <c r="A1570"/>
      <c r="B1570"/>
      <c r="C1570"/>
      <c r="F1570"/>
      <c r="G1570"/>
      <c r="M1570"/>
      <c r="N1570"/>
      <c r="O1570"/>
    </row>
    <row r="1571" spans="1:15" x14ac:dyDescent="0.2">
      <c r="A1571"/>
      <c r="B1571"/>
      <c r="C1571"/>
      <c r="F1571"/>
      <c r="G1571"/>
      <c r="H1571"/>
      <c r="I1571"/>
      <c r="L1571"/>
      <c r="N1571"/>
      <c r="O1571"/>
    </row>
    <row r="1572" spans="1:15" x14ac:dyDescent="0.2">
      <c r="A1572"/>
      <c r="B1572"/>
      <c r="C1572"/>
      <c r="F1572"/>
      <c r="G1572"/>
      <c r="H1572"/>
      <c r="I1572"/>
      <c r="L1572"/>
      <c r="M1572"/>
      <c r="N1572"/>
      <c r="O1572"/>
    </row>
    <row r="1573" spans="1:15" x14ac:dyDescent="0.2">
      <c r="A1573"/>
      <c r="B1573"/>
      <c r="C1573"/>
      <c r="F1573"/>
      <c r="G1573"/>
      <c r="H1573"/>
      <c r="I1573"/>
      <c r="L1573"/>
      <c r="M1573"/>
      <c r="N1573"/>
      <c r="O1573"/>
    </row>
    <row r="1574" spans="1:15" x14ac:dyDescent="0.2">
      <c r="A1574"/>
      <c r="B1574"/>
      <c r="C1574"/>
      <c r="F1574"/>
      <c r="G1574"/>
      <c r="I1574"/>
      <c r="L1574"/>
      <c r="M1574"/>
      <c r="N1574"/>
      <c r="O1574"/>
    </row>
    <row r="1575" spans="1:15" x14ac:dyDescent="0.2">
      <c r="A1575"/>
      <c r="B1575"/>
      <c r="C1575"/>
      <c r="F1575"/>
      <c r="G1575"/>
      <c r="H1575"/>
      <c r="I1575"/>
      <c r="L1575"/>
      <c r="M1575"/>
      <c r="N1575"/>
      <c r="O1575"/>
    </row>
    <row r="1576" spans="1:15" x14ac:dyDescent="0.2">
      <c r="A1576"/>
      <c r="B1576"/>
      <c r="C1576"/>
      <c r="F1576"/>
      <c r="G1576"/>
      <c r="H1576"/>
      <c r="I1576"/>
      <c r="L1576"/>
      <c r="M1576"/>
      <c r="N1576"/>
      <c r="O1576"/>
    </row>
    <row r="1577" spans="1:15" x14ac:dyDescent="0.2">
      <c r="A1577"/>
      <c r="B1577"/>
      <c r="C1577"/>
      <c r="F1577"/>
      <c r="G1577"/>
      <c r="I1577"/>
      <c r="L1577"/>
      <c r="M1577"/>
      <c r="N1577"/>
      <c r="O1577"/>
    </row>
    <row r="1578" spans="1:15" x14ac:dyDescent="0.2">
      <c r="A1578"/>
      <c r="B1578"/>
      <c r="C1578"/>
      <c r="F1578"/>
      <c r="G1578"/>
      <c r="I1578"/>
      <c r="L1578"/>
      <c r="M1578"/>
      <c r="N1578"/>
      <c r="O1578"/>
    </row>
    <row r="1579" spans="1:15" x14ac:dyDescent="0.2">
      <c r="A1579"/>
      <c r="B1579"/>
      <c r="C1579"/>
      <c r="F1579"/>
      <c r="G1579"/>
      <c r="I1579"/>
      <c r="L1579"/>
      <c r="M1579"/>
      <c r="N1579"/>
      <c r="O1579"/>
    </row>
    <row r="1580" spans="1:15" x14ac:dyDescent="0.2">
      <c r="A1580"/>
      <c r="B1580"/>
      <c r="C1580"/>
      <c r="F1580"/>
      <c r="G1580"/>
      <c r="H1580"/>
      <c r="J1580"/>
      <c r="L1580"/>
      <c r="M1580"/>
      <c r="N1580"/>
      <c r="O1580"/>
    </row>
    <row r="1581" spans="1:15" x14ac:dyDescent="0.2">
      <c r="A1581"/>
      <c r="B1581"/>
      <c r="C1581"/>
      <c r="F1581"/>
      <c r="G1581"/>
      <c r="L1581"/>
      <c r="M1581"/>
      <c r="N1581"/>
      <c r="O1581"/>
    </row>
    <row r="1582" spans="1:15" x14ac:dyDescent="0.2">
      <c r="A1582"/>
      <c r="B1582"/>
      <c r="C1582"/>
      <c r="F1582"/>
      <c r="G1582"/>
      <c r="H1582"/>
      <c r="J1582"/>
      <c r="K1582"/>
      <c r="L1582"/>
      <c r="M1582"/>
      <c r="N1582"/>
      <c r="O1582"/>
    </row>
    <row r="1583" spans="1:15" x14ac:dyDescent="0.2">
      <c r="A1583"/>
      <c r="B1583"/>
      <c r="C1583"/>
      <c r="F1583"/>
      <c r="G1583"/>
      <c r="H1583"/>
      <c r="I1583"/>
      <c r="L1583"/>
      <c r="M1583"/>
      <c r="N1583"/>
      <c r="O1583"/>
    </row>
    <row r="1584" spans="1:15" x14ac:dyDescent="0.2">
      <c r="A1584"/>
      <c r="B1584"/>
      <c r="C1584"/>
      <c r="F1584"/>
      <c r="G1584"/>
      <c r="H1584"/>
      <c r="I1584"/>
      <c r="L1584"/>
      <c r="M1584"/>
      <c r="N1584"/>
      <c r="O1584"/>
    </row>
    <row r="1585" spans="1:15" x14ac:dyDescent="0.2">
      <c r="A1585"/>
      <c r="B1585"/>
      <c r="C1585"/>
      <c r="F1585"/>
      <c r="G1585"/>
      <c r="H1585"/>
      <c r="I1585"/>
      <c r="L1585"/>
      <c r="M1585"/>
      <c r="N1585"/>
      <c r="O1585"/>
    </row>
    <row r="1586" spans="1:15" x14ac:dyDescent="0.2">
      <c r="A1586"/>
      <c r="B1586"/>
      <c r="C1586"/>
      <c r="F1586"/>
      <c r="G1586"/>
      <c r="H1586"/>
      <c r="I1586"/>
      <c r="L1586"/>
      <c r="M1586"/>
      <c r="N1586"/>
      <c r="O1586"/>
    </row>
    <row r="1587" spans="1:15" x14ac:dyDescent="0.2">
      <c r="A1587"/>
      <c r="B1587"/>
      <c r="C1587"/>
      <c r="F1587"/>
      <c r="G1587"/>
      <c r="I1587"/>
      <c r="L1587"/>
      <c r="M1587"/>
      <c r="N1587"/>
      <c r="O1587"/>
    </row>
    <row r="1588" spans="1:15" x14ac:dyDescent="0.2">
      <c r="A1588"/>
      <c r="B1588"/>
      <c r="C1588"/>
      <c r="F1588"/>
      <c r="G1588"/>
      <c r="H1588"/>
      <c r="I1588"/>
      <c r="L1588"/>
      <c r="M1588"/>
      <c r="N1588"/>
      <c r="O1588"/>
    </row>
    <row r="1589" spans="1:15" x14ac:dyDescent="0.2">
      <c r="A1589"/>
      <c r="B1589"/>
      <c r="C1589"/>
      <c r="F1589"/>
      <c r="G1589"/>
      <c r="I1589"/>
      <c r="L1589"/>
      <c r="M1589"/>
      <c r="N1589"/>
      <c r="O1589"/>
    </row>
    <row r="1590" spans="1:15" x14ac:dyDescent="0.2">
      <c r="A1590"/>
      <c r="B1590"/>
      <c r="C1590"/>
      <c r="F1590"/>
      <c r="G1590"/>
      <c r="H1590"/>
      <c r="J1590"/>
      <c r="K1590"/>
      <c r="L1590"/>
      <c r="M1590"/>
      <c r="N1590"/>
      <c r="O1590"/>
    </row>
    <row r="1591" spans="1:15" x14ac:dyDescent="0.2">
      <c r="A1591"/>
      <c r="B1591"/>
      <c r="C1591"/>
      <c r="F1591"/>
      <c r="G1591"/>
      <c r="I1591"/>
      <c r="L1591"/>
      <c r="M1591"/>
      <c r="N1591"/>
      <c r="O1591"/>
    </row>
    <row r="1592" spans="1:15" x14ac:dyDescent="0.2">
      <c r="A1592"/>
      <c r="B1592"/>
      <c r="C1592"/>
      <c r="F1592"/>
      <c r="G1592"/>
      <c r="J1592"/>
      <c r="K1592"/>
      <c r="L1592"/>
      <c r="M1592"/>
      <c r="N1592"/>
      <c r="O1592"/>
    </row>
    <row r="1593" spans="1:15" x14ac:dyDescent="0.2">
      <c r="A1593"/>
      <c r="B1593"/>
      <c r="C1593"/>
      <c r="F1593"/>
      <c r="G1593"/>
      <c r="L1593"/>
      <c r="M1593"/>
      <c r="N1593"/>
      <c r="O1593"/>
    </row>
    <row r="1594" spans="1:15" x14ac:dyDescent="0.2">
      <c r="A1594"/>
      <c r="B1594"/>
      <c r="C1594"/>
      <c r="F1594"/>
      <c r="G1594"/>
      <c r="H1594"/>
      <c r="I1594"/>
      <c r="L1594"/>
      <c r="N1594"/>
      <c r="O1594"/>
    </row>
    <row r="1595" spans="1:15" x14ac:dyDescent="0.2">
      <c r="A1595"/>
      <c r="B1595"/>
      <c r="C1595"/>
      <c r="F1595"/>
      <c r="G1595"/>
      <c r="I1595"/>
      <c r="L1595"/>
      <c r="M1595"/>
      <c r="N1595"/>
      <c r="O1595"/>
    </row>
    <row r="1596" spans="1:15" x14ac:dyDescent="0.2">
      <c r="A1596"/>
      <c r="B1596"/>
      <c r="C1596"/>
      <c r="F1596"/>
      <c r="G1596"/>
      <c r="I1596"/>
      <c r="L1596"/>
      <c r="M1596"/>
      <c r="N1596"/>
      <c r="O1596"/>
    </row>
    <row r="1597" spans="1:15" x14ac:dyDescent="0.2">
      <c r="A1597"/>
      <c r="B1597"/>
      <c r="C1597"/>
      <c r="F1597"/>
      <c r="G1597"/>
      <c r="H1597"/>
      <c r="I1597"/>
      <c r="L1597"/>
      <c r="N1597"/>
      <c r="O1597"/>
    </row>
    <row r="1598" spans="1:15" x14ac:dyDescent="0.2">
      <c r="A1598"/>
      <c r="B1598"/>
      <c r="C1598"/>
      <c r="F1598"/>
      <c r="G1598"/>
      <c r="H1598"/>
      <c r="I1598"/>
      <c r="L1598"/>
      <c r="M1598"/>
      <c r="N1598"/>
      <c r="O1598"/>
    </row>
    <row r="1599" spans="1:15" x14ac:dyDescent="0.2">
      <c r="A1599"/>
      <c r="B1599"/>
      <c r="C1599"/>
      <c r="F1599"/>
      <c r="G1599"/>
      <c r="I1599"/>
      <c r="L1599"/>
      <c r="M1599"/>
      <c r="N1599"/>
      <c r="O1599"/>
    </row>
    <row r="1600" spans="1:15" x14ac:dyDescent="0.2">
      <c r="A1600"/>
      <c r="B1600"/>
      <c r="C1600"/>
      <c r="F1600"/>
      <c r="G1600"/>
      <c r="J1600"/>
      <c r="K1600"/>
      <c r="M1600"/>
      <c r="N1600"/>
      <c r="O1600"/>
    </row>
    <row r="1601" spans="1:15" x14ac:dyDescent="0.2">
      <c r="A1601"/>
      <c r="B1601"/>
      <c r="C1601"/>
      <c r="F1601"/>
      <c r="G1601"/>
      <c r="H1601"/>
      <c r="I1601"/>
      <c r="L1601"/>
      <c r="M1601"/>
      <c r="N1601"/>
      <c r="O1601"/>
    </row>
    <row r="1602" spans="1:15" x14ac:dyDescent="0.2">
      <c r="A1602"/>
      <c r="B1602"/>
      <c r="C1602"/>
      <c r="F1602"/>
      <c r="G1602"/>
      <c r="I1602"/>
      <c r="L1602"/>
      <c r="M1602"/>
      <c r="N1602"/>
      <c r="O1602"/>
    </row>
    <row r="1603" spans="1:15" x14ac:dyDescent="0.2">
      <c r="A1603"/>
      <c r="B1603"/>
      <c r="C1603"/>
      <c r="F1603"/>
      <c r="G1603"/>
      <c r="I1603"/>
      <c r="L1603"/>
      <c r="M1603"/>
      <c r="N1603"/>
      <c r="O1603"/>
    </row>
    <row r="1604" spans="1:15" x14ac:dyDescent="0.2">
      <c r="A1604"/>
      <c r="B1604"/>
      <c r="C1604"/>
      <c r="F1604"/>
      <c r="G1604"/>
      <c r="H1604"/>
      <c r="I1604"/>
      <c r="L1604"/>
      <c r="N1604"/>
      <c r="O1604"/>
    </row>
    <row r="1605" spans="1:15" x14ac:dyDescent="0.2">
      <c r="A1605"/>
      <c r="B1605"/>
      <c r="C1605"/>
      <c r="F1605"/>
      <c r="G1605"/>
      <c r="H1605"/>
      <c r="I1605"/>
      <c r="L1605"/>
      <c r="M1605"/>
      <c r="N1605"/>
      <c r="O1605"/>
    </row>
    <row r="1606" spans="1:15" x14ac:dyDescent="0.2">
      <c r="A1606"/>
      <c r="B1606"/>
      <c r="C1606"/>
      <c r="F1606"/>
      <c r="G1606"/>
      <c r="I1606"/>
      <c r="L1606"/>
      <c r="M1606"/>
      <c r="N1606"/>
      <c r="O1606"/>
    </row>
    <row r="1607" spans="1:15" x14ac:dyDescent="0.2">
      <c r="A1607"/>
      <c r="B1607"/>
      <c r="C1607"/>
      <c r="F1607"/>
      <c r="G1607"/>
      <c r="I1607"/>
      <c r="L1607"/>
      <c r="M1607"/>
      <c r="N1607"/>
      <c r="O1607"/>
    </row>
    <row r="1608" spans="1:15" x14ac:dyDescent="0.2">
      <c r="A1608"/>
      <c r="B1608"/>
      <c r="C1608"/>
      <c r="F1608"/>
      <c r="G1608"/>
      <c r="L1608"/>
      <c r="M1608"/>
      <c r="N1608"/>
      <c r="O1608"/>
    </row>
    <row r="1609" spans="1:15" x14ac:dyDescent="0.2">
      <c r="A1609"/>
      <c r="B1609"/>
      <c r="C1609"/>
      <c r="F1609"/>
      <c r="G1609"/>
      <c r="L1609"/>
      <c r="M1609"/>
      <c r="N1609"/>
      <c r="O1609"/>
    </row>
    <row r="1610" spans="1:15" x14ac:dyDescent="0.2">
      <c r="A1610"/>
      <c r="B1610"/>
      <c r="C1610"/>
      <c r="F1610"/>
      <c r="G1610"/>
      <c r="H1610"/>
      <c r="L1610"/>
      <c r="M1610"/>
      <c r="N1610"/>
      <c r="O1610"/>
    </row>
    <row r="1611" spans="1:15" x14ac:dyDescent="0.2">
      <c r="A1611"/>
      <c r="B1611"/>
      <c r="C1611"/>
      <c r="F1611"/>
      <c r="G1611"/>
      <c r="H1611"/>
      <c r="I1611"/>
      <c r="L1611"/>
      <c r="M1611"/>
      <c r="N1611"/>
      <c r="O1611"/>
    </row>
    <row r="1612" spans="1:15" x14ac:dyDescent="0.2">
      <c r="A1612"/>
      <c r="B1612"/>
      <c r="C1612"/>
      <c r="F1612"/>
      <c r="G1612"/>
      <c r="L1612"/>
      <c r="M1612"/>
      <c r="N1612"/>
      <c r="O1612"/>
    </row>
    <row r="1613" spans="1:15" x14ac:dyDescent="0.2">
      <c r="A1613"/>
      <c r="B1613"/>
      <c r="C1613"/>
      <c r="F1613"/>
      <c r="G1613"/>
      <c r="H1613"/>
      <c r="I1613"/>
      <c r="L1613"/>
      <c r="M1613"/>
      <c r="N1613"/>
      <c r="O1613"/>
    </row>
    <row r="1614" spans="1:15" x14ac:dyDescent="0.2">
      <c r="A1614"/>
      <c r="B1614"/>
      <c r="C1614"/>
      <c r="F1614"/>
      <c r="G1614"/>
      <c r="H1614"/>
      <c r="I1614"/>
      <c r="L1614"/>
      <c r="M1614"/>
      <c r="N1614"/>
      <c r="O1614"/>
    </row>
    <row r="1615" spans="1:15" x14ac:dyDescent="0.2">
      <c r="A1615"/>
      <c r="B1615"/>
      <c r="C1615"/>
      <c r="F1615"/>
      <c r="G1615"/>
      <c r="L1615"/>
      <c r="M1615"/>
      <c r="N1615"/>
      <c r="O1615"/>
    </row>
    <row r="1616" spans="1:15" x14ac:dyDescent="0.2">
      <c r="A1616"/>
      <c r="B1616"/>
      <c r="C1616"/>
      <c r="F1616"/>
      <c r="G1616"/>
      <c r="I1616"/>
      <c r="L1616"/>
      <c r="M1616"/>
      <c r="N1616"/>
      <c r="O1616"/>
    </row>
    <row r="1617" spans="1:15" x14ac:dyDescent="0.2">
      <c r="A1617"/>
      <c r="B1617"/>
      <c r="C1617"/>
      <c r="F1617"/>
      <c r="G1617"/>
      <c r="I1617"/>
      <c r="L1617"/>
      <c r="M1617"/>
      <c r="N1617"/>
      <c r="O1617"/>
    </row>
    <row r="1618" spans="1:15" x14ac:dyDescent="0.2">
      <c r="A1618"/>
      <c r="B1618"/>
      <c r="C1618"/>
      <c r="F1618"/>
      <c r="G1618"/>
      <c r="H1618"/>
      <c r="I1618"/>
      <c r="L1618"/>
      <c r="M1618"/>
      <c r="N1618"/>
      <c r="O1618"/>
    </row>
    <row r="1619" spans="1:15" x14ac:dyDescent="0.2">
      <c r="A1619"/>
      <c r="B1619"/>
      <c r="C1619"/>
      <c r="F1619"/>
      <c r="G1619"/>
      <c r="H1619"/>
      <c r="I1619"/>
      <c r="L1619"/>
      <c r="M1619"/>
      <c r="N1619"/>
      <c r="O1619"/>
    </row>
    <row r="1620" spans="1:15" x14ac:dyDescent="0.2">
      <c r="A1620"/>
      <c r="B1620"/>
      <c r="C1620"/>
      <c r="F1620"/>
      <c r="G1620"/>
      <c r="I1620"/>
      <c r="L1620"/>
      <c r="M1620"/>
      <c r="N1620"/>
      <c r="O1620"/>
    </row>
    <row r="1621" spans="1:15" x14ac:dyDescent="0.2">
      <c r="A1621"/>
      <c r="B1621"/>
      <c r="C1621"/>
      <c r="F1621"/>
      <c r="G1621"/>
      <c r="H1621"/>
      <c r="I1621"/>
      <c r="L1621"/>
      <c r="M1621"/>
      <c r="N1621"/>
      <c r="O1621"/>
    </row>
    <row r="1622" spans="1:15" x14ac:dyDescent="0.2">
      <c r="A1622"/>
      <c r="B1622"/>
      <c r="C1622"/>
      <c r="F1622"/>
      <c r="G1622"/>
      <c r="H1622"/>
      <c r="I1622"/>
      <c r="L1622"/>
      <c r="M1622"/>
      <c r="N1622"/>
      <c r="O1622"/>
    </row>
    <row r="1623" spans="1:15" x14ac:dyDescent="0.2">
      <c r="A1623"/>
      <c r="B1623"/>
      <c r="C1623"/>
      <c r="F1623"/>
      <c r="G1623"/>
      <c r="H1623"/>
      <c r="I1623"/>
      <c r="L1623"/>
      <c r="M1623"/>
      <c r="N1623"/>
      <c r="O1623"/>
    </row>
    <row r="1624" spans="1:15" x14ac:dyDescent="0.2">
      <c r="A1624"/>
      <c r="B1624"/>
      <c r="C1624"/>
      <c r="F1624"/>
      <c r="G1624"/>
      <c r="L1624"/>
      <c r="M1624"/>
      <c r="N1624"/>
      <c r="O1624"/>
    </row>
    <row r="1625" spans="1:15" x14ac:dyDescent="0.2">
      <c r="A1625"/>
      <c r="B1625"/>
      <c r="C1625"/>
      <c r="F1625"/>
      <c r="G1625"/>
      <c r="I1625"/>
      <c r="L1625"/>
      <c r="M1625"/>
      <c r="N1625"/>
      <c r="O1625"/>
    </row>
    <row r="1626" spans="1:15" x14ac:dyDescent="0.2">
      <c r="A1626"/>
      <c r="B1626"/>
      <c r="C1626"/>
      <c r="F1626"/>
      <c r="G1626"/>
      <c r="H1626"/>
      <c r="I1626"/>
      <c r="L1626"/>
      <c r="M1626"/>
      <c r="N1626"/>
      <c r="O1626"/>
    </row>
    <row r="1627" spans="1:15" x14ac:dyDescent="0.2">
      <c r="A1627"/>
      <c r="B1627"/>
      <c r="C1627"/>
      <c r="F1627"/>
      <c r="G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H1630"/>
      <c r="I1630"/>
      <c r="L1630"/>
      <c r="M1630"/>
      <c r="N1630"/>
      <c r="O1630"/>
    </row>
    <row r="1631" spans="1:15" x14ac:dyDescent="0.2">
      <c r="A1631"/>
      <c r="B1631"/>
      <c r="C1631"/>
      <c r="F1631"/>
      <c r="G1631"/>
      <c r="H1631"/>
      <c r="I1631"/>
      <c r="L1631"/>
      <c r="M1631"/>
      <c r="N1631"/>
      <c r="O1631"/>
    </row>
    <row r="1632" spans="1:15" x14ac:dyDescent="0.2">
      <c r="A1632"/>
      <c r="B1632"/>
      <c r="C1632"/>
      <c r="F1632"/>
      <c r="G1632"/>
      <c r="H1632"/>
      <c r="I1632"/>
      <c r="L1632"/>
      <c r="M1632"/>
      <c r="N1632"/>
      <c r="O1632"/>
    </row>
    <row r="1633" spans="1:15" x14ac:dyDescent="0.2">
      <c r="A1633"/>
      <c r="B1633"/>
      <c r="C1633"/>
      <c r="F1633"/>
      <c r="G1633"/>
      <c r="H1633"/>
      <c r="I1633"/>
      <c r="L1633"/>
      <c r="M1633"/>
      <c r="N1633"/>
      <c r="O1633"/>
    </row>
    <row r="1634" spans="1:15" x14ac:dyDescent="0.2">
      <c r="A1634"/>
      <c r="B1634"/>
      <c r="C1634"/>
      <c r="F1634"/>
      <c r="G1634"/>
      <c r="H1634"/>
      <c r="I1634"/>
      <c r="L1634"/>
      <c r="M1634"/>
      <c r="N1634"/>
      <c r="O1634"/>
    </row>
    <row r="1635" spans="1:15" x14ac:dyDescent="0.2">
      <c r="A1635"/>
      <c r="B1635"/>
      <c r="C1635"/>
      <c r="F1635"/>
      <c r="G1635"/>
      <c r="H1635"/>
      <c r="I1635"/>
      <c r="L1635"/>
      <c r="M1635"/>
      <c r="N1635"/>
      <c r="O1635"/>
    </row>
    <row r="1636" spans="1:15" x14ac:dyDescent="0.2">
      <c r="A1636"/>
      <c r="B1636"/>
      <c r="C1636"/>
      <c r="F1636"/>
      <c r="G1636"/>
      <c r="H1636"/>
      <c r="I1636"/>
      <c r="L1636"/>
      <c r="M1636"/>
      <c r="N1636"/>
      <c r="O1636"/>
    </row>
    <row r="1637" spans="1:15" x14ac:dyDescent="0.2">
      <c r="A1637"/>
      <c r="B1637"/>
      <c r="C1637"/>
      <c r="F1637"/>
      <c r="G1637"/>
      <c r="H1637"/>
      <c r="I1637"/>
      <c r="J1637"/>
      <c r="K1637"/>
      <c r="L1637"/>
      <c r="M1637"/>
      <c r="N1637"/>
      <c r="O1637"/>
    </row>
    <row r="1638" spans="1:15" x14ac:dyDescent="0.2">
      <c r="A1638"/>
      <c r="B1638"/>
      <c r="C1638"/>
      <c r="F1638"/>
      <c r="G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H1641"/>
      <c r="J1641"/>
      <c r="K1641"/>
      <c r="L1641"/>
      <c r="M1641"/>
      <c r="N1641"/>
      <c r="O1641"/>
    </row>
    <row r="1642" spans="1:15" x14ac:dyDescent="0.2">
      <c r="A1642"/>
      <c r="B1642"/>
      <c r="C1642"/>
      <c r="F1642"/>
      <c r="G1642"/>
      <c r="H1642"/>
      <c r="J1642"/>
      <c r="K1642"/>
      <c r="L1642"/>
      <c r="M1642"/>
      <c r="N1642"/>
      <c r="O1642"/>
    </row>
    <row r="1643" spans="1:15" x14ac:dyDescent="0.2">
      <c r="A1643"/>
      <c r="B1643"/>
      <c r="C1643"/>
      <c r="F1643"/>
      <c r="G1643"/>
      <c r="H1643"/>
      <c r="J1643"/>
      <c r="K1643"/>
      <c r="L1643"/>
      <c r="M1643"/>
      <c r="N1643"/>
      <c r="O1643"/>
    </row>
    <row r="1644" spans="1:15" x14ac:dyDescent="0.2">
      <c r="A1644"/>
      <c r="B1644"/>
      <c r="C1644"/>
      <c r="F1644"/>
      <c r="G1644"/>
      <c r="H1644"/>
      <c r="L1644"/>
      <c r="M1644"/>
      <c r="N1644"/>
      <c r="O1644"/>
    </row>
    <row r="1645" spans="1:15" x14ac:dyDescent="0.2">
      <c r="A1645"/>
      <c r="B1645"/>
      <c r="C1645"/>
      <c r="F1645"/>
      <c r="G1645"/>
      <c r="H1645"/>
      <c r="J1645"/>
      <c r="K1645"/>
      <c r="L1645"/>
      <c r="M1645"/>
      <c r="N1645"/>
      <c r="O1645"/>
    </row>
    <row r="1646" spans="1:15" x14ac:dyDescent="0.2">
      <c r="A1646"/>
      <c r="B1646"/>
      <c r="C1646"/>
      <c r="F1646"/>
      <c r="G1646"/>
      <c r="H1646"/>
      <c r="L1646"/>
      <c r="M1646"/>
      <c r="N1646"/>
      <c r="O1646"/>
    </row>
    <row r="1647" spans="1:15" x14ac:dyDescent="0.2">
      <c r="A1647"/>
      <c r="B1647"/>
      <c r="C1647"/>
      <c r="F1647"/>
      <c r="G1647"/>
      <c r="H1647"/>
      <c r="J1647"/>
      <c r="K1647"/>
      <c r="L1647"/>
      <c r="M1647"/>
      <c r="N1647"/>
      <c r="O1647"/>
    </row>
    <row r="1648" spans="1:15" x14ac:dyDescent="0.2">
      <c r="A1648"/>
      <c r="B1648"/>
      <c r="C1648"/>
      <c r="F1648"/>
      <c r="G1648"/>
      <c r="I1648"/>
      <c r="L1648"/>
      <c r="M1648"/>
      <c r="N1648"/>
      <c r="O1648"/>
    </row>
    <row r="1649" spans="1:15" x14ac:dyDescent="0.2">
      <c r="A1649"/>
      <c r="B1649"/>
      <c r="C1649"/>
      <c r="F1649"/>
      <c r="G1649"/>
      <c r="I1649"/>
      <c r="L1649"/>
      <c r="M1649"/>
      <c r="N1649"/>
      <c r="O1649"/>
    </row>
    <row r="1650" spans="1:15" x14ac:dyDescent="0.2">
      <c r="A1650"/>
      <c r="B1650"/>
      <c r="C1650"/>
      <c r="F1650"/>
      <c r="G1650"/>
      <c r="L1650"/>
      <c r="M1650"/>
      <c r="N1650"/>
      <c r="O1650"/>
    </row>
    <row r="1651" spans="1:15" x14ac:dyDescent="0.2">
      <c r="A1651"/>
      <c r="B1651"/>
      <c r="C1651"/>
      <c r="F1651"/>
      <c r="G1651"/>
      <c r="H1651"/>
      <c r="I1651"/>
      <c r="L1651"/>
      <c r="M1651"/>
      <c r="N1651"/>
      <c r="O1651"/>
    </row>
    <row r="1652" spans="1:15" x14ac:dyDescent="0.2">
      <c r="A1652"/>
      <c r="B1652"/>
      <c r="C1652"/>
      <c r="F1652"/>
      <c r="G1652"/>
      <c r="H1652"/>
      <c r="I1652"/>
      <c r="L1652"/>
      <c r="M1652"/>
      <c r="N1652"/>
      <c r="O1652"/>
    </row>
    <row r="1653" spans="1:15" x14ac:dyDescent="0.2">
      <c r="A1653"/>
      <c r="B1653"/>
      <c r="C1653"/>
      <c r="F1653"/>
      <c r="G1653"/>
      <c r="I1653"/>
      <c r="L1653"/>
      <c r="M1653"/>
      <c r="N1653"/>
      <c r="O1653"/>
    </row>
    <row r="1654" spans="1:15" x14ac:dyDescent="0.2">
      <c r="A1654"/>
      <c r="B1654"/>
      <c r="C1654"/>
      <c r="F1654"/>
      <c r="G1654"/>
      <c r="I1654"/>
      <c r="L1654"/>
      <c r="M1654"/>
      <c r="N1654"/>
      <c r="O1654"/>
    </row>
    <row r="1655" spans="1:15" x14ac:dyDescent="0.2">
      <c r="A1655"/>
      <c r="B1655"/>
      <c r="C1655"/>
      <c r="F1655"/>
      <c r="G1655"/>
      <c r="H1655"/>
      <c r="I1655"/>
      <c r="L1655"/>
      <c r="M1655"/>
      <c r="N1655"/>
      <c r="O1655"/>
    </row>
    <row r="1656" spans="1:15" x14ac:dyDescent="0.2">
      <c r="A1656"/>
      <c r="B1656"/>
      <c r="C1656"/>
      <c r="F1656"/>
      <c r="G1656"/>
      <c r="H1656"/>
      <c r="I1656"/>
      <c r="L1656"/>
      <c r="N1656"/>
      <c r="O1656"/>
    </row>
    <row r="1657" spans="1:15" x14ac:dyDescent="0.2">
      <c r="A1657"/>
      <c r="B1657"/>
      <c r="C1657"/>
      <c r="F1657"/>
      <c r="G1657"/>
      <c r="H1657"/>
      <c r="I1657"/>
      <c r="L1657"/>
      <c r="M1657"/>
      <c r="N1657"/>
      <c r="O1657"/>
    </row>
    <row r="1658" spans="1:15" x14ac:dyDescent="0.2">
      <c r="A1658"/>
      <c r="B1658"/>
      <c r="C1658"/>
      <c r="F1658"/>
      <c r="G1658"/>
      <c r="H1658"/>
      <c r="I1658"/>
      <c r="L1658"/>
      <c r="N1658"/>
      <c r="O1658"/>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Q64"/>
  <sheetViews>
    <sheetView topLeftCell="N1" workbookViewId="0">
      <selection activeCell="U23" sqref="U23"/>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26" width="11.28515625" bestFit="1" customWidth="1"/>
    <col min="27" max="34" width="12.28515625" bestFit="1" customWidth="1"/>
    <col min="35" max="35" width="81.140625" bestFit="1" customWidth="1"/>
    <col min="36" max="36" width="10.5703125" bestFit="1" customWidth="1"/>
    <col min="37" max="37" width="14.5703125" bestFit="1" customWidth="1"/>
    <col min="38" max="38" width="67.28515625" bestFit="1" customWidth="1"/>
    <col min="39" max="39" width="12" bestFit="1" customWidth="1"/>
    <col min="40" max="40" width="27.7109375" bestFit="1" customWidth="1"/>
    <col min="41" max="41" width="30.28515625" bestFit="1" customWidth="1"/>
    <col min="42" max="42" width="22.7109375" bestFit="1" customWidth="1"/>
    <col min="43" max="43" width="22.5703125" bestFit="1" customWidth="1"/>
    <col min="44" max="44" width="27.5703125" bestFit="1" customWidth="1"/>
    <col min="45" max="45" width="28.5703125" bestFit="1" customWidth="1"/>
    <col min="46" max="47" width="81.140625" bestFit="1" customWidth="1"/>
    <col min="48" max="48" width="23.7109375" bestFit="1" customWidth="1"/>
    <col min="49" max="49" width="81.140625" bestFit="1" customWidth="1"/>
    <col min="50" max="50" width="27.85546875" bestFit="1" customWidth="1"/>
    <col min="51" max="51" width="16.42578125" bestFit="1" customWidth="1"/>
    <col min="52" max="52" width="27.7109375" bestFit="1" customWidth="1"/>
    <col min="53" max="53" width="72.140625" bestFit="1" customWidth="1"/>
    <col min="54" max="54" width="8" bestFit="1" customWidth="1"/>
    <col min="55" max="55" width="11.7109375" bestFit="1" customWidth="1"/>
    <col min="56" max="56" width="46.28515625" bestFit="1" customWidth="1"/>
    <col min="57" max="57" width="9.140625" bestFit="1" customWidth="1"/>
    <col min="58" max="58" width="10.140625" bestFit="1" customWidth="1"/>
    <col min="59" max="59" width="22" bestFit="1" customWidth="1"/>
    <col min="60" max="61" width="18.85546875" bestFit="1" customWidth="1"/>
    <col min="62" max="62" width="20" bestFit="1" customWidth="1"/>
    <col min="63" max="63" width="23.42578125" bestFit="1" customWidth="1"/>
    <col min="64" max="64" width="83.85546875" bestFit="1" customWidth="1"/>
    <col min="65" max="65" width="17.42578125" bestFit="1" customWidth="1"/>
    <col min="66" max="66" width="19.140625" bestFit="1" customWidth="1"/>
    <col min="67" max="67" width="50" bestFit="1" customWidth="1"/>
    <col min="68" max="68" width="18.140625" bestFit="1" customWidth="1"/>
    <col min="69" max="69" width="12.5703125" bestFit="1" customWidth="1"/>
  </cols>
  <sheetData>
    <row r="1" spans="1:17" x14ac:dyDescent="0.2">
      <c r="A1"/>
      <c r="B1"/>
      <c r="C1"/>
      <c r="D1"/>
      <c r="E1"/>
      <c r="F1"/>
      <c r="G1"/>
      <c r="H1"/>
      <c r="I1"/>
      <c r="J1"/>
      <c r="K1"/>
      <c r="L1"/>
      <c r="M1"/>
      <c r="N1"/>
      <c r="O1"/>
      <c r="P1"/>
      <c r="Q1"/>
    </row>
    <row r="2" spans="1:17" x14ac:dyDescent="0.2">
      <c r="A2"/>
      <c r="B2"/>
      <c r="C2"/>
      <c r="D2"/>
      <c r="E2"/>
      <c r="F2"/>
      <c r="G2"/>
      <c r="J2"/>
      <c r="K2"/>
      <c r="L2"/>
      <c r="M2"/>
      <c r="N2"/>
      <c r="O2"/>
      <c r="P2"/>
      <c r="Q2"/>
    </row>
    <row r="3" spans="1:17" x14ac:dyDescent="0.2">
      <c r="A3"/>
      <c r="B3"/>
      <c r="C3"/>
      <c r="D3"/>
      <c r="E3"/>
      <c r="F3"/>
      <c r="G3"/>
      <c r="J3"/>
      <c r="K3"/>
      <c r="L3"/>
      <c r="M3"/>
      <c r="N3"/>
      <c r="O3"/>
      <c r="P3"/>
      <c r="Q3"/>
    </row>
    <row r="4" spans="1:17" x14ac:dyDescent="0.2">
      <c r="A4"/>
      <c r="B4"/>
      <c r="C4"/>
      <c r="D4"/>
      <c r="E4"/>
      <c r="F4"/>
      <c r="G4"/>
      <c r="K4"/>
      <c r="L4"/>
      <c r="M4"/>
      <c r="N4"/>
      <c r="O4"/>
      <c r="P4"/>
      <c r="Q4"/>
    </row>
    <row r="5" spans="1:17" x14ac:dyDescent="0.2">
      <c r="A5"/>
      <c r="B5"/>
      <c r="C5"/>
      <c r="D5"/>
      <c r="E5"/>
      <c r="F5"/>
      <c r="G5"/>
      <c r="K5"/>
      <c r="L5"/>
      <c r="M5"/>
      <c r="N5"/>
      <c r="O5"/>
      <c r="P5"/>
      <c r="Q5"/>
    </row>
    <row r="6" spans="1:17" x14ac:dyDescent="0.2">
      <c r="A6"/>
      <c r="B6"/>
      <c r="C6"/>
      <c r="D6"/>
      <c r="E6"/>
      <c r="G6"/>
      <c r="J6"/>
      <c r="K6"/>
      <c r="L6"/>
      <c r="M6"/>
      <c r="N6"/>
      <c r="O6"/>
      <c r="P6"/>
      <c r="Q6"/>
    </row>
    <row r="7" spans="1:17" x14ac:dyDescent="0.2">
      <c r="A7"/>
      <c r="B7"/>
      <c r="C7"/>
      <c r="D7"/>
      <c r="E7"/>
      <c r="F7"/>
      <c r="G7"/>
      <c r="K7"/>
      <c r="L7"/>
      <c r="M7"/>
      <c r="N7"/>
      <c r="O7"/>
      <c r="P7"/>
      <c r="Q7"/>
    </row>
    <row r="8" spans="1:17" x14ac:dyDescent="0.2">
      <c r="A8"/>
      <c r="B8"/>
      <c r="C8"/>
      <c r="D8"/>
      <c r="E8"/>
      <c r="F8"/>
      <c r="G8"/>
      <c r="K8"/>
      <c r="L8"/>
      <c r="M8"/>
      <c r="N8"/>
      <c r="O8"/>
      <c r="P8"/>
      <c r="Q8"/>
    </row>
    <row r="9" spans="1:17" x14ac:dyDescent="0.2">
      <c r="A9"/>
      <c r="B9"/>
      <c r="C9"/>
      <c r="D9"/>
      <c r="E9"/>
      <c r="F9"/>
      <c r="G9"/>
      <c r="J9"/>
      <c r="K9"/>
      <c r="L9"/>
      <c r="M9"/>
      <c r="N9"/>
      <c r="O9"/>
      <c r="P9"/>
      <c r="Q9"/>
    </row>
    <row r="10" spans="1:17" x14ac:dyDescent="0.2">
      <c r="A10"/>
      <c r="B10"/>
      <c r="C10"/>
      <c r="D10"/>
      <c r="E10"/>
      <c r="F10"/>
      <c r="G10"/>
      <c r="J10"/>
      <c r="K10"/>
      <c r="M10"/>
      <c r="N10"/>
      <c r="O10"/>
      <c r="P10"/>
      <c r="Q10"/>
    </row>
    <row r="11" spans="1:17" x14ac:dyDescent="0.2">
      <c r="A11"/>
      <c r="B11"/>
      <c r="C11"/>
      <c r="D11"/>
      <c r="E11"/>
      <c r="F11"/>
      <c r="G11"/>
      <c r="J11"/>
      <c r="K11"/>
      <c r="L11"/>
      <c r="M11"/>
      <c r="N11"/>
      <c r="O11"/>
      <c r="P11"/>
      <c r="Q11"/>
    </row>
    <row r="12" spans="1:17" x14ac:dyDescent="0.2">
      <c r="A12"/>
      <c r="B12"/>
      <c r="C12"/>
      <c r="D12"/>
      <c r="E12"/>
      <c r="F12"/>
      <c r="G12"/>
      <c r="J12"/>
      <c r="K12"/>
      <c r="L12"/>
      <c r="M12"/>
      <c r="N12"/>
      <c r="O12"/>
      <c r="P12"/>
      <c r="Q12"/>
    </row>
    <row r="13" spans="1:17" x14ac:dyDescent="0.2">
      <c r="A13"/>
      <c r="B13"/>
      <c r="C13"/>
      <c r="D13"/>
      <c r="E13"/>
      <c r="F13"/>
      <c r="G13"/>
      <c r="J13"/>
      <c r="K13"/>
      <c r="L13"/>
      <c r="M13"/>
      <c r="N13"/>
      <c r="O13"/>
      <c r="P13"/>
      <c r="Q13"/>
    </row>
    <row r="14" spans="1:17" x14ac:dyDescent="0.2">
      <c r="A14"/>
      <c r="B14"/>
      <c r="C14"/>
      <c r="D14"/>
      <c r="E14"/>
      <c r="F14"/>
      <c r="G14"/>
      <c r="K14"/>
      <c r="L14"/>
      <c r="M14"/>
      <c r="N14"/>
      <c r="O14"/>
      <c r="P14"/>
      <c r="Q14"/>
    </row>
    <row r="15" spans="1:17" x14ac:dyDescent="0.2">
      <c r="A15"/>
      <c r="B15"/>
      <c r="C15"/>
      <c r="D15"/>
      <c r="E15"/>
      <c r="F15"/>
      <c r="G15"/>
      <c r="K15"/>
      <c r="L15"/>
      <c r="M15"/>
      <c r="N15"/>
      <c r="O15"/>
      <c r="P15"/>
      <c r="Q15"/>
    </row>
    <row r="16" spans="1:17" x14ac:dyDescent="0.2">
      <c r="A16"/>
      <c r="B16"/>
      <c r="C16"/>
      <c r="D16"/>
      <c r="E16"/>
      <c r="F16"/>
      <c r="G16"/>
      <c r="K16"/>
      <c r="L16"/>
      <c r="M16"/>
      <c r="N16"/>
      <c r="O16"/>
      <c r="P16"/>
      <c r="Q16"/>
    </row>
    <row r="17" spans="1:17" x14ac:dyDescent="0.2">
      <c r="A17"/>
      <c r="B17"/>
      <c r="C17"/>
      <c r="D17"/>
      <c r="E17"/>
      <c r="G17"/>
      <c r="J17"/>
      <c r="K17"/>
      <c r="L17"/>
      <c r="M17"/>
      <c r="N17"/>
      <c r="O17"/>
      <c r="P17"/>
      <c r="Q17"/>
    </row>
    <row r="18" spans="1:17" x14ac:dyDescent="0.2">
      <c r="A18"/>
      <c r="B18"/>
      <c r="C18"/>
      <c r="D18"/>
      <c r="E18"/>
      <c r="G18"/>
      <c r="J18"/>
      <c r="K18"/>
      <c r="L18"/>
      <c r="M18"/>
      <c r="N18"/>
      <c r="O18"/>
      <c r="P18"/>
      <c r="Q18"/>
    </row>
    <row r="19" spans="1:17" x14ac:dyDescent="0.2">
      <c r="A19"/>
      <c r="B19"/>
      <c r="C19"/>
      <c r="D19"/>
      <c r="E19"/>
      <c r="G19"/>
      <c r="J19"/>
      <c r="K19"/>
      <c r="L19"/>
      <c r="M19"/>
      <c r="N19"/>
      <c r="O19"/>
      <c r="P19"/>
      <c r="Q19"/>
    </row>
    <row r="20" spans="1:17" x14ac:dyDescent="0.2">
      <c r="A20"/>
      <c r="B20"/>
      <c r="C20"/>
      <c r="D20"/>
      <c r="E20"/>
      <c r="G20"/>
      <c r="J20"/>
      <c r="K20"/>
      <c r="L20"/>
      <c r="M20"/>
      <c r="N20"/>
      <c r="O20"/>
      <c r="P20"/>
      <c r="Q20"/>
    </row>
    <row r="21" spans="1:17" x14ac:dyDescent="0.2">
      <c r="A21"/>
      <c r="B21"/>
      <c r="C21"/>
      <c r="D21"/>
      <c r="E21"/>
      <c r="G21"/>
      <c r="J21"/>
      <c r="K21"/>
      <c r="L21"/>
      <c r="M21"/>
      <c r="N21"/>
      <c r="O21"/>
      <c r="P21"/>
      <c r="Q21"/>
    </row>
    <row r="22" spans="1:17" x14ac:dyDescent="0.2">
      <c r="A22"/>
      <c r="B22"/>
      <c r="C22"/>
      <c r="D22"/>
      <c r="E22"/>
      <c r="G22"/>
      <c r="K22"/>
      <c r="L22"/>
      <c r="M22"/>
      <c r="N22"/>
      <c r="O22"/>
      <c r="P22"/>
      <c r="Q22"/>
    </row>
    <row r="23" spans="1:17" x14ac:dyDescent="0.2">
      <c r="A23"/>
      <c r="B23"/>
      <c r="C23"/>
      <c r="D23"/>
      <c r="E23"/>
      <c r="G23"/>
      <c r="J23"/>
      <c r="K23"/>
      <c r="L23"/>
      <c r="M23"/>
      <c r="N23"/>
      <c r="O23"/>
      <c r="P23"/>
      <c r="Q23"/>
    </row>
    <row r="24" spans="1:17" x14ac:dyDescent="0.2">
      <c r="A24"/>
      <c r="B24"/>
      <c r="C24"/>
      <c r="D24"/>
      <c r="E24"/>
      <c r="G24"/>
      <c r="J24"/>
      <c r="K24"/>
      <c r="L24"/>
      <c r="M24"/>
      <c r="N24"/>
      <c r="O24"/>
      <c r="P24"/>
      <c r="Q24"/>
    </row>
    <row r="25" spans="1:17" x14ac:dyDescent="0.2">
      <c r="A25"/>
      <c r="B25"/>
      <c r="C25"/>
      <c r="D25"/>
      <c r="E25"/>
      <c r="G25"/>
      <c r="J25"/>
      <c r="K25"/>
      <c r="L25"/>
      <c r="M25"/>
      <c r="N25"/>
      <c r="O25"/>
      <c r="P25"/>
      <c r="Q25"/>
    </row>
    <row r="26" spans="1:17" x14ac:dyDescent="0.2">
      <c r="A26"/>
      <c r="B26"/>
      <c r="C26"/>
      <c r="D26"/>
      <c r="E26"/>
      <c r="G26"/>
      <c r="J26"/>
      <c r="K26"/>
      <c r="L26"/>
      <c r="M26"/>
      <c r="N26"/>
      <c r="O26"/>
      <c r="P26"/>
      <c r="Q26"/>
    </row>
    <row r="27" spans="1:17" x14ac:dyDescent="0.2">
      <c r="A27"/>
      <c r="B27"/>
      <c r="C27"/>
      <c r="D27"/>
      <c r="E27"/>
      <c r="G27"/>
      <c r="J27"/>
      <c r="K27"/>
      <c r="L27"/>
      <c r="M27"/>
      <c r="N27"/>
      <c r="O27"/>
      <c r="P27"/>
      <c r="Q27"/>
    </row>
    <row r="28" spans="1:17" x14ac:dyDescent="0.2">
      <c r="A28"/>
      <c r="B28"/>
      <c r="C28"/>
      <c r="D28"/>
      <c r="E28"/>
      <c r="G28"/>
      <c r="J28"/>
      <c r="K28"/>
      <c r="L28"/>
      <c r="M28"/>
      <c r="N28"/>
      <c r="O28"/>
      <c r="P28"/>
      <c r="Q28"/>
    </row>
    <row r="29" spans="1:17" x14ac:dyDescent="0.2">
      <c r="A29"/>
      <c r="B29"/>
      <c r="C29"/>
      <c r="D29"/>
      <c r="E29"/>
      <c r="G29"/>
      <c r="J29"/>
      <c r="K29"/>
      <c r="L29"/>
      <c r="M29"/>
      <c r="N29"/>
      <c r="O29"/>
      <c r="P29"/>
      <c r="Q29"/>
    </row>
    <row r="30" spans="1:17" x14ac:dyDescent="0.2">
      <c r="A30"/>
      <c r="B30"/>
      <c r="C30"/>
      <c r="D30"/>
      <c r="E30"/>
      <c r="G30"/>
      <c r="K30"/>
      <c r="L30"/>
      <c r="M30"/>
      <c r="N30"/>
      <c r="O30"/>
      <c r="P30"/>
      <c r="Q30"/>
    </row>
    <row r="31" spans="1:17" x14ac:dyDescent="0.2">
      <c r="A31"/>
      <c r="B31"/>
      <c r="C31"/>
      <c r="D31"/>
      <c r="E31"/>
      <c r="G31"/>
      <c r="K31"/>
      <c r="L31"/>
      <c r="M31"/>
      <c r="N31"/>
      <c r="O31"/>
      <c r="P31"/>
      <c r="Q31"/>
    </row>
    <row r="32" spans="1:17" x14ac:dyDescent="0.2">
      <c r="A32"/>
      <c r="B32"/>
      <c r="C32"/>
      <c r="D32"/>
      <c r="E32"/>
      <c r="G32"/>
      <c r="J32"/>
      <c r="K32"/>
      <c r="L32"/>
      <c r="M32"/>
      <c r="N32"/>
      <c r="O32"/>
      <c r="P32"/>
      <c r="Q32"/>
    </row>
    <row r="33" spans="1:17" x14ac:dyDescent="0.2">
      <c r="A33"/>
      <c r="B33"/>
      <c r="C33"/>
      <c r="D33"/>
      <c r="E33"/>
      <c r="G33"/>
      <c r="J33"/>
      <c r="K33"/>
      <c r="L33"/>
      <c r="M33"/>
      <c r="N33"/>
      <c r="O33"/>
      <c r="P33"/>
      <c r="Q33"/>
    </row>
    <row r="34" spans="1:17" x14ac:dyDescent="0.2">
      <c r="A34"/>
      <c r="B34"/>
      <c r="C34"/>
      <c r="D34"/>
      <c r="E34"/>
      <c r="G34"/>
      <c r="J34"/>
      <c r="K34"/>
      <c r="L34"/>
      <c r="M34"/>
      <c r="N34"/>
      <c r="O34"/>
      <c r="P34"/>
      <c r="Q34"/>
    </row>
    <row r="35" spans="1:17" x14ac:dyDescent="0.2">
      <c r="A35"/>
      <c r="B35"/>
      <c r="C35"/>
      <c r="D35"/>
      <c r="E35"/>
      <c r="G35"/>
      <c r="K35"/>
      <c r="L35"/>
      <c r="M35"/>
      <c r="N35"/>
      <c r="O35"/>
      <c r="P35"/>
      <c r="Q35"/>
    </row>
    <row r="36" spans="1:17" x14ac:dyDescent="0.2">
      <c r="A36"/>
      <c r="B36"/>
      <c r="C36"/>
      <c r="D36"/>
      <c r="E36"/>
      <c r="G36"/>
      <c r="J36"/>
      <c r="K36"/>
      <c r="L36"/>
      <c r="M36"/>
      <c r="N36"/>
      <c r="O36"/>
      <c r="P36"/>
      <c r="Q36"/>
    </row>
    <row r="37" spans="1:17" x14ac:dyDescent="0.2">
      <c r="A37"/>
      <c r="B37"/>
      <c r="C37"/>
      <c r="D37"/>
      <c r="E37"/>
      <c r="G37"/>
      <c r="K37"/>
      <c r="L37"/>
      <c r="M37"/>
      <c r="N37"/>
      <c r="O37"/>
      <c r="P37"/>
      <c r="Q37"/>
    </row>
    <row r="38" spans="1:17" x14ac:dyDescent="0.2">
      <c r="A38"/>
      <c r="B38"/>
      <c r="C38"/>
      <c r="D38"/>
      <c r="E38"/>
      <c r="G38"/>
      <c r="J38"/>
      <c r="K38"/>
      <c r="L38"/>
      <c r="M38"/>
      <c r="N38"/>
      <c r="O38"/>
      <c r="P38"/>
      <c r="Q38"/>
    </row>
    <row r="39" spans="1:17" x14ac:dyDescent="0.2">
      <c r="A39"/>
      <c r="B39"/>
      <c r="C39"/>
      <c r="D39"/>
      <c r="E39"/>
      <c r="G39"/>
      <c r="J39"/>
      <c r="K39"/>
      <c r="L39"/>
      <c r="N39"/>
      <c r="O39"/>
      <c r="Q39"/>
    </row>
    <row r="40" spans="1:17" x14ac:dyDescent="0.2">
      <c r="A40"/>
      <c r="B40"/>
      <c r="C40"/>
      <c r="D40"/>
      <c r="E40"/>
      <c r="F40"/>
      <c r="G40"/>
      <c r="J40"/>
      <c r="K40"/>
      <c r="L40"/>
      <c r="M40"/>
      <c r="N40"/>
      <c r="O40"/>
      <c r="P40"/>
      <c r="Q40"/>
    </row>
    <row r="41" spans="1:17" x14ac:dyDescent="0.2">
      <c r="A41"/>
      <c r="B41"/>
      <c r="C41"/>
      <c r="D41"/>
      <c r="E41"/>
      <c r="F41"/>
      <c r="G41"/>
      <c r="J41"/>
      <c r="K41"/>
      <c r="L41"/>
      <c r="M41"/>
      <c r="N41"/>
      <c r="O41"/>
      <c r="P41"/>
      <c r="Q41"/>
    </row>
    <row r="42" spans="1:17" x14ac:dyDescent="0.2">
      <c r="A42"/>
      <c r="B42"/>
      <c r="C42"/>
      <c r="D42"/>
      <c r="E42"/>
      <c r="G42"/>
      <c r="J42"/>
      <c r="K42"/>
      <c r="L42"/>
      <c r="M42"/>
      <c r="N42"/>
      <c r="O42"/>
      <c r="P42"/>
      <c r="Q42"/>
    </row>
    <row r="43" spans="1:17" x14ac:dyDescent="0.2">
      <c r="A43"/>
      <c r="B43"/>
      <c r="C43"/>
      <c r="D43"/>
      <c r="E43"/>
      <c r="G43"/>
      <c r="J43"/>
      <c r="K43"/>
      <c r="L43"/>
      <c r="M43"/>
      <c r="N43"/>
      <c r="O43"/>
      <c r="P43"/>
      <c r="Q43"/>
    </row>
    <row r="44" spans="1:17" x14ac:dyDescent="0.2">
      <c r="A44"/>
      <c r="B44"/>
      <c r="C44"/>
      <c r="D44"/>
      <c r="E44"/>
      <c r="G44"/>
      <c r="J44"/>
      <c r="K44"/>
      <c r="L44"/>
      <c r="M44"/>
      <c r="N44"/>
      <c r="O44"/>
      <c r="P44"/>
      <c r="Q44"/>
    </row>
    <row r="45" spans="1:17" x14ac:dyDescent="0.2">
      <c r="A45"/>
      <c r="B45"/>
      <c r="C45"/>
      <c r="D45"/>
      <c r="E45"/>
      <c r="G45"/>
      <c r="J45"/>
      <c r="K45"/>
      <c r="L45"/>
      <c r="M45"/>
      <c r="N45"/>
      <c r="O45"/>
      <c r="P45"/>
      <c r="Q45"/>
    </row>
    <row r="46" spans="1:17" x14ac:dyDescent="0.2">
      <c r="A46"/>
      <c r="B46"/>
      <c r="C46"/>
      <c r="D46"/>
      <c r="E46"/>
      <c r="F46"/>
      <c r="G46"/>
      <c r="K46"/>
      <c r="L46"/>
      <c r="N46"/>
      <c r="O46"/>
      <c r="P46"/>
      <c r="Q46"/>
    </row>
    <row r="47" spans="1:17" x14ac:dyDescent="0.2">
      <c r="A47"/>
      <c r="B47"/>
      <c r="C47"/>
      <c r="D47"/>
      <c r="E47"/>
      <c r="F47"/>
      <c r="G47"/>
      <c r="K47"/>
      <c r="L47"/>
      <c r="M47"/>
      <c r="N47"/>
      <c r="O47"/>
      <c r="P47"/>
      <c r="Q47"/>
    </row>
    <row r="48" spans="1:17" x14ac:dyDescent="0.2">
      <c r="A48"/>
      <c r="B48"/>
      <c r="C48"/>
      <c r="D48"/>
      <c r="E48"/>
      <c r="F48"/>
      <c r="G48"/>
      <c r="K48"/>
      <c r="L48"/>
      <c r="M48"/>
      <c r="N48"/>
      <c r="O48"/>
      <c r="P48"/>
      <c r="Q48"/>
    </row>
    <row r="49" spans="1:17" x14ac:dyDescent="0.2">
      <c r="A49"/>
      <c r="B49"/>
      <c r="C49"/>
      <c r="D49"/>
      <c r="E49"/>
      <c r="F49"/>
      <c r="G49"/>
      <c r="K49"/>
      <c r="L49"/>
      <c r="N49"/>
      <c r="O49"/>
      <c r="P49"/>
      <c r="Q49"/>
    </row>
    <row r="50" spans="1:17" x14ac:dyDescent="0.2">
      <c r="A50"/>
      <c r="B50"/>
      <c r="C50"/>
      <c r="D50"/>
      <c r="E50"/>
      <c r="G50"/>
      <c r="K50"/>
      <c r="L50"/>
      <c r="N50"/>
      <c r="O50"/>
      <c r="P50"/>
      <c r="Q50"/>
    </row>
    <row r="51" spans="1:17" x14ac:dyDescent="0.2">
      <c r="A51"/>
      <c r="B51"/>
      <c r="C51"/>
      <c r="D51"/>
      <c r="E51"/>
      <c r="F51"/>
      <c r="G51"/>
      <c r="K51"/>
      <c r="L51"/>
      <c r="N51"/>
      <c r="O51"/>
      <c r="P51"/>
      <c r="Q51"/>
    </row>
    <row r="52" spans="1:17" x14ac:dyDescent="0.2">
      <c r="A52"/>
      <c r="B52"/>
      <c r="C52"/>
      <c r="D52"/>
      <c r="E52"/>
      <c r="G52"/>
      <c r="J52"/>
      <c r="K52"/>
      <c r="M52"/>
      <c r="N52"/>
      <c r="O52"/>
      <c r="P52"/>
      <c r="Q52"/>
    </row>
    <row r="53" spans="1:17" x14ac:dyDescent="0.2">
      <c r="A53"/>
      <c r="B53"/>
      <c r="C53"/>
      <c r="D53"/>
      <c r="E53"/>
      <c r="F53"/>
      <c r="G53"/>
      <c r="J53"/>
      <c r="K53"/>
      <c r="L53"/>
      <c r="N53"/>
      <c r="O53"/>
      <c r="P53"/>
      <c r="Q53"/>
    </row>
    <row r="54" spans="1:17" x14ac:dyDescent="0.2">
      <c r="A54"/>
      <c r="B54"/>
      <c r="C54"/>
      <c r="D54"/>
      <c r="E54"/>
      <c r="F54"/>
      <c r="G54"/>
      <c r="J54"/>
      <c r="K54"/>
      <c r="L54"/>
      <c r="N54"/>
      <c r="O54"/>
      <c r="P54"/>
      <c r="Q54"/>
    </row>
    <row r="55" spans="1:17" x14ac:dyDescent="0.2">
      <c r="A55"/>
      <c r="B55"/>
      <c r="C55"/>
      <c r="D55"/>
      <c r="E55"/>
      <c r="F55"/>
      <c r="G55"/>
      <c r="J55"/>
      <c r="K55"/>
      <c r="L55"/>
      <c r="N55"/>
      <c r="O55"/>
      <c r="P55"/>
      <c r="Q55"/>
    </row>
    <row r="56" spans="1:17" x14ac:dyDescent="0.2">
      <c r="A56"/>
      <c r="B56"/>
      <c r="C56"/>
      <c r="D56"/>
      <c r="E56"/>
      <c r="F56"/>
      <c r="G56"/>
      <c r="J56"/>
      <c r="K56"/>
      <c r="L56"/>
      <c r="N56"/>
      <c r="O56"/>
      <c r="P56"/>
      <c r="Q56"/>
    </row>
    <row r="57" spans="1:17" x14ac:dyDescent="0.2">
      <c r="A57"/>
      <c r="B57"/>
      <c r="C57"/>
      <c r="D57"/>
      <c r="E57"/>
      <c r="F57"/>
      <c r="G57"/>
      <c r="K57"/>
      <c r="L57"/>
      <c r="N57"/>
      <c r="O57"/>
      <c r="P57"/>
      <c r="Q57"/>
    </row>
    <row r="58" spans="1:17" x14ac:dyDescent="0.2">
      <c r="A58"/>
      <c r="B58"/>
      <c r="C58"/>
      <c r="D58"/>
      <c r="E58"/>
      <c r="F58"/>
      <c r="G58"/>
      <c r="J58"/>
      <c r="K58"/>
      <c r="L58"/>
      <c r="M58"/>
      <c r="N58"/>
      <c r="O58"/>
      <c r="P58"/>
      <c r="Q58"/>
    </row>
    <row r="59" spans="1:17" x14ac:dyDescent="0.2">
      <c r="A59"/>
      <c r="B59"/>
      <c r="C59"/>
      <c r="D59"/>
      <c r="E59"/>
      <c r="F59"/>
      <c r="G59"/>
      <c r="J59"/>
      <c r="K59"/>
      <c r="L59"/>
      <c r="M59"/>
      <c r="N59"/>
      <c r="O59"/>
      <c r="Q59"/>
    </row>
    <row r="60" spans="1:17" x14ac:dyDescent="0.2">
      <c r="A60"/>
      <c r="B60"/>
      <c r="C60"/>
      <c r="D60"/>
      <c r="E60"/>
      <c r="F60"/>
      <c r="G60"/>
      <c r="J60"/>
      <c r="K60"/>
      <c r="L60"/>
      <c r="N60"/>
      <c r="O60"/>
      <c r="P60"/>
      <c r="Q60"/>
    </row>
    <row r="61" spans="1:17" x14ac:dyDescent="0.2">
      <c r="A61"/>
      <c r="B61"/>
      <c r="C61"/>
      <c r="D61"/>
      <c r="E61"/>
      <c r="F61"/>
      <c r="G61"/>
      <c r="J61"/>
      <c r="K61"/>
      <c r="L61"/>
      <c r="N61"/>
      <c r="O61"/>
      <c r="P61"/>
      <c r="Q61"/>
    </row>
    <row r="62" spans="1:17" x14ac:dyDescent="0.2">
      <c r="A62"/>
      <c r="B62"/>
      <c r="C62"/>
      <c r="D62"/>
      <c r="E62"/>
      <c r="F62"/>
      <c r="G62"/>
      <c r="K62"/>
      <c r="L62"/>
      <c r="N62"/>
      <c r="O62"/>
      <c r="P62"/>
      <c r="Q62"/>
    </row>
    <row r="63" spans="1:17" x14ac:dyDescent="0.2">
      <c r="A63"/>
      <c r="B63"/>
      <c r="C63"/>
      <c r="D63"/>
      <c r="E63"/>
      <c r="G63"/>
      <c r="J63"/>
      <c r="K63"/>
      <c r="L63"/>
      <c r="M63"/>
      <c r="N63"/>
      <c r="O63"/>
      <c r="P63"/>
      <c r="Q63"/>
    </row>
    <row r="64" spans="1:17" x14ac:dyDescent="0.2">
      <c r="A64"/>
      <c r="B64"/>
      <c r="C64"/>
      <c r="D64"/>
      <c r="E64"/>
      <c r="G64"/>
      <c r="K64"/>
      <c r="N64"/>
      <c r="O64"/>
      <c r="Q64"/>
    </row>
  </sheetData>
  <sheetProtection autoFilter="0"/>
  <phoneticPr fontId="20"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39"/>
  <sheetViews>
    <sheetView workbookViewId="0">
      <selection activeCell="B13" sqref="B13"/>
    </sheetView>
  </sheetViews>
  <sheetFormatPr defaultRowHeight="12.75" x14ac:dyDescent="0.2"/>
  <cols>
    <col min="1" max="1" width="26.28515625" bestFit="1" customWidth="1"/>
    <col min="2"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row r="2" spans="1:2" x14ac:dyDescent="0.2">
      <c r="A2" s="667"/>
    </row>
    <row r="3" spans="1:2" x14ac:dyDescent="0.2">
      <c r="A3" s="667"/>
    </row>
    <row r="4" spans="1:2" x14ac:dyDescent="0.2">
      <c r="A4" s="667"/>
    </row>
    <row r="5" spans="1:2" x14ac:dyDescent="0.2">
      <c r="A5" s="667"/>
    </row>
    <row r="6" spans="1:2" x14ac:dyDescent="0.2">
      <c r="A6" s="667"/>
    </row>
    <row r="7" spans="1:2" x14ac:dyDescent="0.2">
      <c r="A7" s="667"/>
    </row>
    <row r="8" spans="1:2" x14ac:dyDescent="0.2">
      <c r="A8" s="667"/>
    </row>
    <row r="9" spans="1:2" x14ac:dyDescent="0.2">
      <c r="A9" s="667"/>
    </row>
    <row r="10" spans="1:2" x14ac:dyDescent="0.2">
      <c r="A10" s="667"/>
    </row>
    <row r="11" spans="1:2" x14ac:dyDescent="0.2">
      <c r="A11" s="667"/>
    </row>
    <row r="12" spans="1:2" x14ac:dyDescent="0.2">
      <c r="A12" s="667"/>
    </row>
    <row r="13" spans="1:2" x14ac:dyDescent="0.2">
      <c r="A13" s="667"/>
    </row>
    <row r="14" spans="1:2" x14ac:dyDescent="0.2">
      <c r="A14" s="667"/>
    </row>
    <row r="15" spans="1:2" x14ac:dyDescent="0.2">
      <c r="A15" s="667"/>
    </row>
    <row r="16" spans="1:2" x14ac:dyDescent="0.2">
      <c r="A16" s="667"/>
    </row>
    <row r="17" spans="1:1" x14ac:dyDescent="0.2">
      <c r="A17" s="667"/>
    </row>
    <row r="18" spans="1:1" x14ac:dyDescent="0.2">
      <c r="A18" s="667"/>
    </row>
    <row r="19" spans="1:1" x14ac:dyDescent="0.2">
      <c r="A19" s="667"/>
    </row>
    <row r="20" spans="1:1" x14ac:dyDescent="0.2">
      <c r="A20" s="667"/>
    </row>
    <row r="21" spans="1:1" x14ac:dyDescent="0.2">
      <c r="A21" s="667"/>
    </row>
    <row r="22" spans="1:1" x14ac:dyDescent="0.2">
      <c r="A22" s="667"/>
    </row>
    <row r="23" spans="1:1" x14ac:dyDescent="0.2">
      <c r="A23" s="667"/>
    </row>
    <row r="24" spans="1:1" x14ac:dyDescent="0.2">
      <c r="A24" s="667"/>
    </row>
    <row r="25" spans="1:1" x14ac:dyDescent="0.2">
      <c r="A25" s="667"/>
    </row>
    <row r="26" spans="1:1" x14ac:dyDescent="0.2">
      <c r="A26" s="667"/>
    </row>
    <row r="27" spans="1:1" x14ac:dyDescent="0.2">
      <c r="A27" s="667"/>
    </row>
    <row r="28" spans="1:1" x14ac:dyDescent="0.2">
      <c r="A28" s="667"/>
    </row>
    <row r="29" spans="1:1" x14ac:dyDescent="0.2">
      <c r="A29" s="667"/>
    </row>
    <row r="30" spans="1:1" x14ac:dyDescent="0.2">
      <c r="A30" s="667"/>
    </row>
    <row r="31" spans="1:1" x14ac:dyDescent="0.2">
      <c r="A31" s="667"/>
    </row>
    <row r="32" spans="1:1" x14ac:dyDescent="0.2">
      <c r="A32" s="667"/>
    </row>
    <row r="33" spans="1:1" x14ac:dyDescent="0.2">
      <c r="A33" s="667"/>
    </row>
    <row r="34" spans="1:1" x14ac:dyDescent="0.2">
      <c r="A34" s="667"/>
    </row>
    <row r="35" spans="1:1" x14ac:dyDescent="0.2">
      <c r="A35" s="667"/>
    </row>
    <row r="36" spans="1:1" x14ac:dyDescent="0.2">
      <c r="A36" s="667"/>
    </row>
    <row r="37" spans="1:1" x14ac:dyDescent="0.2">
      <c r="A37" s="667"/>
    </row>
    <row r="38" spans="1:1" x14ac:dyDescent="0.2">
      <c r="A38" s="667"/>
    </row>
    <row r="39" spans="1:1" x14ac:dyDescent="0.2">
      <c r="A39" s="667"/>
    </row>
  </sheetData>
  <sheetProtection autoFilter="0"/>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S14" sqref="S14"/>
    </sheetView>
  </sheetViews>
  <sheetFormatPr defaultColWidth="6.7109375" defaultRowHeight="12.75" x14ac:dyDescent="0.2"/>
  <cols>
    <col min="1" max="1" width="11.5703125" style="47" hidden="1" customWidth="1"/>
    <col min="2" max="2" width="8.7109375" style="45" customWidth="1"/>
    <col min="3" max="3" width="11.85546875" customWidth="1"/>
    <col min="4" max="16" width="8.42578125" customWidth="1"/>
  </cols>
  <sheetData>
    <row r="1" spans="1:18" ht="18" x14ac:dyDescent="0.25">
      <c r="B1" s="120">
        <f>Main!$D$16</f>
        <v>0</v>
      </c>
      <c r="C1" s="114">
        <f>$B$1-$B$2</f>
        <v>-10</v>
      </c>
      <c r="D1" s="114"/>
      <c r="E1" s="114">
        <f>B1-D2</f>
        <v>-5</v>
      </c>
      <c r="F1" s="122" t="s">
        <v>76</v>
      </c>
      <c r="G1" s="121"/>
      <c r="H1" s="121"/>
      <c r="I1" s="121"/>
      <c r="J1" s="121"/>
      <c r="K1" s="121"/>
      <c r="L1" s="121"/>
      <c r="M1" s="121"/>
      <c r="N1" s="121"/>
      <c r="O1" s="121"/>
      <c r="P1" s="306" t="str">
        <f>IF(Main!$E$30="","A10",ADDRESS(13+(MATCH(Main!$E$30,Data_Sheet!$A$14:$A$903,0)),1,4))</f>
        <v>A10</v>
      </c>
      <c r="Q1" s="306">
        <f>VALUE(MID(P1, 2, LEN(P1)-1))</f>
        <v>10</v>
      </c>
    </row>
    <row r="2" spans="1:18" x14ac:dyDescent="0.2">
      <c r="B2" s="120">
        <f>Main!$D$19</f>
        <v>10</v>
      </c>
      <c r="C2" s="114">
        <f>$B$1+$B$2</f>
        <v>10</v>
      </c>
      <c r="D2" s="114">
        <f>(Main!$D$19)/2</f>
        <v>5</v>
      </c>
      <c r="E2" s="114">
        <f>B1+D2</f>
        <v>5</v>
      </c>
      <c r="F2" s="121"/>
      <c r="G2" s="121"/>
      <c r="H2" s="121"/>
      <c r="I2" s="139" t="s">
        <v>227</v>
      </c>
      <c r="J2" s="121"/>
      <c r="K2" s="121"/>
      <c r="L2" s="121"/>
      <c r="M2" s="613" t="s">
        <v>103</v>
      </c>
      <c r="N2" s="613"/>
      <c r="O2" s="613"/>
      <c r="P2" s="307" t="str">
        <f>IF(Main!$E$30="","A10",ADDRESS(13+Standards_Info!W2+(MATCH(Main!$E$30,Data_Sheet!$A$14:$A$903,0)),1,4))</f>
        <v>A10</v>
      </c>
      <c r="Q2" s="306">
        <f>VALUE(MID(P2, 2, LEN(P2)-1))</f>
        <v>10</v>
      </c>
    </row>
    <row r="3" spans="1:18" ht="14.25" x14ac:dyDescent="0.2">
      <c r="B3" s="124" t="s">
        <v>0</v>
      </c>
      <c r="C3" s="119"/>
      <c r="D3" s="106"/>
      <c r="E3" s="106"/>
      <c r="F3" s="106"/>
      <c r="G3" s="106"/>
      <c r="H3" s="106"/>
      <c r="I3" s="106"/>
      <c r="J3" s="106"/>
      <c r="K3" s="106"/>
      <c r="L3" s="106"/>
      <c r="M3" s="614" t="s">
        <v>104</v>
      </c>
      <c r="N3" s="615"/>
      <c r="O3" s="616"/>
      <c r="P3" s="106"/>
      <c r="Q3" s="106"/>
    </row>
    <row r="4" spans="1:18" ht="15" x14ac:dyDescent="0.25">
      <c r="B4" s="116" t="s">
        <v>25</v>
      </c>
      <c r="C4" s="62"/>
      <c r="D4" s="39"/>
      <c r="E4" s="39"/>
      <c r="F4" s="39"/>
      <c r="G4" s="39"/>
      <c r="H4" s="39"/>
      <c r="I4" s="39"/>
      <c r="J4" s="39"/>
      <c r="K4" s="39"/>
      <c r="L4" s="39"/>
      <c r="M4" s="617" t="s">
        <v>145</v>
      </c>
      <c r="N4" s="618"/>
      <c r="O4" s="619"/>
      <c r="P4" s="88"/>
    </row>
    <row r="5" spans="1:18" x14ac:dyDescent="0.2">
      <c r="B5" s="117" t="s">
        <v>26</v>
      </c>
      <c r="C5" s="56">
        <f>Main!D3</f>
        <v>0</v>
      </c>
      <c r="D5" s="39"/>
      <c r="E5" s="39"/>
      <c r="F5" s="39"/>
      <c r="G5" s="39"/>
      <c r="H5" s="39"/>
      <c r="I5" s="54" t="s">
        <v>4</v>
      </c>
      <c r="J5" s="39" t="e">
        <f>Main!D5</f>
        <v>#N/A</v>
      </c>
      <c r="L5" s="39"/>
      <c r="M5" s="620" t="s">
        <v>144</v>
      </c>
      <c r="N5" s="621"/>
      <c r="O5" s="622"/>
      <c r="P5" s="132"/>
    </row>
    <row r="6" spans="1:18" ht="13.5" thickBot="1" x14ac:dyDescent="0.25">
      <c r="B6" s="117" t="s">
        <v>3</v>
      </c>
      <c r="C6" s="57" t="e">
        <f>Main!D6</f>
        <v>#N/A</v>
      </c>
      <c r="D6" s="39"/>
      <c r="E6" s="39"/>
      <c r="F6" s="39"/>
      <c r="G6" s="39"/>
      <c r="H6" s="39"/>
      <c r="I6" s="54" t="s">
        <v>5</v>
      </c>
      <c r="J6" s="53">
        <f>Main!D16</f>
        <v>0</v>
      </c>
      <c r="L6" s="39"/>
      <c r="M6" s="623" t="s">
        <v>143</v>
      </c>
      <c r="N6" s="624"/>
      <c r="O6" s="625"/>
      <c r="P6" s="89"/>
    </row>
    <row r="7" spans="1:18" ht="13.5" thickBot="1" x14ac:dyDescent="0.25">
      <c r="B7" s="117" t="s">
        <v>27</v>
      </c>
      <c r="C7" s="57" t="str">
        <f>Main!D7</f>
        <v>Jeff Hall</v>
      </c>
      <c r="D7" s="39"/>
      <c r="E7" s="39"/>
      <c r="F7" s="39"/>
      <c r="G7" s="39"/>
      <c r="H7" s="39"/>
      <c r="I7" s="59" t="s">
        <v>169</v>
      </c>
      <c r="J7" s="611">
        <f>Main!$D$30</f>
        <v>0</v>
      </c>
      <c r="K7" s="612"/>
      <c r="L7" s="103"/>
      <c r="M7" s="610" t="s">
        <v>142</v>
      </c>
      <c r="N7" s="610"/>
      <c r="O7" s="610"/>
      <c r="P7" s="44"/>
    </row>
    <row r="8" spans="1:18" x14ac:dyDescent="0.2">
      <c r="B8" s="117"/>
      <c r="C8" s="123"/>
      <c r="D8" s="39"/>
      <c r="E8" s="39"/>
      <c r="F8" s="39"/>
      <c r="G8" s="39"/>
      <c r="H8" s="39"/>
      <c r="I8" s="59"/>
      <c r="J8" s="126"/>
      <c r="K8" s="126"/>
      <c r="L8" s="103"/>
      <c r="M8" s="127"/>
      <c r="N8" s="127"/>
      <c r="O8" s="127"/>
      <c r="P8" s="44"/>
    </row>
    <row r="9" spans="1:18" x14ac:dyDescent="0.2">
      <c r="B9" s="117"/>
      <c r="C9" s="57"/>
      <c r="D9" s="39"/>
      <c r="E9" s="39"/>
      <c r="F9" s="39"/>
      <c r="G9" s="39"/>
      <c r="H9" s="39"/>
      <c r="I9" s="130" t="str">
        <f>IF(Main!K15="SIM Load Hot",Main!N59,"")</f>
        <v/>
      </c>
      <c r="J9" s="126"/>
      <c r="K9" s="126"/>
      <c r="L9" s="103"/>
      <c r="M9" s="127"/>
      <c r="N9" s="127"/>
      <c r="O9" s="127"/>
      <c r="P9" s="44"/>
    </row>
    <row r="10" spans="1:18" s="64" customFormat="1" x14ac:dyDescent="0.2">
      <c r="A10" s="104"/>
      <c r="B10" s="134"/>
      <c r="C10" s="135"/>
      <c r="I10" s="130" t="str">
        <f>IF(AND(Main!E60 &lt;&gt; "", Main!K60 &lt;&gt;""),Main!N60,IF(AND(Main!E61&lt;&gt;"",Main!K61&lt;&gt;""),Main!N61,""))</f>
        <v/>
      </c>
      <c r="J10" s="136"/>
      <c r="K10" s="136"/>
      <c r="L10" s="118"/>
      <c r="M10" s="137"/>
      <c r="N10" s="137"/>
      <c r="O10" s="137"/>
      <c r="P10" s="138"/>
    </row>
    <row r="11" spans="1:18" x14ac:dyDescent="0.2">
      <c r="R11" s="45"/>
    </row>
    <row r="12" spans="1:18" s="450" customFormat="1" x14ac:dyDescent="0.2">
      <c r="A12" s="449"/>
      <c r="B12" s="126" t="str" cm="1">
        <f t="array" ref="B12:P12">_xlfn.LET(
  _xlpm.tbl, DataForChannels1to14[],
  _xlpm.hdrs, DataForChannels1to14[#Headers],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8" s="64" customFormat="1" x14ac:dyDescent="0.2">
      <c r="A13" s="104"/>
      <c r="B13" s="103"/>
      <c r="C13" s="39"/>
      <c r="D13" s="39"/>
      <c r="E13" s="39"/>
      <c r="F13" s="39"/>
      <c r="G13" s="39"/>
      <c r="H13" s="39"/>
      <c r="I13" s="39"/>
      <c r="J13" s="39"/>
      <c r="K13" s="39"/>
      <c r="L13" s="39"/>
      <c r="M13" s="39" t="str">
        <f>IF(ISBLANK(DaqBook_RAW_Data!L3),"",DaqBook_RAW_Data!L3)</f>
        <v/>
      </c>
      <c r="N13" s="39" t="str">
        <f>IF(ISBLANK(DaqBook_RAW_Data!M3),"",DaqBook_RAW_Data!M3)</f>
        <v/>
      </c>
      <c r="O13" s="39" t="str">
        <f>IF(ISBLANK(DaqBook_RAW_Data!N3),"",DaqBook_RAW_Data!N3)</f>
        <v/>
      </c>
      <c r="P13" s="39"/>
    </row>
    <row r="14" spans="1:18" s="64" customFormat="1" x14ac:dyDescent="0.2">
      <c r="A14" s="104" t="str" cm="1">
        <f t="array" ref="A14:A903">TEXT(B14:B903, "h:mm")</f>
        <v>0:00</v>
      </c>
      <c r="B14" s="103" cm="1">
        <f t="array" ref="B14:P14">DataForChannels1to14[]</f>
        <v>0</v>
      </c>
      <c r="C14" s="125">
        <v>0</v>
      </c>
      <c r="D14" s="125">
        <v>0</v>
      </c>
      <c r="E14" s="125">
        <v>0</v>
      </c>
      <c r="F14" s="125">
        <v>0</v>
      </c>
      <c r="G14" s="125">
        <v>0</v>
      </c>
      <c r="H14" s="125">
        <v>0</v>
      </c>
      <c r="I14" s="125">
        <v>0</v>
      </c>
      <c r="J14" s="125">
        <v>0</v>
      </c>
      <c r="K14" s="125">
        <v>0</v>
      </c>
      <c r="L14" s="125">
        <v>0</v>
      </c>
      <c r="M14" s="125">
        <v>0</v>
      </c>
      <c r="N14" s="125">
        <v>0</v>
      </c>
      <c r="O14" s="125">
        <v>0</v>
      </c>
      <c r="P14" s="125">
        <v>0</v>
      </c>
    </row>
    <row r="15" spans="1:18" s="64" customFormat="1" x14ac:dyDescent="0.2">
      <c r="A15" s="104" t="str">
        <v>0:00</v>
      </c>
      <c r="B15" s="103"/>
      <c r="C15" s="125"/>
      <c r="D15" s="125"/>
      <c r="E15" s="125"/>
      <c r="F15" s="125"/>
      <c r="G15" s="125"/>
      <c r="H15" s="125"/>
      <c r="I15" s="125"/>
      <c r="J15" s="125"/>
      <c r="K15" s="125"/>
      <c r="L15" s="125"/>
      <c r="M15" s="125"/>
      <c r="N15" s="125"/>
      <c r="O15" s="125"/>
      <c r="P15" s="125"/>
    </row>
    <row r="16" spans="1:18"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8" customFormat="1" x14ac:dyDescent="0.2">
      <c r="A66" s="67" t="str">
        <v>0:00</v>
      </c>
      <c r="B66" s="103"/>
      <c r="C66" s="125"/>
      <c r="D66" s="125"/>
      <c r="E66" s="125"/>
      <c r="F66" s="125"/>
      <c r="G66" s="125"/>
      <c r="H66" s="125"/>
      <c r="I66" s="125"/>
      <c r="J66" s="125"/>
      <c r="K66" s="125"/>
      <c r="L66" s="125"/>
      <c r="M66" s="125"/>
      <c r="N66" s="125"/>
      <c r="O66" s="125"/>
      <c r="P66" s="125"/>
    </row>
    <row r="67" spans="1:16" s="68" customFormat="1" x14ac:dyDescent="0.2">
      <c r="A67" s="67" t="str">
        <v>0:00</v>
      </c>
      <c r="B67" s="103"/>
      <c r="C67" s="125"/>
      <c r="D67" s="125"/>
      <c r="E67" s="125"/>
      <c r="F67" s="125"/>
      <c r="G67" s="125"/>
      <c r="H67" s="125"/>
      <c r="I67" s="125"/>
      <c r="J67" s="125"/>
      <c r="K67" s="125"/>
      <c r="L67" s="125"/>
      <c r="M67" s="125"/>
      <c r="N67" s="125"/>
      <c r="O67" s="125"/>
      <c r="P67" s="125"/>
    </row>
    <row r="68" spans="1:16" s="68" customFormat="1" x14ac:dyDescent="0.2">
      <c r="A68" s="67" t="str">
        <v>0:00</v>
      </c>
      <c r="B68" s="103"/>
      <c r="C68" s="125"/>
      <c r="D68" s="125"/>
      <c r="E68" s="125"/>
      <c r="F68" s="125"/>
      <c r="G68" s="125"/>
      <c r="H68" s="125"/>
      <c r="I68" s="125"/>
      <c r="J68" s="125"/>
      <c r="K68" s="125"/>
      <c r="L68" s="125"/>
      <c r="M68" s="125"/>
      <c r="N68" s="125"/>
      <c r="O68" s="125"/>
      <c r="P68" s="125"/>
    </row>
    <row r="69" spans="1:16" s="68" customFormat="1" x14ac:dyDescent="0.2">
      <c r="A69" s="67" t="str">
        <v>0:00</v>
      </c>
      <c r="B69" s="103"/>
      <c r="C69" s="125"/>
      <c r="D69" s="125"/>
      <c r="E69" s="125"/>
      <c r="F69" s="125"/>
      <c r="G69" s="125"/>
      <c r="H69" s="125"/>
      <c r="I69" s="125"/>
      <c r="J69" s="125"/>
      <c r="K69" s="125"/>
      <c r="L69" s="125"/>
      <c r="M69" s="125"/>
      <c r="N69" s="125"/>
      <c r="O69" s="125"/>
      <c r="P69" s="125"/>
    </row>
    <row r="70" spans="1:16" s="68" customFormat="1" x14ac:dyDescent="0.2">
      <c r="A70" s="67" t="str">
        <v>0:00</v>
      </c>
      <c r="B70" s="103"/>
      <c r="C70" s="125"/>
      <c r="D70" s="125"/>
      <c r="E70" s="125"/>
      <c r="F70" s="125"/>
      <c r="G70" s="125"/>
      <c r="H70" s="125"/>
      <c r="I70" s="125"/>
      <c r="J70" s="125"/>
      <c r="K70" s="125"/>
      <c r="L70" s="125"/>
      <c r="M70" s="125"/>
      <c r="N70" s="125"/>
      <c r="O70" s="125"/>
      <c r="P70" s="125"/>
    </row>
    <row r="71" spans="1:16" s="68" customFormat="1" x14ac:dyDescent="0.2">
      <c r="A71" s="67" t="str">
        <v>0:00</v>
      </c>
      <c r="B71" s="103"/>
      <c r="C71" s="125"/>
      <c r="D71" s="125"/>
      <c r="E71" s="125"/>
      <c r="F71" s="125"/>
      <c r="G71" s="125"/>
      <c r="H71" s="125"/>
      <c r="I71" s="125"/>
      <c r="J71" s="125"/>
      <c r="K71" s="125"/>
      <c r="L71" s="125"/>
      <c r="M71" s="125"/>
      <c r="N71" s="125"/>
      <c r="O71" s="125"/>
      <c r="P71" s="125"/>
    </row>
    <row r="72" spans="1:16" s="68" customFormat="1" x14ac:dyDescent="0.2">
      <c r="A72" s="67" t="str">
        <v>0:00</v>
      </c>
      <c r="B72" s="103"/>
      <c r="C72" s="125"/>
      <c r="D72" s="125"/>
      <c r="E72" s="125"/>
      <c r="F72" s="125"/>
      <c r="G72" s="125"/>
      <c r="H72" s="125"/>
      <c r="I72" s="125"/>
      <c r="J72" s="125"/>
      <c r="K72" s="125"/>
      <c r="L72" s="125"/>
      <c r="M72" s="125"/>
      <c r="N72" s="125"/>
      <c r="O72" s="125"/>
      <c r="P72" s="125"/>
    </row>
    <row r="73" spans="1:16" s="68" customFormat="1" x14ac:dyDescent="0.2">
      <c r="A73" s="67" t="str">
        <v>0:00</v>
      </c>
      <c r="B73" s="103"/>
      <c r="C73" s="125"/>
      <c r="D73" s="125"/>
      <c r="E73" s="125"/>
      <c r="F73" s="125"/>
      <c r="G73" s="125"/>
      <c r="H73" s="125"/>
      <c r="I73" s="125"/>
      <c r="J73" s="125"/>
      <c r="K73" s="125"/>
      <c r="L73" s="125"/>
      <c r="M73" s="125"/>
      <c r="N73" s="125"/>
      <c r="O73" s="125"/>
      <c r="P73" s="125"/>
    </row>
    <row r="74" spans="1:16" s="68" customFormat="1" x14ac:dyDescent="0.2">
      <c r="A74" s="67" t="str">
        <v>0:00</v>
      </c>
      <c r="B74" s="103"/>
      <c r="C74" s="125"/>
      <c r="D74" s="125"/>
      <c r="E74" s="125"/>
      <c r="F74" s="125"/>
      <c r="G74" s="125"/>
      <c r="H74" s="125"/>
      <c r="I74" s="125"/>
      <c r="J74" s="125"/>
      <c r="K74" s="125"/>
      <c r="L74" s="125"/>
      <c r="M74" s="125"/>
      <c r="N74" s="125"/>
      <c r="O74" s="125"/>
      <c r="P74" s="125"/>
    </row>
    <row r="75" spans="1:16" s="68" customFormat="1" x14ac:dyDescent="0.2">
      <c r="A75" s="67" t="str">
        <v>0:00</v>
      </c>
      <c r="B75" s="103"/>
      <c r="C75" s="125"/>
      <c r="D75" s="125"/>
      <c r="E75" s="125"/>
      <c r="F75" s="125"/>
      <c r="G75" s="125"/>
      <c r="H75" s="125"/>
      <c r="I75" s="125"/>
      <c r="J75" s="125"/>
      <c r="K75" s="125"/>
      <c r="L75" s="125"/>
      <c r="M75" s="125"/>
      <c r="N75" s="125"/>
      <c r="O75" s="125"/>
      <c r="P75" s="125"/>
    </row>
    <row r="76" spans="1:16" s="68" customFormat="1" x14ac:dyDescent="0.2">
      <c r="A76" s="69" t="str">
        <v>0:00</v>
      </c>
      <c r="B76" s="103"/>
      <c r="C76" s="125"/>
      <c r="D76" s="125"/>
      <c r="E76" s="125"/>
      <c r="F76" s="125"/>
      <c r="G76" s="125"/>
      <c r="H76" s="125"/>
      <c r="I76" s="125"/>
      <c r="J76" s="125"/>
      <c r="K76" s="125"/>
      <c r="L76" s="125"/>
      <c r="M76" s="125"/>
      <c r="N76" s="125"/>
      <c r="O76" s="125"/>
      <c r="P76" s="125"/>
    </row>
    <row r="77" spans="1:16" s="68" customFormat="1" x14ac:dyDescent="0.2">
      <c r="A77" s="69" t="str">
        <v>0:00</v>
      </c>
      <c r="B77" s="103"/>
      <c r="C77" s="125"/>
      <c r="D77" s="125"/>
      <c r="E77" s="125"/>
      <c r="F77" s="125"/>
      <c r="G77" s="125"/>
      <c r="H77" s="125"/>
      <c r="I77" s="125"/>
      <c r="J77" s="125"/>
      <c r="K77" s="125"/>
      <c r="L77" s="125"/>
      <c r="M77" s="125"/>
      <c r="N77" s="125"/>
      <c r="O77" s="125"/>
      <c r="P77" s="125"/>
    </row>
    <row r="78" spans="1:16" s="68" customFormat="1" x14ac:dyDescent="0.2">
      <c r="A78" s="69" t="str">
        <v>0:00</v>
      </c>
      <c r="B78" s="103"/>
      <c r="C78" s="125"/>
      <c r="D78" s="125"/>
      <c r="E78" s="125"/>
      <c r="F78" s="125"/>
      <c r="G78" s="125"/>
      <c r="H78" s="125"/>
      <c r="I78" s="125"/>
      <c r="J78" s="125"/>
      <c r="K78" s="125"/>
      <c r="L78" s="125"/>
      <c r="M78" s="125"/>
      <c r="N78" s="125"/>
      <c r="O78" s="125"/>
      <c r="P78" s="125"/>
    </row>
    <row r="79" spans="1:16" s="68" customFormat="1" x14ac:dyDescent="0.2">
      <c r="A79" s="69" t="str">
        <v>0:00</v>
      </c>
      <c r="B79" s="103"/>
      <c r="C79" s="125"/>
      <c r="D79" s="125"/>
      <c r="E79" s="125"/>
      <c r="F79" s="125"/>
      <c r="G79" s="125"/>
      <c r="H79" s="125"/>
      <c r="I79" s="125"/>
      <c r="J79" s="125"/>
      <c r="K79" s="125"/>
      <c r="L79" s="125"/>
      <c r="M79" s="125"/>
      <c r="N79" s="125"/>
      <c r="O79" s="125"/>
      <c r="P79" s="125"/>
    </row>
    <row r="80" spans="1:16" s="68" customFormat="1" x14ac:dyDescent="0.2">
      <c r="A80" s="69" t="str">
        <v>0:00</v>
      </c>
      <c r="B80" s="103"/>
      <c r="C80" s="125"/>
      <c r="D80" s="125"/>
      <c r="E80" s="125"/>
      <c r="F80" s="125"/>
      <c r="G80" s="125"/>
      <c r="H80" s="125"/>
      <c r="I80" s="125"/>
      <c r="J80" s="125"/>
      <c r="K80" s="125"/>
      <c r="L80" s="125"/>
      <c r="M80" s="125"/>
      <c r="N80" s="125"/>
      <c r="O80" s="125"/>
      <c r="P80" s="125"/>
    </row>
    <row r="81" spans="1:16" s="68" customFormat="1" x14ac:dyDescent="0.2">
      <c r="A81" s="69" t="str">
        <v>0:00</v>
      </c>
      <c r="B81" s="103"/>
      <c r="C81" s="125"/>
      <c r="D81" s="125"/>
      <c r="E81" s="125"/>
      <c r="F81" s="125"/>
      <c r="G81" s="125"/>
      <c r="H81" s="125"/>
      <c r="I81" s="125"/>
      <c r="J81" s="125"/>
      <c r="K81" s="125"/>
      <c r="L81" s="125"/>
      <c r="M81" s="125"/>
      <c r="N81" s="125"/>
      <c r="O81" s="125"/>
      <c r="P81" s="125"/>
    </row>
    <row r="82" spans="1:16" s="64" customFormat="1" x14ac:dyDescent="0.2">
      <c r="A82" s="63" t="str">
        <v>0:00</v>
      </c>
      <c r="B82" s="103"/>
      <c r="C82" s="125"/>
      <c r="D82" s="125"/>
      <c r="E82" s="125"/>
      <c r="F82" s="125"/>
      <c r="G82" s="125"/>
      <c r="H82" s="125"/>
      <c r="I82" s="125"/>
      <c r="J82" s="125"/>
      <c r="K82" s="125"/>
      <c r="L82" s="125"/>
      <c r="M82" s="125"/>
      <c r="N82" s="125"/>
      <c r="O82" s="125"/>
      <c r="P82" s="125"/>
    </row>
    <row r="83" spans="1:16" s="64" customFormat="1" x14ac:dyDescent="0.2">
      <c r="A83" s="63" t="str">
        <v>0:00</v>
      </c>
      <c r="B83" s="103"/>
      <c r="C83" s="125"/>
      <c r="D83" s="125"/>
      <c r="E83" s="125"/>
      <c r="F83" s="125"/>
      <c r="G83" s="125"/>
      <c r="H83" s="125"/>
      <c r="I83" s="125"/>
      <c r="J83" s="125"/>
      <c r="K83" s="125"/>
      <c r="L83" s="125"/>
      <c r="M83" s="125"/>
      <c r="N83" s="125"/>
      <c r="O83" s="125"/>
      <c r="P83" s="125"/>
    </row>
    <row r="84" spans="1:16" s="64" customFormat="1" x14ac:dyDescent="0.2">
      <c r="A84" s="63" t="str">
        <v>0:00</v>
      </c>
      <c r="B84" s="103"/>
      <c r="C84" s="125"/>
      <c r="D84" s="125"/>
      <c r="E84" s="125"/>
      <c r="F84" s="125"/>
      <c r="G84" s="125"/>
      <c r="H84" s="125"/>
      <c r="I84" s="125"/>
      <c r="J84" s="125"/>
      <c r="K84" s="125"/>
      <c r="L84" s="125"/>
      <c r="M84" s="125"/>
      <c r="N84" s="125"/>
      <c r="O84" s="125"/>
      <c r="P84" s="125"/>
    </row>
    <row r="85" spans="1:16" s="64" customFormat="1" x14ac:dyDescent="0.2">
      <c r="A85" s="63" t="str">
        <v>0:00</v>
      </c>
      <c r="B85" s="103"/>
      <c r="C85" s="125"/>
      <c r="D85" s="125"/>
      <c r="E85" s="125"/>
      <c r="F85" s="125"/>
      <c r="G85" s="125"/>
      <c r="H85" s="125"/>
      <c r="I85" s="125"/>
      <c r="J85" s="125"/>
      <c r="K85" s="125"/>
      <c r="L85" s="125"/>
      <c r="M85" s="125"/>
      <c r="N85" s="125"/>
      <c r="O85" s="125"/>
      <c r="P85" s="125"/>
    </row>
    <row r="86" spans="1:16" s="64" customFormat="1" x14ac:dyDescent="0.2">
      <c r="A86" s="63" t="str">
        <v>0:00</v>
      </c>
      <c r="B86" s="103"/>
      <c r="C86" s="125"/>
      <c r="D86" s="125"/>
      <c r="E86" s="125"/>
      <c r="F86" s="125"/>
      <c r="G86" s="125"/>
      <c r="H86" s="125"/>
      <c r="I86" s="125"/>
      <c r="J86" s="125"/>
      <c r="K86" s="125"/>
      <c r="L86" s="125"/>
      <c r="M86" s="125"/>
      <c r="N86" s="125"/>
      <c r="O86" s="125"/>
      <c r="P86" s="125"/>
    </row>
    <row r="87" spans="1:16" s="64" customFormat="1" x14ac:dyDescent="0.2">
      <c r="A87" s="63" t="str">
        <v>0:00</v>
      </c>
      <c r="B87" s="103"/>
      <c r="C87" s="125"/>
      <c r="D87" s="125"/>
      <c r="E87" s="125"/>
      <c r="F87" s="125"/>
      <c r="G87" s="125"/>
      <c r="H87" s="125"/>
      <c r="I87" s="125"/>
      <c r="J87" s="125"/>
      <c r="K87" s="125"/>
      <c r="L87" s="125"/>
      <c r="M87" s="125"/>
      <c r="N87" s="125"/>
      <c r="O87" s="125"/>
      <c r="P87" s="125"/>
    </row>
    <row r="88" spans="1:16" s="64" customFormat="1" x14ac:dyDescent="0.2">
      <c r="A88" s="63" t="str">
        <v>0:00</v>
      </c>
      <c r="B88" s="103"/>
      <c r="C88" s="125"/>
      <c r="D88" s="125"/>
      <c r="E88" s="125"/>
      <c r="F88" s="125"/>
      <c r="G88" s="125"/>
      <c r="H88" s="125"/>
      <c r="I88" s="125"/>
      <c r="J88" s="125"/>
      <c r="K88" s="125"/>
      <c r="L88" s="125"/>
      <c r="M88" s="125"/>
      <c r="N88" s="125"/>
      <c r="O88" s="125"/>
      <c r="P88" s="125"/>
    </row>
    <row r="89" spans="1:16" s="64" customFormat="1" x14ac:dyDescent="0.2">
      <c r="A89" s="63" t="str">
        <v>0:00</v>
      </c>
      <c r="B89" s="103"/>
      <c r="C89" s="125"/>
      <c r="D89" s="125"/>
      <c r="E89" s="125"/>
      <c r="F89" s="125"/>
      <c r="G89" s="125"/>
      <c r="H89" s="125"/>
      <c r="I89" s="125"/>
      <c r="J89" s="125"/>
      <c r="K89" s="125"/>
      <c r="L89" s="125"/>
      <c r="M89" s="125"/>
      <c r="N89" s="125"/>
      <c r="O89" s="125"/>
      <c r="P89" s="125"/>
    </row>
    <row r="90" spans="1:16" s="64" customFormat="1" x14ac:dyDescent="0.2">
      <c r="A90" s="63" t="str">
        <v>0:00</v>
      </c>
      <c r="B90" s="103"/>
      <c r="C90" s="125"/>
      <c r="D90" s="125"/>
      <c r="E90" s="125"/>
      <c r="F90" s="125"/>
      <c r="G90" s="125"/>
      <c r="H90" s="125"/>
      <c r="I90" s="125"/>
      <c r="J90" s="125"/>
      <c r="K90" s="125"/>
      <c r="L90" s="125"/>
      <c r="M90" s="125"/>
      <c r="N90" s="125"/>
      <c r="O90" s="125"/>
      <c r="P90" s="125"/>
    </row>
    <row r="91" spans="1:16" s="64" customFormat="1" x14ac:dyDescent="0.2">
      <c r="A91" s="63" t="str">
        <v>0:00</v>
      </c>
      <c r="B91" s="103"/>
      <c r="C91" s="125"/>
      <c r="D91" s="125"/>
      <c r="E91" s="125"/>
      <c r="F91" s="125"/>
      <c r="G91" s="125"/>
      <c r="H91" s="125"/>
      <c r="I91" s="125"/>
      <c r="J91" s="125"/>
      <c r="K91" s="125"/>
      <c r="L91" s="125"/>
      <c r="M91" s="125"/>
      <c r="N91" s="125"/>
      <c r="O91" s="125"/>
      <c r="P91" s="125"/>
    </row>
    <row r="92" spans="1:16" s="64" customFormat="1" x14ac:dyDescent="0.2">
      <c r="A92" s="63"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39"/>
      <c r="D501" s="39"/>
      <c r="E501" s="39"/>
      <c r="F501" s="39"/>
      <c r="G501" s="39"/>
      <c r="H501" s="39"/>
      <c r="I501" s="39"/>
      <c r="J501" s="39"/>
      <c r="K501" s="39"/>
      <c r="L501" s="39"/>
      <c r="M501" s="39"/>
      <c r="N501" s="39"/>
      <c r="O501" s="39"/>
      <c r="P501" s="39"/>
    </row>
    <row r="502" spans="1:16" x14ac:dyDescent="0.2">
      <c r="A502" s="47" t="str">
        <v>0:00</v>
      </c>
      <c r="B502" s="103"/>
      <c r="C502" s="39"/>
      <c r="D502" s="39"/>
      <c r="E502" s="39"/>
      <c r="F502" s="39"/>
      <c r="G502" s="39"/>
      <c r="H502" s="39"/>
      <c r="I502" s="39"/>
      <c r="J502" s="39"/>
      <c r="K502" s="39"/>
      <c r="L502" s="39"/>
      <c r="M502" s="39"/>
      <c r="N502" s="39"/>
      <c r="O502" s="39"/>
      <c r="P502" s="39"/>
    </row>
    <row r="503" spans="1:16" x14ac:dyDescent="0.2">
      <c r="A503" s="47" t="str">
        <v>0:00</v>
      </c>
      <c r="B503" s="103"/>
      <c r="C503" s="39"/>
      <c r="D503" s="39"/>
      <c r="E503" s="39"/>
      <c r="F503" s="39"/>
      <c r="G503" s="39"/>
      <c r="H503" s="39"/>
      <c r="I503" s="39"/>
      <c r="J503" s="39"/>
      <c r="K503" s="39"/>
      <c r="L503" s="39"/>
      <c r="M503" s="39"/>
      <c r="N503" s="39"/>
      <c r="O503" s="39"/>
      <c r="P503" s="39"/>
    </row>
    <row r="504" spans="1:16" x14ac:dyDescent="0.2">
      <c r="A504" s="47" t="str">
        <v>0:00</v>
      </c>
      <c r="B504" s="103"/>
      <c r="C504" s="39"/>
      <c r="D504" s="39"/>
      <c r="E504" s="39"/>
      <c r="F504" s="39"/>
      <c r="G504" s="39"/>
      <c r="H504" s="39"/>
      <c r="I504" s="39"/>
      <c r="J504" s="39"/>
      <c r="K504" s="39"/>
      <c r="L504" s="39"/>
      <c r="M504" s="39"/>
      <c r="N504" s="39"/>
      <c r="O504" s="39"/>
      <c r="P504" s="39"/>
    </row>
    <row r="505" spans="1:16" x14ac:dyDescent="0.2">
      <c r="A505" s="47" t="str">
        <v>0:00</v>
      </c>
      <c r="B505" s="103"/>
      <c r="C505" s="39"/>
      <c r="D505" s="39"/>
      <c r="E505" s="39"/>
      <c r="F505" s="39"/>
      <c r="G505" s="39"/>
      <c r="H505" s="39"/>
      <c r="I505" s="39"/>
      <c r="J505" s="39"/>
      <c r="K505" s="39"/>
      <c r="L505" s="39"/>
      <c r="M505" s="39"/>
      <c r="N505" s="39"/>
      <c r="O505" s="39"/>
      <c r="P505" s="39"/>
    </row>
    <row r="506" spans="1:16" x14ac:dyDescent="0.2">
      <c r="A506" s="47" t="str">
        <v>0:00</v>
      </c>
      <c r="B506" s="103"/>
      <c r="C506" s="39"/>
      <c r="D506" s="39"/>
      <c r="E506" s="39"/>
      <c r="F506" s="39"/>
      <c r="G506" s="39"/>
      <c r="H506" s="39"/>
      <c r="I506" s="39"/>
      <c r="J506" s="39"/>
      <c r="K506" s="39"/>
      <c r="L506" s="39"/>
      <c r="M506" s="39"/>
      <c r="N506" s="39"/>
      <c r="O506" s="39"/>
      <c r="P506" s="39"/>
    </row>
    <row r="507" spans="1:16" x14ac:dyDescent="0.2">
      <c r="A507" s="47" t="str">
        <v>0:00</v>
      </c>
      <c r="B507" s="103"/>
      <c r="C507" s="39"/>
      <c r="D507" s="39"/>
      <c r="E507" s="39"/>
      <c r="F507" s="39"/>
      <c r="G507" s="39"/>
      <c r="H507" s="39"/>
      <c r="I507" s="39"/>
      <c r="J507" s="39"/>
      <c r="K507" s="39"/>
      <c r="L507" s="39"/>
      <c r="M507" s="39"/>
      <c r="N507" s="39"/>
      <c r="O507" s="39"/>
      <c r="P507" s="39"/>
    </row>
    <row r="508" spans="1:16" x14ac:dyDescent="0.2">
      <c r="A508" s="47" t="str">
        <v>0:00</v>
      </c>
      <c r="B508" s="103"/>
      <c r="C508" s="39"/>
      <c r="D508" s="39"/>
      <c r="E508" s="39"/>
      <c r="F508" s="39"/>
      <c r="G508" s="39"/>
      <c r="H508" s="39"/>
      <c r="I508" s="39"/>
      <c r="J508" s="39"/>
      <c r="K508" s="39"/>
      <c r="L508" s="39"/>
      <c r="M508" s="39"/>
      <c r="N508" s="39"/>
      <c r="O508" s="39"/>
      <c r="P508" s="39"/>
    </row>
    <row r="509" spans="1:16" x14ac:dyDescent="0.2">
      <c r="A509" s="47" t="str">
        <v>0:00</v>
      </c>
      <c r="B509" s="103"/>
      <c r="C509" s="39"/>
      <c r="D509" s="39"/>
      <c r="E509" s="39"/>
      <c r="F509" s="39"/>
      <c r="G509" s="39"/>
      <c r="H509" s="39"/>
      <c r="I509" s="39"/>
      <c r="J509" s="39"/>
      <c r="K509" s="39"/>
      <c r="L509" s="39"/>
      <c r="M509" s="39"/>
      <c r="N509" s="39"/>
      <c r="O509" s="39"/>
      <c r="P509" s="39"/>
    </row>
    <row r="510" spans="1:16" x14ac:dyDescent="0.2">
      <c r="A510" s="47" t="str">
        <v>0:00</v>
      </c>
      <c r="B510" s="103"/>
      <c r="C510" s="39"/>
      <c r="D510" s="39"/>
      <c r="E510" s="39"/>
      <c r="F510" s="39"/>
      <c r="G510" s="39"/>
      <c r="H510" s="39"/>
      <c r="I510" s="39"/>
      <c r="J510" s="39"/>
      <c r="K510" s="39"/>
      <c r="L510" s="39"/>
      <c r="M510" s="39"/>
      <c r="N510" s="39"/>
      <c r="O510" s="39"/>
      <c r="P510" s="39"/>
    </row>
    <row r="511" spans="1:16" x14ac:dyDescent="0.2">
      <c r="A511" s="47" t="str">
        <v>0:00</v>
      </c>
      <c r="B511" s="103"/>
      <c r="C511" s="39"/>
      <c r="D511" s="39"/>
      <c r="E511" s="39"/>
      <c r="F511" s="39"/>
      <c r="G511" s="39"/>
      <c r="H511" s="39"/>
      <c r="I511" s="39"/>
      <c r="J511" s="39"/>
      <c r="K511" s="39"/>
      <c r="L511" s="39"/>
      <c r="M511" s="39"/>
      <c r="N511" s="39"/>
      <c r="O511" s="39"/>
      <c r="P511" s="39"/>
    </row>
    <row r="512" spans="1:16" x14ac:dyDescent="0.2">
      <c r="A512" s="47" t="str">
        <v>0:00</v>
      </c>
      <c r="B512" s="103"/>
      <c r="C512" s="39"/>
      <c r="D512" s="39"/>
      <c r="E512" s="39"/>
      <c r="F512" s="39"/>
      <c r="G512" s="39"/>
      <c r="H512" s="39"/>
      <c r="I512" s="39"/>
      <c r="J512" s="39"/>
      <c r="K512" s="39"/>
      <c r="L512" s="39"/>
      <c r="M512" s="39"/>
      <c r="N512" s="39"/>
      <c r="O512" s="39"/>
      <c r="P512" s="39"/>
    </row>
    <row r="513" spans="1:16" x14ac:dyDescent="0.2">
      <c r="A513" s="47" t="str">
        <v>0:00</v>
      </c>
      <c r="B513" s="103"/>
      <c r="C513" s="39"/>
      <c r="D513" s="39"/>
      <c r="E513" s="39"/>
      <c r="F513" s="39"/>
      <c r="G513" s="39"/>
      <c r="H513" s="39"/>
      <c r="I513" s="39"/>
      <c r="J513" s="39"/>
      <c r="K513" s="39"/>
      <c r="L513" s="39"/>
      <c r="M513" s="39"/>
      <c r="N513" s="39"/>
      <c r="O513" s="39"/>
      <c r="P513" s="39"/>
    </row>
    <row r="514" spans="1:16" x14ac:dyDescent="0.2">
      <c r="A514" s="47" t="str">
        <v>0:00</v>
      </c>
      <c r="B514" s="103"/>
      <c r="C514" s="39"/>
      <c r="D514" s="39"/>
      <c r="E514" s="39"/>
      <c r="F514" s="39"/>
      <c r="G514" s="39"/>
      <c r="H514" s="39"/>
      <c r="I514" s="39"/>
      <c r="J514" s="39"/>
      <c r="K514" s="39"/>
      <c r="L514" s="39"/>
      <c r="M514" s="39"/>
      <c r="N514" s="39"/>
      <c r="O514" s="39"/>
      <c r="P514" s="39"/>
    </row>
    <row r="515" spans="1:16" x14ac:dyDescent="0.2">
      <c r="A515" s="47" t="str">
        <v>0:00</v>
      </c>
      <c r="B515" s="103"/>
      <c r="C515" s="39"/>
      <c r="D515" s="39"/>
      <c r="E515" s="39"/>
      <c r="F515" s="39"/>
      <c r="G515" s="39"/>
      <c r="H515" s="39"/>
      <c r="I515" s="39"/>
      <c r="J515" s="39"/>
      <c r="K515" s="39"/>
      <c r="L515" s="39"/>
      <c r="M515" s="39"/>
      <c r="N515" s="39"/>
      <c r="O515" s="39"/>
      <c r="P515" s="39"/>
    </row>
    <row r="516" spans="1:16" x14ac:dyDescent="0.2">
      <c r="A516" s="47" t="str">
        <v>0:00</v>
      </c>
      <c r="B516" s="103"/>
      <c r="C516" s="39"/>
      <c r="D516" s="39"/>
      <c r="E516" s="39"/>
      <c r="F516" s="39"/>
      <c r="G516" s="39"/>
      <c r="H516" s="39"/>
      <c r="I516" s="39"/>
      <c r="J516" s="39"/>
      <c r="K516" s="39"/>
      <c r="L516" s="39"/>
      <c r="M516" s="39"/>
      <c r="N516" s="39"/>
      <c r="O516" s="39"/>
      <c r="P516" s="39"/>
    </row>
    <row r="517" spans="1:16" x14ac:dyDescent="0.2">
      <c r="A517" s="47" t="str">
        <v>0:00</v>
      </c>
      <c r="B517" s="103"/>
      <c r="C517" s="39"/>
      <c r="D517" s="39"/>
      <c r="E517" s="39"/>
      <c r="F517" s="39"/>
      <c r="G517" s="39"/>
      <c r="H517" s="39"/>
      <c r="I517" s="39"/>
      <c r="J517" s="39"/>
      <c r="K517" s="39"/>
      <c r="L517" s="39"/>
      <c r="M517" s="39"/>
      <c r="N517" s="39"/>
      <c r="O517" s="39"/>
      <c r="P517" s="39"/>
    </row>
    <row r="518" spans="1:16" x14ac:dyDescent="0.2">
      <c r="A518" s="47" t="str">
        <v>0:00</v>
      </c>
      <c r="B518" s="103"/>
      <c r="C518" s="39"/>
      <c r="D518" s="39"/>
      <c r="E518" s="39"/>
      <c r="F518" s="39"/>
      <c r="G518" s="39"/>
      <c r="H518" s="39"/>
      <c r="I518" s="39"/>
      <c r="J518" s="39"/>
      <c r="K518" s="39"/>
      <c r="L518" s="39"/>
      <c r="M518" s="39"/>
      <c r="N518" s="39"/>
      <c r="O518" s="39"/>
      <c r="P518" s="39"/>
    </row>
    <row r="519" spans="1:16" x14ac:dyDescent="0.2">
      <c r="A519" s="47" t="str">
        <v>0:00</v>
      </c>
      <c r="B519" s="103"/>
      <c r="C519" s="39"/>
      <c r="D519" s="39"/>
      <c r="E519" s="39"/>
      <c r="F519" s="39"/>
      <c r="G519" s="39"/>
      <c r="H519" s="39"/>
      <c r="I519" s="39"/>
      <c r="J519" s="39"/>
      <c r="K519" s="39"/>
      <c r="L519" s="39"/>
      <c r="M519" s="39"/>
      <c r="N519" s="39"/>
      <c r="O519" s="39"/>
      <c r="P519" s="39"/>
    </row>
    <row r="520" spans="1:16" x14ac:dyDescent="0.2">
      <c r="A520" s="47" t="str">
        <v>0:00</v>
      </c>
      <c r="B520" s="103"/>
      <c r="C520" s="39"/>
      <c r="D520" s="39"/>
      <c r="E520" s="39"/>
      <c r="F520" s="39"/>
      <c r="G520" s="39"/>
      <c r="H520" s="39"/>
      <c r="I520" s="39"/>
      <c r="J520" s="39"/>
      <c r="K520" s="39"/>
      <c r="L520" s="39"/>
      <c r="M520" s="39"/>
      <c r="N520" s="39"/>
      <c r="O520" s="39"/>
      <c r="P520" s="39"/>
    </row>
    <row r="521" spans="1:16" x14ac:dyDescent="0.2">
      <c r="A521" s="47" t="str">
        <v>0:00</v>
      </c>
      <c r="B521" s="103"/>
      <c r="C521" s="39"/>
      <c r="D521" s="39"/>
      <c r="E521" s="39"/>
      <c r="F521" s="39"/>
      <c r="G521" s="39"/>
      <c r="H521" s="39"/>
      <c r="I521" s="39"/>
      <c r="J521" s="39"/>
      <c r="K521" s="39"/>
      <c r="L521" s="39"/>
      <c r="M521" s="39"/>
      <c r="N521" s="39"/>
      <c r="O521" s="39"/>
      <c r="P521" s="39"/>
    </row>
    <row r="522" spans="1:16" x14ac:dyDescent="0.2">
      <c r="A522" s="47" t="str">
        <v>0:00</v>
      </c>
      <c r="B522" s="103"/>
      <c r="C522" s="39"/>
      <c r="D522" s="39"/>
      <c r="E522" s="39"/>
      <c r="F522" s="39"/>
      <c r="G522" s="39"/>
      <c r="H522" s="39"/>
      <c r="I522" s="39"/>
      <c r="J522" s="39"/>
      <c r="K522" s="39"/>
      <c r="L522" s="39"/>
      <c r="M522" s="39"/>
      <c r="N522" s="39"/>
      <c r="O522" s="39"/>
      <c r="P522" s="39"/>
    </row>
    <row r="523" spans="1:16" x14ac:dyDescent="0.2">
      <c r="A523" s="47" t="str">
        <v>0:00</v>
      </c>
      <c r="B523" s="103"/>
      <c r="C523" s="39"/>
      <c r="D523" s="39"/>
      <c r="E523" s="39"/>
      <c r="F523" s="39"/>
      <c r="G523" s="39"/>
      <c r="H523" s="39"/>
      <c r="I523" s="39"/>
      <c r="J523" s="39"/>
      <c r="K523" s="39"/>
      <c r="L523" s="39"/>
      <c r="M523" s="39"/>
      <c r="N523" s="39"/>
      <c r="O523" s="39"/>
      <c r="P523" s="39"/>
    </row>
    <row r="524" spans="1:16" x14ac:dyDescent="0.2">
      <c r="A524" s="47" t="str">
        <v>0:00</v>
      </c>
      <c r="B524" s="103"/>
      <c r="C524" s="39"/>
      <c r="D524" s="39"/>
      <c r="E524" s="39"/>
      <c r="F524" s="39"/>
      <c r="G524" s="39"/>
      <c r="H524" s="39"/>
      <c r="I524" s="39"/>
      <c r="J524" s="39"/>
      <c r="K524" s="39"/>
      <c r="L524" s="39"/>
      <c r="M524" s="39"/>
      <c r="N524" s="39"/>
      <c r="O524" s="39"/>
      <c r="P524" s="39"/>
    </row>
    <row r="525" spans="1:16" x14ac:dyDescent="0.2">
      <c r="A525" s="47" t="str">
        <v>0:00</v>
      </c>
      <c r="B525" s="103"/>
      <c r="C525" s="39"/>
      <c r="D525" s="39"/>
      <c r="E525" s="39"/>
      <c r="F525" s="39"/>
      <c r="G525" s="39"/>
      <c r="H525" s="39"/>
      <c r="I525" s="39"/>
      <c r="J525" s="39"/>
      <c r="K525" s="39"/>
      <c r="L525" s="39"/>
      <c r="M525" s="39"/>
      <c r="N525" s="39"/>
      <c r="O525" s="39"/>
      <c r="P525" s="39"/>
    </row>
    <row r="526" spans="1:16" x14ac:dyDescent="0.2">
      <c r="A526" s="47" t="str">
        <v>0:00</v>
      </c>
      <c r="B526" s="103"/>
      <c r="C526" s="39"/>
      <c r="D526" s="39"/>
      <c r="E526" s="39"/>
      <c r="F526" s="39"/>
      <c r="G526" s="39"/>
      <c r="H526" s="39"/>
      <c r="I526" s="39"/>
      <c r="J526" s="39"/>
      <c r="K526" s="39"/>
      <c r="L526" s="39"/>
      <c r="M526" s="39"/>
      <c r="N526" s="39"/>
      <c r="O526" s="39"/>
      <c r="P526" s="39"/>
    </row>
    <row r="527" spans="1:16" x14ac:dyDescent="0.2">
      <c r="A527" s="47" t="str">
        <v>0:00</v>
      </c>
      <c r="B527" s="103"/>
      <c r="C527" s="39"/>
      <c r="D527" s="39"/>
      <c r="E527" s="39"/>
      <c r="F527" s="39"/>
      <c r="G527" s="39"/>
      <c r="H527" s="39"/>
      <c r="I527" s="39"/>
      <c r="J527" s="39"/>
      <c r="K527" s="39"/>
      <c r="L527" s="39"/>
      <c r="M527" s="39"/>
      <c r="N527" s="39"/>
      <c r="O527" s="39"/>
      <c r="P527" s="39"/>
    </row>
    <row r="528" spans="1:16" x14ac:dyDescent="0.2">
      <c r="A528" s="47" t="str">
        <v>0:00</v>
      </c>
      <c r="B528" s="103"/>
      <c r="C528" s="39"/>
      <c r="D528" s="39"/>
      <c r="E528" s="39"/>
      <c r="F528" s="39"/>
      <c r="G528" s="39"/>
      <c r="H528" s="39"/>
      <c r="I528" s="39"/>
      <c r="J528" s="39"/>
      <c r="K528" s="39"/>
      <c r="L528" s="39"/>
      <c r="M528" s="39"/>
      <c r="N528" s="39"/>
      <c r="O528" s="39"/>
      <c r="P528" s="39"/>
    </row>
    <row r="529" spans="1:16" x14ac:dyDescent="0.2">
      <c r="A529" s="47" t="str">
        <v>0:00</v>
      </c>
      <c r="B529" s="103"/>
      <c r="C529" s="39"/>
      <c r="D529" s="39"/>
      <c r="E529" s="39"/>
      <c r="F529" s="39"/>
      <c r="G529" s="39"/>
      <c r="H529" s="39"/>
      <c r="I529" s="39"/>
      <c r="J529" s="39"/>
      <c r="K529" s="39"/>
      <c r="L529" s="39"/>
      <c r="M529" s="39"/>
      <c r="N529" s="39"/>
      <c r="O529" s="39"/>
      <c r="P529" s="39"/>
    </row>
    <row r="530" spans="1:16" x14ac:dyDescent="0.2">
      <c r="A530" s="47" t="str">
        <v>0:00</v>
      </c>
      <c r="B530" s="103"/>
      <c r="C530" s="39"/>
      <c r="D530" s="39"/>
      <c r="E530" s="39"/>
      <c r="F530" s="39"/>
      <c r="G530" s="39"/>
      <c r="H530" s="39"/>
      <c r="I530" s="39"/>
      <c r="J530" s="39"/>
      <c r="K530" s="39"/>
      <c r="L530" s="39"/>
      <c r="M530" s="39"/>
      <c r="N530" s="39"/>
      <c r="O530" s="39"/>
      <c r="P530" s="39"/>
    </row>
    <row r="531" spans="1:16" x14ac:dyDescent="0.2">
      <c r="A531" s="47" t="str">
        <v>0:00</v>
      </c>
      <c r="B531" s="103"/>
      <c r="C531" s="39"/>
      <c r="D531" s="39"/>
      <c r="E531" s="39"/>
      <c r="F531" s="39"/>
      <c r="G531" s="39"/>
      <c r="H531" s="39"/>
      <c r="I531" s="39"/>
      <c r="J531" s="39"/>
      <c r="K531" s="39"/>
      <c r="L531" s="39"/>
      <c r="M531" s="39"/>
      <c r="N531" s="39"/>
      <c r="O531" s="39"/>
      <c r="P531" s="39"/>
    </row>
    <row r="532" spans="1:16" x14ac:dyDescent="0.2">
      <c r="A532" s="47" t="str">
        <v>0:00</v>
      </c>
      <c r="B532" s="103"/>
      <c r="C532" s="39"/>
      <c r="D532" s="39"/>
      <c r="E532" s="39"/>
      <c r="F532" s="39"/>
      <c r="G532" s="39"/>
      <c r="H532" s="39"/>
      <c r="I532" s="39"/>
      <c r="J532" s="39"/>
      <c r="K532" s="39"/>
      <c r="L532" s="39"/>
      <c r="M532" s="39"/>
      <c r="N532" s="39"/>
      <c r="O532" s="39"/>
      <c r="P532" s="39"/>
    </row>
    <row r="533" spans="1:16" x14ac:dyDescent="0.2">
      <c r="A533" s="47" t="str">
        <v>0:00</v>
      </c>
      <c r="B533" s="103"/>
      <c r="C533" s="39"/>
      <c r="D533" s="39"/>
      <c r="E533" s="39"/>
      <c r="F533" s="39"/>
      <c r="G533" s="39"/>
      <c r="H533" s="39"/>
      <c r="I533" s="39"/>
      <c r="J533" s="39"/>
      <c r="K533" s="39"/>
      <c r="L533" s="39"/>
      <c r="M533" s="39"/>
      <c r="N533" s="39"/>
      <c r="O533" s="39"/>
      <c r="P533" s="39"/>
    </row>
    <row r="534" spans="1:16" x14ac:dyDescent="0.2">
      <c r="A534" s="47" t="str">
        <v>0:00</v>
      </c>
      <c r="B534" s="103"/>
      <c r="C534" s="39"/>
      <c r="D534" s="39"/>
      <c r="E534" s="39"/>
      <c r="F534" s="39"/>
      <c r="G534" s="39"/>
      <c r="H534" s="39"/>
      <c r="I534" s="39"/>
      <c r="J534" s="39"/>
      <c r="K534" s="39"/>
      <c r="L534" s="39"/>
      <c r="M534" s="39"/>
      <c r="N534" s="39"/>
      <c r="O534" s="39"/>
      <c r="P534" s="39"/>
    </row>
    <row r="535" spans="1:16" x14ac:dyDescent="0.2">
      <c r="A535" s="47" t="str">
        <v>0:00</v>
      </c>
      <c r="B535" s="103"/>
      <c r="C535" s="39"/>
      <c r="D535" s="39"/>
      <c r="E535" s="39"/>
      <c r="F535" s="39"/>
      <c r="G535" s="39"/>
      <c r="H535" s="39"/>
      <c r="I535" s="39"/>
      <c r="J535" s="39"/>
      <c r="K535" s="39"/>
      <c r="L535" s="39"/>
      <c r="M535" s="39"/>
      <c r="N535" s="39"/>
      <c r="O535" s="39"/>
      <c r="P535" s="39"/>
    </row>
    <row r="536" spans="1:16" x14ac:dyDescent="0.2">
      <c r="A536" s="47" t="str">
        <v>0:00</v>
      </c>
      <c r="B536" s="103"/>
      <c r="C536" s="39"/>
      <c r="D536" s="39"/>
      <c r="E536" s="39"/>
      <c r="F536" s="39"/>
      <c r="G536" s="39"/>
      <c r="H536" s="39"/>
      <c r="I536" s="39"/>
      <c r="J536" s="39"/>
      <c r="K536" s="39"/>
      <c r="L536" s="39"/>
      <c r="M536" s="39"/>
      <c r="N536" s="39"/>
      <c r="O536" s="39"/>
      <c r="P536" s="39"/>
    </row>
    <row r="537" spans="1:16" x14ac:dyDescent="0.2">
      <c r="A537" s="47" t="str">
        <v>0:00</v>
      </c>
      <c r="B537" s="103"/>
      <c r="C537" s="39"/>
      <c r="D537" s="39"/>
      <c r="E537" s="39"/>
      <c r="F537" s="39"/>
      <c r="G537" s="39"/>
      <c r="H537" s="39"/>
      <c r="I537" s="39"/>
      <c r="J537" s="39"/>
      <c r="K537" s="39"/>
      <c r="L537" s="39"/>
      <c r="M537" s="39"/>
      <c r="N537" s="39"/>
      <c r="O537" s="39"/>
      <c r="P537" s="39"/>
    </row>
    <row r="538" spans="1:16" x14ac:dyDescent="0.2">
      <c r="A538" s="47" t="str">
        <v>0:00</v>
      </c>
      <c r="B538" s="103"/>
      <c r="C538" s="39"/>
      <c r="D538" s="39"/>
      <c r="E538" s="39"/>
      <c r="F538" s="39"/>
      <c r="G538" s="39"/>
      <c r="H538" s="39"/>
      <c r="I538" s="39"/>
      <c r="J538" s="39"/>
      <c r="K538" s="39"/>
      <c r="L538" s="39"/>
      <c r="M538" s="39"/>
      <c r="N538" s="39"/>
      <c r="O538" s="39"/>
      <c r="P538" s="39"/>
    </row>
    <row r="539" spans="1:16" x14ac:dyDescent="0.2">
      <c r="A539" s="47" t="str">
        <v>0:00</v>
      </c>
      <c r="B539" s="103"/>
      <c r="C539" s="39"/>
      <c r="D539" s="39"/>
      <c r="E539" s="39"/>
      <c r="F539" s="39"/>
      <c r="G539" s="39"/>
      <c r="H539" s="39"/>
      <c r="I539" s="39"/>
      <c r="J539" s="39"/>
      <c r="K539" s="39"/>
      <c r="L539" s="39"/>
      <c r="M539" s="39"/>
      <c r="N539" s="39"/>
      <c r="O539" s="39"/>
      <c r="P539" s="39"/>
    </row>
    <row r="540" spans="1:16" x14ac:dyDescent="0.2">
      <c r="A540" s="47" t="str">
        <v>0:00</v>
      </c>
      <c r="B540" s="103"/>
      <c r="C540" s="39"/>
      <c r="D540" s="39"/>
      <c r="E540" s="39"/>
      <c r="F540" s="39"/>
      <c r="G540" s="39"/>
      <c r="H540" s="39"/>
      <c r="I540" s="39"/>
      <c r="J540" s="39"/>
      <c r="K540" s="39"/>
      <c r="L540" s="39"/>
      <c r="M540" s="39"/>
      <c r="N540" s="39"/>
      <c r="O540" s="39"/>
      <c r="P540" s="39"/>
    </row>
    <row r="541" spans="1:16" x14ac:dyDescent="0.2">
      <c r="A541" s="47" t="str">
        <v>0:00</v>
      </c>
      <c r="B541" s="103"/>
      <c r="C541" s="39"/>
      <c r="D541" s="39"/>
      <c r="E541" s="39"/>
      <c r="F541" s="39"/>
      <c r="G541" s="39"/>
      <c r="H541" s="39"/>
      <c r="I541" s="39"/>
      <c r="J541" s="39"/>
      <c r="K541" s="39"/>
      <c r="L541" s="39"/>
      <c r="M541" s="39"/>
      <c r="N541" s="39"/>
      <c r="O541" s="39"/>
      <c r="P541" s="39"/>
    </row>
    <row r="542" spans="1:16" x14ac:dyDescent="0.2">
      <c r="A542" s="47" t="str">
        <v>0:00</v>
      </c>
      <c r="B542" s="103"/>
      <c r="C542" s="39"/>
      <c r="D542" s="39"/>
      <c r="E542" s="39"/>
      <c r="F542" s="39"/>
      <c r="G542" s="39"/>
      <c r="H542" s="39"/>
      <c r="I542" s="39"/>
      <c r="J542" s="39"/>
      <c r="K542" s="39"/>
      <c r="L542" s="39"/>
      <c r="M542" s="39"/>
      <c r="N542" s="39"/>
      <c r="O542" s="39"/>
      <c r="P542" s="39"/>
    </row>
    <row r="543" spans="1:16" x14ac:dyDescent="0.2">
      <c r="A543" s="47" t="str">
        <v>0:00</v>
      </c>
      <c r="B543" s="103"/>
      <c r="C543" s="39"/>
      <c r="D543" s="39"/>
      <c r="E543" s="39"/>
      <c r="F543" s="39"/>
      <c r="G543" s="39"/>
      <c r="H543" s="39"/>
      <c r="I543" s="39"/>
      <c r="J543" s="39"/>
      <c r="K543" s="39"/>
      <c r="L543" s="39"/>
      <c r="M543" s="39"/>
      <c r="N543" s="39"/>
      <c r="O543" s="39"/>
      <c r="P543" s="39"/>
    </row>
    <row r="544" spans="1:16" x14ac:dyDescent="0.2">
      <c r="A544" s="47" t="str">
        <v>0:00</v>
      </c>
      <c r="B544" s="103"/>
      <c r="C544" s="39"/>
      <c r="D544" s="39"/>
      <c r="E544" s="39"/>
      <c r="F544" s="39"/>
      <c r="G544" s="39"/>
      <c r="H544" s="39"/>
      <c r="I544" s="39"/>
      <c r="J544" s="39"/>
      <c r="K544" s="39"/>
      <c r="L544" s="39"/>
      <c r="M544" s="39"/>
      <c r="N544" s="39"/>
      <c r="O544" s="39"/>
      <c r="P544" s="39"/>
    </row>
    <row r="545" spans="1:16" x14ac:dyDescent="0.2">
      <c r="A545" s="47" t="str">
        <v>0:00</v>
      </c>
      <c r="B545" s="103"/>
      <c r="C545" s="39"/>
      <c r="D545" s="39"/>
      <c r="E545" s="39"/>
      <c r="F545" s="39"/>
      <c r="G545" s="39"/>
      <c r="H545" s="39"/>
      <c r="I545" s="39"/>
      <c r="J545" s="39"/>
      <c r="K545" s="39"/>
      <c r="L545" s="39"/>
      <c r="M545" s="39"/>
      <c r="N545" s="39"/>
      <c r="O545" s="39"/>
      <c r="P545" s="39"/>
    </row>
    <row r="546" spans="1:16" x14ac:dyDescent="0.2">
      <c r="A546" s="47" t="str">
        <v>0:00</v>
      </c>
      <c r="B546" s="103"/>
      <c r="C546" s="39"/>
      <c r="D546" s="39"/>
      <c r="E546" s="39"/>
      <c r="F546" s="39"/>
      <c r="G546" s="39"/>
      <c r="H546" s="39"/>
      <c r="I546" s="39"/>
      <c r="J546" s="39"/>
      <c r="K546" s="39"/>
      <c r="L546" s="39"/>
      <c r="M546" s="39"/>
      <c r="N546" s="39"/>
      <c r="O546" s="39"/>
      <c r="P546" s="39"/>
    </row>
    <row r="547" spans="1:16" x14ac:dyDescent="0.2">
      <c r="A547" s="47" t="str">
        <v>0:00</v>
      </c>
      <c r="B547" s="103"/>
      <c r="C547" s="39"/>
      <c r="D547" s="39"/>
      <c r="E547" s="39"/>
      <c r="F547" s="39"/>
      <c r="G547" s="39"/>
      <c r="H547" s="39"/>
      <c r="I547" s="39"/>
      <c r="J547" s="39"/>
      <c r="K547" s="39"/>
      <c r="L547" s="39"/>
      <c r="M547" s="39"/>
      <c r="N547" s="39"/>
      <c r="O547" s="39"/>
      <c r="P547" s="39"/>
    </row>
    <row r="548" spans="1:16" x14ac:dyDescent="0.2">
      <c r="A548" s="47" t="str">
        <v>0:00</v>
      </c>
      <c r="B548" s="103"/>
      <c r="C548" s="39"/>
      <c r="D548" s="39"/>
      <c r="E548" s="39"/>
      <c r="F548" s="39"/>
      <c r="G548" s="39"/>
      <c r="H548" s="39"/>
      <c r="I548" s="39"/>
      <c r="J548" s="39"/>
      <c r="K548" s="39"/>
      <c r="L548" s="39"/>
      <c r="M548" s="39"/>
      <c r="N548" s="39"/>
      <c r="O548" s="39"/>
      <c r="P548" s="39"/>
    </row>
    <row r="549" spans="1:16" x14ac:dyDescent="0.2">
      <c r="A549" s="47" t="str">
        <v>0:00</v>
      </c>
      <c r="B549" s="103"/>
      <c r="C549" s="39"/>
      <c r="D549" s="39"/>
      <c r="E549" s="39"/>
      <c r="F549" s="39"/>
      <c r="G549" s="39"/>
      <c r="H549" s="39"/>
      <c r="I549" s="39"/>
      <c r="J549" s="39"/>
      <c r="K549" s="39"/>
      <c r="L549" s="39"/>
      <c r="M549" s="39"/>
      <c r="N549" s="39"/>
      <c r="O549" s="39"/>
      <c r="P549" s="39"/>
    </row>
    <row r="550" spans="1:16" x14ac:dyDescent="0.2">
      <c r="A550" s="47" t="str">
        <v>0:00</v>
      </c>
      <c r="B550" s="103"/>
      <c r="C550" s="39"/>
      <c r="D550" s="39"/>
      <c r="E550" s="39"/>
      <c r="F550" s="39"/>
      <c r="G550" s="39"/>
      <c r="H550" s="39"/>
      <c r="I550" s="39"/>
      <c r="J550" s="39"/>
      <c r="K550" s="39"/>
      <c r="L550" s="39"/>
      <c r="M550" s="39"/>
      <c r="N550" s="39"/>
      <c r="O550" s="39"/>
      <c r="P550" s="39"/>
    </row>
    <row r="551" spans="1:16" x14ac:dyDescent="0.2">
      <c r="A551" s="47" t="str">
        <v>0:00</v>
      </c>
      <c r="B551" s="103"/>
      <c r="C551" s="39"/>
      <c r="D551" s="39"/>
      <c r="E551" s="39"/>
      <c r="F551" s="39"/>
      <c r="G551" s="39"/>
      <c r="H551" s="39"/>
      <c r="I551" s="39"/>
      <c r="J551" s="39"/>
      <c r="K551" s="39"/>
      <c r="L551" s="39"/>
      <c r="M551" s="39"/>
      <c r="N551" s="39"/>
      <c r="O551" s="39"/>
      <c r="P551" s="39"/>
    </row>
    <row r="552" spans="1:16" x14ac:dyDescent="0.2">
      <c r="A552" s="47" t="str">
        <v>0:00</v>
      </c>
      <c r="B552" s="103"/>
      <c r="C552" s="39"/>
      <c r="D552" s="39"/>
      <c r="E552" s="39"/>
      <c r="F552" s="39"/>
      <c r="G552" s="39"/>
      <c r="H552" s="39"/>
      <c r="I552" s="39"/>
      <c r="J552" s="39"/>
      <c r="K552" s="39"/>
      <c r="L552" s="39"/>
      <c r="M552" s="39"/>
      <c r="N552" s="39"/>
      <c r="O552" s="39"/>
      <c r="P552" s="39"/>
    </row>
    <row r="553" spans="1:16" x14ac:dyDescent="0.2">
      <c r="A553" s="47" t="str">
        <v>0:00</v>
      </c>
      <c r="B553" s="103"/>
      <c r="C553" s="39"/>
      <c r="D553" s="39"/>
      <c r="E553" s="39"/>
      <c r="F553" s="39"/>
      <c r="G553" s="39"/>
      <c r="H553" s="39"/>
      <c r="I553" s="39"/>
      <c r="J553" s="39"/>
      <c r="K553" s="39"/>
      <c r="L553" s="39"/>
      <c r="M553" s="39"/>
      <c r="N553" s="39"/>
      <c r="O553" s="39"/>
      <c r="P553" s="39"/>
    </row>
    <row r="554" spans="1:16" x14ac:dyDescent="0.2">
      <c r="A554" s="47" t="str">
        <v>0:00</v>
      </c>
      <c r="B554" s="103"/>
      <c r="C554" s="39"/>
      <c r="D554" s="39"/>
      <c r="E554" s="39"/>
      <c r="F554" s="39"/>
      <c r="G554" s="39"/>
      <c r="H554" s="39"/>
      <c r="I554" s="39"/>
      <c r="J554" s="39"/>
      <c r="K554" s="39"/>
      <c r="L554" s="39"/>
      <c r="M554" s="39"/>
      <c r="N554" s="39"/>
      <c r="O554" s="39"/>
      <c r="P554" s="39"/>
    </row>
    <row r="555" spans="1:16" x14ac:dyDescent="0.2">
      <c r="A555" s="47" t="str">
        <v>0:00</v>
      </c>
      <c r="B555" s="103"/>
      <c r="C555" s="39"/>
      <c r="D555" s="39"/>
      <c r="E555" s="39"/>
      <c r="F555" s="39"/>
      <c r="G555" s="39"/>
      <c r="H555" s="39"/>
      <c r="I555" s="39"/>
      <c r="J555" s="39"/>
      <c r="K555" s="39"/>
      <c r="L555" s="39"/>
      <c r="M555" s="39"/>
      <c r="N555" s="39"/>
      <c r="O555" s="39"/>
      <c r="P555" s="39"/>
    </row>
    <row r="556" spans="1:16" x14ac:dyDescent="0.2">
      <c r="A556" s="47" t="str">
        <v>0:00</v>
      </c>
      <c r="B556" s="103"/>
      <c r="C556" s="39"/>
      <c r="D556" s="39"/>
      <c r="E556" s="39"/>
      <c r="F556" s="39"/>
      <c r="G556" s="39"/>
      <c r="H556" s="39"/>
      <c r="I556" s="39"/>
      <c r="J556" s="39"/>
      <c r="K556" s="39"/>
      <c r="L556" s="39"/>
      <c r="M556" s="39"/>
      <c r="N556" s="39"/>
      <c r="O556" s="39"/>
      <c r="P556" s="39"/>
    </row>
    <row r="557" spans="1:16" x14ac:dyDescent="0.2">
      <c r="A557" s="47" t="str">
        <v>0:00</v>
      </c>
      <c r="B557" s="103"/>
      <c r="C557" s="39"/>
      <c r="D557" s="39"/>
      <c r="E557" s="39"/>
      <c r="F557" s="39"/>
      <c r="G557" s="39"/>
      <c r="H557" s="39"/>
      <c r="I557" s="39"/>
      <c r="J557" s="39"/>
      <c r="K557" s="39"/>
      <c r="L557" s="39"/>
      <c r="M557" s="39"/>
      <c r="N557" s="39"/>
      <c r="O557" s="39"/>
      <c r="P557" s="39"/>
    </row>
    <row r="558" spans="1:16" x14ac:dyDescent="0.2">
      <c r="A558" s="47" t="str">
        <v>0:00</v>
      </c>
      <c r="B558" s="103"/>
      <c r="C558" s="39"/>
      <c r="D558" s="39"/>
      <c r="E558" s="39"/>
      <c r="F558" s="39"/>
      <c r="G558" s="39"/>
      <c r="H558" s="39"/>
      <c r="I558" s="39"/>
      <c r="J558" s="39"/>
      <c r="K558" s="39"/>
      <c r="L558" s="39"/>
      <c r="M558" s="39"/>
      <c r="N558" s="39"/>
      <c r="O558" s="39"/>
      <c r="P558" s="39"/>
    </row>
    <row r="559" spans="1:16" x14ac:dyDescent="0.2">
      <c r="A559" s="47" t="str">
        <v>0:00</v>
      </c>
      <c r="B559" s="103"/>
      <c r="C559" s="39"/>
      <c r="D559" s="39"/>
      <c r="E559" s="39"/>
      <c r="F559" s="39"/>
      <c r="G559" s="39"/>
      <c r="H559" s="39"/>
      <c r="I559" s="39"/>
      <c r="J559" s="39"/>
      <c r="K559" s="39"/>
      <c r="L559" s="39"/>
      <c r="M559" s="39"/>
      <c r="N559" s="39"/>
      <c r="O559" s="39"/>
      <c r="P559" s="39"/>
    </row>
    <row r="560" spans="1:16" x14ac:dyDescent="0.2">
      <c r="A560" s="47" t="str">
        <v>0:00</v>
      </c>
      <c r="B560" s="103"/>
      <c r="C560" s="39"/>
      <c r="D560" s="39"/>
      <c r="E560" s="39"/>
      <c r="F560" s="39"/>
      <c r="G560" s="39"/>
      <c r="H560" s="39"/>
      <c r="I560" s="39"/>
      <c r="J560" s="39"/>
      <c r="K560" s="39"/>
      <c r="L560" s="39"/>
      <c r="M560" s="39"/>
      <c r="N560" s="39"/>
      <c r="O560" s="39"/>
      <c r="P560" s="39"/>
    </row>
    <row r="561" spans="1:16" x14ac:dyDescent="0.2">
      <c r="A561" s="47" t="str">
        <v>0:00</v>
      </c>
      <c r="B561" s="103"/>
      <c r="C561" s="39"/>
      <c r="D561" s="39"/>
      <c r="E561" s="39"/>
      <c r="F561" s="39"/>
      <c r="G561" s="39"/>
      <c r="H561" s="39"/>
      <c r="I561" s="39"/>
      <c r="J561" s="39"/>
      <c r="K561" s="39"/>
      <c r="L561" s="39"/>
      <c r="M561" s="39"/>
      <c r="N561" s="39"/>
      <c r="O561" s="39"/>
      <c r="P561" s="39"/>
    </row>
    <row r="562" spans="1:16" x14ac:dyDescent="0.2">
      <c r="A562" s="47" t="str">
        <v>0:00</v>
      </c>
      <c r="B562" s="103"/>
      <c r="C562" s="39"/>
      <c r="D562" s="39"/>
      <c r="E562" s="39"/>
      <c r="F562" s="39"/>
      <c r="G562" s="39"/>
      <c r="H562" s="39"/>
      <c r="I562" s="39"/>
      <c r="J562" s="39"/>
      <c r="K562" s="39"/>
      <c r="L562" s="39"/>
      <c r="M562" s="39"/>
      <c r="N562" s="39"/>
      <c r="O562" s="39"/>
      <c r="P562" s="39"/>
    </row>
    <row r="563" spans="1:16" x14ac:dyDescent="0.2">
      <c r="A563" s="47" t="str">
        <v>0:00</v>
      </c>
      <c r="B563" s="103"/>
      <c r="C563" s="39"/>
      <c r="D563" s="39"/>
      <c r="E563" s="39"/>
      <c r="F563" s="39"/>
      <c r="G563" s="39"/>
      <c r="H563" s="39"/>
      <c r="I563" s="39"/>
      <c r="J563" s="39"/>
      <c r="K563" s="39"/>
      <c r="L563" s="39"/>
      <c r="M563" s="39"/>
      <c r="N563" s="39"/>
      <c r="O563" s="39"/>
      <c r="P563" s="39"/>
    </row>
    <row r="564" spans="1:16" x14ac:dyDescent="0.2">
      <c r="A564" s="47" t="str">
        <v>0:00</v>
      </c>
      <c r="B564" s="103"/>
      <c r="C564" s="39"/>
      <c r="D564" s="39"/>
      <c r="E564" s="39"/>
      <c r="F564" s="39"/>
      <c r="G564" s="39"/>
      <c r="H564" s="39"/>
      <c r="I564" s="39"/>
      <c r="J564" s="39"/>
      <c r="K564" s="39"/>
      <c r="L564" s="39"/>
      <c r="M564" s="39"/>
      <c r="N564" s="39"/>
      <c r="O564" s="39"/>
      <c r="P564" s="39"/>
    </row>
    <row r="565" spans="1:16" x14ac:dyDescent="0.2">
      <c r="A565" s="47" t="str">
        <v>0:00</v>
      </c>
      <c r="B565" s="103"/>
      <c r="C565" s="39"/>
      <c r="D565" s="39"/>
      <c r="E565" s="39"/>
      <c r="F565" s="39"/>
      <c r="G565" s="39"/>
      <c r="H565" s="39"/>
      <c r="I565" s="39"/>
      <c r="J565" s="39"/>
      <c r="K565" s="39"/>
      <c r="L565" s="39"/>
      <c r="M565" s="39"/>
      <c r="N565" s="39"/>
      <c r="O565" s="39"/>
      <c r="P565" s="39"/>
    </row>
    <row r="566" spans="1:16" x14ac:dyDescent="0.2">
      <c r="A566" s="47" t="str">
        <v>0:00</v>
      </c>
      <c r="B566" s="103"/>
      <c r="C566" s="39"/>
      <c r="D566" s="39"/>
      <c r="E566" s="39"/>
      <c r="F566" s="39"/>
      <c r="G566" s="39"/>
      <c r="H566" s="39"/>
      <c r="I566" s="39"/>
      <c r="J566" s="39"/>
      <c r="K566" s="39"/>
      <c r="L566" s="39"/>
      <c r="M566" s="39"/>
      <c r="N566" s="39"/>
      <c r="O566" s="39"/>
      <c r="P566" s="39"/>
    </row>
    <row r="567" spans="1:16" x14ac:dyDescent="0.2">
      <c r="A567" s="47" t="str">
        <v>0:00</v>
      </c>
      <c r="B567" s="103"/>
      <c r="C567" s="39"/>
      <c r="D567" s="39"/>
      <c r="E567" s="39"/>
      <c r="F567" s="39"/>
      <c r="G567" s="39"/>
      <c r="H567" s="39"/>
      <c r="I567" s="39"/>
      <c r="J567" s="39"/>
      <c r="K567" s="39"/>
      <c r="L567" s="39"/>
      <c r="M567" s="39"/>
      <c r="N567" s="39"/>
      <c r="O567" s="39"/>
      <c r="P567" s="39"/>
    </row>
    <row r="568" spans="1:16" x14ac:dyDescent="0.2">
      <c r="A568" s="47" t="str">
        <v>0:00</v>
      </c>
      <c r="B568" s="103"/>
      <c r="C568" s="39"/>
      <c r="D568" s="39"/>
      <c r="E568" s="39"/>
      <c r="F568" s="39"/>
      <c r="G568" s="39"/>
      <c r="H568" s="39"/>
      <c r="I568" s="39"/>
      <c r="J568" s="39"/>
      <c r="K568" s="39"/>
      <c r="L568" s="39"/>
      <c r="M568" s="39"/>
      <c r="N568" s="39"/>
      <c r="O568" s="39"/>
      <c r="P568" s="39"/>
    </row>
    <row r="569" spans="1:16" x14ac:dyDescent="0.2">
      <c r="A569" s="47" t="str">
        <v>0:00</v>
      </c>
      <c r="B569" s="103"/>
      <c r="C569" s="39"/>
      <c r="D569" s="39"/>
      <c r="E569" s="39"/>
      <c r="F569" s="39"/>
      <c r="G569" s="39"/>
      <c r="H569" s="39"/>
      <c r="I569" s="39"/>
      <c r="J569" s="39"/>
      <c r="K569" s="39"/>
      <c r="L569" s="39"/>
      <c r="M569" s="39"/>
      <c r="N569" s="39"/>
      <c r="O569" s="39"/>
      <c r="P569" s="39"/>
    </row>
    <row r="570" spans="1:16" x14ac:dyDescent="0.2">
      <c r="A570" s="47" t="str">
        <v>0:00</v>
      </c>
      <c r="B570" s="103"/>
      <c r="C570" s="39"/>
      <c r="D570" s="39"/>
      <c r="E570" s="39"/>
      <c r="F570" s="39"/>
      <c r="G570" s="39"/>
      <c r="H570" s="39"/>
      <c r="I570" s="39"/>
      <c r="J570" s="39"/>
      <c r="K570" s="39"/>
      <c r="L570" s="39"/>
      <c r="M570" s="39"/>
      <c r="N570" s="39"/>
      <c r="O570" s="39"/>
      <c r="P570" s="39"/>
    </row>
    <row r="571" spans="1:16" x14ac:dyDescent="0.2">
      <c r="A571" s="47" t="str">
        <v>0:00</v>
      </c>
      <c r="B571" s="103"/>
      <c r="C571" s="39"/>
      <c r="D571" s="39"/>
      <c r="E571" s="39"/>
      <c r="F571" s="39"/>
      <c r="G571" s="39"/>
      <c r="H571" s="39"/>
      <c r="I571" s="39"/>
      <c r="J571" s="39"/>
      <c r="K571" s="39"/>
      <c r="L571" s="39"/>
      <c r="M571" s="39"/>
      <c r="N571" s="39"/>
      <c r="O571" s="39"/>
      <c r="P571" s="39"/>
    </row>
    <row r="572" spans="1:16" x14ac:dyDescent="0.2">
      <c r="A572" s="47" t="str">
        <v>0:00</v>
      </c>
      <c r="B572" s="103"/>
      <c r="C572" s="39"/>
      <c r="D572" s="39"/>
      <c r="E572" s="39"/>
      <c r="F572" s="39"/>
      <c r="G572" s="39"/>
      <c r="H572" s="39"/>
      <c r="I572" s="39"/>
      <c r="J572" s="39"/>
      <c r="K572" s="39"/>
      <c r="L572" s="39"/>
      <c r="M572" s="39"/>
      <c r="N572" s="39"/>
      <c r="O572" s="39"/>
      <c r="P572" s="39"/>
    </row>
    <row r="573" spans="1:16" x14ac:dyDescent="0.2">
      <c r="A573" s="47" t="str">
        <v>0:00</v>
      </c>
      <c r="B573" s="103"/>
      <c r="C573" s="39"/>
      <c r="D573" s="39"/>
      <c r="E573" s="39"/>
      <c r="F573" s="39"/>
      <c r="G573" s="39"/>
      <c r="H573" s="39"/>
      <c r="I573" s="39"/>
      <c r="J573" s="39"/>
      <c r="K573" s="39"/>
      <c r="L573" s="39"/>
      <c r="M573" s="39"/>
      <c r="N573" s="39"/>
      <c r="O573" s="39"/>
      <c r="P573" s="39"/>
    </row>
    <row r="574" spans="1:16" x14ac:dyDescent="0.2">
      <c r="A574" s="47" t="str">
        <v>0:00</v>
      </c>
      <c r="B574" s="103"/>
      <c r="C574" s="39"/>
      <c r="D574" s="39"/>
      <c r="E574" s="39"/>
      <c r="F574" s="39"/>
      <c r="G574" s="39"/>
      <c r="H574" s="39"/>
      <c r="I574" s="39"/>
      <c r="J574" s="39"/>
      <c r="K574" s="39"/>
      <c r="L574" s="39"/>
      <c r="M574" s="39"/>
      <c r="N574" s="39"/>
      <c r="O574" s="39"/>
      <c r="P574" s="39"/>
    </row>
    <row r="575" spans="1:16" x14ac:dyDescent="0.2">
      <c r="A575" s="47" t="str">
        <v>0:00</v>
      </c>
      <c r="B575" s="103"/>
      <c r="C575" s="39"/>
      <c r="D575" s="39"/>
      <c r="E575" s="39"/>
      <c r="F575" s="39"/>
      <c r="G575" s="39"/>
      <c r="H575" s="39"/>
      <c r="I575" s="39"/>
      <c r="J575" s="39"/>
      <c r="K575" s="39"/>
      <c r="L575" s="39"/>
      <c r="M575" s="39"/>
      <c r="N575" s="39"/>
      <c r="O575" s="39"/>
      <c r="P575" s="39"/>
    </row>
    <row r="576" spans="1:16" x14ac:dyDescent="0.2">
      <c r="A576" s="47" t="str">
        <v>0:00</v>
      </c>
      <c r="B576" s="103"/>
      <c r="C576" s="39"/>
      <c r="D576" s="39"/>
      <c r="E576" s="39"/>
      <c r="F576" s="39"/>
      <c r="G576" s="39"/>
      <c r="H576" s="39"/>
      <c r="I576" s="39"/>
      <c r="J576" s="39"/>
      <c r="K576" s="39"/>
      <c r="L576" s="39"/>
      <c r="M576" s="39"/>
      <c r="N576" s="39"/>
      <c r="O576" s="39"/>
      <c r="P576" s="39"/>
    </row>
    <row r="577" spans="1:16" x14ac:dyDescent="0.2">
      <c r="A577" s="47" t="str">
        <v>0:00</v>
      </c>
      <c r="B577" s="103"/>
      <c r="C577" s="39"/>
      <c r="D577" s="39"/>
      <c r="E577" s="39"/>
      <c r="F577" s="39"/>
      <c r="G577" s="39"/>
      <c r="H577" s="39"/>
      <c r="I577" s="39"/>
      <c r="J577" s="39"/>
      <c r="K577" s="39"/>
      <c r="L577" s="39"/>
      <c r="M577" s="39"/>
      <c r="N577" s="39"/>
      <c r="O577" s="39"/>
      <c r="P577" s="39"/>
    </row>
    <row r="578" spans="1:16" x14ac:dyDescent="0.2">
      <c r="A578" s="47" t="str">
        <v>0:00</v>
      </c>
      <c r="B578" s="103"/>
      <c r="C578" s="39"/>
      <c r="D578" s="39"/>
      <c r="E578" s="39"/>
      <c r="F578" s="39"/>
      <c r="G578" s="39"/>
      <c r="H578" s="39"/>
      <c r="I578" s="39"/>
      <c r="J578" s="39"/>
      <c r="K578" s="39"/>
      <c r="L578" s="39"/>
      <c r="M578" s="39"/>
      <c r="N578" s="39"/>
      <c r="O578" s="39"/>
      <c r="P578" s="39"/>
    </row>
    <row r="579" spans="1:16" x14ac:dyDescent="0.2">
      <c r="A579" s="47" t="str">
        <v>0:00</v>
      </c>
      <c r="B579" s="103"/>
      <c r="C579" s="39"/>
      <c r="D579" s="39"/>
      <c r="E579" s="39"/>
      <c r="F579" s="39"/>
      <c r="G579" s="39"/>
      <c r="H579" s="39"/>
      <c r="I579" s="39"/>
      <c r="J579" s="39"/>
      <c r="K579" s="39"/>
      <c r="L579" s="39"/>
      <c r="M579" s="39"/>
      <c r="N579" s="39"/>
      <c r="O579" s="39"/>
      <c r="P579" s="39"/>
    </row>
    <row r="580" spans="1:16" x14ac:dyDescent="0.2">
      <c r="A580" s="47" t="str">
        <v>0:00</v>
      </c>
      <c r="B580" s="103"/>
      <c r="C580" s="39"/>
      <c r="D580" s="39"/>
      <c r="E580" s="39"/>
      <c r="F580" s="39"/>
      <c r="G580" s="39"/>
      <c r="H580" s="39"/>
      <c r="I580" s="39"/>
      <c r="J580" s="39"/>
      <c r="K580" s="39"/>
      <c r="L580" s="39"/>
      <c r="M580" s="39"/>
      <c r="N580" s="39"/>
      <c r="O580" s="39"/>
      <c r="P580" s="39"/>
    </row>
    <row r="581" spans="1:16" x14ac:dyDescent="0.2">
      <c r="A581" s="47" t="str">
        <v>0:00</v>
      </c>
      <c r="B581" s="103"/>
      <c r="C581" s="39"/>
      <c r="D581" s="39"/>
      <c r="E581" s="39"/>
      <c r="F581" s="39"/>
      <c r="G581" s="39"/>
      <c r="H581" s="39"/>
      <c r="I581" s="39"/>
      <c r="J581" s="39"/>
      <c r="K581" s="39"/>
      <c r="L581" s="39"/>
      <c r="M581" s="39"/>
      <c r="N581" s="39"/>
      <c r="O581" s="39"/>
      <c r="P581" s="39"/>
    </row>
    <row r="582" spans="1:16" x14ac:dyDescent="0.2">
      <c r="A582" s="47" t="str">
        <v>0:00</v>
      </c>
      <c r="B582" s="103"/>
      <c r="C582" s="39"/>
      <c r="D582" s="39"/>
      <c r="E582" s="39"/>
      <c r="F582" s="39"/>
      <c r="G582" s="39"/>
      <c r="H582" s="39"/>
      <c r="I582" s="39"/>
      <c r="J582" s="39"/>
      <c r="K582" s="39"/>
      <c r="L582" s="39"/>
      <c r="M582" s="39"/>
      <c r="N582" s="39"/>
      <c r="O582" s="39"/>
      <c r="P582" s="39"/>
    </row>
    <row r="583" spans="1:16" x14ac:dyDescent="0.2">
      <c r="A583" s="47" t="str">
        <v>0:00</v>
      </c>
      <c r="B583" s="103"/>
      <c r="C583" s="39"/>
      <c r="D583" s="39"/>
      <c r="E583" s="39"/>
      <c r="F583" s="39"/>
      <c r="G583" s="39"/>
      <c r="H583" s="39"/>
      <c r="I583" s="39"/>
      <c r="J583" s="39"/>
      <c r="K583" s="39"/>
      <c r="L583" s="39"/>
      <c r="M583" s="39"/>
      <c r="N583" s="39"/>
      <c r="O583" s="39"/>
      <c r="P583" s="39"/>
    </row>
    <row r="584" spans="1:16" x14ac:dyDescent="0.2">
      <c r="A584" s="47" t="str">
        <v>0:00</v>
      </c>
      <c r="B584" s="103"/>
      <c r="C584" s="39"/>
      <c r="D584" s="39"/>
      <c r="E584" s="39"/>
      <c r="F584" s="39"/>
      <c r="G584" s="39"/>
      <c r="H584" s="39"/>
      <c r="I584" s="39"/>
      <c r="J584" s="39"/>
      <c r="K584" s="39"/>
      <c r="L584" s="39"/>
      <c r="M584" s="39"/>
      <c r="N584" s="39"/>
      <c r="O584" s="39"/>
      <c r="P584" s="39"/>
    </row>
    <row r="585" spans="1:16" x14ac:dyDescent="0.2">
      <c r="A585" s="47" t="str">
        <v>0:00</v>
      </c>
      <c r="B585" s="103"/>
      <c r="C585" s="39"/>
      <c r="D585" s="39"/>
      <c r="E585" s="39"/>
      <c r="F585" s="39"/>
      <c r="G585" s="39"/>
      <c r="H585" s="39"/>
      <c r="I585" s="39"/>
      <c r="J585" s="39"/>
      <c r="K585" s="39"/>
      <c r="L585" s="39"/>
      <c r="M585" s="39"/>
      <c r="N585" s="39"/>
      <c r="O585" s="39"/>
      <c r="P585" s="39"/>
    </row>
    <row r="586" spans="1:16" x14ac:dyDescent="0.2">
      <c r="A586" s="47" t="str">
        <v>0:00</v>
      </c>
      <c r="B586" s="103"/>
      <c r="C586" s="39"/>
      <c r="D586" s="39"/>
      <c r="E586" s="39"/>
      <c r="F586" s="39"/>
      <c r="G586" s="39"/>
      <c r="H586" s="39"/>
      <c r="I586" s="39"/>
      <c r="J586" s="39"/>
      <c r="K586" s="39"/>
      <c r="L586" s="39"/>
      <c r="M586" s="39"/>
      <c r="N586" s="39"/>
      <c r="O586" s="39"/>
      <c r="P586" s="39"/>
    </row>
    <row r="587" spans="1:16" x14ac:dyDescent="0.2">
      <c r="A587" s="47" t="str">
        <v>0:00</v>
      </c>
      <c r="B587" s="103"/>
      <c r="C587" s="39"/>
      <c r="D587" s="39"/>
      <c r="E587" s="39"/>
      <c r="F587" s="39"/>
      <c r="G587" s="39"/>
      <c r="H587" s="39"/>
      <c r="I587" s="39"/>
      <c r="J587" s="39"/>
      <c r="K587" s="39"/>
      <c r="L587" s="39"/>
      <c r="M587" s="39"/>
      <c r="N587" s="39"/>
      <c r="O587" s="39"/>
      <c r="P587" s="39"/>
    </row>
    <row r="588" spans="1:16" x14ac:dyDescent="0.2">
      <c r="A588" s="47" t="str">
        <v>0:00</v>
      </c>
      <c r="B588" s="103"/>
      <c r="C588" s="39"/>
      <c r="D588" s="39"/>
      <c r="E588" s="39"/>
      <c r="F588" s="39"/>
      <c r="G588" s="39"/>
      <c r="H588" s="39"/>
      <c r="I588" s="39"/>
      <c r="J588" s="39"/>
      <c r="K588" s="39"/>
      <c r="L588" s="39"/>
      <c r="M588" s="39"/>
      <c r="N588" s="39"/>
      <c r="O588" s="39"/>
      <c r="P588" s="39"/>
    </row>
    <row r="589" spans="1:16" x14ac:dyDescent="0.2">
      <c r="A589" s="47" t="str">
        <v>0:00</v>
      </c>
      <c r="B589" s="103"/>
      <c r="C589" s="39"/>
      <c r="D589" s="39"/>
      <c r="E589" s="39"/>
      <c r="F589" s="39"/>
      <c r="G589" s="39"/>
      <c r="H589" s="39"/>
      <c r="I589" s="39"/>
      <c r="J589" s="39"/>
      <c r="K589" s="39"/>
      <c r="L589" s="39"/>
      <c r="M589" s="39"/>
      <c r="N589" s="39"/>
      <c r="O589" s="39"/>
      <c r="P589" s="39"/>
    </row>
    <row r="590" spans="1:16" x14ac:dyDescent="0.2">
      <c r="A590" s="47" t="str">
        <v>0:00</v>
      </c>
      <c r="B590" s="103"/>
      <c r="C590" s="39"/>
      <c r="D590" s="39"/>
      <c r="E590" s="39"/>
      <c r="F590" s="39"/>
      <c r="G590" s="39"/>
      <c r="H590" s="39"/>
      <c r="I590" s="39"/>
      <c r="J590" s="39"/>
      <c r="K590" s="39"/>
      <c r="L590" s="39"/>
      <c r="M590" s="39"/>
      <c r="N590" s="39"/>
      <c r="O590" s="39"/>
      <c r="P590" s="39"/>
    </row>
    <row r="591" spans="1:16" x14ac:dyDescent="0.2">
      <c r="A591" s="47" t="str">
        <v>0:00</v>
      </c>
      <c r="B591" s="103"/>
      <c r="C591" s="39"/>
      <c r="D591" s="39"/>
      <c r="E591" s="39"/>
      <c r="F591" s="39"/>
      <c r="G591" s="39"/>
      <c r="H591" s="39"/>
      <c r="I591" s="39"/>
      <c r="J591" s="39"/>
      <c r="K591" s="39"/>
      <c r="L591" s="39"/>
      <c r="M591" s="39"/>
      <c r="N591" s="39"/>
      <c r="O591" s="39"/>
      <c r="P591" s="39"/>
    </row>
    <row r="592" spans="1:16" x14ac:dyDescent="0.2">
      <c r="A592" s="47" t="str">
        <v>0:00</v>
      </c>
      <c r="B592" s="103"/>
      <c r="C592" s="39"/>
      <c r="D592" s="39"/>
      <c r="E592" s="39"/>
      <c r="F592" s="39"/>
      <c r="G592" s="39"/>
      <c r="H592" s="39"/>
      <c r="I592" s="39"/>
      <c r="J592" s="39"/>
      <c r="K592" s="39"/>
      <c r="L592" s="39"/>
      <c r="M592" s="39"/>
      <c r="N592" s="39"/>
      <c r="O592" s="39"/>
      <c r="P592" s="39"/>
    </row>
    <row r="593" spans="1:16" x14ac:dyDescent="0.2">
      <c r="A593" s="47" t="str">
        <v>0:00</v>
      </c>
      <c r="B593" s="103"/>
      <c r="C593" s="39"/>
      <c r="D593" s="39"/>
      <c r="E593" s="39"/>
      <c r="F593" s="39"/>
      <c r="G593" s="39"/>
      <c r="H593" s="39"/>
      <c r="I593" s="39"/>
      <c r="J593" s="39"/>
      <c r="K593" s="39"/>
      <c r="L593" s="39"/>
      <c r="M593" s="39"/>
      <c r="N593" s="39"/>
      <c r="O593" s="39"/>
      <c r="P593" s="39"/>
    </row>
    <row r="594" spans="1:16" x14ac:dyDescent="0.2">
      <c r="A594" s="47" t="str">
        <v>0:00</v>
      </c>
      <c r="B594" s="103"/>
      <c r="C594" s="39"/>
      <c r="D594" s="39"/>
      <c r="E594" s="39"/>
      <c r="F594" s="39"/>
      <c r="G594" s="39"/>
      <c r="H594" s="39"/>
      <c r="I594" s="39"/>
      <c r="J594" s="39"/>
      <c r="K594" s="39"/>
      <c r="L594" s="39"/>
      <c r="M594" s="39"/>
      <c r="N594" s="39"/>
      <c r="O594" s="39"/>
      <c r="P594" s="39"/>
    </row>
    <row r="595" spans="1:16" x14ac:dyDescent="0.2">
      <c r="A595" s="47" t="str">
        <v>0:00</v>
      </c>
      <c r="B595" s="103"/>
      <c r="C595" s="39"/>
      <c r="D595" s="39"/>
      <c r="E595" s="39"/>
      <c r="F595" s="39"/>
      <c r="G595" s="39"/>
      <c r="H595" s="39"/>
      <c r="I595" s="39"/>
      <c r="J595" s="39"/>
      <c r="K595" s="39"/>
      <c r="L595" s="39"/>
      <c r="M595" s="39"/>
      <c r="N595" s="39"/>
      <c r="O595" s="39"/>
      <c r="P595" s="39"/>
    </row>
    <row r="596" spans="1:16" x14ac:dyDescent="0.2">
      <c r="A596" s="47" t="str">
        <v>0:00</v>
      </c>
      <c r="B596" s="103"/>
      <c r="C596" s="39"/>
      <c r="D596" s="39"/>
      <c r="E596" s="39"/>
      <c r="F596" s="39"/>
      <c r="G596" s="39"/>
      <c r="H596" s="39"/>
      <c r="I596" s="39"/>
      <c r="J596" s="39"/>
      <c r="K596" s="39"/>
      <c r="L596" s="39"/>
      <c r="M596" s="39"/>
      <c r="N596" s="39"/>
      <c r="O596" s="39"/>
      <c r="P596" s="39"/>
    </row>
    <row r="597" spans="1:16" x14ac:dyDescent="0.2">
      <c r="A597" s="47" t="str">
        <v>0:00</v>
      </c>
      <c r="B597" s="103"/>
      <c r="C597" s="39"/>
      <c r="D597" s="39"/>
      <c r="E597" s="39"/>
      <c r="F597" s="39"/>
      <c r="G597" s="39"/>
      <c r="H597" s="39"/>
      <c r="I597" s="39"/>
      <c r="J597" s="39"/>
      <c r="K597" s="39"/>
      <c r="L597" s="39"/>
      <c r="M597" s="39"/>
      <c r="N597" s="39"/>
      <c r="O597" s="39"/>
      <c r="P597" s="39"/>
    </row>
    <row r="598" spans="1:16" x14ac:dyDescent="0.2">
      <c r="A598" s="47" t="str">
        <v>0:00</v>
      </c>
      <c r="B598" s="103"/>
      <c r="C598" s="39"/>
      <c r="D598" s="39"/>
      <c r="E598" s="39"/>
      <c r="F598" s="39"/>
      <c r="G598" s="39"/>
      <c r="H598" s="39"/>
      <c r="I598" s="39"/>
      <c r="J598" s="39"/>
      <c r="K598" s="39"/>
      <c r="L598" s="39"/>
      <c r="M598" s="39"/>
      <c r="N598" s="39"/>
      <c r="O598" s="39"/>
      <c r="P598" s="39"/>
    </row>
    <row r="599" spans="1:16" x14ac:dyDescent="0.2">
      <c r="A599" s="47" t="str">
        <v>0:00</v>
      </c>
      <c r="B599" s="103"/>
      <c r="C599" s="39"/>
      <c r="D599" s="39"/>
      <c r="E599" s="39"/>
      <c r="F599" s="39"/>
      <c r="G599" s="39"/>
      <c r="H599" s="39"/>
      <c r="I599" s="39"/>
      <c r="J599" s="39"/>
      <c r="K599" s="39"/>
      <c r="L599" s="39"/>
      <c r="M599" s="39"/>
      <c r="N599" s="39"/>
      <c r="O599" s="39"/>
      <c r="P599" s="39"/>
    </row>
    <row r="600" spans="1:16" x14ac:dyDescent="0.2">
      <c r="A600" s="47" t="str">
        <v>0:00</v>
      </c>
      <c r="B600" s="103"/>
      <c r="C600" s="39"/>
      <c r="D600" s="39"/>
      <c r="E600" s="39"/>
      <c r="F600" s="39"/>
      <c r="G600" s="39"/>
      <c r="H600" s="39"/>
      <c r="I600" s="39"/>
      <c r="J600" s="39"/>
      <c r="K600" s="39"/>
      <c r="L600" s="39"/>
      <c r="M600" s="39"/>
      <c r="N600" s="39"/>
      <c r="O600" s="39"/>
      <c r="P600" s="39"/>
    </row>
    <row r="601" spans="1:16" x14ac:dyDescent="0.2">
      <c r="A601" s="47" t="str">
        <v>0:00</v>
      </c>
      <c r="B601" s="103"/>
      <c r="C601" s="39"/>
      <c r="D601" s="39"/>
      <c r="E601" s="39"/>
      <c r="F601" s="39"/>
      <c r="G601" s="39"/>
      <c r="H601" s="39"/>
      <c r="I601" s="39"/>
      <c r="J601" s="39"/>
      <c r="K601" s="39"/>
      <c r="L601" s="39"/>
      <c r="M601" s="39"/>
      <c r="N601" s="39"/>
      <c r="O601" s="39"/>
      <c r="P601" s="39"/>
    </row>
    <row r="602" spans="1:16" x14ac:dyDescent="0.2">
      <c r="A602" s="47" t="str">
        <v>0:00</v>
      </c>
      <c r="B602" s="103"/>
      <c r="C602" s="39"/>
      <c r="D602" s="39"/>
      <c r="E602" s="39"/>
      <c r="F602" s="39"/>
      <c r="G602" s="39"/>
      <c r="H602" s="39"/>
      <c r="I602" s="39"/>
      <c r="J602" s="39"/>
      <c r="K602" s="39"/>
      <c r="L602" s="39"/>
      <c r="M602" s="39"/>
      <c r="N602" s="39"/>
      <c r="O602" s="39"/>
      <c r="P602" s="39"/>
    </row>
    <row r="603" spans="1:16" x14ac:dyDescent="0.2">
      <c r="A603" s="47" t="str">
        <v>0:00</v>
      </c>
      <c r="B603" s="103"/>
      <c r="C603" s="39"/>
      <c r="D603" s="39"/>
      <c r="E603" s="39"/>
      <c r="F603" s="39"/>
      <c r="G603" s="39"/>
      <c r="H603" s="39"/>
      <c r="I603" s="39"/>
      <c r="J603" s="39"/>
      <c r="K603" s="39"/>
      <c r="L603" s="39"/>
      <c r="M603" s="39"/>
      <c r="N603" s="39"/>
      <c r="O603" s="39"/>
      <c r="P603" s="39"/>
    </row>
    <row r="604" spans="1:16" x14ac:dyDescent="0.2">
      <c r="A604" s="47" t="str">
        <v>0:00</v>
      </c>
      <c r="B604" s="103"/>
      <c r="C604" s="39"/>
      <c r="D604" s="39"/>
      <c r="E604" s="39"/>
      <c r="F604" s="39"/>
      <c r="G604" s="39"/>
      <c r="H604" s="39"/>
      <c r="I604" s="39"/>
      <c r="J604" s="39"/>
      <c r="K604" s="39"/>
      <c r="L604" s="39"/>
      <c r="M604" s="39"/>
      <c r="N604" s="39"/>
      <c r="O604" s="39"/>
      <c r="P604" s="39"/>
    </row>
    <row r="605" spans="1:16" x14ac:dyDescent="0.2">
      <c r="A605" s="47" t="str">
        <v>0:00</v>
      </c>
      <c r="B605" s="103"/>
      <c r="C605" s="39"/>
      <c r="D605" s="39"/>
      <c r="E605" s="39"/>
      <c r="F605" s="39"/>
      <c r="G605" s="39"/>
      <c r="H605" s="39"/>
      <c r="I605" s="39"/>
      <c r="J605" s="39"/>
      <c r="K605" s="39"/>
      <c r="L605" s="39"/>
      <c r="M605" s="39"/>
      <c r="N605" s="39"/>
      <c r="O605" s="39"/>
      <c r="P605" s="39"/>
    </row>
    <row r="606" spans="1:16" x14ac:dyDescent="0.2">
      <c r="A606" s="47" t="str">
        <v>0:00</v>
      </c>
      <c r="B606" s="103"/>
      <c r="C606" s="39"/>
      <c r="D606" s="39"/>
      <c r="E606" s="39"/>
      <c r="F606" s="39"/>
      <c r="G606" s="39"/>
      <c r="H606" s="39"/>
      <c r="I606" s="39"/>
      <c r="J606" s="39"/>
      <c r="K606" s="39"/>
      <c r="L606" s="39"/>
      <c r="M606" s="39"/>
      <c r="N606" s="39"/>
      <c r="O606" s="39"/>
      <c r="P606" s="39"/>
    </row>
    <row r="607" spans="1:16" x14ac:dyDescent="0.2">
      <c r="A607" s="47" t="str">
        <v>0:00</v>
      </c>
      <c r="B607" s="103"/>
      <c r="C607" s="39"/>
      <c r="D607" s="39"/>
      <c r="E607" s="39"/>
      <c r="F607" s="39"/>
      <c r="G607" s="39"/>
      <c r="H607" s="39"/>
      <c r="I607" s="39"/>
      <c r="J607" s="39"/>
      <c r="K607" s="39"/>
      <c r="L607" s="39"/>
      <c r="M607" s="39"/>
      <c r="N607" s="39"/>
      <c r="O607" s="39"/>
      <c r="P607" s="39"/>
    </row>
    <row r="608" spans="1:16" x14ac:dyDescent="0.2">
      <c r="A608" s="47" t="str">
        <v>0:00</v>
      </c>
      <c r="B608" s="103"/>
      <c r="C608" s="39"/>
      <c r="D608" s="39"/>
      <c r="E608" s="39"/>
      <c r="F608" s="39"/>
      <c r="G608" s="39"/>
      <c r="H608" s="39"/>
      <c r="I608" s="39"/>
      <c r="J608" s="39"/>
      <c r="K608" s="39"/>
      <c r="L608" s="39"/>
      <c r="M608" s="39"/>
      <c r="N608" s="39"/>
      <c r="O608" s="39"/>
      <c r="P608" s="39"/>
    </row>
    <row r="609" spans="1:16" x14ac:dyDescent="0.2">
      <c r="A609" s="47" t="str">
        <v>0:00</v>
      </c>
      <c r="B609" s="103"/>
      <c r="C609" s="39"/>
      <c r="D609" s="39"/>
      <c r="E609" s="39"/>
      <c r="F609" s="39"/>
      <c r="G609" s="39"/>
      <c r="H609" s="39"/>
      <c r="I609" s="39"/>
      <c r="J609" s="39"/>
      <c r="K609" s="39"/>
      <c r="L609" s="39"/>
      <c r="M609" s="39"/>
      <c r="N609" s="39"/>
      <c r="O609" s="39"/>
      <c r="P609" s="39"/>
    </row>
    <row r="610" spans="1:16" x14ac:dyDescent="0.2">
      <c r="A610" s="47" t="str">
        <v>0:00</v>
      </c>
      <c r="B610" s="103"/>
      <c r="C610" s="39"/>
      <c r="D610" s="39"/>
      <c r="E610" s="39"/>
      <c r="F610" s="39"/>
      <c r="G610" s="39"/>
      <c r="H610" s="39"/>
      <c r="I610" s="39"/>
      <c r="J610" s="39"/>
      <c r="K610" s="39"/>
      <c r="L610" s="39"/>
      <c r="M610" s="39"/>
      <c r="N610" s="39"/>
      <c r="O610" s="39"/>
      <c r="P610" s="39"/>
    </row>
    <row r="611" spans="1:16" x14ac:dyDescent="0.2">
      <c r="A611" s="47" t="str">
        <v>0:00</v>
      </c>
      <c r="B611" s="103"/>
      <c r="C611" s="39"/>
      <c r="D611" s="39"/>
      <c r="E611" s="39"/>
      <c r="F611" s="39"/>
      <c r="G611" s="39"/>
      <c r="H611" s="39"/>
      <c r="I611" s="39"/>
      <c r="J611" s="39"/>
      <c r="K611" s="39"/>
      <c r="L611" s="39"/>
      <c r="M611" s="39"/>
      <c r="N611" s="39"/>
      <c r="O611" s="39"/>
      <c r="P611" s="39"/>
    </row>
    <row r="612" spans="1:16" x14ac:dyDescent="0.2">
      <c r="A612" s="47" t="str">
        <v>0:00</v>
      </c>
      <c r="B612" s="103"/>
      <c r="C612" s="39"/>
      <c r="D612" s="39"/>
      <c r="E612" s="39"/>
      <c r="F612" s="39"/>
      <c r="G612" s="39"/>
      <c r="H612" s="39"/>
      <c r="I612" s="39"/>
      <c r="J612" s="39"/>
      <c r="K612" s="39"/>
      <c r="L612" s="39"/>
      <c r="M612" s="39"/>
      <c r="N612" s="39"/>
      <c r="O612" s="39"/>
      <c r="P612" s="39"/>
    </row>
    <row r="613" spans="1:16" x14ac:dyDescent="0.2">
      <c r="A613" s="47" t="str">
        <v>0:00</v>
      </c>
      <c r="B613" s="103"/>
      <c r="C613" s="39"/>
      <c r="D613" s="39"/>
      <c r="E613" s="39"/>
      <c r="F613" s="39"/>
      <c r="G613" s="39"/>
      <c r="H613" s="39"/>
      <c r="I613" s="39"/>
      <c r="J613" s="39"/>
      <c r="K613" s="39"/>
      <c r="L613" s="39"/>
      <c r="M613" s="39"/>
      <c r="N613" s="39"/>
      <c r="O613" s="39"/>
      <c r="P613" s="39"/>
    </row>
    <row r="614" spans="1:16" x14ac:dyDescent="0.2">
      <c r="A614" s="47" t="str">
        <v>0:00</v>
      </c>
      <c r="B614" s="103"/>
      <c r="C614" s="39"/>
      <c r="D614" s="39"/>
      <c r="E614" s="39"/>
      <c r="F614" s="39"/>
      <c r="G614" s="39"/>
      <c r="H614" s="39"/>
      <c r="I614" s="39"/>
      <c r="J614" s="39"/>
      <c r="K614" s="39"/>
      <c r="L614" s="39"/>
      <c r="M614" s="39"/>
      <c r="N614" s="39"/>
      <c r="O614" s="39"/>
      <c r="P614" s="39"/>
    </row>
    <row r="615" spans="1:16" x14ac:dyDescent="0.2">
      <c r="A615" s="47" t="str">
        <v>0:00</v>
      </c>
      <c r="B615" s="103"/>
      <c r="C615" s="39"/>
      <c r="D615" s="39"/>
      <c r="E615" s="39"/>
      <c r="F615" s="39"/>
      <c r="G615" s="39"/>
      <c r="H615" s="39"/>
      <c r="I615" s="39"/>
      <c r="J615" s="39"/>
      <c r="K615" s="39"/>
      <c r="L615" s="39"/>
      <c r="M615" s="39"/>
      <c r="N615" s="39"/>
      <c r="O615" s="39"/>
      <c r="P615" s="39"/>
    </row>
    <row r="616" spans="1:16" x14ac:dyDescent="0.2">
      <c r="A616" s="47" t="str">
        <v>0:00</v>
      </c>
      <c r="B616" s="103"/>
      <c r="C616" s="39"/>
      <c r="D616" s="39"/>
      <c r="E616" s="39"/>
      <c r="F616" s="39"/>
      <c r="G616" s="39"/>
      <c r="H616" s="39"/>
      <c r="I616" s="39"/>
      <c r="J616" s="39"/>
      <c r="K616" s="39"/>
      <c r="L616" s="39"/>
      <c r="M616" s="39"/>
      <c r="N616" s="39"/>
      <c r="O616" s="39"/>
      <c r="P616" s="39"/>
    </row>
    <row r="617" spans="1:16" x14ac:dyDescent="0.2">
      <c r="A617" s="47" t="str">
        <v>0:00</v>
      </c>
      <c r="B617" s="103"/>
      <c r="C617" s="39"/>
      <c r="D617" s="39"/>
      <c r="E617" s="39"/>
      <c r="F617" s="39"/>
      <c r="G617" s="39"/>
      <c r="H617" s="39"/>
      <c r="I617" s="39"/>
      <c r="J617" s="39"/>
      <c r="K617" s="39"/>
      <c r="L617" s="39"/>
      <c r="M617" s="39"/>
      <c r="N617" s="39"/>
      <c r="O617" s="39"/>
      <c r="P617" s="39"/>
    </row>
    <row r="618" spans="1:16" x14ac:dyDescent="0.2">
      <c r="A618" s="47" t="str">
        <v>0:00</v>
      </c>
      <c r="B618" s="103"/>
      <c r="C618" s="39"/>
      <c r="D618" s="39"/>
      <c r="E618" s="39"/>
      <c r="F618" s="39"/>
      <c r="G618" s="39"/>
      <c r="H618" s="39"/>
      <c r="I618" s="39"/>
      <c r="J618" s="39"/>
      <c r="K618" s="39"/>
      <c r="L618" s="39"/>
      <c r="M618" s="39"/>
      <c r="N618" s="39"/>
      <c r="O618" s="39"/>
      <c r="P618" s="39"/>
    </row>
    <row r="619" spans="1:16" x14ac:dyDescent="0.2">
      <c r="A619" s="47" t="str">
        <v>0:00</v>
      </c>
      <c r="B619" s="103"/>
      <c r="C619" s="39"/>
      <c r="D619" s="39"/>
      <c r="E619" s="39"/>
      <c r="F619" s="39"/>
      <c r="G619" s="39"/>
      <c r="H619" s="39"/>
      <c r="I619" s="39"/>
      <c r="J619" s="39"/>
      <c r="K619" s="39"/>
      <c r="L619" s="39"/>
      <c r="M619" s="39"/>
      <c r="N619" s="39"/>
      <c r="O619" s="39"/>
      <c r="P619" s="39"/>
    </row>
    <row r="620" spans="1:16" x14ac:dyDescent="0.2">
      <c r="A620" s="47" t="str">
        <v>0:00</v>
      </c>
      <c r="B620" s="103"/>
      <c r="C620" s="39"/>
      <c r="D620" s="39"/>
      <c r="E620" s="39"/>
      <c r="F620" s="39"/>
      <c r="G620" s="39"/>
      <c r="H620" s="39"/>
      <c r="I620" s="39"/>
      <c r="J620" s="39"/>
      <c r="K620" s="39"/>
      <c r="L620" s="39"/>
      <c r="M620" s="39"/>
      <c r="N620" s="39"/>
      <c r="O620" s="39"/>
      <c r="P620" s="39"/>
    </row>
    <row r="621" spans="1:16" x14ac:dyDescent="0.2">
      <c r="A621" s="47" t="str">
        <v>0:00</v>
      </c>
      <c r="B621" s="103"/>
      <c r="C621" s="39"/>
      <c r="D621" s="39"/>
      <c r="E621" s="39"/>
      <c r="F621" s="39"/>
      <c r="G621" s="39"/>
      <c r="H621" s="39"/>
      <c r="I621" s="39"/>
      <c r="J621" s="39"/>
      <c r="K621" s="39"/>
      <c r="L621" s="39"/>
      <c r="M621" s="39"/>
      <c r="N621" s="39"/>
      <c r="O621" s="39"/>
      <c r="P621" s="39"/>
    </row>
    <row r="622" spans="1:16" x14ac:dyDescent="0.2">
      <c r="A622" s="47" t="str">
        <v>0:00</v>
      </c>
      <c r="B622" s="103"/>
      <c r="C622" s="39"/>
      <c r="D622" s="39"/>
      <c r="E622" s="39"/>
      <c r="F622" s="39"/>
      <c r="G622" s="39"/>
      <c r="H622" s="39"/>
      <c r="I622" s="39"/>
      <c r="J622" s="39"/>
      <c r="K622" s="39"/>
      <c r="L622" s="39"/>
      <c r="M622" s="39"/>
      <c r="N622" s="39"/>
      <c r="O622" s="39"/>
      <c r="P622" s="39"/>
    </row>
    <row r="623" spans="1:16" x14ac:dyDescent="0.2">
      <c r="A623" s="47" t="str">
        <v>0:00</v>
      </c>
      <c r="B623" s="103"/>
      <c r="C623" s="39"/>
      <c r="D623" s="39"/>
      <c r="E623" s="39"/>
      <c r="F623" s="39"/>
      <c r="G623" s="39"/>
      <c r="H623" s="39"/>
      <c r="I623" s="39"/>
      <c r="J623" s="39"/>
      <c r="K623" s="39"/>
      <c r="L623" s="39"/>
      <c r="M623" s="39"/>
      <c r="N623" s="39"/>
      <c r="O623" s="39"/>
      <c r="P623" s="39"/>
    </row>
    <row r="624" spans="1:16" x14ac:dyDescent="0.2">
      <c r="A624" s="47" t="str">
        <v>0:00</v>
      </c>
      <c r="B624" s="103"/>
      <c r="C624" s="39"/>
      <c r="D624" s="39"/>
      <c r="E624" s="39"/>
      <c r="F624" s="39"/>
      <c r="G624" s="39"/>
      <c r="H624" s="39"/>
      <c r="I624" s="39"/>
      <c r="J624" s="39"/>
      <c r="K624" s="39"/>
      <c r="L624" s="39"/>
      <c r="M624" s="39"/>
      <c r="N624" s="39"/>
      <c r="O624" s="39"/>
      <c r="P624" s="39"/>
    </row>
    <row r="625" spans="1:16" x14ac:dyDescent="0.2">
      <c r="A625" s="47" t="str">
        <v>0:00</v>
      </c>
      <c r="B625" s="103"/>
      <c r="C625" s="39"/>
      <c r="D625" s="39"/>
      <c r="E625" s="39"/>
      <c r="F625" s="39"/>
      <c r="G625" s="39"/>
      <c r="H625" s="39"/>
      <c r="I625" s="39"/>
      <c r="J625" s="39"/>
      <c r="K625" s="39"/>
      <c r="L625" s="39"/>
      <c r="M625" s="39"/>
      <c r="N625" s="39"/>
      <c r="O625" s="39"/>
      <c r="P625" s="39"/>
    </row>
    <row r="626" spans="1:16" x14ac:dyDescent="0.2">
      <c r="A626" s="47" t="str">
        <v>0:00</v>
      </c>
      <c r="B626" s="103"/>
      <c r="C626" s="39"/>
      <c r="D626" s="39"/>
      <c r="E626" s="39"/>
      <c r="F626" s="39"/>
      <c r="G626" s="39"/>
      <c r="H626" s="39"/>
      <c r="I626" s="39"/>
      <c r="J626" s="39"/>
      <c r="K626" s="39"/>
      <c r="L626" s="39"/>
      <c r="M626" s="39"/>
      <c r="N626" s="39"/>
      <c r="O626" s="39"/>
      <c r="P626" s="39"/>
    </row>
    <row r="627" spans="1:16" x14ac:dyDescent="0.2">
      <c r="A627" s="47" t="str">
        <v>0:00</v>
      </c>
      <c r="B627" s="103"/>
      <c r="C627" s="39"/>
      <c r="D627" s="39"/>
      <c r="E627" s="39"/>
      <c r="F627" s="39"/>
      <c r="G627" s="39"/>
      <c r="H627" s="39"/>
      <c r="I627" s="39"/>
      <c r="J627" s="39"/>
      <c r="K627" s="39"/>
      <c r="L627" s="39"/>
      <c r="M627" s="39"/>
      <c r="N627" s="39"/>
      <c r="O627" s="39"/>
      <c r="P627" s="39"/>
    </row>
    <row r="628" spans="1:16" x14ac:dyDescent="0.2">
      <c r="A628" s="47" t="str">
        <v>0:00</v>
      </c>
      <c r="B628" s="103"/>
      <c r="C628" s="39"/>
      <c r="D628" s="39"/>
      <c r="E628" s="39"/>
      <c r="F628" s="39"/>
      <c r="G628" s="39"/>
      <c r="H628" s="39"/>
      <c r="I628" s="39"/>
      <c r="J628" s="39"/>
      <c r="K628" s="39"/>
      <c r="L628" s="39"/>
      <c r="M628" s="39"/>
      <c r="N628" s="39"/>
      <c r="O628" s="39"/>
      <c r="P628" s="39"/>
    </row>
    <row r="629" spans="1:16" x14ac:dyDescent="0.2">
      <c r="A629" s="47" t="str">
        <v>0:00</v>
      </c>
      <c r="B629" s="103"/>
      <c r="C629" s="39"/>
      <c r="D629" s="39"/>
      <c r="E629" s="39"/>
      <c r="F629" s="39"/>
      <c r="G629" s="39"/>
      <c r="H629" s="39"/>
      <c r="I629" s="39"/>
      <c r="J629" s="39"/>
      <c r="K629" s="39"/>
      <c r="L629" s="39"/>
      <c r="M629" s="39"/>
      <c r="N629" s="39"/>
      <c r="O629" s="39"/>
      <c r="P629" s="39"/>
    </row>
    <row r="630" spans="1:16" x14ac:dyDescent="0.2">
      <c r="A630" s="47" t="str">
        <v>0:00</v>
      </c>
      <c r="B630" s="103"/>
      <c r="C630" s="39"/>
      <c r="D630" s="39"/>
      <c r="E630" s="39"/>
      <c r="F630" s="39"/>
      <c r="G630" s="39"/>
      <c r="H630" s="39"/>
      <c r="I630" s="39"/>
      <c r="J630" s="39"/>
      <c r="K630" s="39"/>
      <c r="L630" s="39"/>
      <c r="M630" s="39"/>
      <c r="N630" s="39"/>
      <c r="O630" s="39"/>
      <c r="P630" s="39"/>
    </row>
    <row r="631" spans="1:16" x14ac:dyDescent="0.2">
      <c r="A631" s="47" t="str">
        <v>0:00</v>
      </c>
      <c r="B631" s="103"/>
      <c r="C631" s="39"/>
      <c r="D631" s="39"/>
      <c r="E631" s="39"/>
      <c r="F631" s="39"/>
      <c r="G631" s="39"/>
      <c r="H631" s="39"/>
      <c r="I631" s="39"/>
      <c r="J631" s="39"/>
      <c r="K631" s="39"/>
      <c r="L631" s="39"/>
      <c r="M631" s="39"/>
      <c r="N631" s="39"/>
      <c r="O631" s="39"/>
      <c r="P631" s="39"/>
    </row>
    <row r="632" spans="1:16" x14ac:dyDescent="0.2">
      <c r="A632" s="47" t="str">
        <v>0:00</v>
      </c>
      <c r="B632" s="103"/>
      <c r="C632" s="39"/>
      <c r="D632" s="39"/>
      <c r="E632" s="39"/>
      <c r="F632" s="39"/>
      <c r="G632" s="39"/>
      <c r="H632" s="39"/>
      <c r="I632" s="39"/>
      <c r="J632" s="39"/>
      <c r="K632" s="39"/>
      <c r="L632" s="39"/>
      <c r="M632" s="39"/>
      <c r="N632" s="39"/>
      <c r="O632" s="39"/>
      <c r="P632" s="39"/>
    </row>
    <row r="633" spans="1:16" x14ac:dyDescent="0.2">
      <c r="A633" s="47" t="str">
        <v>0:00</v>
      </c>
      <c r="B633" s="103"/>
      <c r="C633" s="39"/>
      <c r="D633" s="39"/>
      <c r="E633" s="39"/>
      <c r="F633" s="39"/>
      <c r="G633" s="39"/>
      <c r="H633" s="39"/>
      <c r="I633" s="39"/>
      <c r="J633" s="39"/>
      <c r="K633" s="39"/>
      <c r="L633" s="39"/>
      <c r="M633" s="39"/>
      <c r="N633" s="39"/>
      <c r="O633" s="39"/>
      <c r="P633" s="39"/>
    </row>
    <row r="634" spans="1:16" x14ac:dyDescent="0.2">
      <c r="A634" s="47" t="str">
        <v>0:00</v>
      </c>
      <c r="B634" s="103"/>
      <c r="C634" s="39"/>
      <c r="D634" s="39"/>
      <c r="E634" s="39"/>
      <c r="F634" s="39"/>
      <c r="G634" s="39"/>
      <c r="H634" s="39"/>
      <c r="I634" s="39"/>
      <c r="J634" s="39"/>
      <c r="K634" s="39"/>
      <c r="L634" s="39"/>
      <c r="M634" s="39"/>
      <c r="N634" s="39"/>
      <c r="O634" s="39"/>
      <c r="P634" s="39"/>
    </row>
    <row r="635" spans="1:16" x14ac:dyDescent="0.2">
      <c r="A635" s="47" t="str">
        <v>0:00</v>
      </c>
      <c r="B635" s="103"/>
      <c r="C635" s="39"/>
      <c r="D635" s="39"/>
      <c r="E635" s="39"/>
      <c r="F635" s="39"/>
      <c r="G635" s="39"/>
      <c r="H635" s="39"/>
      <c r="I635" s="39"/>
      <c r="J635" s="39"/>
      <c r="K635" s="39"/>
      <c r="L635" s="39"/>
      <c r="M635" s="39"/>
      <c r="N635" s="39"/>
      <c r="O635" s="39"/>
      <c r="P635" s="39"/>
    </row>
    <row r="636" spans="1:16" x14ac:dyDescent="0.2">
      <c r="A636" s="47" t="str">
        <v>0:00</v>
      </c>
      <c r="B636" s="103"/>
      <c r="C636" s="39"/>
      <c r="D636" s="39"/>
      <c r="E636" s="39"/>
      <c r="F636" s="39"/>
      <c r="G636" s="39"/>
      <c r="H636" s="39"/>
      <c r="I636" s="39"/>
      <c r="J636" s="39"/>
      <c r="K636" s="39"/>
      <c r="L636" s="39"/>
      <c r="M636" s="39"/>
      <c r="N636" s="39"/>
      <c r="O636" s="39"/>
      <c r="P636" s="39"/>
    </row>
    <row r="637" spans="1:16" x14ac:dyDescent="0.2">
      <c r="A637" s="47" t="str">
        <v>0:00</v>
      </c>
      <c r="B637" s="103"/>
      <c r="C637" s="39"/>
      <c r="D637" s="39"/>
      <c r="E637" s="39"/>
      <c r="F637" s="39"/>
      <c r="G637" s="39"/>
      <c r="H637" s="39"/>
      <c r="I637" s="39"/>
      <c r="J637" s="39"/>
      <c r="K637" s="39"/>
      <c r="L637" s="39"/>
      <c r="M637" s="39"/>
      <c r="N637" s="39"/>
      <c r="O637" s="39"/>
      <c r="P637" s="39"/>
    </row>
    <row r="638" spans="1:16" x14ac:dyDescent="0.2">
      <c r="A638" s="47" t="str">
        <v>0:00</v>
      </c>
      <c r="B638" s="103"/>
      <c r="C638" s="39"/>
      <c r="D638" s="39"/>
      <c r="E638" s="39"/>
      <c r="F638" s="39"/>
      <c r="G638" s="39"/>
      <c r="H638" s="39"/>
      <c r="I638" s="39"/>
      <c r="J638" s="39"/>
      <c r="K638" s="39"/>
      <c r="L638" s="39"/>
      <c r="M638" s="39"/>
      <c r="N638" s="39"/>
      <c r="O638" s="39"/>
      <c r="P638" s="39"/>
    </row>
    <row r="639" spans="1:16" x14ac:dyDescent="0.2">
      <c r="A639" s="47" t="str">
        <v>0:00</v>
      </c>
      <c r="B639" s="103"/>
      <c r="C639" s="39"/>
      <c r="D639" s="39"/>
      <c r="E639" s="39"/>
      <c r="F639" s="39"/>
      <c r="G639" s="39"/>
      <c r="H639" s="39"/>
      <c r="I639" s="39"/>
      <c r="J639" s="39"/>
      <c r="K639" s="39"/>
      <c r="L639" s="39"/>
      <c r="M639" s="39"/>
      <c r="N639" s="39"/>
      <c r="O639" s="39"/>
      <c r="P639" s="39"/>
    </row>
    <row r="640" spans="1:16" x14ac:dyDescent="0.2">
      <c r="A640" s="47" t="str">
        <v>0:00</v>
      </c>
      <c r="B640" s="103"/>
      <c r="C640" s="39"/>
      <c r="D640" s="39"/>
      <c r="E640" s="39"/>
      <c r="F640" s="39"/>
      <c r="G640" s="39"/>
      <c r="H640" s="39"/>
      <c r="I640" s="39"/>
      <c r="J640" s="39"/>
      <c r="K640" s="39"/>
      <c r="L640" s="39"/>
      <c r="M640" s="39"/>
      <c r="N640" s="39"/>
      <c r="O640" s="39"/>
      <c r="P640" s="39"/>
    </row>
    <row r="641" spans="1:16" x14ac:dyDescent="0.2">
      <c r="A641" s="47" t="str">
        <v>0:00</v>
      </c>
      <c r="B641" s="103"/>
      <c r="C641" s="39"/>
      <c r="D641" s="39"/>
      <c r="E641" s="39"/>
      <c r="F641" s="39"/>
      <c r="G641" s="39"/>
      <c r="H641" s="39"/>
      <c r="I641" s="39"/>
      <c r="J641" s="39"/>
      <c r="K641" s="39"/>
      <c r="L641" s="39"/>
      <c r="M641" s="39"/>
      <c r="N641" s="39"/>
      <c r="O641" s="39"/>
      <c r="P641" s="39"/>
    </row>
    <row r="642" spans="1:16" x14ac:dyDescent="0.2">
      <c r="A642" s="47" t="str">
        <v>0:00</v>
      </c>
      <c r="B642" s="103"/>
      <c r="C642" s="39"/>
      <c r="D642" s="39"/>
      <c r="E642" s="39"/>
      <c r="F642" s="39"/>
      <c r="G642" s="39"/>
      <c r="H642" s="39"/>
      <c r="I642" s="39"/>
      <c r="J642" s="39"/>
      <c r="K642" s="39"/>
      <c r="L642" s="39"/>
      <c r="M642" s="39"/>
      <c r="N642" s="39"/>
      <c r="O642" s="39"/>
      <c r="P642" s="39"/>
    </row>
    <row r="643" spans="1:16" x14ac:dyDescent="0.2">
      <c r="A643" s="47" t="str">
        <v>0:00</v>
      </c>
      <c r="B643" s="103"/>
      <c r="C643" s="39"/>
      <c r="D643" s="39"/>
      <c r="E643" s="39"/>
      <c r="F643" s="39"/>
      <c r="G643" s="39"/>
      <c r="H643" s="39"/>
      <c r="I643" s="39"/>
      <c r="J643" s="39"/>
      <c r="K643" s="39"/>
      <c r="L643" s="39"/>
      <c r="M643" s="39"/>
      <c r="N643" s="39"/>
      <c r="O643" s="39"/>
      <c r="P643" s="39"/>
    </row>
    <row r="644" spans="1:16" x14ac:dyDescent="0.2">
      <c r="A644" s="47" t="str">
        <v>0:00</v>
      </c>
      <c r="B644" s="103"/>
      <c r="C644" s="39"/>
      <c r="D644" s="39"/>
      <c r="E644" s="39"/>
      <c r="F644" s="39"/>
      <c r="G644" s="39"/>
      <c r="H644" s="39"/>
      <c r="I644" s="39"/>
      <c r="J644" s="39"/>
      <c r="K644" s="39"/>
      <c r="L644" s="39"/>
      <c r="M644" s="39"/>
      <c r="N644" s="39"/>
      <c r="O644" s="39"/>
      <c r="P644" s="39"/>
    </row>
    <row r="645" spans="1:16" x14ac:dyDescent="0.2">
      <c r="A645" s="47" t="str">
        <v>0:00</v>
      </c>
      <c r="B645" s="103"/>
      <c r="C645" s="39"/>
      <c r="D645" s="39"/>
      <c r="E645" s="39"/>
      <c r="F645" s="39"/>
      <c r="G645" s="39"/>
      <c r="H645" s="39"/>
      <c r="I645" s="39"/>
      <c r="J645" s="39"/>
      <c r="K645" s="39"/>
      <c r="L645" s="39"/>
      <c r="M645" s="39"/>
      <c r="N645" s="39"/>
      <c r="O645" s="39"/>
      <c r="P645" s="39"/>
    </row>
    <row r="646" spans="1:16" x14ac:dyDescent="0.2">
      <c r="A646" s="47" t="str">
        <v>0:00</v>
      </c>
      <c r="B646" s="103"/>
      <c r="C646" s="39"/>
      <c r="D646" s="39"/>
      <c r="E646" s="39"/>
      <c r="F646" s="39"/>
      <c r="G646" s="39"/>
      <c r="H646" s="39"/>
      <c r="I646" s="39"/>
      <c r="J646" s="39"/>
      <c r="K646" s="39"/>
      <c r="L646" s="39"/>
      <c r="M646" s="39"/>
      <c r="N646" s="39"/>
      <c r="O646" s="39"/>
      <c r="P646" s="39"/>
    </row>
    <row r="647" spans="1:16" x14ac:dyDescent="0.2">
      <c r="A647" s="47" t="str">
        <v>0:00</v>
      </c>
      <c r="B647" s="103"/>
      <c r="C647" s="39"/>
      <c r="D647" s="39"/>
      <c r="E647" s="39"/>
      <c r="F647" s="39"/>
      <c r="G647" s="39"/>
      <c r="H647" s="39"/>
      <c r="I647" s="39"/>
      <c r="J647" s="39"/>
      <c r="K647" s="39"/>
      <c r="L647" s="39"/>
      <c r="M647" s="39"/>
      <c r="N647" s="39"/>
      <c r="O647" s="39"/>
      <c r="P647" s="39"/>
    </row>
    <row r="648" spans="1:16" x14ac:dyDescent="0.2">
      <c r="A648" s="47" t="str">
        <v>0:00</v>
      </c>
      <c r="B648" s="103"/>
      <c r="C648" s="39"/>
      <c r="D648" s="39"/>
      <c r="E648" s="39"/>
      <c r="F648" s="39"/>
      <c r="G648" s="39"/>
      <c r="H648" s="39"/>
      <c r="I648" s="39"/>
      <c r="J648" s="39"/>
      <c r="K648" s="39"/>
      <c r="L648" s="39"/>
      <c r="M648" s="39"/>
      <c r="N648" s="39"/>
      <c r="O648" s="39"/>
      <c r="P648" s="39"/>
    </row>
    <row r="649" spans="1:16" x14ac:dyDescent="0.2">
      <c r="A649" s="47" t="str">
        <v>0:00</v>
      </c>
      <c r="B649" s="103"/>
      <c r="C649" s="39"/>
      <c r="D649" s="39"/>
      <c r="E649" s="39"/>
      <c r="F649" s="39"/>
      <c r="G649" s="39"/>
      <c r="H649" s="39"/>
      <c r="I649" s="39"/>
      <c r="J649" s="39"/>
      <c r="K649" s="39"/>
      <c r="L649" s="39"/>
      <c r="M649" s="39"/>
      <c r="N649" s="39"/>
      <c r="O649" s="39"/>
      <c r="P649" s="39"/>
    </row>
    <row r="650" spans="1:16" x14ac:dyDescent="0.2">
      <c r="A650" s="47" t="str">
        <v>0:00</v>
      </c>
      <c r="B650" s="103"/>
      <c r="C650" s="39"/>
      <c r="D650" s="39"/>
      <c r="E650" s="39"/>
      <c r="F650" s="39"/>
      <c r="G650" s="39"/>
      <c r="H650" s="39"/>
      <c r="I650" s="39"/>
      <c r="J650" s="39"/>
      <c r="K650" s="39"/>
      <c r="L650" s="39"/>
      <c r="M650" s="39"/>
      <c r="N650" s="39"/>
      <c r="O650" s="39"/>
      <c r="P650" s="39"/>
    </row>
    <row r="651" spans="1:16" x14ac:dyDescent="0.2">
      <c r="A651" s="47" t="str">
        <v>0:00</v>
      </c>
      <c r="B651" s="103"/>
      <c r="C651" s="39"/>
      <c r="D651" s="39"/>
      <c r="E651" s="39"/>
      <c r="F651" s="39"/>
      <c r="G651" s="39"/>
      <c r="H651" s="39"/>
      <c r="I651" s="39"/>
      <c r="J651" s="39"/>
      <c r="K651" s="39"/>
      <c r="L651" s="39"/>
      <c r="M651" s="39"/>
      <c r="N651" s="39"/>
      <c r="O651" s="39"/>
      <c r="P651" s="39"/>
    </row>
    <row r="652" spans="1:16" x14ac:dyDescent="0.2">
      <c r="A652" s="47" t="str">
        <v>0:00</v>
      </c>
      <c r="B652" s="103"/>
      <c r="C652" s="39"/>
      <c r="D652" s="39"/>
      <c r="E652" s="39"/>
      <c r="F652" s="39"/>
      <c r="G652" s="39"/>
      <c r="H652" s="39"/>
      <c r="I652" s="39"/>
      <c r="J652" s="39"/>
      <c r="K652" s="39"/>
      <c r="L652" s="39"/>
      <c r="M652" s="39"/>
      <c r="N652" s="39"/>
      <c r="O652" s="39"/>
      <c r="P652" s="39"/>
    </row>
    <row r="653" spans="1:16" x14ac:dyDescent="0.2">
      <c r="A653" s="47" t="str">
        <v>0:00</v>
      </c>
      <c r="B653" s="103"/>
      <c r="C653" s="39"/>
      <c r="D653" s="39"/>
      <c r="E653" s="39"/>
      <c r="F653" s="39"/>
      <c r="G653" s="39"/>
      <c r="H653" s="39"/>
      <c r="I653" s="39"/>
      <c r="J653" s="39"/>
      <c r="K653" s="39"/>
      <c r="L653" s="39"/>
      <c r="M653" s="39"/>
      <c r="N653" s="39"/>
      <c r="O653" s="39"/>
      <c r="P653" s="39"/>
    </row>
    <row r="654" spans="1:16" x14ac:dyDescent="0.2">
      <c r="A654" s="47" t="str">
        <v>0:00</v>
      </c>
      <c r="B654" s="103"/>
      <c r="C654" s="39"/>
      <c r="D654" s="39"/>
      <c r="E654" s="39"/>
      <c r="F654" s="39"/>
      <c r="G654" s="39"/>
      <c r="H654" s="39"/>
      <c r="I654" s="39"/>
      <c r="J654" s="39"/>
      <c r="K654" s="39"/>
      <c r="L654" s="39"/>
      <c r="M654" s="39"/>
      <c r="N654" s="39"/>
      <c r="O654" s="39"/>
      <c r="P654" s="39"/>
    </row>
    <row r="655" spans="1:16" x14ac:dyDescent="0.2">
      <c r="A655" s="47" t="str">
        <v>0:00</v>
      </c>
      <c r="B655" s="103"/>
      <c r="C655" s="39"/>
      <c r="D655" s="39"/>
      <c r="E655" s="39"/>
      <c r="F655" s="39"/>
      <c r="G655" s="39"/>
      <c r="H655" s="39"/>
      <c r="I655" s="39"/>
      <c r="J655" s="39"/>
      <c r="K655" s="39"/>
      <c r="L655" s="39"/>
      <c r="M655" s="39"/>
      <c r="N655" s="39"/>
      <c r="O655" s="39"/>
      <c r="P655" s="39"/>
    </row>
    <row r="656" spans="1:16" x14ac:dyDescent="0.2">
      <c r="A656" s="47" t="str">
        <v>0:00</v>
      </c>
      <c r="B656" s="103"/>
      <c r="C656" s="39"/>
      <c r="D656" s="39"/>
      <c r="E656" s="39"/>
      <c r="F656" s="39"/>
      <c r="G656" s="39"/>
      <c r="H656" s="39"/>
      <c r="I656" s="39"/>
      <c r="J656" s="39"/>
      <c r="K656" s="39"/>
      <c r="L656" s="39"/>
      <c r="M656" s="39"/>
      <c r="N656" s="39"/>
      <c r="O656" s="39"/>
      <c r="P656" s="39"/>
    </row>
    <row r="657" spans="1:16" x14ac:dyDescent="0.2">
      <c r="A657" s="47" t="str">
        <v>0:00</v>
      </c>
      <c r="B657" s="103"/>
      <c r="C657" s="39"/>
      <c r="D657" s="39"/>
      <c r="E657" s="39"/>
      <c r="F657" s="39"/>
      <c r="G657" s="39"/>
      <c r="H657" s="39"/>
      <c r="I657" s="39"/>
      <c r="J657" s="39"/>
      <c r="K657" s="39"/>
      <c r="L657" s="39"/>
      <c r="M657" s="39"/>
      <c r="N657" s="39"/>
      <c r="O657" s="39"/>
      <c r="P657" s="39"/>
    </row>
    <row r="658" spans="1:16" x14ac:dyDescent="0.2">
      <c r="A658" s="47" t="str">
        <v>0:00</v>
      </c>
      <c r="B658" s="103"/>
      <c r="C658" s="39"/>
      <c r="D658" s="39"/>
      <c r="E658" s="39"/>
      <c r="F658" s="39"/>
      <c r="G658" s="39"/>
      <c r="H658" s="39"/>
      <c r="I658" s="39"/>
      <c r="J658" s="39"/>
      <c r="K658" s="39"/>
      <c r="L658" s="39"/>
      <c r="M658" s="39"/>
      <c r="N658" s="39"/>
      <c r="O658" s="39"/>
      <c r="P658" s="39"/>
    </row>
    <row r="659" spans="1:16" x14ac:dyDescent="0.2">
      <c r="A659" s="47" t="str">
        <v>0:00</v>
      </c>
      <c r="B659" s="103"/>
      <c r="C659" s="39"/>
      <c r="D659" s="39"/>
      <c r="E659" s="39"/>
      <c r="F659" s="39"/>
      <c r="G659" s="39"/>
      <c r="H659" s="39"/>
      <c r="I659" s="39"/>
      <c r="J659" s="39"/>
      <c r="K659" s="39"/>
      <c r="L659" s="39"/>
      <c r="M659" s="39"/>
      <c r="N659" s="39"/>
      <c r="O659" s="39"/>
      <c r="P659" s="39"/>
    </row>
    <row r="660" spans="1:16" x14ac:dyDescent="0.2">
      <c r="A660" s="47" t="str">
        <v>0:00</v>
      </c>
      <c r="B660" s="103"/>
      <c r="C660" s="39"/>
      <c r="D660" s="39"/>
      <c r="E660" s="39"/>
      <c r="F660" s="39"/>
      <c r="G660" s="39"/>
      <c r="H660" s="39"/>
      <c r="I660" s="39"/>
      <c r="J660" s="39"/>
      <c r="K660" s="39"/>
      <c r="L660" s="39"/>
      <c r="M660" s="39"/>
      <c r="N660" s="39"/>
      <c r="O660" s="39"/>
      <c r="P660" s="39"/>
    </row>
    <row r="661" spans="1:16" x14ac:dyDescent="0.2">
      <c r="A661" s="47" t="str">
        <v>0:00</v>
      </c>
      <c r="B661" s="103"/>
      <c r="C661" s="39"/>
      <c r="D661" s="39"/>
      <c r="E661" s="39"/>
      <c r="F661" s="39"/>
      <c r="G661" s="39"/>
      <c r="H661" s="39"/>
      <c r="I661" s="39"/>
      <c r="J661" s="39"/>
      <c r="K661" s="39"/>
      <c r="L661" s="39"/>
      <c r="M661" s="39"/>
      <c r="N661" s="39"/>
      <c r="O661" s="39"/>
      <c r="P661" s="39"/>
    </row>
    <row r="662" spans="1:16" x14ac:dyDescent="0.2">
      <c r="A662" s="47" t="str">
        <v>0:00</v>
      </c>
      <c r="B662" s="103"/>
      <c r="C662" s="39"/>
      <c r="D662" s="39"/>
      <c r="E662" s="39"/>
      <c r="F662" s="39"/>
      <c r="G662" s="39"/>
      <c r="H662" s="39"/>
      <c r="I662" s="39"/>
      <c r="J662" s="39"/>
      <c r="K662" s="39"/>
      <c r="L662" s="39"/>
      <c r="M662" s="39"/>
      <c r="N662" s="39"/>
      <c r="O662" s="39"/>
      <c r="P662" s="39"/>
    </row>
    <row r="663" spans="1:16" x14ac:dyDescent="0.2">
      <c r="A663" s="47" t="str">
        <v>0:00</v>
      </c>
      <c r="B663" s="103"/>
      <c r="C663" s="39"/>
      <c r="D663" s="39"/>
      <c r="E663" s="39"/>
      <c r="F663" s="39"/>
      <c r="G663" s="39"/>
      <c r="H663" s="39"/>
      <c r="I663" s="39"/>
      <c r="J663" s="39"/>
      <c r="K663" s="39"/>
      <c r="L663" s="39"/>
      <c r="M663" s="39"/>
      <c r="N663" s="39"/>
      <c r="O663" s="39"/>
      <c r="P663" s="39"/>
    </row>
    <row r="664" spans="1:16" x14ac:dyDescent="0.2">
      <c r="A664" s="47" t="str">
        <v>0:00</v>
      </c>
      <c r="B664" s="103"/>
      <c r="C664" s="39"/>
      <c r="D664" s="39"/>
      <c r="E664" s="39"/>
      <c r="F664" s="39"/>
      <c r="G664" s="39"/>
      <c r="H664" s="39"/>
      <c r="I664" s="39"/>
      <c r="J664" s="39"/>
      <c r="K664" s="39"/>
      <c r="L664" s="39"/>
      <c r="M664" s="39"/>
      <c r="N664" s="39"/>
      <c r="O664" s="39"/>
      <c r="P664" s="39"/>
    </row>
    <row r="665" spans="1:16" x14ac:dyDescent="0.2">
      <c r="A665" s="47" t="str">
        <v>0:00</v>
      </c>
      <c r="B665" s="103"/>
      <c r="C665" s="39"/>
      <c r="D665" s="39"/>
      <c r="E665" s="39"/>
      <c r="F665" s="39"/>
      <c r="G665" s="39"/>
      <c r="H665" s="39"/>
      <c r="I665" s="39"/>
      <c r="J665" s="39"/>
      <c r="K665" s="39"/>
      <c r="L665" s="39"/>
      <c r="M665" s="39"/>
      <c r="N665" s="39"/>
      <c r="O665" s="39"/>
      <c r="P665" s="39"/>
    </row>
    <row r="666" spans="1:16" x14ac:dyDescent="0.2">
      <c r="A666" s="47" t="str">
        <v>0:00</v>
      </c>
      <c r="B666" s="103"/>
      <c r="C666" s="39"/>
      <c r="D666" s="39"/>
      <c r="E666" s="39"/>
      <c r="F666" s="39"/>
      <c r="G666" s="39"/>
      <c r="H666" s="39"/>
      <c r="I666" s="39"/>
      <c r="J666" s="39"/>
      <c r="K666" s="39"/>
      <c r="L666" s="39"/>
      <c r="M666" s="39"/>
      <c r="N666" s="39"/>
      <c r="O666" s="39"/>
      <c r="P666" s="39"/>
    </row>
    <row r="667" spans="1:16" x14ac:dyDescent="0.2">
      <c r="A667" s="47" t="str">
        <v>0:00</v>
      </c>
      <c r="B667" s="103"/>
      <c r="C667" s="39"/>
      <c r="D667" s="39"/>
      <c r="E667" s="39"/>
      <c r="F667" s="39"/>
      <c r="G667" s="39"/>
      <c r="H667" s="39"/>
      <c r="I667" s="39"/>
      <c r="J667" s="39"/>
      <c r="K667" s="39"/>
      <c r="L667" s="39"/>
      <c r="M667" s="39"/>
      <c r="N667" s="39"/>
      <c r="O667" s="39"/>
      <c r="P667" s="39"/>
    </row>
    <row r="668" spans="1:16" x14ac:dyDescent="0.2">
      <c r="A668" s="47" t="str">
        <v>0:00</v>
      </c>
      <c r="B668" s="103"/>
      <c r="C668" s="39"/>
      <c r="D668" s="39"/>
      <c r="E668" s="39"/>
      <c r="F668" s="39"/>
      <c r="G668" s="39"/>
      <c r="H668" s="39"/>
      <c r="I668" s="39"/>
      <c r="J668" s="39"/>
      <c r="K668" s="39"/>
      <c r="L668" s="39"/>
      <c r="M668" s="39"/>
      <c r="N668" s="39"/>
      <c r="O668" s="39"/>
      <c r="P668" s="39"/>
    </row>
    <row r="669" spans="1:16" x14ac:dyDescent="0.2">
      <c r="A669" s="47" t="str">
        <v>0:00</v>
      </c>
      <c r="B669" s="103"/>
      <c r="C669" s="39"/>
      <c r="D669" s="39"/>
      <c r="E669" s="39"/>
      <c r="F669" s="39"/>
      <c r="G669" s="39"/>
      <c r="H669" s="39"/>
      <c r="I669" s="39"/>
      <c r="J669" s="39"/>
      <c r="K669" s="39"/>
      <c r="L669" s="39"/>
      <c r="M669" s="39"/>
      <c r="N669" s="39"/>
      <c r="O669" s="39"/>
      <c r="P669" s="39"/>
    </row>
    <row r="670" spans="1:16" x14ac:dyDescent="0.2">
      <c r="A670" s="47" t="str">
        <v>0:00</v>
      </c>
      <c r="B670" s="103"/>
      <c r="C670" s="39"/>
      <c r="D670" s="39"/>
      <c r="E670" s="39"/>
      <c r="F670" s="39"/>
      <c r="G670" s="39"/>
      <c r="H670" s="39"/>
      <c r="I670" s="39"/>
      <c r="J670" s="39"/>
      <c r="K670" s="39"/>
      <c r="L670" s="39"/>
      <c r="M670" s="39"/>
      <c r="N670" s="39"/>
      <c r="O670" s="39"/>
      <c r="P670" s="39"/>
    </row>
    <row r="671" spans="1:16" x14ac:dyDescent="0.2">
      <c r="A671" s="47" t="str">
        <v>0:00</v>
      </c>
      <c r="B671" s="103"/>
      <c r="C671" s="39"/>
      <c r="D671" s="39"/>
      <c r="E671" s="39"/>
      <c r="F671" s="39"/>
      <c r="G671" s="39"/>
      <c r="H671" s="39"/>
      <c r="I671" s="39"/>
      <c r="J671" s="39"/>
      <c r="K671" s="39"/>
      <c r="L671" s="39"/>
      <c r="M671" s="39"/>
      <c r="N671" s="39"/>
      <c r="O671" s="39"/>
      <c r="P671" s="39"/>
    </row>
    <row r="672" spans="1:16" x14ac:dyDescent="0.2">
      <c r="A672" s="47" t="str">
        <v>0:00</v>
      </c>
      <c r="B672" s="103"/>
      <c r="C672" s="39"/>
      <c r="D672" s="39"/>
      <c r="E672" s="39"/>
      <c r="F672" s="39"/>
      <c r="G672" s="39"/>
      <c r="H672" s="39"/>
      <c r="I672" s="39"/>
      <c r="J672" s="39"/>
      <c r="K672" s="39"/>
      <c r="L672" s="39"/>
      <c r="M672" s="39"/>
      <c r="N672" s="39"/>
      <c r="O672" s="39"/>
      <c r="P672" s="39"/>
    </row>
    <row r="673" spans="1:16" x14ac:dyDescent="0.2">
      <c r="A673" s="47" t="str">
        <v>0:00</v>
      </c>
      <c r="B673" s="103"/>
      <c r="C673" s="39"/>
      <c r="D673" s="39"/>
      <c r="E673" s="39"/>
      <c r="F673" s="39"/>
      <c r="G673" s="39"/>
      <c r="H673" s="39"/>
      <c r="I673" s="39"/>
      <c r="J673" s="39"/>
      <c r="K673" s="39"/>
      <c r="L673" s="39"/>
      <c r="M673" s="39"/>
      <c r="N673" s="39"/>
      <c r="O673" s="39"/>
      <c r="P673" s="39"/>
    </row>
    <row r="674" spans="1:16" x14ac:dyDescent="0.2">
      <c r="A674" s="47" t="str">
        <v>0:00</v>
      </c>
      <c r="B674" s="103"/>
      <c r="C674" s="39"/>
      <c r="D674" s="39"/>
      <c r="E674" s="39"/>
      <c r="F674" s="39"/>
      <c r="G674" s="39"/>
      <c r="H674" s="39"/>
      <c r="I674" s="39"/>
      <c r="J674" s="39"/>
      <c r="K674" s="39"/>
      <c r="L674" s="39"/>
      <c r="M674" s="39"/>
      <c r="N674" s="39"/>
      <c r="O674" s="39"/>
      <c r="P674" s="39"/>
    </row>
    <row r="675" spans="1:16" x14ac:dyDescent="0.2">
      <c r="A675" s="47" t="str">
        <v>0:00</v>
      </c>
      <c r="B675" s="103"/>
      <c r="C675" s="39"/>
      <c r="D675" s="39"/>
      <c r="E675" s="39"/>
      <c r="F675" s="39"/>
      <c r="G675" s="39"/>
      <c r="H675" s="39"/>
      <c r="I675" s="39"/>
      <c r="J675" s="39"/>
      <c r="K675" s="39"/>
      <c r="L675" s="39"/>
      <c r="M675" s="39"/>
      <c r="N675" s="39"/>
      <c r="O675" s="39"/>
      <c r="P675" s="39"/>
    </row>
    <row r="676" spans="1:16" x14ac:dyDescent="0.2">
      <c r="A676" s="47" t="str">
        <v>0:00</v>
      </c>
      <c r="B676" s="103"/>
      <c r="C676" s="39"/>
      <c r="D676" s="39"/>
      <c r="E676" s="39"/>
      <c r="F676" s="39"/>
      <c r="G676" s="39"/>
      <c r="H676" s="39"/>
      <c r="I676" s="39"/>
      <c r="J676" s="39"/>
      <c r="K676" s="39"/>
      <c r="L676" s="39"/>
      <c r="M676" s="39"/>
      <c r="N676" s="39"/>
      <c r="O676" s="39"/>
      <c r="P676" s="39"/>
    </row>
    <row r="677" spans="1:16" x14ac:dyDescent="0.2">
      <c r="A677" s="47" t="str">
        <v>0:00</v>
      </c>
      <c r="B677" s="103"/>
      <c r="C677" s="39"/>
      <c r="D677" s="39"/>
      <c r="E677" s="39"/>
      <c r="F677" s="39"/>
      <c r="G677" s="39"/>
      <c r="H677" s="39"/>
      <c r="I677" s="39"/>
      <c r="J677" s="39"/>
      <c r="K677" s="39"/>
      <c r="L677" s="39"/>
      <c r="M677" s="39"/>
      <c r="N677" s="39"/>
      <c r="O677" s="39"/>
      <c r="P677" s="39"/>
    </row>
    <row r="678" spans="1:16" x14ac:dyDescent="0.2">
      <c r="A678" s="47" t="str">
        <v>0:00</v>
      </c>
      <c r="B678" s="103"/>
      <c r="C678" s="39"/>
      <c r="D678" s="39"/>
      <c r="E678" s="39"/>
      <c r="F678" s="39"/>
      <c r="G678" s="39"/>
      <c r="H678" s="39"/>
      <c r="I678" s="39"/>
      <c r="J678" s="39"/>
      <c r="K678" s="39"/>
      <c r="L678" s="39"/>
      <c r="M678" s="39"/>
      <c r="N678" s="39"/>
      <c r="O678" s="39"/>
      <c r="P678" s="39"/>
    </row>
    <row r="679" spans="1:16" x14ac:dyDescent="0.2">
      <c r="A679" s="47" t="str">
        <v>0:00</v>
      </c>
      <c r="B679" s="103"/>
      <c r="C679" s="39"/>
      <c r="D679" s="39"/>
      <c r="E679" s="39"/>
      <c r="F679" s="39"/>
      <c r="G679" s="39"/>
      <c r="H679" s="39"/>
      <c r="I679" s="39"/>
      <c r="J679" s="39"/>
      <c r="K679" s="39"/>
      <c r="L679" s="39"/>
      <c r="M679" s="39"/>
      <c r="N679" s="39"/>
      <c r="O679" s="39"/>
      <c r="P679" s="39"/>
    </row>
    <row r="680" spans="1:16" x14ac:dyDescent="0.2">
      <c r="A680" s="47" t="str">
        <v>0:00</v>
      </c>
      <c r="B680" s="103"/>
      <c r="C680" s="39"/>
      <c r="D680" s="39"/>
      <c r="E680" s="39"/>
      <c r="F680" s="39"/>
      <c r="G680" s="39"/>
      <c r="H680" s="39"/>
      <c r="I680" s="39"/>
      <c r="J680" s="39"/>
      <c r="K680" s="39"/>
      <c r="L680" s="39"/>
      <c r="M680" s="39"/>
      <c r="N680" s="39"/>
      <c r="O680" s="39"/>
      <c r="P680" s="39"/>
    </row>
    <row r="681" spans="1:16" x14ac:dyDescent="0.2">
      <c r="A681" s="47" t="str">
        <v>0:00</v>
      </c>
      <c r="B681" s="103"/>
      <c r="C681" s="39"/>
      <c r="D681" s="39"/>
      <c r="E681" s="39"/>
      <c r="F681" s="39"/>
      <c r="G681" s="39"/>
      <c r="H681" s="39"/>
      <c r="I681" s="39"/>
      <c r="J681" s="39"/>
      <c r="K681" s="39"/>
      <c r="L681" s="39"/>
      <c r="M681" s="39"/>
      <c r="N681" s="39"/>
      <c r="O681" s="39"/>
      <c r="P681" s="39"/>
    </row>
    <row r="682" spans="1:16" x14ac:dyDescent="0.2">
      <c r="A682" s="47" t="str">
        <v>0:00</v>
      </c>
      <c r="B682" s="103"/>
      <c r="C682" s="39"/>
      <c r="D682" s="39"/>
      <c r="E682" s="39"/>
      <c r="F682" s="39"/>
      <c r="G682" s="39"/>
      <c r="H682" s="39"/>
      <c r="I682" s="39"/>
      <c r="J682" s="39"/>
      <c r="K682" s="39"/>
      <c r="L682" s="39"/>
      <c r="M682" s="39"/>
      <c r="N682" s="39"/>
      <c r="O682" s="39"/>
      <c r="P682" s="39"/>
    </row>
    <row r="683" spans="1:16" x14ac:dyDescent="0.2">
      <c r="A683" s="47" t="str">
        <v>0:00</v>
      </c>
      <c r="B683" s="103"/>
      <c r="C683" s="39"/>
      <c r="D683" s="39"/>
      <c r="E683" s="39"/>
      <c r="F683" s="39"/>
      <c r="G683" s="39"/>
      <c r="H683" s="39"/>
      <c r="I683" s="39"/>
      <c r="J683" s="39"/>
      <c r="K683" s="39"/>
      <c r="L683" s="39"/>
      <c r="M683" s="39"/>
      <c r="N683" s="39"/>
      <c r="O683" s="39"/>
      <c r="P683" s="39"/>
    </row>
    <row r="684" spans="1:16" x14ac:dyDescent="0.2">
      <c r="A684" s="47" t="str">
        <v>0:00</v>
      </c>
      <c r="B684" s="103"/>
      <c r="C684" s="39"/>
      <c r="D684" s="39"/>
      <c r="E684" s="39"/>
      <c r="F684" s="39"/>
      <c r="G684" s="39"/>
      <c r="H684" s="39"/>
      <c r="I684" s="39"/>
      <c r="J684" s="39"/>
      <c r="K684" s="39"/>
      <c r="L684" s="39"/>
      <c r="M684" s="39"/>
      <c r="N684" s="39"/>
      <c r="O684" s="39"/>
      <c r="P684" s="39"/>
    </row>
    <row r="685" spans="1:16" x14ac:dyDescent="0.2">
      <c r="A685" s="47" t="str">
        <v>0:00</v>
      </c>
      <c r="B685" s="103"/>
      <c r="C685" s="39"/>
      <c r="D685" s="39"/>
      <c r="E685" s="39"/>
      <c r="F685" s="39"/>
      <c r="G685" s="39"/>
      <c r="H685" s="39"/>
      <c r="I685" s="39"/>
      <c r="J685" s="39"/>
      <c r="K685" s="39"/>
      <c r="L685" s="39"/>
      <c r="M685" s="39"/>
      <c r="N685" s="39"/>
      <c r="O685" s="39"/>
      <c r="P685" s="39"/>
    </row>
    <row r="686" spans="1:16" x14ac:dyDescent="0.2">
      <c r="A686" s="47" t="str">
        <v>0:00</v>
      </c>
      <c r="B686" s="103"/>
      <c r="C686" s="39"/>
      <c r="D686" s="39"/>
      <c r="E686" s="39"/>
      <c r="F686" s="39"/>
      <c r="G686" s="39"/>
      <c r="H686" s="39"/>
      <c r="I686" s="39"/>
      <c r="J686" s="39"/>
      <c r="K686" s="39"/>
      <c r="L686" s="39"/>
      <c r="M686" s="39"/>
      <c r="N686" s="39"/>
      <c r="O686" s="39"/>
      <c r="P686" s="39"/>
    </row>
    <row r="687" spans="1:16" x14ac:dyDescent="0.2">
      <c r="A687" s="47" t="str">
        <v>0:00</v>
      </c>
      <c r="B687" s="103"/>
      <c r="C687" s="39"/>
      <c r="D687" s="39"/>
      <c r="E687" s="39"/>
      <c r="F687" s="39"/>
      <c r="G687" s="39"/>
      <c r="H687" s="39"/>
      <c r="I687" s="39"/>
      <c r="J687" s="39"/>
      <c r="K687" s="39"/>
      <c r="L687" s="39"/>
      <c r="M687" s="39"/>
      <c r="N687" s="39"/>
      <c r="O687" s="39"/>
      <c r="P687" s="39"/>
    </row>
    <row r="688" spans="1:16" x14ac:dyDescent="0.2">
      <c r="A688" s="47" t="str">
        <v>0:00</v>
      </c>
      <c r="B688" s="103"/>
      <c r="C688" s="39"/>
      <c r="D688" s="39"/>
      <c r="E688" s="39"/>
      <c r="F688" s="39"/>
      <c r="G688" s="39"/>
      <c r="H688" s="39"/>
      <c r="I688" s="39"/>
      <c r="J688" s="39"/>
      <c r="K688" s="39"/>
      <c r="L688" s="39"/>
      <c r="M688" s="39"/>
      <c r="N688" s="39"/>
      <c r="O688" s="39"/>
      <c r="P688" s="39"/>
    </row>
    <row r="689" spans="1:16" x14ac:dyDescent="0.2">
      <c r="A689" s="47" t="str">
        <v>0:00</v>
      </c>
      <c r="B689" s="103"/>
      <c r="C689" s="39"/>
      <c r="D689" s="39"/>
      <c r="E689" s="39"/>
      <c r="F689" s="39"/>
      <c r="G689" s="39"/>
      <c r="H689" s="39"/>
      <c r="I689" s="39"/>
      <c r="J689" s="39"/>
      <c r="K689" s="39"/>
      <c r="L689" s="39"/>
      <c r="M689" s="39"/>
      <c r="N689" s="39"/>
      <c r="O689" s="39"/>
      <c r="P689" s="39"/>
    </row>
    <row r="690" spans="1:16" x14ac:dyDescent="0.2">
      <c r="A690" s="47" t="str">
        <v>0:00</v>
      </c>
      <c r="B690" s="103"/>
      <c r="C690" s="39"/>
      <c r="D690" s="39"/>
      <c r="E690" s="39"/>
      <c r="F690" s="39"/>
      <c r="G690" s="39"/>
      <c r="H690" s="39"/>
      <c r="I690" s="39"/>
      <c r="J690" s="39"/>
      <c r="K690" s="39"/>
      <c r="L690" s="39"/>
      <c r="M690" s="39"/>
      <c r="N690" s="39"/>
      <c r="O690" s="39"/>
      <c r="P690" s="39"/>
    </row>
    <row r="691" spans="1:16" x14ac:dyDescent="0.2">
      <c r="A691" s="47" t="str">
        <v>0:00</v>
      </c>
      <c r="B691" s="103"/>
      <c r="C691" s="39"/>
      <c r="D691" s="39"/>
      <c r="E691" s="39"/>
      <c r="F691" s="39"/>
      <c r="G691" s="39"/>
      <c r="H691" s="39"/>
      <c r="I691" s="39"/>
      <c r="J691" s="39"/>
      <c r="K691" s="39"/>
      <c r="L691" s="39"/>
      <c r="M691" s="39"/>
      <c r="N691" s="39"/>
      <c r="O691" s="39"/>
      <c r="P691" s="39"/>
    </row>
    <row r="692" spans="1:16" x14ac:dyDescent="0.2">
      <c r="A692" s="47" t="str">
        <v>0:00</v>
      </c>
      <c r="B692" s="103"/>
      <c r="C692" s="39"/>
      <c r="D692" s="39"/>
      <c r="E692" s="39"/>
      <c r="F692" s="39"/>
      <c r="G692" s="39"/>
      <c r="H692" s="39"/>
      <c r="I692" s="39"/>
      <c r="J692" s="39"/>
      <c r="K692" s="39"/>
      <c r="L692" s="39"/>
      <c r="M692" s="39"/>
      <c r="N692" s="39"/>
      <c r="O692" s="39"/>
      <c r="P692" s="39"/>
    </row>
    <row r="693" spans="1:16" x14ac:dyDescent="0.2">
      <c r="A693" s="47" t="str">
        <v>0:00</v>
      </c>
      <c r="B693" s="103"/>
      <c r="C693" s="39"/>
      <c r="D693" s="39"/>
      <c r="E693" s="39"/>
      <c r="F693" s="39"/>
      <c r="G693" s="39"/>
      <c r="H693" s="39"/>
      <c r="I693" s="39"/>
      <c r="J693" s="39"/>
      <c r="K693" s="39"/>
      <c r="L693" s="39"/>
      <c r="M693" s="39"/>
      <c r="N693" s="39"/>
      <c r="O693" s="39"/>
      <c r="P693" s="39"/>
    </row>
    <row r="694" spans="1:16" x14ac:dyDescent="0.2">
      <c r="A694" s="47" t="str">
        <v>0:00</v>
      </c>
      <c r="B694" s="103"/>
      <c r="C694" s="39"/>
      <c r="D694" s="39"/>
      <c r="E694" s="39"/>
      <c r="F694" s="39"/>
      <c r="G694" s="39"/>
      <c r="H694" s="39"/>
      <c r="I694" s="39"/>
      <c r="J694" s="39"/>
      <c r="K694" s="39"/>
      <c r="L694" s="39"/>
      <c r="M694" s="39"/>
      <c r="N694" s="39"/>
      <c r="O694" s="39"/>
      <c r="P694" s="39"/>
    </row>
    <row r="695" spans="1:16" x14ac:dyDescent="0.2">
      <c r="A695" s="47" t="str">
        <v>0:00</v>
      </c>
      <c r="B695" s="103"/>
      <c r="C695" s="39"/>
      <c r="D695" s="39"/>
      <c r="E695" s="39"/>
      <c r="F695" s="39"/>
      <c r="G695" s="39"/>
      <c r="H695" s="39"/>
      <c r="I695" s="39"/>
      <c r="J695" s="39"/>
      <c r="K695" s="39"/>
      <c r="L695" s="39"/>
      <c r="M695" s="39"/>
      <c r="N695" s="39"/>
      <c r="O695" s="39"/>
      <c r="P695" s="39"/>
    </row>
    <row r="696" spans="1:16" x14ac:dyDescent="0.2">
      <c r="A696" s="47" t="str">
        <v>0:00</v>
      </c>
      <c r="B696" s="103"/>
      <c r="C696" s="39"/>
      <c r="D696" s="39"/>
      <c r="E696" s="39"/>
      <c r="F696" s="39"/>
      <c r="G696" s="39"/>
      <c r="H696" s="39"/>
      <c r="I696" s="39"/>
      <c r="J696" s="39"/>
      <c r="K696" s="39"/>
      <c r="L696" s="39"/>
      <c r="M696" s="39"/>
      <c r="N696" s="39"/>
      <c r="O696" s="39"/>
      <c r="P696" s="39"/>
    </row>
    <row r="697" spans="1:16" x14ac:dyDescent="0.2">
      <c r="A697" s="47" t="str">
        <v>0:00</v>
      </c>
      <c r="B697" s="103"/>
      <c r="C697" s="39"/>
      <c r="D697" s="39"/>
      <c r="E697" s="39"/>
      <c r="F697" s="39"/>
      <c r="G697" s="39"/>
      <c r="H697" s="39"/>
      <c r="I697" s="39"/>
      <c r="J697" s="39"/>
      <c r="K697" s="39"/>
      <c r="L697" s="39"/>
      <c r="M697" s="39"/>
      <c r="N697" s="39"/>
      <c r="O697" s="39"/>
      <c r="P697" s="39"/>
    </row>
    <row r="698" spans="1:16" x14ac:dyDescent="0.2">
      <c r="A698" s="47" t="str">
        <v>0:00</v>
      </c>
      <c r="B698" s="103"/>
      <c r="C698" s="39"/>
      <c r="D698" s="39"/>
      <c r="E698" s="39"/>
      <c r="F698" s="39"/>
      <c r="G698" s="39"/>
      <c r="H698" s="39"/>
      <c r="I698" s="39"/>
      <c r="J698" s="39"/>
      <c r="K698" s="39"/>
      <c r="L698" s="39"/>
      <c r="M698" s="39"/>
      <c r="N698" s="39"/>
      <c r="O698" s="39"/>
      <c r="P698" s="39"/>
    </row>
    <row r="699" spans="1:16" x14ac:dyDescent="0.2">
      <c r="A699" s="47" t="str">
        <v>0:00</v>
      </c>
      <c r="B699" s="103"/>
      <c r="C699" s="39"/>
      <c r="D699" s="39"/>
      <c r="E699" s="39"/>
      <c r="F699" s="39"/>
      <c r="G699" s="39"/>
      <c r="H699" s="39"/>
      <c r="I699" s="39"/>
      <c r="J699" s="39"/>
      <c r="K699" s="39"/>
      <c r="L699" s="39"/>
      <c r="M699" s="39"/>
      <c r="N699" s="39"/>
      <c r="O699" s="39"/>
      <c r="P699" s="39"/>
    </row>
    <row r="700" spans="1:16" x14ac:dyDescent="0.2">
      <c r="A700" s="47" t="str">
        <v>0:00</v>
      </c>
      <c r="B700" s="103"/>
      <c r="C700" s="39"/>
      <c r="D700" s="39"/>
      <c r="E700" s="39"/>
      <c r="F700" s="39"/>
      <c r="G700" s="39"/>
      <c r="H700" s="39"/>
      <c r="I700" s="39"/>
      <c r="J700" s="39"/>
      <c r="K700" s="39"/>
      <c r="L700" s="39"/>
      <c r="M700" s="39"/>
      <c r="N700" s="39"/>
      <c r="O700" s="39"/>
      <c r="P700" s="39"/>
    </row>
    <row r="701" spans="1:16" x14ac:dyDescent="0.2">
      <c r="A701" s="47" t="str">
        <v>0:00</v>
      </c>
      <c r="B701" s="103"/>
      <c r="C701" s="39"/>
      <c r="D701" s="39"/>
      <c r="E701" s="39"/>
      <c r="F701" s="39"/>
      <c r="G701" s="39"/>
      <c r="H701" s="39"/>
      <c r="I701" s="39"/>
      <c r="J701" s="39"/>
      <c r="K701" s="39"/>
      <c r="L701" s="39"/>
      <c r="M701" s="39"/>
      <c r="N701" s="39"/>
      <c r="O701" s="39"/>
      <c r="P701" s="39"/>
    </row>
    <row r="702" spans="1:16" x14ac:dyDescent="0.2">
      <c r="A702" s="47" t="str">
        <v>0:00</v>
      </c>
      <c r="B702" s="103"/>
      <c r="C702" s="39"/>
      <c r="D702" s="39"/>
      <c r="E702" s="39"/>
      <c r="F702" s="39"/>
      <c r="G702" s="39"/>
      <c r="H702" s="39"/>
      <c r="I702" s="39"/>
      <c r="J702" s="39"/>
      <c r="K702" s="39"/>
      <c r="L702" s="39"/>
      <c r="M702" s="39"/>
      <c r="N702" s="39"/>
      <c r="O702" s="39"/>
      <c r="P702" s="39"/>
    </row>
    <row r="703" spans="1:16" x14ac:dyDescent="0.2">
      <c r="A703" s="47" t="str">
        <v>0:00</v>
      </c>
      <c r="B703" s="103"/>
      <c r="C703" s="39"/>
      <c r="D703" s="39"/>
      <c r="E703" s="39"/>
      <c r="F703" s="39"/>
      <c r="G703" s="39"/>
      <c r="H703" s="39"/>
      <c r="I703" s="39"/>
      <c r="J703" s="39"/>
      <c r="K703" s="39"/>
      <c r="L703" s="39"/>
      <c r="M703" s="39"/>
      <c r="N703" s="39"/>
      <c r="O703" s="39"/>
      <c r="P703" s="39"/>
    </row>
    <row r="704" spans="1:16" x14ac:dyDescent="0.2">
      <c r="A704" s="47" t="str">
        <v>0:00</v>
      </c>
      <c r="B704" s="103"/>
      <c r="C704" s="39"/>
      <c r="D704" s="39"/>
      <c r="E704" s="39"/>
      <c r="F704" s="39"/>
      <c r="G704" s="39"/>
      <c r="H704" s="39"/>
      <c r="I704" s="39"/>
      <c r="J704" s="39"/>
      <c r="K704" s="39"/>
      <c r="L704" s="39"/>
      <c r="M704" s="39"/>
      <c r="N704" s="39"/>
      <c r="O704" s="39"/>
      <c r="P704" s="39"/>
    </row>
    <row r="705" spans="1:16" x14ac:dyDescent="0.2">
      <c r="A705" s="47" t="str">
        <v>0:00</v>
      </c>
      <c r="B705" s="103"/>
      <c r="C705" s="39"/>
      <c r="D705" s="39"/>
      <c r="E705" s="39"/>
      <c r="F705" s="39"/>
      <c r="G705" s="39"/>
      <c r="H705" s="39"/>
      <c r="I705" s="39"/>
      <c r="J705" s="39"/>
      <c r="K705" s="39"/>
      <c r="L705" s="39"/>
      <c r="M705" s="39"/>
      <c r="N705" s="39"/>
      <c r="O705" s="39"/>
      <c r="P705" s="39"/>
    </row>
    <row r="706" spans="1:16" x14ac:dyDescent="0.2">
      <c r="A706" s="47" t="str">
        <v>0:00</v>
      </c>
      <c r="B706" s="103"/>
      <c r="C706" s="39"/>
      <c r="D706" s="39"/>
      <c r="E706" s="39"/>
      <c r="F706" s="39"/>
      <c r="G706" s="39"/>
      <c r="H706" s="39"/>
      <c r="I706" s="39"/>
      <c r="J706" s="39"/>
      <c r="K706" s="39"/>
      <c r="L706" s="39"/>
      <c r="M706" s="39"/>
      <c r="N706" s="39"/>
      <c r="O706" s="39"/>
      <c r="P706" s="39"/>
    </row>
    <row r="707" spans="1:16" x14ac:dyDescent="0.2">
      <c r="A707" s="47" t="str">
        <v>0:00</v>
      </c>
      <c r="B707" s="103"/>
      <c r="C707" s="39"/>
      <c r="D707" s="39"/>
      <c r="E707" s="39"/>
      <c r="F707" s="39"/>
      <c r="G707" s="39"/>
      <c r="H707" s="39"/>
      <c r="I707" s="39"/>
      <c r="J707" s="39"/>
      <c r="K707" s="39"/>
      <c r="L707" s="39"/>
      <c r="M707" s="39"/>
      <c r="N707" s="39"/>
      <c r="O707" s="39"/>
      <c r="P707" s="39"/>
    </row>
    <row r="708" spans="1:16" x14ac:dyDescent="0.2">
      <c r="A708" s="47" t="str">
        <v>0:00</v>
      </c>
      <c r="B708" s="103"/>
      <c r="C708" s="39"/>
      <c r="D708" s="39"/>
      <c r="E708" s="39"/>
      <c r="F708" s="39"/>
      <c r="G708" s="39"/>
      <c r="H708" s="39"/>
      <c r="I708" s="39"/>
      <c r="J708" s="39"/>
      <c r="K708" s="39"/>
      <c r="L708" s="39"/>
      <c r="M708" s="39"/>
      <c r="N708" s="39"/>
      <c r="O708" s="39"/>
      <c r="P708" s="39"/>
    </row>
    <row r="709" spans="1:16" x14ac:dyDescent="0.2">
      <c r="A709" s="47" t="str">
        <v>0:00</v>
      </c>
      <c r="B709" s="103"/>
      <c r="C709" s="39"/>
      <c r="D709" s="39"/>
      <c r="E709" s="39"/>
      <c r="F709" s="39"/>
      <c r="G709" s="39"/>
      <c r="H709" s="39"/>
      <c r="I709" s="39"/>
      <c r="J709" s="39"/>
      <c r="K709" s="39"/>
      <c r="L709" s="39"/>
      <c r="M709" s="39"/>
      <c r="N709" s="39"/>
      <c r="O709" s="39"/>
      <c r="P709" s="39"/>
    </row>
    <row r="710" spans="1:16" x14ac:dyDescent="0.2">
      <c r="A710" s="47" t="str">
        <v>0:00</v>
      </c>
      <c r="B710" s="103"/>
      <c r="C710" s="39"/>
      <c r="D710" s="39"/>
      <c r="E710" s="39"/>
      <c r="F710" s="39"/>
      <c r="G710" s="39"/>
      <c r="H710" s="39"/>
      <c r="I710" s="39"/>
      <c r="J710" s="39"/>
      <c r="K710" s="39"/>
      <c r="L710" s="39"/>
      <c r="M710" s="39"/>
      <c r="N710" s="39"/>
      <c r="O710" s="39"/>
      <c r="P710" s="39"/>
    </row>
    <row r="711" spans="1:16" x14ac:dyDescent="0.2">
      <c r="A711" s="47" t="str">
        <v>0:00</v>
      </c>
      <c r="B711" s="103"/>
      <c r="C711" s="39"/>
      <c r="D711" s="39"/>
      <c r="E711" s="39"/>
      <c r="F711" s="39"/>
      <c r="G711" s="39"/>
      <c r="H711" s="39"/>
      <c r="I711" s="39"/>
      <c r="J711" s="39"/>
      <c r="K711" s="39"/>
      <c r="L711" s="39"/>
      <c r="M711" s="39"/>
      <c r="N711" s="39"/>
      <c r="O711" s="39"/>
      <c r="P711" s="39"/>
    </row>
    <row r="712" spans="1:16" x14ac:dyDescent="0.2">
      <c r="A712" s="47" t="str">
        <v>0:00</v>
      </c>
      <c r="B712" s="103"/>
      <c r="C712" s="39"/>
      <c r="D712" s="39"/>
      <c r="E712" s="39"/>
      <c r="F712" s="39"/>
      <c r="G712" s="39"/>
      <c r="H712" s="39"/>
      <c r="I712" s="39"/>
      <c r="J712" s="39"/>
      <c r="K712" s="39"/>
      <c r="L712" s="39"/>
      <c r="M712" s="39"/>
      <c r="N712" s="39"/>
      <c r="O712" s="39"/>
      <c r="P712" s="39"/>
    </row>
    <row r="713" spans="1:16" x14ac:dyDescent="0.2">
      <c r="A713" s="47" t="str">
        <v>0:00</v>
      </c>
      <c r="B713" s="103"/>
      <c r="C713" s="39"/>
      <c r="D713" s="39"/>
      <c r="E713" s="39"/>
      <c r="F713" s="39"/>
      <c r="G713" s="39"/>
      <c r="H713" s="39"/>
      <c r="I713" s="39"/>
      <c r="J713" s="39"/>
      <c r="K713" s="39"/>
      <c r="L713" s="39"/>
      <c r="M713" s="39"/>
      <c r="N713" s="39"/>
      <c r="O713" s="39"/>
      <c r="P713" s="39"/>
    </row>
    <row r="714" spans="1:16" x14ac:dyDescent="0.2">
      <c r="A714" s="47" t="str">
        <v>0:00</v>
      </c>
      <c r="B714" s="103"/>
      <c r="C714" s="39"/>
      <c r="D714" s="39"/>
      <c r="E714" s="39"/>
      <c r="F714" s="39"/>
      <c r="G714" s="39"/>
      <c r="H714" s="39"/>
      <c r="I714" s="39"/>
      <c r="J714" s="39"/>
      <c r="K714" s="39"/>
      <c r="L714" s="39"/>
      <c r="M714" s="39"/>
      <c r="N714" s="39"/>
      <c r="O714" s="39"/>
      <c r="P714" s="39"/>
    </row>
    <row r="715" spans="1:16" x14ac:dyDescent="0.2">
      <c r="A715" s="47" t="str">
        <v>0:00</v>
      </c>
      <c r="B715" s="103"/>
      <c r="C715" s="39"/>
      <c r="D715" s="39"/>
      <c r="E715" s="39"/>
      <c r="F715" s="39"/>
      <c r="G715" s="39"/>
      <c r="H715" s="39"/>
      <c r="I715" s="39"/>
      <c r="J715" s="39"/>
      <c r="K715" s="39"/>
      <c r="L715" s="39"/>
      <c r="M715" s="39"/>
      <c r="N715" s="39"/>
      <c r="O715" s="39"/>
      <c r="P715" s="39"/>
    </row>
    <row r="716" spans="1:16" x14ac:dyDescent="0.2">
      <c r="A716" s="47" t="str">
        <v>0:00</v>
      </c>
      <c r="B716" s="103"/>
      <c r="C716" s="39"/>
      <c r="D716" s="39"/>
      <c r="E716" s="39"/>
      <c r="F716" s="39"/>
      <c r="G716" s="39"/>
      <c r="H716" s="39"/>
      <c r="I716" s="39"/>
      <c r="J716" s="39"/>
      <c r="K716" s="39"/>
      <c r="L716" s="39"/>
      <c r="M716" s="39"/>
      <c r="N716" s="39"/>
      <c r="O716" s="39"/>
      <c r="P716" s="39"/>
    </row>
    <row r="717" spans="1:16" x14ac:dyDescent="0.2">
      <c r="A717" s="47" t="str">
        <v>0:00</v>
      </c>
      <c r="B717" s="103"/>
      <c r="C717" s="39"/>
      <c r="D717" s="39"/>
      <c r="E717" s="39"/>
      <c r="F717" s="39"/>
      <c r="G717" s="39"/>
      <c r="H717" s="39"/>
      <c r="I717" s="39"/>
      <c r="J717" s="39"/>
      <c r="K717" s="39"/>
      <c r="L717" s="39"/>
      <c r="M717" s="39"/>
      <c r="N717" s="39"/>
      <c r="O717" s="39"/>
      <c r="P717" s="39"/>
    </row>
    <row r="718" spans="1:16" x14ac:dyDescent="0.2">
      <c r="A718" s="47" t="str">
        <v>0:00</v>
      </c>
      <c r="B718" s="103"/>
      <c r="C718" s="39"/>
      <c r="D718" s="39"/>
      <c r="E718" s="39"/>
      <c r="F718" s="39"/>
      <c r="G718" s="39"/>
      <c r="H718" s="39"/>
      <c r="I718" s="39"/>
      <c r="J718" s="39"/>
      <c r="K718" s="39"/>
      <c r="L718" s="39"/>
      <c r="M718" s="39"/>
      <c r="N718" s="39"/>
      <c r="O718" s="39"/>
      <c r="P718" s="39"/>
    </row>
    <row r="719" spans="1:16" x14ac:dyDescent="0.2">
      <c r="A719" s="47" t="str">
        <v>0:00</v>
      </c>
      <c r="B719" s="103"/>
      <c r="C719" s="39"/>
      <c r="D719" s="39"/>
      <c r="E719" s="39"/>
      <c r="F719" s="39"/>
      <c r="G719" s="39"/>
      <c r="H719" s="39"/>
      <c r="I719" s="39"/>
      <c r="J719" s="39"/>
      <c r="K719" s="39"/>
      <c r="L719" s="39"/>
      <c r="M719" s="39"/>
      <c r="N719" s="39"/>
      <c r="O719" s="39"/>
      <c r="P719" s="39"/>
    </row>
    <row r="720" spans="1:16" x14ac:dyDescent="0.2">
      <c r="A720" s="47" t="str">
        <v>0:00</v>
      </c>
      <c r="B720" s="103"/>
      <c r="C720" s="39"/>
      <c r="D720" s="39"/>
      <c r="E720" s="39"/>
      <c r="F720" s="39"/>
      <c r="G720" s="39"/>
      <c r="H720" s="39"/>
      <c r="I720" s="39"/>
      <c r="J720" s="39"/>
      <c r="K720" s="39"/>
      <c r="L720" s="39"/>
      <c r="M720" s="39"/>
      <c r="N720" s="39"/>
      <c r="O720" s="39"/>
      <c r="P720" s="39"/>
    </row>
    <row r="721" spans="1:16" x14ac:dyDescent="0.2">
      <c r="A721" s="47" t="str">
        <v>0:00</v>
      </c>
      <c r="B721" s="103"/>
      <c r="C721" s="39"/>
      <c r="D721" s="39"/>
      <c r="E721" s="39"/>
      <c r="F721" s="39"/>
      <c r="G721" s="39"/>
      <c r="H721" s="39"/>
      <c r="I721" s="39"/>
      <c r="J721" s="39"/>
      <c r="K721" s="39"/>
      <c r="L721" s="39"/>
      <c r="M721" s="39"/>
      <c r="N721" s="39"/>
      <c r="O721" s="39"/>
      <c r="P721" s="39"/>
    </row>
    <row r="722" spans="1:16" x14ac:dyDescent="0.2">
      <c r="A722" s="47" t="str">
        <v>0:00</v>
      </c>
      <c r="B722" s="103"/>
      <c r="C722" s="39"/>
      <c r="D722" s="39"/>
      <c r="E722" s="39"/>
      <c r="F722" s="39"/>
      <c r="G722" s="39"/>
      <c r="H722" s="39"/>
      <c r="I722" s="39"/>
      <c r="J722" s="39"/>
      <c r="K722" s="39"/>
      <c r="L722" s="39"/>
      <c r="M722" s="39"/>
      <c r="N722" s="39"/>
      <c r="O722" s="39"/>
      <c r="P722" s="39"/>
    </row>
    <row r="723" spans="1:16" x14ac:dyDescent="0.2">
      <c r="A723" s="47" t="str">
        <v>0:00</v>
      </c>
      <c r="B723" s="103"/>
      <c r="C723" s="39"/>
      <c r="D723" s="39"/>
      <c r="E723" s="39"/>
      <c r="F723" s="39"/>
      <c r="G723" s="39"/>
      <c r="H723" s="39"/>
      <c r="I723" s="39"/>
      <c r="J723" s="39"/>
      <c r="K723" s="39"/>
      <c r="L723" s="39"/>
      <c r="M723" s="39"/>
      <c r="N723" s="39"/>
      <c r="O723" s="39"/>
      <c r="P723" s="39"/>
    </row>
    <row r="724" spans="1:16" x14ac:dyDescent="0.2">
      <c r="A724" s="47" t="str">
        <v>0:00</v>
      </c>
      <c r="B724" s="103"/>
      <c r="C724" s="39"/>
      <c r="D724" s="39"/>
      <c r="E724" s="39"/>
      <c r="F724" s="39"/>
      <c r="G724" s="39"/>
      <c r="H724" s="39"/>
      <c r="I724" s="39"/>
      <c r="J724" s="39"/>
      <c r="K724" s="39"/>
      <c r="L724" s="39"/>
      <c r="M724" s="39"/>
      <c r="N724" s="39"/>
      <c r="O724" s="39"/>
      <c r="P724" s="39"/>
    </row>
    <row r="725" spans="1:16" x14ac:dyDescent="0.2">
      <c r="A725" s="47" t="str">
        <v>0:00</v>
      </c>
      <c r="B725" s="103"/>
      <c r="C725" s="39"/>
      <c r="D725" s="39"/>
      <c r="E725" s="39"/>
      <c r="F725" s="39"/>
      <c r="G725" s="39"/>
      <c r="H725" s="39"/>
      <c r="I725" s="39"/>
      <c r="J725" s="39"/>
      <c r="K725" s="39"/>
      <c r="L725" s="39"/>
      <c r="M725" s="39"/>
      <c r="N725" s="39"/>
      <c r="O725" s="39"/>
      <c r="P725" s="39"/>
    </row>
    <row r="726" spans="1:16" x14ac:dyDescent="0.2">
      <c r="A726" s="47" t="str">
        <v>0:00</v>
      </c>
      <c r="B726" s="103"/>
      <c r="C726" s="39"/>
      <c r="D726" s="39"/>
      <c r="E726" s="39"/>
      <c r="F726" s="39"/>
      <c r="G726" s="39"/>
      <c r="H726" s="39"/>
      <c r="I726" s="39"/>
      <c r="J726" s="39"/>
      <c r="K726" s="39"/>
      <c r="L726" s="39"/>
      <c r="M726" s="39"/>
      <c r="N726" s="39"/>
      <c r="O726" s="39"/>
      <c r="P726" s="39"/>
    </row>
    <row r="727" spans="1:16" x14ac:dyDescent="0.2">
      <c r="A727" s="47" t="str">
        <v>0:00</v>
      </c>
      <c r="B727" s="103"/>
      <c r="C727" s="39"/>
      <c r="D727" s="39"/>
      <c r="E727" s="39"/>
      <c r="F727" s="39"/>
      <c r="G727" s="39"/>
      <c r="H727" s="39"/>
      <c r="I727" s="39"/>
      <c r="J727" s="39"/>
      <c r="K727" s="39"/>
      <c r="L727" s="39"/>
      <c r="M727" s="39"/>
      <c r="N727" s="39"/>
      <c r="O727" s="39"/>
      <c r="P727" s="39"/>
    </row>
    <row r="728" spans="1:16" x14ac:dyDescent="0.2">
      <c r="A728" s="47" t="str">
        <v>0:00</v>
      </c>
      <c r="B728" s="103"/>
      <c r="C728" s="39"/>
      <c r="D728" s="39"/>
      <c r="E728" s="39"/>
      <c r="F728" s="39"/>
      <c r="G728" s="39"/>
      <c r="H728" s="39"/>
      <c r="I728" s="39"/>
      <c r="J728" s="39"/>
      <c r="K728" s="39"/>
      <c r="L728" s="39"/>
      <c r="M728" s="39"/>
      <c r="N728" s="39"/>
      <c r="O728" s="39"/>
      <c r="P728" s="39"/>
    </row>
    <row r="729" spans="1:16" x14ac:dyDescent="0.2">
      <c r="A729" s="47" t="str">
        <v>0:00</v>
      </c>
      <c r="B729" s="103"/>
      <c r="C729" s="39"/>
      <c r="D729" s="39"/>
      <c r="E729" s="39"/>
      <c r="F729" s="39"/>
      <c r="G729" s="39"/>
      <c r="H729" s="39"/>
      <c r="I729" s="39"/>
      <c r="J729" s="39"/>
      <c r="K729" s="39"/>
      <c r="L729" s="39"/>
      <c r="M729" s="39"/>
      <c r="N729" s="39"/>
      <c r="O729" s="39"/>
      <c r="P729" s="39"/>
    </row>
    <row r="730" spans="1:16" x14ac:dyDescent="0.2">
      <c r="A730" s="47" t="str">
        <v>0:00</v>
      </c>
      <c r="B730" s="103"/>
      <c r="C730" s="39"/>
      <c r="D730" s="39"/>
      <c r="E730" s="39"/>
      <c r="F730" s="39"/>
      <c r="G730" s="39"/>
      <c r="H730" s="39"/>
      <c r="I730" s="39"/>
      <c r="J730" s="39"/>
      <c r="K730" s="39"/>
      <c r="L730" s="39"/>
      <c r="M730" s="39"/>
      <c r="N730" s="39"/>
      <c r="O730" s="39"/>
      <c r="P730" s="39"/>
    </row>
    <row r="731" spans="1:16" x14ac:dyDescent="0.2">
      <c r="A731" s="47" t="str">
        <v>0:00</v>
      </c>
      <c r="B731" s="103"/>
      <c r="C731" s="39"/>
      <c r="D731" s="39"/>
      <c r="E731" s="39"/>
      <c r="F731" s="39"/>
      <c r="G731" s="39"/>
      <c r="H731" s="39"/>
      <c r="I731" s="39"/>
      <c r="J731" s="39"/>
      <c r="K731" s="39"/>
      <c r="L731" s="39"/>
      <c r="M731" s="39"/>
      <c r="N731" s="39"/>
      <c r="O731" s="39"/>
      <c r="P731" s="39"/>
    </row>
    <row r="732" spans="1:16" x14ac:dyDescent="0.2">
      <c r="A732" s="47" t="str">
        <v>0:00</v>
      </c>
      <c r="B732" s="103"/>
      <c r="C732" s="39"/>
      <c r="D732" s="39"/>
      <c r="E732" s="39"/>
      <c r="F732" s="39"/>
      <c r="G732" s="39"/>
      <c r="H732" s="39"/>
      <c r="I732" s="39"/>
      <c r="J732" s="39"/>
      <c r="K732" s="39"/>
      <c r="L732" s="39"/>
      <c r="M732" s="39"/>
      <c r="N732" s="39"/>
      <c r="O732" s="39"/>
      <c r="P732" s="39"/>
    </row>
    <row r="733" spans="1:16" x14ac:dyDescent="0.2">
      <c r="A733" s="47" t="str">
        <v>0:00</v>
      </c>
      <c r="B733" s="103"/>
      <c r="C733" s="39"/>
      <c r="D733" s="39"/>
      <c r="E733" s="39"/>
      <c r="F733" s="39"/>
      <c r="G733" s="39"/>
      <c r="H733" s="39"/>
      <c r="I733" s="39"/>
      <c r="J733" s="39"/>
      <c r="K733" s="39"/>
      <c r="L733" s="39"/>
      <c r="M733" s="39"/>
      <c r="N733" s="39"/>
      <c r="O733" s="39"/>
      <c r="P733" s="39"/>
    </row>
    <row r="734" spans="1:16" x14ac:dyDescent="0.2">
      <c r="A734" s="47" t="str">
        <v>0:00</v>
      </c>
      <c r="B734" s="103"/>
      <c r="C734" s="39"/>
      <c r="D734" s="39"/>
      <c r="E734" s="39"/>
      <c r="F734" s="39"/>
      <c r="G734" s="39"/>
      <c r="H734" s="39"/>
      <c r="I734" s="39"/>
      <c r="J734" s="39"/>
      <c r="K734" s="39"/>
      <c r="L734" s="39"/>
      <c r="M734" s="39"/>
      <c r="N734" s="39"/>
      <c r="O734" s="39"/>
      <c r="P734" s="39"/>
    </row>
    <row r="735" spans="1:16" x14ac:dyDescent="0.2">
      <c r="A735" s="47" t="str">
        <v>0:00</v>
      </c>
      <c r="B735" s="103"/>
      <c r="C735" s="39"/>
      <c r="D735" s="39"/>
      <c r="E735" s="39"/>
      <c r="F735" s="39"/>
      <c r="G735" s="39"/>
      <c r="H735" s="39"/>
      <c r="I735" s="39"/>
      <c r="J735" s="39"/>
      <c r="K735" s="39"/>
      <c r="L735" s="39"/>
      <c r="M735" s="39"/>
      <c r="N735" s="39"/>
      <c r="O735" s="39"/>
      <c r="P735" s="39"/>
    </row>
    <row r="736" spans="1:16" x14ac:dyDescent="0.2">
      <c r="A736" s="47" t="str">
        <v>0:00</v>
      </c>
      <c r="B736" s="103"/>
      <c r="C736" s="39"/>
      <c r="D736" s="39"/>
      <c r="E736" s="39"/>
      <c r="F736" s="39"/>
      <c r="G736" s="39"/>
      <c r="H736" s="39"/>
      <c r="I736" s="39"/>
      <c r="J736" s="39"/>
      <c r="K736" s="39"/>
      <c r="L736" s="39"/>
      <c r="M736" s="39"/>
      <c r="N736" s="39"/>
      <c r="O736" s="39"/>
      <c r="P736" s="39"/>
    </row>
    <row r="737" spans="1:16" x14ac:dyDescent="0.2">
      <c r="A737" s="47" t="str">
        <v>0:00</v>
      </c>
      <c r="B737" s="103"/>
      <c r="C737" s="39"/>
      <c r="D737" s="39"/>
      <c r="E737" s="39"/>
      <c r="F737" s="39"/>
      <c r="G737" s="39"/>
      <c r="H737" s="39"/>
      <c r="I737" s="39"/>
      <c r="J737" s="39"/>
      <c r="K737" s="39"/>
      <c r="L737" s="39"/>
      <c r="M737" s="39"/>
      <c r="N737" s="39"/>
      <c r="O737" s="39"/>
      <c r="P737" s="39"/>
    </row>
    <row r="738" spans="1:16" x14ac:dyDescent="0.2">
      <c r="A738" s="47" t="str">
        <v>0:00</v>
      </c>
      <c r="B738" s="103"/>
      <c r="C738" s="39"/>
      <c r="D738" s="39"/>
      <c r="E738" s="39"/>
      <c r="F738" s="39"/>
      <c r="G738" s="39"/>
      <c r="H738" s="39"/>
      <c r="I738" s="39"/>
      <c r="J738" s="39"/>
      <c r="K738" s="39"/>
      <c r="L738" s="39"/>
      <c r="M738" s="39"/>
      <c r="N738" s="39"/>
      <c r="O738" s="39"/>
      <c r="P738" s="39"/>
    </row>
    <row r="739" spans="1:16" x14ac:dyDescent="0.2">
      <c r="A739" s="47" t="str">
        <v>0:00</v>
      </c>
      <c r="B739" s="103"/>
      <c r="C739" s="39"/>
      <c r="D739" s="39"/>
      <c r="E739" s="39"/>
      <c r="F739" s="39"/>
      <c r="G739" s="39"/>
      <c r="H739" s="39"/>
      <c r="I739" s="39"/>
      <c r="J739" s="39"/>
      <c r="K739" s="39"/>
      <c r="L739" s="39"/>
      <c r="M739" s="39"/>
      <c r="N739" s="39"/>
      <c r="O739" s="39"/>
      <c r="P739" s="39"/>
    </row>
    <row r="740" spans="1:16" x14ac:dyDescent="0.2">
      <c r="A740" s="47" t="str">
        <v>0:00</v>
      </c>
      <c r="B740" s="103"/>
      <c r="C740" s="39"/>
      <c r="D740" s="39"/>
      <c r="E740" s="39"/>
      <c r="F740" s="39"/>
      <c r="G740" s="39"/>
      <c r="H740" s="39"/>
      <c r="I740" s="39"/>
      <c r="J740" s="39"/>
      <c r="K740" s="39"/>
      <c r="L740" s="39"/>
      <c r="M740" s="39"/>
      <c r="N740" s="39"/>
      <c r="O740" s="39"/>
      <c r="P740" s="39"/>
    </row>
    <row r="741" spans="1:16" x14ac:dyDescent="0.2">
      <c r="A741" s="47" t="str">
        <v>0:00</v>
      </c>
      <c r="B741" s="103"/>
      <c r="C741" s="39"/>
      <c r="D741" s="39"/>
      <c r="E741" s="39"/>
      <c r="F741" s="39"/>
      <c r="G741" s="39"/>
      <c r="H741" s="39"/>
      <c r="I741" s="39"/>
      <c r="J741" s="39"/>
      <c r="K741" s="39"/>
      <c r="L741" s="39"/>
      <c r="M741" s="39"/>
      <c r="N741" s="39"/>
      <c r="O741" s="39"/>
      <c r="P741" s="39"/>
    </row>
    <row r="742" spans="1:16" x14ac:dyDescent="0.2">
      <c r="A742" s="47" t="str">
        <v>0:00</v>
      </c>
      <c r="B742" s="103"/>
      <c r="C742" s="39"/>
      <c r="D742" s="39"/>
      <c r="E742" s="39"/>
      <c r="F742" s="39"/>
      <c r="G742" s="39"/>
      <c r="H742" s="39"/>
      <c r="I742" s="39"/>
      <c r="J742" s="39"/>
      <c r="K742" s="39"/>
      <c r="L742" s="39"/>
      <c r="M742" s="39"/>
      <c r="N742" s="39"/>
      <c r="O742" s="39"/>
      <c r="P742" s="39"/>
    </row>
    <row r="743" spans="1:16" x14ac:dyDescent="0.2">
      <c r="A743" s="47" t="str">
        <v>0:00</v>
      </c>
      <c r="B743" s="103"/>
      <c r="C743" s="39"/>
      <c r="D743" s="39"/>
      <c r="E743" s="39"/>
      <c r="F743" s="39"/>
      <c r="G743" s="39"/>
      <c r="H743" s="39"/>
      <c r="I743" s="39"/>
      <c r="J743" s="39"/>
      <c r="K743" s="39"/>
      <c r="L743" s="39"/>
      <c r="M743" s="39"/>
      <c r="N743" s="39"/>
      <c r="O743" s="39"/>
      <c r="P743" s="39"/>
    </row>
    <row r="744" spans="1:16" x14ac:dyDescent="0.2">
      <c r="A744" s="47" t="str">
        <v>0:00</v>
      </c>
      <c r="B744" s="103"/>
      <c r="C744" s="39"/>
      <c r="D744" s="39"/>
      <c r="E744" s="39"/>
      <c r="F744" s="39"/>
      <c r="G744" s="39"/>
      <c r="H744" s="39"/>
      <c r="I744" s="39"/>
      <c r="J744" s="39"/>
      <c r="K744" s="39"/>
      <c r="L744" s="39"/>
      <c r="M744" s="39"/>
      <c r="N744" s="39"/>
      <c r="O744" s="39"/>
      <c r="P744" s="39"/>
    </row>
    <row r="745" spans="1:16" x14ac:dyDescent="0.2">
      <c r="A745" s="47" t="str">
        <v>0:00</v>
      </c>
      <c r="B745" s="103"/>
      <c r="C745" s="39"/>
      <c r="D745" s="39"/>
      <c r="E745" s="39"/>
      <c r="F745" s="39"/>
      <c r="G745" s="39"/>
      <c r="H745" s="39"/>
      <c r="I745" s="39"/>
      <c r="J745" s="39"/>
      <c r="K745" s="39"/>
      <c r="L745" s="39"/>
      <c r="M745" s="39"/>
      <c r="N745" s="39"/>
      <c r="O745" s="39"/>
      <c r="P745" s="39"/>
    </row>
    <row r="746" spans="1:16" x14ac:dyDescent="0.2">
      <c r="A746" s="47" t="str">
        <v>0:00</v>
      </c>
      <c r="B746" s="103"/>
      <c r="C746" s="39"/>
      <c r="D746" s="39"/>
      <c r="E746" s="39"/>
      <c r="F746" s="39"/>
      <c r="G746" s="39"/>
      <c r="H746" s="39"/>
      <c r="I746" s="39"/>
      <c r="J746" s="39"/>
      <c r="K746" s="39"/>
      <c r="L746" s="39"/>
      <c r="M746" s="39"/>
      <c r="N746" s="39"/>
      <c r="O746" s="39"/>
      <c r="P746" s="39"/>
    </row>
    <row r="747" spans="1:16" x14ac:dyDescent="0.2">
      <c r="A747" s="47" t="str">
        <v>0:00</v>
      </c>
      <c r="B747" s="103"/>
      <c r="C747" s="39"/>
      <c r="D747" s="39"/>
      <c r="E747" s="39"/>
      <c r="F747" s="39"/>
      <c r="G747" s="39"/>
      <c r="H747" s="39"/>
      <c r="I747" s="39"/>
      <c r="J747" s="39"/>
      <c r="K747" s="39"/>
      <c r="L747" s="39"/>
      <c r="M747" s="39"/>
      <c r="N747" s="39"/>
      <c r="O747" s="39"/>
      <c r="P747" s="39"/>
    </row>
    <row r="748" spans="1:16" x14ac:dyDescent="0.2">
      <c r="A748" s="47" t="str">
        <v>0:00</v>
      </c>
      <c r="B748" s="103"/>
      <c r="C748" s="39"/>
      <c r="D748" s="39"/>
      <c r="E748" s="39"/>
      <c r="F748" s="39"/>
      <c r="G748" s="39"/>
      <c r="H748" s="39"/>
      <c r="I748" s="39"/>
      <c r="J748" s="39"/>
      <c r="K748" s="39"/>
      <c r="L748" s="39"/>
      <c r="M748" s="39"/>
      <c r="N748" s="39"/>
      <c r="O748" s="39"/>
      <c r="P748" s="39"/>
    </row>
    <row r="749" spans="1:16" x14ac:dyDescent="0.2">
      <c r="A749" s="47" t="str">
        <v>0:00</v>
      </c>
      <c r="B749" s="103"/>
      <c r="C749" s="39"/>
      <c r="D749" s="39"/>
      <c r="E749" s="39"/>
      <c r="F749" s="39"/>
      <c r="G749" s="39"/>
      <c r="H749" s="39"/>
      <c r="I749" s="39"/>
      <c r="J749" s="39"/>
      <c r="K749" s="39"/>
      <c r="L749" s="39"/>
      <c r="M749" s="39"/>
      <c r="N749" s="39"/>
      <c r="O749" s="39"/>
      <c r="P749" s="39"/>
    </row>
    <row r="750" spans="1:16" x14ac:dyDescent="0.2">
      <c r="A750" s="47" t="str">
        <v>0:00</v>
      </c>
      <c r="B750" s="103"/>
      <c r="C750" s="39"/>
      <c r="D750" s="39"/>
      <c r="E750" s="39"/>
      <c r="F750" s="39"/>
      <c r="G750" s="39"/>
      <c r="H750" s="39"/>
      <c r="I750" s="39"/>
      <c r="J750" s="39"/>
      <c r="K750" s="39"/>
      <c r="L750" s="39"/>
      <c r="M750" s="39"/>
      <c r="N750" s="39"/>
      <c r="O750" s="39"/>
      <c r="P750" s="39"/>
    </row>
    <row r="751" spans="1:16" x14ac:dyDescent="0.2">
      <c r="A751" s="47" t="str">
        <v>0:00</v>
      </c>
      <c r="B751" s="103"/>
      <c r="C751" s="39"/>
      <c r="D751" s="39"/>
      <c r="E751" s="39"/>
      <c r="F751" s="39"/>
      <c r="G751" s="39"/>
      <c r="H751" s="39"/>
      <c r="I751" s="39"/>
      <c r="J751" s="39"/>
      <c r="K751" s="39"/>
      <c r="L751" s="39"/>
      <c r="M751" s="39"/>
      <c r="N751" s="39"/>
      <c r="O751" s="39"/>
      <c r="P751" s="39"/>
    </row>
    <row r="752" spans="1:16" x14ac:dyDescent="0.2">
      <c r="A752" s="47" t="str">
        <v>0:00</v>
      </c>
      <c r="B752" s="103"/>
      <c r="C752" s="39"/>
      <c r="D752" s="39"/>
      <c r="E752" s="39"/>
      <c r="F752" s="39"/>
      <c r="G752" s="39"/>
      <c r="H752" s="39"/>
      <c r="I752" s="39"/>
      <c r="J752" s="39"/>
      <c r="K752" s="39"/>
      <c r="L752" s="39"/>
      <c r="M752" s="39"/>
      <c r="N752" s="39"/>
      <c r="O752" s="39"/>
      <c r="P752" s="39"/>
    </row>
    <row r="753" spans="1:16" x14ac:dyDescent="0.2">
      <c r="A753" s="47" t="str">
        <v>0:00</v>
      </c>
      <c r="B753" s="103"/>
      <c r="C753" s="39"/>
      <c r="D753" s="39"/>
      <c r="E753" s="39"/>
      <c r="F753" s="39"/>
      <c r="G753" s="39"/>
      <c r="H753" s="39"/>
      <c r="I753" s="39"/>
      <c r="J753" s="39"/>
      <c r="K753" s="39"/>
      <c r="L753" s="39"/>
      <c r="M753" s="39"/>
      <c r="N753" s="39"/>
      <c r="O753" s="39"/>
      <c r="P753" s="39"/>
    </row>
    <row r="754" spans="1:16" x14ac:dyDescent="0.2">
      <c r="A754" s="47" t="str">
        <v>0:00</v>
      </c>
      <c r="B754" s="103"/>
      <c r="C754" s="39"/>
      <c r="D754" s="39"/>
      <c r="E754" s="39"/>
      <c r="F754" s="39"/>
      <c r="G754" s="39"/>
      <c r="H754" s="39"/>
      <c r="I754" s="39"/>
      <c r="J754" s="39"/>
      <c r="K754" s="39"/>
      <c r="L754" s="39"/>
      <c r="M754" s="39"/>
      <c r="N754" s="39"/>
      <c r="O754" s="39"/>
      <c r="P754" s="39"/>
    </row>
    <row r="755" spans="1:16" x14ac:dyDescent="0.2">
      <c r="A755" s="47" t="str">
        <v>0:00</v>
      </c>
      <c r="B755" s="103"/>
      <c r="C755" s="39"/>
      <c r="D755" s="39"/>
      <c r="E755" s="39"/>
      <c r="F755" s="39"/>
      <c r="G755" s="39"/>
      <c r="H755" s="39"/>
      <c r="I755" s="39"/>
      <c r="J755" s="39"/>
      <c r="K755" s="39"/>
      <c r="L755" s="39"/>
      <c r="M755" s="39"/>
      <c r="N755" s="39"/>
      <c r="O755" s="39"/>
      <c r="P755" s="39"/>
    </row>
    <row r="756" spans="1:16" x14ac:dyDescent="0.2">
      <c r="A756" s="47" t="str">
        <v>0:00</v>
      </c>
      <c r="B756" s="103"/>
      <c r="C756" s="39"/>
      <c r="D756" s="39"/>
      <c r="E756" s="39"/>
      <c r="F756" s="39"/>
      <c r="G756" s="39"/>
      <c r="H756" s="39"/>
      <c r="I756" s="39"/>
      <c r="J756" s="39"/>
      <c r="K756" s="39"/>
      <c r="L756" s="39"/>
      <c r="M756" s="39"/>
      <c r="N756" s="39"/>
      <c r="O756" s="39"/>
      <c r="P756" s="39"/>
    </row>
    <row r="757" spans="1:16" x14ac:dyDescent="0.2">
      <c r="A757" s="47" t="str">
        <v>0:00</v>
      </c>
      <c r="B757" s="103"/>
      <c r="C757" s="39"/>
      <c r="D757" s="39"/>
      <c r="E757" s="39"/>
      <c r="F757" s="39"/>
      <c r="G757" s="39"/>
      <c r="H757" s="39"/>
      <c r="I757" s="39"/>
      <c r="J757" s="39"/>
      <c r="K757" s="39"/>
      <c r="L757" s="39"/>
      <c r="M757" s="39"/>
      <c r="N757" s="39"/>
      <c r="O757" s="39"/>
      <c r="P757" s="39"/>
    </row>
    <row r="758" spans="1:16" x14ac:dyDescent="0.2">
      <c r="A758" s="47" t="str">
        <v>0:00</v>
      </c>
      <c r="B758" s="103"/>
      <c r="C758" s="39"/>
      <c r="D758" s="39"/>
      <c r="E758" s="39"/>
      <c r="F758" s="39"/>
      <c r="G758" s="39"/>
      <c r="H758" s="39"/>
      <c r="I758" s="39"/>
      <c r="J758" s="39"/>
      <c r="K758" s="39"/>
      <c r="L758" s="39"/>
      <c r="M758" s="39"/>
      <c r="N758" s="39"/>
      <c r="O758" s="39"/>
      <c r="P758" s="39"/>
    </row>
    <row r="759" spans="1:16" x14ac:dyDescent="0.2">
      <c r="A759" s="47" t="str">
        <v>0:00</v>
      </c>
      <c r="B759" s="103"/>
      <c r="C759" s="39"/>
      <c r="D759" s="39"/>
      <c r="E759" s="39"/>
      <c r="F759" s="39"/>
      <c r="G759" s="39"/>
      <c r="H759" s="39"/>
      <c r="I759" s="39"/>
      <c r="J759" s="39"/>
      <c r="K759" s="39"/>
      <c r="L759" s="39"/>
      <c r="M759" s="39"/>
      <c r="N759" s="39"/>
      <c r="O759" s="39"/>
      <c r="P759" s="39"/>
    </row>
    <row r="760" spans="1:16" x14ac:dyDescent="0.2">
      <c r="A760" s="47" t="str">
        <v>0:00</v>
      </c>
      <c r="B760" s="103"/>
      <c r="C760" s="39"/>
      <c r="D760" s="39"/>
      <c r="E760" s="39"/>
      <c r="F760" s="39"/>
      <c r="G760" s="39"/>
      <c r="H760" s="39"/>
      <c r="I760" s="39"/>
      <c r="J760" s="39"/>
      <c r="K760" s="39"/>
      <c r="L760" s="39"/>
      <c r="M760" s="39"/>
      <c r="N760" s="39"/>
      <c r="O760" s="39"/>
      <c r="P760" s="39"/>
    </row>
    <row r="761" spans="1:16" x14ac:dyDescent="0.2">
      <c r="A761" s="47" t="str">
        <v>0:00</v>
      </c>
      <c r="B761" s="103"/>
      <c r="C761" s="39"/>
      <c r="D761" s="39"/>
      <c r="E761" s="39"/>
      <c r="F761" s="39"/>
      <c r="G761" s="39"/>
      <c r="H761" s="39"/>
      <c r="I761" s="39"/>
      <c r="J761" s="39"/>
      <c r="K761" s="39"/>
      <c r="L761" s="39"/>
      <c r="M761" s="39"/>
      <c r="N761" s="39"/>
      <c r="O761" s="39"/>
      <c r="P761" s="39"/>
    </row>
    <row r="762" spans="1:16" x14ac:dyDescent="0.2">
      <c r="A762" s="47" t="str">
        <v>0:00</v>
      </c>
      <c r="B762" s="103"/>
      <c r="C762" s="39"/>
      <c r="D762" s="39"/>
      <c r="E762" s="39"/>
      <c r="F762" s="39"/>
      <c r="G762" s="39"/>
      <c r="H762" s="39"/>
      <c r="I762" s="39"/>
      <c r="J762" s="39"/>
      <c r="K762" s="39"/>
      <c r="L762" s="39"/>
      <c r="M762" s="39"/>
      <c r="N762" s="39"/>
      <c r="O762" s="39"/>
      <c r="P762" s="39"/>
    </row>
    <row r="763" spans="1:16" x14ac:dyDescent="0.2">
      <c r="A763" s="47" t="str">
        <v>0:00</v>
      </c>
      <c r="B763" s="103"/>
      <c r="C763" s="39"/>
      <c r="D763" s="39"/>
      <c r="E763" s="39"/>
      <c r="F763" s="39"/>
      <c r="G763" s="39"/>
      <c r="H763" s="39"/>
      <c r="I763" s="39"/>
      <c r="J763" s="39"/>
      <c r="K763" s="39"/>
      <c r="L763" s="39"/>
      <c r="M763" s="39"/>
      <c r="N763" s="39"/>
      <c r="O763" s="39"/>
      <c r="P763" s="39"/>
    </row>
    <row r="764" spans="1:16" x14ac:dyDescent="0.2">
      <c r="A764" s="47" t="str">
        <v>0:00</v>
      </c>
      <c r="B764" s="103"/>
      <c r="C764" s="39"/>
      <c r="D764" s="39"/>
      <c r="E764" s="39"/>
      <c r="F764" s="39"/>
      <c r="G764" s="39"/>
      <c r="H764" s="39"/>
      <c r="I764" s="39"/>
      <c r="J764" s="39"/>
      <c r="K764" s="39"/>
      <c r="L764" s="39"/>
      <c r="M764" s="39"/>
      <c r="N764" s="39"/>
      <c r="O764" s="39"/>
      <c r="P764" s="39"/>
    </row>
    <row r="765" spans="1:16" x14ac:dyDescent="0.2">
      <c r="A765" s="47" t="str">
        <v>0:00</v>
      </c>
      <c r="B765" s="103"/>
      <c r="C765" s="39"/>
      <c r="D765" s="39"/>
      <c r="E765" s="39"/>
      <c r="F765" s="39"/>
      <c r="G765" s="39"/>
      <c r="H765" s="39"/>
      <c r="I765" s="39"/>
      <c r="J765" s="39"/>
      <c r="K765" s="39"/>
      <c r="L765" s="39"/>
      <c r="M765" s="39"/>
      <c r="N765" s="39"/>
      <c r="O765" s="39"/>
      <c r="P765" s="39"/>
    </row>
    <row r="766" spans="1:16" x14ac:dyDescent="0.2">
      <c r="A766" s="47" t="str">
        <v>0:00</v>
      </c>
      <c r="B766" s="103"/>
      <c r="C766" s="39"/>
      <c r="D766" s="39"/>
      <c r="E766" s="39"/>
      <c r="F766" s="39"/>
      <c r="G766" s="39"/>
      <c r="H766" s="39"/>
      <c r="I766" s="39"/>
      <c r="J766" s="39"/>
      <c r="K766" s="39"/>
      <c r="L766" s="39"/>
      <c r="M766" s="39"/>
      <c r="N766" s="39"/>
      <c r="O766" s="39"/>
      <c r="P766" s="39"/>
    </row>
    <row r="767" spans="1:16" x14ac:dyDescent="0.2">
      <c r="A767" s="47" t="str">
        <v>0:00</v>
      </c>
      <c r="B767" s="103"/>
      <c r="C767" s="39"/>
      <c r="D767" s="39"/>
      <c r="E767" s="39"/>
      <c r="F767" s="39"/>
      <c r="G767" s="39"/>
      <c r="H767" s="39"/>
      <c r="I767" s="39"/>
      <c r="J767" s="39"/>
      <c r="K767" s="39"/>
      <c r="L767" s="39"/>
      <c r="M767" s="39"/>
      <c r="N767" s="39"/>
      <c r="O767" s="39"/>
      <c r="P767" s="39"/>
    </row>
    <row r="768" spans="1:16" x14ac:dyDescent="0.2">
      <c r="A768" s="47" t="str">
        <v>0:00</v>
      </c>
      <c r="B768" s="103"/>
      <c r="C768" s="39"/>
      <c r="D768" s="39"/>
      <c r="E768" s="39"/>
      <c r="F768" s="39"/>
      <c r="G768" s="39"/>
      <c r="H768" s="39"/>
      <c r="I768" s="39"/>
      <c r="J768" s="39"/>
      <c r="K768" s="39"/>
      <c r="L768" s="39"/>
      <c r="M768" s="39"/>
      <c r="N768" s="39"/>
      <c r="O768" s="39"/>
      <c r="P768" s="39"/>
    </row>
    <row r="769" spans="1:16" x14ac:dyDescent="0.2">
      <c r="A769" s="47" t="str">
        <v>0:00</v>
      </c>
      <c r="B769" s="103"/>
      <c r="C769" s="39"/>
      <c r="D769" s="39"/>
      <c r="E769" s="39"/>
      <c r="F769" s="39"/>
      <c r="G769" s="39"/>
      <c r="H769" s="39"/>
      <c r="I769" s="39"/>
      <c r="J769" s="39"/>
      <c r="K769" s="39"/>
      <c r="L769" s="39"/>
      <c r="M769" s="39"/>
      <c r="N769" s="39"/>
      <c r="O769" s="39"/>
      <c r="P769" s="39"/>
    </row>
    <row r="770" spans="1:16" x14ac:dyDescent="0.2">
      <c r="A770" s="47" t="str">
        <v>0:00</v>
      </c>
      <c r="B770" s="103"/>
      <c r="C770" s="39"/>
      <c r="D770" s="39"/>
      <c r="E770" s="39"/>
      <c r="F770" s="39"/>
      <c r="G770" s="39"/>
      <c r="H770" s="39"/>
      <c r="I770" s="39"/>
      <c r="J770" s="39"/>
      <c r="K770" s="39"/>
      <c r="L770" s="39"/>
      <c r="M770" s="39"/>
      <c r="N770" s="39"/>
      <c r="O770" s="39"/>
      <c r="P770" s="39"/>
    </row>
    <row r="771" spans="1:16" x14ac:dyDescent="0.2">
      <c r="A771" s="47" t="str">
        <v>0:00</v>
      </c>
      <c r="B771" s="103"/>
      <c r="C771" s="39"/>
      <c r="D771" s="39"/>
      <c r="E771" s="39"/>
      <c r="F771" s="39"/>
      <c r="G771" s="39"/>
      <c r="H771" s="39"/>
      <c r="I771" s="39"/>
      <c r="J771" s="39"/>
      <c r="K771" s="39"/>
      <c r="L771" s="39"/>
      <c r="M771" s="39"/>
      <c r="N771" s="39"/>
      <c r="O771" s="39"/>
      <c r="P771" s="39"/>
    </row>
    <row r="772" spans="1:16" x14ac:dyDescent="0.2">
      <c r="A772" s="47" t="str">
        <v>0:00</v>
      </c>
      <c r="B772" s="103"/>
      <c r="C772" s="39"/>
      <c r="D772" s="39"/>
      <c r="E772" s="39"/>
      <c r="F772" s="39"/>
      <c r="G772" s="39"/>
      <c r="H772" s="39"/>
      <c r="I772" s="39"/>
      <c r="J772" s="39"/>
      <c r="K772" s="39"/>
      <c r="L772" s="39"/>
      <c r="M772" s="39"/>
      <c r="N772" s="39"/>
      <c r="O772" s="39"/>
      <c r="P772" s="39"/>
    </row>
    <row r="773" spans="1:16" x14ac:dyDescent="0.2">
      <c r="A773" s="47" t="str">
        <v>0:00</v>
      </c>
      <c r="B773" s="103"/>
      <c r="C773" s="39"/>
      <c r="D773" s="39"/>
      <c r="E773" s="39"/>
      <c r="F773" s="39"/>
      <c r="G773" s="39"/>
      <c r="H773" s="39"/>
      <c r="I773" s="39"/>
      <c r="J773" s="39"/>
      <c r="K773" s="39"/>
      <c r="L773" s="39"/>
      <c r="M773" s="39"/>
      <c r="N773" s="39"/>
      <c r="O773" s="39"/>
      <c r="P773" s="39"/>
    </row>
    <row r="774" spans="1:16" x14ac:dyDescent="0.2">
      <c r="A774" s="47" t="str">
        <v>0:00</v>
      </c>
      <c r="B774" s="103"/>
      <c r="C774" s="39"/>
      <c r="D774" s="39"/>
      <c r="E774" s="39"/>
      <c r="F774" s="39"/>
      <c r="G774" s="39"/>
      <c r="H774" s="39"/>
      <c r="I774" s="39"/>
      <c r="J774" s="39"/>
      <c r="K774" s="39"/>
      <c r="L774" s="39"/>
      <c r="M774" s="39"/>
      <c r="N774" s="39"/>
      <c r="O774" s="39"/>
      <c r="P774" s="39"/>
    </row>
    <row r="775" spans="1:16" x14ac:dyDescent="0.2">
      <c r="A775" s="47" t="str">
        <v>0:00</v>
      </c>
      <c r="B775" s="103"/>
      <c r="C775" s="39"/>
      <c r="D775" s="39"/>
      <c r="E775" s="39"/>
      <c r="F775" s="39"/>
      <c r="G775" s="39"/>
      <c r="H775" s="39"/>
      <c r="I775" s="39"/>
      <c r="J775" s="39"/>
      <c r="K775" s="39"/>
      <c r="L775" s="39"/>
      <c r="M775" s="39"/>
      <c r="N775" s="39"/>
      <c r="O775" s="39"/>
      <c r="P775" s="39"/>
    </row>
    <row r="776" spans="1:16" x14ac:dyDescent="0.2">
      <c r="A776" s="47" t="str">
        <v>0:00</v>
      </c>
      <c r="B776" s="103"/>
      <c r="C776" s="39"/>
      <c r="D776" s="39"/>
      <c r="E776" s="39"/>
      <c r="F776" s="39"/>
      <c r="G776" s="39"/>
      <c r="H776" s="39"/>
      <c r="I776" s="39"/>
      <c r="J776" s="39"/>
      <c r="K776" s="39"/>
      <c r="L776" s="39"/>
      <c r="M776" s="39"/>
      <c r="N776" s="39"/>
      <c r="O776" s="39"/>
      <c r="P776" s="39"/>
    </row>
    <row r="777" spans="1:16" x14ac:dyDescent="0.2">
      <c r="A777" s="47" t="str">
        <v>0:00</v>
      </c>
      <c r="B777" s="103"/>
      <c r="C777" s="39"/>
      <c r="D777" s="39"/>
      <c r="E777" s="39"/>
      <c r="F777" s="39"/>
      <c r="G777" s="39"/>
      <c r="H777" s="39"/>
      <c r="I777" s="39"/>
      <c r="J777" s="39"/>
      <c r="K777" s="39"/>
      <c r="L777" s="39"/>
      <c r="M777" s="39"/>
      <c r="N777" s="39"/>
      <c r="O777" s="39"/>
      <c r="P777" s="39"/>
    </row>
    <row r="778" spans="1:16" x14ac:dyDescent="0.2">
      <c r="A778" s="47" t="str">
        <v>0:00</v>
      </c>
      <c r="B778" s="103"/>
      <c r="C778" s="39"/>
      <c r="D778" s="39"/>
      <c r="E778" s="39"/>
      <c r="F778" s="39"/>
      <c r="G778" s="39"/>
      <c r="H778" s="39"/>
      <c r="I778" s="39"/>
      <c r="J778" s="39"/>
      <c r="K778" s="39"/>
      <c r="L778" s="39"/>
      <c r="M778" s="39"/>
      <c r="N778" s="39"/>
      <c r="O778" s="39"/>
      <c r="P778" s="39"/>
    </row>
    <row r="779" spans="1:16" x14ac:dyDescent="0.2">
      <c r="A779" s="47" t="str">
        <v>0:00</v>
      </c>
      <c r="B779" s="103"/>
      <c r="C779" s="39"/>
      <c r="D779" s="39"/>
      <c r="E779" s="39"/>
      <c r="F779" s="39"/>
      <c r="G779" s="39"/>
      <c r="H779" s="39"/>
      <c r="I779" s="39"/>
      <c r="J779" s="39"/>
      <c r="K779" s="39"/>
      <c r="L779" s="39"/>
      <c r="M779" s="39"/>
      <c r="N779" s="39"/>
      <c r="O779" s="39"/>
      <c r="P779" s="39"/>
    </row>
    <row r="780" spans="1:16" x14ac:dyDescent="0.2">
      <c r="A780" s="47" t="str">
        <v>0:00</v>
      </c>
      <c r="B780" s="103"/>
      <c r="C780" s="39"/>
      <c r="D780" s="39"/>
      <c r="E780" s="39"/>
      <c r="F780" s="39"/>
      <c r="G780" s="39"/>
      <c r="H780" s="39"/>
      <c r="I780" s="39"/>
      <c r="J780" s="39"/>
      <c r="K780" s="39"/>
      <c r="L780" s="39"/>
      <c r="M780" s="39"/>
      <c r="N780" s="39"/>
      <c r="O780" s="39"/>
      <c r="P780" s="39"/>
    </row>
    <row r="781" spans="1:16" x14ac:dyDescent="0.2">
      <c r="A781" s="47" t="str">
        <v>0:00</v>
      </c>
      <c r="B781" s="103"/>
      <c r="C781" s="39"/>
      <c r="D781" s="39"/>
      <c r="E781" s="39"/>
      <c r="F781" s="39"/>
      <c r="G781" s="39"/>
      <c r="H781" s="39"/>
      <c r="I781" s="39"/>
      <c r="J781" s="39"/>
      <c r="K781" s="39"/>
      <c r="L781" s="39"/>
      <c r="M781" s="39"/>
      <c r="N781" s="39"/>
      <c r="O781" s="39"/>
      <c r="P781" s="39"/>
    </row>
    <row r="782" spans="1:16" x14ac:dyDescent="0.2">
      <c r="A782" s="47" t="str">
        <v>0:00</v>
      </c>
      <c r="B782" s="103"/>
      <c r="C782" s="39"/>
      <c r="D782" s="39"/>
      <c r="E782" s="39"/>
      <c r="F782" s="39"/>
      <c r="G782" s="39"/>
      <c r="H782" s="39"/>
      <c r="I782" s="39"/>
      <c r="J782" s="39"/>
      <c r="K782" s="39"/>
      <c r="L782" s="39"/>
      <c r="M782" s="39"/>
      <c r="N782" s="39"/>
      <c r="O782" s="39"/>
      <c r="P782" s="39"/>
    </row>
    <row r="783" spans="1:16" x14ac:dyDescent="0.2">
      <c r="A783" s="47" t="str">
        <v>0:00</v>
      </c>
      <c r="B783" s="103"/>
      <c r="C783" s="39"/>
      <c r="D783" s="39"/>
      <c r="E783" s="39"/>
      <c r="F783" s="39"/>
      <c r="G783" s="39"/>
      <c r="H783" s="39"/>
      <c r="I783" s="39"/>
      <c r="J783" s="39"/>
      <c r="K783" s="39"/>
      <c r="L783" s="39"/>
      <c r="M783" s="39"/>
      <c r="N783" s="39"/>
      <c r="O783" s="39"/>
      <c r="P783" s="39"/>
    </row>
    <row r="784" spans="1:16" x14ac:dyDescent="0.2">
      <c r="A784" s="47" t="str">
        <v>0:00</v>
      </c>
      <c r="B784" s="103"/>
      <c r="C784" s="39"/>
      <c r="D784" s="39"/>
      <c r="E784" s="39"/>
      <c r="F784" s="39"/>
      <c r="G784" s="39"/>
      <c r="H784" s="39"/>
      <c r="I784" s="39"/>
      <c r="J784" s="39"/>
      <c r="K784" s="39"/>
      <c r="L784" s="39"/>
      <c r="M784" s="39"/>
      <c r="N784" s="39"/>
      <c r="O784" s="39"/>
      <c r="P784" s="39"/>
    </row>
    <row r="785" spans="1:16" x14ac:dyDescent="0.2">
      <c r="A785" s="47" t="str">
        <v>0:00</v>
      </c>
      <c r="B785" s="103"/>
      <c r="C785" s="39"/>
      <c r="D785" s="39"/>
      <c r="E785" s="39"/>
      <c r="F785" s="39"/>
      <c r="G785" s="39"/>
      <c r="H785" s="39"/>
      <c r="I785" s="39"/>
      <c r="J785" s="39"/>
      <c r="K785" s="39"/>
      <c r="L785" s="39"/>
      <c r="M785" s="39"/>
      <c r="N785" s="39"/>
      <c r="O785" s="39"/>
      <c r="P785" s="39"/>
    </row>
    <row r="786" spans="1:16" x14ac:dyDescent="0.2">
      <c r="A786" s="47" t="str">
        <v>0:00</v>
      </c>
      <c r="B786" s="103"/>
      <c r="C786" s="39"/>
      <c r="D786" s="39"/>
      <c r="E786" s="39"/>
      <c r="F786" s="39"/>
      <c r="G786" s="39"/>
      <c r="H786" s="39"/>
      <c r="I786" s="39"/>
      <c r="J786" s="39"/>
      <c r="K786" s="39"/>
      <c r="L786" s="39"/>
      <c r="M786" s="39"/>
      <c r="N786" s="39"/>
      <c r="O786" s="39"/>
      <c r="P786" s="39"/>
    </row>
    <row r="787" spans="1:16" x14ac:dyDescent="0.2">
      <c r="A787" s="47" t="str">
        <v>0:00</v>
      </c>
      <c r="B787" s="103"/>
      <c r="C787" s="39"/>
      <c r="D787" s="39"/>
      <c r="E787" s="39"/>
      <c r="F787" s="39"/>
      <c r="G787" s="39"/>
      <c r="H787" s="39"/>
      <c r="I787" s="39"/>
      <c r="J787" s="39"/>
      <c r="K787" s="39"/>
      <c r="L787" s="39"/>
      <c r="M787" s="39"/>
      <c r="N787" s="39"/>
      <c r="O787" s="39"/>
      <c r="P787" s="39"/>
    </row>
    <row r="788" spans="1:16" x14ac:dyDescent="0.2">
      <c r="A788" s="47" t="str">
        <v>0:00</v>
      </c>
      <c r="B788" s="103"/>
      <c r="C788" s="39"/>
      <c r="D788" s="39"/>
      <c r="E788" s="39"/>
      <c r="F788" s="39"/>
      <c r="G788" s="39"/>
      <c r="H788" s="39"/>
      <c r="I788" s="39"/>
      <c r="J788" s="39"/>
      <c r="K788" s="39"/>
      <c r="L788" s="39"/>
      <c r="M788" s="39"/>
      <c r="N788" s="39"/>
      <c r="O788" s="39"/>
      <c r="P788" s="39"/>
    </row>
    <row r="789" spans="1:16" x14ac:dyDescent="0.2">
      <c r="A789" s="47" t="str">
        <v>0:00</v>
      </c>
      <c r="B789" s="103"/>
      <c r="C789" s="39"/>
      <c r="D789" s="39"/>
      <c r="E789" s="39"/>
      <c r="F789" s="39"/>
      <c r="G789" s="39"/>
      <c r="H789" s="39"/>
      <c r="I789" s="39"/>
      <c r="J789" s="39"/>
      <c r="K789" s="39"/>
      <c r="L789" s="39"/>
      <c r="M789" s="39"/>
      <c r="N789" s="39"/>
      <c r="O789" s="39"/>
      <c r="P789" s="39"/>
    </row>
    <row r="790" spans="1:16" x14ac:dyDescent="0.2">
      <c r="A790" s="47" t="str">
        <v>0:00</v>
      </c>
      <c r="B790" s="103"/>
      <c r="C790" s="39"/>
      <c r="D790" s="39"/>
      <c r="E790" s="39"/>
      <c r="F790" s="39"/>
      <c r="G790" s="39"/>
      <c r="H790" s="39"/>
      <c r="I790" s="39"/>
      <c r="J790" s="39"/>
      <c r="K790" s="39"/>
      <c r="L790" s="39"/>
      <c r="M790" s="39"/>
      <c r="N790" s="39"/>
      <c r="O790" s="39"/>
      <c r="P790" s="39"/>
    </row>
    <row r="791" spans="1:16" x14ac:dyDescent="0.2">
      <c r="A791" s="47" t="str">
        <v>0:00</v>
      </c>
      <c r="B791" s="103"/>
      <c r="C791" s="39"/>
      <c r="D791" s="39"/>
      <c r="E791" s="39"/>
      <c r="F791" s="39"/>
      <c r="G791" s="39"/>
      <c r="H791" s="39"/>
      <c r="I791" s="39"/>
      <c r="J791" s="39"/>
      <c r="K791" s="39"/>
      <c r="L791" s="39"/>
      <c r="M791" s="39"/>
      <c r="N791" s="39"/>
      <c r="O791" s="39"/>
      <c r="P791" s="39"/>
    </row>
    <row r="792" spans="1:16" x14ac:dyDescent="0.2">
      <c r="A792" s="47" t="str">
        <v>0:00</v>
      </c>
      <c r="B792" s="103"/>
      <c r="C792" s="39"/>
      <c r="D792" s="39"/>
      <c r="E792" s="39"/>
      <c r="F792" s="39"/>
      <c r="G792" s="39"/>
      <c r="H792" s="39"/>
      <c r="I792" s="39"/>
      <c r="J792" s="39"/>
      <c r="K792" s="39"/>
      <c r="L792" s="39"/>
      <c r="M792" s="39"/>
      <c r="N792" s="39"/>
      <c r="O792" s="39"/>
      <c r="P792" s="39"/>
    </row>
    <row r="793" spans="1:16" x14ac:dyDescent="0.2">
      <c r="A793" s="47" t="str">
        <v>0:00</v>
      </c>
      <c r="B793" s="103"/>
      <c r="C793" s="39"/>
      <c r="D793" s="39"/>
      <c r="E793" s="39"/>
      <c r="F793" s="39"/>
      <c r="G793" s="39"/>
      <c r="H793" s="39"/>
      <c r="I793" s="39"/>
      <c r="J793" s="39"/>
      <c r="K793" s="39"/>
      <c r="L793" s="39"/>
      <c r="M793" s="39"/>
      <c r="N793" s="39"/>
      <c r="O793" s="39"/>
      <c r="P793" s="39"/>
    </row>
    <row r="794" spans="1:16" x14ac:dyDescent="0.2">
      <c r="A794" s="47" t="str">
        <v>0:00</v>
      </c>
      <c r="B794" s="103"/>
      <c r="C794" s="39"/>
      <c r="D794" s="39"/>
      <c r="E794" s="39"/>
      <c r="F794" s="39"/>
      <c r="G794" s="39"/>
      <c r="H794" s="39"/>
      <c r="I794" s="39"/>
      <c r="J794" s="39"/>
      <c r="K794" s="39"/>
      <c r="L794" s="39"/>
      <c r="M794" s="39"/>
      <c r="N794" s="39"/>
      <c r="O794" s="39"/>
      <c r="P794" s="39"/>
    </row>
    <row r="795" spans="1:16" x14ac:dyDescent="0.2">
      <c r="A795" s="47" t="str">
        <v>0:00</v>
      </c>
      <c r="B795" s="103"/>
      <c r="C795" s="39"/>
      <c r="D795" s="39"/>
      <c r="E795" s="39"/>
      <c r="F795" s="39"/>
      <c r="G795" s="39"/>
      <c r="H795" s="39"/>
      <c r="I795" s="39"/>
      <c r="J795" s="39"/>
      <c r="K795" s="39"/>
      <c r="L795" s="39"/>
      <c r="M795" s="39"/>
      <c r="N795" s="39"/>
      <c r="O795" s="39"/>
      <c r="P795" s="39"/>
    </row>
    <row r="796" spans="1:16" x14ac:dyDescent="0.2">
      <c r="A796" s="47" t="str">
        <v>0:00</v>
      </c>
      <c r="B796" s="103"/>
      <c r="C796" s="39"/>
      <c r="D796" s="39"/>
      <c r="E796" s="39"/>
      <c r="F796" s="39"/>
      <c r="G796" s="39"/>
      <c r="H796" s="39"/>
      <c r="I796" s="39"/>
      <c r="J796" s="39"/>
      <c r="K796" s="39"/>
      <c r="L796" s="39"/>
      <c r="M796" s="39"/>
      <c r="N796" s="39"/>
      <c r="O796" s="39"/>
      <c r="P796" s="39"/>
    </row>
    <row r="797" spans="1:16" x14ac:dyDescent="0.2">
      <c r="A797" s="47" t="str">
        <v>0:00</v>
      </c>
      <c r="B797" s="103"/>
      <c r="C797" s="39"/>
      <c r="D797" s="39"/>
      <c r="E797" s="39"/>
      <c r="F797" s="39"/>
      <c r="G797" s="39"/>
      <c r="H797" s="39"/>
      <c r="I797" s="39"/>
      <c r="J797" s="39"/>
      <c r="K797" s="39"/>
      <c r="L797" s="39"/>
      <c r="M797" s="39"/>
      <c r="N797" s="39"/>
      <c r="O797" s="39"/>
      <c r="P797" s="39"/>
    </row>
    <row r="798" spans="1:16" x14ac:dyDescent="0.2">
      <c r="A798" s="47" t="str">
        <v>0:00</v>
      </c>
      <c r="B798" s="103"/>
      <c r="C798" s="39"/>
      <c r="D798" s="39"/>
      <c r="E798" s="39"/>
      <c r="F798" s="39"/>
      <c r="G798" s="39"/>
      <c r="H798" s="39"/>
      <c r="I798" s="39"/>
      <c r="J798" s="39"/>
      <c r="K798" s="39"/>
      <c r="L798" s="39"/>
      <c r="M798" s="39"/>
      <c r="N798" s="39"/>
      <c r="O798" s="39"/>
      <c r="P798" s="39"/>
    </row>
    <row r="799" spans="1:16" x14ac:dyDescent="0.2">
      <c r="A799" s="47" t="str">
        <v>0:00</v>
      </c>
      <c r="B799" s="103"/>
      <c r="C799" s="39"/>
      <c r="D799" s="39"/>
      <c r="E799" s="39"/>
      <c r="F799" s="39"/>
      <c r="G799" s="39"/>
      <c r="H799" s="39"/>
      <c r="I799" s="39"/>
      <c r="J799" s="39"/>
      <c r="K799" s="39"/>
      <c r="L799" s="39"/>
      <c r="M799" s="39"/>
      <c r="N799" s="39"/>
      <c r="O799" s="39"/>
      <c r="P799" s="39"/>
    </row>
    <row r="800" spans="1:16" x14ac:dyDescent="0.2">
      <c r="A800" s="47" t="str">
        <v>0:00</v>
      </c>
      <c r="B800" s="103"/>
      <c r="C800" s="39"/>
      <c r="D800" s="39"/>
      <c r="E800" s="39"/>
      <c r="F800" s="39"/>
      <c r="G800" s="39"/>
      <c r="H800" s="39"/>
      <c r="I800" s="39"/>
      <c r="J800" s="39"/>
      <c r="K800" s="39"/>
      <c r="L800" s="39"/>
      <c r="M800" s="39"/>
      <c r="N800" s="39"/>
      <c r="O800" s="39"/>
      <c r="P800" s="39"/>
    </row>
    <row r="801" spans="1:16" x14ac:dyDescent="0.2">
      <c r="A801" s="47" t="str">
        <v>0:00</v>
      </c>
      <c r="B801" s="103"/>
      <c r="C801" s="39"/>
      <c r="D801" s="39"/>
      <c r="E801" s="39"/>
      <c r="F801" s="39"/>
      <c r="G801" s="39"/>
      <c r="H801" s="39"/>
      <c r="I801" s="39"/>
      <c r="J801" s="39"/>
      <c r="K801" s="39"/>
      <c r="L801" s="39"/>
      <c r="M801" s="39"/>
      <c r="N801" s="39"/>
      <c r="O801" s="39"/>
      <c r="P801" s="39"/>
    </row>
    <row r="802" spans="1:16" x14ac:dyDescent="0.2">
      <c r="A802" s="47" t="str">
        <v>0:00</v>
      </c>
      <c r="B802" s="103"/>
      <c r="C802" s="39"/>
      <c r="D802" s="39"/>
      <c r="E802" s="39"/>
      <c r="F802" s="39"/>
      <c r="G802" s="39"/>
      <c r="H802" s="39"/>
      <c r="I802" s="39"/>
      <c r="J802" s="39"/>
      <c r="K802" s="39"/>
      <c r="L802" s="39"/>
      <c r="M802" s="39"/>
      <c r="N802" s="39"/>
      <c r="O802" s="39"/>
      <c r="P802" s="39"/>
    </row>
    <row r="803" spans="1:16" x14ac:dyDescent="0.2">
      <c r="A803" s="47" t="str">
        <v>0:00</v>
      </c>
      <c r="B803" s="103"/>
      <c r="C803" s="39"/>
      <c r="D803" s="39"/>
      <c r="E803" s="39"/>
      <c r="F803" s="39"/>
      <c r="G803" s="39"/>
      <c r="H803" s="39"/>
      <c r="I803" s="39"/>
      <c r="J803" s="39"/>
      <c r="K803" s="39"/>
      <c r="L803" s="39"/>
      <c r="M803" s="39"/>
      <c r="N803" s="39"/>
      <c r="O803" s="39"/>
      <c r="P803" s="39"/>
    </row>
    <row r="804" spans="1:16" x14ac:dyDescent="0.2">
      <c r="A804" s="47" t="str">
        <v>0:00</v>
      </c>
      <c r="B804" s="103"/>
      <c r="C804" s="39"/>
      <c r="D804" s="39"/>
      <c r="E804" s="39"/>
      <c r="F804" s="39"/>
      <c r="G804" s="39"/>
      <c r="H804" s="39"/>
      <c r="I804" s="39"/>
      <c r="J804" s="39"/>
      <c r="K804" s="39"/>
      <c r="L804" s="39"/>
      <c r="M804" s="39"/>
      <c r="N804" s="39"/>
      <c r="O804" s="39"/>
      <c r="P804" s="39"/>
    </row>
    <row r="805" spans="1:16" x14ac:dyDescent="0.2">
      <c r="A805" s="47" t="str">
        <v>0:00</v>
      </c>
      <c r="B805" s="103"/>
      <c r="C805" s="39"/>
      <c r="D805" s="39"/>
      <c r="E805" s="39"/>
      <c r="F805" s="39"/>
      <c r="G805" s="39"/>
      <c r="H805" s="39"/>
      <c r="I805" s="39"/>
      <c r="J805" s="39"/>
      <c r="K805" s="39"/>
      <c r="L805" s="39"/>
      <c r="M805" s="39"/>
      <c r="N805" s="39"/>
      <c r="O805" s="39"/>
      <c r="P805" s="39"/>
    </row>
    <row r="806" spans="1:16" x14ac:dyDescent="0.2">
      <c r="A806" s="47" t="str">
        <v>0:00</v>
      </c>
      <c r="B806" s="103"/>
      <c r="C806" s="39"/>
      <c r="D806" s="39"/>
      <c r="E806" s="39"/>
      <c r="F806" s="39"/>
      <c r="G806" s="39"/>
      <c r="H806" s="39"/>
      <c r="I806" s="39"/>
      <c r="J806" s="39"/>
      <c r="K806" s="39"/>
      <c r="L806" s="39"/>
      <c r="M806" s="39"/>
      <c r="N806" s="39"/>
      <c r="O806" s="39"/>
      <c r="P806" s="39"/>
    </row>
    <row r="807" spans="1:16" x14ac:dyDescent="0.2">
      <c r="A807" s="47" t="str">
        <v>0:00</v>
      </c>
      <c r="B807" s="103"/>
      <c r="C807" s="39"/>
      <c r="D807" s="39"/>
      <c r="E807" s="39"/>
      <c r="F807" s="39"/>
      <c r="G807" s="39"/>
      <c r="H807" s="39"/>
      <c r="I807" s="39"/>
      <c r="J807" s="39"/>
      <c r="K807" s="39"/>
      <c r="L807" s="39"/>
      <c r="M807" s="39"/>
      <c r="N807" s="39"/>
      <c r="O807" s="39"/>
      <c r="P807" s="39"/>
    </row>
    <row r="808" spans="1:16" x14ac:dyDescent="0.2">
      <c r="A808" s="47" t="str">
        <v>0:00</v>
      </c>
      <c r="B808" s="103"/>
      <c r="C808" s="39"/>
      <c r="D808" s="39"/>
      <c r="E808" s="39"/>
      <c r="F808" s="39"/>
      <c r="G808" s="39"/>
      <c r="H808" s="39"/>
      <c r="I808" s="39"/>
      <c r="J808" s="39"/>
      <c r="K808" s="39"/>
      <c r="L808" s="39"/>
      <c r="M808" s="39"/>
      <c r="N808" s="39"/>
      <c r="O808" s="39"/>
      <c r="P808" s="39"/>
    </row>
    <row r="809" spans="1:16" x14ac:dyDescent="0.2">
      <c r="A809" s="47" t="str">
        <v>0:00</v>
      </c>
      <c r="B809" s="103"/>
      <c r="C809" s="39"/>
      <c r="D809" s="39"/>
      <c r="E809" s="39"/>
      <c r="F809" s="39"/>
      <c r="G809" s="39"/>
      <c r="H809" s="39"/>
      <c r="I809" s="39"/>
      <c r="J809" s="39"/>
      <c r="K809" s="39"/>
      <c r="L809" s="39"/>
      <c r="M809" s="39"/>
      <c r="N809" s="39"/>
      <c r="O809" s="39"/>
      <c r="P809" s="39"/>
    </row>
    <row r="810" spans="1:16" x14ac:dyDescent="0.2">
      <c r="A810" s="47" t="str">
        <v>0:00</v>
      </c>
      <c r="B810" s="103"/>
      <c r="C810" s="39"/>
      <c r="D810" s="39"/>
      <c r="E810" s="39"/>
      <c r="F810" s="39"/>
      <c r="G810" s="39"/>
      <c r="H810" s="39"/>
      <c r="I810" s="39"/>
      <c r="J810" s="39"/>
      <c r="K810" s="39"/>
      <c r="L810" s="39"/>
      <c r="M810" s="39"/>
      <c r="N810" s="39"/>
      <c r="O810" s="39"/>
      <c r="P810" s="39"/>
    </row>
    <row r="811" spans="1:16" x14ac:dyDescent="0.2">
      <c r="A811" s="47" t="str">
        <v>0:00</v>
      </c>
      <c r="B811" s="103"/>
      <c r="C811" s="39"/>
      <c r="D811" s="39"/>
      <c r="E811" s="39"/>
      <c r="F811" s="39"/>
      <c r="G811" s="39"/>
      <c r="H811" s="39"/>
      <c r="I811" s="39"/>
      <c r="J811" s="39"/>
      <c r="K811" s="39"/>
      <c r="L811" s="39"/>
      <c r="M811" s="39"/>
      <c r="N811" s="39"/>
      <c r="O811" s="39"/>
      <c r="P811" s="39"/>
    </row>
    <row r="812" spans="1:16" x14ac:dyDescent="0.2">
      <c r="A812" s="47" t="str">
        <v>0:00</v>
      </c>
      <c r="B812" s="103"/>
      <c r="C812" s="39"/>
      <c r="D812" s="39"/>
      <c r="E812" s="39"/>
      <c r="F812" s="39"/>
      <c r="G812" s="39"/>
      <c r="H812" s="39"/>
      <c r="I812" s="39"/>
      <c r="J812" s="39"/>
      <c r="K812" s="39"/>
      <c r="L812" s="39"/>
      <c r="M812" s="39"/>
      <c r="N812" s="39"/>
      <c r="O812" s="39"/>
      <c r="P812" s="39"/>
    </row>
    <row r="813" spans="1:16" x14ac:dyDescent="0.2">
      <c r="A813" s="47" t="str">
        <v>0:00</v>
      </c>
      <c r="B813" s="103"/>
      <c r="C813" s="39"/>
      <c r="D813" s="39"/>
      <c r="E813" s="39"/>
      <c r="F813" s="39"/>
      <c r="G813" s="39"/>
      <c r="H813" s="39"/>
      <c r="I813" s="39"/>
      <c r="J813" s="39"/>
      <c r="K813" s="39"/>
      <c r="L813" s="39"/>
      <c r="M813" s="39"/>
      <c r="N813" s="39"/>
      <c r="O813" s="39"/>
      <c r="P813" s="39"/>
    </row>
    <row r="814" spans="1:16" x14ac:dyDescent="0.2">
      <c r="A814" s="47" t="str">
        <v>0:00</v>
      </c>
      <c r="B814" s="103"/>
      <c r="C814" s="39"/>
      <c r="D814" s="39"/>
      <c r="E814" s="39"/>
      <c r="F814" s="39"/>
      <c r="G814" s="39"/>
      <c r="H814" s="39"/>
      <c r="I814" s="39"/>
      <c r="J814" s="39"/>
      <c r="K814" s="39"/>
      <c r="L814" s="39"/>
      <c r="M814" s="39"/>
      <c r="N814" s="39"/>
      <c r="O814" s="39"/>
      <c r="P814" s="39"/>
    </row>
    <row r="815" spans="1:16" x14ac:dyDescent="0.2">
      <c r="A815" s="47" t="str">
        <v>0:00</v>
      </c>
      <c r="B815" s="103"/>
      <c r="C815" s="39"/>
      <c r="D815" s="39"/>
      <c r="E815" s="39"/>
      <c r="F815" s="39"/>
      <c r="G815" s="39"/>
      <c r="H815" s="39"/>
      <c r="I815" s="39"/>
      <c r="J815" s="39"/>
      <c r="K815" s="39"/>
      <c r="L815" s="39"/>
      <c r="M815" s="39"/>
      <c r="N815" s="39"/>
      <c r="O815" s="39"/>
      <c r="P815" s="39"/>
    </row>
    <row r="816" spans="1:16" x14ac:dyDescent="0.2">
      <c r="A816" s="47" t="str">
        <v>0:00</v>
      </c>
      <c r="B816" s="103"/>
      <c r="C816" s="39"/>
      <c r="D816" s="39"/>
      <c r="E816" s="39"/>
      <c r="F816" s="39"/>
      <c r="G816" s="39"/>
      <c r="H816" s="39"/>
      <c r="I816" s="39"/>
      <c r="J816" s="39"/>
      <c r="K816" s="39"/>
      <c r="L816" s="39"/>
      <c r="M816" s="39"/>
      <c r="N816" s="39"/>
      <c r="O816" s="39"/>
      <c r="P816" s="39"/>
    </row>
    <row r="817" spans="1:16" x14ac:dyDescent="0.2">
      <c r="A817" s="47" t="str">
        <v>0:00</v>
      </c>
      <c r="B817" s="103"/>
      <c r="C817" s="39"/>
      <c r="D817" s="39"/>
      <c r="E817" s="39"/>
      <c r="F817" s="39"/>
      <c r="G817" s="39"/>
      <c r="H817" s="39"/>
      <c r="I817" s="39"/>
      <c r="J817" s="39"/>
      <c r="K817" s="39"/>
      <c r="L817" s="39"/>
      <c r="M817" s="39"/>
      <c r="N817" s="39"/>
      <c r="O817" s="39"/>
      <c r="P817" s="39"/>
    </row>
    <row r="818" spans="1:16" x14ac:dyDescent="0.2">
      <c r="A818" s="47" t="str">
        <v>0:00</v>
      </c>
      <c r="B818" s="103"/>
      <c r="C818" s="39"/>
      <c r="D818" s="39"/>
      <c r="E818" s="39"/>
      <c r="F818" s="39"/>
      <c r="G818" s="39"/>
      <c r="H818" s="39"/>
      <c r="I818" s="39"/>
      <c r="J818" s="39"/>
      <c r="K818" s="39"/>
      <c r="L818" s="39"/>
      <c r="M818" s="39"/>
      <c r="N818" s="39"/>
      <c r="O818" s="39"/>
      <c r="P818" s="39"/>
    </row>
    <row r="819" spans="1:16" x14ac:dyDescent="0.2">
      <c r="A819" s="47" t="str">
        <v>0:00</v>
      </c>
      <c r="B819" s="103"/>
      <c r="C819" s="39"/>
      <c r="D819" s="39"/>
      <c r="E819" s="39"/>
      <c r="F819" s="39"/>
      <c r="G819" s="39"/>
      <c r="H819" s="39"/>
      <c r="I819" s="39"/>
      <c r="J819" s="39"/>
      <c r="K819" s="39"/>
      <c r="L819" s="39"/>
      <c r="M819" s="39"/>
      <c r="N819" s="39"/>
      <c r="O819" s="39"/>
      <c r="P819" s="39"/>
    </row>
    <row r="820" spans="1:16" x14ac:dyDescent="0.2">
      <c r="A820" s="47" t="str">
        <v>0:00</v>
      </c>
      <c r="B820" s="103"/>
      <c r="C820" s="39"/>
      <c r="D820" s="39"/>
      <c r="E820" s="39"/>
      <c r="F820" s="39"/>
      <c r="G820" s="39"/>
      <c r="H820" s="39"/>
      <c r="I820" s="39"/>
      <c r="J820" s="39"/>
      <c r="K820" s="39"/>
      <c r="L820" s="39"/>
      <c r="M820" s="39"/>
      <c r="N820" s="39"/>
      <c r="O820" s="39"/>
      <c r="P820" s="39"/>
    </row>
    <row r="821" spans="1:16" x14ac:dyDescent="0.2">
      <c r="A821" s="47" t="str">
        <v>0:00</v>
      </c>
      <c r="B821" s="103"/>
      <c r="C821" s="39"/>
      <c r="D821" s="39"/>
      <c r="E821" s="39"/>
      <c r="F821" s="39"/>
      <c r="G821" s="39"/>
      <c r="H821" s="39"/>
      <c r="I821" s="39"/>
      <c r="J821" s="39"/>
      <c r="K821" s="39"/>
      <c r="L821" s="39"/>
      <c r="M821" s="39"/>
      <c r="N821" s="39"/>
      <c r="O821" s="39"/>
      <c r="P821" s="39"/>
    </row>
    <row r="822" spans="1:16" x14ac:dyDescent="0.2">
      <c r="A822" s="47" t="str">
        <v>0:00</v>
      </c>
      <c r="B822" s="103"/>
      <c r="C822" s="39"/>
      <c r="D822" s="39"/>
      <c r="E822" s="39"/>
      <c r="F822" s="39"/>
      <c r="G822" s="39"/>
      <c r="H822" s="39"/>
      <c r="I822" s="39"/>
      <c r="J822" s="39"/>
      <c r="K822" s="39"/>
      <c r="L822" s="39"/>
      <c r="M822" s="39"/>
      <c r="N822" s="39"/>
      <c r="O822" s="39"/>
      <c r="P822" s="39"/>
    </row>
    <row r="823" spans="1:16" x14ac:dyDescent="0.2">
      <c r="A823" s="47" t="str">
        <v>0:00</v>
      </c>
      <c r="B823" s="103"/>
      <c r="C823" s="39"/>
      <c r="D823" s="39"/>
      <c r="E823" s="39"/>
      <c r="F823" s="39"/>
      <c r="G823" s="39"/>
      <c r="H823" s="39"/>
      <c r="I823" s="39"/>
      <c r="J823" s="39"/>
      <c r="K823" s="39"/>
      <c r="L823" s="39"/>
      <c r="M823" s="39"/>
      <c r="N823" s="39"/>
      <c r="O823" s="39"/>
      <c r="P823" s="39"/>
    </row>
    <row r="824" spans="1:16" x14ac:dyDescent="0.2">
      <c r="A824" s="47" t="str">
        <v>0:00</v>
      </c>
      <c r="B824" s="103"/>
      <c r="C824" s="39"/>
      <c r="D824" s="39"/>
      <c r="E824" s="39"/>
      <c r="F824" s="39"/>
      <c r="G824" s="39"/>
      <c r="H824" s="39"/>
      <c r="I824" s="39"/>
      <c r="J824" s="39"/>
      <c r="K824" s="39"/>
      <c r="L824" s="39"/>
      <c r="M824" s="39"/>
      <c r="N824" s="39"/>
      <c r="O824" s="39"/>
      <c r="P824" s="39"/>
    </row>
    <row r="825" spans="1:16" x14ac:dyDescent="0.2">
      <c r="A825" s="47" t="str">
        <v>0:00</v>
      </c>
      <c r="B825" s="103"/>
      <c r="C825" s="39"/>
      <c r="D825" s="39"/>
      <c r="E825" s="39"/>
      <c r="F825" s="39"/>
      <c r="G825" s="39"/>
      <c r="H825" s="39"/>
      <c r="I825" s="39"/>
      <c r="J825" s="39"/>
      <c r="K825" s="39"/>
      <c r="L825" s="39"/>
      <c r="M825" s="39"/>
      <c r="N825" s="39"/>
      <c r="O825" s="39"/>
      <c r="P825" s="39"/>
    </row>
    <row r="826" spans="1:16" x14ac:dyDescent="0.2">
      <c r="A826" s="47" t="str">
        <v>0:00</v>
      </c>
      <c r="B826" s="103"/>
      <c r="C826" s="39"/>
      <c r="D826" s="39"/>
      <c r="E826" s="39"/>
      <c r="F826" s="39"/>
      <c r="G826" s="39"/>
      <c r="H826" s="39"/>
      <c r="I826" s="39"/>
      <c r="J826" s="39"/>
      <c r="K826" s="39"/>
      <c r="L826" s="39"/>
      <c r="M826" s="39"/>
      <c r="N826" s="39"/>
      <c r="O826" s="39"/>
      <c r="P826" s="39"/>
    </row>
    <row r="827" spans="1:16" x14ac:dyDescent="0.2">
      <c r="A827" s="47" t="str">
        <v>0:00</v>
      </c>
      <c r="B827" s="103"/>
      <c r="C827" s="39"/>
      <c r="D827" s="39"/>
      <c r="E827" s="39"/>
      <c r="F827" s="39"/>
      <c r="G827" s="39"/>
      <c r="H827" s="39"/>
      <c r="I827" s="39"/>
      <c r="J827" s="39"/>
      <c r="K827" s="39"/>
      <c r="L827" s="39"/>
      <c r="M827" s="39"/>
      <c r="N827" s="39"/>
      <c r="O827" s="39"/>
      <c r="P827" s="39"/>
    </row>
    <row r="828" spans="1:16" x14ac:dyDescent="0.2">
      <c r="A828" s="47" t="str">
        <v>0:00</v>
      </c>
      <c r="B828" s="103"/>
      <c r="C828" s="39"/>
      <c r="D828" s="39"/>
      <c r="E828" s="39"/>
      <c r="F828" s="39"/>
      <c r="G828" s="39"/>
      <c r="H828" s="39"/>
      <c r="I828" s="39"/>
      <c r="J828" s="39"/>
      <c r="K828" s="39"/>
      <c r="L828" s="39"/>
      <c r="M828" s="39"/>
      <c r="N828" s="39"/>
      <c r="O828" s="39"/>
      <c r="P828" s="39"/>
    </row>
    <row r="829" spans="1:16" x14ac:dyDescent="0.2">
      <c r="A829" s="47" t="str">
        <v>0:00</v>
      </c>
      <c r="B829" s="103"/>
      <c r="C829" s="39"/>
      <c r="D829" s="39"/>
      <c r="E829" s="39"/>
      <c r="F829" s="39"/>
      <c r="G829" s="39"/>
      <c r="H829" s="39"/>
      <c r="I829" s="39"/>
      <c r="J829" s="39"/>
      <c r="K829" s="39"/>
      <c r="L829" s="39"/>
      <c r="M829" s="39"/>
      <c r="N829" s="39"/>
      <c r="O829" s="39"/>
      <c r="P829" s="39"/>
    </row>
    <row r="830" spans="1:16" x14ac:dyDescent="0.2">
      <c r="A830" s="47" t="str">
        <v>0:00</v>
      </c>
      <c r="B830" s="103"/>
      <c r="C830" s="39"/>
      <c r="D830" s="39"/>
      <c r="E830" s="39"/>
      <c r="F830" s="39"/>
      <c r="G830" s="39"/>
      <c r="H830" s="39"/>
      <c r="I830" s="39"/>
      <c r="J830" s="39"/>
      <c r="K830" s="39"/>
      <c r="L830" s="39"/>
      <c r="M830" s="39"/>
      <c r="N830" s="39"/>
      <c r="O830" s="39"/>
      <c r="P830" s="39"/>
    </row>
    <row r="831" spans="1:16" x14ac:dyDescent="0.2">
      <c r="A831" s="47" t="str">
        <v>0:00</v>
      </c>
      <c r="B831" s="103"/>
      <c r="C831" s="39"/>
      <c r="D831" s="39"/>
      <c r="E831" s="39"/>
      <c r="F831" s="39"/>
      <c r="G831" s="39"/>
      <c r="H831" s="39"/>
      <c r="I831" s="39"/>
      <c r="J831" s="39"/>
      <c r="K831" s="39"/>
      <c r="L831" s="39"/>
      <c r="M831" s="39"/>
      <c r="N831" s="39"/>
      <c r="O831" s="39"/>
      <c r="P831" s="39"/>
    </row>
    <row r="832" spans="1:16" x14ac:dyDescent="0.2">
      <c r="A832" s="47" t="str">
        <v>0:00</v>
      </c>
      <c r="B832" s="103"/>
      <c r="C832" s="39"/>
      <c r="D832" s="39"/>
      <c r="E832" s="39"/>
      <c r="F832" s="39"/>
      <c r="G832" s="39"/>
      <c r="H832" s="39"/>
      <c r="I832" s="39"/>
      <c r="J832" s="39"/>
      <c r="K832" s="39"/>
      <c r="L832" s="39"/>
      <c r="M832" s="39"/>
      <c r="N832" s="39"/>
      <c r="O832" s="39"/>
      <c r="P832" s="39"/>
    </row>
    <row r="833" spans="1:16" x14ac:dyDescent="0.2">
      <c r="A833" s="47" t="str">
        <v>0:00</v>
      </c>
      <c r="B833" s="103"/>
      <c r="C833" s="39"/>
      <c r="D833" s="39"/>
      <c r="E833" s="39"/>
      <c r="F833" s="39"/>
      <c r="G833" s="39"/>
      <c r="H833" s="39"/>
      <c r="I833" s="39"/>
      <c r="J833" s="39"/>
      <c r="K833" s="39"/>
      <c r="L833" s="39"/>
      <c r="M833" s="39"/>
      <c r="N833" s="39"/>
      <c r="O833" s="39"/>
      <c r="P833" s="39"/>
    </row>
    <row r="834" spans="1:16" x14ac:dyDescent="0.2">
      <c r="A834" s="47" t="str">
        <v>0:00</v>
      </c>
      <c r="B834" s="103"/>
      <c r="C834" s="39"/>
      <c r="D834" s="39"/>
      <c r="E834" s="39"/>
      <c r="F834" s="39"/>
      <c r="G834" s="39"/>
      <c r="H834" s="39"/>
      <c r="I834" s="39"/>
      <c r="J834" s="39"/>
      <c r="K834" s="39"/>
      <c r="L834" s="39"/>
      <c r="M834" s="39"/>
      <c r="N834" s="39"/>
      <c r="O834" s="39"/>
      <c r="P834" s="39"/>
    </row>
    <row r="835" spans="1:16" x14ac:dyDescent="0.2">
      <c r="A835" s="47" t="str">
        <v>0:00</v>
      </c>
      <c r="B835" s="103"/>
      <c r="C835" s="39"/>
      <c r="D835" s="39"/>
      <c r="E835" s="39"/>
      <c r="F835" s="39"/>
      <c r="G835" s="39"/>
      <c r="H835" s="39"/>
      <c r="I835" s="39"/>
      <c r="J835" s="39"/>
      <c r="K835" s="39"/>
      <c r="L835" s="39"/>
      <c r="M835" s="39"/>
      <c r="N835" s="39"/>
      <c r="O835" s="39"/>
      <c r="P835" s="39"/>
    </row>
    <row r="836" spans="1:16" x14ac:dyDescent="0.2">
      <c r="A836" s="47" t="str">
        <v>0:00</v>
      </c>
      <c r="B836" s="103"/>
      <c r="C836" s="39"/>
      <c r="D836" s="39"/>
      <c r="E836" s="39"/>
      <c r="F836" s="39"/>
      <c r="G836" s="39"/>
      <c r="H836" s="39"/>
      <c r="I836" s="39"/>
      <c r="J836" s="39"/>
      <c r="K836" s="39"/>
      <c r="L836" s="39"/>
      <c r="M836" s="39"/>
      <c r="N836" s="39"/>
      <c r="O836" s="39"/>
      <c r="P836" s="39"/>
    </row>
    <row r="837" spans="1:16" x14ac:dyDescent="0.2">
      <c r="A837" s="47" t="str">
        <v>0:00</v>
      </c>
      <c r="B837" s="103"/>
      <c r="C837" s="39"/>
      <c r="D837" s="39"/>
      <c r="E837" s="39"/>
      <c r="F837" s="39"/>
      <c r="G837" s="39"/>
      <c r="H837" s="39"/>
      <c r="I837" s="39"/>
      <c r="J837" s="39"/>
      <c r="K837" s="39"/>
      <c r="L837" s="39"/>
      <c r="M837" s="39"/>
      <c r="N837" s="39"/>
      <c r="O837" s="39"/>
      <c r="P837" s="39"/>
    </row>
    <row r="838" spans="1:16" x14ac:dyDescent="0.2">
      <c r="A838" s="47" t="str">
        <v>0:00</v>
      </c>
      <c r="B838" s="103"/>
      <c r="C838" s="39"/>
      <c r="D838" s="39"/>
      <c r="E838" s="39"/>
      <c r="F838" s="39"/>
      <c r="G838" s="39"/>
      <c r="H838" s="39"/>
      <c r="I838" s="39"/>
      <c r="J838" s="39"/>
      <c r="K838" s="39"/>
      <c r="L838" s="39"/>
      <c r="M838" s="39"/>
      <c r="N838" s="39"/>
      <c r="O838" s="39"/>
      <c r="P838" s="39"/>
    </row>
    <row r="839" spans="1:16" x14ac:dyDescent="0.2">
      <c r="A839" s="47" t="str">
        <v>0:00</v>
      </c>
      <c r="B839" s="103"/>
      <c r="C839" s="39"/>
      <c r="D839" s="39"/>
      <c r="E839" s="39"/>
      <c r="F839" s="39"/>
      <c r="G839" s="39"/>
      <c r="H839" s="39"/>
      <c r="I839" s="39"/>
      <c r="J839" s="39"/>
      <c r="K839" s="39"/>
      <c r="L839" s="39"/>
      <c r="M839" s="39"/>
      <c r="N839" s="39"/>
      <c r="O839" s="39"/>
      <c r="P839" s="39"/>
    </row>
    <row r="840" spans="1:16" x14ac:dyDescent="0.2">
      <c r="A840" s="47" t="str">
        <v>0:00</v>
      </c>
      <c r="B840" s="103"/>
      <c r="C840" s="39"/>
      <c r="D840" s="39"/>
      <c r="E840" s="39"/>
      <c r="F840" s="39"/>
      <c r="G840" s="39"/>
      <c r="H840" s="39"/>
      <c r="I840" s="39"/>
      <c r="J840" s="39"/>
      <c r="K840" s="39"/>
      <c r="L840" s="39"/>
      <c r="M840" s="39"/>
      <c r="N840" s="39"/>
      <c r="O840" s="39"/>
      <c r="P840" s="39"/>
    </row>
    <row r="841" spans="1:16" x14ac:dyDescent="0.2">
      <c r="A841" s="47" t="str">
        <v>0:00</v>
      </c>
      <c r="B841" s="103"/>
      <c r="C841" s="39"/>
      <c r="D841" s="39"/>
      <c r="E841" s="39"/>
      <c r="F841" s="39"/>
      <c r="G841" s="39"/>
      <c r="H841" s="39"/>
      <c r="I841" s="39"/>
      <c r="J841" s="39"/>
      <c r="K841" s="39"/>
      <c r="L841" s="39"/>
      <c r="M841" s="39"/>
      <c r="N841" s="39"/>
      <c r="O841" s="39"/>
      <c r="P841" s="39"/>
    </row>
    <row r="842" spans="1:16" x14ac:dyDescent="0.2">
      <c r="A842" s="47" t="str">
        <v>0:00</v>
      </c>
      <c r="B842" s="103"/>
      <c r="C842" s="39"/>
      <c r="D842" s="39"/>
      <c r="E842" s="39"/>
      <c r="F842" s="39"/>
      <c r="G842" s="39"/>
      <c r="H842" s="39"/>
      <c r="I842" s="39"/>
      <c r="J842" s="39"/>
      <c r="K842" s="39"/>
      <c r="L842" s="39"/>
      <c r="M842" s="39"/>
      <c r="N842" s="39"/>
      <c r="O842" s="39"/>
      <c r="P842" s="39"/>
    </row>
    <row r="843" spans="1:16" x14ac:dyDescent="0.2">
      <c r="A843" s="47" t="str">
        <v>0:00</v>
      </c>
      <c r="B843" s="103"/>
      <c r="C843" s="39"/>
      <c r="D843" s="39"/>
      <c r="E843" s="39"/>
      <c r="F843" s="39"/>
      <c r="G843" s="39"/>
      <c r="H843" s="39"/>
      <c r="I843" s="39"/>
      <c r="J843" s="39"/>
      <c r="K843" s="39"/>
      <c r="L843" s="39"/>
      <c r="M843" s="39"/>
      <c r="N843" s="39"/>
      <c r="O843" s="39"/>
      <c r="P843" s="39"/>
    </row>
    <row r="844" spans="1:16" x14ac:dyDescent="0.2">
      <c r="A844" s="47" t="str">
        <v>0:00</v>
      </c>
      <c r="B844" s="103"/>
      <c r="C844" s="39"/>
      <c r="D844" s="39"/>
      <c r="E844" s="39"/>
      <c r="F844" s="39"/>
      <c r="G844" s="39"/>
      <c r="H844" s="39"/>
      <c r="I844" s="39"/>
      <c r="J844" s="39"/>
      <c r="K844" s="39"/>
      <c r="L844" s="39"/>
      <c r="M844" s="39"/>
      <c r="N844" s="39"/>
      <c r="O844" s="39"/>
      <c r="P844" s="39"/>
    </row>
    <row r="845" spans="1:16" x14ac:dyDescent="0.2">
      <c r="A845" s="47" t="str">
        <v>0:00</v>
      </c>
      <c r="B845" s="103"/>
      <c r="C845" s="39"/>
      <c r="D845" s="39"/>
      <c r="E845" s="39"/>
      <c r="F845" s="39"/>
      <c r="G845" s="39"/>
      <c r="H845" s="39"/>
      <c r="I845" s="39"/>
      <c r="J845" s="39"/>
      <c r="K845" s="39"/>
      <c r="L845" s="39"/>
      <c r="M845" s="39"/>
      <c r="N845" s="39"/>
      <c r="O845" s="39"/>
      <c r="P845" s="39"/>
    </row>
    <row r="846" spans="1:16" x14ac:dyDescent="0.2">
      <c r="A846" s="47" t="str">
        <v>0:00</v>
      </c>
      <c r="B846" s="103"/>
      <c r="C846" s="39"/>
      <c r="D846" s="39"/>
      <c r="E846" s="39"/>
      <c r="F846" s="39"/>
      <c r="G846" s="39"/>
      <c r="H846" s="39"/>
      <c r="I846" s="39"/>
      <c r="J846" s="39"/>
      <c r="K846" s="39"/>
      <c r="L846" s="39"/>
      <c r="M846" s="39"/>
      <c r="N846" s="39"/>
      <c r="O846" s="39"/>
      <c r="P846" s="39"/>
    </row>
    <row r="847" spans="1:16" x14ac:dyDescent="0.2">
      <c r="A847" s="47" t="str">
        <v>0:00</v>
      </c>
      <c r="B847" s="103"/>
      <c r="C847" s="39"/>
      <c r="D847" s="39"/>
      <c r="E847" s="39"/>
      <c r="F847" s="39"/>
      <c r="G847" s="39"/>
      <c r="H847" s="39"/>
      <c r="I847" s="39"/>
      <c r="J847" s="39"/>
      <c r="K847" s="39"/>
      <c r="L847" s="39"/>
      <c r="M847" s="39"/>
      <c r="N847" s="39"/>
      <c r="O847" s="39"/>
      <c r="P847" s="39"/>
    </row>
    <row r="848" spans="1:16" x14ac:dyDescent="0.2">
      <c r="A848" s="47" t="str">
        <v>0:00</v>
      </c>
      <c r="B848" s="103"/>
      <c r="C848" s="39"/>
      <c r="D848" s="39"/>
      <c r="E848" s="39"/>
      <c r="F848" s="39"/>
      <c r="G848" s="39"/>
      <c r="H848" s="39"/>
      <c r="I848" s="39"/>
      <c r="J848" s="39"/>
      <c r="K848" s="39"/>
      <c r="L848" s="39"/>
      <c r="M848" s="39"/>
      <c r="N848" s="39"/>
      <c r="O848" s="39"/>
      <c r="P848" s="39"/>
    </row>
    <row r="849" spans="1:16" x14ac:dyDescent="0.2">
      <c r="A849" s="47" t="str">
        <v>0:00</v>
      </c>
      <c r="B849" s="103"/>
      <c r="C849" s="39"/>
      <c r="D849" s="39"/>
      <c r="E849" s="39"/>
      <c r="F849" s="39"/>
      <c r="G849" s="39"/>
      <c r="H849" s="39"/>
      <c r="I849" s="39"/>
      <c r="J849" s="39"/>
      <c r="K849" s="39"/>
      <c r="L849" s="39"/>
      <c r="M849" s="39"/>
      <c r="N849" s="39"/>
      <c r="O849" s="39"/>
      <c r="P849" s="39"/>
    </row>
    <row r="850" spans="1:16" x14ac:dyDescent="0.2">
      <c r="A850" s="47" t="str">
        <v>0:00</v>
      </c>
      <c r="B850" s="103"/>
      <c r="C850" s="39"/>
      <c r="D850" s="39"/>
      <c r="E850" s="39"/>
      <c r="F850" s="39"/>
      <c r="G850" s="39"/>
      <c r="H850" s="39"/>
      <c r="I850" s="39"/>
      <c r="J850" s="39"/>
      <c r="K850" s="39"/>
      <c r="L850" s="39"/>
      <c r="M850" s="39"/>
      <c r="N850" s="39"/>
      <c r="O850" s="39"/>
      <c r="P850" s="39"/>
    </row>
    <row r="851" spans="1:16" x14ac:dyDescent="0.2">
      <c r="A851" s="47" t="str">
        <v>0:00</v>
      </c>
      <c r="B851" s="103"/>
      <c r="C851" s="39"/>
      <c r="D851" s="39"/>
      <c r="E851" s="39"/>
      <c r="F851" s="39"/>
      <c r="G851" s="39"/>
      <c r="H851" s="39"/>
      <c r="I851" s="39"/>
      <c r="J851" s="39"/>
      <c r="K851" s="39"/>
      <c r="L851" s="39"/>
      <c r="M851" s="39"/>
      <c r="N851" s="39"/>
      <c r="O851" s="39"/>
      <c r="P851" s="39"/>
    </row>
    <row r="852" spans="1:16" x14ac:dyDescent="0.2">
      <c r="A852" s="47" t="str">
        <v>0:00</v>
      </c>
      <c r="B852" s="103"/>
      <c r="C852" s="39"/>
      <c r="D852" s="39"/>
      <c r="E852" s="39"/>
      <c r="F852" s="39"/>
      <c r="G852" s="39"/>
      <c r="H852" s="39"/>
      <c r="I852" s="39"/>
      <c r="J852" s="39"/>
      <c r="K852" s="39"/>
      <c r="L852" s="39"/>
      <c r="M852" s="39"/>
      <c r="N852" s="39"/>
      <c r="O852" s="39"/>
      <c r="P852" s="39"/>
    </row>
    <row r="853" spans="1:16" x14ac:dyDescent="0.2">
      <c r="A853" s="47" t="str">
        <v>0:00</v>
      </c>
      <c r="B853" s="103"/>
      <c r="C853" s="39"/>
      <c r="D853" s="39"/>
      <c r="E853" s="39"/>
      <c r="F853" s="39"/>
      <c r="G853" s="39"/>
      <c r="H853" s="39"/>
      <c r="I853" s="39"/>
      <c r="J853" s="39"/>
      <c r="K853" s="39"/>
      <c r="L853" s="39"/>
      <c r="M853" s="39"/>
      <c r="N853" s="39"/>
      <c r="O853" s="39"/>
      <c r="P853" s="39"/>
    </row>
    <row r="854" spans="1:16" x14ac:dyDescent="0.2">
      <c r="A854" s="47" t="str">
        <v>0:00</v>
      </c>
      <c r="B854" s="103"/>
      <c r="C854" s="39"/>
      <c r="D854" s="39"/>
      <c r="E854" s="39"/>
      <c r="F854" s="39"/>
      <c r="G854" s="39"/>
      <c r="H854" s="39"/>
      <c r="I854" s="39"/>
      <c r="J854" s="39"/>
      <c r="K854" s="39"/>
      <c r="L854" s="39"/>
      <c r="M854" s="39"/>
      <c r="N854" s="39"/>
      <c r="O854" s="39"/>
      <c r="P854" s="39"/>
    </row>
    <row r="855" spans="1:16" x14ac:dyDescent="0.2">
      <c r="A855" s="47" t="str">
        <v>0:00</v>
      </c>
      <c r="B855" s="103"/>
      <c r="C855" s="39"/>
      <c r="D855" s="39"/>
      <c r="E855" s="39"/>
      <c r="F855" s="39"/>
      <c r="G855" s="39"/>
      <c r="H855" s="39"/>
      <c r="I855" s="39"/>
      <c r="J855" s="39"/>
      <c r="K855" s="39"/>
      <c r="L855" s="39"/>
      <c r="M855" s="39"/>
      <c r="N855" s="39"/>
      <c r="O855" s="39"/>
      <c r="P855" s="39"/>
    </row>
    <row r="856" spans="1:16" x14ac:dyDescent="0.2">
      <c r="A856" s="47" t="str">
        <v>0:00</v>
      </c>
      <c r="B856" s="103"/>
      <c r="C856" s="39"/>
      <c r="D856" s="39"/>
      <c r="E856" s="39"/>
      <c r="F856" s="39"/>
      <c r="G856" s="39"/>
      <c r="H856" s="39"/>
      <c r="I856" s="39"/>
      <c r="J856" s="39"/>
      <c r="K856" s="39"/>
      <c r="L856" s="39"/>
      <c r="M856" s="39"/>
      <c r="N856" s="39"/>
      <c r="O856" s="39"/>
      <c r="P856" s="39"/>
    </row>
    <row r="857" spans="1:16" x14ac:dyDescent="0.2">
      <c r="A857" s="47" t="str">
        <v>0:00</v>
      </c>
      <c r="B857" s="103"/>
      <c r="C857" s="39"/>
      <c r="D857" s="39"/>
      <c r="E857" s="39"/>
      <c r="F857" s="39"/>
      <c r="G857" s="39"/>
      <c r="H857" s="39"/>
      <c r="I857" s="39"/>
      <c r="J857" s="39"/>
      <c r="K857" s="39"/>
      <c r="L857" s="39"/>
      <c r="M857" s="39"/>
      <c r="N857" s="39"/>
      <c r="O857" s="39"/>
      <c r="P857" s="39"/>
    </row>
    <row r="858" spans="1:16" x14ac:dyDescent="0.2">
      <c r="A858" s="47" t="str">
        <v>0:00</v>
      </c>
      <c r="B858" s="103"/>
      <c r="C858" s="39"/>
      <c r="D858" s="39"/>
      <c r="E858" s="39"/>
      <c r="F858" s="39"/>
      <c r="G858" s="39"/>
      <c r="H858" s="39"/>
      <c r="I858" s="39"/>
      <c r="J858" s="39"/>
      <c r="K858" s="39"/>
      <c r="L858" s="39"/>
      <c r="M858" s="39"/>
      <c r="N858" s="39"/>
      <c r="O858" s="39"/>
      <c r="P858" s="39"/>
    </row>
    <row r="859" spans="1:16" x14ac:dyDescent="0.2">
      <c r="A859" s="47" t="str">
        <v>0:00</v>
      </c>
      <c r="B859" s="103"/>
      <c r="C859" s="39"/>
      <c r="D859" s="39"/>
      <c r="E859" s="39"/>
      <c r="F859" s="39"/>
      <c r="G859" s="39"/>
      <c r="H859" s="39"/>
      <c r="I859" s="39"/>
      <c r="J859" s="39"/>
      <c r="K859" s="39"/>
      <c r="L859" s="39"/>
      <c r="M859" s="39"/>
      <c r="N859" s="39"/>
      <c r="O859" s="39"/>
      <c r="P859" s="39"/>
    </row>
    <row r="860" spans="1:16" x14ac:dyDescent="0.2">
      <c r="A860" s="47" t="str">
        <v>0:00</v>
      </c>
      <c r="B860" s="103"/>
      <c r="C860" s="39"/>
      <c r="D860" s="39"/>
      <c r="E860" s="39"/>
      <c r="F860" s="39"/>
      <c r="G860" s="39"/>
      <c r="H860" s="39"/>
      <c r="I860" s="39"/>
      <c r="J860" s="39"/>
      <c r="K860" s="39"/>
      <c r="L860" s="39"/>
      <c r="M860" s="39"/>
      <c r="N860" s="39"/>
      <c r="O860" s="39"/>
      <c r="P860" s="39"/>
    </row>
    <row r="861" spans="1:16" x14ac:dyDescent="0.2">
      <c r="A861" s="47" t="str">
        <v>0:00</v>
      </c>
      <c r="B861" s="103"/>
      <c r="C861" s="39"/>
      <c r="D861" s="39"/>
      <c r="E861" s="39"/>
      <c r="F861" s="39"/>
      <c r="G861" s="39"/>
      <c r="H861" s="39"/>
      <c r="I861" s="39"/>
      <c r="J861" s="39"/>
      <c r="K861" s="39"/>
      <c r="L861" s="39"/>
      <c r="M861" s="39"/>
      <c r="N861" s="39"/>
      <c r="O861" s="39"/>
      <c r="P861" s="39"/>
    </row>
    <row r="862" spans="1:16" x14ac:dyDescent="0.2">
      <c r="A862" s="47" t="str">
        <v>0:00</v>
      </c>
      <c r="B862" s="103"/>
      <c r="C862" s="39"/>
      <c r="D862" s="39"/>
      <c r="E862" s="39"/>
      <c r="F862" s="39"/>
      <c r="G862" s="39"/>
      <c r="H862" s="39"/>
      <c r="I862" s="39"/>
      <c r="J862" s="39"/>
      <c r="K862" s="39"/>
      <c r="L862" s="39"/>
      <c r="M862" s="39"/>
      <c r="N862" s="39"/>
      <c r="O862" s="39"/>
      <c r="P862" s="39"/>
    </row>
    <row r="863" spans="1:16" x14ac:dyDescent="0.2">
      <c r="A863" s="47" t="str">
        <v>0:00</v>
      </c>
      <c r="B863" s="103"/>
      <c r="C863" s="39"/>
      <c r="D863" s="39"/>
      <c r="E863" s="39"/>
      <c r="F863" s="39"/>
      <c r="G863" s="39"/>
      <c r="H863" s="39"/>
      <c r="I863" s="39"/>
      <c r="J863" s="39"/>
      <c r="K863" s="39"/>
      <c r="L863" s="39"/>
      <c r="M863" s="39"/>
      <c r="N863" s="39"/>
      <c r="O863" s="39"/>
      <c r="P863" s="39"/>
    </row>
    <row r="864" spans="1:16" x14ac:dyDescent="0.2">
      <c r="A864" s="47" t="str">
        <v>0:00</v>
      </c>
      <c r="B864" s="103"/>
      <c r="C864" s="39"/>
      <c r="D864" s="39"/>
      <c r="E864" s="39"/>
      <c r="F864" s="39"/>
      <c r="G864" s="39"/>
      <c r="H864" s="39"/>
      <c r="I864" s="39"/>
      <c r="J864" s="39"/>
      <c r="K864" s="39"/>
      <c r="L864" s="39"/>
      <c r="M864" s="39"/>
      <c r="N864" s="39"/>
      <c r="O864" s="39"/>
      <c r="P864" s="39"/>
    </row>
    <row r="865" spans="1:16" x14ac:dyDescent="0.2">
      <c r="A865" s="47" t="str">
        <v>0:00</v>
      </c>
      <c r="B865" s="103"/>
      <c r="C865" s="39"/>
      <c r="D865" s="39"/>
      <c r="E865" s="39"/>
      <c r="F865" s="39"/>
      <c r="G865" s="39"/>
      <c r="H865" s="39"/>
      <c r="I865" s="39"/>
      <c r="J865" s="39"/>
      <c r="K865" s="39"/>
      <c r="L865" s="39"/>
      <c r="M865" s="39"/>
      <c r="N865" s="39"/>
      <c r="O865" s="39"/>
      <c r="P865" s="39"/>
    </row>
    <row r="866" spans="1:16" x14ac:dyDescent="0.2">
      <c r="A866" s="47" t="str">
        <v>0:00</v>
      </c>
      <c r="B866" s="103"/>
      <c r="C866" s="39"/>
      <c r="D866" s="39"/>
      <c r="E866" s="39"/>
      <c r="F866" s="39"/>
      <c r="G866" s="39"/>
      <c r="H866" s="39"/>
      <c r="I866" s="39"/>
      <c r="J866" s="39"/>
      <c r="K866" s="39"/>
      <c r="L866" s="39"/>
      <c r="M866" s="39"/>
      <c r="N866" s="39"/>
      <c r="O866" s="39"/>
      <c r="P866" s="39"/>
    </row>
    <row r="867" spans="1:16" x14ac:dyDescent="0.2">
      <c r="A867" s="47" t="str">
        <v>0:00</v>
      </c>
      <c r="B867" s="103"/>
      <c r="C867" s="39"/>
      <c r="D867" s="39"/>
      <c r="E867" s="39"/>
      <c r="F867" s="39"/>
      <c r="G867" s="39"/>
      <c r="H867" s="39"/>
      <c r="I867" s="39"/>
      <c r="J867" s="39"/>
      <c r="K867" s="39"/>
      <c r="L867" s="39"/>
      <c r="M867" s="39"/>
      <c r="N867" s="39"/>
      <c r="O867" s="39"/>
      <c r="P867" s="39"/>
    </row>
    <row r="868" spans="1:16" x14ac:dyDescent="0.2">
      <c r="A868" s="47" t="str">
        <v>0:00</v>
      </c>
      <c r="B868" s="103"/>
      <c r="C868" s="39"/>
      <c r="D868" s="39"/>
      <c r="E868" s="39"/>
      <c r="F868" s="39"/>
      <c r="G868" s="39"/>
      <c r="H868" s="39"/>
      <c r="I868" s="39"/>
      <c r="J868" s="39"/>
      <c r="K868" s="39"/>
      <c r="L868" s="39"/>
      <c r="M868" s="39"/>
      <c r="N868" s="39"/>
      <c r="O868" s="39"/>
      <c r="P868" s="39"/>
    </row>
    <row r="869" spans="1:16" x14ac:dyDescent="0.2">
      <c r="A869" s="47" t="str">
        <v>0:00</v>
      </c>
      <c r="B869" s="103"/>
      <c r="C869" s="39"/>
      <c r="D869" s="39"/>
      <c r="E869" s="39"/>
      <c r="F869" s="39"/>
      <c r="G869" s="39"/>
      <c r="H869" s="39"/>
      <c r="I869" s="39"/>
      <c r="J869" s="39"/>
      <c r="K869" s="39"/>
      <c r="L869" s="39"/>
      <c r="M869" s="39"/>
      <c r="N869" s="39"/>
      <c r="O869" s="39"/>
      <c r="P869" s="39"/>
    </row>
    <row r="870" spans="1:16" x14ac:dyDescent="0.2">
      <c r="A870" s="47" t="str">
        <v>0:00</v>
      </c>
      <c r="B870" s="103"/>
      <c r="C870" s="39"/>
      <c r="D870" s="39"/>
      <c r="E870" s="39"/>
      <c r="F870" s="39"/>
      <c r="G870" s="39"/>
      <c r="H870" s="39"/>
      <c r="I870" s="39"/>
      <c r="J870" s="39"/>
      <c r="K870" s="39"/>
      <c r="L870" s="39"/>
      <c r="M870" s="39"/>
      <c r="N870" s="39"/>
      <c r="O870" s="39"/>
      <c r="P870" s="39"/>
    </row>
    <row r="871" spans="1:16" x14ac:dyDescent="0.2">
      <c r="A871" s="47" t="str">
        <v>0:00</v>
      </c>
      <c r="B871" s="103"/>
      <c r="C871" s="39"/>
      <c r="D871" s="39"/>
      <c r="E871" s="39"/>
      <c r="F871" s="39"/>
      <c r="G871" s="39"/>
      <c r="H871" s="39"/>
      <c r="I871" s="39"/>
      <c r="J871" s="39"/>
      <c r="K871" s="39"/>
      <c r="L871" s="39"/>
      <c r="M871" s="39"/>
      <c r="N871" s="39"/>
      <c r="O871" s="39"/>
      <c r="P871" s="39"/>
    </row>
    <row r="872" spans="1:16" x14ac:dyDescent="0.2">
      <c r="A872" s="47" t="str">
        <v>0:00</v>
      </c>
      <c r="B872" s="103"/>
      <c r="C872" s="39"/>
      <c r="D872" s="39"/>
      <c r="E872" s="39"/>
      <c r="F872" s="39"/>
      <c r="G872" s="39"/>
      <c r="H872" s="39"/>
      <c r="I872" s="39"/>
      <c r="J872" s="39"/>
      <c r="K872" s="39"/>
      <c r="L872" s="39"/>
      <c r="M872" s="39"/>
      <c r="N872" s="39"/>
      <c r="O872" s="39"/>
      <c r="P872" s="39"/>
    </row>
    <row r="873" spans="1:16" x14ac:dyDescent="0.2">
      <c r="A873" s="47" t="str">
        <v>0:00</v>
      </c>
      <c r="B873" s="103"/>
      <c r="C873" s="39"/>
      <c r="D873" s="39"/>
      <c r="E873" s="39"/>
      <c r="F873" s="39"/>
      <c r="G873" s="39"/>
      <c r="H873" s="39"/>
      <c r="I873" s="39"/>
      <c r="J873" s="39"/>
      <c r="K873" s="39"/>
      <c r="L873" s="39"/>
      <c r="M873" s="39"/>
      <c r="N873" s="39"/>
      <c r="O873" s="39"/>
      <c r="P873" s="39"/>
    </row>
    <row r="874" spans="1:16" x14ac:dyDescent="0.2">
      <c r="A874" s="47" t="str">
        <v>0:00</v>
      </c>
      <c r="B874" s="103"/>
      <c r="C874" s="39"/>
      <c r="D874" s="39"/>
      <c r="E874" s="39"/>
      <c r="F874" s="39"/>
      <c r="G874" s="39"/>
      <c r="H874" s="39"/>
      <c r="I874" s="39"/>
      <c r="J874" s="39"/>
      <c r="K874" s="39"/>
      <c r="L874" s="39"/>
      <c r="M874" s="39"/>
      <c r="N874" s="39"/>
      <c r="O874" s="39"/>
      <c r="P874" s="39"/>
    </row>
    <row r="875" spans="1:16" x14ac:dyDescent="0.2">
      <c r="A875" s="47" t="str">
        <v>0:00</v>
      </c>
      <c r="B875" s="103"/>
      <c r="C875" s="39"/>
      <c r="D875" s="39"/>
      <c r="E875" s="39"/>
      <c r="F875" s="39"/>
      <c r="G875" s="39"/>
      <c r="H875" s="39"/>
      <c r="I875" s="39"/>
      <c r="J875" s="39"/>
      <c r="K875" s="39"/>
      <c r="L875" s="39"/>
      <c r="M875" s="39"/>
      <c r="N875" s="39"/>
      <c r="O875" s="39"/>
      <c r="P875" s="39"/>
    </row>
    <row r="876" spans="1:16" x14ac:dyDescent="0.2">
      <c r="A876" s="47" t="str">
        <v>0:00</v>
      </c>
      <c r="B876" s="103"/>
      <c r="C876" s="39"/>
      <c r="D876" s="39"/>
      <c r="E876" s="39"/>
      <c r="F876" s="39"/>
      <c r="G876" s="39"/>
      <c r="H876" s="39"/>
      <c r="I876" s="39"/>
      <c r="J876" s="39"/>
      <c r="K876" s="39"/>
      <c r="L876" s="39"/>
      <c r="M876" s="39"/>
      <c r="N876" s="39"/>
      <c r="O876" s="39"/>
      <c r="P876" s="39"/>
    </row>
    <row r="877" spans="1:16" x14ac:dyDescent="0.2">
      <c r="A877" s="47" t="str">
        <v>0:00</v>
      </c>
      <c r="B877" s="103"/>
      <c r="C877" s="39"/>
      <c r="D877" s="39"/>
      <c r="E877" s="39"/>
      <c r="F877" s="39"/>
      <c r="G877" s="39"/>
      <c r="H877" s="39"/>
      <c r="I877" s="39"/>
      <c r="J877" s="39"/>
      <c r="K877" s="39"/>
      <c r="L877" s="39"/>
      <c r="M877" s="39"/>
      <c r="N877" s="39"/>
      <c r="O877" s="39"/>
      <c r="P877" s="39"/>
    </row>
    <row r="878" spans="1:16" x14ac:dyDescent="0.2">
      <c r="A878" s="47" t="str">
        <v>0:00</v>
      </c>
      <c r="B878" s="103"/>
      <c r="C878" s="39"/>
      <c r="D878" s="39"/>
      <c r="E878" s="39"/>
      <c r="F878" s="39"/>
      <c r="G878" s="39"/>
      <c r="H878" s="39"/>
      <c r="I878" s="39"/>
      <c r="J878" s="39"/>
      <c r="K878" s="39"/>
      <c r="L878" s="39"/>
      <c r="M878" s="39"/>
      <c r="N878" s="39"/>
      <c r="O878" s="39"/>
      <c r="P878" s="39"/>
    </row>
    <row r="879" spans="1:16" x14ac:dyDescent="0.2">
      <c r="A879" s="47" t="str">
        <v>0:00</v>
      </c>
      <c r="B879" s="103"/>
      <c r="C879" s="39"/>
      <c r="D879" s="39"/>
      <c r="E879" s="39"/>
      <c r="F879" s="39"/>
      <c r="G879" s="39"/>
      <c r="H879" s="39"/>
      <c r="I879" s="39"/>
      <c r="J879" s="39"/>
      <c r="K879" s="39"/>
      <c r="L879" s="39"/>
      <c r="M879" s="39"/>
      <c r="N879" s="39"/>
      <c r="O879" s="39"/>
      <c r="P879" s="39"/>
    </row>
    <row r="880" spans="1:16" x14ac:dyDescent="0.2">
      <c r="A880" s="47" t="str">
        <v>0:00</v>
      </c>
      <c r="B880" s="103"/>
      <c r="C880" s="39"/>
      <c r="D880" s="39"/>
      <c r="E880" s="39"/>
      <c r="F880" s="39"/>
      <c r="G880" s="39"/>
      <c r="H880" s="39"/>
      <c r="I880" s="39"/>
      <c r="J880" s="39"/>
      <c r="K880" s="39"/>
      <c r="L880" s="39"/>
      <c r="M880" s="39"/>
      <c r="N880" s="39"/>
      <c r="O880" s="39"/>
      <c r="P880" s="39"/>
    </row>
    <row r="881" spans="1:16" x14ac:dyDescent="0.2">
      <c r="A881" s="47" t="str">
        <v>0:00</v>
      </c>
      <c r="B881" s="103"/>
      <c r="C881" s="39"/>
      <c r="D881" s="39"/>
      <c r="E881" s="39"/>
      <c r="F881" s="39"/>
      <c r="G881" s="39"/>
      <c r="H881" s="39"/>
      <c r="I881" s="39"/>
      <c r="J881" s="39"/>
      <c r="K881" s="39"/>
      <c r="L881" s="39"/>
      <c r="M881" s="39"/>
      <c r="N881" s="39"/>
      <c r="O881" s="39"/>
      <c r="P881" s="39"/>
    </row>
    <row r="882" spans="1:16" x14ac:dyDescent="0.2">
      <c r="A882" s="47" t="str">
        <v>0:00</v>
      </c>
      <c r="B882" s="103"/>
      <c r="C882" s="39"/>
      <c r="D882" s="39"/>
      <c r="E882" s="39"/>
      <c r="F882" s="39"/>
      <c r="G882" s="39"/>
      <c r="H882" s="39"/>
      <c r="I882" s="39"/>
      <c r="J882" s="39"/>
      <c r="K882" s="39"/>
      <c r="L882" s="39"/>
      <c r="M882" s="39"/>
      <c r="N882" s="39"/>
      <c r="O882" s="39"/>
      <c r="P882" s="39"/>
    </row>
    <row r="883" spans="1:16" x14ac:dyDescent="0.2">
      <c r="A883" s="47" t="str">
        <v>0:00</v>
      </c>
      <c r="B883" s="103"/>
      <c r="C883" s="39"/>
      <c r="D883" s="39"/>
      <c r="E883" s="39"/>
      <c r="F883" s="39"/>
      <c r="G883" s="39"/>
      <c r="H883" s="39"/>
      <c r="I883" s="39"/>
      <c r="J883" s="39"/>
      <c r="K883" s="39"/>
      <c r="L883" s="39"/>
      <c r="M883" s="39"/>
      <c r="N883" s="39"/>
      <c r="O883" s="39"/>
      <c r="P883" s="39"/>
    </row>
    <row r="884" spans="1:16" x14ac:dyDescent="0.2">
      <c r="A884" s="47" t="str">
        <v>0:00</v>
      </c>
      <c r="B884" s="103"/>
      <c r="C884" s="39"/>
      <c r="D884" s="39"/>
      <c r="E884" s="39"/>
      <c r="F884" s="39"/>
      <c r="G884" s="39"/>
      <c r="H884" s="39"/>
      <c r="I884" s="39"/>
      <c r="J884" s="39"/>
      <c r="K884" s="39"/>
      <c r="L884" s="39"/>
      <c r="M884" s="39"/>
      <c r="N884" s="39"/>
      <c r="O884" s="39"/>
      <c r="P884" s="39"/>
    </row>
    <row r="885" spans="1:16" x14ac:dyDescent="0.2">
      <c r="A885" s="47" t="str">
        <v>0:00</v>
      </c>
      <c r="B885" s="103"/>
      <c r="C885" s="39"/>
      <c r="D885" s="39"/>
      <c r="E885" s="39"/>
      <c r="F885" s="39"/>
      <c r="G885" s="39"/>
      <c r="H885" s="39"/>
      <c r="I885" s="39"/>
      <c r="J885" s="39"/>
      <c r="K885" s="39"/>
      <c r="L885" s="39"/>
      <c r="M885" s="39"/>
      <c r="N885" s="39"/>
      <c r="O885" s="39"/>
      <c r="P885" s="39"/>
    </row>
    <row r="886" spans="1:16" x14ac:dyDescent="0.2">
      <c r="A886" s="47" t="str">
        <v>0:00</v>
      </c>
      <c r="B886" s="103"/>
      <c r="C886" s="39"/>
      <c r="D886" s="39"/>
      <c r="E886" s="39"/>
      <c r="F886" s="39"/>
      <c r="G886" s="39"/>
      <c r="H886" s="39"/>
      <c r="I886" s="39"/>
      <c r="J886" s="39"/>
      <c r="K886" s="39"/>
      <c r="L886" s="39"/>
      <c r="M886" s="39"/>
      <c r="N886" s="39"/>
      <c r="O886" s="39"/>
      <c r="P886" s="39"/>
    </row>
    <row r="887" spans="1:16" x14ac:dyDescent="0.2">
      <c r="A887" s="47" t="str">
        <v>0:00</v>
      </c>
      <c r="B887" s="103"/>
      <c r="C887" s="39"/>
      <c r="D887" s="39"/>
      <c r="E887" s="39"/>
      <c r="F887" s="39"/>
      <c r="G887" s="39"/>
      <c r="H887" s="39"/>
      <c r="I887" s="39"/>
      <c r="J887" s="39"/>
      <c r="K887" s="39"/>
      <c r="L887" s="39"/>
      <c r="M887" s="39"/>
      <c r="N887" s="39"/>
      <c r="O887" s="39"/>
      <c r="P887" s="39"/>
    </row>
    <row r="888" spans="1:16" x14ac:dyDescent="0.2">
      <c r="A888" s="47" t="str">
        <v>0:00</v>
      </c>
      <c r="B888" s="103"/>
      <c r="C888" s="39"/>
      <c r="D888" s="39"/>
      <c r="E888" s="39"/>
      <c r="F888" s="39"/>
      <c r="G888" s="39"/>
      <c r="H888" s="39"/>
      <c r="I888" s="39"/>
      <c r="J888" s="39"/>
      <c r="K888" s="39"/>
      <c r="L888" s="39"/>
      <c r="M888" s="39"/>
      <c r="N888" s="39"/>
      <c r="O888" s="39"/>
      <c r="P888" s="39"/>
    </row>
    <row r="889" spans="1:16" x14ac:dyDescent="0.2">
      <c r="A889" s="47" t="str">
        <v>0:00</v>
      </c>
      <c r="B889" s="103"/>
      <c r="C889" s="39"/>
      <c r="D889" s="39"/>
      <c r="E889" s="39"/>
      <c r="F889" s="39"/>
      <c r="G889" s="39"/>
      <c r="H889" s="39"/>
      <c r="I889" s="39"/>
      <c r="J889" s="39"/>
      <c r="K889" s="39"/>
      <c r="L889" s="39"/>
      <c r="M889" s="39"/>
      <c r="N889" s="39"/>
      <c r="O889" s="39"/>
      <c r="P889" s="39"/>
    </row>
    <row r="890" spans="1:16" x14ac:dyDescent="0.2">
      <c r="A890" s="47" t="str">
        <v>0:00</v>
      </c>
      <c r="B890" s="103"/>
      <c r="C890" s="39"/>
      <c r="D890" s="39"/>
      <c r="E890" s="39"/>
      <c r="F890" s="39"/>
      <c r="G890" s="39"/>
      <c r="H890" s="39"/>
      <c r="I890" s="39"/>
      <c r="J890" s="39"/>
      <c r="K890" s="39"/>
      <c r="L890" s="39"/>
      <c r="M890" s="39"/>
      <c r="N890" s="39"/>
      <c r="O890" s="39"/>
      <c r="P890" s="39"/>
    </row>
    <row r="891" spans="1:16" x14ac:dyDescent="0.2">
      <c r="A891" s="47" t="str">
        <v>0:00</v>
      </c>
      <c r="B891" s="103"/>
      <c r="C891" s="39"/>
      <c r="D891" s="39"/>
      <c r="E891" s="39"/>
      <c r="F891" s="39"/>
      <c r="G891" s="39"/>
      <c r="H891" s="39"/>
      <c r="I891" s="39"/>
      <c r="J891" s="39"/>
      <c r="K891" s="39"/>
      <c r="L891" s="39"/>
      <c r="M891" s="39"/>
      <c r="N891" s="39"/>
      <c r="O891" s="39"/>
      <c r="P891" s="39"/>
    </row>
    <row r="892" spans="1:16" x14ac:dyDescent="0.2">
      <c r="A892" s="47" t="str">
        <v>0:00</v>
      </c>
      <c r="B892" s="103"/>
      <c r="C892" s="39"/>
      <c r="D892" s="39"/>
      <c r="E892" s="39"/>
      <c r="F892" s="39"/>
      <c r="G892" s="39"/>
      <c r="H892" s="39"/>
      <c r="I892" s="39"/>
      <c r="J892" s="39"/>
      <c r="K892" s="39"/>
      <c r="L892" s="39"/>
      <c r="M892" s="39"/>
      <c r="N892" s="39"/>
      <c r="O892" s="39"/>
      <c r="P892" s="39"/>
    </row>
    <row r="893" spans="1:16" x14ac:dyDescent="0.2">
      <c r="A893" s="47" t="str">
        <v>0:00</v>
      </c>
      <c r="B893" s="103"/>
      <c r="C893" s="39"/>
      <c r="D893" s="39"/>
      <c r="E893" s="39"/>
      <c r="F893" s="39"/>
      <c r="G893" s="39"/>
      <c r="H893" s="39"/>
      <c r="I893" s="39"/>
      <c r="J893" s="39"/>
      <c r="K893" s="39"/>
      <c r="L893" s="39"/>
      <c r="M893" s="39"/>
      <c r="N893" s="39"/>
      <c r="O893" s="39"/>
      <c r="P893" s="39"/>
    </row>
    <row r="894" spans="1:16" x14ac:dyDescent="0.2">
      <c r="A894" s="47" t="str">
        <v>0:00</v>
      </c>
      <c r="B894" s="103"/>
      <c r="C894" s="39"/>
      <c r="D894" s="39"/>
      <c r="E894" s="39"/>
      <c r="F894" s="39"/>
      <c r="G894" s="39"/>
      <c r="H894" s="39"/>
      <c r="I894" s="39"/>
      <c r="J894" s="39"/>
      <c r="K894" s="39"/>
      <c r="L894" s="39"/>
      <c r="M894" s="39"/>
      <c r="N894" s="39"/>
      <c r="O894" s="39"/>
      <c r="P894" s="39"/>
    </row>
    <row r="895" spans="1:16" x14ac:dyDescent="0.2">
      <c r="A895" s="47" t="str">
        <v>0:00</v>
      </c>
      <c r="B895" s="103"/>
      <c r="C895" s="39"/>
      <c r="D895" s="39"/>
      <c r="E895" s="39"/>
      <c r="F895" s="39"/>
      <c r="G895" s="39"/>
      <c r="H895" s="39"/>
      <c r="I895" s="39"/>
      <c r="J895" s="39"/>
      <c r="K895" s="39"/>
      <c r="L895" s="39"/>
      <c r="M895" s="39"/>
      <c r="N895" s="39"/>
      <c r="O895" s="39"/>
      <c r="P895" s="39"/>
    </row>
    <row r="896" spans="1:16" x14ac:dyDescent="0.2">
      <c r="A896" s="47" t="str">
        <v>0:00</v>
      </c>
      <c r="B896" s="103"/>
      <c r="C896" s="39"/>
      <c r="D896" s="39"/>
      <c r="E896" s="39"/>
      <c r="F896" s="39"/>
      <c r="G896" s="39"/>
      <c r="H896" s="39"/>
      <c r="I896" s="39"/>
      <c r="J896" s="39"/>
      <c r="K896" s="39"/>
      <c r="L896" s="39"/>
      <c r="M896" s="39"/>
      <c r="N896" s="39"/>
      <c r="O896" s="39"/>
      <c r="P896" s="39"/>
    </row>
    <row r="897" spans="1:16" x14ac:dyDescent="0.2">
      <c r="A897" s="47" t="str">
        <v>0:00</v>
      </c>
      <c r="B897" s="103"/>
      <c r="C897" s="39"/>
      <c r="D897" s="39"/>
      <c r="E897" s="39"/>
      <c r="F897" s="39"/>
      <c r="G897" s="39"/>
      <c r="H897" s="39"/>
      <c r="I897" s="39"/>
      <c r="J897" s="39"/>
      <c r="K897" s="39"/>
      <c r="L897" s="39"/>
      <c r="M897" s="39"/>
      <c r="N897" s="39"/>
      <c r="O897" s="39"/>
      <c r="P897" s="39"/>
    </row>
    <row r="898" spans="1:16" x14ac:dyDescent="0.2">
      <c r="A898" s="47" t="str">
        <v>0:00</v>
      </c>
      <c r="B898" s="103"/>
      <c r="C898" s="39"/>
      <c r="D898" s="39"/>
      <c r="E898" s="39"/>
      <c r="F898" s="39"/>
      <c r="G898" s="39"/>
      <c r="H898" s="39"/>
      <c r="I898" s="39"/>
      <c r="J898" s="39"/>
      <c r="K898" s="39"/>
      <c r="L898" s="39"/>
      <c r="M898" s="39"/>
      <c r="N898" s="39"/>
      <c r="O898" s="39"/>
      <c r="P898" s="39"/>
    </row>
    <row r="899" spans="1:16" x14ac:dyDescent="0.2">
      <c r="A899" s="47" t="str">
        <v>0:00</v>
      </c>
      <c r="B899" s="103"/>
      <c r="C899" s="39"/>
      <c r="D899" s="39"/>
      <c r="E899" s="39"/>
      <c r="F899" s="39"/>
      <c r="G899" s="39"/>
      <c r="H899" s="39"/>
      <c r="I899" s="39"/>
      <c r="J899" s="39"/>
      <c r="K899" s="39"/>
      <c r="L899" s="39"/>
      <c r="M899" s="39"/>
      <c r="N899" s="39"/>
      <c r="O899" s="39"/>
      <c r="P899" s="39"/>
    </row>
    <row r="900" spans="1:16" x14ac:dyDescent="0.2">
      <c r="A900" s="47" t="str">
        <v>0:00</v>
      </c>
      <c r="B900" s="103"/>
      <c r="C900" s="39"/>
      <c r="D900" s="39"/>
      <c r="E900" s="39"/>
      <c r="F900" s="39"/>
      <c r="G900" s="39"/>
      <c r="H900" s="39"/>
      <c r="I900" s="39"/>
      <c r="J900" s="39"/>
      <c r="K900" s="39"/>
      <c r="L900" s="39"/>
      <c r="M900" s="39"/>
      <c r="N900" s="39"/>
      <c r="O900" s="39"/>
      <c r="P900" s="39"/>
    </row>
    <row r="901" spans="1:16" x14ac:dyDescent="0.2">
      <c r="A901" s="47" t="str">
        <v>0:00</v>
      </c>
      <c r="B901" s="103"/>
      <c r="C901" s="39"/>
      <c r="D901" s="39"/>
      <c r="E901" s="39"/>
      <c r="F901" s="39"/>
      <c r="G901" s="39"/>
      <c r="H901" s="39"/>
      <c r="I901" s="39"/>
      <c r="J901" s="39"/>
      <c r="K901" s="39"/>
      <c r="L901" s="39"/>
      <c r="M901" s="39"/>
      <c r="N901" s="39"/>
      <c r="O901" s="39"/>
      <c r="P901" s="39"/>
    </row>
    <row r="902" spans="1:16" x14ac:dyDescent="0.2">
      <c r="A902" s="47" t="str">
        <v>0:00</v>
      </c>
      <c r="B902" s="103"/>
      <c r="C902" s="39"/>
      <c r="D902" s="39"/>
      <c r="E902" s="39"/>
      <c r="F902" s="39"/>
      <c r="G902" s="39"/>
      <c r="H902" s="39"/>
      <c r="I902" s="39"/>
      <c r="J902" s="39"/>
      <c r="K902" s="39"/>
      <c r="L902" s="39"/>
      <c r="M902" s="39"/>
      <c r="N902" s="39"/>
      <c r="O902" s="39"/>
      <c r="P902" s="39"/>
    </row>
    <row r="903" spans="1:16" x14ac:dyDescent="0.2">
      <c r="A903" s="47" t="str">
        <v>0:00</v>
      </c>
      <c r="B903" s="103"/>
      <c r="C903" s="39"/>
      <c r="D903" s="39"/>
      <c r="E903" s="39"/>
      <c r="F903" s="39"/>
      <c r="G903" s="39"/>
      <c r="H903" s="39"/>
      <c r="I903" s="39"/>
      <c r="J903" s="39"/>
      <c r="K903" s="39"/>
      <c r="L903" s="39"/>
      <c r="M903" s="39"/>
      <c r="N903" s="39"/>
      <c r="O903" s="39"/>
      <c r="P903" s="39"/>
    </row>
  </sheetData>
  <sheetProtection algorithmName="SHA-512" hashValue="Xhp0qncpMu7m3TSHZ+u/fHswXVOE6/xW2/SW3l2yWDfTIS/s3cXtZqxf+stD8es45wYrJRAumzWey7td1YkhIg==" saltValue="JYXVpHbsytRkwdpOontbow=="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5" priority="1">
      <formula>AND(ROW() &gt;= $Q$1, ROW() &lt;= $Q$2)</formula>
    </cfRule>
    <cfRule type="cellIs" dxfId="64" priority="2" stopIfTrue="1" operator="between">
      <formula>$E$1</formula>
      <formula>$E$2</formula>
    </cfRule>
    <cfRule type="cellIs" dxfId="63" priority="3" stopIfTrue="1" operator="greaterThan">
      <formula>$C$2</formula>
    </cfRule>
    <cfRule type="cellIs" dxfId="62" priority="4" stopIfTrue="1" operator="lessThan">
      <formula>$C$1</formula>
    </cfRule>
    <cfRule type="cellIs" dxfId="61"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7.140625" style="47" hidden="1" customWidth="1"/>
    <col min="2" max="2" width="8.7109375" style="45" customWidth="1"/>
    <col min="3" max="3" width="11.85546875" customWidth="1"/>
    <col min="4" max="16" width="8.42578125" customWidth="1"/>
  </cols>
  <sheetData>
    <row r="1" spans="1:17" ht="18" x14ac:dyDescent="0.25">
      <c r="B1" s="120">
        <f>Main!$D$16</f>
        <v>0</v>
      </c>
      <c r="C1" s="114">
        <f>$B$1-$B$2</f>
        <v>-10</v>
      </c>
      <c r="D1" s="114"/>
      <c r="E1" s="120">
        <f>B1-D2</f>
        <v>-5</v>
      </c>
      <c r="F1" s="34" t="s">
        <v>75</v>
      </c>
      <c r="P1" s="306" t="str">
        <f>IF(Main!$E$30="","A10",ADDRESS(13+(MATCH(Main!$E$30,Data_Sheet!$A$14:$A$903,0)),1,4))</f>
        <v>A10</v>
      </c>
      <c r="Q1" s="306">
        <f>VALUE(MID(P1, 2, LEN(P1)-1))</f>
        <v>10</v>
      </c>
    </row>
    <row r="2" spans="1:17" x14ac:dyDescent="0.2">
      <c r="B2" s="120">
        <f>Main!$D$19</f>
        <v>10</v>
      </c>
      <c r="C2" s="114">
        <f>$B$1+$B$2</f>
        <v>10</v>
      </c>
      <c r="D2" s="114">
        <f>(Main!$D$19)/2</f>
        <v>5</v>
      </c>
      <c r="E2" s="120">
        <f>B1+D2</f>
        <v>5</v>
      </c>
      <c r="I2" s="74" t="s">
        <v>227</v>
      </c>
      <c r="M2" s="626" t="s">
        <v>103</v>
      </c>
      <c r="N2" s="626"/>
      <c r="O2" s="626"/>
      <c r="P2" s="306" t="str">
        <f>IF(Main!$E$30="","A10",ADDRESS(13+Standards_Info!W2+(MATCH(Main!$E$30,Data_Sheet!$A$14:$A$903,0)),1,4))</f>
        <v>A10</v>
      </c>
      <c r="Q2" s="306">
        <f>VALUE(MID(P2, 2, LEN(P2)-1))</f>
        <v>10</v>
      </c>
    </row>
    <row r="3" spans="1:17" ht="15" x14ac:dyDescent="0.25">
      <c r="B3" s="129" t="s">
        <v>0</v>
      </c>
      <c r="C3" s="3"/>
      <c r="M3" s="614" t="s">
        <v>104</v>
      </c>
      <c r="N3" s="615"/>
      <c r="O3" s="616"/>
      <c r="P3" s="42"/>
    </row>
    <row r="4" spans="1:17" ht="15" x14ac:dyDescent="0.25">
      <c r="B4" s="116" t="s">
        <v>25</v>
      </c>
      <c r="C4" s="4"/>
      <c r="M4" s="617" t="s">
        <v>145</v>
      </c>
      <c r="N4" s="618"/>
      <c r="O4" s="619"/>
    </row>
    <row r="5" spans="1:17" x14ac:dyDescent="0.2">
      <c r="B5" s="117" t="s">
        <v>26</v>
      </c>
      <c r="C5" s="56">
        <f>Main!D3</f>
        <v>0</v>
      </c>
      <c r="D5" s="39"/>
      <c r="E5" s="39"/>
      <c r="F5" s="39"/>
      <c r="G5" s="39"/>
      <c r="H5" s="39"/>
      <c r="I5" s="54" t="s">
        <v>4</v>
      </c>
      <c r="J5" t="e">
        <f>Main!D5</f>
        <v>#N/A</v>
      </c>
      <c r="M5" s="627" t="s">
        <v>144</v>
      </c>
      <c r="N5" s="628"/>
      <c r="O5" s="629"/>
    </row>
    <row r="6" spans="1:17" ht="13.5" thickBot="1" x14ac:dyDescent="0.25">
      <c r="B6" s="117" t="s">
        <v>3</v>
      </c>
      <c r="C6" s="57" t="e">
        <f>Main!D6</f>
        <v>#N/A</v>
      </c>
      <c r="D6" s="39"/>
      <c r="E6" s="39"/>
      <c r="F6" s="39"/>
      <c r="G6" s="39"/>
      <c r="H6" s="39"/>
      <c r="I6" s="54" t="s">
        <v>5</v>
      </c>
      <c r="J6" s="41">
        <f>Main!D16</f>
        <v>0</v>
      </c>
      <c r="M6" s="623" t="s">
        <v>143</v>
      </c>
      <c r="N6" s="624"/>
      <c r="O6" s="625"/>
    </row>
    <row r="7" spans="1:17" ht="13.5" thickBot="1" x14ac:dyDescent="0.25">
      <c r="B7" s="117" t="s">
        <v>27</v>
      </c>
      <c r="C7" s="57" t="str">
        <f>Main!D7</f>
        <v>Jeff Hall</v>
      </c>
      <c r="D7" s="39"/>
      <c r="E7" s="39"/>
      <c r="F7" s="39"/>
      <c r="G7" s="39"/>
      <c r="H7" s="39"/>
      <c r="I7" s="59" t="s">
        <v>169</v>
      </c>
      <c r="J7" s="611">
        <f>Main!$D$30</f>
        <v>0</v>
      </c>
      <c r="K7" s="612"/>
      <c r="L7" s="103"/>
      <c r="M7" s="610" t="s">
        <v>142</v>
      </c>
      <c r="N7" s="610"/>
      <c r="O7" s="610"/>
    </row>
    <row r="8" spans="1:17" x14ac:dyDescent="0.2">
      <c r="B8" s="117"/>
      <c r="C8" s="57"/>
      <c r="D8" s="39"/>
      <c r="E8" s="39"/>
      <c r="F8" s="39"/>
      <c r="G8" s="39"/>
      <c r="I8" s="59"/>
      <c r="J8" s="126"/>
      <c r="K8" s="126"/>
      <c r="L8" s="103"/>
      <c r="M8" s="127"/>
      <c r="N8" s="127"/>
      <c r="O8" s="127"/>
    </row>
    <row r="9" spans="1:17" x14ac:dyDescent="0.2">
      <c r="B9" s="117"/>
      <c r="C9" s="57"/>
      <c r="D9" s="39"/>
      <c r="E9" s="39"/>
      <c r="F9" s="39"/>
      <c r="G9" s="39"/>
      <c r="I9" s="130" t="str">
        <f>IF(Main!K15="SIM Load Hot",Main!N59,"")</f>
        <v/>
      </c>
      <c r="J9" s="128"/>
      <c r="K9" s="126"/>
      <c r="L9" s="103"/>
      <c r="M9" s="127"/>
      <c r="N9" s="127"/>
      <c r="O9" s="127"/>
    </row>
    <row r="10" spans="1:17" s="64" customFormat="1" x14ac:dyDescent="0.2">
      <c r="A10" s="104"/>
      <c r="B10" s="118"/>
      <c r="I10" s="130" t="str">
        <f>IF(OR(Main!E60="",Main!K60=""),IF(OR(Main!E61="",Main!K61=""),"",Main!N61),Main!N60)</f>
        <v/>
      </c>
    </row>
    <row r="11" spans="1:17" s="64" customFormat="1" x14ac:dyDescent="0.2">
      <c r="A11" s="104"/>
      <c r="B11" s="118"/>
      <c r="I11" s="130"/>
    </row>
    <row r="12" spans="1:17" s="452" customFormat="1" x14ac:dyDescent="0.2">
      <c r="A12" s="451"/>
      <c r="B12" s="126" t="str" cm="1">
        <f t="array" ref="B12:P12">_xlfn.LET(
  _xlpm.tbl, DataForChannels15to28[],
  _xlpm.hdrs, DataForChannels15to28[#Headers],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7" s="64" customFormat="1" x14ac:dyDescent="0.2">
      <c r="A13" s="104"/>
      <c r="B13" s="103"/>
      <c r="C13" s="39"/>
      <c r="D13" s="39"/>
      <c r="E13" s="39"/>
      <c r="F13" s="39"/>
      <c r="G13" s="39"/>
      <c r="H13" s="39"/>
      <c r="I13" s="39"/>
      <c r="J13" s="39"/>
      <c r="K13" s="39"/>
      <c r="L13" s="39"/>
      <c r="M13" s="39" t="str">
        <f>IF(ISBLANK(DaqBook_RAW_Data!AB3),"",DaqBook_RAW_Data!AB3)</f>
        <v/>
      </c>
      <c r="N13" s="39" t="str">
        <f>IF(ISBLANK(DaqBook_RAW_Data!AC3),"",DaqBook_RAW_Data!AC3)</f>
        <v/>
      </c>
      <c r="O13" s="39" t="str">
        <f>IF(ISBLANK(DaqBook_RAW_Data!AD3),"",DaqBook_RAW_Data!AD3)</f>
        <v/>
      </c>
      <c r="P13" s="39"/>
    </row>
    <row r="14" spans="1:17" s="64" customFormat="1" x14ac:dyDescent="0.2">
      <c r="A14" s="104" t="str" cm="1">
        <f t="array" ref="A14:A903">TEXT(B14:B903, "h:mm")</f>
        <v>0:00</v>
      </c>
      <c r="B14" s="103" cm="1">
        <f t="array" ref="B14:P14">DataForChannels15to28[]</f>
        <v>0</v>
      </c>
      <c r="C14" s="125">
        <v>0</v>
      </c>
      <c r="D14" s="125">
        <v>0</v>
      </c>
      <c r="E14" s="125">
        <v>0</v>
      </c>
      <c r="F14" s="125">
        <v>0</v>
      </c>
      <c r="G14" s="125">
        <v>0</v>
      </c>
      <c r="H14" s="125">
        <v>0</v>
      </c>
      <c r="I14" s="125">
        <v>0</v>
      </c>
      <c r="J14" s="125">
        <v>0</v>
      </c>
      <c r="K14" s="125">
        <v>0</v>
      </c>
      <c r="L14" s="125">
        <v>0</v>
      </c>
      <c r="M14" s="125">
        <v>0</v>
      </c>
      <c r="N14" s="125">
        <v>0</v>
      </c>
      <c r="O14" s="125">
        <v>0</v>
      </c>
      <c r="P14" s="125">
        <v>0</v>
      </c>
    </row>
    <row r="15" spans="1:17" s="64" customFormat="1" x14ac:dyDescent="0.2">
      <c r="A15" s="104" t="str">
        <v>0:00</v>
      </c>
      <c r="B15" s="103"/>
      <c r="C15" s="125"/>
      <c r="D15" s="125"/>
      <c r="E15" s="125"/>
      <c r="F15" s="125"/>
      <c r="G15" s="125"/>
      <c r="H15" s="125"/>
      <c r="I15" s="125"/>
      <c r="J15" s="125"/>
      <c r="K15" s="125"/>
      <c r="L15" s="125"/>
      <c r="M15" s="125"/>
      <c r="N15" s="125"/>
      <c r="O15" s="125"/>
      <c r="P15" s="125"/>
    </row>
    <row r="16" spans="1:17"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4" customFormat="1" x14ac:dyDescent="0.2">
      <c r="A66" s="104" t="str">
        <v>0:00</v>
      </c>
      <c r="B66" s="103"/>
      <c r="C66" s="125"/>
      <c r="D66" s="125"/>
      <c r="E66" s="125"/>
      <c r="F66" s="125"/>
      <c r="G66" s="125"/>
      <c r="H66" s="125"/>
      <c r="I66" s="125"/>
      <c r="J66" s="125"/>
      <c r="K66" s="125"/>
      <c r="L66" s="125"/>
      <c r="M66" s="125"/>
      <c r="N66" s="125"/>
      <c r="O66" s="125"/>
      <c r="P66" s="125"/>
    </row>
    <row r="67" spans="1:16" s="64" customFormat="1" x14ac:dyDescent="0.2">
      <c r="A67" s="104" t="str">
        <v>0:00</v>
      </c>
      <c r="B67" s="103"/>
      <c r="C67" s="125"/>
      <c r="D67" s="125"/>
      <c r="E67" s="125"/>
      <c r="F67" s="125"/>
      <c r="G67" s="125"/>
      <c r="H67" s="125"/>
      <c r="I67" s="125"/>
      <c r="J67" s="125"/>
      <c r="K67" s="125"/>
      <c r="L67" s="125"/>
      <c r="M67" s="125"/>
      <c r="N67" s="125"/>
      <c r="O67" s="125"/>
      <c r="P67" s="125"/>
    </row>
    <row r="68" spans="1:16" s="64" customFormat="1" x14ac:dyDescent="0.2">
      <c r="A68" s="104" t="str">
        <v>0:00</v>
      </c>
      <c r="B68" s="103"/>
      <c r="C68" s="125"/>
      <c r="D68" s="125"/>
      <c r="E68" s="125"/>
      <c r="F68" s="125"/>
      <c r="G68" s="125"/>
      <c r="H68" s="125"/>
      <c r="I68" s="125"/>
      <c r="J68" s="125"/>
      <c r="K68" s="125"/>
      <c r="L68" s="125"/>
      <c r="M68" s="125"/>
      <c r="N68" s="125"/>
      <c r="O68" s="125"/>
      <c r="P68" s="125"/>
    </row>
    <row r="69" spans="1:16" s="64" customFormat="1" x14ac:dyDescent="0.2">
      <c r="A69" s="104" t="str">
        <v>0:00</v>
      </c>
      <c r="B69" s="103"/>
      <c r="C69" s="125"/>
      <c r="D69" s="125"/>
      <c r="E69" s="125"/>
      <c r="F69" s="125"/>
      <c r="G69" s="125"/>
      <c r="H69" s="125"/>
      <c r="I69" s="125"/>
      <c r="J69" s="125"/>
      <c r="K69" s="125"/>
      <c r="L69" s="125"/>
      <c r="M69" s="125"/>
      <c r="N69" s="125"/>
      <c r="O69" s="125"/>
      <c r="P69" s="125"/>
    </row>
    <row r="70" spans="1:16" s="64" customFormat="1" x14ac:dyDescent="0.2">
      <c r="A70" s="104" t="str">
        <v>0:00</v>
      </c>
      <c r="B70" s="103"/>
      <c r="C70" s="125"/>
      <c r="D70" s="125"/>
      <c r="E70" s="125"/>
      <c r="F70" s="125"/>
      <c r="G70" s="125"/>
      <c r="H70" s="125"/>
      <c r="I70" s="125"/>
      <c r="J70" s="125"/>
      <c r="K70" s="125"/>
      <c r="L70" s="125"/>
      <c r="M70" s="125"/>
      <c r="N70" s="125"/>
      <c r="O70" s="125"/>
      <c r="P70" s="125"/>
    </row>
    <row r="71" spans="1:16" s="64" customFormat="1" x14ac:dyDescent="0.2">
      <c r="A71" s="104" t="str">
        <v>0:00</v>
      </c>
      <c r="B71" s="103"/>
      <c r="C71" s="125"/>
      <c r="D71" s="125"/>
      <c r="E71" s="125"/>
      <c r="F71" s="125"/>
      <c r="G71" s="125"/>
      <c r="H71" s="125"/>
      <c r="I71" s="125"/>
      <c r="J71" s="125"/>
      <c r="K71" s="125"/>
      <c r="L71" s="125"/>
      <c r="M71" s="125"/>
      <c r="N71" s="125"/>
      <c r="O71" s="125"/>
      <c r="P71" s="125"/>
    </row>
    <row r="72" spans="1:16" s="64" customFormat="1" x14ac:dyDescent="0.2">
      <c r="A72" s="104" t="str">
        <v>0:00</v>
      </c>
      <c r="B72" s="103"/>
      <c r="C72" s="125"/>
      <c r="D72" s="125"/>
      <c r="E72" s="125"/>
      <c r="F72" s="125"/>
      <c r="G72" s="125"/>
      <c r="H72" s="125"/>
      <c r="I72" s="125"/>
      <c r="J72" s="125"/>
      <c r="K72" s="125"/>
      <c r="L72" s="125"/>
      <c r="M72" s="125"/>
      <c r="N72" s="125"/>
      <c r="O72" s="125"/>
      <c r="P72" s="125"/>
    </row>
    <row r="73" spans="1:16" s="64" customFormat="1" x14ac:dyDescent="0.2">
      <c r="A73" s="104" t="str">
        <v>0:00</v>
      </c>
      <c r="B73" s="103"/>
      <c r="C73" s="125"/>
      <c r="D73" s="125"/>
      <c r="E73" s="125"/>
      <c r="F73" s="125"/>
      <c r="G73" s="125"/>
      <c r="H73" s="125"/>
      <c r="I73" s="125"/>
      <c r="J73" s="125"/>
      <c r="K73" s="125"/>
      <c r="L73" s="125"/>
      <c r="M73" s="125"/>
      <c r="N73" s="125"/>
      <c r="O73" s="125"/>
      <c r="P73" s="125"/>
    </row>
    <row r="74" spans="1:16" s="64" customFormat="1" x14ac:dyDescent="0.2">
      <c r="A74" s="104" t="str">
        <v>0:00</v>
      </c>
      <c r="B74" s="103"/>
      <c r="C74" s="125"/>
      <c r="D74" s="125"/>
      <c r="E74" s="125"/>
      <c r="F74" s="125"/>
      <c r="G74" s="125"/>
      <c r="H74" s="125"/>
      <c r="I74" s="125"/>
      <c r="J74" s="125"/>
      <c r="K74" s="125"/>
      <c r="L74" s="125"/>
      <c r="M74" s="125"/>
      <c r="N74" s="125"/>
      <c r="O74" s="125"/>
      <c r="P74" s="125"/>
    </row>
    <row r="75" spans="1:16" s="64" customFormat="1" x14ac:dyDescent="0.2">
      <c r="A75" s="104" t="str">
        <v>0:00</v>
      </c>
      <c r="B75" s="103"/>
      <c r="C75" s="125"/>
      <c r="D75" s="125"/>
      <c r="E75" s="125"/>
      <c r="F75" s="125"/>
      <c r="G75" s="125"/>
      <c r="H75" s="125"/>
      <c r="I75" s="125"/>
      <c r="J75" s="125"/>
      <c r="K75" s="125"/>
      <c r="L75" s="125"/>
      <c r="M75" s="125"/>
      <c r="N75" s="125"/>
      <c r="O75" s="125"/>
      <c r="P75" s="125"/>
    </row>
    <row r="76" spans="1:16" s="64" customFormat="1" x14ac:dyDescent="0.2">
      <c r="A76" s="104" t="str">
        <v>0:00</v>
      </c>
      <c r="B76" s="103"/>
      <c r="C76" s="125"/>
      <c r="D76" s="125"/>
      <c r="E76" s="125"/>
      <c r="F76" s="125"/>
      <c r="G76" s="125"/>
      <c r="H76" s="125"/>
      <c r="I76" s="125"/>
      <c r="J76" s="125"/>
      <c r="K76" s="125"/>
      <c r="L76" s="125"/>
      <c r="M76" s="125"/>
      <c r="N76" s="125"/>
      <c r="O76" s="125"/>
      <c r="P76" s="125"/>
    </row>
    <row r="77" spans="1:16" s="64" customFormat="1" x14ac:dyDescent="0.2">
      <c r="A77" s="104" t="str">
        <v>0:00</v>
      </c>
      <c r="B77" s="103"/>
      <c r="C77" s="125"/>
      <c r="D77" s="125"/>
      <c r="E77" s="125"/>
      <c r="F77" s="125"/>
      <c r="G77" s="125"/>
      <c r="H77" s="125"/>
      <c r="I77" s="125"/>
      <c r="J77" s="125"/>
      <c r="K77" s="125"/>
      <c r="L77" s="125"/>
      <c r="M77" s="125"/>
      <c r="N77" s="125"/>
      <c r="O77" s="125"/>
      <c r="P77" s="125"/>
    </row>
    <row r="78" spans="1:16" s="64" customFormat="1" x14ac:dyDescent="0.2">
      <c r="A78" s="104" t="str">
        <v>0:00</v>
      </c>
      <c r="B78" s="103"/>
      <c r="C78" s="125"/>
      <c r="D78" s="125"/>
      <c r="E78" s="125"/>
      <c r="F78" s="125"/>
      <c r="G78" s="125"/>
      <c r="H78" s="125"/>
      <c r="I78" s="125"/>
      <c r="J78" s="125"/>
      <c r="K78" s="125"/>
      <c r="L78" s="125"/>
      <c r="M78" s="125"/>
      <c r="N78" s="125"/>
      <c r="O78" s="125"/>
      <c r="P78" s="125"/>
    </row>
    <row r="79" spans="1:16" s="66" customFormat="1" x14ac:dyDescent="0.2">
      <c r="A79" s="65" t="str">
        <v>0:00</v>
      </c>
      <c r="B79" s="103"/>
      <c r="C79" s="125"/>
      <c r="D79" s="125"/>
      <c r="E79" s="125"/>
      <c r="F79" s="125"/>
      <c r="G79" s="125"/>
      <c r="H79" s="125"/>
      <c r="I79" s="125"/>
      <c r="J79" s="125"/>
      <c r="K79" s="125"/>
      <c r="L79" s="125"/>
      <c r="M79" s="125"/>
      <c r="N79" s="125"/>
      <c r="O79" s="125"/>
      <c r="P79" s="125"/>
    </row>
    <row r="80" spans="1:16" s="66" customFormat="1" x14ac:dyDescent="0.2">
      <c r="A80" s="65" t="str">
        <v>0:00</v>
      </c>
      <c r="B80" s="103"/>
      <c r="C80" s="125"/>
      <c r="D80" s="125"/>
      <c r="E80" s="125"/>
      <c r="F80" s="125"/>
      <c r="G80" s="125"/>
      <c r="H80" s="125"/>
      <c r="I80" s="125"/>
      <c r="J80" s="125"/>
      <c r="K80" s="125"/>
      <c r="L80" s="125"/>
      <c r="M80" s="125"/>
      <c r="N80" s="125"/>
      <c r="O80" s="125"/>
      <c r="P80" s="125"/>
    </row>
    <row r="81" spans="1:16" s="66" customFormat="1" x14ac:dyDescent="0.2">
      <c r="A81" s="65" t="str">
        <v>0:00</v>
      </c>
      <c r="B81" s="103"/>
      <c r="C81" s="125"/>
      <c r="D81" s="125"/>
      <c r="E81" s="125"/>
      <c r="F81" s="125"/>
      <c r="G81" s="125"/>
      <c r="H81" s="125"/>
      <c r="I81" s="125"/>
      <c r="J81" s="125"/>
      <c r="K81" s="125"/>
      <c r="L81" s="125"/>
      <c r="M81" s="125"/>
      <c r="N81" s="125"/>
      <c r="O81" s="125"/>
      <c r="P81" s="125"/>
    </row>
    <row r="82" spans="1:16" s="66" customFormat="1" x14ac:dyDescent="0.2">
      <c r="A82" s="65" t="str">
        <v>0:00</v>
      </c>
      <c r="B82" s="103"/>
      <c r="C82" s="125"/>
      <c r="D82" s="125"/>
      <c r="E82" s="125"/>
      <c r="F82" s="125"/>
      <c r="G82" s="125"/>
      <c r="H82" s="125"/>
      <c r="I82" s="125"/>
      <c r="J82" s="125"/>
      <c r="K82" s="125"/>
      <c r="L82" s="125"/>
      <c r="M82" s="125"/>
      <c r="N82" s="125"/>
      <c r="O82" s="125"/>
      <c r="P82" s="125"/>
    </row>
    <row r="83" spans="1:16" s="66" customFormat="1" x14ac:dyDescent="0.2">
      <c r="A83" s="65" t="str">
        <v>0:00</v>
      </c>
      <c r="B83" s="103"/>
      <c r="C83" s="125"/>
      <c r="D83" s="125"/>
      <c r="E83" s="125"/>
      <c r="F83" s="125"/>
      <c r="G83" s="125"/>
      <c r="H83" s="125"/>
      <c r="I83" s="125"/>
      <c r="J83" s="125"/>
      <c r="K83" s="125"/>
      <c r="L83" s="125"/>
      <c r="M83" s="125"/>
      <c r="N83" s="125"/>
      <c r="O83" s="125"/>
      <c r="P83" s="125"/>
    </row>
    <row r="84" spans="1:16" s="64" customFormat="1" x14ac:dyDescent="0.2">
      <c r="A84" s="104" t="str">
        <v>0:00</v>
      </c>
      <c r="B84" s="103"/>
      <c r="C84" s="125"/>
      <c r="D84" s="125"/>
      <c r="E84" s="125"/>
      <c r="F84" s="125"/>
      <c r="G84" s="125"/>
      <c r="H84" s="125"/>
      <c r="I84" s="125"/>
      <c r="J84" s="125"/>
      <c r="K84" s="125"/>
      <c r="L84" s="125"/>
      <c r="M84" s="125"/>
      <c r="N84" s="125"/>
      <c r="O84" s="125"/>
      <c r="P84" s="125"/>
    </row>
    <row r="85" spans="1:16" s="64" customFormat="1" x14ac:dyDescent="0.2">
      <c r="A85" s="104" t="str">
        <v>0:00</v>
      </c>
      <c r="B85" s="103"/>
      <c r="C85" s="125"/>
      <c r="D85" s="125"/>
      <c r="E85" s="125"/>
      <c r="F85" s="125"/>
      <c r="G85" s="125"/>
      <c r="H85" s="125"/>
      <c r="I85" s="125"/>
      <c r="J85" s="125"/>
      <c r="K85" s="125"/>
      <c r="L85" s="125"/>
      <c r="M85" s="125"/>
      <c r="N85" s="125"/>
      <c r="O85" s="125"/>
      <c r="P85" s="125"/>
    </row>
    <row r="86" spans="1:16" s="64" customFormat="1" x14ac:dyDescent="0.2">
      <c r="A86" s="104" t="str">
        <v>0:00</v>
      </c>
      <c r="B86" s="103"/>
      <c r="C86" s="125"/>
      <c r="D86" s="125"/>
      <c r="E86" s="125"/>
      <c r="F86" s="125"/>
      <c r="G86" s="125"/>
      <c r="H86" s="125"/>
      <c r="I86" s="125"/>
      <c r="J86" s="125"/>
      <c r="K86" s="125"/>
      <c r="L86" s="125"/>
      <c r="M86" s="125"/>
      <c r="N86" s="125"/>
      <c r="O86" s="125"/>
      <c r="P86" s="125"/>
    </row>
    <row r="87" spans="1:16" s="64" customFormat="1" x14ac:dyDescent="0.2">
      <c r="A87" s="104" t="str">
        <v>0:00</v>
      </c>
      <c r="B87" s="103"/>
      <c r="C87" s="125"/>
      <c r="D87" s="125"/>
      <c r="E87" s="125"/>
      <c r="F87" s="125"/>
      <c r="G87" s="125"/>
      <c r="H87" s="125"/>
      <c r="I87" s="125"/>
      <c r="J87" s="125"/>
      <c r="K87" s="125"/>
      <c r="L87" s="125"/>
      <c r="M87" s="125"/>
      <c r="N87" s="125"/>
      <c r="O87" s="125"/>
      <c r="P87" s="125"/>
    </row>
    <row r="88" spans="1:16" s="64" customFormat="1" x14ac:dyDescent="0.2">
      <c r="A88" s="104" t="str">
        <v>0:00</v>
      </c>
      <c r="B88" s="103"/>
      <c r="C88" s="125"/>
      <c r="D88" s="125"/>
      <c r="E88" s="125"/>
      <c r="F88" s="125"/>
      <c r="G88" s="125"/>
      <c r="H88" s="125"/>
      <c r="I88" s="125"/>
      <c r="J88" s="125"/>
      <c r="K88" s="125"/>
      <c r="L88" s="125"/>
      <c r="M88" s="125"/>
      <c r="N88" s="125"/>
      <c r="O88" s="125"/>
      <c r="P88" s="125"/>
    </row>
    <row r="89" spans="1:16" s="64" customFormat="1" x14ac:dyDescent="0.2">
      <c r="A89" s="104" t="str">
        <v>0:00</v>
      </c>
      <c r="B89" s="103"/>
      <c r="C89" s="125"/>
      <c r="D89" s="125"/>
      <c r="E89" s="125"/>
      <c r="F89" s="125"/>
      <c r="G89" s="125"/>
      <c r="H89" s="125"/>
      <c r="I89" s="125"/>
      <c r="J89" s="125"/>
      <c r="K89" s="125"/>
      <c r="L89" s="125"/>
      <c r="M89" s="125"/>
      <c r="N89" s="125"/>
      <c r="O89" s="125"/>
      <c r="P89" s="125"/>
    </row>
    <row r="90" spans="1:16" s="64" customFormat="1" x14ac:dyDescent="0.2">
      <c r="A90" s="104" t="str">
        <v>0:00</v>
      </c>
      <c r="B90" s="103"/>
      <c r="C90" s="125"/>
      <c r="D90" s="125"/>
      <c r="E90" s="125"/>
      <c r="F90" s="125"/>
      <c r="G90" s="125"/>
      <c r="H90" s="125"/>
      <c r="I90" s="125"/>
      <c r="J90" s="125"/>
      <c r="K90" s="125"/>
      <c r="L90" s="125"/>
      <c r="M90" s="125"/>
      <c r="N90" s="125"/>
      <c r="O90" s="125"/>
      <c r="P90" s="125"/>
    </row>
    <row r="91" spans="1:16" s="64" customFormat="1" x14ac:dyDescent="0.2">
      <c r="A91" s="104" t="str">
        <v>0:00</v>
      </c>
      <c r="B91" s="103"/>
      <c r="C91" s="125"/>
      <c r="D91" s="125"/>
      <c r="E91" s="125"/>
      <c r="F91" s="125"/>
      <c r="G91" s="125"/>
      <c r="H91" s="125"/>
      <c r="I91" s="125"/>
      <c r="J91" s="125"/>
      <c r="K91" s="125"/>
      <c r="L91" s="125"/>
      <c r="M91" s="125"/>
      <c r="N91" s="125"/>
      <c r="O91" s="125"/>
      <c r="P91" s="125"/>
    </row>
    <row r="92" spans="1:16" s="64" customFormat="1" x14ac:dyDescent="0.2">
      <c r="A92" s="104"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125"/>
      <c r="D501" s="125"/>
      <c r="E501" s="125"/>
      <c r="F501" s="125"/>
      <c r="G501" s="125"/>
      <c r="H501" s="125"/>
      <c r="I501" s="125"/>
      <c r="J501" s="125"/>
      <c r="K501" s="125"/>
      <c r="L501" s="125"/>
      <c r="M501" s="125"/>
      <c r="N501" s="125"/>
      <c r="O501" s="125"/>
      <c r="P501" s="125"/>
    </row>
    <row r="502" spans="1:16" x14ac:dyDescent="0.2">
      <c r="A502" s="47" t="str">
        <v>0:00</v>
      </c>
      <c r="B502" s="103"/>
      <c r="C502" s="125"/>
      <c r="D502" s="125"/>
      <c r="E502" s="125"/>
      <c r="F502" s="125"/>
      <c r="G502" s="125"/>
      <c r="H502" s="125"/>
      <c r="I502" s="125"/>
      <c r="J502" s="125"/>
      <c r="K502" s="125"/>
      <c r="L502" s="125"/>
      <c r="M502" s="125"/>
      <c r="N502" s="125"/>
      <c r="O502" s="125"/>
      <c r="P502" s="125"/>
    </row>
    <row r="503" spans="1:16" x14ac:dyDescent="0.2">
      <c r="A503" s="47" t="str">
        <v>0:00</v>
      </c>
      <c r="B503" s="103"/>
      <c r="C503" s="125"/>
      <c r="D503" s="125"/>
      <c r="E503" s="125"/>
      <c r="F503" s="125"/>
      <c r="G503" s="125"/>
      <c r="H503" s="125"/>
      <c r="I503" s="125"/>
      <c r="J503" s="125"/>
      <c r="K503" s="125"/>
      <c r="L503" s="125"/>
      <c r="M503" s="125"/>
      <c r="N503" s="125"/>
      <c r="O503" s="125"/>
      <c r="P503" s="125"/>
    </row>
    <row r="504" spans="1:16" x14ac:dyDescent="0.2">
      <c r="A504" s="47" t="str">
        <v>0:00</v>
      </c>
      <c r="B504" s="103"/>
      <c r="C504" s="125"/>
      <c r="D504" s="125"/>
      <c r="E504" s="125"/>
      <c r="F504" s="125"/>
      <c r="G504" s="125"/>
      <c r="H504" s="125"/>
      <c r="I504" s="125"/>
      <c r="J504" s="125"/>
      <c r="K504" s="125"/>
      <c r="L504" s="125"/>
      <c r="M504" s="125"/>
      <c r="N504" s="125"/>
      <c r="O504" s="125"/>
      <c r="P504" s="125"/>
    </row>
    <row r="505" spans="1:16" x14ac:dyDescent="0.2">
      <c r="A505" s="47" t="str">
        <v>0:00</v>
      </c>
      <c r="B505" s="103"/>
      <c r="C505" s="125"/>
      <c r="D505" s="125"/>
      <c r="E505" s="125"/>
      <c r="F505" s="125"/>
      <c r="G505" s="125"/>
      <c r="H505" s="125"/>
      <c r="I505" s="125"/>
      <c r="J505" s="125"/>
      <c r="K505" s="125"/>
      <c r="L505" s="125"/>
      <c r="M505" s="125"/>
      <c r="N505" s="125"/>
      <c r="O505" s="125"/>
      <c r="P505" s="125"/>
    </row>
    <row r="506" spans="1:16" x14ac:dyDescent="0.2">
      <c r="A506" s="47" t="str">
        <v>0:00</v>
      </c>
      <c r="B506" s="103"/>
      <c r="C506" s="125"/>
      <c r="D506" s="125"/>
      <c r="E506" s="125"/>
      <c r="F506" s="125"/>
      <c r="G506" s="125"/>
      <c r="H506" s="125"/>
      <c r="I506" s="125"/>
      <c r="J506" s="125"/>
      <c r="K506" s="125"/>
      <c r="L506" s="125"/>
      <c r="M506" s="125"/>
      <c r="N506" s="125"/>
      <c r="O506" s="125"/>
      <c r="P506" s="125"/>
    </row>
    <row r="507" spans="1:16" x14ac:dyDescent="0.2">
      <c r="A507" s="47" t="str">
        <v>0:00</v>
      </c>
      <c r="B507" s="103"/>
      <c r="C507" s="125"/>
      <c r="D507" s="125"/>
      <c r="E507" s="125"/>
      <c r="F507" s="125"/>
      <c r="G507" s="125"/>
      <c r="H507" s="125"/>
      <c r="I507" s="125"/>
      <c r="J507" s="125"/>
      <c r="K507" s="125"/>
      <c r="L507" s="125"/>
      <c r="M507" s="125"/>
      <c r="N507" s="125"/>
      <c r="O507" s="125"/>
      <c r="P507" s="125"/>
    </row>
    <row r="508" spans="1:16" x14ac:dyDescent="0.2">
      <c r="A508" s="47" t="str">
        <v>0:00</v>
      </c>
      <c r="B508" s="103"/>
      <c r="C508" s="125"/>
      <c r="D508" s="125"/>
      <c r="E508" s="125"/>
      <c r="F508" s="125"/>
      <c r="G508" s="125"/>
      <c r="H508" s="125"/>
      <c r="I508" s="125"/>
      <c r="J508" s="125"/>
      <c r="K508" s="125"/>
      <c r="L508" s="125"/>
      <c r="M508" s="125"/>
      <c r="N508" s="125"/>
      <c r="O508" s="125"/>
      <c r="P508" s="125"/>
    </row>
    <row r="509" spans="1:16" x14ac:dyDescent="0.2">
      <c r="A509" s="47" t="str">
        <v>0:00</v>
      </c>
      <c r="B509" s="103"/>
      <c r="C509" s="125"/>
      <c r="D509" s="125"/>
      <c r="E509" s="125"/>
      <c r="F509" s="125"/>
      <c r="G509" s="125"/>
      <c r="H509" s="125"/>
      <c r="I509" s="125"/>
      <c r="J509" s="125"/>
      <c r="K509" s="125"/>
      <c r="L509" s="125"/>
      <c r="M509" s="125"/>
      <c r="N509" s="125"/>
      <c r="O509" s="125"/>
      <c r="P509" s="125"/>
    </row>
    <row r="510" spans="1:16" x14ac:dyDescent="0.2">
      <c r="A510" s="47" t="str">
        <v>0:00</v>
      </c>
      <c r="B510" s="103"/>
      <c r="C510" s="125"/>
      <c r="D510" s="125"/>
      <c r="E510" s="125"/>
      <c r="F510" s="125"/>
      <c r="G510" s="125"/>
      <c r="H510" s="125"/>
      <c r="I510" s="125"/>
      <c r="J510" s="125"/>
      <c r="K510" s="125"/>
      <c r="L510" s="125"/>
      <c r="M510" s="125"/>
      <c r="N510" s="125"/>
      <c r="O510" s="125"/>
      <c r="P510" s="125"/>
    </row>
    <row r="511" spans="1:16" x14ac:dyDescent="0.2">
      <c r="A511" s="47" t="str">
        <v>0:00</v>
      </c>
      <c r="B511" s="103"/>
      <c r="C511" s="125"/>
      <c r="D511" s="125"/>
      <c r="E511" s="125"/>
      <c r="F511" s="125"/>
      <c r="G511" s="125"/>
      <c r="H511" s="125"/>
      <c r="I511" s="125"/>
      <c r="J511" s="125"/>
      <c r="K511" s="125"/>
      <c r="L511" s="125"/>
      <c r="M511" s="125"/>
      <c r="N511" s="125"/>
      <c r="O511" s="125"/>
      <c r="P511" s="125"/>
    </row>
    <row r="512" spans="1:16" x14ac:dyDescent="0.2">
      <c r="A512" s="47" t="str">
        <v>0:00</v>
      </c>
      <c r="B512" s="103"/>
      <c r="C512" s="125"/>
      <c r="D512" s="125"/>
      <c r="E512" s="125"/>
      <c r="F512" s="125"/>
      <c r="G512" s="125"/>
      <c r="H512" s="125"/>
      <c r="I512" s="125"/>
      <c r="J512" s="125"/>
      <c r="K512" s="125"/>
      <c r="L512" s="125"/>
      <c r="M512" s="125"/>
      <c r="N512" s="125"/>
      <c r="O512" s="125"/>
      <c r="P512" s="125"/>
    </row>
    <row r="513" spans="1:16" x14ac:dyDescent="0.2">
      <c r="A513" s="47" t="str">
        <v>0:00</v>
      </c>
      <c r="B513" s="103"/>
      <c r="C513" s="125"/>
      <c r="D513" s="125"/>
      <c r="E513" s="125"/>
      <c r="F513" s="125"/>
      <c r="G513" s="125"/>
      <c r="H513" s="125"/>
      <c r="I513" s="125"/>
      <c r="J513" s="125"/>
      <c r="K513" s="125"/>
      <c r="L513" s="125"/>
      <c r="M513" s="125"/>
      <c r="N513" s="125"/>
      <c r="O513" s="125"/>
      <c r="P513" s="125"/>
    </row>
    <row r="514" spans="1:16" x14ac:dyDescent="0.2">
      <c r="A514" s="47" t="str">
        <v>0:00</v>
      </c>
      <c r="B514" s="103"/>
      <c r="C514" s="125"/>
      <c r="D514" s="125"/>
      <c r="E514" s="125"/>
      <c r="F514" s="125"/>
      <c r="G514" s="125"/>
      <c r="H514" s="125"/>
      <c r="I514" s="125"/>
      <c r="J514" s="125"/>
      <c r="K514" s="125"/>
      <c r="L514" s="125"/>
      <c r="M514" s="125"/>
      <c r="N514" s="125"/>
      <c r="O514" s="125"/>
      <c r="P514" s="125"/>
    </row>
    <row r="515" spans="1:16" x14ac:dyDescent="0.2">
      <c r="A515" s="47" t="str">
        <v>0:00</v>
      </c>
      <c r="B515" s="103"/>
      <c r="C515" s="125"/>
      <c r="D515" s="125"/>
      <c r="E515" s="125"/>
      <c r="F515" s="125"/>
      <c r="G515" s="125"/>
      <c r="H515" s="125"/>
      <c r="I515" s="125"/>
      <c r="J515" s="125"/>
      <c r="K515" s="125"/>
      <c r="L515" s="125"/>
      <c r="M515" s="125"/>
      <c r="N515" s="125"/>
      <c r="O515" s="125"/>
      <c r="P515" s="125"/>
    </row>
    <row r="516" spans="1:16" x14ac:dyDescent="0.2">
      <c r="A516" s="47" t="str">
        <v>0:00</v>
      </c>
      <c r="B516" s="103"/>
      <c r="C516" s="125"/>
      <c r="D516" s="125"/>
      <c r="E516" s="125"/>
      <c r="F516" s="125"/>
      <c r="G516" s="125"/>
      <c r="H516" s="125"/>
      <c r="I516" s="125"/>
      <c r="J516" s="125"/>
      <c r="K516" s="125"/>
      <c r="L516" s="125"/>
      <c r="M516" s="125"/>
      <c r="N516" s="125"/>
      <c r="O516" s="125"/>
      <c r="P516" s="125"/>
    </row>
    <row r="517" spans="1:16" x14ac:dyDescent="0.2">
      <c r="A517" s="47" t="str">
        <v>0:00</v>
      </c>
      <c r="B517" s="103"/>
      <c r="C517" s="125"/>
      <c r="D517" s="125"/>
      <c r="E517" s="125"/>
      <c r="F517" s="125"/>
      <c r="G517" s="125"/>
      <c r="H517" s="125"/>
      <c r="I517" s="125"/>
      <c r="J517" s="125"/>
      <c r="K517" s="125"/>
      <c r="L517" s="125"/>
      <c r="M517" s="125"/>
      <c r="N517" s="125"/>
      <c r="O517" s="125"/>
      <c r="P517" s="125"/>
    </row>
    <row r="518" spans="1:16" x14ac:dyDescent="0.2">
      <c r="A518" s="47" t="str">
        <v>0:00</v>
      </c>
      <c r="B518" s="103"/>
      <c r="C518" s="125"/>
      <c r="D518" s="125"/>
      <c r="E518" s="125"/>
      <c r="F518" s="125"/>
      <c r="G518" s="125"/>
      <c r="H518" s="125"/>
      <c r="I518" s="125"/>
      <c r="J518" s="125"/>
      <c r="K518" s="125"/>
      <c r="L518" s="125"/>
      <c r="M518" s="125"/>
      <c r="N518" s="125"/>
      <c r="O518" s="125"/>
      <c r="P518" s="125"/>
    </row>
    <row r="519" spans="1:16" x14ac:dyDescent="0.2">
      <c r="A519" s="47" t="str">
        <v>0:00</v>
      </c>
      <c r="B519" s="103"/>
      <c r="C519" s="125"/>
      <c r="D519" s="125"/>
      <c r="E519" s="125"/>
      <c r="F519" s="125"/>
      <c r="G519" s="125"/>
      <c r="H519" s="125"/>
      <c r="I519" s="125"/>
      <c r="J519" s="125"/>
      <c r="K519" s="125"/>
      <c r="L519" s="125"/>
      <c r="M519" s="125"/>
      <c r="N519" s="125"/>
      <c r="O519" s="125"/>
      <c r="P519" s="125"/>
    </row>
    <row r="520" spans="1:16" x14ac:dyDescent="0.2">
      <c r="A520" s="47" t="str">
        <v>0:00</v>
      </c>
      <c r="B520" s="103"/>
      <c r="C520" s="125"/>
      <c r="D520" s="125"/>
      <c r="E520" s="125"/>
      <c r="F520" s="125"/>
      <c r="G520" s="125"/>
      <c r="H520" s="125"/>
      <c r="I520" s="125"/>
      <c r="J520" s="125"/>
      <c r="K520" s="125"/>
      <c r="L520" s="125"/>
      <c r="M520" s="125"/>
      <c r="N520" s="125"/>
      <c r="O520" s="125"/>
      <c r="P520" s="125"/>
    </row>
    <row r="521" spans="1:16" x14ac:dyDescent="0.2">
      <c r="A521" s="47" t="str">
        <v>0:00</v>
      </c>
      <c r="B521" s="103"/>
      <c r="C521" s="125"/>
      <c r="D521" s="125"/>
      <c r="E521" s="125"/>
      <c r="F521" s="125"/>
      <c r="G521" s="125"/>
      <c r="H521" s="125"/>
      <c r="I521" s="125"/>
      <c r="J521" s="125"/>
      <c r="K521" s="125"/>
      <c r="L521" s="125"/>
      <c r="M521" s="125"/>
      <c r="N521" s="125"/>
      <c r="O521" s="125"/>
      <c r="P521" s="125"/>
    </row>
    <row r="522" spans="1:16" x14ac:dyDescent="0.2">
      <c r="A522" s="47" t="str">
        <v>0:00</v>
      </c>
      <c r="B522" s="103"/>
      <c r="C522" s="125"/>
      <c r="D522" s="125"/>
      <c r="E522" s="125"/>
      <c r="F522" s="125"/>
      <c r="G522" s="125"/>
      <c r="H522" s="125"/>
      <c r="I522" s="125"/>
      <c r="J522" s="125"/>
      <c r="K522" s="125"/>
      <c r="L522" s="125"/>
      <c r="M522" s="125"/>
      <c r="N522" s="125"/>
      <c r="O522" s="125"/>
      <c r="P522" s="125"/>
    </row>
    <row r="523" spans="1:16" x14ac:dyDescent="0.2">
      <c r="A523" s="47" t="str">
        <v>0:00</v>
      </c>
      <c r="B523" s="103"/>
      <c r="C523" s="125"/>
      <c r="D523" s="125"/>
      <c r="E523" s="125"/>
      <c r="F523" s="125"/>
      <c r="G523" s="125"/>
      <c r="H523" s="125"/>
      <c r="I523" s="125"/>
      <c r="J523" s="125"/>
      <c r="K523" s="125"/>
      <c r="L523" s="125"/>
      <c r="M523" s="125"/>
      <c r="N523" s="125"/>
      <c r="O523" s="125"/>
      <c r="P523" s="125"/>
    </row>
    <row r="524" spans="1:16" x14ac:dyDescent="0.2">
      <c r="A524" s="47" t="str">
        <v>0:00</v>
      </c>
      <c r="B524" s="103"/>
      <c r="C524" s="125"/>
      <c r="D524" s="125"/>
      <c r="E524" s="125"/>
      <c r="F524" s="125"/>
      <c r="G524" s="125"/>
      <c r="H524" s="125"/>
      <c r="I524" s="125"/>
      <c r="J524" s="125"/>
      <c r="K524" s="125"/>
      <c r="L524" s="125"/>
      <c r="M524" s="125"/>
      <c r="N524" s="125"/>
      <c r="O524" s="125"/>
      <c r="P524" s="125"/>
    </row>
    <row r="525" spans="1:16" x14ac:dyDescent="0.2">
      <c r="A525" s="47" t="str">
        <v>0:00</v>
      </c>
      <c r="B525" s="103"/>
      <c r="C525" s="125"/>
      <c r="D525" s="125"/>
      <c r="E525" s="125"/>
      <c r="F525" s="125"/>
      <c r="G525" s="125"/>
      <c r="H525" s="125"/>
      <c r="I525" s="125"/>
      <c r="J525" s="125"/>
      <c r="K525" s="125"/>
      <c r="L525" s="125"/>
      <c r="M525" s="125"/>
      <c r="N525" s="125"/>
      <c r="O525" s="125"/>
      <c r="P525" s="125"/>
    </row>
    <row r="526" spans="1:16" x14ac:dyDescent="0.2">
      <c r="A526" s="47" t="str">
        <v>0:00</v>
      </c>
      <c r="B526" s="103"/>
      <c r="C526" s="125"/>
      <c r="D526" s="125"/>
      <c r="E526" s="125"/>
      <c r="F526" s="125"/>
      <c r="G526" s="125"/>
      <c r="H526" s="125"/>
      <c r="I526" s="125"/>
      <c r="J526" s="125"/>
      <c r="K526" s="125"/>
      <c r="L526" s="125"/>
      <c r="M526" s="125"/>
      <c r="N526" s="125"/>
      <c r="O526" s="125"/>
      <c r="P526" s="125"/>
    </row>
    <row r="527" spans="1:16" x14ac:dyDescent="0.2">
      <c r="A527" s="47" t="str">
        <v>0:00</v>
      </c>
      <c r="B527" s="103"/>
      <c r="C527" s="125"/>
      <c r="D527" s="125"/>
      <c r="E527" s="125"/>
      <c r="F527" s="125"/>
      <c r="G527" s="125"/>
      <c r="H527" s="125"/>
      <c r="I527" s="125"/>
      <c r="J527" s="125"/>
      <c r="K527" s="125"/>
      <c r="L527" s="125"/>
      <c r="M527" s="125"/>
      <c r="N527" s="125"/>
      <c r="O527" s="125"/>
      <c r="P527" s="125"/>
    </row>
    <row r="528" spans="1:16" x14ac:dyDescent="0.2">
      <c r="A528" s="47" t="str">
        <v>0:00</v>
      </c>
      <c r="B528" s="103"/>
      <c r="C528" s="125"/>
      <c r="D528" s="125"/>
      <c r="E528" s="125"/>
      <c r="F528" s="125"/>
      <c r="G528" s="125"/>
      <c r="H528" s="125"/>
      <c r="I528" s="125"/>
      <c r="J528" s="125"/>
      <c r="K528" s="125"/>
      <c r="L528" s="125"/>
      <c r="M528" s="125"/>
      <c r="N528" s="125"/>
      <c r="O528" s="125"/>
      <c r="P528" s="125"/>
    </row>
    <row r="529" spans="1:16" x14ac:dyDescent="0.2">
      <c r="A529" s="47" t="str">
        <v>0:00</v>
      </c>
      <c r="B529" s="103"/>
      <c r="C529" s="125"/>
      <c r="D529" s="125"/>
      <c r="E529" s="125"/>
      <c r="F529" s="125"/>
      <c r="G529" s="125"/>
      <c r="H529" s="125"/>
      <c r="I529" s="125"/>
      <c r="J529" s="125"/>
      <c r="K529" s="125"/>
      <c r="L529" s="125"/>
      <c r="M529" s="125"/>
      <c r="N529" s="125"/>
      <c r="O529" s="125"/>
      <c r="P529" s="125"/>
    </row>
    <row r="530" spans="1:16" x14ac:dyDescent="0.2">
      <c r="A530" s="47" t="str">
        <v>0:00</v>
      </c>
      <c r="B530" s="103"/>
      <c r="C530" s="125"/>
      <c r="D530" s="125"/>
      <c r="E530" s="125"/>
      <c r="F530" s="125"/>
      <c r="G530" s="125"/>
      <c r="H530" s="125"/>
      <c r="I530" s="125"/>
      <c r="J530" s="125"/>
      <c r="K530" s="125"/>
      <c r="L530" s="125"/>
      <c r="M530" s="125"/>
      <c r="N530" s="125"/>
      <c r="O530" s="125"/>
      <c r="P530" s="125"/>
    </row>
    <row r="531" spans="1:16" x14ac:dyDescent="0.2">
      <c r="A531" s="47" t="str">
        <v>0:00</v>
      </c>
      <c r="B531" s="103"/>
      <c r="C531" s="125"/>
      <c r="D531" s="125"/>
      <c r="E531" s="125"/>
      <c r="F531" s="125"/>
      <c r="G531" s="125"/>
      <c r="H531" s="125"/>
      <c r="I531" s="125"/>
      <c r="J531" s="125"/>
      <c r="K531" s="125"/>
      <c r="L531" s="125"/>
      <c r="M531" s="125"/>
      <c r="N531" s="125"/>
      <c r="O531" s="125"/>
      <c r="P531" s="125"/>
    </row>
    <row r="532" spans="1:16" x14ac:dyDescent="0.2">
      <c r="A532" s="47" t="str">
        <v>0:00</v>
      </c>
      <c r="B532" s="103"/>
      <c r="C532" s="125"/>
      <c r="D532" s="125"/>
      <c r="E532" s="125"/>
      <c r="F532" s="125"/>
      <c r="G532" s="125"/>
      <c r="H532" s="125"/>
      <c r="I532" s="125"/>
      <c r="J532" s="125"/>
      <c r="K532" s="125"/>
      <c r="L532" s="125"/>
      <c r="M532" s="125"/>
      <c r="N532" s="125"/>
      <c r="O532" s="125"/>
      <c r="P532" s="125"/>
    </row>
    <row r="533" spans="1:16" x14ac:dyDescent="0.2">
      <c r="A533" s="47" t="str">
        <v>0:00</v>
      </c>
      <c r="B533" s="103"/>
      <c r="C533" s="125"/>
      <c r="D533" s="125"/>
      <c r="E533" s="125"/>
      <c r="F533" s="125"/>
      <c r="G533" s="125"/>
      <c r="H533" s="125"/>
      <c r="I533" s="125"/>
      <c r="J533" s="125"/>
      <c r="K533" s="125"/>
      <c r="L533" s="125"/>
      <c r="M533" s="125"/>
      <c r="N533" s="125"/>
      <c r="O533" s="125"/>
      <c r="P533" s="125"/>
    </row>
    <row r="534" spans="1:16" x14ac:dyDescent="0.2">
      <c r="A534" s="47" t="str">
        <v>0:00</v>
      </c>
      <c r="B534" s="103"/>
      <c r="C534" s="125"/>
      <c r="D534" s="125"/>
      <c r="E534" s="125"/>
      <c r="F534" s="125"/>
      <c r="G534" s="125"/>
      <c r="H534" s="125"/>
      <c r="I534" s="125"/>
      <c r="J534" s="125"/>
      <c r="K534" s="125"/>
      <c r="L534" s="125"/>
      <c r="M534" s="125"/>
      <c r="N534" s="125"/>
      <c r="O534" s="125"/>
      <c r="P534" s="125"/>
    </row>
    <row r="535" spans="1:16" x14ac:dyDescent="0.2">
      <c r="A535" s="47" t="str">
        <v>0:00</v>
      </c>
      <c r="B535" s="103"/>
      <c r="C535" s="125"/>
      <c r="D535" s="125"/>
      <c r="E535" s="125"/>
      <c r="F535" s="125"/>
      <c r="G535" s="125"/>
      <c r="H535" s="125"/>
      <c r="I535" s="125"/>
      <c r="J535" s="125"/>
      <c r="K535" s="125"/>
      <c r="L535" s="125"/>
      <c r="M535" s="125"/>
      <c r="N535" s="125"/>
      <c r="O535" s="125"/>
      <c r="P535" s="125"/>
    </row>
    <row r="536" spans="1:16" x14ac:dyDescent="0.2">
      <c r="A536" s="47" t="str">
        <v>0:00</v>
      </c>
      <c r="B536" s="103"/>
      <c r="C536" s="125"/>
      <c r="D536" s="125"/>
      <c r="E536" s="125"/>
      <c r="F536" s="125"/>
      <c r="G536" s="125"/>
      <c r="H536" s="125"/>
      <c r="I536" s="125"/>
      <c r="J536" s="125"/>
      <c r="K536" s="125"/>
      <c r="L536" s="125"/>
      <c r="M536" s="125"/>
      <c r="N536" s="125"/>
      <c r="O536" s="125"/>
      <c r="P536" s="125"/>
    </row>
    <row r="537" spans="1:16" x14ac:dyDescent="0.2">
      <c r="A537" s="47" t="str">
        <v>0:00</v>
      </c>
      <c r="B537" s="103"/>
      <c r="C537" s="125"/>
      <c r="D537" s="125"/>
      <c r="E537" s="125"/>
      <c r="F537" s="125"/>
      <c r="G537" s="125"/>
      <c r="H537" s="125"/>
      <c r="I537" s="125"/>
      <c r="J537" s="125"/>
      <c r="K537" s="125"/>
      <c r="L537" s="125"/>
      <c r="M537" s="125"/>
      <c r="N537" s="125"/>
      <c r="O537" s="125"/>
      <c r="P537" s="125"/>
    </row>
    <row r="538" spans="1:16" x14ac:dyDescent="0.2">
      <c r="A538" s="47" t="str">
        <v>0:00</v>
      </c>
      <c r="B538" s="103"/>
      <c r="C538" s="125"/>
      <c r="D538" s="125"/>
      <c r="E538" s="125"/>
      <c r="F538" s="125"/>
      <c r="G538" s="125"/>
      <c r="H538" s="125"/>
      <c r="I538" s="125"/>
      <c r="J538" s="125"/>
      <c r="K538" s="125"/>
      <c r="L538" s="125"/>
      <c r="M538" s="125"/>
      <c r="N538" s="125"/>
      <c r="O538" s="125"/>
      <c r="P538" s="125"/>
    </row>
    <row r="539" spans="1:16" x14ac:dyDescent="0.2">
      <c r="A539" s="47" t="str">
        <v>0:00</v>
      </c>
      <c r="B539" s="103"/>
      <c r="C539" s="125"/>
      <c r="D539" s="125"/>
      <c r="E539" s="125"/>
      <c r="F539" s="125"/>
      <c r="G539" s="125"/>
      <c r="H539" s="125"/>
      <c r="I539" s="125"/>
      <c r="J539" s="125"/>
      <c r="K539" s="125"/>
      <c r="L539" s="125"/>
      <c r="M539" s="125"/>
      <c r="N539" s="125"/>
      <c r="O539" s="125"/>
      <c r="P539" s="125"/>
    </row>
    <row r="540" spans="1:16" x14ac:dyDescent="0.2">
      <c r="A540" s="47" t="str">
        <v>0:00</v>
      </c>
      <c r="B540" s="103"/>
      <c r="C540" s="125"/>
      <c r="D540" s="125"/>
      <c r="E540" s="125"/>
      <c r="F540" s="125"/>
      <c r="G540" s="125"/>
      <c r="H540" s="125"/>
      <c r="I540" s="125"/>
      <c r="J540" s="125"/>
      <c r="K540" s="125"/>
      <c r="L540" s="125"/>
      <c r="M540" s="125"/>
      <c r="N540" s="125"/>
      <c r="O540" s="125"/>
      <c r="P540" s="125"/>
    </row>
    <row r="541" spans="1:16" x14ac:dyDescent="0.2">
      <c r="A541" s="47" t="str">
        <v>0:00</v>
      </c>
      <c r="B541" s="103"/>
      <c r="C541" s="125"/>
      <c r="D541" s="125"/>
      <c r="E541" s="125"/>
      <c r="F541" s="125"/>
      <c r="G541" s="125"/>
      <c r="H541" s="125"/>
      <c r="I541" s="125"/>
      <c r="J541" s="125"/>
      <c r="K541" s="125"/>
      <c r="L541" s="125"/>
      <c r="M541" s="125"/>
      <c r="N541" s="125"/>
      <c r="O541" s="125"/>
      <c r="P541" s="125"/>
    </row>
    <row r="542" spans="1:16" x14ac:dyDescent="0.2">
      <c r="A542" s="47" t="str">
        <v>0:00</v>
      </c>
      <c r="B542" s="103"/>
      <c r="C542" s="125"/>
      <c r="D542" s="125"/>
      <c r="E542" s="125"/>
      <c r="F542" s="125"/>
      <c r="G542" s="125"/>
      <c r="H542" s="125"/>
      <c r="I542" s="125"/>
      <c r="J542" s="125"/>
      <c r="K542" s="125"/>
      <c r="L542" s="125"/>
      <c r="M542" s="125"/>
      <c r="N542" s="125"/>
      <c r="O542" s="125"/>
      <c r="P542" s="125"/>
    </row>
    <row r="543" spans="1:16" x14ac:dyDescent="0.2">
      <c r="A543" s="47" t="str">
        <v>0:00</v>
      </c>
      <c r="B543" s="103"/>
      <c r="C543" s="125"/>
      <c r="D543" s="125"/>
      <c r="E543" s="125"/>
      <c r="F543" s="125"/>
      <c r="G543" s="125"/>
      <c r="H543" s="125"/>
      <c r="I543" s="125"/>
      <c r="J543" s="125"/>
      <c r="K543" s="125"/>
      <c r="L543" s="125"/>
      <c r="M543" s="125"/>
      <c r="N543" s="125"/>
      <c r="O543" s="125"/>
      <c r="P543" s="125"/>
    </row>
    <row r="544" spans="1:16" x14ac:dyDescent="0.2">
      <c r="A544" s="47" t="str">
        <v>0:00</v>
      </c>
      <c r="B544" s="103"/>
      <c r="C544" s="125"/>
      <c r="D544" s="125"/>
      <c r="E544" s="125"/>
      <c r="F544" s="125"/>
      <c r="G544" s="125"/>
      <c r="H544" s="125"/>
      <c r="I544" s="125"/>
      <c r="J544" s="125"/>
      <c r="K544" s="125"/>
      <c r="L544" s="125"/>
      <c r="M544" s="125"/>
      <c r="N544" s="125"/>
      <c r="O544" s="125"/>
      <c r="P544" s="125"/>
    </row>
    <row r="545" spans="1:16" x14ac:dyDescent="0.2">
      <c r="A545" s="47" t="str">
        <v>0:00</v>
      </c>
      <c r="B545" s="103"/>
      <c r="C545" s="125"/>
      <c r="D545" s="125"/>
      <c r="E545" s="125"/>
      <c r="F545" s="125"/>
      <c r="G545" s="125"/>
      <c r="H545" s="125"/>
      <c r="I545" s="125"/>
      <c r="J545" s="125"/>
      <c r="K545" s="125"/>
      <c r="L545" s="125"/>
      <c r="M545" s="125"/>
      <c r="N545" s="125"/>
      <c r="O545" s="125"/>
      <c r="P545" s="125"/>
    </row>
    <row r="546" spans="1:16" x14ac:dyDescent="0.2">
      <c r="A546" s="47" t="str">
        <v>0:00</v>
      </c>
      <c r="B546" s="103"/>
      <c r="C546" s="125"/>
      <c r="D546" s="125"/>
      <c r="E546" s="125"/>
      <c r="F546" s="125"/>
      <c r="G546" s="125"/>
      <c r="H546" s="125"/>
      <c r="I546" s="125"/>
      <c r="J546" s="125"/>
      <c r="K546" s="125"/>
      <c r="L546" s="125"/>
      <c r="M546" s="125"/>
      <c r="N546" s="125"/>
      <c r="O546" s="125"/>
      <c r="P546" s="125"/>
    </row>
    <row r="547" spans="1:16" x14ac:dyDescent="0.2">
      <c r="A547" s="47" t="str">
        <v>0:00</v>
      </c>
      <c r="B547" s="103"/>
      <c r="C547" s="125"/>
      <c r="D547" s="125"/>
      <c r="E547" s="125"/>
      <c r="F547" s="125"/>
      <c r="G547" s="125"/>
      <c r="H547" s="125"/>
      <c r="I547" s="125"/>
      <c r="J547" s="125"/>
      <c r="K547" s="125"/>
      <c r="L547" s="125"/>
      <c r="M547" s="125"/>
      <c r="N547" s="125"/>
      <c r="O547" s="125"/>
      <c r="P547" s="125"/>
    </row>
    <row r="548" spans="1:16" x14ac:dyDescent="0.2">
      <c r="A548" s="47" t="str">
        <v>0:00</v>
      </c>
      <c r="B548" s="103"/>
      <c r="C548" s="125"/>
      <c r="D548" s="125"/>
      <c r="E548" s="125"/>
      <c r="F548" s="125"/>
      <c r="G548" s="125"/>
      <c r="H548" s="125"/>
      <c r="I548" s="125"/>
      <c r="J548" s="125"/>
      <c r="K548" s="125"/>
      <c r="L548" s="125"/>
      <c r="M548" s="125"/>
      <c r="N548" s="125"/>
      <c r="O548" s="125"/>
      <c r="P548" s="125"/>
    </row>
    <row r="549" spans="1:16" x14ac:dyDescent="0.2">
      <c r="A549" s="47" t="str">
        <v>0:00</v>
      </c>
      <c r="B549" s="103"/>
      <c r="C549" s="125"/>
      <c r="D549" s="125"/>
      <c r="E549" s="125"/>
      <c r="F549" s="125"/>
      <c r="G549" s="125"/>
      <c r="H549" s="125"/>
      <c r="I549" s="125"/>
      <c r="J549" s="125"/>
      <c r="K549" s="125"/>
      <c r="L549" s="125"/>
      <c r="M549" s="125"/>
      <c r="N549" s="125"/>
      <c r="O549" s="125"/>
      <c r="P549" s="125"/>
    </row>
    <row r="550" spans="1:16" x14ac:dyDescent="0.2">
      <c r="A550" s="47" t="str">
        <v>0:00</v>
      </c>
      <c r="B550" s="103"/>
      <c r="C550" s="125"/>
      <c r="D550" s="125"/>
      <c r="E550" s="125"/>
      <c r="F550" s="125"/>
      <c r="G550" s="125"/>
      <c r="H550" s="125"/>
      <c r="I550" s="125"/>
      <c r="J550" s="125"/>
      <c r="K550" s="125"/>
      <c r="L550" s="125"/>
      <c r="M550" s="125"/>
      <c r="N550" s="125"/>
      <c r="O550" s="125"/>
      <c r="P550" s="125"/>
    </row>
    <row r="551" spans="1:16" x14ac:dyDescent="0.2">
      <c r="A551" s="47" t="str">
        <v>0:00</v>
      </c>
      <c r="B551" s="103"/>
      <c r="C551" s="125"/>
      <c r="D551" s="125"/>
      <c r="E551" s="125"/>
      <c r="F551" s="125"/>
      <c r="G551" s="125"/>
      <c r="H551" s="125"/>
      <c r="I551" s="125"/>
      <c r="J551" s="125"/>
      <c r="K551" s="125"/>
      <c r="L551" s="125"/>
      <c r="M551" s="125"/>
      <c r="N551" s="125"/>
      <c r="O551" s="125"/>
      <c r="P551" s="125"/>
    </row>
    <row r="552" spans="1:16" x14ac:dyDescent="0.2">
      <c r="A552" s="47" t="str">
        <v>0:00</v>
      </c>
      <c r="B552" s="103"/>
      <c r="C552" s="125"/>
      <c r="D552" s="125"/>
      <c r="E552" s="125"/>
      <c r="F552" s="125"/>
      <c r="G552" s="125"/>
      <c r="H552" s="125"/>
      <c r="I552" s="125"/>
      <c r="J552" s="125"/>
      <c r="K552" s="125"/>
      <c r="L552" s="125"/>
      <c r="M552" s="125"/>
      <c r="N552" s="125"/>
      <c r="O552" s="125"/>
      <c r="P552" s="125"/>
    </row>
    <row r="553" spans="1:16" x14ac:dyDescent="0.2">
      <c r="A553" s="47" t="str">
        <v>0:00</v>
      </c>
      <c r="B553" s="103"/>
      <c r="C553" s="125"/>
      <c r="D553" s="125"/>
      <c r="E553" s="125"/>
      <c r="F553" s="125"/>
      <c r="G553" s="125"/>
      <c r="H553" s="125"/>
      <c r="I553" s="125"/>
      <c r="J553" s="125"/>
      <c r="K553" s="125"/>
      <c r="L553" s="125"/>
      <c r="M553" s="125"/>
      <c r="N553" s="125"/>
      <c r="O553" s="125"/>
      <c r="P553" s="125"/>
    </row>
    <row r="554" spans="1:16" x14ac:dyDescent="0.2">
      <c r="A554" s="47" t="str">
        <v>0:00</v>
      </c>
      <c r="B554" s="103"/>
      <c r="C554" s="125"/>
      <c r="D554" s="125"/>
      <c r="E554" s="125"/>
      <c r="F554" s="125"/>
      <c r="G554" s="125"/>
      <c r="H554" s="125"/>
      <c r="I554" s="125"/>
      <c r="J554" s="125"/>
      <c r="K554" s="125"/>
      <c r="L554" s="125"/>
      <c r="M554" s="125"/>
      <c r="N554" s="125"/>
      <c r="O554" s="125"/>
      <c r="P554" s="125"/>
    </row>
    <row r="555" spans="1:16" x14ac:dyDescent="0.2">
      <c r="A555" s="47" t="str">
        <v>0:00</v>
      </c>
      <c r="B555" s="103"/>
      <c r="C555" s="125"/>
      <c r="D555" s="125"/>
      <c r="E555" s="125"/>
      <c r="F555" s="125"/>
      <c r="G555" s="125"/>
      <c r="H555" s="125"/>
      <c r="I555" s="125"/>
      <c r="J555" s="125"/>
      <c r="K555" s="125"/>
      <c r="L555" s="125"/>
      <c r="M555" s="125"/>
      <c r="N555" s="125"/>
      <c r="O555" s="125"/>
      <c r="P555" s="125"/>
    </row>
    <row r="556" spans="1:16" x14ac:dyDescent="0.2">
      <c r="A556" s="47" t="str">
        <v>0:00</v>
      </c>
      <c r="B556" s="103"/>
      <c r="C556" s="125"/>
      <c r="D556" s="125"/>
      <c r="E556" s="125"/>
      <c r="F556" s="125"/>
      <c r="G556" s="125"/>
      <c r="H556" s="125"/>
      <c r="I556" s="125"/>
      <c r="J556" s="125"/>
      <c r="K556" s="125"/>
      <c r="L556" s="125"/>
      <c r="M556" s="125"/>
      <c r="N556" s="125"/>
      <c r="O556" s="125"/>
      <c r="P556" s="125"/>
    </row>
    <row r="557" spans="1:16" x14ac:dyDescent="0.2">
      <c r="A557" s="47" t="str">
        <v>0:00</v>
      </c>
      <c r="B557" s="103"/>
      <c r="C557" s="125"/>
      <c r="D557" s="125"/>
      <c r="E557" s="125"/>
      <c r="F557" s="125"/>
      <c r="G557" s="125"/>
      <c r="H557" s="125"/>
      <c r="I557" s="125"/>
      <c r="J557" s="125"/>
      <c r="K557" s="125"/>
      <c r="L557" s="125"/>
      <c r="M557" s="125"/>
      <c r="N557" s="125"/>
      <c r="O557" s="125"/>
      <c r="P557" s="125"/>
    </row>
    <row r="558" spans="1:16" x14ac:dyDescent="0.2">
      <c r="A558" s="47" t="str">
        <v>0:00</v>
      </c>
      <c r="B558" s="103"/>
      <c r="C558" s="125"/>
      <c r="D558" s="125"/>
      <c r="E558" s="125"/>
      <c r="F558" s="125"/>
      <c r="G558" s="125"/>
      <c r="H558" s="125"/>
      <c r="I558" s="125"/>
      <c r="J558" s="125"/>
      <c r="K558" s="125"/>
      <c r="L558" s="125"/>
      <c r="M558" s="125"/>
      <c r="N558" s="125"/>
      <c r="O558" s="125"/>
      <c r="P558" s="125"/>
    </row>
    <row r="559" spans="1:16" x14ac:dyDescent="0.2">
      <c r="A559" s="47" t="str">
        <v>0:00</v>
      </c>
      <c r="B559" s="103"/>
      <c r="C559" s="125"/>
      <c r="D559" s="125"/>
      <c r="E559" s="125"/>
      <c r="F559" s="125"/>
      <c r="G559" s="125"/>
      <c r="H559" s="125"/>
      <c r="I559" s="125"/>
      <c r="J559" s="125"/>
      <c r="K559" s="125"/>
      <c r="L559" s="125"/>
      <c r="M559" s="125"/>
      <c r="N559" s="125"/>
      <c r="O559" s="125"/>
      <c r="P559" s="125"/>
    </row>
    <row r="560" spans="1:16" x14ac:dyDescent="0.2">
      <c r="A560" s="47" t="str">
        <v>0:00</v>
      </c>
      <c r="B560" s="103"/>
      <c r="C560" s="125"/>
      <c r="D560" s="125"/>
      <c r="E560" s="125"/>
      <c r="F560" s="125"/>
      <c r="G560" s="125"/>
      <c r="H560" s="125"/>
      <c r="I560" s="125"/>
      <c r="J560" s="125"/>
      <c r="K560" s="125"/>
      <c r="L560" s="125"/>
      <c r="M560" s="125"/>
      <c r="N560" s="125"/>
      <c r="O560" s="125"/>
      <c r="P560" s="125"/>
    </row>
    <row r="561" spans="1:16" x14ac:dyDescent="0.2">
      <c r="A561" s="47" t="str">
        <v>0:00</v>
      </c>
      <c r="B561" s="103"/>
      <c r="C561" s="125"/>
      <c r="D561" s="125"/>
      <c r="E561" s="125"/>
      <c r="F561" s="125"/>
      <c r="G561" s="125"/>
      <c r="H561" s="125"/>
      <c r="I561" s="125"/>
      <c r="J561" s="125"/>
      <c r="K561" s="125"/>
      <c r="L561" s="125"/>
      <c r="M561" s="125"/>
      <c r="N561" s="125"/>
      <c r="O561" s="125"/>
      <c r="P561" s="125"/>
    </row>
    <row r="562" spans="1:16" x14ac:dyDescent="0.2">
      <c r="A562" s="47" t="str">
        <v>0:00</v>
      </c>
      <c r="B562" s="103"/>
      <c r="C562" s="125"/>
      <c r="D562" s="125"/>
      <c r="E562" s="125"/>
      <c r="F562" s="125"/>
      <c r="G562" s="125"/>
      <c r="H562" s="125"/>
      <c r="I562" s="125"/>
      <c r="J562" s="125"/>
      <c r="K562" s="125"/>
      <c r="L562" s="125"/>
      <c r="M562" s="125"/>
      <c r="N562" s="125"/>
      <c r="O562" s="125"/>
      <c r="P562" s="125"/>
    </row>
    <row r="563" spans="1:16" x14ac:dyDescent="0.2">
      <c r="A563" s="47" t="str">
        <v>0:00</v>
      </c>
      <c r="B563" s="103"/>
      <c r="C563" s="125"/>
      <c r="D563" s="125"/>
      <c r="E563" s="125"/>
      <c r="F563" s="125"/>
      <c r="G563" s="125"/>
      <c r="H563" s="125"/>
      <c r="I563" s="125"/>
      <c r="J563" s="125"/>
      <c r="K563" s="125"/>
      <c r="L563" s="125"/>
      <c r="M563" s="125"/>
      <c r="N563" s="125"/>
      <c r="O563" s="125"/>
      <c r="P563" s="125"/>
    </row>
    <row r="564" spans="1:16" x14ac:dyDescent="0.2">
      <c r="A564" s="47" t="str">
        <v>0:00</v>
      </c>
      <c r="B564" s="103"/>
      <c r="C564" s="125"/>
      <c r="D564" s="125"/>
      <c r="E564" s="125"/>
      <c r="F564" s="125"/>
      <c r="G564" s="125"/>
      <c r="H564" s="125"/>
      <c r="I564" s="125"/>
      <c r="J564" s="125"/>
      <c r="K564" s="125"/>
      <c r="L564" s="125"/>
      <c r="M564" s="125"/>
      <c r="N564" s="125"/>
      <c r="O564" s="125"/>
      <c r="P564" s="125"/>
    </row>
    <row r="565" spans="1:16" x14ac:dyDescent="0.2">
      <c r="A565" s="47" t="str">
        <v>0:00</v>
      </c>
      <c r="B565" s="103"/>
      <c r="C565" s="125"/>
      <c r="D565" s="125"/>
      <c r="E565" s="125"/>
      <c r="F565" s="125"/>
      <c r="G565" s="125"/>
      <c r="H565" s="125"/>
      <c r="I565" s="125"/>
      <c r="J565" s="125"/>
      <c r="K565" s="125"/>
      <c r="L565" s="125"/>
      <c r="M565" s="125"/>
      <c r="N565" s="125"/>
      <c r="O565" s="125"/>
      <c r="P565" s="125"/>
    </row>
    <row r="566" spans="1:16" x14ac:dyDescent="0.2">
      <c r="A566" s="47" t="str">
        <v>0:00</v>
      </c>
      <c r="B566" s="103"/>
      <c r="C566" s="125"/>
      <c r="D566" s="125"/>
      <c r="E566" s="125"/>
      <c r="F566" s="125"/>
      <c r="G566" s="125"/>
      <c r="H566" s="125"/>
      <c r="I566" s="125"/>
      <c r="J566" s="125"/>
      <c r="K566" s="125"/>
      <c r="L566" s="125"/>
      <c r="M566" s="125"/>
      <c r="N566" s="125"/>
      <c r="O566" s="125"/>
      <c r="P566" s="125"/>
    </row>
    <row r="567" spans="1:16" x14ac:dyDescent="0.2">
      <c r="A567" s="47" t="str">
        <v>0:00</v>
      </c>
      <c r="B567" s="103"/>
      <c r="C567" s="125"/>
      <c r="D567" s="125"/>
      <c r="E567" s="125"/>
      <c r="F567" s="125"/>
      <c r="G567" s="125"/>
      <c r="H567" s="125"/>
      <c r="I567" s="125"/>
      <c r="J567" s="125"/>
      <c r="K567" s="125"/>
      <c r="L567" s="125"/>
      <c r="M567" s="125"/>
      <c r="N567" s="125"/>
      <c r="O567" s="125"/>
      <c r="P567" s="125"/>
    </row>
    <row r="568" spans="1:16" x14ac:dyDescent="0.2">
      <c r="A568" s="47" t="str">
        <v>0:00</v>
      </c>
      <c r="B568" s="103"/>
      <c r="C568" s="125"/>
      <c r="D568" s="125"/>
      <c r="E568" s="125"/>
      <c r="F568" s="125"/>
      <c r="G568" s="125"/>
      <c r="H568" s="125"/>
      <c r="I568" s="125"/>
      <c r="J568" s="125"/>
      <c r="K568" s="125"/>
      <c r="L568" s="125"/>
      <c r="M568" s="125"/>
      <c r="N568" s="125"/>
      <c r="O568" s="125"/>
      <c r="P568" s="125"/>
    </row>
    <row r="569" spans="1:16" x14ac:dyDescent="0.2">
      <c r="A569" s="47" t="str">
        <v>0:00</v>
      </c>
      <c r="B569" s="103"/>
      <c r="C569" s="125"/>
      <c r="D569" s="125"/>
      <c r="E569" s="125"/>
      <c r="F569" s="125"/>
      <c r="G569" s="125"/>
      <c r="H569" s="125"/>
      <c r="I569" s="125"/>
      <c r="J569" s="125"/>
      <c r="K569" s="125"/>
      <c r="L569" s="125"/>
      <c r="M569" s="125"/>
      <c r="N569" s="125"/>
      <c r="O569" s="125"/>
      <c r="P569" s="125"/>
    </row>
    <row r="570" spans="1:16" x14ac:dyDescent="0.2">
      <c r="A570" s="47" t="str">
        <v>0:00</v>
      </c>
      <c r="B570" s="103"/>
      <c r="C570" s="125"/>
      <c r="D570" s="125"/>
      <c r="E570" s="125"/>
      <c r="F570" s="125"/>
      <c r="G570" s="125"/>
      <c r="H570" s="125"/>
      <c r="I570" s="125"/>
      <c r="J570" s="125"/>
      <c r="K570" s="125"/>
      <c r="L570" s="125"/>
      <c r="M570" s="125"/>
      <c r="N570" s="125"/>
      <c r="O570" s="125"/>
      <c r="P570" s="125"/>
    </row>
    <row r="571" spans="1:16" x14ac:dyDescent="0.2">
      <c r="A571" s="47" t="str">
        <v>0:00</v>
      </c>
      <c r="B571" s="103"/>
      <c r="C571" s="125"/>
      <c r="D571" s="125"/>
      <c r="E571" s="125"/>
      <c r="F571" s="125"/>
      <c r="G571" s="125"/>
      <c r="H571" s="125"/>
      <c r="I571" s="125"/>
      <c r="J571" s="125"/>
      <c r="K571" s="125"/>
      <c r="L571" s="125"/>
      <c r="M571" s="125"/>
      <c r="N571" s="125"/>
      <c r="O571" s="125"/>
      <c r="P571" s="125"/>
    </row>
    <row r="572" spans="1:16" x14ac:dyDescent="0.2">
      <c r="A572" s="47" t="str">
        <v>0:00</v>
      </c>
      <c r="B572" s="103"/>
      <c r="C572" s="125"/>
      <c r="D572" s="125"/>
      <c r="E572" s="125"/>
      <c r="F572" s="125"/>
      <c r="G572" s="125"/>
      <c r="H572" s="125"/>
      <c r="I572" s="125"/>
      <c r="J572" s="125"/>
      <c r="K572" s="125"/>
      <c r="L572" s="125"/>
      <c r="M572" s="125"/>
      <c r="N572" s="125"/>
      <c r="O572" s="125"/>
      <c r="P572" s="125"/>
    </row>
    <row r="573" spans="1:16" x14ac:dyDescent="0.2">
      <c r="A573" s="47" t="str">
        <v>0:00</v>
      </c>
      <c r="B573" s="103"/>
      <c r="C573" s="125"/>
      <c r="D573" s="125"/>
      <c r="E573" s="125"/>
      <c r="F573" s="125"/>
      <c r="G573" s="125"/>
      <c r="H573" s="125"/>
      <c r="I573" s="125"/>
      <c r="J573" s="125"/>
      <c r="K573" s="125"/>
      <c r="L573" s="125"/>
      <c r="M573" s="125"/>
      <c r="N573" s="125"/>
      <c r="O573" s="125"/>
      <c r="P573" s="125"/>
    </row>
    <row r="574" spans="1:16" x14ac:dyDescent="0.2">
      <c r="A574" s="47" t="str">
        <v>0:00</v>
      </c>
      <c r="B574" s="103"/>
      <c r="C574" s="125"/>
      <c r="D574" s="125"/>
      <c r="E574" s="125"/>
      <c r="F574" s="125"/>
      <c r="G574" s="125"/>
      <c r="H574" s="125"/>
      <c r="I574" s="125"/>
      <c r="J574" s="125"/>
      <c r="K574" s="125"/>
      <c r="L574" s="125"/>
      <c r="M574" s="125"/>
      <c r="N574" s="125"/>
      <c r="O574" s="125"/>
      <c r="P574" s="125"/>
    </row>
    <row r="575" spans="1:16" x14ac:dyDescent="0.2">
      <c r="A575" s="47" t="str">
        <v>0:00</v>
      </c>
      <c r="B575" s="103"/>
      <c r="C575" s="125"/>
      <c r="D575" s="125"/>
      <c r="E575" s="125"/>
      <c r="F575" s="125"/>
      <c r="G575" s="125"/>
      <c r="H575" s="125"/>
      <c r="I575" s="125"/>
      <c r="J575" s="125"/>
      <c r="K575" s="125"/>
      <c r="L575" s="125"/>
      <c r="M575" s="125"/>
      <c r="N575" s="125"/>
      <c r="O575" s="125"/>
      <c r="P575" s="125"/>
    </row>
    <row r="576" spans="1:16" x14ac:dyDescent="0.2">
      <c r="A576" s="47" t="str">
        <v>0:00</v>
      </c>
      <c r="B576" s="103"/>
      <c r="C576" s="125"/>
      <c r="D576" s="125"/>
      <c r="E576" s="125"/>
      <c r="F576" s="125"/>
      <c r="G576" s="125"/>
      <c r="H576" s="125"/>
      <c r="I576" s="125"/>
      <c r="J576" s="125"/>
      <c r="K576" s="125"/>
      <c r="L576" s="125"/>
      <c r="M576" s="125"/>
      <c r="N576" s="125"/>
      <c r="O576" s="125"/>
      <c r="P576" s="125"/>
    </row>
    <row r="577" spans="1:16" x14ac:dyDescent="0.2">
      <c r="A577" s="47" t="str">
        <v>0:00</v>
      </c>
      <c r="B577" s="103"/>
      <c r="C577" s="125"/>
      <c r="D577" s="125"/>
      <c r="E577" s="125"/>
      <c r="F577" s="125"/>
      <c r="G577" s="125"/>
      <c r="H577" s="125"/>
      <c r="I577" s="125"/>
      <c r="J577" s="125"/>
      <c r="K577" s="125"/>
      <c r="L577" s="125"/>
      <c r="M577" s="125"/>
      <c r="N577" s="125"/>
      <c r="O577" s="125"/>
      <c r="P577" s="125"/>
    </row>
    <row r="578" spans="1:16" x14ac:dyDescent="0.2">
      <c r="A578" s="47" t="str">
        <v>0:00</v>
      </c>
      <c r="B578" s="103"/>
      <c r="C578" s="125"/>
      <c r="D578" s="125"/>
      <c r="E578" s="125"/>
      <c r="F578" s="125"/>
      <c r="G578" s="125"/>
      <c r="H578" s="125"/>
      <c r="I578" s="125"/>
      <c r="J578" s="125"/>
      <c r="K578" s="125"/>
      <c r="L578" s="125"/>
      <c r="M578" s="125"/>
      <c r="N578" s="125"/>
      <c r="O578" s="125"/>
      <c r="P578" s="125"/>
    </row>
    <row r="579" spans="1:16" x14ac:dyDescent="0.2">
      <c r="A579" s="47" t="str">
        <v>0:00</v>
      </c>
      <c r="B579" s="103"/>
      <c r="C579" s="125"/>
      <c r="D579" s="125"/>
      <c r="E579" s="125"/>
      <c r="F579" s="125"/>
      <c r="G579" s="125"/>
      <c r="H579" s="125"/>
      <c r="I579" s="125"/>
      <c r="J579" s="125"/>
      <c r="K579" s="125"/>
      <c r="L579" s="125"/>
      <c r="M579" s="125"/>
      <c r="N579" s="125"/>
      <c r="O579" s="125"/>
      <c r="P579" s="125"/>
    </row>
    <row r="580" spans="1:16" x14ac:dyDescent="0.2">
      <c r="A580" s="47" t="str">
        <v>0:00</v>
      </c>
      <c r="B580" s="103"/>
      <c r="C580" s="125"/>
      <c r="D580" s="125"/>
      <c r="E580" s="125"/>
      <c r="F580" s="125"/>
      <c r="G580" s="125"/>
      <c r="H580" s="125"/>
      <c r="I580" s="125"/>
      <c r="J580" s="125"/>
      <c r="K580" s="125"/>
      <c r="L580" s="125"/>
      <c r="M580" s="125"/>
      <c r="N580" s="125"/>
      <c r="O580" s="125"/>
      <c r="P580" s="125"/>
    </row>
    <row r="581" spans="1:16" x14ac:dyDescent="0.2">
      <c r="A581" s="47" t="str">
        <v>0:00</v>
      </c>
      <c r="B581" s="103"/>
      <c r="C581" s="125"/>
      <c r="D581" s="125"/>
      <c r="E581" s="125"/>
      <c r="F581" s="125"/>
      <c r="G581" s="125"/>
      <c r="H581" s="125"/>
      <c r="I581" s="125"/>
      <c r="J581" s="125"/>
      <c r="K581" s="125"/>
      <c r="L581" s="125"/>
      <c r="M581" s="125"/>
      <c r="N581" s="125"/>
      <c r="O581" s="125"/>
      <c r="P581" s="125"/>
    </row>
    <row r="582" spans="1:16" x14ac:dyDescent="0.2">
      <c r="A582" s="47" t="str">
        <v>0:00</v>
      </c>
      <c r="B582" s="103"/>
      <c r="C582" s="125"/>
      <c r="D582" s="125"/>
      <c r="E582" s="125"/>
      <c r="F582" s="125"/>
      <c r="G582" s="125"/>
      <c r="H582" s="125"/>
      <c r="I582" s="125"/>
      <c r="J582" s="125"/>
      <c r="K582" s="125"/>
      <c r="L582" s="125"/>
      <c r="M582" s="125"/>
      <c r="N582" s="125"/>
      <c r="O582" s="125"/>
      <c r="P582" s="125"/>
    </row>
    <row r="583" spans="1:16" x14ac:dyDescent="0.2">
      <c r="A583" s="47" t="str">
        <v>0:00</v>
      </c>
      <c r="B583" s="103"/>
      <c r="C583" s="125"/>
      <c r="D583" s="125"/>
      <c r="E583" s="125"/>
      <c r="F583" s="125"/>
      <c r="G583" s="125"/>
      <c r="H583" s="125"/>
      <c r="I583" s="125"/>
      <c r="J583" s="125"/>
      <c r="K583" s="125"/>
      <c r="L583" s="125"/>
      <c r="M583" s="125"/>
      <c r="N583" s="125"/>
      <c r="O583" s="125"/>
      <c r="P583" s="125"/>
    </row>
    <row r="584" spans="1:16" x14ac:dyDescent="0.2">
      <c r="A584" s="47" t="str">
        <v>0:00</v>
      </c>
      <c r="B584" s="103"/>
      <c r="C584" s="125"/>
      <c r="D584" s="125"/>
      <c r="E584" s="125"/>
      <c r="F584" s="125"/>
      <c r="G584" s="125"/>
      <c r="H584" s="125"/>
      <c r="I584" s="125"/>
      <c r="J584" s="125"/>
      <c r="K584" s="125"/>
      <c r="L584" s="125"/>
      <c r="M584" s="125"/>
      <c r="N584" s="125"/>
      <c r="O584" s="125"/>
      <c r="P584" s="125"/>
    </row>
    <row r="585" spans="1:16" x14ac:dyDescent="0.2">
      <c r="A585" s="47" t="str">
        <v>0:00</v>
      </c>
      <c r="B585" s="103"/>
      <c r="C585" s="125"/>
      <c r="D585" s="125"/>
      <c r="E585" s="125"/>
      <c r="F585" s="125"/>
      <c r="G585" s="125"/>
      <c r="H585" s="125"/>
      <c r="I585" s="125"/>
      <c r="J585" s="125"/>
      <c r="K585" s="125"/>
      <c r="L585" s="125"/>
      <c r="M585" s="125"/>
      <c r="N585" s="125"/>
      <c r="O585" s="125"/>
      <c r="P585" s="125"/>
    </row>
    <row r="586" spans="1:16" x14ac:dyDescent="0.2">
      <c r="A586" s="47" t="str">
        <v>0:00</v>
      </c>
      <c r="B586" s="103"/>
      <c r="C586" s="125"/>
      <c r="D586" s="125"/>
      <c r="E586" s="125"/>
      <c r="F586" s="125"/>
      <c r="G586" s="125"/>
      <c r="H586" s="125"/>
      <c r="I586" s="125"/>
      <c r="J586" s="125"/>
      <c r="K586" s="125"/>
      <c r="L586" s="125"/>
      <c r="M586" s="125"/>
      <c r="N586" s="125"/>
      <c r="O586" s="125"/>
      <c r="P586" s="125"/>
    </row>
    <row r="587" spans="1:16" x14ac:dyDescent="0.2">
      <c r="A587" s="47" t="str">
        <v>0:00</v>
      </c>
      <c r="B587" s="103"/>
      <c r="C587" s="125"/>
      <c r="D587" s="125"/>
      <c r="E587" s="125"/>
      <c r="F587" s="125"/>
      <c r="G587" s="125"/>
      <c r="H587" s="125"/>
      <c r="I587" s="125"/>
      <c r="J587" s="125"/>
      <c r="K587" s="125"/>
      <c r="L587" s="125"/>
      <c r="M587" s="125"/>
      <c r="N587" s="125"/>
      <c r="O587" s="125"/>
      <c r="P587" s="125"/>
    </row>
    <row r="588" spans="1:16" x14ac:dyDescent="0.2">
      <c r="A588" s="47" t="str">
        <v>0:00</v>
      </c>
      <c r="B588" s="103"/>
      <c r="C588" s="125"/>
      <c r="D588" s="125"/>
      <c r="E588" s="125"/>
      <c r="F588" s="125"/>
      <c r="G588" s="125"/>
      <c r="H588" s="125"/>
      <c r="I588" s="125"/>
      <c r="J588" s="125"/>
      <c r="K588" s="125"/>
      <c r="L588" s="125"/>
      <c r="M588" s="125"/>
      <c r="N588" s="125"/>
      <c r="O588" s="125"/>
      <c r="P588" s="125"/>
    </row>
    <row r="589" spans="1:16" x14ac:dyDescent="0.2">
      <c r="A589" s="47" t="str">
        <v>0:00</v>
      </c>
      <c r="B589" s="103"/>
      <c r="C589" s="125"/>
      <c r="D589" s="125"/>
      <c r="E589" s="125"/>
      <c r="F589" s="125"/>
      <c r="G589" s="125"/>
      <c r="H589" s="125"/>
      <c r="I589" s="125"/>
      <c r="J589" s="125"/>
      <c r="K589" s="125"/>
      <c r="L589" s="125"/>
      <c r="M589" s="125"/>
      <c r="N589" s="125"/>
      <c r="O589" s="125"/>
      <c r="P589" s="125"/>
    </row>
    <row r="590" spans="1:16" x14ac:dyDescent="0.2">
      <c r="A590" s="47" t="str">
        <v>0:00</v>
      </c>
      <c r="B590" s="103"/>
      <c r="C590" s="125"/>
      <c r="D590" s="125"/>
      <c r="E590" s="125"/>
      <c r="F590" s="125"/>
      <c r="G590" s="125"/>
      <c r="H590" s="125"/>
      <c r="I590" s="125"/>
      <c r="J590" s="125"/>
      <c r="K590" s="125"/>
      <c r="L590" s="125"/>
      <c r="M590" s="125"/>
      <c r="N590" s="125"/>
      <c r="O590" s="125"/>
      <c r="P590" s="125"/>
    </row>
    <row r="591" spans="1:16" x14ac:dyDescent="0.2">
      <c r="A591" s="47" t="str">
        <v>0:00</v>
      </c>
      <c r="B591" s="103"/>
      <c r="C591" s="125"/>
      <c r="D591" s="125"/>
      <c r="E591" s="125"/>
      <c r="F591" s="125"/>
      <c r="G591" s="125"/>
      <c r="H591" s="125"/>
      <c r="I591" s="125"/>
      <c r="J591" s="125"/>
      <c r="K591" s="125"/>
      <c r="L591" s="125"/>
      <c r="M591" s="125"/>
      <c r="N591" s="125"/>
      <c r="O591" s="125"/>
      <c r="P591" s="125"/>
    </row>
    <row r="592" spans="1:16" x14ac:dyDescent="0.2">
      <c r="A592" s="47" t="str">
        <v>0:00</v>
      </c>
      <c r="B592" s="103"/>
      <c r="C592" s="125"/>
      <c r="D592" s="125"/>
      <c r="E592" s="125"/>
      <c r="F592" s="125"/>
      <c r="G592" s="125"/>
      <c r="H592" s="125"/>
      <c r="I592" s="125"/>
      <c r="J592" s="125"/>
      <c r="K592" s="125"/>
      <c r="L592" s="125"/>
      <c r="M592" s="125"/>
      <c r="N592" s="125"/>
      <c r="O592" s="125"/>
      <c r="P592" s="125"/>
    </row>
    <row r="593" spans="1:16" x14ac:dyDescent="0.2">
      <c r="A593" s="47" t="str">
        <v>0:00</v>
      </c>
      <c r="B593" s="103"/>
      <c r="C593" s="125"/>
      <c r="D593" s="125"/>
      <c r="E593" s="125"/>
      <c r="F593" s="125"/>
      <c r="G593" s="125"/>
      <c r="H593" s="125"/>
      <c r="I593" s="125"/>
      <c r="J593" s="125"/>
      <c r="K593" s="125"/>
      <c r="L593" s="125"/>
      <c r="M593" s="125"/>
      <c r="N593" s="125"/>
      <c r="O593" s="125"/>
      <c r="P593" s="125"/>
    </row>
    <row r="594" spans="1:16" x14ac:dyDescent="0.2">
      <c r="A594" s="47" t="str">
        <v>0:00</v>
      </c>
      <c r="B594" s="103"/>
      <c r="C594" s="125"/>
      <c r="D594" s="125"/>
      <c r="E594" s="125"/>
      <c r="F594" s="125"/>
      <c r="G594" s="125"/>
      <c r="H594" s="125"/>
      <c r="I594" s="125"/>
      <c r="J594" s="125"/>
      <c r="K594" s="125"/>
      <c r="L594" s="125"/>
      <c r="M594" s="125"/>
      <c r="N594" s="125"/>
      <c r="O594" s="125"/>
      <c r="P594" s="125"/>
    </row>
    <row r="595" spans="1:16" x14ac:dyDescent="0.2">
      <c r="A595" s="47" t="str">
        <v>0:00</v>
      </c>
      <c r="B595" s="103"/>
      <c r="C595" s="125"/>
      <c r="D595" s="125"/>
      <c r="E595" s="125"/>
      <c r="F595" s="125"/>
      <c r="G595" s="125"/>
      <c r="H595" s="125"/>
      <c r="I595" s="125"/>
      <c r="J595" s="125"/>
      <c r="K595" s="125"/>
      <c r="L595" s="125"/>
      <c r="M595" s="125"/>
      <c r="N595" s="125"/>
      <c r="O595" s="125"/>
      <c r="P595" s="125"/>
    </row>
    <row r="596" spans="1:16" x14ac:dyDescent="0.2">
      <c r="A596" s="47" t="str">
        <v>0:00</v>
      </c>
      <c r="B596" s="103"/>
      <c r="C596" s="125"/>
      <c r="D596" s="125"/>
      <c r="E596" s="125"/>
      <c r="F596" s="125"/>
      <c r="G596" s="125"/>
      <c r="H596" s="125"/>
      <c r="I596" s="125"/>
      <c r="J596" s="125"/>
      <c r="K596" s="125"/>
      <c r="L596" s="125"/>
      <c r="M596" s="125"/>
      <c r="N596" s="125"/>
      <c r="O596" s="125"/>
      <c r="P596" s="125"/>
    </row>
    <row r="597" spans="1:16" x14ac:dyDescent="0.2">
      <c r="A597" s="47" t="str">
        <v>0:00</v>
      </c>
      <c r="B597" s="103"/>
      <c r="C597" s="125"/>
      <c r="D597" s="125"/>
      <c r="E597" s="125"/>
      <c r="F597" s="125"/>
      <c r="G597" s="125"/>
      <c r="H597" s="125"/>
      <c r="I597" s="125"/>
      <c r="J597" s="125"/>
      <c r="K597" s="125"/>
      <c r="L597" s="125"/>
      <c r="M597" s="125"/>
      <c r="N597" s="125"/>
      <c r="O597" s="125"/>
      <c r="P597" s="125"/>
    </row>
    <row r="598" spans="1:16" x14ac:dyDescent="0.2">
      <c r="A598" s="47" t="str">
        <v>0:00</v>
      </c>
      <c r="B598" s="103"/>
      <c r="C598" s="125"/>
      <c r="D598" s="125"/>
      <c r="E598" s="125"/>
      <c r="F598" s="125"/>
      <c r="G598" s="125"/>
      <c r="H598" s="125"/>
      <c r="I598" s="125"/>
      <c r="J598" s="125"/>
      <c r="K598" s="125"/>
      <c r="L598" s="125"/>
      <c r="M598" s="125"/>
      <c r="N598" s="125"/>
      <c r="O598" s="125"/>
      <c r="P598" s="125"/>
    </row>
    <row r="599" spans="1:16" x14ac:dyDescent="0.2">
      <c r="A599" s="47" t="str">
        <v>0:00</v>
      </c>
      <c r="B599" s="103"/>
      <c r="C599" s="125"/>
      <c r="D599" s="125"/>
      <c r="E599" s="125"/>
      <c r="F599" s="125"/>
      <c r="G599" s="125"/>
      <c r="H599" s="125"/>
      <c r="I599" s="125"/>
      <c r="J599" s="125"/>
      <c r="K599" s="125"/>
      <c r="L599" s="125"/>
      <c r="M599" s="125"/>
      <c r="N599" s="125"/>
      <c r="O599" s="125"/>
      <c r="P599" s="125"/>
    </row>
    <row r="600" spans="1:16" x14ac:dyDescent="0.2">
      <c r="A600" s="47" t="str">
        <v>0:00</v>
      </c>
      <c r="B600" s="103"/>
      <c r="C600" s="125"/>
      <c r="D600" s="125"/>
      <c r="E600" s="125"/>
      <c r="F600" s="125"/>
      <c r="G600" s="125"/>
      <c r="H600" s="125"/>
      <c r="I600" s="125"/>
      <c r="J600" s="125"/>
      <c r="K600" s="125"/>
      <c r="L600" s="125"/>
      <c r="M600" s="125"/>
      <c r="N600" s="125"/>
      <c r="O600" s="125"/>
      <c r="P600" s="125"/>
    </row>
    <row r="601" spans="1:16" x14ac:dyDescent="0.2">
      <c r="A601" s="47" t="str">
        <v>0:00</v>
      </c>
      <c r="B601" s="103"/>
      <c r="C601" s="125"/>
      <c r="D601" s="125"/>
      <c r="E601" s="125"/>
      <c r="F601" s="125"/>
      <c r="G601" s="125"/>
      <c r="H601" s="125"/>
      <c r="I601" s="125"/>
      <c r="J601" s="125"/>
      <c r="K601" s="125"/>
      <c r="L601" s="125"/>
      <c r="M601" s="125"/>
      <c r="N601" s="125"/>
      <c r="O601" s="125"/>
      <c r="P601" s="125"/>
    </row>
    <row r="602" spans="1:16" x14ac:dyDescent="0.2">
      <c r="A602" s="47" t="str">
        <v>0:00</v>
      </c>
      <c r="B602" s="103"/>
      <c r="C602" s="125"/>
      <c r="D602" s="125"/>
      <c r="E602" s="125"/>
      <c r="F602" s="125"/>
      <c r="G602" s="125"/>
      <c r="H602" s="125"/>
      <c r="I602" s="125"/>
      <c r="J602" s="125"/>
      <c r="K602" s="125"/>
      <c r="L602" s="125"/>
      <c r="M602" s="125"/>
      <c r="N602" s="125"/>
      <c r="O602" s="125"/>
      <c r="P602" s="125"/>
    </row>
    <row r="603" spans="1:16" x14ac:dyDescent="0.2">
      <c r="A603" s="47" t="str">
        <v>0:00</v>
      </c>
      <c r="B603" s="103"/>
      <c r="C603" s="125"/>
      <c r="D603" s="125"/>
      <c r="E603" s="125"/>
      <c r="F603" s="125"/>
      <c r="G603" s="125"/>
      <c r="H603" s="125"/>
      <c r="I603" s="125"/>
      <c r="J603" s="125"/>
      <c r="K603" s="125"/>
      <c r="L603" s="125"/>
      <c r="M603" s="125"/>
      <c r="N603" s="125"/>
      <c r="O603" s="125"/>
      <c r="P603" s="125"/>
    </row>
    <row r="604" spans="1:16" x14ac:dyDescent="0.2">
      <c r="A604" s="47" t="str">
        <v>0:00</v>
      </c>
      <c r="B604" s="103"/>
      <c r="C604" s="125"/>
      <c r="D604" s="125"/>
      <c r="E604" s="125"/>
      <c r="F604" s="125"/>
      <c r="G604" s="125"/>
      <c r="H604" s="125"/>
      <c r="I604" s="125"/>
      <c r="J604" s="125"/>
      <c r="K604" s="125"/>
      <c r="L604" s="125"/>
      <c r="M604" s="125"/>
      <c r="N604" s="125"/>
      <c r="O604" s="125"/>
      <c r="P604" s="125"/>
    </row>
    <row r="605" spans="1:16" x14ac:dyDescent="0.2">
      <c r="A605" s="47" t="str">
        <v>0:00</v>
      </c>
      <c r="B605" s="103"/>
      <c r="C605" s="125"/>
      <c r="D605" s="125"/>
      <c r="E605" s="125"/>
      <c r="F605" s="125"/>
      <c r="G605" s="125"/>
      <c r="H605" s="125"/>
      <c r="I605" s="125"/>
      <c r="J605" s="125"/>
      <c r="K605" s="125"/>
      <c r="L605" s="125"/>
      <c r="M605" s="125"/>
      <c r="N605" s="125"/>
      <c r="O605" s="125"/>
      <c r="P605" s="125"/>
    </row>
    <row r="606" spans="1:16" x14ac:dyDescent="0.2">
      <c r="A606" s="47" t="str">
        <v>0:00</v>
      </c>
      <c r="B606" s="103"/>
      <c r="C606" s="125"/>
      <c r="D606" s="125"/>
      <c r="E606" s="125"/>
      <c r="F606" s="125"/>
      <c r="G606" s="125"/>
      <c r="H606" s="125"/>
      <c r="I606" s="125"/>
      <c r="J606" s="125"/>
      <c r="K606" s="125"/>
      <c r="L606" s="125"/>
      <c r="M606" s="125"/>
      <c r="N606" s="125"/>
      <c r="O606" s="125"/>
      <c r="P606" s="125"/>
    </row>
    <row r="607" spans="1:16" x14ac:dyDescent="0.2">
      <c r="A607" s="47" t="str">
        <v>0:00</v>
      </c>
      <c r="B607" s="103"/>
      <c r="C607" s="125"/>
      <c r="D607" s="125"/>
      <c r="E607" s="125"/>
      <c r="F607" s="125"/>
      <c r="G607" s="125"/>
      <c r="H607" s="125"/>
      <c r="I607" s="125"/>
      <c r="J607" s="125"/>
      <c r="K607" s="125"/>
      <c r="L607" s="125"/>
      <c r="M607" s="125"/>
      <c r="N607" s="125"/>
      <c r="O607" s="125"/>
      <c r="P607" s="125"/>
    </row>
    <row r="608" spans="1:16" x14ac:dyDescent="0.2">
      <c r="A608" s="47" t="str">
        <v>0:00</v>
      </c>
      <c r="B608" s="103"/>
      <c r="C608" s="125"/>
      <c r="D608" s="125"/>
      <c r="E608" s="125"/>
      <c r="F608" s="125"/>
      <c r="G608" s="125"/>
      <c r="H608" s="125"/>
      <c r="I608" s="125"/>
      <c r="J608" s="125"/>
      <c r="K608" s="125"/>
      <c r="L608" s="125"/>
      <c r="M608" s="125"/>
      <c r="N608" s="125"/>
      <c r="O608" s="125"/>
      <c r="P608" s="125"/>
    </row>
    <row r="609" spans="1:16" x14ac:dyDescent="0.2">
      <c r="A609" s="47" t="str">
        <v>0:00</v>
      </c>
      <c r="B609" s="103"/>
      <c r="C609" s="125"/>
      <c r="D609" s="125"/>
      <c r="E609" s="125"/>
      <c r="F609" s="125"/>
      <c r="G609" s="125"/>
      <c r="H609" s="125"/>
      <c r="I609" s="125"/>
      <c r="J609" s="125"/>
      <c r="K609" s="125"/>
      <c r="L609" s="125"/>
      <c r="M609" s="125"/>
      <c r="N609" s="125"/>
      <c r="O609" s="125"/>
      <c r="P609" s="125"/>
    </row>
    <row r="610" spans="1:16" x14ac:dyDescent="0.2">
      <c r="A610" s="47" t="str">
        <v>0:00</v>
      </c>
      <c r="B610" s="103"/>
      <c r="C610" s="125"/>
      <c r="D610" s="125"/>
      <c r="E610" s="125"/>
      <c r="F610" s="125"/>
      <c r="G610" s="125"/>
      <c r="H610" s="125"/>
      <c r="I610" s="125"/>
      <c r="J610" s="125"/>
      <c r="K610" s="125"/>
      <c r="L610" s="125"/>
      <c r="M610" s="125"/>
      <c r="N610" s="125"/>
      <c r="O610" s="125"/>
      <c r="P610" s="125"/>
    </row>
    <row r="611" spans="1:16" x14ac:dyDescent="0.2">
      <c r="A611" s="47" t="str">
        <v>0:00</v>
      </c>
      <c r="B611" s="103"/>
      <c r="C611" s="125"/>
      <c r="D611" s="125"/>
      <c r="E611" s="125"/>
      <c r="F611" s="125"/>
      <c r="G611" s="125"/>
      <c r="H611" s="125"/>
      <c r="I611" s="125"/>
      <c r="J611" s="125"/>
      <c r="K611" s="125"/>
      <c r="L611" s="125"/>
      <c r="M611" s="125"/>
      <c r="N611" s="125"/>
      <c r="O611" s="125"/>
      <c r="P611" s="125"/>
    </row>
    <row r="612" spans="1:16" x14ac:dyDescent="0.2">
      <c r="A612" s="47" t="str">
        <v>0:00</v>
      </c>
      <c r="B612" s="103"/>
      <c r="C612" s="125"/>
      <c r="D612" s="125"/>
      <c r="E612" s="125"/>
      <c r="F612" s="125"/>
      <c r="G612" s="125"/>
      <c r="H612" s="125"/>
      <c r="I612" s="125"/>
      <c r="J612" s="125"/>
      <c r="K612" s="125"/>
      <c r="L612" s="125"/>
      <c r="M612" s="125"/>
      <c r="N612" s="125"/>
      <c r="O612" s="125"/>
      <c r="P612" s="125"/>
    </row>
    <row r="613" spans="1:16" x14ac:dyDescent="0.2">
      <c r="A613" s="47" t="str">
        <v>0:00</v>
      </c>
      <c r="B613" s="103"/>
      <c r="C613" s="125"/>
      <c r="D613" s="125"/>
      <c r="E613" s="125"/>
      <c r="F613" s="125"/>
      <c r="G613" s="125"/>
      <c r="H613" s="125"/>
      <c r="I613" s="125"/>
      <c r="J613" s="125"/>
      <c r="K613" s="125"/>
      <c r="L613" s="125"/>
      <c r="M613" s="125"/>
      <c r="N613" s="125"/>
      <c r="O613" s="125"/>
      <c r="P613" s="125"/>
    </row>
    <row r="614" spans="1:16" x14ac:dyDescent="0.2">
      <c r="A614" s="47" t="str">
        <v>0:00</v>
      </c>
      <c r="B614" s="103"/>
      <c r="C614" s="125"/>
      <c r="D614" s="125"/>
      <c r="E614" s="125"/>
      <c r="F614" s="125"/>
      <c r="G614" s="125"/>
      <c r="H614" s="125"/>
      <c r="I614" s="125"/>
      <c r="J614" s="125"/>
      <c r="K614" s="125"/>
      <c r="L614" s="125"/>
      <c r="M614" s="125"/>
      <c r="N614" s="125"/>
      <c r="O614" s="125"/>
      <c r="P614" s="125"/>
    </row>
    <row r="615" spans="1:16" x14ac:dyDescent="0.2">
      <c r="A615" s="47" t="str">
        <v>0:00</v>
      </c>
      <c r="B615" s="103"/>
      <c r="C615" s="125"/>
      <c r="D615" s="125"/>
      <c r="E615" s="125"/>
      <c r="F615" s="125"/>
      <c r="G615" s="125"/>
      <c r="H615" s="125"/>
      <c r="I615" s="125"/>
      <c r="J615" s="125"/>
      <c r="K615" s="125"/>
      <c r="L615" s="125"/>
      <c r="M615" s="125"/>
      <c r="N615" s="125"/>
      <c r="O615" s="125"/>
      <c r="P615" s="125"/>
    </row>
    <row r="616" spans="1:16" x14ac:dyDescent="0.2">
      <c r="A616" s="47" t="str">
        <v>0:00</v>
      </c>
      <c r="B616" s="103"/>
      <c r="C616" s="125"/>
      <c r="D616" s="125"/>
      <c r="E616" s="125"/>
      <c r="F616" s="125"/>
      <c r="G616" s="125"/>
      <c r="H616" s="125"/>
      <c r="I616" s="125"/>
      <c r="J616" s="125"/>
      <c r="K616" s="125"/>
      <c r="L616" s="125"/>
      <c r="M616" s="125"/>
      <c r="N616" s="125"/>
      <c r="O616" s="125"/>
      <c r="P616" s="125"/>
    </row>
    <row r="617" spans="1:16" x14ac:dyDescent="0.2">
      <c r="A617" s="47" t="str">
        <v>0:00</v>
      </c>
      <c r="B617" s="103"/>
      <c r="C617" s="125"/>
      <c r="D617" s="125"/>
      <c r="E617" s="125"/>
      <c r="F617" s="125"/>
      <c r="G617" s="125"/>
      <c r="H617" s="125"/>
      <c r="I617" s="125"/>
      <c r="J617" s="125"/>
      <c r="K617" s="125"/>
      <c r="L617" s="125"/>
      <c r="M617" s="125"/>
      <c r="N617" s="125"/>
      <c r="O617" s="125"/>
      <c r="P617" s="125"/>
    </row>
    <row r="618" spans="1:16" x14ac:dyDescent="0.2">
      <c r="A618" s="47" t="str">
        <v>0:00</v>
      </c>
      <c r="B618" s="103"/>
      <c r="C618" s="125"/>
      <c r="D618" s="125"/>
      <c r="E618" s="125"/>
      <c r="F618" s="125"/>
      <c r="G618" s="125"/>
      <c r="H618" s="125"/>
      <c r="I618" s="125"/>
      <c r="J618" s="125"/>
      <c r="K618" s="125"/>
      <c r="L618" s="125"/>
      <c r="M618" s="125"/>
      <c r="N618" s="125"/>
      <c r="O618" s="125"/>
      <c r="P618" s="125"/>
    </row>
    <row r="619" spans="1:16" x14ac:dyDescent="0.2">
      <c r="A619" s="47" t="str">
        <v>0:00</v>
      </c>
      <c r="B619" s="103"/>
      <c r="C619" s="125"/>
      <c r="D619" s="125"/>
      <c r="E619" s="125"/>
      <c r="F619" s="125"/>
      <c r="G619" s="125"/>
      <c r="H619" s="125"/>
      <c r="I619" s="125"/>
      <c r="J619" s="125"/>
      <c r="K619" s="125"/>
      <c r="L619" s="125"/>
      <c r="M619" s="125"/>
      <c r="N619" s="125"/>
      <c r="O619" s="125"/>
      <c r="P619" s="125"/>
    </row>
    <row r="620" spans="1:16" x14ac:dyDescent="0.2">
      <c r="A620" s="47" t="str">
        <v>0:00</v>
      </c>
      <c r="B620" s="103"/>
      <c r="C620" s="125"/>
      <c r="D620" s="125"/>
      <c r="E620" s="125"/>
      <c r="F620" s="125"/>
      <c r="G620" s="125"/>
      <c r="H620" s="125"/>
      <c r="I620" s="125"/>
      <c r="J620" s="125"/>
      <c r="K620" s="125"/>
      <c r="L620" s="125"/>
      <c r="M620" s="125"/>
      <c r="N620" s="125"/>
      <c r="O620" s="125"/>
      <c r="P620" s="125"/>
    </row>
    <row r="621" spans="1:16" x14ac:dyDescent="0.2">
      <c r="A621" s="47" t="str">
        <v>0:00</v>
      </c>
      <c r="B621" s="103"/>
      <c r="C621" s="125"/>
      <c r="D621" s="125"/>
      <c r="E621" s="125"/>
      <c r="F621" s="125"/>
      <c r="G621" s="125"/>
      <c r="H621" s="125"/>
      <c r="I621" s="125"/>
      <c r="J621" s="125"/>
      <c r="K621" s="125"/>
      <c r="L621" s="125"/>
      <c r="M621" s="125"/>
      <c r="N621" s="125"/>
      <c r="O621" s="125"/>
      <c r="P621" s="125"/>
    </row>
    <row r="622" spans="1:16" x14ac:dyDescent="0.2">
      <c r="A622" s="47" t="str">
        <v>0:00</v>
      </c>
      <c r="B622" s="103"/>
      <c r="C622" s="125"/>
      <c r="D622" s="125"/>
      <c r="E622" s="125"/>
      <c r="F622" s="125"/>
      <c r="G622" s="125"/>
      <c r="H622" s="125"/>
      <c r="I622" s="125"/>
      <c r="J622" s="125"/>
      <c r="K622" s="125"/>
      <c r="L622" s="125"/>
      <c r="M622" s="125"/>
      <c r="N622" s="125"/>
      <c r="O622" s="125"/>
      <c r="P622" s="125"/>
    </row>
    <row r="623" spans="1:16" x14ac:dyDescent="0.2">
      <c r="A623" s="47" t="str">
        <v>0:00</v>
      </c>
      <c r="B623" s="103"/>
      <c r="C623" s="125"/>
      <c r="D623" s="125"/>
      <c r="E623" s="125"/>
      <c r="F623" s="125"/>
      <c r="G623" s="125"/>
      <c r="H623" s="125"/>
      <c r="I623" s="125"/>
      <c r="J623" s="125"/>
      <c r="K623" s="125"/>
      <c r="L623" s="125"/>
      <c r="M623" s="125"/>
      <c r="N623" s="125"/>
      <c r="O623" s="125"/>
      <c r="P623" s="125"/>
    </row>
    <row r="624" spans="1:16" x14ac:dyDescent="0.2">
      <c r="A624" s="47" t="str">
        <v>0:00</v>
      </c>
      <c r="B624" s="103"/>
      <c r="C624" s="125"/>
      <c r="D624" s="125"/>
      <c r="E624" s="125"/>
      <c r="F624" s="125"/>
      <c r="G624" s="125"/>
      <c r="H624" s="125"/>
      <c r="I624" s="125"/>
      <c r="J624" s="125"/>
      <c r="K624" s="125"/>
      <c r="L624" s="125"/>
      <c r="M624" s="125"/>
      <c r="N624" s="125"/>
      <c r="O624" s="125"/>
      <c r="P624" s="125"/>
    </row>
    <row r="625" spans="1:16" x14ac:dyDescent="0.2">
      <c r="A625" s="47" t="str">
        <v>0:00</v>
      </c>
      <c r="B625" s="103"/>
      <c r="C625" s="125"/>
      <c r="D625" s="125"/>
      <c r="E625" s="125"/>
      <c r="F625" s="125"/>
      <c r="G625" s="125"/>
      <c r="H625" s="125"/>
      <c r="I625" s="125"/>
      <c r="J625" s="125"/>
      <c r="K625" s="125"/>
      <c r="L625" s="125"/>
      <c r="M625" s="125"/>
      <c r="N625" s="125"/>
      <c r="O625" s="125"/>
      <c r="P625" s="125"/>
    </row>
    <row r="626" spans="1:16" x14ac:dyDescent="0.2">
      <c r="A626" s="47" t="str">
        <v>0:00</v>
      </c>
      <c r="B626" s="103"/>
      <c r="C626" s="125"/>
      <c r="D626" s="125"/>
      <c r="E626" s="125"/>
      <c r="F626" s="125"/>
      <c r="G626" s="125"/>
      <c r="H626" s="125"/>
      <c r="I626" s="125"/>
      <c r="J626" s="125"/>
      <c r="K626" s="125"/>
      <c r="L626" s="125"/>
      <c r="M626" s="125"/>
      <c r="N626" s="125"/>
      <c r="O626" s="125"/>
      <c r="P626" s="125"/>
    </row>
    <row r="627" spans="1:16" x14ac:dyDescent="0.2">
      <c r="A627" s="47" t="str">
        <v>0:00</v>
      </c>
      <c r="B627" s="103"/>
      <c r="C627" s="125"/>
      <c r="D627" s="125"/>
      <c r="E627" s="125"/>
      <c r="F627" s="125"/>
      <c r="G627" s="125"/>
      <c r="H627" s="125"/>
      <c r="I627" s="125"/>
      <c r="J627" s="125"/>
      <c r="K627" s="125"/>
      <c r="L627" s="125"/>
      <c r="M627" s="125"/>
      <c r="N627" s="125"/>
      <c r="O627" s="125"/>
      <c r="P627" s="125"/>
    </row>
    <row r="628" spans="1:16" x14ac:dyDescent="0.2">
      <c r="A628" s="47" t="str">
        <v>0:00</v>
      </c>
      <c r="B628" s="103"/>
      <c r="C628" s="125"/>
      <c r="D628" s="125"/>
      <c r="E628" s="125"/>
      <c r="F628" s="125"/>
      <c r="G628" s="125"/>
      <c r="H628" s="125"/>
      <c r="I628" s="125"/>
      <c r="J628" s="125"/>
      <c r="K628" s="125"/>
      <c r="L628" s="125"/>
      <c r="M628" s="125"/>
      <c r="N628" s="125"/>
      <c r="O628" s="125"/>
      <c r="P628" s="125"/>
    </row>
    <row r="629" spans="1:16" x14ac:dyDescent="0.2">
      <c r="A629" s="47" t="str">
        <v>0:00</v>
      </c>
      <c r="B629" s="103"/>
      <c r="C629" s="125"/>
      <c r="D629" s="125"/>
      <c r="E629" s="125"/>
      <c r="F629" s="125"/>
      <c r="G629" s="125"/>
      <c r="H629" s="125"/>
      <c r="I629" s="125"/>
      <c r="J629" s="125"/>
      <c r="K629" s="125"/>
      <c r="L629" s="125"/>
      <c r="M629" s="125"/>
      <c r="N629" s="125"/>
      <c r="O629" s="125"/>
      <c r="P629" s="125"/>
    </row>
    <row r="630" spans="1:16" x14ac:dyDescent="0.2">
      <c r="A630" s="47" t="str">
        <v>0:00</v>
      </c>
      <c r="B630" s="103"/>
      <c r="C630" s="125"/>
      <c r="D630" s="125"/>
      <c r="E630" s="125"/>
      <c r="F630" s="125"/>
      <c r="G630" s="125"/>
      <c r="H630" s="125"/>
      <c r="I630" s="125"/>
      <c r="J630" s="125"/>
      <c r="K630" s="125"/>
      <c r="L630" s="125"/>
      <c r="M630" s="125"/>
      <c r="N630" s="125"/>
      <c r="O630" s="125"/>
      <c r="P630" s="125"/>
    </row>
    <row r="631" spans="1:16" x14ac:dyDescent="0.2">
      <c r="A631" s="47" t="str">
        <v>0:00</v>
      </c>
      <c r="B631" s="103"/>
      <c r="C631" s="125"/>
      <c r="D631" s="125"/>
      <c r="E631" s="125"/>
      <c r="F631" s="125"/>
      <c r="G631" s="125"/>
      <c r="H631" s="125"/>
      <c r="I631" s="125"/>
      <c r="J631" s="125"/>
      <c r="K631" s="125"/>
      <c r="L631" s="125"/>
      <c r="M631" s="125"/>
      <c r="N631" s="125"/>
      <c r="O631" s="125"/>
      <c r="P631" s="125"/>
    </row>
    <row r="632" spans="1:16" x14ac:dyDescent="0.2">
      <c r="A632" s="47" t="str">
        <v>0:00</v>
      </c>
      <c r="B632" s="103"/>
      <c r="C632" s="125"/>
      <c r="D632" s="125"/>
      <c r="E632" s="125"/>
      <c r="F632" s="125"/>
      <c r="G632" s="125"/>
      <c r="H632" s="125"/>
      <c r="I632" s="125"/>
      <c r="J632" s="125"/>
      <c r="K632" s="125"/>
      <c r="L632" s="125"/>
      <c r="M632" s="125"/>
      <c r="N632" s="125"/>
      <c r="O632" s="125"/>
      <c r="P632" s="125"/>
    </row>
    <row r="633" spans="1:16" x14ac:dyDescent="0.2">
      <c r="A633" s="47" t="str">
        <v>0:00</v>
      </c>
      <c r="B633" s="103"/>
      <c r="C633" s="125"/>
      <c r="D633" s="125"/>
      <c r="E633" s="125"/>
      <c r="F633" s="125"/>
      <c r="G633" s="125"/>
      <c r="H633" s="125"/>
      <c r="I633" s="125"/>
      <c r="J633" s="125"/>
      <c r="K633" s="125"/>
      <c r="L633" s="125"/>
      <c r="M633" s="125"/>
      <c r="N633" s="125"/>
      <c r="O633" s="125"/>
      <c r="P633" s="125"/>
    </row>
    <row r="634" spans="1:16" x14ac:dyDescent="0.2">
      <c r="A634" s="47" t="str">
        <v>0:00</v>
      </c>
      <c r="B634" s="103"/>
      <c r="C634" s="125"/>
      <c r="D634" s="125"/>
      <c r="E634" s="125"/>
      <c r="F634" s="125"/>
      <c r="G634" s="125"/>
      <c r="H634" s="125"/>
      <c r="I634" s="125"/>
      <c r="J634" s="125"/>
      <c r="K634" s="125"/>
      <c r="L634" s="125"/>
      <c r="M634" s="125"/>
      <c r="N634" s="125"/>
      <c r="O634" s="125"/>
      <c r="P634" s="125"/>
    </row>
    <row r="635" spans="1:16" x14ac:dyDescent="0.2">
      <c r="A635" s="47" t="str">
        <v>0:00</v>
      </c>
      <c r="B635" s="103"/>
      <c r="C635" s="125"/>
      <c r="D635" s="125"/>
      <c r="E635" s="125"/>
      <c r="F635" s="125"/>
      <c r="G635" s="125"/>
      <c r="H635" s="125"/>
      <c r="I635" s="125"/>
      <c r="J635" s="125"/>
      <c r="K635" s="125"/>
      <c r="L635" s="125"/>
      <c r="M635" s="125"/>
      <c r="N635" s="125"/>
      <c r="O635" s="125"/>
      <c r="P635" s="125"/>
    </row>
    <row r="636" spans="1:16" x14ac:dyDescent="0.2">
      <c r="A636" s="47" t="str">
        <v>0:00</v>
      </c>
      <c r="B636" s="103"/>
      <c r="C636" s="125"/>
      <c r="D636" s="125"/>
      <c r="E636" s="125"/>
      <c r="F636" s="125"/>
      <c r="G636" s="125"/>
      <c r="H636" s="125"/>
      <c r="I636" s="125"/>
      <c r="J636" s="125"/>
      <c r="K636" s="125"/>
      <c r="L636" s="125"/>
      <c r="M636" s="125"/>
      <c r="N636" s="125"/>
      <c r="O636" s="125"/>
      <c r="P636" s="125"/>
    </row>
    <row r="637" spans="1:16" x14ac:dyDescent="0.2">
      <c r="A637" s="47" t="str">
        <v>0:00</v>
      </c>
      <c r="B637" s="103"/>
      <c r="C637" s="125"/>
      <c r="D637" s="125"/>
      <c r="E637" s="125"/>
      <c r="F637" s="125"/>
      <c r="G637" s="125"/>
      <c r="H637" s="125"/>
      <c r="I637" s="125"/>
      <c r="J637" s="125"/>
      <c r="K637" s="125"/>
      <c r="L637" s="125"/>
      <c r="M637" s="125"/>
      <c r="N637" s="125"/>
      <c r="O637" s="125"/>
      <c r="P637" s="125"/>
    </row>
    <row r="638" spans="1:16" x14ac:dyDescent="0.2">
      <c r="A638" s="47" t="str">
        <v>0:00</v>
      </c>
      <c r="B638" s="103"/>
      <c r="C638" s="125"/>
      <c r="D638" s="125"/>
      <c r="E638" s="125"/>
      <c r="F638" s="125"/>
      <c r="G638" s="125"/>
      <c r="H638" s="125"/>
      <c r="I638" s="125"/>
      <c r="J638" s="125"/>
      <c r="K638" s="125"/>
      <c r="L638" s="125"/>
      <c r="M638" s="125"/>
      <c r="N638" s="125"/>
      <c r="O638" s="125"/>
      <c r="P638" s="125"/>
    </row>
    <row r="639" spans="1:16" x14ac:dyDescent="0.2">
      <c r="A639" s="47" t="str">
        <v>0:00</v>
      </c>
      <c r="B639" s="103"/>
      <c r="C639" s="125"/>
      <c r="D639" s="125"/>
      <c r="E639" s="125"/>
      <c r="F639" s="125"/>
      <c r="G639" s="125"/>
      <c r="H639" s="125"/>
      <c r="I639" s="125"/>
      <c r="J639" s="125"/>
      <c r="K639" s="125"/>
      <c r="L639" s="125"/>
      <c r="M639" s="125"/>
      <c r="N639" s="125"/>
      <c r="O639" s="125"/>
      <c r="P639" s="125"/>
    </row>
    <row r="640" spans="1:16" x14ac:dyDescent="0.2">
      <c r="A640" s="47" t="str">
        <v>0:00</v>
      </c>
      <c r="B640" s="103"/>
      <c r="C640" s="125"/>
      <c r="D640" s="125"/>
      <c r="E640" s="125"/>
      <c r="F640" s="125"/>
      <c r="G640" s="125"/>
      <c r="H640" s="125"/>
      <c r="I640" s="125"/>
      <c r="J640" s="125"/>
      <c r="K640" s="125"/>
      <c r="L640" s="125"/>
      <c r="M640" s="125"/>
      <c r="N640" s="125"/>
      <c r="O640" s="125"/>
      <c r="P640" s="125"/>
    </row>
    <row r="641" spans="1:16" x14ac:dyDescent="0.2">
      <c r="A641" s="47" t="str">
        <v>0:00</v>
      </c>
      <c r="B641" s="103"/>
      <c r="C641" s="125"/>
      <c r="D641" s="125"/>
      <c r="E641" s="125"/>
      <c r="F641" s="125"/>
      <c r="G641" s="125"/>
      <c r="H641" s="125"/>
      <c r="I641" s="125"/>
      <c r="J641" s="125"/>
      <c r="K641" s="125"/>
      <c r="L641" s="125"/>
      <c r="M641" s="125"/>
      <c r="N641" s="125"/>
      <c r="O641" s="125"/>
      <c r="P641" s="125"/>
    </row>
    <row r="642" spans="1:16" x14ac:dyDescent="0.2">
      <c r="A642" s="47" t="str">
        <v>0:00</v>
      </c>
      <c r="B642" s="103"/>
      <c r="C642" s="125"/>
      <c r="D642" s="125"/>
      <c r="E642" s="125"/>
      <c r="F642" s="125"/>
      <c r="G642" s="125"/>
      <c r="H642" s="125"/>
      <c r="I642" s="125"/>
      <c r="J642" s="125"/>
      <c r="K642" s="125"/>
      <c r="L642" s="125"/>
      <c r="M642" s="125"/>
      <c r="N642" s="125"/>
      <c r="O642" s="125"/>
      <c r="P642" s="125"/>
    </row>
    <row r="643" spans="1:16" x14ac:dyDescent="0.2">
      <c r="A643" s="47" t="str">
        <v>0:00</v>
      </c>
      <c r="B643" s="103"/>
      <c r="C643" s="125"/>
      <c r="D643" s="125"/>
      <c r="E643" s="125"/>
      <c r="F643" s="125"/>
      <c r="G643" s="125"/>
      <c r="H643" s="125"/>
      <c r="I643" s="125"/>
      <c r="J643" s="125"/>
      <c r="K643" s="125"/>
      <c r="L643" s="125"/>
      <c r="M643" s="125"/>
      <c r="N643" s="125"/>
      <c r="O643" s="125"/>
      <c r="P643" s="125"/>
    </row>
    <row r="644" spans="1:16" x14ac:dyDescent="0.2">
      <c r="A644" s="47" t="str">
        <v>0:00</v>
      </c>
      <c r="B644" s="103"/>
      <c r="C644" s="125"/>
      <c r="D644" s="125"/>
      <c r="E644" s="125"/>
      <c r="F644" s="125"/>
      <c r="G644" s="125"/>
      <c r="H644" s="125"/>
      <c r="I644" s="125"/>
      <c r="J644" s="125"/>
      <c r="K644" s="125"/>
      <c r="L644" s="125"/>
      <c r="M644" s="125"/>
      <c r="N644" s="125"/>
      <c r="O644" s="125"/>
      <c r="P644" s="125"/>
    </row>
    <row r="645" spans="1:16" x14ac:dyDescent="0.2">
      <c r="A645" s="47" t="str">
        <v>0:00</v>
      </c>
      <c r="B645" s="103"/>
      <c r="C645" s="125"/>
      <c r="D645" s="125"/>
      <c r="E645" s="125"/>
      <c r="F645" s="125"/>
      <c r="G645" s="125"/>
      <c r="H645" s="125"/>
      <c r="I645" s="125"/>
      <c r="J645" s="125"/>
      <c r="K645" s="125"/>
      <c r="L645" s="125"/>
      <c r="M645" s="125"/>
      <c r="N645" s="125"/>
      <c r="O645" s="125"/>
      <c r="P645" s="125"/>
    </row>
    <row r="646" spans="1:16" x14ac:dyDescent="0.2">
      <c r="A646" s="47" t="str">
        <v>0:00</v>
      </c>
      <c r="B646" s="103"/>
      <c r="C646" s="125"/>
      <c r="D646" s="125"/>
      <c r="E646" s="125"/>
      <c r="F646" s="125"/>
      <c r="G646" s="125"/>
      <c r="H646" s="125"/>
      <c r="I646" s="125"/>
      <c r="J646" s="125"/>
      <c r="K646" s="125"/>
      <c r="L646" s="125"/>
      <c r="M646" s="125"/>
      <c r="N646" s="125"/>
      <c r="O646" s="125"/>
      <c r="P646" s="125"/>
    </row>
    <row r="647" spans="1:16" x14ac:dyDescent="0.2">
      <c r="A647" s="47" t="str">
        <v>0:00</v>
      </c>
      <c r="B647" s="103"/>
      <c r="C647" s="125"/>
      <c r="D647" s="125"/>
      <c r="E647" s="125"/>
      <c r="F647" s="125"/>
      <c r="G647" s="125"/>
      <c r="H647" s="125"/>
      <c r="I647" s="125"/>
      <c r="J647" s="125"/>
      <c r="K647" s="125"/>
      <c r="L647" s="125"/>
      <c r="M647" s="125"/>
      <c r="N647" s="125"/>
      <c r="O647" s="125"/>
      <c r="P647" s="125"/>
    </row>
    <row r="648" spans="1:16" x14ac:dyDescent="0.2">
      <c r="A648" s="47" t="str">
        <v>0:00</v>
      </c>
      <c r="B648" s="103"/>
      <c r="C648" s="125"/>
      <c r="D648" s="125"/>
      <c r="E648" s="125"/>
      <c r="F648" s="125"/>
      <c r="G648" s="125"/>
      <c r="H648" s="125"/>
      <c r="I648" s="125"/>
      <c r="J648" s="125"/>
      <c r="K648" s="125"/>
      <c r="L648" s="125"/>
      <c r="M648" s="125"/>
      <c r="N648" s="125"/>
      <c r="O648" s="125"/>
      <c r="P648" s="125"/>
    </row>
    <row r="649" spans="1:16" x14ac:dyDescent="0.2">
      <c r="A649" s="47" t="str">
        <v>0:00</v>
      </c>
      <c r="B649" s="103"/>
      <c r="C649" s="125"/>
      <c r="D649" s="125"/>
      <c r="E649" s="125"/>
      <c r="F649" s="125"/>
      <c r="G649" s="125"/>
      <c r="H649" s="125"/>
      <c r="I649" s="125"/>
      <c r="J649" s="125"/>
      <c r="K649" s="125"/>
      <c r="L649" s="125"/>
      <c r="M649" s="125"/>
      <c r="N649" s="125"/>
      <c r="O649" s="125"/>
      <c r="P649" s="125"/>
    </row>
    <row r="650" spans="1:16" x14ac:dyDescent="0.2">
      <c r="A650" s="47" t="str">
        <v>0:00</v>
      </c>
      <c r="B650" s="103"/>
      <c r="C650" s="125"/>
      <c r="D650" s="125"/>
      <c r="E650" s="125"/>
      <c r="F650" s="125"/>
      <c r="G650" s="125"/>
      <c r="H650" s="125"/>
      <c r="I650" s="125"/>
      <c r="J650" s="125"/>
      <c r="K650" s="125"/>
      <c r="L650" s="125"/>
      <c r="M650" s="125"/>
      <c r="N650" s="125"/>
      <c r="O650" s="125"/>
      <c r="P650" s="125"/>
    </row>
    <row r="651" spans="1:16" x14ac:dyDescent="0.2">
      <c r="A651" s="47" t="str">
        <v>0:00</v>
      </c>
      <c r="B651" s="103"/>
      <c r="C651" s="125"/>
      <c r="D651" s="125"/>
      <c r="E651" s="125"/>
      <c r="F651" s="125"/>
      <c r="G651" s="125"/>
      <c r="H651" s="125"/>
      <c r="I651" s="125"/>
      <c r="J651" s="125"/>
      <c r="K651" s="125"/>
      <c r="L651" s="125"/>
      <c r="M651" s="125"/>
      <c r="N651" s="125"/>
      <c r="O651" s="125"/>
      <c r="P651" s="125"/>
    </row>
    <row r="652" spans="1:16" x14ac:dyDescent="0.2">
      <c r="A652" s="47" t="str">
        <v>0:00</v>
      </c>
      <c r="B652" s="103"/>
      <c r="C652" s="125"/>
      <c r="D652" s="125"/>
      <c r="E652" s="125"/>
      <c r="F652" s="125"/>
      <c r="G652" s="125"/>
      <c r="H652" s="125"/>
      <c r="I652" s="125"/>
      <c r="J652" s="125"/>
      <c r="K652" s="125"/>
      <c r="L652" s="125"/>
      <c r="M652" s="125"/>
      <c r="N652" s="125"/>
      <c r="O652" s="125"/>
      <c r="P652" s="125"/>
    </row>
    <row r="653" spans="1:16" x14ac:dyDescent="0.2">
      <c r="A653" s="47" t="str">
        <v>0:00</v>
      </c>
      <c r="B653" s="103"/>
      <c r="C653" s="125"/>
      <c r="D653" s="125"/>
      <c r="E653" s="125"/>
      <c r="F653" s="125"/>
      <c r="G653" s="125"/>
      <c r="H653" s="125"/>
      <c r="I653" s="125"/>
      <c r="J653" s="125"/>
      <c r="K653" s="125"/>
      <c r="L653" s="125"/>
      <c r="M653" s="125"/>
      <c r="N653" s="125"/>
      <c r="O653" s="125"/>
      <c r="P653" s="125"/>
    </row>
    <row r="654" spans="1:16" x14ac:dyDescent="0.2">
      <c r="A654" s="47" t="str">
        <v>0:00</v>
      </c>
      <c r="B654" s="103"/>
      <c r="C654" s="125"/>
      <c r="D654" s="125"/>
      <c r="E654" s="125"/>
      <c r="F654" s="125"/>
      <c r="G654" s="125"/>
      <c r="H654" s="125"/>
      <c r="I654" s="125"/>
      <c r="J654" s="125"/>
      <c r="K654" s="125"/>
      <c r="L654" s="125"/>
      <c r="M654" s="125"/>
      <c r="N654" s="125"/>
      <c r="O654" s="125"/>
      <c r="P654" s="125"/>
    </row>
    <row r="655" spans="1:16" x14ac:dyDescent="0.2">
      <c r="A655" s="47" t="str">
        <v>0:00</v>
      </c>
      <c r="B655" s="103"/>
      <c r="C655" s="125"/>
      <c r="D655" s="125"/>
      <c r="E655" s="125"/>
      <c r="F655" s="125"/>
      <c r="G655" s="125"/>
      <c r="H655" s="125"/>
      <c r="I655" s="125"/>
      <c r="J655" s="125"/>
      <c r="K655" s="125"/>
      <c r="L655" s="125"/>
      <c r="M655" s="125"/>
      <c r="N655" s="125"/>
      <c r="O655" s="125"/>
      <c r="P655" s="125"/>
    </row>
    <row r="656" spans="1:16" x14ac:dyDescent="0.2">
      <c r="A656" s="47" t="str">
        <v>0:00</v>
      </c>
      <c r="B656" s="103"/>
      <c r="C656" s="125"/>
      <c r="D656" s="125"/>
      <c r="E656" s="125"/>
      <c r="F656" s="125"/>
      <c r="G656" s="125"/>
      <c r="H656" s="125"/>
      <c r="I656" s="125"/>
      <c r="J656" s="125"/>
      <c r="K656" s="125"/>
      <c r="L656" s="125"/>
      <c r="M656" s="125"/>
      <c r="N656" s="125"/>
      <c r="O656" s="125"/>
      <c r="P656" s="125"/>
    </row>
    <row r="657" spans="1:16" x14ac:dyDescent="0.2">
      <c r="A657" s="47" t="str">
        <v>0:00</v>
      </c>
      <c r="B657" s="103"/>
      <c r="C657" s="125"/>
      <c r="D657" s="125"/>
      <c r="E657" s="125"/>
      <c r="F657" s="125"/>
      <c r="G657" s="125"/>
      <c r="H657" s="125"/>
      <c r="I657" s="125"/>
      <c r="J657" s="125"/>
      <c r="K657" s="125"/>
      <c r="L657" s="125"/>
      <c r="M657" s="125"/>
      <c r="N657" s="125"/>
      <c r="O657" s="125"/>
      <c r="P657" s="125"/>
    </row>
    <row r="658" spans="1:16" x14ac:dyDescent="0.2">
      <c r="A658" s="47" t="str">
        <v>0:00</v>
      </c>
      <c r="B658" s="103"/>
      <c r="C658" s="125"/>
      <c r="D658" s="125"/>
      <c r="E658" s="125"/>
      <c r="F658" s="125"/>
      <c r="G658" s="125"/>
      <c r="H658" s="125"/>
      <c r="I658" s="125"/>
      <c r="J658" s="125"/>
      <c r="K658" s="125"/>
      <c r="L658" s="125"/>
      <c r="M658" s="125"/>
      <c r="N658" s="125"/>
      <c r="O658" s="125"/>
      <c r="P658" s="125"/>
    </row>
    <row r="659" spans="1:16" x14ac:dyDescent="0.2">
      <c r="A659" s="47" t="str">
        <v>0:00</v>
      </c>
      <c r="B659" s="103"/>
      <c r="C659" s="125"/>
      <c r="D659" s="125"/>
      <c r="E659" s="125"/>
      <c r="F659" s="125"/>
      <c r="G659" s="125"/>
      <c r="H659" s="125"/>
      <c r="I659" s="125"/>
      <c r="J659" s="125"/>
      <c r="K659" s="125"/>
      <c r="L659" s="125"/>
      <c r="M659" s="125"/>
      <c r="N659" s="125"/>
      <c r="O659" s="125"/>
      <c r="P659" s="125"/>
    </row>
    <row r="660" spans="1:16" x14ac:dyDescent="0.2">
      <c r="A660" s="47" t="str">
        <v>0:00</v>
      </c>
      <c r="B660" s="103"/>
      <c r="C660" s="125"/>
      <c r="D660" s="125"/>
      <c r="E660" s="125"/>
      <c r="F660" s="125"/>
      <c r="G660" s="125"/>
      <c r="H660" s="125"/>
      <c r="I660" s="125"/>
      <c r="J660" s="125"/>
      <c r="K660" s="125"/>
      <c r="L660" s="125"/>
      <c r="M660" s="125"/>
      <c r="N660" s="125"/>
      <c r="O660" s="125"/>
      <c r="P660" s="125"/>
    </row>
    <row r="661" spans="1:16" x14ac:dyDescent="0.2">
      <c r="A661" s="47" t="str">
        <v>0:00</v>
      </c>
      <c r="B661" s="103"/>
      <c r="C661" s="125"/>
      <c r="D661" s="125"/>
      <c r="E661" s="125"/>
      <c r="F661" s="125"/>
      <c r="G661" s="125"/>
      <c r="H661" s="125"/>
      <c r="I661" s="125"/>
      <c r="J661" s="125"/>
      <c r="K661" s="125"/>
      <c r="L661" s="125"/>
      <c r="M661" s="125"/>
      <c r="N661" s="125"/>
      <c r="O661" s="125"/>
      <c r="P661" s="125"/>
    </row>
    <row r="662" spans="1:16" x14ac:dyDescent="0.2">
      <c r="A662" s="47" t="str">
        <v>0:00</v>
      </c>
      <c r="B662" s="103"/>
      <c r="C662" s="125"/>
      <c r="D662" s="125"/>
      <c r="E662" s="125"/>
      <c r="F662" s="125"/>
      <c r="G662" s="125"/>
      <c r="H662" s="125"/>
      <c r="I662" s="125"/>
      <c r="J662" s="125"/>
      <c r="K662" s="125"/>
      <c r="L662" s="125"/>
      <c r="M662" s="125"/>
      <c r="N662" s="125"/>
      <c r="O662" s="125"/>
      <c r="P662" s="125"/>
    </row>
    <row r="663" spans="1:16" x14ac:dyDescent="0.2">
      <c r="A663" s="47" t="str">
        <v>0:00</v>
      </c>
      <c r="B663" s="103"/>
      <c r="C663" s="125"/>
      <c r="D663" s="125"/>
      <c r="E663" s="125"/>
      <c r="F663" s="125"/>
      <c r="G663" s="125"/>
      <c r="H663" s="125"/>
      <c r="I663" s="125"/>
      <c r="J663" s="125"/>
      <c r="K663" s="125"/>
      <c r="L663" s="125"/>
      <c r="M663" s="125"/>
      <c r="N663" s="125"/>
      <c r="O663" s="125"/>
      <c r="P663" s="125"/>
    </row>
    <row r="664" spans="1:16" x14ac:dyDescent="0.2">
      <c r="A664" s="47" t="str">
        <v>0:00</v>
      </c>
      <c r="B664" s="103"/>
      <c r="C664" s="125"/>
      <c r="D664" s="125"/>
      <c r="E664" s="125"/>
      <c r="F664" s="125"/>
      <c r="G664" s="125"/>
      <c r="H664" s="125"/>
      <c r="I664" s="125"/>
      <c r="J664" s="125"/>
      <c r="K664" s="125"/>
      <c r="L664" s="125"/>
      <c r="M664" s="125"/>
      <c r="N664" s="125"/>
      <c r="O664" s="125"/>
      <c r="P664" s="125"/>
    </row>
    <row r="665" spans="1:16" x14ac:dyDescent="0.2">
      <c r="A665" s="47" t="str">
        <v>0:00</v>
      </c>
      <c r="B665" s="103"/>
      <c r="C665" s="125"/>
      <c r="D665" s="125"/>
      <c r="E665" s="125"/>
      <c r="F665" s="125"/>
      <c r="G665" s="125"/>
      <c r="H665" s="125"/>
      <c r="I665" s="125"/>
      <c r="J665" s="125"/>
      <c r="K665" s="125"/>
      <c r="L665" s="125"/>
      <c r="M665" s="125"/>
      <c r="N665" s="125"/>
      <c r="O665" s="125"/>
      <c r="P665" s="125"/>
    </row>
    <row r="666" spans="1:16" x14ac:dyDescent="0.2">
      <c r="A666" s="47" t="str">
        <v>0:00</v>
      </c>
      <c r="B666" s="103"/>
      <c r="C666" s="125"/>
      <c r="D666" s="125"/>
      <c r="E666" s="125"/>
      <c r="F666" s="125"/>
      <c r="G666" s="125"/>
      <c r="H666" s="125"/>
      <c r="I666" s="125"/>
      <c r="J666" s="125"/>
      <c r="K666" s="125"/>
      <c r="L666" s="125"/>
      <c r="M666" s="125"/>
      <c r="N666" s="125"/>
      <c r="O666" s="125"/>
      <c r="P666" s="125"/>
    </row>
    <row r="667" spans="1:16" x14ac:dyDescent="0.2">
      <c r="A667" s="47" t="str">
        <v>0:00</v>
      </c>
      <c r="B667" s="103"/>
      <c r="C667" s="125"/>
      <c r="D667" s="125"/>
      <c r="E667" s="125"/>
      <c r="F667" s="125"/>
      <c r="G667" s="125"/>
      <c r="H667" s="125"/>
      <c r="I667" s="125"/>
      <c r="J667" s="125"/>
      <c r="K667" s="125"/>
      <c r="L667" s="125"/>
      <c r="M667" s="125"/>
      <c r="N667" s="125"/>
      <c r="O667" s="125"/>
      <c r="P667" s="125"/>
    </row>
    <row r="668" spans="1:16" x14ac:dyDescent="0.2">
      <c r="A668" s="47" t="str">
        <v>0:00</v>
      </c>
      <c r="B668" s="103"/>
      <c r="C668" s="125"/>
      <c r="D668" s="125"/>
      <c r="E668" s="125"/>
      <c r="F668" s="125"/>
      <c r="G668" s="125"/>
      <c r="H668" s="125"/>
      <c r="I668" s="125"/>
      <c r="J668" s="125"/>
      <c r="K668" s="125"/>
      <c r="L668" s="125"/>
      <c r="M668" s="125"/>
      <c r="N668" s="125"/>
      <c r="O668" s="125"/>
      <c r="P668" s="125"/>
    </row>
    <row r="669" spans="1:16" x14ac:dyDescent="0.2">
      <c r="A669" s="47" t="str">
        <v>0:00</v>
      </c>
      <c r="B669" s="103"/>
      <c r="C669" s="125"/>
      <c r="D669" s="125"/>
      <c r="E669" s="125"/>
      <c r="F669" s="125"/>
      <c r="G669" s="125"/>
      <c r="H669" s="125"/>
      <c r="I669" s="125"/>
      <c r="J669" s="125"/>
      <c r="K669" s="125"/>
      <c r="L669" s="125"/>
      <c r="M669" s="125"/>
      <c r="N669" s="125"/>
      <c r="O669" s="125"/>
      <c r="P669" s="125"/>
    </row>
    <row r="670" spans="1:16" x14ac:dyDescent="0.2">
      <c r="A670" s="47" t="str">
        <v>0:00</v>
      </c>
      <c r="B670" s="103"/>
      <c r="C670" s="125"/>
      <c r="D670" s="125"/>
      <c r="E670" s="125"/>
      <c r="F670" s="125"/>
      <c r="G670" s="125"/>
      <c r="H670" s="125"/>
      <c r="I670" s="125"/>
      <c r="J670" s="125"/>
      <c r="K670" s="125"/>
      <c r="L670" s="125"/>
      <c r="M670" s="125"/>
      <c r="N670" s="125"/>
      <c r="O670" s="125"/>
      <c r="P670" s="125"/>
    </row>
    <row r="671" spans="1:16" x14ac:dyDescent="0.2">
      <c r="A671" s="47" t="str">
        <v>0:00</v>
      </c>
      <c r="B671" s="103"/>
      <c r="C671" s="125"/>
      <c r="D671" s="125"/>
      <c r="E671" s="125"/>
      <c r="F671" s="125"/>
      <c r="G671" s="125"/>
      <c r="H671" s="125"/>
      <c r="I671" s="125"/>
      <c r="J671" s="125"/>
      <c r="K671" s="125"/>
      <c r="L671" s="125"/>
      <c r="M671" s="125"/>
      <c r="N671" s="125"/>
      <c r="O671" s="125"/>
      <c r="P671" s="125"/>
    </row>
    <row r="672" spans="1:16" x14ac:dyDescent="0.2">
      <c r="A672" s="47" t="str">
        <v>0:00</v>
      </c>
      <c r="B672" s="103"/>
      <c r="C672" s="125"/>
      <c r="D672" s="125"/>
      <c r="E672" s="125"/>
      <c r="F672" s="125"/>
      <c r="G672" s="125"/>
      <c r="H672" s="125"/>
      <c r="I672" s="125"/>
      <c r="J672" s="125"/>
      <c r="K672" s="125"/>
      <c r="L672" s="125"/>
      <c r="M672" s="125"/>
      <c r="N672" s="125"/>
      <c r="O672" s="125"/>
      <c r="P672" s="125"/>
    </row>
    <row r="673" spans="1:16" x14ac:dyDescent="0.2">
      <c r="A673" s="47" t="str">
        <v>0:00</v>
      </c>
      <c r="B673" s="103"/>
      <c r="C673" s="125"/>
      <c r="D673" s="125"/>
      <c r="E673" s="125"/>
      <c r="F673" s="125"/>
      <c r="G673" s="125"/>
      <c r="H673" s="125"/>
      <c r="I673" s="125"/>
      <c r="J673" s="125"/>
      <c r="K673" s="125"/>
      <c r="L673" s="125"/>
      <c r="M673" s="125"/>
      <c r="N673" s="125"/>
      <c r="O673" s="125"/>
      <c r="P673" s="125"/>
    </row>
    <row r="674" spans="1:16" x14ac:dyDescent="0.2">
      <c r="A674" s="47" t="str">
        <v>0:00</v>
      </c>
      <c r="B674" s="103"/>
      <c r="C674" s="125"/>
      <c r="D674" s="125"/>
      <c r="E674" s="125"/>
      <c r="F674" s="125"/>
      <c r="G674" s="125"/>
      <c r="H674" s="125"/>
      <c r="I674" s="125"/>
      <c r="J674" s="125"/>
      <c r="K674" s="125"/>
      <c r="L674" s="125"/>
      <c r="M674" s="125"/>
      <c r="N674" s="125"/>
      <c r="O674" s="125"/>
      <c r="P674" s="125"/>
    </row>
    <row r="675" spans="1:16" x14ac:dyDescent="0.2">
      <c r="A675" s="47" t="str">
        <v>0:00</v>
      </c>
      <c r="B675" s="103"/>
      <c r="C675" s="125"/>
      <c r="D675" s="125"/>
      <c r="E675" s="125"/>
      <c r="F675" s="125"/>
      <c r="G675" s="125"/>
      <c r="H675" s="125"/>
      <c r="I675" s="125"/>
      <c r="J675" s="125"/>
      <c r="K675" s="125"/>
      <c r="L675" s="125"/>
      <c r="M675" s="125"/>
      <c r="N675" s="125"/>
      <c r="O675" s="125"/>
      <c r="P675" s="125"/>
    </row>
    <row r="676" spans="1:16" x14ac:dyDescent="0.2">
      <c r="A676" s="47" t="str">
        <v>0:00</v>
      </c>
      <c r="B676" s="103"/>
      <c r="C676" s="125"/>
      <c r="D676" s="125"/>
      <c r="E676" s="125"/>
      <c r="F676" s="125"/>
      <c r="G676" s="125"/>
      <c r="H676" s="125"/>
      <c r="I676" s="125"/>
      <c r="J676" s="125"/>
      <c r="K676" s="125"/>
      <c r="L676" s="125"/>
      <c r="M676" s="125"/>
      <c r="N676" s="125"/>
      <c r="O676" s="125"/>
      <c r="P676" s="125"/>
    </row>
    <row r="677" spans="1:16" x14ac:dyDescent="0.2">
      <c r="A677" s="47" t="str">
        <v>0:00</v>
      </c>
      <c r="B677" s="103"/>
      <c r="C677" s="125"/>
      <c r="D677" s="125"/>
      <c r="E677" s="125"/>
      <c r="F677" s="125"/>
      <c r="G677" s="125"/>
      <c r="H677" s="125"/>
      <c r="I677" s="125"/>
      <c r="J677" s="125"/>
      <c r="K677" s="125"/>
      <c r="L677" s="125"/>
      <c r="M677" s="125"/>
      <c r="N677" s="125"/>
      <c r="O677" s="125"/>
      <c r="P677" s="125"/>
    </row>
    <row r="678" spans="1:16" x14ac:dyDescent="0.2">
      <c r="A678" s="47" t="str">
        <v>0:00</v>
      </c>
      <c r="B678" s="103"/>
      <c r="C678" s="125"/>
      <c r="D678" s="125"/>
      <c r="E678" s="125"/>
      <c r="F678" s="125"/>
      <c r="G678" s="125"/>
      <c r="H678" s="125"/>
      <c r="I678" s="125"/>
      <c r="J678" s="125"/>
      <c r="K678" s="125"/>
      <c r="L678" s="125"/>
      <c r="M678" s="125"/>
      <c r="N678" s="125"/>
      <c r="O678" s="125"/>
      <c r="P678" s="125"/>
    </row>
    <row r="679" spans="1:16" x14ac:dyDescent="0.2">
      <c r="A679" s="47" t="str">
        <v>0:00</v>
      </c>
      <c r="B679" s="103"/>
      <c r="C679" s="125"/>
      <c r="D679" s="125"/>
      <c r="E679" s="125"/>
      <c r="F679" s="125"/>
      <c r="G679" s="125"/>
      <c r="H679" s="125"/>
      <c r="I679" s="125"/>
      <c r="J679" s="125"/>
      <c r="K679" s="125"/>
      <c r="L679" s="125"/>
      <c r="M679" s="125"/>
      <c r="N679" s="125"/>
      <c r="O679" s="125"/>
      <c r="P679" s="125"/>
    </row>
    <row r="680" spans="1:16" x14ac:dyDescent="0.2">
      <c r="A680" s="47" t="str">
        <v>0:00</v>
      </c>
      <c r="B680" s="103"/>
      <c r="C680" s="125"/>
      <c r="D680" s="125"/>
      <c r="E680" s="125"/>
      <c r="F680" s="125"/>
      <c r="G680" s="125"/>
      <c r="H680" s="125"/>
      <c r="I680" s="125"/>
      <c r="J680" s="125"/>
      <c r="K680" s="125"/>
      <c r="L680" s="125"/>
      <c r="M680" s="125"/>
      <c r="N680" s="125"/>
      <c r="O680" s="125"/>
      <c r="P680" s="125"/>
    </row>
    <row r="681" spans="1:16" x14ac:dyDescent="0.2">
      <c r="A681" s="47" t="str">
        <v>0:00</v>
      </c>
      <c r="B681" s="103"/>
      <c r="C681" s="125"/>
      <c r="D681" s="125"/>
      <c r="E681" s="125"/>
      <c r="F681" s="125"/>
      <c r="G681" s="125"/>
      <c r="H681" s="125"/>
      <c r="I681" s="125"/>
      <c r="J681" s="125"/>
      <c r="K681" s="125"/>
      <c r="L681" s="125"/>
      <c r="M681" s="125"/>
      <c r="N681" s="125"/>
      <c r="O681" s="125"/>
      <c r="P681" s="125"/>
    </row>
    <row r="682" spans="1:16" x14ac:dyDescent="0.2">
      <c r="A682" s="47" t="str">
        <v>0:00</v>
      </c>
      <c r="B682" s="103"/>
      <c r="C682" s="125"/>
      <c r="D682" s="125"/>
      <c r="E682" s="125"/>
      <c r="F682" s="125"/>
      <c r="G682" s="125"/>
      <c r="H682" s="125"/>
      <c r="I682" s="125"/>
      <c r="J682" s="125"/>
      <c r="K682" s="125"/>
      <c r="L682" s="125"/>
      <c r="M682" s="125"/>
      <c r="N682" s="125"/>
      <c r="O682" s="125"/>
      <c r="P682" s="125"/>
    </row>
    <row r="683" spans="1:16" x14ac:dyDescent="0.2">
      <c r="A683" s="47" t="str">
        <v>0:00</v>
      </c>
      <c r="B683" s="103"/>
      <c r="C683" s="125"/>
      <c r="D683" s="125"/>
      <c r="E683" s="125"/>
      <c r="F683" s="125"/>
      <c r="G683" s="125"/>
      <c r="H683" s="125"/>
      <c r="I683" s="125"/>
      <c r="J683" s="125"/>
      <c r="K683" s="125"/>
      <c r="L683" s="125"/>
      <c r="M683" s="125"/>
      <c r="N683" s="125"/>
      <c r="O683" s="125"/>
      <c r="P683" s="125"/>
    </row>
    <row r="684" spans="1:16" x14ac:dyDescent="0.2">
      <c r="A684" s="47" t="str">
        <v>0:00</v>
      </c>
      <c r="B684" s="103"/>
      <c r="C684" s="125"/>
      <c r="D684" s="125"/>
      <c r="E684" s="125"/>
      <c r="F684" s="125"/>
      <c r="G684" s="125"/>
      <c r="H684" s="125"/>
      <c r="I684" s="125"/>
      <c r="J684" s="125"/>
      <c r="K684" s="125"/>
      <c r="L684" s="125"/>
      <c r="M684" s="125"/>
      <c r="N684" s="125"/>
      <c r="O684" s="125"/>
      <c r="P684" s="125"/>
    </row>
    <row r="685" spans="1:16" x14ac:dyDescent="0.2">
      <c r="A685" s="47" t="str">
        <v>0:00</v>
      </c>
      <c r="B685" s="103"/>
      <c r="C685" s="125"/>
      <c r="D685" s="125"/>
      <c r="E685" s="125"/>
      <c r="F685" s="125"/>
      <c r="G685" s="125"/>
      <c r="H685" s="125"/>
      <c r="I685" s="125"/>
      <c r="J685" s="125"/>
      <c r="K685" s="125"/>
      <c r="L685" s="125"/>
      <c r="M685" s="125"/>
      <c r="N685" s="125"/>
      <c r="O685" s="125"/>
      <c r="P685" s="125"/>
    </row>
    <row r="686" spans="1:16" x14ac:dyDescent="0.2">
      <c r="A686" s="47" t="str">
        <v>0:00</v>
      </c>
      <c r="B686" s="103"/>
      <c r="C686" s="125"/>
      <c r="D686" s="125"/>
      <c r="E686" s="125"/>
      <c r="F686" s="125"/>
      <c r="G686" s="125"/>
      <c r="H686" s="125"/>
      <c r="I686" s="125"/>
      <c r="J686" s="125"/>
      <c r="K686" s="125"/>
      <c r="L686" s="125"/>
      <c r="M686" s="125"/>
      <c r="N686" s="125"/>
      <c r="O686" s="125"/>
      <c r="P686" s="125"/>
    </row>
    <row r="687" spans="1:16" x14ac:dyDescent="0.2">
      <c r="A687" s="47" t="str">
        <v>0:00</v>
      </c>
      <c r="B687" s="103"/>
      <c r="C687" s="125"/>
      <c r="D687" s="125"/>
      <c r="E687" s="125"/>
      <c r="F687" s="125"/>
      <c r="G687" s="125"/>
      <c r="H687" s="125"/>
      <c r="I687" s="125"/>
      <c r="J687" s="125"/>
      <c r="K687" s="125"/>
      <c r="L687" s="125"/>
      <c r="M687" s="125"/>
      <c r="N687" s="125"/>
      <c r="O687" s="125"/>
      <c r="P687" s="125"/>
    </row>
    <row r="688" spans="1:16" x14ac:dyDescent="0.2">
      <c r="A688" s="47" t="str">
        <v>0:00</v>
      </c>
      <c r="B688" s="103"/>
      <c r="C688" s="125"/>
      <c r="D688" s="125"/>
      <c r="E688" s="125"/>
      <c r="F688" s="125"/>
      <c r="G688" s="125"/>
      <c r="H688" s="125"/>
      <c r="I688" s="125"/>
      <c r="J688" s="125"/>
      <c r="K688" s="125"/>
      <c r="L688" s="125"/>
      <c r="M688" s="125"/>
      <c r="N688" s="125"/>
      <c r="O688" s="125"/>
      <c r="P688" s="125"/>
    </row>
    <row r="689" spans="1:16" x14ac:dyDescent="0.2">
      <c r="A689" s="47" t="str">
        <v>0:00</v>
      </c>
      <c r="B689" s="103"/>
      <c r="C689" s="125"/>
      <c r="D689" s="125"/>
      <c r="E689" s="125"/>
      <c r="F689" s="125"/>
      <c r="G689" s="125"/>
      <c r="H689" s="125"/>
      <c r="I689" s="125"/>
      <c r="J689" s="125"/>
      <c r="K689" s="125"/>
      <c r="L689" s="125"/>
      <c r="M689" s="125"/>
      <c r="N689" s="125"/>
      <c r="O689" s="125"/>
      <c r="P689" s="125"/>
    </row>
    <row r="690" spans="1:16" x14ac:dyDescent="0.2">
      <c r="A690" s="47" t="str">
        <v>0:00</v>
      </c>
      <c r="B690" s="103"/>
      <c r="C690" s="125"/>
      <c r="D690" s="125"/>
      <c r="E690" s="125"/>
      <c r="F690" s="125"/>
      <c r="G690" s="125"/>
      <c r="H690" s="125"/>
      <c r="I690" s="125"/>
      <c r="J690" s="125"/>
      <c r="K690" s="125"/>
      <c r="L690" s="125"/>
      <c r="M690" s="125"/>
      <c r="N690" s="125"/>
      <c r="O690" s="125"/>
      <c r="P690" s="125"/>
    </row>
    <row r="691" spans="1:16" x14ac:dyDescent="0.2">
      <c r="A691" s="47" t="str">
        <v>0:00</v>
      </c>
      <c r="B691" s="103"/>
      <c r="C691" s="125"/>
      <c r="D691" s="125"/>
      <c r="E691" s="125"/>
      <c r="F691" s="125"/>
      <c r="G691" s="125"/>
      <c r="H691" s="125"/>
      <c r="I691" s="125"/>
      <c r="J691" s="125"/>
      <c r="K691" s="125"/>
      <c r="L691" s="125"/>
      <c r="M691" s="125"/>
      <c r="N691" s="125"/>
      <c r="O691" s="125"/>
      <c r="P691" s="125"/>
    </row>
    <row r="692" spans="1:16" x14ac:dyDescent="0.2">
      <c r="A692" s="47" t="str">
        <v>0:00</v>
      </c>
      <c r="B692" s="103"/>
      <c r="C692" s="125"/>
      <c r="D692" s="125"/>
      <c r="E692" s="125"/>
      <c r="F692" s="125"/>
      <c r="G692" s="125"/>
      <c r="H692" s="125"/>
      <c r="I692" s="125"/>
      <c r="J692" s="125"/>
      <c r="K692" s="125"/>
      <c r="L692" s="125"/>
      <c r="M692" s="125"/>
      <c r="N692" s="125"/>
      <c r="O692" s="125"/>
      <c r="P692" s="125"/>
    </row>
    <row r="693" spans="1:16" x14ac:dyDescent="0.2">
      <c r="A693" s="47" t="str">
        <v>0:00</v>
      </c>
      <c r="B693" s="103"/>
      <c r="C693" s="125"/>
      <c r="D693" s="125"/>
      <c r="E693" s="125"/>
      <c r="F693" s="125"/>
      <c r="G693" s="125"/>
      <c r="H693" s="125"/>
      <c r="I693" s="125"/>
      <c r="J693" s="125"/>
      <c r="K693" s="125"/>
      <c r="L693" s="125"/>
      <c r="M693" s="125"/>
      <c r="N693" s="125"/>
      <c r="O693" s="125"/>
      <c r="P693" s="125"/>
    </row>
    <row r="694" spans="1:16" x14ac:dyDescent="0.2">
      <c r="A694" s="47" t="str">
        <v>0:00</v>
      </c>
      <c r="B694" s="103"/>
      <c r="C694" s="125"/>
      <c r="D694" s="125"/>
      <c r="E694" s="125"/>
      <c r="F694" s="125"/>
      <c r="G694" s="125"/>
      <c r="H694" s="125"/>
      <c r="I694" s="125"/>
      <c r="J694" s="125"/>
      <c r="K694" s="125"/>
      <c r="L694" s="125"/>
      <c r="M694" s="125"/>
      <c r="N694" s="125"/>
      <c r="O694" s="125"/>
      <c r="P694" s="125"/>
    </row>
    <row r="695" spans="1:16" x14ac:dyDescent="0.2">
      <c r="A695" s="47" t="str">
        <v>0:00</v>
      </c>
      <c r="B695" s="103"/>
      <c r="C695" s="125"/>
      <c r="D695" s="125"/>
      <c r="E695" s="125"/>
      <c r="F695" s="125"/>
      <c r="G695" s="125"/>
      <c r="H695" s="125"/>
      <c r="I695" s="125"/>
      <c r="J695" s="125"/>
      <c r="K695" s="125"/>
      <c r="L695" s="125"/>
      <c r="M695" s="125"/>
      <c r="N695" s="125"/>
      <c r="O695" s="125"/>
      <c r="P695" s="125"/>
    </row>
    <row r="696" spans="1:16" x14ac:dyDescent="0.2">
      <c r="A696" s="47" t="str">
        <v>0:00</v>
      </c>
      <c r="B696" s="103"/>
      <c r="C696" s="125"/>
      <c r="D696" s="125"/>
      <c r="E696" s="125"/>
      <c r="F696" s="125"/>
      <c r="G696" s="125"/>
      <c r="H696" s="125"/>
      <c r="I696" s="125"/>
      <c r="J696" s="125"/>
      <c r="K696" s="125"/>
      <c r="L696" s="125"/>
      <c r="M696" s="125"/>
      <c r="N696" s="125"/>
      <c r="O696" s="125"/>
      <c r="P696" s="125"/>
    </row>
    <row r="697" spans="1:16" x14ac:dyDescent="0.2">
      <c r="A697" s="47" t="str">
        <v>0:00</v>
      </c>
      <c r="B697" s="103"/>
      <c r="C697" s="125"/>
      <c r="D697" s="125"/>
      <c r="E697" s="125"/>
      <c r="F697" s="125"/>
      <c r="G697" s="125"/>
      <c r="H697" s="125"/>
      <c r="I697" s="125"/>
      <c r="J697" s="125"/>
      <c r="K697" s="125"/>
      <c r="L697" s="125"/>
      <c r="M697" s="125"/>
      <c r="N697" s="125"/>
      <c r="O697" s="125"/>
      <c r="P697" s="125"/>
    </row>
    <row r="698" spans="1:16" x14ac:dyDescent="0.2">
      <c r="A698" s="47" t="str">
        <v>0:00</v>
      </c>
      <c r="B698" s="103"/>
      <c r="C698" s="125"/>
      <c r="D698" s="125"/>
      <c r="E698" s="125"/>
      <c r="F698" s="125"/>
      <c r="G698" s="125"/>
      <c r="H698" s="125"/>
      <c r="I698" s="125"/>
      <c r="J698" s="125"/>
      <c r="K698" s="125"/>
      <c r="L698" s="125"/>
      <c r="M698" s="125"/>
      <c r="N698" s="125"/>
      <c r="O698" s="125"/>
      <c r="P698" s="125"/>
    </row>
    <row r="699" spans="1:16" x14ac:dyDescent="0.2">
      <c r="A699" s="47" t="str">
        <v>0:00</v>
      </c>
      <c r="B699" s="103"/>
      <c r="C699" s="125"/>
      <c r="D699" s="125"/>
      <c r="E699" s="125"/>
      <c r="F699" s="125"/>
      <c r="G699" s="125"/>
      <c r="H699" s="125"/>
      <c r="I699" s="125"/>
      <c r="J699" s="125"/>
      <c r="K699" s="125"/>
      <c r="L699" s="125"/>
      <c r="M699" s="125"/>
      <c r="N699" s="125"/>
      <c r="O699" s="125"/>
      <c r="P699" s="125"/>
    </row>
    <row r="700" spans="1:16" x14ac:dyDescent="0.2">
      <c r="A700" s="47" t="str">
        <v>0:00</v>
      </c>
      <c r="B700" s="103"/>
      <c r="C700" s="125"/>
      <c r="D700" s="125"/>
      <c r="E700" s="125"/>
      <c r="F700" s="125"/>
      <c r="G700" s="125"/>
      <c r="H700" s="125"/>
      <c r="I700" s="125"/>
      <c r="J700" s="125"/>
      <c r="K700" s="125"/>
      <c r="L700" s="125"/>
      <c r="M700" s="125"/>
      <c r="N700" s="125"/>
      <c r="O700" s="125"/>
      <c r="P700" s="125"/>
    </row>
    <row r="701" spans="1:16" x14ac:dyDescent="0.2">
      <c r="A701" s="47" t="str">
        <v>0:00</v>
      </c>
      <c r="B701" s="103"/>
      <c r="C701" s="125"/>
      <c r="D701" s="125"/>
      <c r="E701" s="125"/>
      <c r="F701" s="125"/>
      <c r="G701" s="125"/>
      <c r="H701" s="125"/>
      <c r="I701" s="125"/>
      <c r="J701" s="125"/>
      <c r="K701" s="125"/>
      <c r="L701" s="125"/>
      <c r="M701" s="125"/>
      <c r="N701" s="125"/>
      <c r="O701" s="125"/>
      <c r="P701" s="125"/>
    </row>
    <row r="702" spans="1:16" x14ac:dyDescent="0.2">
      <c r="A702" s="47" t="str">
        <v>0:00</v>
      </c>
      <c r="B702" s="103"/>
      <c r="C702" s="125"/>
      <c r="D702" s="125"/>
      <c r="E702" s="125"/>
      <c r="F702" s="125"/>
      <c r="G702" s="125"/>
      <c r="H702" s="125"/>
      <c r="I702" s="125"/>
      <c r="J702" s="125"/>
      <c r="K702" s="125"/>
      <c r="L702" s="125"/>
      <c r="M702" s="125"/>
      <c r="N702" s="125"/>
      <c r="O702" s="125"/>
      <c r="P702" s="125"/>
    </row>
    <row r="703" spans="1:16" x14ac:dyDescent="0.2">
      <c r="A703" s="47" t="str">
        <v>0:00</v>
      </c>
      <c r="B703" s="103"/>
      <c r="C703" s="125"/>
      <c r="D703" s="125"/>
      <c r="E703" s="125"/>
      <c r="F703" s="125"/>
      <c r="G703" s="125"/>
      <c r="H703" s="125"/>
      <c r="I703" s="125"/>
      <c r="J703" s="125"/>
      <c r="K703" s="125"/>
      <c r="L703" s="125"/>
      <c r="M703" s="125"/>
      <c r="N703" s="125"/>
      <c r="O703" s="125"/>
      <c r="P703" s="125"/>
    </row>
    <row r="704" spans="1:16" x14ac:dyDescent="0.2">
      <c r="A704" s="47" t="str">
        <v>0:00</v>
      </c>
      <c r="B704" s="103"/>
      <c r="C704" s="125"/>
      <c r="D704" s="125"/>
      <c r="E704" s="125"/>
      <c r="F704" s="125"/>
      <c r="G704" s="125"/>
      <c r="H704" s="125"/>
      <c r="I704" s="125"/>
      <c r="J704" s="125"/>
      <c r="K704" s="125"/>
      <c r="L704" s="125"/>
      <c r="M704" s="125"/>
      <c r="N704" s="125"/>
      <c r="O704" s="125"/>
      <c r="P704" s="125"/>
    </row>
    <row r="705" spans="1:16" x14ac:dyDescent="0.2">
      <c r="A705" s="47" t="str">
        <v>0:00</v>
      </c>
      <c r="B705" s="103"/>
      <c r="C705" s="125"/>
      <c r="D705" s="125"/>
      <c r="E705" s="125"/>
      <c r="F705" s="125"/>
      <c r="G705" s="125"/>
      <c r="H705" s="125"/>
      <c r="I705" s="125"/>
      <c r="J705" s="125"/>
      <c r="K705" s="125"/>
      <c r="L705" s="125"/>
      <c r="M705" s="125"/>
      <c r="N705" s="125"/>
      <c r="O705" s="125"/>
      <c r="P705" s="125"/>
    </row>
    <row r="706" spans="1:16" x14ac:dyDescent="0.2">
      <c r="A706" s="47" t="str">
        <v>0:00</v>
      </c>
      <c r="B706" s="103"/>
      <c r="C706" s="125"/>
      <c r="D706" s="125"/>
      <c r="E706" s="125"/>
      <c r="F706" s="125"/>
      <c r="G706" s="125"/>
      <c r="H706" s="125"/>
      <c r="I706" s="125"/>
      <c r="J706" s="125"/>
      <c r="K706" s="125"/>
      <c r="L706" s="125"/>
      <c r="M706" s="125"/>
      <c r="N706" s="125"/>
      <c r="O706" s="125"/>
      <c r="P706" s="125"/>
    </row>
    <row r="707" spans="1:16" x14ac:dyDescent="0.2">
      <c r="A707" s="47" t="str">
        <v>0:00</v>
      </c>
      <c r="B707" s="103"/>
      <c r="C707" s="125"/>
      <c r="D707" s="125"/>
      <c r="E707" s="125"/>
      <c r="F707" s="125"/>
      <c r="G707" s="125"/>
      <c r="H707" s="125"/>
      <c r="I707" s="125"/>
      <c r="J707" s="125"/>
      <c r="K707" s="125"/>
      <c r="L707" s="125"/>
      <c r="M707" s="125"/>
      <c r="N707" s="125"/>
      <c r="O707" s="125"/>
      <c r="P707" s="125"/>
    </row>
    <row r="708" spans="1:16" x14ac:dyDescent="0.2">
      <c r="A708" s="47" t="str">
        <v>0:00</v>
      </c>
      <c r="B708" s="103"/>
      <c r="C708" s="125"/>
      <c r="D708" s="125"/>
      <c r="E708" s="125"/>
      <c r="F708" s="125"/>
      <c r="G708" s="125"/>
      <c r="H708" s="125"/>
      <c r="I708" s="125"/>
      <c r="J708" s="125"/>
      <c r="K708" s="125"/>
      <c r="L708" s="125"/>
      <c r="M708" s="125"/>
      <c r="N708" s="125"/>
      <c r="O708" s="125"/>
      <c r="P708" s="125"/>
    </row>
    <row r="709" spans="1:16" x14ac:dyDescent="0.2">
      <c r="A709" s="47" t="str">
        <v>0:00</v>
      </c>
      <c r="B709" s="103"/>
      <c r="C709" s="125"/>
      <c r="D709" s="125"/>
      <c r="E709" s="125"/>
      <c r="F709" s="125"/>
      <c r="G709" s="125"/>
      <c r="H709" s="125"/>
      <c r="I709" s="125"/>
      <c r="J709" s="125"/>
      <c r="K709" s="125"/>
      <c r="L709" s="125"/>
      <c r="M709" s="125"/>
      <c r="N709" s="125"/>
      <c r="O709" s="125"/>
      <c r="P709" s="125"/>
    </row>
    <row r="710" spans="1:16" x14ac:dyDescent="0.2">
      <c r="A710" s="47" t="str">
        <v>0:00</v>
      </c>
      <c r="B710" s="103"/>
      <c r="C710" s="125"/>
      <c r="D710" s="125"/>
      <c r="E710" s="125"/>
      <c r="F710" s="125"/>
      <c r="G710" s="125"/>
      <c r="H710" s="125"/>
      <c r="I710" s="125"/>
      <c r="J710" s="125"/>
      <c r="K710" s="125"/>
      <c r="L710" s="125"/>
      <c r="M710" s="125"/>
      <c r="N710" s="125"/>
      <c r="O710" s="125"/>
      <c r="P710" s="125"/>
    </row>
    <row r="711" spans="1:16" x14ac:dyDescent="0.2">
      <c r="A711" s="47" t="str">
        <v>0:00</v>
      </c>
      <c r="B711" s="103"/>
      <c r="C711" s="125"/>
      <c r="D711" s="125"/>
      <c r="E711" s="125"/>
      <c r="F711" s="125"/>
      <c r="G711" s="125"/>
      <c r="H711" s="125"/>
      <c r="I711" s="125"/>
      <c r="J711" s="125"/>
      <c r="K711" s="125"/>
      <c r="L711" s="125"/>
      <c r="M711" s="125"/>
      <c r="N711" s="125"/>
      <c r="O711" s="125"/>
      <c r="P711" s="125"/>
    </row>
    <row r="712" spans="1:16" x14ac:dyDescent="0.2">
      <c r="A712" s="47" t="str">
        <v>0:00</v>
      </c>
      <c r="B712" s="103"/>
      <c r="C712" s="125"/>
      <c r="D712" s="125"/>
      <c r="E712" s="125"/>
      <c r="F712" s="125"/>
      <c r="G712" s="125"/>
      <c r="H712" s="125"/>
      <c r="I712" s="125"/>
      <c r="J712" s="125"/>
      <c r="K712" s="125"/>
      <c r="L712" s="125"/>
      <c r="M712" s="125"/>
      <c r="N712" s="125"/>
      <c r="O712" s="125"/>
      <c r="P712" s="125"/>
    </row>
    <row r="713" spans="1:16" x14ac:dyDescent="0.2">
      <c r="A713" s="47" t="str">
        <v>0:00</v>
      </c>
      <c r="B713" s="103"/>
      <c r="C713" s="125"/>
      <c r="D713" s="125"/>
      <c r="E713" s="125"/>
      <c r="F713" s="125"/>
      <c r="G713" s="125"/>
      <c r="H713" s="125"/>
      <c r="I713" s="125"/>
      <c r="J713" s="125"/>
      <c r="K713" s="125"/>
      <c r="L713" s="125"/>
      <c r="M713" s="125"/>
      <c r="N713" s="125"/>
      <c r="O713" s="125"/>
      <c r="P713" s="125"/>
    </row>
    <row r="714" spans="1:16" x14ac:dyDescent="0.2">
      <c r="A714" s="47" t="str">
        <v>0:00</v>
      </c>
      <c r="B714" s="103"/>
      <c r="C714" s="125"/>
      <c r="D714" s="125"/>
      <c r="E714" s="125"/>
      <c r="F714" s="125"/>
      <c r="G714" s="125"/>
      <c r="H714" s="125"/>
      <c r="I714" s="125"/>
      <c r="J714" s="125"/>
      <c r="K714" s="125"/>
      <c r="L714" s="125"/>
      <c r="M714" s="125"/>
      <c r="N714" s="125"/>
      <c r="O714" s="125"/>
      <c r="P714" s="125"/>
    </row>
    <row r="715" spans="1:16" x14ac:dyDescent="0.2">
      <c r="A715" s="47" t="str">
        <v>0:00</v>
      </c>
      <c r="B715" s="103"/>
      <c r="C715" s="125"/>
      <c r="D715" s="125"/>
      <c r="E715" s="125"/>
      <c r="F715" s="125"/>
      <c r="G715" s="125"/>
      <c r="H715" s="125"/>
      <c r="I715" s="125"/>
      <c r="J715" s="125"/>
      <c r="K715" s="125"/>
      <c r="L715" s="125"/>
      <c r="M715" s="125"/>
      <c r="N715" s="125"/>
      <c r="O715" s="125"/>
      <c r="P715" s="125"/>
    </row>
    <row r="716" spans="1:16" x14ac:dyDescent="0.2">
      <c r="A716" s="47" t="str">
        <v>0:00</v>
      </c>
      <c r="B716" s="103"/>
      <c r="C716" s="125"/>
      <c r="D716" s="125"/>
      <c r="E716" s="125"/>
      <c r="F716" s="125"/>
      <c r="G716" s="125"/>
      <c r="H716" s="125"/>
      <c r="I716" s="125"/>
      <c r="J716" s="125"/>
      <c r="K716" s="125"/>
      <c r="L716" s="125"/>
      <c r="M716" s="125"/>
      <c r="N716" s="125"/>
      <c r="O716" s="125"/>
      <c r="P716" s="125"/>
    </row>
    <row r="717" spans="1:16" x14ac:dyDescent="0.2">
      <c r="A717" s="47" t="str">
        <v>0:00</v>
      </c>
      <c r="B717" s="103"/>
      <c r="C717" s="125"/>
      <c r="D717" s="125"/>
      <c r="E717" s="125"/>
      <c r="F717" s="125"/>
      <c r="G717" s="125"/>
      <c r="H717" s="125"/>
      <c r="I717" s="125"/>
      <c r="J717" s="125"/>
      <c r="K717" s="125"/>
      <c r="L717" s="125"/>
      <c r="M717" s="125"/>
      <c r="N717" s="125"/>
      <c r="O717" s="125"/>
      <c r="P717" s="125"/>
    </row>
    <row r="718" spans="1:16" x14ac:dyDescent="0.2">
      <c r="A718" s="47" t="str">
        <v>0:00</v>
      </c>
      <c r="B718" s="103"/>
      <c r="C718" s="125"/>
      <c r="D718" s="125"/>
      <c r="E718" s="125"/>
      <c r="F718" s="125"/>
      <c r="G718" s="125"/>
      <c r="H718" s="125"/>
      <c r="I718" s="125"/>
      <c r="J718" s="125"/>
      <c r="K718" s="125"/>
      <c r="L718" s="125"/>
      <c r="M718" s="125"/>
      <c r="N718" s="125"/>
      <c r="O718" s="125"/>
      <c r="P718" s="125"/>
    </row>
    <row r="719" spans="1:16" x14ac:dyDescent="0.2">
      <c r="A719" s="47" t="str">
        <v>0:00</v>
      </c>
      <c r="B719" s="103"/>
      <c r="C719" s="125"/>
      <c r="D719" s="125"/>
      <c r="E719" s="125"/>
      <c r="F719" s="125"/>
      <c r="G719" s="125"/>
      <c r="H719" s="125"/>
      <c r="I719" s="125"/>
      <c r="J719" s="125"/>
      <c r="K719" s="125"/>
      <c r="L719" s="125"/>
      <c r="M719" s="125"/>
      <c r="N719" s="125"/>
      <c r="O719" s="125"/>
      <c r="P719" s="125"/>
    </row>
    <row r="720" spans="1:16" x14ac:dyDescent="0.2">
      <c r="A720" s="47" t="str">
        <v>0:00</v>
      </c>
      <c r="B720" s="103"/>
      <c r="C720" s="125"/>
      <c r="D720" s="125"/>
      <c r="E720" s="125"/>
      <c r="F720" s="125"/>
      <c r="G720" s="125"/>
      <c r="H720" s="125"/>
      <c r="I720" s="125"/>
      <c r="J720" s="125"/>
      <c r="K720" s="125"/>
      <c r="L720" s="125"/>
      <c r="M720" s="125"/>
      <c r="N720" s="125"/>
      <c r="O720" s="125"/>
      <c r="P720" s="125"/>
    </row>
    <row r="721" spans="1:16" x14ac:dyDescent="0.2">
      <c r="A721" s="47" t="str">
        <v>0:00</v>
      </c>
      <c r="B721" s="103"/>
      <c r="C721" s="125"/>
      <c r="D721" s="125"/>
      <c r="E721" s="125"/>
      <c r="F721" s="125"/>
      <c r="G721" s="125"/>
      <c r="H721" s="125"/>
      <c r="I721" s="125"/>
      <c r="J721" s="125"/>
      <c r="K721" s="125"/>
      <c r="L721" s="125"/>
      <c r="M721" s="125"/>
      <c r="N721" s="125"/>
      <c r="O721" s="125"/>
      <c r="P721" s="125"/>
    </row>
    <row r="722" spans="1:16" x14ac:dyDescent="0.2">
      <c r="A722" s="47" t="str">
        <v>0:00</v>
      </c>
      <c r="B722" s="103"/>
      <c r="C722" s="125"/>
      <c r="D722" s="125"/>
      <c r="E722" s="125"/>
      <c r="F722" s="125"/>
      <c r="G722" s="125"/>
      <c r="H722" s="125"/>
      <c r="I722" s="125"/>
      <c r="J722" s="125"/>
      <c r="K722" s="125"/>
      <c r="L722" s="125"/>
      <c r="M722" s="125"/>
      <c r="N722" s="125"/>
      <c r="O722" s="125"/>
      <c r="P722" s="125"/>
    </row>
    <row r="723" spans="1:16" x14ac:dyDescent="0.2">
      <c r="A723" s="47" t="str">
        <v>0:00</v>
      </c>
      <c r="B723" s="103"/>
      <c r="C723" s="125"/>
      <c r="D723" s="125"/>
      <c r="E723" s="125"/>
      <c r="F723" s="125"/>
      <c r="G723" s="125"/>
      <c r="H723" s="125"/>
      <c r="I723" s="125"/>
      <c r="J723" s="125"/>
      <c r="K723" s="125"/>
      <c r="L723" s="125"/>
      <c r="M723" s="125"/>
      <c r="N723" s="125"/>
      <c r="O723" s="125"/>
      <c r="P723" s="125"/>
    </row>
    <row r="724" spans="1:16" x14ac:dyDescent="0.2">
      <c r="A724" s="47" t="str">
        <v>0:00</v>
      </c>
      <c r="B724" s="103"/>
      <c r="C724" s="125"/>
      <c r="D724" s="125"/>
      <c r="E724" s="125"/>
      <c r="F724" s="125"/>
      <c r="G724" s="125"/>
      <c r="H724" s="125"/>
      <c r="I724" s="125"/>
      <c r="J724" s="125"/>
      <c r="K724" s="125"/>
      <c r="L724" s="125"/>
      <c r="M724" s="125"/>
      <c r="N724" s="125"/>
      <c r="O724" s="125"/>
      <c r="P724" s="125"/>
    </row>
    <row r="725" spans="1:16" x14ac:dyDescent="0.2">
      <c r="A725" s="47" t="str">
        <v>0:00</v>
      </c>
      <c r="B725" s="103"/>
      <c r="C725" s="125"/>
      <c r="D725" s="125"/>
      <c r="E725" s="125"/>
      <c r="F725" s="125"/>
      <c r="G725" s="125"/>
      <c r="H725" s="125"/>
      <c r="I725" s="125"/>
      <c r="J725" s="125"/>
      <c r="K725" s="125"/>
      <c r="L725" s="125"/>
      <c r="M725" s="125"/>
      <c r="N725" s="125"/>
      <c r="O725" s="125"/>
      <c r="P725" s="125"/>
    </row>
    <row r="726" spans="1:16" x14ac:dyDescent="0.2">
      <c r="A726" s="47" t="str">
        <v>0:00</v>
      </c>
      <c r="B726" s="103"/>
      <c r="C726" s="125"/>
      <c r="D726" s="125"/>
      <c r="E726" s="125"/>
      <c r="F726" s="125"/>
      <c r="G726" s="125"/>
      <c r="H726" s="125"/>
      <c r="I726" s="125"/>
      <c r="J726" s="125"/>
      <c r="K726" s="125"/>
      <c r="L726" s="125"/>
      <c r="M726" s="125"/>
      <c r="N726" s="125"/>
      <c r="O726" s="125"/>
      <c r="P726" s="125"/>
    </row>
    <row r="727" spans="1:16" x14ac:dyDescent="0.2">
      <c r="A727" s="47" t="str">
        <v>0:00</v>
      </c>
      <c r="B727" s="103"/>
      <c r="C727" s="125"/>
      <c r="D727" s="125"/>
      <c r="E727" s="125"/>
      <c r="F727" s="125"/>
      <c r="G727" s="125"/>
      <c r="H727" s="125"/>
      <c r="I727" s="125"/>
      <c r="J727" s="125"/>
      <c r="K727" s="125"/>
      <c r="L727" s="125"/>
      <c r="M727" s="125"/>
      <c r="N727" s="125"/>
      <c r="O727" s="125"/>
      <c r="P727" s="125"/>
    </row>
    <row r="728" spans="1:16" x14ac:dyDescent="0.2">
      <c r="A728" s="47" t="str">
        <v>0:00</v>
      </c>
      <c r="B728" s="103"/>
      <c r="C728" s="125"/>
      <c r="D728" s="125"/>
      <c r="E728" s="125"/>
      <c r="F728" s="125"/>
      <c r="G728" s="125"/>
      <c r="H728" s="125"/>
      <c r="I728" s="125"/>
      <c r="J728" s="125"/>
      <c r="K728" s="125"/>
      <c r="L728" s="125"/>
      <c r="M728" s="125"/>
      <c r="N728" s="125"/>
      <c r="O728" s="125"/>
      <c r="P728" s="125"/>
    </row>
    <row r="729" spans="1:16" x14ac:dyDescent="0.2">
      <c r="A729" s="47" t="str">
        <v>0:00</v>
      </c>
      <c r="B729" s="103"/>
      <c r="C729" s="125"/>
      <c r="D729" s="125"/>
      <c r="E729" s="125"/>
      <c r="F729" s="125"/>
      <c r="G729" s="125"/>
      <c r="H729" s="125"/>
      <c r="I729" s="125"/>
      <c r="J729" s="125"/>
      <c r="K729" s="125"/>
      <c r="L729" s="125"/>
      <c r="M729" s="125"/>
      <c r="N729" s="125"/>
      <c r="O729" s="125"/>
      <c r="P729" s="125"/>
    </row>
    <row r="730" spans="1:16" x14ac:dyDescent="0.2">
      <c r="A730" s="47" t="str">
        <v>0:00</v>
      </c>
      <c r="B730" s="103"/>
      <c r="C730" s="125"/>
      <c r="D730" s="125"/>
      <c r="E730" s="125"/>
      <c r="F730" s="125"/>
      <c r="G730" s="125"/>
      <c r="H730" s="125"/>
      <c r="I730" s="125"/>
      <c r="J730" s="125"/>
      <c r="K730" s="125"/>
      <c r="L730" s="125"/>
      <c r="M730" s="125"/>
      <c r="N730" s="125"/>
      <c r="O730" s="125"/>
      <c r="P730" s="125"/>
    </row>
    <row r="731" spans="1:16" x14ac:dyDescent="0.2">
      <c r="A731" s="47" t="str">
        <v>0:00</v>
      </c>
      <c r="B731" s="103"/>
      <c r="C731" s="125"/>
      <c r="D731" s="125"/>
      <c r="E731" s="125"/>
      <c r="F731" s="125"/>
      <c r="G731" s="125"/>
      <c r="H731" s="125"/>
      <c r="I731" s="125"/>
      <c r="J731" s="125"/>
      <c r="K731" s="125"/>
      <c r="L731" s="125"/>
      <c r="M731" s="125"/>
      <c r="N731" s="125"/>
      <c r="O731" s="125"/>
      <c r="P731" s="125"/>
    </row>
    <row r="732" spans="1:16" x14ac:dyDescent="0.2">
      <c r="A732" s="47" t="str">
        <v>0:00</v>
      </c>
      <c r="B732" s="103"/>
      <c r="C732" s="125"/>
      <c r="D732" s="125"/>
      <c r="E732" s="125"/>
      <c r="F732" s="125"/>
      <c r="G732" s="125"/>
      <c r="H732" s="125"/>
      <c r="I732" s="125"/>
      <c r="J732" s="125"/>
      <c r="K732" s="125"/>
      <c r="L732" s="125"/>
      <c r="M732" s="125"/>
      <c r="N732" s="125"/>
      <c r="O732" s="125"/>
      <c r="P732" s="125"/>
    </row>
    <row r="733" spans="1:16" x14ac:dyDescent="0.2">
      <c r="A733" s="47" t="str">
        <v>0:00</v>
      </c>
      <c r="B733" s="103"/>
      <c r="C733" s="125"/>
      <c r="D733" s="125"/>
      <c r="E733" s="125"/>
      <c r="F733" s="125"/>
      <c r="G733" s="125"/>
      <c r="H733" s="125"/>
      <c r="I733" s="125"/>
      <c r="J733" s="125"/>
      <c r="K733" s="125"/>
      <c r="L733" s="125"/>
      <c r="M733" s="125"/>
      <c r="N733" s="125"/>
      <c r="O733" s="125"/>
      <c r="P733" s="125"/>
    </row>
    <row r="734" spans="1:16" x14ac:dyDescent="0.2">
      <c r="A734" s="47" t="str">
        <v>0:00</v>
      </c>
      <c r="B734" s="103"/>
      <c r="C734" s="125"/>
      <c r="D734" s="125"/>
      <c r="E734" s="125"/>
      <c r="F734" s="125"/>
      <c r="G734" s="125"/>
      <c r="H734" s="125"/>
      <c r="I734" s="125"/>
      <c r="J734" s="125"/>
      <c r="K734" s="125"/>
      <c r="L734" s="125"/>
      <c r="M734" s="125"/>
      <c r="N734" s="125"/>
      <c r="O734" s="125"/>
      <c r="P734" s="125"/>
    </row>
    <row r="735" spans="1:16" x14ac:dyDescent="0.2">
      <c r="A735" s="47" t="str">
        <v>0:00</v>
      </c>
      <c r="B735" s="103"/>
      <c r="C735" s="125"/>
      <c r="D735" s="125"/>
      <c r="E735" s="125"/>
      <c r="F735" s="125"/>
      <c r="G735" s="125"/>
      <c r="H735" s="125"/>
      <c r="I735" s="125"/>
      <c r="J735" s="125"/>
      <c r="K735" s="125"/>
      <c r="L735" s="125"/>
      <c r="M735" s="125"/>
      <c r="N735" s="125"/>
      <c r="O735" s="125"/>
      <c r="P735" s="125"/>
    </row>
    <row r="736" spans="1:16" x14ac:dyDescent="0.2">
      <c r="A736" s="47" t="str">
        <v>0:00</v>
      </c>
      <c r="B736" s="103"/>
      <c r="C736" s="125"/>
      <c r="D736" s="125"/>
      <c r="E736" s="125"/>
      <c r="F736" s="125"/>
      <c r="G736" s="125"/>
      <c r="H736" s="125"/>
      <c r="I736" s="125"/>
      <c r="J736" s="125"/>
      <c r="K736" s="125"/>
      <c r="L736" s="125"/>
      <c r="M736" s="125"/>
      <c r="N736" s="125"/>
      <c r="O736" s="125"/>
      <c r="P736" s="125"/>
    </row>
    <row r="737" spans="1:16" x14ac:dyDescent="0.2">
      <c r="A737" s="47" t="str">
        <v>0:00</v>
      </c>
      <c r="B737" s="103"/>
      <c r="C737" s="125"/>
      <c r="D737" s="125"/>
      <c r="E737" s="125"/>
      <c r="F737" s="125"/>
      <c r="G737" s="125"/>
      <c r="H737" s="125"/>
      <c r="I737" s="125"/>
      <c r="J737" s="125"/>
      <c r="K737" s="125"/>
      <c r="L737" s="125"/>
      <c r="M737" s="125"/>
      <c r="N737" s="125"/>
      <c r="O737" s="125"/>
      <c r="P737" s="125"/>
    </row>
    <row r="738" spans="1:16" x14ac:dyDescent="0.2">
      <c r="A738" s="47" t="str">
        <v>0:00</v>
      </c>
      <c r="B738" s="103"/>
      <c r="C738" s="125"/>
      <c r="D738" s="125"/>
      <c r="E738" s="125"/>
      <c r="F738" s="125"/>
      <c r="G738" s="125"/>
      <c r="H738" s="125"/>
      <c r="I738" s="125"/>
      <c r="J738" s="125"/>
      <c r="K738" s="125"/>
      <c r="L738" s="125"/>
      <c r="M738" s="125"/>
      <c r="N738" s="125"/>
      <c r="O738" s="125"/>
      <c r="P738" s="125"/>
    </row>
    <row r="739" spans="1:16" x14ac:dyDescent="0.2">
      <c r="A739" s="47" t="str">
        <v>0:00</v>
      </c>
      <c r="B739" s="103"/>
      <c r="C739" s="125"/>
      <c r="D739" s="125"/>
      <c r="E739" s="125"/>
      <c r="F739" s="125"/>
      <c r="G739" s="125"/>
      <c r="H739" s="125"/>
      <c r="I739" s="125"/>
      <c r="J739" s="125"/>
      <c r="K739" s="125"/>
      <c r="L739" s="125"/>
      <c r="M739" s="125"/>
      <c r="N739" s="125"/>
      <c r="O739" s="125"/>
      <c r="P739" s="125"/>
    </row>
    <row r="740" spans="1:16" x14ac:dyDescent="0.2">
      <c r="A740" s="47" t="str">
        <v>0:00</v>
      </c>
      <c r="B740" s="103"/>
      <c r="C740" s="125"/>
      <c r="D740" s="125"/>
      <c r="E740" s="125"/>
      <c r="F740" s="125"/>
      <c r="G740" s="125"/>
      <c r="H740" s="125"/>
      <c r="I740" s="125"/>
      <c r="J740" s="125"/>
      <c r="K740" s="125"/>
      <c r="L740" s="125"/>
      <c r="M740" s="125"/>
      <c r="N740" s="125"/>
      <c r="O740" s="125"/>
      <c r="P740" s="125"/>
    </row>
    <row r="741" spans="1:16" x14ac:dyDescent="0.2">
      <c r="A741" s="47" t="str">
        <v>0:00</v>
      </c>
      <c r="B741" s="103"/>
      <c r="C741" s="125"/>
      <c r="D741" s="125"/>
      <c r="E741" s="125"/>
      <c r="F741" s="125"/>
      <c r="G741" s="125"/>
      <c r="H741" s="125"/>
      <c r="I741" s="125"/>
      <c r="J741" s="125"/>
      <c r="K741" s="125"/>
      <c r="L741" s="125"/>
      <c r="M741" s="125"/>
      <c r="N741" s="125"/>
      <c r="O741" s="125"/>
      <c r="P741" s="125"/>
    </row>
    <row r="742" spans="1:16" x14ac:dyDescent="0.2">
      <c r="A742" s="47" t="str">
        <v>0:00</v>
      </c>
      <c r="B742" s="103"/>
      <c r="C742" s="125"/>
      <c r="D742" s="125"/>
      <c r="E742" s="125"/>
      <c r="F742" s="125"/>
      <c r="G742" s="125"/>
      <c r="H742" s="125"/>
      <c r="I742" s="125"/>
      <c r="J742" s="125"/>
      <c r="K742" s="125"/>
      <c r="L742" s="125"/>
      <c r="M742" s="125"/>
      <c r="N742" s="125"/>
      <c r="O742" s="125"/>
      <c r="P742" s="125"/>
    </row>
    <row r="743" spans="1:16" x14ac:dyDescent="0.2">
      <c r="A743" s="47" t="str">
        <v>0:00</v>
      </c>
      <c r="B743" s="103"/>
      <c r="C743" s="125"/>
      <c r="D743" s="125"/>
      <c r="E743" s="125"/>
      <c r="F743" s="125"/>
      <c r="G743" s="125"/>
      <c r="H743" s="125"/>
      <c r="I743" s="125"/>
      <c r="J743" s="125"/>
      <c r="K743" s="125"/>
      <c r="L743" s="125"/>
      <c r="M743" s="125"/>
      <c r="N743" s="125"/>
      <c r="O743" s="125"/>
      <c r="P743" s="125"/>
    </row>
    <row r="744" spans="1:16" x14ac:dyDescent="0.2">
      <c r="A744" s="47" t="str">
        <v>0:00</v>
      </c>
      <c r="B744" s="103"/>
      <c r="C744" s="125"/>
      <c r="D744" s="125"/>
      <c r="E744" s="125"/>
      <c r="F744" s="125"/>
      <c r="G744" s="125"/>
      <c r="H744" s="125"/>
      <c r="I744" s="125"/>
      <c r="J744" s="125"/>
      <c r="K744" s="125"/>
      <c r="L744" s="125"/>
      <c r="M744" s="125"/>
      <c r="N744" s="125"/>
      <c r="O744" s="125"/>
      <c r="P744" s="125"/>
    </row>
    <row r="745" spans="1:16" x14ac:dyDescent="0.2">
      <c r="A745" s="47" t="str">
        <v>0:00</v>
      </c>
      <c r="B745" s="103"/>
      <c r="C745" s="125"/>
      <c r="D745" s="125"/>
      <c r="E745" s="125"/>
      <c r="F745" s="125"/>
      <c r="G745" s="125"/>
      <c r="H745" s="125"/>
      <c r="I745" s="125"/>
      <c r="J745" s="125"/>
      <c r="K745" s="125"/>
      <c r="L745" s="125"/>
      <c r="M745" s="125"/>
      <c r="N745" s="125"/>
      <c r="O745" s="125"/>
      <c r="P745" s="125"/>
    </row>
    <row r="746" spans="1:16" x14ac:dyDescent="0.2">
      <c r="A746" s="47" t="str">
        <v>0:00</v>
      </c>
      <c r="B746" s="103"/>
      <c r="C746" s="125"/>
      <c r="D746" s="125"/>
      <c r="E746" s="125"/>
      <c r="F746" s="125"/>
      <c r="G746" s="125"/>
      <c r="H746" s="125"/>
      <c r="I746" s="125"/>
      <c r="J746" s="125"/>
      <c r="K746" s="125"/>
      <c r="L746" s="125"/>
      <c r="M746" s="125"/>
      <c r="N746" s="125"/>
      <c r="O746" s="125"/>
      <c r="P746" s="125"/>
    </row>
    <row r="747" spans="1:16" x14ac:dyDescent="0.2">
      <c r="A747" s="47" t="str">
        <v>0:00</v>
      </c>
      <c r="B747" s="103"/>
      <c r="C747" s="125"/>
      <c r="D747" s="125"/>
      <c r="E747" s="125"/>
      <c r="F747" s="125"/>
      <c r="G747" s="125"/>
      <c r="H747" s="125"/>
      <c r="I747" s="125"/>
      <c r="J747" s="125"/>
      <c r="K747" s="125"/>
      <c r="L747" s="125"/>
      <c r="M747" s="125"/>
      <c r="N747" s="125"/>
      <c r="O747" s="125"/>
      <c r="P747" s="125"/>
    </row>
    <row r="748" spans="1:16" x14ac:dyDescent="0.2">
      <c r="A748" s="47" t="str">
        <v>0:00</v>
      </c>
      <c r="B748" s="103"/>
      <c r="C748" s="125"/>
      <c r="D748" s="125"/>
      <c r="E748" s="125"/>
      <c r="F748" s="125"/>
      <c r="G748" s="125"/>
      <c r="H748" s="125"/>
      <c r="I748" s="125"/>
      <c r="J748" s="125"/>
      <c r="K748" s="125"/>
      <c r="L748" s="125"/>
      <c r="M748" s="125"/>
      <c r="N748" s="125"/>
      <c r="O748" s="125"/>
      <c r="P748" s="125"/>
    </row>
    <row r="749" spans="1:16" x14ac:dyDescent="0.2">
      <c r="A749" s="47" t="str">
        <v>0:00</v>
      </c>
      <c r="B749" s="103"/>
      <c r="C749" s="125"/>
      <c r="D749" s="125"/>
      <c r="E749" s="125"/>
      <c r="F749" s="125"/>
      <c r="G749" s="125"/>
      <c r="H749" s="125"/>
      <c r="I749" s="125"/>
      <c r="J749" s="125"/>
      <c r="K749" s="125"/>
      <c r="L749" s="125"/>
      <c r="M749" s="125"/>
      <c r="N749" s="125"/>
      <c r="O749" s="125"/>
      <c r="P749" s="125"/>
    </row>
    <row r="750" spans="1:16" x14ac:dyDescent="0.2">
      <c r="A750" s="47" t="str">
        <v>0:00</v>
      </c>
      <c r="B750" s="103"/>
      <c r="C750" s="125"/>
      <c r="D750" s="125"/>
      <c r="E750" s="125"/>
      <c r="F750" s="125"/>
      <c r="G750" s="125"/>
      <c r="H750" s="125"/>
      <c r="I750" s="125"/>
      <c r="J750" s="125"/>
      <c r="K750" s="125"/>
      <c r="L750" s="125"/>
      <c r="M750" s="125"/>
      <c r="N750" s="125"/>
      <c r="O750" s="125"/>
      <c r="P750" s="125"/>
    </row>
    <row r="751" spans="1:16" x14ac:dyDescent="0.2">
      <c r="A751" s="47" t="str">
        <v>0:00</v>
      </c>
      <c r="B751" s="103"/>
      <c r="C751" s="125"/>
      <c r="D751" s="125"/>
      <c r="E751" s="125"/>
      <c r="F751" s="125"/>
      <c r="G751" s="125"/>
      <c r="H751" s="125"/>
      <c r="I751" s="125"/>
      <c r="J751" s="125"/>
      <c r="K751" s="125"/>
      <c r="L751" s="125"/>
      <c r="M751" s="125"/>
      <c r="N751" s="125"/>
      <c r="O751" s="125"/>
      <c r="P751" s="125"/>
    </row>
    <row r="752" spans="1:16" x14ac:dyDescent="0.2">
      <c r="A752" s="47" t="str">
        <v>0:00</v>
      </c>
      <c r="B752" s="103"/>
      <c r="C752" s="125"/>
      <c r="D752" s="125"/>
      <c r="E752" s="125"/>
      <c r="F752" s="125"/>
      <c r="G752" s="125"/>
      <c r="H752" s="125"/>
      <c r="I752" s="125"/>
      <c r="J752" s="125"/>
      <c r="K752" s="125"/>
      <c r="L752" s="125"/>
      <c r="M752" s="125"/>
      <c r="N752" s="125"/>
      <c r="O752" s="125"/>
      <c r="P752" s="125"/>
    </row>
    <row r="753" spans="1:16" x14ac:dyDescent="0.2">
      <c r="A753" s="47" t="str">
        <v>0:00</v>
      </c>
      <c r="B753" s="103"/>
      <c r="C753" s="125"/>
      <c r="D753" s="125"/>
      <c r="E753" s="125"/>
      <c r="F753" s="125"/>
      <c r="G753" s="125"/>
      <c r="H753" s="125"/>
      <c r="I753" s="125"/>
      <c r="J753" s="125"/>
      <c r="K753" s="125"/>
      <c r="L753" s="125"/>
      <c r="M753" s="125"/>
      <c r="N753" s="125"/>
      <c r="O753" s="125"/>
      <c r="P753" s="125"/>
    </row>
    <row r="754" spans="1:16" x14ac:dyDescent="0.2">
      <c r="A754" s="47" t="str">
        <v>0:00</v>
      </c>
      <c r="B754" s="103"/>
      <c r="C754" s="125"/>
      <c r="D754" s="125"/>
      <c r="E754" s="125"/>
      <c r="F754" s="125"/>
      <c r="G754" s="125"/>
      <c r="H754" s="125"/>
      <c r="I754" s="125"/>
      <c r="J754" s="125"/>
      <c r="K754" s="125"/>
      <c r="L754" s="125"/>
      <c r="M754" s="125"/>
      <c r="N754" s="125"/>
      <c r="O754" s="125"/>
      <c r="P754" s="125"/>
    </row>
    <row r="755" spans="1:16" x14ac:dyDescent="0.2">
      <c r="A755" s="47" t="str">
        <v>0:00</v>
      </c>
      <c r="B755" s="103"/>
      <c r="C755" s="125"/>
      <c r="D755" s="125"/>
      <c r="E755" s="125"/>
      <c r="F755" s="125"/>
      <c r="G755" s="125"/>
      <c r="H755" s="125"/>
      <c r="I755" s="125"/>
      <c r="J755" s="125"/>
      <c r="K755" s="125"/>
      <c r="L755" s="125"/>
      <c r="M755" s="125"/>
      <c r="N755" s="125"/>
      <c r="O755" s="125"/>
      <c r="P755" s="125"/>
    </row>
    <row r="756" spans="1:16" x14ac:dyDescent="0.2">
      <c r="A756" s="47" t="str">
        <v>0:00</v>
      </c>
      <c r="B756" s="103"/>
      <c r="C756" s="125"/>
      <c r="D756" s="125"/>
      <c r="E756" s="125"/>
      <c r="F756" s="125"/>
      <c r="G756" s="125"/>
      <c r="H756" s="125"/>
      <c r="I756" s="125"/>
      <c r="J756" s="125"/>
      <c r="K756" s="125"/>
      <c r="L756" s="125"/>
      <c r="M756" s="125"/>
      <c r="N756" s="125"/>
      <c r="O756" s="125"/>
      <c r="P756" s="125"/>
    </row>
    <row r="757" spans="1:16" x14ac:dyDescent="0.2">
      <c r="A757" s="47" t="str">
        <v>0:00</v>
      </c>
      <c r="B757" s="103"/>
      <c r="C757" s="125"/>
      <c r="D757" s="125"/>
      <c r="E757" s="125"/>
      <c r="F757" s="125"/>
      <c r="G757" s="125"/>
      <c r="H757" s="125"/>
      <c r="I757" s="125"/>
      <c r="J757" s="125"/>
      <c r="K757" s="125"/>
      <c r="L757" s="125"/>
      <c r="M757" s="125"/>
      <c r="N757" s="125"/>
      <c r="O757" s="125"/>
      <c r="P757" s="125"/>
    </row>
    <row r="758" spans="1:16" x14ac:dyDescent="0.2">
      <c r="A758" s="47" t="str">
        <v>0:00</v>
      </c>
      <c r="B758" s="103"/>
      <c r="C758" s="125"/>
      <c r="D758" s="125"/>
      <c r="E758" s="125"/>
      <c r="F758" s="125"/>
      <c r="G758" s="125"/>
      <c r="H758" s="125"/>
      <c r="I758" s="125"/>
      <c r="J758" s="125"/>
      <c r="K758" s="125"/>
      <c r="L758" s="125"/>
      <c r="M758" s="125"/>
      <c r="N758" s="125"/>
      <c r="O758" s="125"/>
      <c r="P758" s="125"/>
    </row>
    <row r="759" spans="1:16" x14ac:dyDescent="0.2">
      <c r="A759" s="47" t="str">
        <v>0:00</v>
      </c>
      <c r="B759" s="103"/>
      <c r="C759" s="125"/>
      <c r="D759" s="125"/>
      <c r="E759" s="125"/>
      <c r="F759" s="125"/>
      <c r="G759" s="125"/>
      <c r="H759" s="125"/>
      <c r="I759" s="125"/>
      <c r="J759" s="125"/>
      <c r="K759" s="125"/>
      <c r="L759" s="125"/>
      <c r="M759" s="125"/>
      <c r="N759" s="125"/>
      <c r="O759" s="125"/>
      <c r="P759" s="125"/>
    </row>
    <row r="760" spans="1:16" x14ac:dyDescent="0.2">
      <c r="A760" s="47" t="str">
        <v>0:00</v>
      </c>
      <c r="B760" s="103"/>
      <c r="C760" s="125"/>
      <c r="D760" s="125"/>
      <c r="E760" s="125"/>
      <c r="F760" s="125"/>
      <c r="G760" s="125"/>
      <c r="H760" s="125"/>
      <c r="I760" s="125"/>
      <c r="J760" s="125"/>
      <c r="K760" s="125"/>
      <c r="L760" s="125"/>
      <c r="M760" s="125"/>
      <c r="N760" s="125"/>
      <c r="O760" s="125"/>
      <c r="P760" s="125"/>
    </row>
    <row r="761" spans="1:16" x14ac:dyDescent="0.2">
      <c r="A761" s="47" t="str">
        <v>0:00</v>
      </c>
      <c r="B761" s="103"/>
      <c r="C761" s="125"/>
      <c r="D761" s="125"/>
      <c r="E761" s="125"/>
      <c r="F761" s="125"/>
      <c r="G761" s="125"/>
      <c r="H761" s="125"/>
      <c r="I761" s="125"/>
      <c r="J761" s="125"/>
      <c r="K761" s="125"/>
      <c r="L761" s="125"/>
      <c r="M761" s="125"/>
      <c r="N761" s="125"/>
      <c r="O761" s="125"/>
      <c r="P761" s="125"/>
    </row>
    <row r="762" spans="1:16" x14ac:dyDescent="0.2">
      <c r="A762" s="47" t="str">
        <v>0:00</v>
      </c>
      <c r="B762" s="103"/>
      <c r="C762" s="125"/>
      <c r="D762" s="125"/>
      <c r="E762" s="125"/>
      <c r="F762" s="125"/>
      <c r="G762" s="125"/>
      <c r="H762" s="125"/>
      <c r="I762" s="125"/>
      <c r="J762" s="125"/>
      <c r="K762" s="125"/>
      <c r="L762" s="125"/>
      <c r="M762" s="125"/>
      <c r="N762" s="125"/>
      <c r="O762" s="125"/>
      <c r="P762" s="125"/>
    </row>
    <row r="763" spans="1:16" x14ac:dyDescent="0.2">
      <c r="A763" s="47" t="str">
        <v>0:00</v>
      </c>
      <c r="B763" s="103"/>
      <c r="C763" s="125"/>
      <c r="D763" s="125"/>
      <c r="E763" s="125"/>
      <c r="F763" s="125"/>
      <c r="G763" s="125"/>
      <c r="H763" s="125"/>
      <c r="I763" s="125"/>
      <c r="J763" s="125"/>
      <c r="K763" s="125"/>
      <c r="L763" s="125"/>
      <c r="M763" s="125"/>
      <c r="N763" s="125"/>
      <c r="O763" s="125"/>
      <c r="P763" s="125"/>
    </row>
    <row r="764" spans="1:16" x14ac:dyDescent="0.2">
      <c r="A764" s="47" t="str">
        <v>0:00</v>
      </c>
      <c r="B764" s="103"/>
      <c r="C764" s="125"/>
      <c r="D764" s="125"/>
      <c r="E764" s="125"/>
      <c r="F764" s="125"/>
      <c r="G764" s="125"/>
      <c r="H764" s="125"/>
      <c r="I764" s="125"/>
      <c r="J764" s="125"/>
      <c r="K764" s="125"/>
      <c r="L764" s="125"/>
      <c r="M764" s="125"/>
      <c r="N764" s="125"/>
      <c r="O764" s="125"/>
      <c r="P764" s="125"/>
    </row>
    <row r="765" spans="1:16" x14ac:dyDescent="0.2">
      <c r="A765" s="47" t="str">
        <v>0:00</v>
      </c>
      <c r="B765" s="103"/>
      <c r="C765" s="125"/>
      <c r="D765" s="125"/>
      <c r="E765" s="125"/>
      <c r="F765" s="125"/>
      <c r="G765" s="125"/>
      <c r="H765" s="125"/>
      <c r="I765" s="125"/>
      <c r="J765" s="125"/>
      <c r="K765" s="125"/>
      <c r="L765" s="125"/>
      <c r="M765" s="125"/>
      <c r="N765" s="125"/>
      <c r="O765" s="125"/>
      <c r="P765" s="125"/>
    </row>
    <row r="766" spans="1:16" x14ac:dyDescent="0.2">
      <c r="A766" s="47" t="str">
        <v>0:00</v>
      </c>
      <c r="B766" s="103"/>
      <c r="C766" s="125"/>
      <c r="D766" s="125"/>
      <c r="E766" s="125"/>
      <c r="F766" s="125"/>
      <c r="G766" s="125"/>
      <c r="H766" s="125"/>
      <c r="I766" s="125"/>
      <c r="J766" s="125"/>
      <c r="K766" s="125"/>
      <c r="L766" s="125"/>
      <c r="M766" s="125"/>
      <c r="N766" s="125"/>
      <c r="O766" s="125"/>
      <c r="P766" s="125"/>
    </row>
    <row r="767" spans="1:16" x14ac:dyDescent="0.2">
      <c r="A767" s="47" t="str">
        <v>0:00</v>
      </c>
      <c r="B767" s="103"/>
      <c r="C767" s="125"/>
      <c r="D767" s="125"/>
      <c r="E767" s="125"/>
      <c r="F767" s="125"/>
      <c r="G767" s="125"/>
      <c r="H767" s="125"/>
      <c r="I767" s="125"/>
      <c r="J767" s="125"/>
      <c r="K767" s="125"/>
      <c r="L767" s="125"/>
      <c r="M767" s="125"/>
      <c r="N767" s="125"/>
      <c r="O767" s="125"/>
      <c r="P767" s="125"/>
    </row>
    <row r="768" spans="1:16" x14ac:dyDescent="0.2">
      <c r="A768" s="47" t="str">
        <v>0:00</v>
      </c>
      <c r="B768" s="103"/>
      <c r="C768" s="125"/>
      <c r="D768" s="125"/>
      <c r="E768" s="125"/>
      <c r="F768" s="125"/>
      <c r="G768" s="125"/>
      <c r="H768" s="125"/>
      <c r="I768" s="125"/>
      <c r="J768" s="125"/>
      <c r="K768" s="125"/>
      <c r="L768" s="125"/>
      <c r="M768" s="125"/>
      <c r="N768" s="125"/>
      <c r="O768" s="125"/>
      <c r="P768" s="125"/>
    </row>
    <row r="769" spans="1:16" x14ac:dyDescent="0.2">
      <c r="A769" s="47" t="str">
        <v>0:00</v>
      </c>
      <c r="B769" s="103"/>
      <c r="C769" s="125"/>
      <c r="D769" s="125"/>
      <c r="E769" s="125"/>
      <c r="F769" s="125"/>
      <c r="G769" s="125"/>
      <c r="H769" s="125"/>
      <c r="I769" s="125"/>
      <c r="J769" s="125"/>
      <c r="K769" s="125"/>
      <c r="L769" s="125"/>
      <c r="M769" s="125"/>
      <c r="N769" s="125"/>
      <c r="O769" s="125"/>
      <c r="P769" s="125"/>
    </row>
    <row r="770" spans="1:16" x14ac:dyDescent="0.2">
      <c r="A770" s="47" t="str">
        <v>0:00</v>
      </c>
      <c r="B770" s="103"/>
      <c r="C770" s="125"/>
      <c r="D770" s="125"/>
      <c r="E770" s="125"/>
      <c r="F770" s="125"/>
      <c r="G770" s="125"/>
      <c r="H770" s="125"/>
      <c r="I770" s="125"/>
      <c r="J770" s="125"/>
      <c r="K770" s="125"/>
      <c r="L770" s="125"/>
      <c r="M770" s="125"/>
      <c r="N770" s="125"/>
      <c r="O770" s="125"/>
      <c r="P770" s="125"/>
    </row>
    <row r="771" spans="1:16" x14ac:dyDescent="0.2">
      <c r="A771" s="47" t="str">
        <v>0:00</v>
      </c>
      <c r="B771" s="103"/>
      <c r="C771" s="125"/>
      <c r="D771" s="125"/>
      <c r="E771" s="125"/>
      <c r="F771" s="125"/>
      <c r="G771" s="125"/>
      <c r="H771" s="125"/>
      <c r="I771" s="125"/>
      <c r="J771" s="125"/>
      <c r="K771" s="125"/>
      <c r="L771" s="125"/>
      <c r="M771" s="125"/>
      <c r="N771" s="125"/>
      <c r="O771" s="125"/>
      <c r="P771" s="125"/>
    </row>
    <row r="772" spans="1:16" x14ac:dyDescent="0.2">
      <c r="A772" s="47" t="str">
        <v>0:00</v>
      </c>
      <c r="B772" s="103"/>
      <c r="C772" s="125"/>
      <c r="D772" s="125"/>
      <c r="E772" s="125"/>
      <c r="F772" s="125"/>
      <c r="G772" s="125"/>
      <c r="H772" s="125"/>
      <c r="I772" s="125"/>
      <c r="J772" s="125"/>
      <c r="K772" s="125"/>
      <c r="L772" s="125"/>
      <c r="M772" s="125"/>
      <c r="N772" s="125"/>
      <c r="O772" s="125"/>
      <c r="P772" s="125"/>
    </row>
    <row r="773" spans="1:16" x14ac:dyDescent="0.2">
      <c r="A773" s="47" t="str">
        <v>0:00</v>
      </c>
      <c r="B773" s="103"/>
      <c r="C773" s="125"/>
      <c r="D773" s="125"/>
      <c r="E773" s="125"/>
      <c r="F773" s="125"/>
      <c r="G773" s="125"/>
      <c r="H773" s="125"/>
      <c r="I773" s="125"/>
      <c r="J773" s="125"/>
      <c r="K773" s="125"/>
      <c r="L773" s="125"/>
      <c r="M773" s="125"/>
      <c r="N773" s="125"/>
      <c r="O773" s="125"/>
      <c r="P773" s="125"/>
    </row>
    <row r="774" spans="1:16" x14ac:dyDescent="0.2">
      <c r="A774" s="47" t="str">
        <v>0:00</v>
      </c>
      <c r="B774" s="103"/>
      <c r="C774" s="125"/>
      <c r="D774" s="125"/>
      <c r="E774" s="125"/>
      <c r="F774" s="125"/>
      <c r="G774" s="125"/>
      <c r="H774" s="125"/>
      <c r="I774" s="125"/>
      <c r="J774" s="125"/>
      <c r="K774" s="125"/>
      <c r="L774" s="125"/>
      <c r="M774" s="125"/>
      <c r="N774" s="125"/>
      <c r="O774" s="125"/>
      <c r="P774" s="125"/>
    </row>
    <row r="775" spans="1:16" x14ac:dyDescent="0.2">
      <c r="A775" s="47" t="str">
        <v>0:00</v>
      </c>
      <c r="B775" s="103"/>
      <c r="C775" s="125"/>
      <c r="D775" s="125"/>
      <c r="E775" s="125"/>
      <c r="F775" s="125"/>
      <c r="G775" s="125"/>
      <c r="H775" s="125"/>
      <c r="I775" s="125"/>
      <c r="J775" s="125"/>
      <c r="K775" s="125"/>
      <c r="L775" s="125"/>
      <c r="M775" s="125"/>
      <c r="N775" s="125"/>
      <c r="O775" s="125"/>
      <c r="P775" s="125"/>
    </row>
    <row r="776" spans="1:16" x14ac:dyDescent="0.2">
      <c r="A776" s="47" t="str">
        <v>0:00</v>
      </c>
      <c r="B776" s="103"/>
      <c r="C776" s="125"/>
      <c r="D776" s="125"/>
      <c r="E776" s="125"/>
      <c r="F776" s="125"/>
      <c r="G776" s="125"/>
      <c r="H776" s="125"/>
      <c r="I776" s="125"/>
      <c r="J776" s="125"/>
      <c r="K776" s="125"/>
      <c r="L776" s="125"/>
      <c r="M776" s="125"/>
      <c r="N776" s="125"/>
      <c r="O776" s="125"/>
      <c r="P776" s="125"/>
    </row>
    <row r="777" spans="1:16" x14ac:dyDescent="0.2">
      <c r="A777" s="47" t="str">
        <v>0:00</v>
      </c>
      <c r="B777" s="103"/>
      <c r="C777" s="125"/>
      <c r="D777" s="125"/>
      <c r="E777" s="125"/>
      <c r="F777" s="125"/>
      <c r="G777" s="125"/>
      <c r="H777" s="125"/>
      <c r="I777" s="125"/>
      <c r="J777" s="125"/>
      <c r="K777" s="125"/>
      <c r="L777" s="125"/>
      <c r="M777" s="125"/>
      <c r="N777" s="125"/>
      <c r="O777" s="125"/>
      <c r="P777" s="125"/>
    </row>
    <row r="778" spans="1:16" x14ac:dyDescent="0.2">
      <c r="A778" s="47" t="str">
        <v>0:00</v>
      </c>
      <c r="B778" s="103"/>
      <c r="C778" s="125"/>
      <c r="D778" s="125"/>
      <c r="E778" s="125"/>
      <c r="F778" s="125"/>
      <c r="G778" s="125"/>
      <c r="H778" s="125"/>
      <c r="I778" s="125"/>
      <c r="J778" s="125"/>
      <c r="K778" s="125"/>
      <c r="L778" s="125"/>
      <c r="M778" s="125"/>
      <c r="N778" s="125"/>
      <c r="O778" s="125"/>
      <c r="P778" s="125"/>
    </row>
    <row r="779" spans="1:16" x14ac:dyDescent="0.2">
      <c r="A779" s="47" t="str">
        <v>0:00</v>
      </c>
      <c r="B779" s="103"/>
      <c r="C779" s="125"/>
      <c r="D779" s="125"/>
      <c r="E779" s="125"/>
      <c r="F779" s="125"/>
      <c r="G779" s="125"/>
      <c r="H779" s="125"/>
      <c r="I779" s="125"/>
      <c r="J779" s="125"/>
      <c r="K779" s="125"/>
      <c r="L779" s="125"/>
      <c r="M779" s="125"/>
      <c r="N779" s="125"/>
      <c r="O779" s="125"/>
      <c r="P779" s="125"/>
    </row>
    <row r="780" spans="1:16" x14ac:dyDescent="0.2">
      <c r="A780" s="47" t="str">
        <v>0:00</v>
      </c>
      <c r="B780" s="103"/>
      <c r="C780" s="125"/>
      <c r="D780" s="125"/>
      <c r="E780" s="125"/>
      <c r="F780" s="125"/>
      <c r="G780" s="125"/>
      <c r="H780" s="125"/>
      <c r="I780" s="125"/>
      <c r="J780" s="125"/>
      <c r="K780" s="125"/>
      <c r="L780" s="125"/>
      <c r="M780" s="125"/>
      <c r="N780" s="125"/>
      <c r="O780" s="125"/>
      <c r="P780" s="125"/>
    </row>
    <row r="781" spans="1:16" x14ac:dyDescent="0.2">
      <c r="A781" s="47" t="str">
        <v>0:00</v>
      </c>
      <c r="B781" s="103"/>
      <c r="C781" s="125"/>
      <c r="D781" s="125"/>
      <c r="E781" s="125"/>
      <c r="F781" s="125"/>
      <c r="G781" s="125"/>
      <c r="H781" s="125"/>
      <c r="I781" s="125"/>
      <c r="J781" s="125"/>
      <c r="K781" s="125"/>
      <c r="L781" s="125"/>
      <c r="M781" s="125"/>
      <c r="N781" s="125"/>
      <c r="O781" s="125"/>
      <c r="P781" s="125"/>
    </row>
    <row r="782" spans="1:16" x14ac:dyDescent="0.2">
      <c r="A782" s="47" t="str">
        <v>0:00</v>
      </c>
      <c r="B782" s="103"/>
      <c r="C782" s="125"/>
      <c r="D782" s="125"/>
      <c r="E782" s="125"/>
      <c r="F782" s="125"/>
      <c r="G782" s="125"/>
      <c r="H782" s="125"/>
      <c r="I782" s="125"/>
      <c r="J782" s="125"/>
      <c r="K782" s="125"/>
      <c r="L782" s="125"/>
      <c r="M782" s="125"/>
      <c r="N782" s="125"/>
      <c r="O782" s="125"/>
      <c r="P782" s="125"/>
    </row>
    <row r="783" spans="1:16" x14ac:dyDescent="0.2">
      <c r="A783" s="47" t="str">
        <v>0:00</v>
      </c>
      <c r="B783" s="103"/>
      <c r="C783" s="125"/>
      <c r="D783" s="125"/>
      <c r="E783" s="125"/>
      <c r="F783" s="125"/>
      <c r="G783" s="125"/>
      <c r="H783" s="125"/>
      <c r="I783" s="125"/>
      <c r="J783" s="125"/>
      <c r="K783" s="125"/>
      <c r="L783" s="125"/>
      <c r="M783" s="125"/>
      <c r="N783" s="125"/>
      <c r="O783" s="125"/>
      <c r="P783" s="125"/>
    </row>
    <row r="784" spans="1:16" x14ac:dyDescent="0.2">
      <c r="A784" s="47" t="str">
        <v>0:00</v>
      </c>
      <c r="B784" s="103"/>
      <c r="C784" s="125"/>
      <c r="D784" s="125"/>
      <c r="E784" s="125"/>
      <c r="F784" s="125"/>
      <c r="G784" s="125"/>
      <c r="H784" s="125"/>
      <c r="I784" s="125"/>
      <c r="J784" s="125"/>
      <c r="K784" s="125"/>
      <c r="L784" s="125"/>
      <c r="M784" s="125"/>
      <c r="N784" s="125"/>
      <c r="O784" s="125"/>
      <c r="P784" s="125"/>
    </row>
    <row r="785" spans="1:16" x14ac:dyDescent="0.2">
      <c r="A785" s="47" t="str">
        <v>0:00</v>
      </c>
      <c r="B785" s="103"/>
      <c r="C785" s="125"/>
      <c r="D785" s="125"/>
      <c r="E785" s="125"/>
      <c r="F785" s="125"/>
      <c r="G785" s="125"/>
      <c r="H785" s="125"/>
      <c r="I785" s="125"/>
      <c r="J785" s="125"/>
      <c r="K785" s="125"/>
      <c r="L785" s="125"/>
      <c r="M785" s="125"/>
      <c r="N785" s="125"/>
      <c r="O785" s="125"/>
      <c r="P785" s="125"/>
    </row>
    <row r="786" spans="1:16" x14ac:dyDescent="0.2">
      <c r="A786" s="47" t="str">
        <v>0:00</v>
      </c>
      <c r="B786" s="103"/>
      <c r="C786" s="125"/>
      <c r="D786" s="125"/>
      <c r="E786" s="125"/>
      <c r="F786" s="125"/>
      <c r="G786" s="125"/>
      <c r="H786" s="125"/>
      <c r="I786" s="125"/>
      <c r="J786" s="125"/>
      <c r="K786" s="125"/>
      <c r="L786" s="125"/>
      <c r="M786" s="125"/>
      <c r="N786" s="125"/>
      <c r="O786" s="125"/>
      <c r="P786" s="125"/>
    </row>
    <row r="787" spans="1:16" x14ac:dyDescent="0.2">
      <c r="A787" s="47" t="str">
        <v>0:00</v>
      </c>
      <c r="B787" s="103"/>
      <c r="C787" s="125"/>
      <c r="D787" s="125"/>
      <c r="E787" s="125"/>
      <c r="F787" s="125"/>
      <c r="G787" s="125"/>
      <c r="H787" s="125"/>
      <c r="I787" s="125"/>
      <c r="J787" s="125"/>
      <c r="K787" s="125"/>
      <c r="L787" s="125"/>
      <c r="M787" s="125"/>
      <c r="N787" s="125"/>
      <c r="O787" s="125"/>
      <c r="P787" s="125"/>
    </row>
    <row r="788" spans="1:16" x14ac:dyDescent="0.2">
      <c r="A788" s="47" t="str">
        <v>0:00</v>
      </c>
      <c r="B788" s="103"/>
      <c r="C788" s="125"/>
      <c r="D788" s="125"/>
      <c r="E788" s="125"/>
      <c r="F788" s="125"/>
      <c r="G788" s="125"/>
      <c r="H788" s="125"/>
      <c r="I788" s="125"/>
      <c r="J788" s="125"/>
      <c r="K788" s="125"/>
      <c r="L788" s="125"/>
      <c r="M788" s="125"/>
      <c r="N788" s="125"/>
      <c r="O788" s="125"/>
      <c r="P788" s="125"/>
    </row>
    <row r="789" spans="1:16" x14ac:dyDescent="0.2">
      <c r="A789" s="47" t="str">
        <v>0:00</v>
      </c>
      <c r="B789" s="103"/>
      <c r="C789" s="125"/>
      <c r="D789" s="125"/>
      <c r="E789" s="125"/>
      <c r="F789" s="125"/>
      <c r="G789" s="125"/>
      <c r="H789" s="125"/>
      <c r="I789" s="125"/>
      <c r="J789" s="125"/>
      <c r="K789" s="125"/>
      <c r="L789" s="125"/>
      <c r="M789" s="125"/>
      <c r="N789" s="125"/>
      <c r="O789" s="125"/>
      <c r="P789" s="125"/>
    </row>
    <row r="790" spans="1:16" x14ac:dyDescent="0.2">
      <c r="A790" s="47" t="str">
        <v>0:00</v>
      </c>
      <c r="B790" s="103"/>
      <c r="C790" s="125"/>
      <c r="D790" s="125"/>
      <c r="E790" s="125"/>
      <c r="F790" s="125"/>
      <c r="G790" s="125"/>
      <c r="H790" s="125"/>
      <c r="I790" s="125"/>
      <c r="J790" s="125"/>
      <c r="K790" s="125"/>
      <c r="L790" s="125"/>
      <c r="M790" s="125"/>
      <c r="N790" s="125"/>
      <c r="O790" s="125"/>
      <c r="P790" s="125"/>
    </row>
    <row r="791" spans="1:16" x14ac:dyDescent="0.2">
      <c r="A791" s="47" t="str">
        <v>0:00</v>
      </c>
      <c r="B791" s="103"/>
      <c r="C791" s="125"/>
      <c r="D791" s="125"/>
      <c r="E791" s="125"/>
      <c r="F791" s="125"/>
      <c r="G791" s="125"/>
      <c r="H791" s="125"/>
      <c r="I791" s="125"/>
      <c r="J791" s="125"/>
      <c r="K791" s="125"/>
      <c r="L791" s="125"/>
      <c r="M791" s="125"/>
      <c r="N791" s="125"/>
      <c r="O791" s="125"/>
      <c r="P791" s="125"/>
    </row>
    <row r="792" spans="1:16" x14ac:dyDescent="0.2">
      <c r="A792" s="47" t="str">
        <v>0:00</v>
      </c>
      <c r="B792" s="103"/>
      <c r="C792" s="125"/>
      <c r="D792" s="125"/>
      <c r="E792" s="125"/>
      <c r="F792" s="125"/>
      <c r="G792" s="125"/>
      <c r="H792" s="125"/>
      <c r="I792" s="125"/>
      <c r="J792" s="125"/>
      <c r="K792" s="125"/>
      <c r="L792" s="125"/>
      <c r="M792" s="125"/>
      <c r="N792" s="125"/>
      <c r="O792" s="125"/>
      <c r="P792" s="125"/>
    </row>
    <row r="793" spans="1:16" x14ac:dyDescent="0.2">
      <c r="A793" s="47" t="str">
        <v>0:00</v>
      </c>
      <c r="B793" s="103"/>
      <c r="C793" s="125"/>
      <c r="D793" s="125"/>
      <c r="E793" s="125"/>
      <c r="F793" s="125"/>
      <c r="G793" s="125"/>
      <c r="H793" s="125"/>
      <c r="I793" s="125"/>
      <c r="J793" s="125"/>
      <c r="K793" s="125"/>
      <c r="L793" s="125"/>
      <c r="M793" s="125"/>
      <c r="N793" s="125"/>
      <c r="O793" s="125"/>
      <c r="P793" s="125"/>
    </row>
    <row r="794" spans="1:16" x14ac:dyDescent="0.2">
      <c r="A794" s="47" t="str">
        <v>0:00</v>
      </c>
      <c r="B794" s="103"/>
      <c r="C794" s="125"/>
      <c r="D794" s="125"/>
      <c r="E794" s="125"/>
      <c r="F794" s="125"/>
      <c r="G794" s="125"/>
      <c r="H794" s="125"/>
      <c r="I794" s="125"/>
      <c r="J794" s="125"/>
      <c r="K794" s="125"/>
      <c r="L794" s="125"/>
      <c r="M794" s="125"/>
      <c r="N794" s="125"/>
      <c r="O794" s="125"/>
      <c r="P794" s="125"/>
    </row>
    <row r="795" spans="1:16" x14ac:dyDescent="0.2">
      <c r="A795" s="47" t="str">
        <v>0:00</v>
      </c>
      <c r="B795" s="103"/>
      <c r="C795" s="125"/>
      <c r="D795" s="125"/>
      <c r="E795" s="125"/>
      <c r="F795" s="125"/>
      <c r="G795" s="125"/>
      <c r="H795" s="125"/>
      <c r="I795" s="125"/>
      <c r="J795" s="125"/>
      <c r="K795" s="125"/>
      <c r="L795" s="125"/>
      <c r="M795" s="125"/>
      <c r="N795" s="125"/>
      <c r="O795" s="125"/>
      <c r="P795" s="125"/>
    </row>
    <row r="796" spans="1:16" x14ac:dyDescent="0.2">
      <c r="A796" s="47" t="str">
        <v>0:00</v>
      </c>
      <c r="B796" s="103"/>
      <c r="C796" s="125"/>
      <c r="D796" s="125"/>
      <c r="E796" s="125"/>
      <c r="F796" s="125"/>
      <c r="G796" s="125"/>
      <c r="H796" s="125"/>
      <c r="I796" s="125"/>
      <c r="J796" s="125"/>
      <c r="K796" s="125"/>
      <c r="L796" s="125"/>
      <c r="M796" s="125"/>
      <c r="N796" s="125"/>
      <c r="O796" s="125"/>
      <c r="P796" s="125"/>
    </row>
    <row r="797" spans="1:16" x14ac:dyDescent="0.2">
      <c r="A797" s="47" t="str">
        <v>0:00</v>
      </c>
      <c r="B797" s="103"/>
      <c r="C797" s="125"/>
      <c r="D797" s="125"/>
      <c r="E797" s="125"/>
      <c r="F797" s="125"/>
      <c r="G797" s="125"/>
      <c r="H797" s="125"/>
      <c r="I797" s="125"/>
      <c r="J797" s="125"/>
      <c r="K797" s="125"/>
      <c r="L797" s="125"/>
      <c r="M797" s="125"/>
      <c r="N797" s="125"/>
      <c r="O797" s="125"/>
      <c r="P797" s="125"/>
    </row>
    <row r="798" spans="1:16" x14ac:dyDescent="0.2">
      <c r="A798" s="47" t="str">
        <v>0:00</v>
      </c>
      <c r="B798" s="103"/>
      <c r="C798" s="125"/>
      <c r="D798" s="125"/>
      <c r="E798" s="125"/>
      <c r="F798" s="125"/>
      <c r="G798" s="125"/>
      <c r="H798" s="125"/>
      <c r="I798" s="125"/>
      <c r="J798" s="125"/>
      <c r="K798" s="125"/>
      <c r="L798" s="125"/>
      <c r="M798" s="125"/>
      <c r="N798" s="125"/>
      <c r="O798" s="125"/>
      <c r="P798" s="125"/>
    </row>
    <row r="799" spans="1:16" x14ac:dyDescent="0.2">
      <c r="A799" s="47" t="str">
        <v>0:00</v>
      </c>
      <c r="B799" s="103"/>
      <c r="C799" s="125"/>
      <c r="D799" s="125"/>
      <c r="E799" s="125"/>
      <c r="F799" s="125"/>
      <c r="G799" s="125"/>
      <c r="H799" s="125"/>
      <c r="I799" s="125"/>
      <c r="J799" s="125"/>
      <c r="K799" s="125"/>
      <c r="L799" s="125"/>
      <c r="M799" s="125"/>
      <c r="N799" s="125"/>
      <c r="O799" s="125"/>
      <c r="P799" s="125"/>
    </row>
    <row r="800" spans="1:16" x14ac:dyDescent="0.2">
      <c r="A800" s="47" t="str">
        <v>0:00</v>
      </c>
      <c r="B800" s="103"/>
      <c r="C800" s="125"/>
      <c r="D800" s="125"/>
      <c r="E800" s="125"/>
      <c r="F800" s="125"/>
      <c r="G800" s="125"/>
      <c r="H800" s="125"/>
      <c r="I800" s="125"/>
      <c r="J800" s="125"/>
      <c r="K800" s="125"/>
      <c r="L800" s="125"/>
      <c r="M800" s="125"/>
      <c r="N800" s="125"/>
      <c r="O800" s="125"/>
      <c r="P800" s="125"/>
    </row>
    <row r="801" spans="1:16" x14ac:dyDescent="0.2">
      <c r="A801" s="47" t="str">
        <v>0:00</v>
      </c>
      <c r="B801" s="103"/>
      <c r="C801" s="125"/>
      <c r="D801" s="125"/>
      <c r="E801" s="125"/>
      <c r="F801" s="125"/>
      <c r="G801" s="125"/>
      <c r="H801" s="125"/>
      <c r="I801" s="125"/>
      <c r="J801" s="125"/>
      <c r="K801" s="125"/>
      <c r="L801" s="125"/>
      <c r="M801" s="125"/>
      <c r="N801" s="125"/>
      <c r="O801" s="125"/>
      <c r="P801" s="125"/>
    </row>
    <row r="802" spans="1:16" x14ac:dyDescent="0.2">
      <c r="A802" s="47" t="str">
        <v>0:00</v>
      </c>
      <c r="B802" s="103"/>
      <c r="C802" s="125"/>
      <c r="D802" s="125"/>
      <c r="E802" s="125"/>
      <c r="F802" s="125"/>
      <c r="G802" s="125"/>
      <c r="H802" s="125"/>
      <c r="I802" s="125"/>
      <c r="J802" s="125"/>
      <c r="K802" s="125"/>
      <c r="L802" s="125"/>
      <c r="M802" s="125"/>
      <c r="N802" s="125"/>
      <c r="O802" s="125"/>
      <c r="P802" s="125"/>
    </row>
    <row r="803" spans="1:16" x14ac:dyDescent="0.2">
      <c r="A803" s="47" t="str">
        <v>0:00</v>
      </c>
      <c r="B803" s="103"/>
      <c r="C803" s="125"/>
      <c r="D803" s="125"/>
      <c r="E803" s="125"/>
      <c r="F803" s="125"/>
      <c r="G803" s="125"/>
      <c r="H803" s="125"/>
      <c r="I803" s="125"/>
      <c r="J803" s="125"/>
      <c r="K803" s="125"/>
      <c r="L803" s="125"/>
      <c r="M803" s="125"/>
      <c r="N803" s="125"/>
      <c r="O803" s="125"/>
      <c r="P803" s="125"/>
    </row>
    <row r="804" spans="1:16" x14ac:dyDescent="0.2">
      <c r="A804" s="47" t="str">
        <v>0:00</v>
      </c>
      <c r="B804" s="103"/>
      <c r="C804" s="125"/>
      <c r="D804" s="125"/>
      <c r="E804" s="125"/>
      <c r="F804" s="125"/>
      <c r="G804" s="125"/>
      <c r="H804" s="125"/>
      <c r="I804" s="125"/>
      <c r="J804" s="125"/>
      <c r="K804" s="125"/>
      <c r="L804" s="125"/>
      <c r="M804" s="125"/>
      <c r="N804" s="125"/>
      <c r="O804" s="125"/>
      <c r="P804" s="125"/>
    </row>
    <row r="805" spans="1:16" x14ac:dyDescent="0.2">
      <c r="A805" s="47" t="str">
        <v>0:00</v>
      </c>
      <c r="B805" s="103"/>
      <c r="C805" s="125"/>
      <c r="D805" s="125"/>
      <c r="E805" s="125"/>
      <c r="F805" s="125"/>
      <c r="G805" s="125"/>
      <c r="H805" s="125"/>
      <c r="I805" s="125"/>
      <c r="J805" s="125"/>
      <c r="K805" s="125"/>
      <c r="L805" s="125"/>
      <c r="M805" s="125"/>
      <c r="N805" s="125"/>
      <c r="O805" s="125"/>
      <c r="P805" s="125"/>
    </row>
    <row r="806" spans="1:16" x14ac:dyDescent="0.2">
      <c r="A806" s="47" t="str">
        <v>0:00</v>
      </c>
      <c r="B806" s="103"/>
      <c r="C806" s="125"/>
      <c r="D806" s="125"/>
      <c r="E806" s="125"/>
      <c r="F806" s="125"/>
      <c r="G806" s="125"/>
      <c r="H806" s="125"/>
      <c r="I806" s="125"/>
      <c r="J806" s="125"/>
      <c r="K806" s="125"/>
      <c r="L806" s="125"/>
      <c r="M806" s="125"/>
      <c r="N806" s="125"/>
      <c r="O806" s="125"/>
      <c r="P806" s="125"/>
    </row>
    <row r="807" spans="1:16" x14ac:dyDescent="0.2">
      <c r="A807" s="47" t="str">
        <v>0:00</v>
      </c>
      <c r="B807" s="103"/>
      <c r="C807" s="125"/>
      <c r="D807" s="125"/>
      <c r="E807" s="125"/>
      <c r="F807" s="125"/>
      <c r="G807" s="125"/>
      <c r="H807" s="125"/>
      <c r="I807" s="125"/>
      <c r="J807" s="125"/>
      <c r="K807" s="125"/>
      <c r="L807" s="125"/>
      <c r="M807" s="125"/>
      <c r="N807" s="125"/>
      <c r="O807" s="125"/>
      <c r="P807" s="125"/>
    </row>
    <row r="808" spans="1:16" x14ac:dyDescent="0.2">
      <c r="A808" s="47" t="str">
        <v>0:00</v>
      </c>
      <c r="B808" s="103"/>
      <c r="C808" s="125"/>
      <c r="D808" s="125"/>
      <c r="E808" s="125"/>
      <c r="F808" s="125"/>
      <c r="G808" s="125"/>
      <c r="H808" s="125"/>
      <c r="I808" s="125"/>
      <c r="J808" s="125"/>
      <c r="K808" s="125"/>
      <c r="L808" s="125"/>
      <c r="M808" s="125"/>
      <c r="N808" s="125"/>
      <c r="O808" s="125"/>
      <c r="P808" s="125"/>
    </row>
    <row r="809" spans="1:16" x14ac:dyDescent="0.2">
      <c r="A809" s="47" t="str">
        <v>0:00</v>
      </c>
      <c r="B809" s="103"/>
      <c r="C809" s="125"/>
      <c r="D809" s="125"/>
      <c r="E809" s="125"/>
      <c r="F809" s="125"/>
      <c r="G809" s="125"/>
      <c r="H809" s="125"/>
      <c r="I809" s="125"/>
      <c r="J809" s="125"/>
      <c r="K809" s="125"/>
      <c r="L809" s="125"/>
      <c r="M809" s="125"/>
      <c r="N809" s="125"/>
      <c r="O809" s="125"/>
      <c r="P809" s="125"/>
    </row>
    <row r="810" spans="1:16" x14ac:dyDescent="0.2">
      <c r="A810" s="47" t="str">
        <v>0:00</v>
      </c>
      <c r="B810" s="103"/>
      <c r="C810" s="125"/>
      <c r="D810" s="125"/>
      <c r="E810" s="125"/>
      <c r="F810" s="125"/>
      <c r="G810" s="125"/>
      <c r="H810" s="125"/>
      <c r="I810" s="125"/>
      <c r="J810" s="125"/>
      <c r="K810" s="125"/>
      <c r="L810" s="125"/>
      <c r="M810" s="125"/>
      <c r="N810" s="125"/>
      <c r="O810" s="125"/>
      <c r="P810" s="125"/>
    </row>
    <row r="811" spans="1:16" x14ac:dyDescent="0.2">
      <c r="A811" s="47" t="str">
        <v>0:00</v>
      </c>
      <c r="B811" s="103"/>
      <c r="C811" s="125"/>
      <c r="D811" s="125"/>
      <c r="E811" s="125"/>
      <c r="F811" s="125"/>
      <c r="G811" s="125"/>
      <c r="H811" s="125"/>
      <c r="I811" s="125"/>
      <c r="J811" s="125"/>
      <c r="K811" s="125"/>
      <c r="L811" s="125"/>
      <c r="M811" s="125"/>
      <c r="N811" s="125"/>
      <c r="O811" s="125"/>
      <c r="P811" s="125"/>
    </row>
    <row r="812" spans="1:16" x14ac:dyDescent="0.2">
      <c r="A812" s="47" t="str">
        <v>0:00</v>
      </c>
      <c r="B812" s="103"/>
      <c r="C812" s="125"/>
      <c r="D812" s="125"/>
      <c r="E812" s="125"/>
      <c r="F812" s="125"/>
      <c r="G812" s="125"/>
      <c r="H812" s="125"/>
      <c r="I812" s="125"/>
      <c r="J812" s="125"/>
      <c r="K812" s="125"/>
      <c r="L812" s="125"/>
      <c r="M812" s="125"/>
      <c r="N812" s="125"/>
      <c r="O812" s="125"/>
      <c r="P812" s="125"/>
    </row>
    <row r="813" spans="1:16" x14ac:dyDescent="0.2">
      <c r="A813" s="47" t="str">
        <v>0:00</v>
      </c>
      <c r="B813" s="103"/>
      <c r="C813" s="125"/>
      <c r="D813" s="125"/>
      <c r="E813" s="125"/>
      <c r="F813" s="125"/>
      <c r="G813" s="125"/>
      <c r="H813" s="125"/>
      <c r="I813" s="125"/>
      <c r="J813" s="125"/>
      <c r="K813" s="125"/>
      <c r="L813" s="125"/>
      <c r="M813" s="125"/>
      <c r="N813" s="125"/>
      <c r="O813" s="125"/>
      <c r="P813" s="125"/>
    </row>
    <row r="814" spans="1:16" x14ac:dyDescent="0.2">
      <c r="A814" s="47" t="str">
        <v>0:00</v>
      </c>
      <c r="B814" s="103"/>
      <c r="C814" s="125"/>
      <c r="D814" s="125"/>
      <c r="E814" s="125"/>
      <c r="F814" s="125"/>
      <c r="G814" s="125"/>
      <c r="H814" s="125"/>
      <c r="I814" s="125"/>
      <c r="J814" s="125"/>
      <c r="K814" s="125"/>
      <c r="L814" s="125"/>
      <c r="M814" s="125"/>
      <c r="N814" s="125"/>
      <c r="O814" s="125"/>
      <c r="P814" s="125"/>
    </row>
    <row r="815" spans="1:16" x14ac:dyDescent="0.2">
      <c r="A815" s="47" t="str">
        <v>0:00</v>
      </c>
      <c r="B815" s="103"/>
      <c r="C815" s="125"/>
      <c r="D815" s="125"/>
      <c r="E815" s="125"/>
      <c r="F815" s="125"/>
      <c r="G815" s="125"/>
      <c r="H815" s="125"/>
      <c r="I815" s="125"/>
      <c r="J815" s="125"/>
      <c r="K815" s="125"/>
      <c r="L815" s="125"/>
      <c r="M815" s="125"/>
      <c r="N815" s="125"/>
      <c r="O815" s="125"/>
      <c r="P815" s="125"/>
    </row>
    <row r="816" spans="1:16" x14ac:dyDescent="0.2">
      <c r="A816" s="47" t="str">
        <v>0:00</v>
      </c>
      <c r="B816" s="103"/>
      <c r="C816" s="125"/>
      <c r="D816" s="125"/>
      <c r="E816" s="125"/>
      <c r="F816" s="125"/>
      <c r="G816" s="125"/>
      <c r="H816" s="125"/>
      <c r="I816" s="125"/>
      <c r="J816" s="125"/>
      <c r="K816" s="125"/>
      <c r="L816" s="125"/>
      <c r="M816" s="125"/>
      <c r="N816" s="125"/>
      <c r="O816" s="125"/>
      <c r="P816" s="125"/>
    </row>
    <row r="817" spans="1:16" x14ac:dyDescent="0.2">
      <c r="A817" s="47" t="str">
        <v>0:00</v>
      </c>
      <c r="B817" s="103"/>
      <c r="C817" s="125"/>
      <c r="D817" s="125"/>
      <c r="E817" s="125"/>
      <c r="F817" s="125"/>
      <c r="G817" s="125"/>
      <c r="H817" s="125"/>
      <c r="I817" s="125"/>
      <c r="J817" s="125"/>
      <c r="K817" s="125"/>
      <c r="L817" s="125"/>
      <c r="M817" s="125"/>
      <c r="N817" s="125"/>
      <c r="O817" s="125"/>
      <c r="P817" s="125"/>
    </row>
    <row r="818" spans="1:16" x14ac:dyDescent="0.2">
      <c r="A818" s="47" t="str">
        <v>0:00</v>
      </c>
      <c r="B818" s="103"/>
      <c r="C818" s="125"/>
      <c r="D818" s="125"/>
      <c r="E818" s="125"/>
      <c r="F818" s="125"/>
      <c r="G818" s="125"/>
      <c r="H818" s="125"/>
      <c r="I818" s="125"/>
      <c r="J818" s="125"/>
      <c r="K818" s="125"/>
      <c r="L818" s="125"/>
      <c r="M818" s="125"/>
      <c r="N818" s="125"/>
      <c r="O818" s="125"/>
      <c r="P818" s="125"/>
    </row>
    <row r="819" spans="1:16" x14ac:dyDescent="0.2">
      <c r="A819" s="47" t="str">
        <v>0:00</v>
      </c>
      <c r="B819" s="103"/>
      <c r="C819" s="125"/>
      <c r="D819" s="125"/>
      <c r="E819" s="125"/>
      <c r="F819" s="125"/>
      <c r="G819" s="125"/>
      <c r="H819" s="125"/>
      <c r="I819" s="125"/>
      <c r="J819" s="125"/>
      <c r="K819" s="125"/>
      <c r="L819" s="125"/>
      <c r="M819" s="125"/>
      <c r="N819" s="125"/>
      <c r="O819" s="125"/>
      <c r="P819" s="125"/>
    </row>
    <row r="820" spans="1:16" x14ac:dyDescent="0.2">
      <c r="A820" s="47" t="str">
        <v>0:00</v>
      </c>
      <c r="B820" s="103"/>
      <c r="C820" s="125"/>
      <c r="D820" s="125"/>
      <c r="E820" s="125"/>
      <c r="F820" s="125"/>
      <c r="G820" s="125"/>
      <c r="H820" s="125"/>
      <c r="I820" s="125"/>
      <c r="J820" s="125"/>
      <c r="K820" s="125"/>
      <c r="L820" s="125"/>
      <c r="M820" s="125"/>
      <c r="N820" s="125"/>
      <c r="O820" s="125"/>
      <c r="P820" s="125"/>
    </row>
    <row r="821" spans="1:16" x14ac:dyDescent="0.2">
      <c r="A821" s="47" t="str">
        <v>0:00</v>
      </c>
      <c r="B821" s="103"/>
      <c r="C821" s="125"/>
      <c r="D821" s="125"/>
      <c r="E821" s="125"/>
      <c r="F821" s="125"/>
      <c r="G821" s="125"/>
      <c r="H821" s="125"/>
      <c r="I821" s="125"/>
      <c r="J821" s="125"/>
      <c r="K821" s="125"/>
      <c r="L821" s="125"/>
      <c r="M821" s="125"/>
      <c r="N821" s="125"/>
      <c r="O821" s="125"/>
      <c r="P821" s="125"/>
    </row>
    <row r="822" spans="1:16" x14ac:dyDescent="0.2">
      <c r="A822" s="47" t="str">
        <v>0:00</v>
      </c>
      <c r="B822" s="103"/>
      <c r="C822" s="125"/>
      <c r="D822" s="125"/>
      <c r="E822" s="125"/>
      <c r="F822" s="125"/>
      <c r="G822" s="125"/>
      <c r="H822" s="125"/>
      <c r="I822" s="125"/>
      <c r="J822" s="125"/>
      <c r="K822" s="125"/>
      <c r="L822" s="125"/>
      <c r="M822" s="125"/>
      <c r="N822" s="125"/>
      <c r="O822" s="125"/>
      <c r="P822" s="125"/>
    </row>
    <row r="823" spans="1:16" x14ac:dyDescent="0.2">
      <c r="A823" s="47" t="str">
        <v>0:00</v>
      </c>
      <c r="B823" s="103"/>
      <c r="C823" s="125"/>
      <c r="D823" s="125"/>
      <c r="E823" s="125"/>
      <c r="F823" s="125"/>
      <c r="G823" s="125"/>
      <c r="H823" s="125"/>
      <c r="I823" s="125"/>
      <c r="J823" s="125"/>
      <c r="K823" s="125"/>
      <c r="L823" s="125"/>
      <c r="M823" s="125"/>
      <c r="N823" s="125"/>
      <c r="O823" s="125"/>
      <c r="P823" s="125"/>
    </row>
    <row r="824" spans="1:16" x14ac:dyDescent="0.2">
      <c r="A824" s="47" t="str">
        <v>0:00</v>
      </c>
      <c r="B824" s="103"/>
      <c r="C824" s="125"/>
      <c r="D824" s="125"/>
      <c r="E824" s="125"/>
      <c r="F824" s="125"/>
      <c r="G824" s="125"/>
      <c r="H824" s="125"/>
      <c r="I824" s="125"/>
      <c r="J824" s="125"/>
      <c r="K824" s="125"/>
      <c r="L824" s="125"/>
      <c r="M824" s="125"/>
      <c r="N824" s="125"/>
      <c r="O824" s="125"/>
      <c r="P824" s="125"/>
    </row>
    <row r="825" spans="1:16" x14ac:dyDescent="0.2">
      <c r="A825" s="47" t="str">
        <v>0:00</v>
      </c>
      <c r="B825" s="103"/>
      <c r="C825" s="125"/>
      <c r="D825" s="125"/>
      <c r="E825" s="125"/>
      <c r="F825" s="125"/>
      <c r="G825" s="125"/>
      <c r="H825" s="125"/>
      <c r="I825" s="125"/>
      <c r="J825" s="125"/>
      <c r="K825" s="125"/>
      <c r="L825" s="125"/>
      <c r="M825" s="125"/>
      <c r="N825" s="125"/>
      <c r="O825" s="125"/>
      <c r="P825" s="125"/>
    </row>
    <row r="826" spans="1:16" x14ac:dyDescent="0.2">
      <c r="A826" s="47" t="str">
        <v>0:00</v>
      </c>
      <c r="B826" s="103"/>
      <c r="C826" s="125"/>
      <c r="D826" s="125"/>
      <c r="E826" s="125"/>
      <c r="F826" s="125"/>
      <c r="G826" s="125"/>
      <c r="H826" s="125"/>
      <c r="I826" s="125"/>
      <c r="J826" s="125"/>
      <c r="K826" s="125"/>
      <c r="L826" s="125"/>
      <c r="M826" s="125"/>
      <c r="N826" s="125"/>
      <c r="O826" s="125"/>
      <c r="P826" s="125"/>
    </row>
    <row r="827" spans="1:16" x14ac:dyDescent="0.2">
      <c r="A827" s="47" t="str">
        <v>0:00</v>
      </c>
      <c r="B827" s="103"/>
      <c r="C827" s="125"/>
      <c r="D827" s="125"/>
      <c r="E827" s="125"/>
      <c r="F827" s="125"/>
      <c r="G827" s="125"/>
      <c r="H827" s="125"/>
      <c r="I827" s="125"/>
      <c r="J827" s="125"/>
      <c r="K827" s="125"/>
      <c r="L827" s="125"/>
      <c r="M827" s="125"/>
      <c r="N827" s="125"/>
      <c r="O827" s="125"/>
      <c r="P827" s="125"/>
    </row>
    <row r="828" spans="1:16" x14ac:dyDescent="0.2">
      <c r="A828" s="47" t="str">
        <v>0:00</v>
      </c>
      <c r="B828" s="103"/>
      <c r="C828" s="125"/>
      <c r="D828" s="125"/>
      <c r="E828" s="125"/>
      <c r="F828" s="125"/>
      <c r="G828" s="125"/>
      <c r="H828" s="125"/>
      <c r="I828" s="125"/>
      <c r="J828" s="125"/>
      <c r="K828" s="125"/>
      <c r="L828" s="125"/>
      <c r="M828" s="125"/>
      <c r="N828" s="125"/>
      <c r="O828" s="125"/>
      <c r="P828" s="125"/>
    </row>
    <row r="829" spans="1:16" x14ac:dyDescent="0.2">
      <c r="A829" s="47" t="str">
        <v>0:00</v>
      </c>
      <c r="B829" s="103"/>
      <c r="C829" s="125"/>
      <c r="D829" s="125"/>
      <c r="E829" s="125"/>
      <c r="F829" s="125"/>
      <c r="G829" s="125"/>
      <c r="H829" s="125"/>
      <c r="I829" s="125"/>
      <c r="J829" s="125"/>
      <c r="K829" s="125"/>
      <c r="L829" s="125"/>
      <c r="M829" s="125"/>
      <c r="N829" s="125"/>
      <c r="O829" s="125"/>
      <c r="P829" s="125"/>
    </row>
    <row r="830" spans="1:16" x14ac:dyDescent="0.2">
      <c r="A830" s="47" t="str">
        <v>0:00</v>
      </c>
      <c r="B830" s="103"/>
      <c r="C830" s="125"/>
      <c r="D830" s="125"/>
      <c r="E830" s="125"/>
      <c r="F830" s="125"/>
      <c r="G830" s="125"/>
      <c r="H830" s="125"/>
      <c r="I830" s="125"/>
      <c r="J830" s="125"/>
      <c r="K830" s="125"/>
      <c r="L830" s="125"/>
      <c r="M830" s="125"/>
      <c r="N830" s="125"/>
      <c r="O830" s="125"/>
      <c r="P830" s="125"/>
    </row>
    <row r="831" spans="1:16" x14ac:dyDescent="0.2">
      <c r="A831" s="47" t="str">
        <v>0:00</v>
      </c>
      <c r="B831" s="103"/>
      <c r="C831" s="125"/>
      <c r="D831" s="125"/>
      <c r="E831" s="125"/>
      <c r="F831" s="125"/>
      <c r="G831" s="125"/>
      <c r="H831" s="125"/>
      <c r="I831" s="125"/>
      <c r="J831" s="125"/>
      <c r="K831" s="125"/>
      <c r="L831" s="125"/>
      <c r="M831" s="125"/>
      <c r="N831" s="125"/>
      <c r="O831" s="125"/>
      <c r="P831" s="125"/>
    </row>
    <row r="832" spans="1:16" x14ac:dyDescent="0.2">
      <c r="A832" s="47" t="str">
        <v>0:00</v>
      </c>
      <c r="B832" s="103"/>
      <c r="C832" s="125"/>
      <c r="D832" s="125"/>
      <c r="E832" s="125"/>
      <c r="F832" s="125"/>
      <c r="G832" s="125"/>
      <c r="H832" s="125"/>
      <c r="I832" s="125"/>
      <c r="J832" s="125"/>
      <c r="K832" s="125"/>
      <c r="L832" s="125"/>
      <c r="M832" s="125"/>
      <c r="N832" s="125"/>
      <c r="O832" s="125"/>
      <c r="P832" s="125"/>
    </row>
    <row r="833" spans="1:16" x14ac:dyDescent="0.2">
      <c r="A833" s="47" t="str">
        <v>0:00</v>
      </c>
      <c r="B833" s="103"/>
      <c r="C833" s="125"/>
      <c r="D833" s="125"/>
      <c r="E833" s="125"/>
      <c r="F833" s="125"/>
      <c r="G833" s="125"/>
      <c r="H833" s="125"/>
      <c r="I833" s="125"/>
      <c r="J833" s="125"/>
      <c r="K833" s="125"/>
      <c r="L833" s="125"/>
      <c r="M833" s="125"/>
      <c r="N833" s="125"/>
      <c r="O833" s="125"/>
      <c r="P833" s="125"/>
    </row>
    <row r="834" spans="1:16" x14ac:dyDescent="0.2">
      <c r="A834" s="47" t="str">
        <v>0:00</v>
      </c>
      <c r="B834" s="103"/>
      <c r="C834" s="125"/>
      <c r="D834" s="125"/>
      <c r="E834" s="125"/>
      <c r="F834" s="125"/>
      <c r="G834" s="125"/>
      <c r="H834" s="125"/>
      <c r="I834" s="125"/>
      <c r="J834" s="125"/>
      <c r="K834" s="125"/>
      <c r="L834" s="125"/>
      <c r="M834" s="125"/>
      <c r="N834" s="125"/>
      <c r="O834" s="125"/>
      <c r="P834" s="125"/>
    </row>
    <row r="835" spans="1:16" x14ac:dyDescent="0.2">
      <c r="A835" s="47" t="str">
        <v>0:00</v>
      </c>
      <c r="B835" s="103"/>
      <c r="C835" s="125"/>
      <c r="D835" s="125"/>
      <c r="E835" s="125"/>
      <c r="F835" s="125"/>
      <c r="G835" s="125"/>
      <c r="H835" s="125"/>
      <c r="I835" s="125"/>
      <c r="J835" s="125"/>
      <c r="K835" s="125"/>
      <c r="L835" s="125"/>
      <c r="M835" s="125"/>
      <c r="N835" s="125"/>
      <c r="O835" s="125"/>
      <c r="P835" s="125"/>
    </row>
    <row r="836" spans="1:16" x14ac:dyDescent="0.2">
      <c r="A836" s="47" t="str">
        <v>0:00</v>
      </c>
      <c r="B836" s="103"/>
      <c r="C836" s="125"/>
      <c r="D836" s="125"/>
      <c r="E836" s="125"/>
      <c r="F836" s="125"/>
      <c r="G836" s="125"/>
      <c r="H836" s="125"/>
      <c r="I836" s="125"/>
      <c r="J836" s="125"/>
      <c r="K836" s="125"/>
      <c r="L836" s="125"/>
      <c r="M836" s="125"/>
      <c r="N836" s="125"/>
      <c r="O836" s="125"/>
      <c r="P836" s="125"/>
    </row>
    <row r="837" spans="1:16" x14ac:dyDescent="0.2">
      <c r="A837" s="47" t="str">
        <v>0:00</v>
      </c>
      <c r="B837" s="103"/>
      <c r="C837" s="125"/>
      <c r="D837" s="125"/>
      <c r="E837" s="125"/>
      <c r="F837" s="125"/>
      <c r="G837" s="125"/>
      <c r="H837" s="125"/>
      <c r="I837" s="125"/>
      <c r="J837" s="125"/>
      <c r="K837" s="125"/>
      <c r="L837" s="125"/>
      <c r="M837" s="125"/>
      <c r="N837" s="125"/>
      <c r="O837" s="125"/>
      <c r="P837" s="125"/>
    </row>
    <row r="838" spans="1:16" x14ac:dyDescent="0.2">
      <c r="A838" s="47" t="str">
        <v>0:00</v>
      </c>
      <c r="B838" s="103"/>
      <c r="C838" s="125"/>
      <c r="D838" s="125"/>
      <c r="E838" s="125"/>
      <c r="F838" s="125"/>
      <c r="G838" s="125"/>
      <c r="H838" s="125"/>
      <c r="I838" s="125"/>
      <c r="J838" s="125"/>
      <c r="K838" s="125"/>
      <c r="L838" s="125"/>
      <c r="M838" s="125"/>
      <c r="N838" s="125"/>
      <c r="O838" s="125"/>
      <c r="P838" s="125"/>
    </row>
    <row r="839" spans="1:16" x14ac:dyDescent="0.2">
      <c r="A839" s="47" t="str">
        <v>0:00</v>
      </c>
      <c r="B839" s="103"/>
      <c r="C839" s="125"/>
      <c r="D839" s="125"/>
      <c r="E839" s="125"/>
      <c r="F839" s="125"/>
      <c r="G839" s="125"/>
      <c r="H839" s="125"/>
      <c r="I839" s="125"/>
      <c r="J839" s="125"/>
      <c r="K839" s="125"/>
      <c r="L839" s="125"/>
      <c r="M839" s="125"/>
      <c r="N839" s="125"/>
      <c r="O839" s="125"/>
      <c r="P839" s="125"/>
    </row>
    <row r="840" spans="1:16" x14ac:dyDescent="0.2">
      <c r="A840" s="47" t="str">
        <v>0:00</v>
      </c>
      <c r="B840" s="103"/>
      <c r="C840" s="125"/>
      <c r="D840" s="125"/>
      <c r="E840" s="125"/>
      <c r="F840" s="125"/>
      <c r="G840" s="125"/>
      <c r="H840" s="125"/>
      <c r="I840" s="125"/>
      <c r="J840" s="125"/>
      <c r="K840" s="125"/>
      <c r="L840" s="125"/>
      <c r="M840" s="125"/>
      <c r="N840" s="125"/>
      <c r="O840" s="125"/>
      <c r="P840" s="125"/>
    </row>
    <row r="841" spans="1:16" x14ac:dyDescent="0.2">
      <c r="A841" s="47" t="str">
        <v>0:00</v>
      </c>
      <c r="B841" s="103"/>
      <c r="C841" s="125"/>
      <c r="D841" s="125"/>
      <c r="E841" s="125"/>
      <c r="F841" s="125"/>
      <c r="G841" s="125"/>
      <c r="H841" s="125"/>
      <c r="I841" s="125"/>
      <c r="J841" s="125"/>
      <c r="K841" s="125"/>
      <c r="L841" s="125"/>
      <c r="M841" s="125"/>
      <c r="N841" s="125"/>
      <c r="O841" s="125"/>
      <c r="P841" s="125"/>
    </row>
    <row r="842" spans="1:16" x14ac:dyDescent="0.2">
      <c r="A842" s="47" t="str">
        <v>0:00</v>
      </c>
      <c r="B842" s="103"/>
      <c r="C842" s="125"/>
      <c r="D842" s="125"/>
      <c r="E842" s="125"/>
      <c r="F842" s="125"/>
      <c r="G842" s="125"/>
      <c r="H842" s="125"/>
      <c r="I842" s="125"/>
      <c r="J842" s="125"/>
      <c r="K842" s="125"/>
      <c r="L842" s="125"/>
      <c r="M842" s="125"/>
      <c r="N842" s="125"/>
      <c r="O842" s="125"/>
      <c r="P842" s="125"/>
    </row>
    <row r="843" spans="1:16" x14ac:dyDescent="0.2">
      <c r="A843" s="47" t="str">
        <v>0:00</v>
      </c>
      <c r="B843" s="103"/>
      <c r="C843" s="125"/>
      <c r="D843" s="125"/>
      <c r="E843" s="125"/>
      <c r="F843" s="125"/>
      <c r="G843" s="125"/>
      <c r="H843" s="125"/>
      <c r="I843" s="125"/>
      <c r="J843" s="125"/>
      <c r="K843" s="125"/>
      <c r="L843" s="125"/>
      <c r="M843" s="125"/>
      <c r="N843" s="125"/>
      <c r="O843" s="125"/>
      <c r="P843" s="125"/>
    </row>
    <row r="844" spans="1:16" x14ac:dyDescent="0.2">
      <c r="A844" s="47" t="str">
        <v>0:00</v>
      </c>
      <c r="B844" s="103"/>
      <c r="C844" s="125"/>
      <c r="D844" s="125"/>
      <c r="E844" s="125"/>
      <c r="F844" s="125"/>
      <c r="G844" s="125"/>
      <c r="H844" s="125"/>
      <c r="I844" s="125"/>
      <c r="J844" s="125"/>
      <c r="K844" s="125"/>
      <c r="L844" s="125"/>
      <c r="M844" s="125"/>
      <c r="N844" s="125"/>
      <c r="O844" s="125"/>
      <c r="P844" s="125"/>
    </row>
    <row r="845" spans="1:16" x14ac:dyDescent="0.2">
      <c r="A845" s="47" t="str">
        <v>0:00</v>
      </c>
      <c r="B845" s="103"/>
      <c r="C845" s="125"/>
      <c r="D845" s="125"/>
      <c r="E845" s="125"/>
      <c r="F845" s="125"/>
      <c r="G845" s="125"/>
      <c r="H845" s="125"/>
      <c r="I845" s="125"/>
      <c r="J845" s="125"/>
      <c r="K845" s="125"/>
      <c r="L845" s="125"/>
      <c r="M845" s="125"/>
      <c r="N845" s="125"/>
      <c r="O845" s="125"/>
      <c r="P845" s="125"/>
    </row>
    <row r="846" spans="1:16" x14ac:dyDescent="0.2">
      <c r="A846" s="47" t="str">
        <v>0:00</v>
      </c>
      <c r="B846" s="103"/>
      <c r="C846" s="125"/>
      <c r="D846" s="125"/>
      <c r="E846" s="125"/>
      <c r="F846" s="125"/>
      <c r="G846" s="125"/>
      <c r="H846" s="125"/>
      <c r="I846" s="125"/>
      <c r="J846" s="125"/>
      <c r="K846" s="125"/>
      <c r="L846" s="125"/>
      <c r="M846" s="125"/>
      <c r="N846" s="125"/>
      <c r="O846" s="125"/>
      <c r="P846" s="125"/>
    </row>
    <row r="847" spans="1:16" x14ac:dyDescent="0.2">
      <c r="A847" s="47" t="str">
        <v>0:00</v>
      </c>
      <c r="B847" s="103"/>
      <c r="C847" s="125"/>
      <c r="D847" s="125"/>
      <c r="E847" s="125"/>
      <c r="F847" s="125"/>
      <c r="G847" s="125"/>
      <c r="H847" s="125"/>
      <c r="I847" s="125"/>
      <c r="J847" s="125"/>
      <c r="K847" s="125"/>
      <c r="L847" s="125"/>
      <c r="M847" s="125"/>
      <c r="N847" s="125"/>
      <c r="O847" s="125"/>
      <c r="P847" s="125"/>
    </row>
    <row r="848" spans="1:16" x14ac:dyDescent="0.2">
      <c r="A848" s="47" t="str">
        <v>0:00</v>
      </c>
      <c r="B848" s="103"/>
      <c r="C848" s="125"/>
      <c r="D848" s="125"/>
      <c r="E848" s="125"/>
      <c r="F848" s="125"/>
      <c r="G848" s="125"/>
      <c r="H848" s="125"/>
      <c r="I848" s="125"/>
      <c r="J848" s="125"/>
      <c r="K848" s="125"/>
      <c r="L848" s="125"/>
      <c r="M848" s="125"/>
      <c r="N848" s="125"/>
      <c r="O848" s="125"/>
      <c r="P848" s="125"/>
    </row>
    <row r="849" spans="1:16" x14ac:dyDescent="0.2">
      <c r="A849" s="47" t="str">
        <v>0:00</v>
      </c>
      <c r="B849" s="103"/>
      <c r="C849" s="125"/>
      <c r="D849" s="125"/>
      <c r="E849" s="125"/>
      <c r="F849" s="125"/>
      <c r="G849" s="125"/>
      <c r="H849" s="125"/>
      <c r="I849" s="125"/>
      <c r="J849" s="125"/>
      <c r="K849" s="125"/>
      <c r="L849" s="125"/>
      <c r="M849" s="125"/>
      <c r="N849" s="125"/>
      <c r="O849" s="125"/>
      <c r="P849" s="125"/>
    </row>
    <row r="850" spans="1:16" x14ac:dyDescent="0.2">
      <c r="A850" s="47" t="str">
        <v>0:00</v>
      </c>
      <c r="B850" s="103"/>
      <c r="C850" s="125"/>
      <c r="D850" s="125"/>
      <c r="E850" s="125"/>
      <c r="F850" s="125"/>
      <c r="G850" s="125"/>
      <c r="H850" s="125"/>
      <c r="I850" s="125"/>
      <c r="J850" s="125"/>
      <c r="K850" s="125"/>
      <c r="L850" s="125"/>
      <c r="M850" s="125"/>
      <c r="N850" s="125"/>
      <c r="O850" s="125"/>
      <c r="P850" s="125"/>
    </row>
    <row r="851" spans="1:16" x14ac:dyDescent="0.2">
      <c r="A851" s="47" t="str">
        <v>0:00</v>
      </c>
      <c r="B851" s="103"/>
      <c r="C851" s="125"/>
      <c r="D851" s="125"/>
      <c r="E851" s="125"/>
      <c r="F851" s="125"/>
      <c r="G851" s="125"/>
      <c r="H851" s="125"/>
      <c r="I851" s="125"/>
      <c r="J851" s="125"/>
      <c r="K851" s="125"/>
      <c r="L851" s="125"/>
      <c r="M851" s="125"/>
      <c r="N851" s="125"/>
      <c r="O851" s="125"/>
      <c r="P851" s="125"/>
    </row>
    <row r="852" spans="1:16" x14ac:dyDescent="0.2">
      <c r="A852" s="47" t="str">
        <v>0:00</v>
      </c>
      <c r="B852" s="103"/>
      <c r="C852" s="125"/>
      <c r="D852" s="125"/>
      <c r="E852" s="125"/>
      <c r="F852" s="125"/>
      <c r="G852" s="125"/>
      <c r="H852" s="125"/>
      <c r="I852" s="125"/>
      <c r="J852" s="125"/>
      <c r="K852" s="125"/>
      <c r="L852" s="125"/>
      <c r="M852" s="125"/>
      <c r="N852" s="125"/>
      <c r="O852" s="125"/>
      <c r="P852" s="125"/>
    </row>
    <row r="853" spans="1:16" x14ac:dyDescent="0.2">
      <c r="A853" s="47" t="str">
        <v>0:00</v>
      </c>
      <c r="B853" s="103"/>
      <c r="C853" s="125"/>
      <c r="D853" s="125"/>
      <c r="E853" s="125"/>
      <c r="F853" s="125"/>
      <c r="G853" s="125"/>
      <c r="H853" s="125"/>
      <c r="I853" s="125"/>
      <c r="J853" s="125"/>
      <c r="K853" s="125"/>
      <c r="L853" s="125"/>
      <c r="M853" s="125"/>
      <c r="N853" s="125"/>
      <c r="O853" s="125"/>
      <c r="P853" s="125"/>
    </row>
    <row r="854" spans="1:16" x14ac:dyDescent="0.2">
      <c r="A854" s="47" t="str">
        <v>0:00</v>
      </c>
      <c r="B854" s="103"/>
      <c r="C854" s="125"/>
      <c r="D854" s="125"/>
      <c r="E854" s="125"/>
      <c r="F854" s="125"/>
      <c r="G854" s="125"/>
      <c r="H854" s="125"/>
      <c r="I854" s="125"/>
      <c r="J854" s="125"/>
      <c r="K854" s="125"/>
      <c r="L854" s="125"/>
      <c r="M854" s="125"/>
      <c r="N854" s="125"/>
      <c r="O854" s="125"/>
      <c r="P854" s="125"/>
    </row>
    <row r="855" spans="1:16" x14ac:dyDescent="0.2">
      <c r="A855" s="47" t="str">
        <v>0:00</v>
      </c>
      <c r="B855" s="103"/>
      <c r="C855" s="125"/>
      <c r="D855" s="125"/>
      <c r="E855" s="125"/>
      <c r="F855" s="125"/>
      <c r="G855" s="125"/>
      <c r="H855" s="125"/>
      <c r="I855" s="125"/>
      <c r="J855" s="125"/>
      <c r="K855" s="125"/>
      <c r="L855" s="125"/>
      <c r="M855" s="125"/>
      <c r="N855" s="125"/>
      <c r="O855" s="125"/>
      <c r="P855" s="125"/>
    </row>
    <row r="856" spans="1:16" x14ac:dyDescent="0.2">
      <c r="A856" s="47" t="str">
        <v>0:00</v>
      </c>
      <c r="B856" s="103"/>
      <c r="C856" s="125"/>
      <c r="D856" s="125"/>
      <c r="E856" s="125"/>
      <c r="F856" s="125"/>
      <c r="G856" s="125"/>
      <c r="H856" s="125"/>
      <c r="I856" s="125"/>
      <c r="J856" s="125"/>
      <c r="K856" s="125"/>
      <c r="L856" s="125"/>
      <c r="M856" s="125"/>
      <c r="N856" s="125"/>
      <c r="O856" s="125"/>
      <c r="P856" s="125"/>
    </row>
    <row r="857" spans="1:16" x14ac:dyDescent="0.2">
      <c r="A857" s="47" t="str">
        <v>0:00</v>
      </c>
      <c r="B857" s="103"/>
      <c r="C857" s="125"/>
      <c r="D857" s="125"/>
      <c r="E857" s="125"/>
      <c r="F857" s="125"/>
      <c r="G857" s="125"/>
      <c r="H857" s="125"/>
      <c r="I857" s="125"/>
      <c r="J857" s="125"/>
      <c r="K857" s="125"/>
      <c r="L857" s="125"/>
      <c r="M857" s="125"/>
      <c r="N857" s="125"/>
      <c r="O857" s="125"/>
      <c r="P857" s="125"/>
    </row>
    <row r="858" spans="1:16" x14ac:dyDescent="0.2">
      <c r="A858" s="47" t="str">
        <v>0:00</v>
      </c>
      <c r="B858" s="103"/>
      <c r="C858" s="125"/>
      <c r="D858" s="125"/>
      <c r="E858" s="125"/>
      <c r="F858" s="125"/>
      <c r="G858" s="125"/>
      <c r="H858" s="125"/>
      <c r="I858" s="125"/>
      <c r="J858" s="125"/>
      <c r="K858" s="125"/>
      <c r="L858" s="125"/>
      <c r="M858" s="125"/>
      <c r="N858" s="125"/>
      <c r="O858" s="125"/>
      <c r="P858" s="125"/>
    </row>
    <row r="859" spans="1:16" x14ac:dyDescent="0.2">
      <c r="A859" s="47" t="str">
        <v>0:00</v>
      </c>
      <c r="B859" s="103"/>
      <c r="C859" s="125"/>
      <c r="D859" s="125"/>
      <c r="E859" s="125"/>
      <c r="F859" s="125"/>
      <c r="G859" s="125"/>
      <c r="H859" s="125"/>
      <c r="I859" s="125"/>
      <c r="J859" s="125"/>
      <c r="K859" s="125"/>
      <c r="L859" s="125"/>
      <c r="M859" s="125"/>
      <c r="N859" s="125"/>
      <c r="O859" s="125"/>
      <c r="P859" s="125"/>
    </row>
    <row r="860" spans="1:16" x14ac:dyDescent="0.2">
      <c r="A860" s="47" t="str">
        <v>0:00</v>
      </c>
      <c r="B860" s="103"/>
      <c r="C860" s="125"/>
      <c r="D860" s="125"/>
      <c r="E860" s="125"/>
      <c r="F860" s="125"/>
      <c r="G860" s="125"/>
      <c r="H860" s="125"/>
      <c r="I860" s="125"/>
      <c r="J860" s="125"/>
      <c r="K860" s="125"/>
      <c r="L860" s="125"/>
      <c r="M860" s="125"/>
      <c r="N860" s="125"/>
      <c r="O860" s="125"/>
      <c r="P860" s="125"/>
    </row>
    <row r="861" spans="1:16" x14ac:dyDescent="0.2">
      <c r="A861" s="47" t="str">
        <v>0:00</v>
      </c>
      <c r="B861" s="103"/>
      <c r="C861" s="125"/>
      <c r="D861" s="125"/>
      <c r="E861" s="125"/>
      <c r="F861" s="125"/>
      <c r="G861" s="125"/>
      <c r="H861" s="125"/>
      <c r="I861" s="125"/>
      <c r="J861" s="125"/>
      <c r="K861" s="125"/>
      <c r="L861" s="125"/>
      <c r="M861" s="125"/>
      <c r="N861" s="125"/>
      <c r="O861" s="125"/>
      <c r="P861" s="125"/>
    </row>
    <row r="862" spans="1:16" x14ac:dyDescent="0.2">
      <c r="A862" s="47" t="str">
        <v>0:00</v>
      </c>
      <c r="B862" s="103"/>
      <c r="C862" s="125"/>
      <c r="D862" s="125"/>
      <c r="E862" s="125"/>
      <c r="F862" s="125"/>
      <c r="G862" s="125"/>
      <c r="H862" s="125"/>
      <c r="I862" s="125"/>
      <c r="J862" s="125"/>
      <c r="K862" s="125"/>
      <c r="L862" s="125"/>
      <c r="M862" s="125"/>
      <c r="N862" s="125"/>
      <c r="O862" s="125"/>
      <c r="P862" s="125"/>
    </row>
    <row r="863" spans="1:16" x14ac:dyDescent="0.2">
      <c r="A863" s="47" t="str">
        <v>0:00</v>
      </c>
      <c r="B863" s="103"/>
      <c r="C863" s="125"/>
      <c r="D863" s="125"/>
      <c r="E863" s="125"/>
      <c r="F863" s="125"/>
      <c r="G863" s="125"/>
      <c r="H863" s="125"/>
      <c r="I863" s="125"/>
      <c r="J863" s="125"/>
      <c r="K863" s="125"/>
      <c r="L863" s="125"/>
      <c r="M863" s="125"/>
      <c r="N863" s="125"/>
      <c r="O863" s="125"/>
      <c r="P863" s="125"/>
    </row>
    <row r="864" spans="1:16" x14ac:dyDescent="0.2">
      <c r="A864" s="47" t="str">
        <v>0:00</v>
      </c>
      <c r="B864" s="103"/>
      <c r="C864" s="125"/>
      <c r="D864" s="125"/>
      <c r="E864" s="125"/>
      <c r="F864" s="125"/>
      <c r="G864" s="125"/>
      <c r="H864" s="125"/>
      <c r="I864" s="125"/>
      <c r="J864" s="125"/>
      <c r="K864" s="125"/>
      <c r="L864" s="125"/>
      <c r="M864" s="125"/>
      <c r="N864" s="125"/>
      <c r="O864" s="125"/>
      <c r="P864" s="125"/>
    </row>
    <row r="865" spans="1:16" x14ac:dyDescent="0.2">
      <c r="A865" s="47" t="str">
        <v>0:00</v>
      </c>
      <c r="B865" s="103"/>
      <c r="C865" s="125"/>
      <c r="D865" s="125"/>
      <c r="E865" s="125"/>
      <c r="F865" s="125"/>
      <c r="G865" s="125"/>
      <c r="H865" s="125"/>
      <c r="I865" s="125"/>
      <c r="J865" s="125"/>
      <c r="K865" s="125"/>
      <c r="L865" s="125"/>
      <c r="M865" s="125"/>
      <c r="N865" s="125"/>
      <c r="O865" s="125"/>
      <c r="P865" s="125"/>
    </row>
    <row r="866" spans="1:16" x14ac:dyDescent="0.2">
      <c r="A866" s="47" t="str">
        <v>0:00</v>
      </c>
      <c r="B866" s="103"/>
      <c r="C866" s="125"/>
      <c r="D866" s="125"/>
      <c r="E866" s="125"/>
      <c r="F866" s="125"/>
      <c r="G866" s="125"/>
      <c r="H866" s="125"/>
      <c r="I866" s="125"/>
      <c r="J866" s="125"/>
      <c r="K866" s="125"/>
      <c r="L866" s="125"/>
      <c r="M866" s="125"/>
      <c r="N866" s="125"/>
      <c r="O866" s="125"/>
      <c r="P866" s="125"/>
    </row>
    <row r="867" spans="1:16" x14ac:dyDescent="0.2">
      <c r="A867" s="47" t="str">
        <v>0:00</v>
      </c>
      <c r="B867" s="103"/>
      <c r="C867" s="125"/>
      <c r="D867" s="125"/>
      <c r="E867" s="125"/>
      <c r="F867" s="125"/>
      <c r="G867" s="125"/>
      <c r="H867" s="125"/>
      <c r="I867" s="125"/>
      <c r="J867" s="125"/>
      <c r="K867" s="125"/>
      <c r="L867" s="125"/>
      <c r="M867" s="125"/>
      <c r="N867" s="125"/>
      <c r="O867" s="125"/>
      <c r="P867" s="125"/>
    </row>
    <row r="868" spans="1:16" x14ac:dyDescent="0.2">
      <c r="A868" s="47" t="str">
        <v>0:00</v>
      </c>
      <c r="B868" s="103"/>
      <c r="C868" s="125"/>
      <c r="D868" s="125"/>
      <c r="E868" s="125"/>
      <c r="F868" s="125"/>
      <c r="G868" s="125"/>
      <c r="H868" s="125"/>
      <c r="I868" s="125"/>
      <c r="J868" s="125"/>
      <c r="K868" s="125"/>
      <c r="L868" s="125"/>
      <c r="M868" s="125"/>
      <c r="N868" s="125"/>
      <c r="O868" s="125"/>
      <c r="P868" s="125"/>
    </row>
    <row r="869" spans="1:16" x14ac:dyDescent="0.2">
      <c r="A869" s="47" t="str">
        <v>0:00</v>
      </c>
      <c r="B869" s="103"/>
      <c r="C869" s="125"/>
      <c r="D869" s="125"/>
      <c r="E869" s="125"/>
      <c r="F869" s="125"/>
      <c r="G869" s="125"/>
      <c r="H869" s="125"/>
      <c r="I869" s="125"/>
      <c r="J869" s="125"/>
      <c r="K869" s="125"/>
      <c r="L869" s="125"/>
      <c r="M869" s="125"/>
      <c r="N869" s="125"/>
      <c r="O869" s="125"/>
      <c r="P869" s="125"/>
    </row>
    <row r="870" spans="1:16" x14ac:dyDescent="0.2">
      <c r="A870" s="47" t="str">
        <v>0:00</v>
      </c>
      <c r="B870" s="103"/>
      <c r="C870" s="125"/>
      <c r="D870" s="125"/>
      <c r="E870" s="125"/>
      <c r="F870" s="125"/>
      <c r="G870" s="125"/>
      <c r="H870" s="125"/>
      <c r="I870" s="125"/>
      <c r="J870" s="125"/>
      <c r="K870" s="125"/>
      <c r="L870" s="125"/>
      <c r="M870" s="125"/>
      <c r="N870" s="125"/>
      <c r="O870" s="125"/>
      <c r="P870" s="125"/>
    </row>
    <row r="871" spans="1:16" x14ac:dyDescent="0.2">
      <c r="A871" s="47" t="str">
        <v>0:00</v>
      </c>
      <c r="B871" s="103"/>
      <c r="C871" s="125"/>
      <c r="D871" s="125"/>
      <c r="E871" s="125"/>
      <c r="F871" s="125"/>
      <c r="G871" s="125"/>
      <c r="H871" s="125"/>
      <c r="I871" s="125"/>
      <c r="J871" s="125"/>
      <c r="K871" s="125"/>
      <c r="L871" s="125"/>
      <c r="M871" s="125"/>
      <c r="N871" s="125"/>
      <c r="O871" s="125"/>
      <c r="P871" s="125"/>
    </row>
    <row r="872" spans="1:16" x14ac:dyDescent="0.2">
      <c r="A872" s="47" t="str">
        <v>0:00</v>
      </c>
      <c r="B872" s="103"/>
      <c r="C872" s="125"/>
      <c r="D872" s="125"/>
      <c r="E872" s="125"/>
      <c r="F872" s="125"/>
      <c r="G872" s="125"/>
      <c r="H872" s="125"/>
      <c r="I872" s="125"/>
      <c r="J872" s="125"/>
      <c r="K872" s="125"/>
      <c r="L872" s="125"/>
      <c r="M872" s="125"/>
      <c r="N872" s="125"/>
      <c r="O872" s="125"/>
      <c r="P872" s="125"/>
    </row>
    <row r="873" spans="1:16" x14ac:dyDescent="0.2">
      <c r="A873" s="47" t="str">
        <v>0:00</v>
      </c>
      <c r="B873" s="103"/>
      <c r="C873" s="125"/>
      <c r="D873" s="125"/>
      <c r="E873" s="125"/>
      <c r="F873" s="125"/>
      <c r="G873" s="125"/>
      <c r="H873" s="125"/>
      <c r="I873" s="125"/>
      <c r="J873" s="125"/>
      <c r="K873" s="125"/>
      <c r="L873" s="125"/>
      <c r="M873" s="125"/>
      <c r="N873" s="125"/>
      <c r="O873" s="125"/>
      <c r="P873" s="125"/>
    </row>
    <row r="874" spans="1:16" x14ac:dyDescent="0.2">
      <c r="A874" s="47" t="str">
        <v>0:00</v>
      </c>
      <c r="B874" s="103"/>
      <c r="C874" s="125"/>
      <c r="D874" s="125"/>
      <c r="E874" s="125"/>
      <c r="F874" s="125"/>
      <c r="G874" s="125"/>
      <c r="H874" s="125"/>
      <c r="I874" s="125"/>
      <c r="J874" s="125"/>
      <c r="K874" s="125"/>
      <c r="L874" s="125"/>
      <c r="M874" s="125"/>
      <c r="N874" s="125"/>
      <c r="O874" s="125"/>
      <c r="P874" s="125"/>
    </row>
    <row r="875" spans="1:16" x14ac:dyDescent="0.2">
      <c r="A875" s="47" t="str">
        <v>0:00</v>
      </c>
      <c r="B875" s="103"/>
      <c r="C875" s="125"/>
      <c r="D875" s="125"/>
      <c r="E875" s="125"/>
      <c r="F875" s="125"/>
      <c r="G875" s="125"/>
      <c r="H875" s="125"/>
      <c r="I875" s="125"/>
      <c r="J875" s="125"/>
      <c r="K875" s="125"/>
      <c r="L875" s="125"/>
      <c r="M875" s="125"/>
      <c r="N875" s="125"/>
      <c r="O875" s="125"/>
      <c r="P875" s="125"/>
    </row>
    <row r="876" spans="1:16" x14ac:dyDescent="0.2">
      <c r="A876" s="47" t="str">
        <v>0:00</v>
      </c>
      <c r="B876" s="103"/>
      <c r="C876" s="125"/>
      <c r="D876" s="125"/>
      <c r="E876" s="125"/>
      <c r="F876" s="125"/>
      <c r="G876" s="125"/>
      <c r="H876" s="125"/>
      <c r="I876" s="125"/>
      <c r="J876" s="125"/>
      <c r="K876" s="125"/>
      <c r="L876" s="125"/>
      <c r="M876" s="125"/>
      <c r="N876" s="125"/>
      <c r="O876" s="125"/>
      <c r="P876" s="125"/>
    </row>
    <row r="877" spans="1:16" x14ac:dyDescent="0.2">
      <c r="A877" s="47" t="str">
        <v>0:00</v>
      </c>
      <c r="B877" s="103"/>
      <c r="C877" s="125"/>
      <c r="D877" s="125"/>
      <c r="E877" s="125"/>
      <c r="F877" s="125"/>
      <c r="G877" s="125"/>
      <c r="H877" s="125"/>
      <c r="I877" s="125"/>
      <c r="J877" s="125"/>
      <c r="K877" s="125"/>
      <c r="L877" s="125"/>
      <c r="M877" s="125"/>
      <c r="N877" s="125"/>
      <c r="O877" s="125"/>
      <c r="P877" s="125"/>
    </row>
    <row r="878" spans="1:16" x14ac:dyDescent="0.2">
      <c r="A878" s="47" t="str">
        <v>0:00</v>
      </c>
      <c r="B878" s="103"/>
      <c r="C878" s="125"/>
      <c r="D878" s="125"/>
      <c r="E878" s="125"/>
      <c r="F878" s="125"/>
      <c r="G878" s="125"/>
      <c r="H878" s="125"/>
      <c r="I878" s="125"/>
      <c r="J878" s="125"/>
      <c r="K878" s="125"/>
      <c r="L878" s="125"/>
      <c r="M878" s="125"/>
      <c r="N878" s="125"/>
      <c r="O878" s="125"/>
      <c r="P878" s="125"/>
    </row>
    <row r="879" spans="1:16" x14ac:dyDescent="0.2">
      <c r="A879" s="47" t="str">
        <v>0:00</v>
      </c>
      <c r="B879" s="103"/>
      <c r="C879" s="125"/>
      <c r="D879" s="125"/>
      <c r="E879" s="125"/>
      <c r="F879" s="125"/>
      <c r="G879" s="125"/>
      <c r="H879" s="125"/>
      <c r="I879" s="125"/>
      <c r="J879" s="125"/>
      <c r="K879" s="125"/>
      <c r="L879" s="125"/>
      <c r="M879" s="125"/>
      <c r="N879" s="125"/>
      <c r="O879" s="125"/>
      <c r="P879" s="125"/>
    </row>
    <row r="880" spans="1:16" x14ac:dyDescent="0.2">
      <c r="A880" s="47" t="str">
        <v>0:00</v>
      </c>
      <c r="B880" s="103"/>
      <c r="C880" s="125"/>
      <c r="D880" s="125"/>
      <c r="E880" s="125"/>
      <c r="F880" s="125"/>
      <c r="G880" s="125"/>
      <c r="H880" s="125"/>
      <c r="I880" s="125"/>
      <c r="J880" s="125"/>
      <c r="K880" s="125"/>
      <c r="L880" s="125"/>
      <c r="M880" s="125"/>
      <c r="N880" s="125"/>
      <c r="O880" s="125"/>
      <c r="P880" s="125"/>
    </row>
    <row r="881" spans="1:16" x14ac:dyDescent="0.2">
      <c r="A881" s="47" t="str">
        <v>0:00</v>
      </c>
      <c r="B881" s="103"/>
      <c r="C881" s="125"/>
      <c r="D881" s="125"/>
      <c r="E881" s="125"/>
      <c r="F881" s="125"/>
      <c r="G881" s="125"/>
      <c r="H881" s="125"/>
      <c r="I881" s="125"/>
      <c r="J881" s="125"/>
      <c r="K881" s="125"/>
      <c r="L881" s="125"/>
      <c r="M881" s="125"/>
      <c r="N881" s="125"/>
      <c r="O881" s="125"/>
      <c r="P881" s="125"/>
    </row>
    <row r="882" spans="1:16" x14ac:dyDescent="0.2">
      <c r="A882" s="47" t="str">
        <v>0:00</v>
      </c>
      <c r="B882" s="103"/>
      <c r="C882" s="125"/>
      <c r="D882" s="125"/>
      <c r="E882" s="125"/>
      <c r="F882" s="125"/>
      <c r="G882" s="125"/>
      <c r="H882" s="125"/>
      <c r="I882" s="125"/>
      <c r="J882" s="125"/>
      <c r="K882" s="125"/>
      <c r="L882" s="125"/>
      <c r="M882" s="125"/>
      <c r="N882" s="125"/>
      <c r="O882" s="125"/>
      <c r="P882" s="125"/>
    </row>
    <row r="883" spans="1:16" x14ac:dyDescent="0.2">
      <c r="A883" s="47" t="str">
        <v>0:00</v>
      </c>
      <c r="B883" s="103"/>
      <c r="C883" s="125"/>
      <c r="D883" s="125"/>
      <c r="E883" s="125"/>
      <c r="F883" s="125"/>
      <c r="G883" s="125"/>
      <c r="H883" s="125"/>
      <c r="I883" s="125"/>
      <c r="J883" s="125"/>
      <c r="K883" s="125"/>
      <c r="L883" s="125"/>
      <c r="M883" s="125"/>
      <c r="N883" s="125"/>
      <c r="O883" s="125"/>
      <c r="P883" s="125"/>
    </row>
    <row r="884" spans="1:16" x14ac:dyDescent="0.2">
      <c r="A884" s="47" t="str">
        <v>0:00</v>
      </c>
      <c r="B884" s="103"/>
      <c r="C884" s="125"/>
      <c r="D884" s="125"/>
      <c r="E884" s="125"/>
      <c r="F884" s="125"/>
      <c r="G884" s="125"/>
      <c r="H884" s="125"/>
      <c r="I884" s="125"/>
      <c r="J884" s="125"/>
      <c r="K884" s="125"/>
      <c r="L884" s="125"/>
      <c r="M884" s="125"/>
      <c r="N884" s="125"/>
      <c r="O884" s="125"/>
      <c r="P884" s="125"/>
    </row>
    <row r="885" spans="1:16" x14ac:dyDescent="0.2">
      <c r="A885" s="47" t="str">
        <v>0:00</v>
      </c>
      <c r="B885" s="103"/>
      <c r="C885" s="125"/>
      <c r="D885" s="125"/>
      <c r="E885" s="125"/>
      <c r="F885" s="125"/>
      <c r="G885" s="125"/>
      <c r="H885" s="125"/>
      <c r="I885" s="125"/>
      <c r="J885" s="125"/>
      <c r="K885" s="125"/>
      <c r="L885" s="125"/>
      <c r="M885" s="125"/>
      <c r="N885" s="125"/>
      <c r="O885" s="125"/>
      <c r="P885" s="125"/>
    </row>
    <row r="886" spans="1:16" x14ac:dyDescent="0.2">
      <c r="A886" s="47" t="str">
        <v>0:00</v>
      </c>
      <c r="B886" s="103"/>
      <c r="C886" s="125"/>
      <c r="D886" s="125"/>
      <c r="E886" s="125"/>
      <c r="F886" s="125"/>
      <c r="G886" s="125"/>
      <c r="H886" s="125"/>
      <c r="I886" s="125"/>
      <c r="J886" s="125"/>
      <c r="K886" s="125"/>
      <c r="L886" s="125"/>
      <c r="M886" s="125"/>
      <c r="N886" s="125"/>
      <c r="O886" s="125"/>
      <c r="P886" s="125"/>
    </row>
    <row r="887" spans="1:16" x14ac:dyDescent="0.2">
      <c r="A887" s="47" t="str">
        <v>0:00</v>
      </c>
      <c r="B887" s="103"/>
      <c r="C887" s="125"/>
      <c r="D887" s="125"/>
      <c r="E887" s="125"/>
      <c r="F887" s="125"/>
      <c r="G887" s="125"/>
      <c r="H887" s="125"/>
      <c r="I887" s="125"/>
      <c r="J887" s="125"/>
      <c r="K887" s="125"/>
      <c r="L887" s="125"/>
      <c r="M887" s="125"/>
      <c r="N887" s="125"/>
      <c r="O887" s="125"/>
      <c r="P887" s="125"/>
    </row>
    <row r="888" spans="1:16" x14ac:dyDescent="0.2">
      <c r="A888" s="47" t="str">
        <v>0:00</v>
      </c>
      <c r="B888" s="103"/>
      <c r="C888" s="125"/>
      <c r="D888" s="125"/>
      <c r="E888" s="125"/>
      <c r="F888" s="125"/>
      <c r="G888" s="125"/>
      <c r="H888" s="125"/>
      <c r="I888" s="125"/>
      <c r="J888" s="125"/>
      <c r="K888" s="125"/>
      <c r="L888" s="125"/>
      <c r="M888" s="125"/>
      <c r="N888" s="125"/>
      <c r="O888" s="125"/>
      <c r="P888" s="125"/>
    </row>
    <row r="889" spans="1:16" x14ac:dyDescent="0.2">
      <c r="A889" s="47" t="str">
        <v>0:00</v>
      </c>
      <c r="B889" s="103"/>
      <c r="C889" s="125"/>
      <c r="D889" s="125"/>
      <c r="E889" s="125"/>
      <c r="F889" s="125"/>
      <c r="G889" s="125"/>
      <c r="H889" s="125"/>
      <c r="I889" s="125"/>
      <c r="J889" s="125"/>
      <c r="K889" s="125"/>
      <c r="L889" s="125"/>
      <c r="M889" s="125"/>
      <c r="N889" s="125"/>
      <c r="O889" s="125"/>
      <c r="P889" s="125"/>
    </row>
    <row r="890" spans="1:16" x14ac:dyDescent="0.2">
      <c r="A890" s="47" t="str">
        <v>0:00</v>
      </c>
      <c r="B890" s="103"/>
      <c r="C890" s="125"/>
      <c r="D890" s="125"/>
      <c r="E890" s="125"/>
      <c r="F890" s="125"/>
      <c r="G890" s="125"/>
      <c r="H890" s="125"/>
      <c r="I890" s="125"/>
      <c r="J890" s="125"/>
      <c r="K890" s="125"/>
      <c r="L890" s="125"/>
      <c r="M890" s="125"/>
      <c r="N890" s="125"/>
      <c r="O890" s="125"/>
      <c r="P890" s="125"/>
    </row>
    <row r="891" spans="1:16" x14ac:dyDescent="0.2">
      <c r="A891" s="47" t="str">
        <v>0:00</v>
      </c>
      <c r="B891" s="103"/>
      <c r="C891" s="125"/>
      <c r="D891" s="125"/>
      <c r="E891" s="125"/>
      <c r="F891" s="125"/>
      <c r="G891" s="125"/>
      <c r="H891" s="125"/>
      <c r="I891" s="125"/>
      <c r="J891" s="125"/>
      <c r="K891" s="125"/>
      <c r="L891" s="125"/>
      <c r="M891" s="125"/>
      <c r="N891" s="125"/>
      <c r="O891" s="125"/>
      <c r="P891" s="125"/>
    </row>
    <row r="892" spans="1:16" x14ac:dyDescent="0.2">
      <c r="A892" s="47" t="str">
        <v>0:00</v>
      </c>
      <c r="B892" s="103"/>
      <c r="C892" s="125"/>
      <c r="D892" s="125"/>
      <c r="E892" s="125"/>
      <c r="F892" s="125"/>
      <c r="G892" s="125"/>
      <c r="H892" s="125"/>
      <c r="I892" s="125"/>
      <c r="J892" s="125"/>
      <c r="K892" s="125"/>
      <c r="L892" s="125"/>
      <c r="M892" s="125"/>
      <c r="N892" s="125"/>
      <c r="O892" s="125"/>
      <c r="P892" s="125"/>
    </row>
    <row r="893" spans="1:16" x14ac:dyDescent="0.2">
      <c r="A893" s="47" t="str">
        <v>0:00</v>
      </c>
      <c r="B893" s="103"/>
      <c r="C893" s="125"/>
      <c r="D893" s="125"/>
      <c r="E893" s="125"/>
      <c r="F893" s="125"/>
      <c r="G893" s="125"/>
      <c r="H893" s="125"/>
      <c r="I893" s="125"/>
      <c r="J893" s="125"/>
      <c r="K893" s="125"/>
      <c r="L893" s="125"/>
      <c r="M893" s="125"/>
      <c r="N893" s="125"/>
      <c r="O893" s="125"/>
      <c r="P893" s="125"/>
    </row>
    <row r="894" spans="1:16" x14ac:dyDescent="0.2">
      <c r="A894" s="47" t="str">
        <v>0:00</v>
      </c>
      <c r="B894" s="103"/>
      <c r="C894" s="125"/>
      <c r="D894" s="125"/>
      <c r="E894" s="125"/>
      <c r="F894" s="125"/>
      <c r="G894" s="125"/>
      <c r="H894" s="125"/>
      <c r="I894" s="125"/>
      <c r="J894" s="125"/>
      <c r="K894" s="125"/>
      <c r="L894" s="125"/>
      <c r="M894" s="125"/>
      <c r="N894" s="125"/>
      <c r="O894" s="125"/>
      <c r="P894" s="125"/>
    </row>
    <row r="895" spans="1:16" x14ac:dyDescent="0.2">
      <c r="A895" s="47" t="str">
        <v>0:00</v>
      </c>
      <c r="B895" s="103"/>
      <c r="C895" s="125"/>
      <c r="D895" s="125"/>
      <c r="E895" s="125"/>
      <c r="F895" s="125"/>
      <c r="G895" s="125"/>
      <c r="H895" s="125"/>
      <c r="I895" s="125"/>
      <c r="J895" s="125"/>
      <c r="K895" s="125"/>
      <c r="L895" s="125"/>
      <c r="M895" s="125"/>
      <c r="N895" s="125"/>
      <c r="O895" s="125"/>
      <c r="P895" s="125"/>
    </row>
    <row r="896" spans="1:16" x14ac:dyDescent="0.2">
      <c r="A896" s="47" t="str">
        <v>0:00</v>
      </c>
      <c r="B896" s="103"/>
      <c r="C896" s="125"/>
      <c r="D896" s="125"/>
      <c r="E896" s="125"/>
      <c r="F896" s="125"/>
      <c r="G896" s="125"/>
      <c r="H896" s="125"/>
      <c r="I896" s="125"/>
      <c r="J896" s="125"/>
      <c r="K896" s="125"/>
      <c r="L896" s="125"/>
      <c r="M896" s="125"/>
      <c r="N896" s="125"/>
      <c r="O896" s="125"/>
      <c r="P896" s="125"/>
    </row>
    <row r="897" spans="1:16" x14ac:dyDescent="0.2">
      <c r="A897" s="47" t="str">
        <v>0:00</v>
      </c>
      <c r="B897" s="103"/>
      <c r="C897" s="125"/>
      <c r="D897" s="125"/>
      <c r="E897" s="125"/>
      <c r="F897" s="125"/>
      <c r="G897" s="125"/>
      <c r="H897" s="125"/>
      <c r="I897" s="125"/>
      <c r="J897" s="125"/>
      <c r="K897" s="125"/>
      <c r="L897" s="125"/>
      <c r="M897" s="125"/>
      <c r="N897" s="125"/>
      <c r="O897" s="125"/>
      <c r="P897" s="125"/>
    </row>
    <row r="898" spans="1:16" x14ac:dyDescent="0.2">
      <c r="A898" s="47" t="str">
        <v>0:00</v>
      </c>
      <c r="B898" s="103"/>
      <c r="C898" s="125"/>
      <c r="D898" s="125"/>
      <c r="E898" s="125"/>
      <c r="F898" s="125"/>
      <c r="G898" s="125"/>
      <c r="H898" s="125"/>
      <c r="I898" s="125"/>
      <c r="J898" s="125"/>
      <c r="K898" s="125"/>
      <c r="L898" s="125"/>
      <c r="M898" s="125"/>
      <c r="N898" s="125"/>
      <c r="O898" s="125"/>
      <c r="P898" s="125"/>
    </row>
    <row r="899" spans="1:16" x14ac:dyDescent="0.2">
      <c r="A899" s="47" t="str">
        <v>0:00</v>
      </c>
      <c r="B899" s="103"/>
      <c r="C899" s="125"/>
      <c r="D899" s="125"/>
      <c r="E899" s="125"/>
      <c r="F899" s="125"/>
      <c r="G899" s="125"/>
      <c r="H899" s="125"/>
      <c r="I899" s="125"/>
      <c r="J899" s="125"/>
      <c r="K899" s="125"/>
      <c r="L899" s="125"/>
      <c r="M899" s="125"/>
      <c r="N899" s="125"/>
      <c r="O899" s="125"/>
      <c r="P899" s="125"/>
    </row>
    <row r="900" spans="1:16" x14ac:dyDescent="0.2">
      <c r="A900" s="47" t="str">
        <v>0:00</v>
      </c>
      <c r="B900" s="103"/>
      <c r="C900" s="125"/>
      <c r="D900" s="125"/>
      <c r="E900" s="125"/>
      <c r="F900" s="125"/>
      <c r="G900" s="125"/>
      <c r="H900" s="125"/>
      <c r="I900" s="125"/>
      <c r="J900" s="125"/>
      <c r="K900" s="125"/>
      <c r="L900" s="125"/>
      <c r="M900" s="125"/>
      <c r="N900" s="125"/>
      <c r="O900" s="125"/>
      <c r="P900" s="125"/>
    </row>
    <row r="901" spans="1:16" x14ac:dyDescent="0.2">
      <c r="A901" s="47" t="str">
        <v>0:00</v>
      </c>
      <c r="B901" s="103"/>
      <c r="C901" s="125"/>
      <c r="D901" s="125"/>
      <c r="E901" s="125"/>
      <c r="F901" s="125"/>
      <c r="G901" s="125"/>
      <c r="H901" s="125"/>
      <c r="I901" s="125"/>
      <c r="J901" s="125"/>
      <c r="K901" s="125"/>
      <c r="L901" s="125"/>
      <c r="M901" s="125"/>
      <c r="N901" s="125"/>
      <c r="O901" s="125"/>
      <c r="P901" s="125"/>
    </row>
    <row r="902" spans="1:16" x14ac:dyDescent="0.2">
      <c r="A902" s="47" t="str">
        <v>0:00</v>
      </c>
      <c r="B902" s="103"/>
      <c r="C902" s="125"/>
      <c r="D902" s="125"/>
      <c r="E902" s="125"/>
      <c r="F902" s="125"/>
      <c r="G902" s="125"/>
      <c r="H902" s="125"/>
      <c r="I902" s="125"/>
      <c r="J902" s="125"/>
      <c r="K902" s="125"/>
      <c r="L902" s="125"/>
      <c r="M902" s="125"/>
      <c r="N902" s="125"/>
      <c r="O902" s="125"/>
      <c r="P902" s="125"/>
    </row>
    <row r="903" spans="1:16" x14ac:dyDescent="0.2">
      <c r="A903" s="47" t="str">
        <v>0:00</v>
      </c>
      <c r="B903" s="103"/>
      <c r="C903" s="125"/>
      <c r="D903" s="125"/>
      <c r="E903" s="125"/>
      <c r="F903" s="125"/>
      <c r="G903" s="125"/>
      <c r="H903" s="125"/>
      <c r="I903" s="125"/>
      <c r="J903" s="125"/>
      <c r="K903" s="125"/>
      <c r="L903" s="125"/>
      <c r="M903" s="125"/>
      <c r="N903" s="125"/>
      <c r="O903" s="125"/>
      <c r="P903" s="125"/>
    </row>
  </sheetData>
  <sheetProtection algorithmName="SHA-512" hashValue="VFAZDak0oCdwmc4AWVi+FsRZhBSnlmlRA/P6HpCY5Fc0Ef94+9q9Gr94Hc5g1UucxIXsjjUTrzE94iViIgPBgg==" saltValue="xdMTu/lxhNEamxOr8qVC8A=="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0" priority="2" stopIfTrue="1" operator="between">
      <formula>$E$1</formula>
      <formula>$E$2</formula>
    </cfRule>
    <cfRule type="cellIs" dxfId="59" priority="3" stopIfTrue="1" operator="greaterThan">
      <formula>$C$2</formula>
    </cfRule>
    <cfRule type="cellIs" dxfId="58" priority="4" stopIfTrue="1" operator="lessThan">
      <formula>$C$1</formula>
    </cfRule>
    <cfRule type="cellIs" dxfId="57" priority="5" stopIfTrue="1" operator="greaterThanOrEqual">
      <formula>$C$1</formula>
    </cfRule>
  </conditionalFormatting>
  <conditionalFormatting sqref="B14:P903">
    <cfRule type="expression" dxfId="56"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9.5703125" style="47" hidden="1" customWidth="1"/>
    <col min="2" max="2" width="8.7109375" style="45" customWidth="1"/>
    <col min="3" max="3" width="11.85546875" customWidth="1"/>
    <col min="4" max="16" width="8.42578125" customWidth="1"/>
  </cols>
  <sheetData>
    <row r="1" spans="1:17" ht="18" x14ac:dyDescent="0.25">
      <c r="A1" s="113"/>
      <c r="B1" s="120">
        <f>Main!$D$16</f>
        <v>0</v>
      </c>
      <c r="C1" s="114">
        <f>$B$1-$B$2</f>
        <v>-10</v>
      </c>
      <c r="D1" s="114"/>
      <c r="E1" s="120">
        <f>B1-D2</f>
        <v>-5</v>
      </c>
      <c r="F1" s="34" t="s">
        <v>74</v>
      </c>
      <c r="P1" s="306" t="str">
        <f>IF(Main!$E$30="","A10",ADDRESS(13+(MATCH(Main!$E$30,Data_Sheet!$A$14:$A$903,0)),1,4))</f>
        <v>A10</v>
      </c>
      <c r="Q1" s="306">
        <f>VALUE(MID(P1, 2, LEN(P1)-1))</f>
        <v>10</v>
      </c>
    </row>
    <row r="2" spans="1:17" x14ac:dyDescent="0.2">
      <c r="A2" s="113"/>
      <c r="B2" s="120">
        <f>Main!$D$19</f>
        <v>10</v>
      </c>
      <c r="C2" s="114">
        <f>$B$1+$B$2</f>
        <v>10</v>
      </c>
      <c r="D2" s="114">
        <f>(Main!$D$19)/2</f>
        <v>5</v>
      </c>
      <c r="E2" s="120">
        <f>B1+D2</f>
        <v>5</v>
      </c>
      <c r="F2" s="106"/>
      <c r="I2" s="74" t="s">
        <v>227</v>
      </c>
      <c r="M2" s="626" t="s">
        <v>103</v>
      </c>
      <c r="N2" s="626"/>
      <c r="O2" s="626"/>
      <c r="P2" s="306" t="str">
        <f>IF(Main!$E$30="","A10",ADDRESS(13+Standards_Info!W2+(MATCH(Main!$E$30,Data_Sheet!$A$14:$A$903,0)),1,4))</f>
        <v>A10</v>
      </c>
      <c r="Q2" s="306">
        <f>VALUE(MID(P2, 2, LEN(P2)-1))</f>
        <v>10</v>
      </c>
    </row>
    <row r="3" spans="1:17" ht="15" x14ac:dyDescent="0.25">
      <c r="B3" s="129" t="s">
        <v>0</v>
      </c>
      <c r="C3" s="3"/>
      <c r="M3" s="614" t="s">
        <v>104</v>
      </c>
      <c r="N3" s="615"/>
      <c r="O3" s="616"/>
      <c r="P3" s="42"/>
    </row>
    <row r="4" spans="1:17" ht="15" x14ac:dyDescent="0.25">
      <c r="B4" s="116" t="s">
        <v>25</v>
      </c>
      <c r="C4" s="4"/>
      <c r="M4" s="617" t="s">
        <v>145</v>
      </c>
      <c r="N4" s="618"/>
      <c r="O4" s="619"/>
    </row>
    <row r="5" spans="1:17" x14ac:dyDescent="0.2">
      <c r="B5" s="117" t="s">
        <v>26</v>
      </c>
      <c r="C5" s="56">
        <f>Main!D3</f>
        <v>0</v>
      </c>
      <c r="D5" s="39"/>
      <c r="E5" s="39"/>
      <c r="F5" s="39"/>
      <c r="G5" s="39"/>
      <c r="H5" s="39"/>
      <c r="I5" s="54" t="s">
        <v>4</v>
      </c>
      <c r="J5" s="39" t="e">
        <f>Main!D5</f>
        <v>#N/A</v>
      </c>
      <c r="L5" s="39"/>
      <c r="M5" s="620" t="s">
        <v>144</v>
      </c>
      <c r="N5" s="621"/>
      <c r="O5" s="622"/>
    </row>
    <row r="6" spans="1:17" ht="13.5" thickBot="1" x14ac:dyDescent="0.25">
      <c r="B6" s="117" t="s">
        <v>3</v>
      </c>
      <c r="C6" s="57" t="e">
        <f>Main!D6</f>
        <v>#N/A</v>
      </c>
      <c r="D6" s="39"/>
      <c r="E6" s="39"/>
      <c r="F6" s="39"/>
      <c r="G6" s="39"/>
      <c r="H6" s="39"/>
      <c r="I6" s="54" t="s">
        <v>5</v>
      </c>
      <c r="J6" s="53">
        <f>Main!D16</f>
        <v>0</v>
      </c>
      <c r="L6" s="39"/>
      <c r="M6" s="623" t="s">
        <v>143</v>
      </c>
      <c r="N6" s="624"/>
      <c r="O6" s="625"/>
    </row>
    <row r="7" spans="1:17" ht="13.5" thickBot="1" x14ac:dyDescent="0.25">
      <c r="B7" s="117" t="s">
        <v>27</v>
      </c>
      <c r="C7" s="57" t="str">
        <f>Main!D7</f>
        <v>Jeff Hall</v>
      </c>
      <c r="D7" s="39"/>
      <c r="E7" s="39"/>
      <c r="F7" s="39"/>
      <c r="G7" s="39"/>
      <c r="H7" s="39"/>
      <c r="I7" s="59" t="s">
        <v>169</v>
      </c>
      <c r="J7" s="611">
        <f>Main!$D$30</f>
        <v>0</v>
      </c>
      <c r="K7" s="612"/>
      <c r="L7" s="103"/>
      <c r="M7" s="610" t="s">
        <v>142</v>
      </c>
      <c r="N7" s="610"/>
      <c r="O7" s="610"/>
    </row>
    <row r="8" spans="1:17" x14ac:dyDescent="0.2">
      <c r="B8" s="117"/>
      <c r="C8" s="57"/>
      <c r="D8" s="39"/>
      <c r="E8" s="39"/>
      <c r="F8" s="39"/>
      <c r="G8" s="39"/>
      <c r="H8" s="39"/>
      <c r="I8" s="59"/>
      <c r="J8" s="126"/>
      <c r="K8" s="126"/>
      <c r="L8" s="103"/>
      <c r="M8" s="127"/>
      <c r="N8" s="127"/>
      <c r="O8" s="127"/>
    </row>
    <row r="9" spans="1:17" x14ac:dyDescent="0.2">
      <c r="B9" s="117"/>
      <c r="C9" s="57"/>
      <c r="D9" s="39"/>
      <c r="E9" s="39"/>
      <c r="F9" s="39"/>
      <c r="G9" s="39"/>
      <c r="H9" s="39"/>
      <c r="I9" s="130" t="str">
        <f>IF(Main!K15="SIM Load Hot",Main!N59,"")</f>
        <v/>
      </c>
      <c r="J9" s="126"/>
      <c r="K9" s="126"/>
      <c r="L9" s="103"/>
      <c r="M9" s="127"/>
      <c r="N9" s="127"/>
      <c r="O9" s="127"/>
    </row>
    <row r="10" spans="1:17" s="64" customFormat="1" x14ac:dyDescent="0.2">
      <c r="A10" s="104"/>
      <c r="B10" s="134"/>
      <c r="C10" s="135"/>
      <c r="I10" s="130" t="str">
        <f>IF(OR(Main!E60="",Main!K60=""),IF(OR(Main!E61="",Main!K61=""),"",Main!N61),Main!N60)</f>
        <v/>
      </c>
      <c r="J10" s="136"/>
      <c r="K10" s="136"/>
      <c r="L10" s="118"/>
      <c r="M10" s="137"/>
      <c r="N10" s="137"/>
      <c r="O10" s="137"/>
    </row>
    <row r="11" spans="1:17" s="64" customFormat="1" x14ac:dyDescent="0.2">
      <c r="A11" s="104"/>
      <c r="B11" s="118"/>
      <c r="C11" s="131"/>
      <c r="D11" s="131"/>
      <c r="E11" s="131"/>
      <c r="F11" s="131"/>
      <c r="G11" s="131"/>
      <c r="H11" s="131"/>
      <c r="I11" s="131"/>
      <c r="J11" s="131"/>
      <c r="K11" s="131"/>
      <c r="L11" s="131"/>
      <c r="M11" s="131"/>
      <c r="N11" s="131"/>
      <c r="O11" s="131"/>
      <c r="P11" s="131"/>
    </row>
    <row r="12" spans="1:17" s="452" customFormat="1" x14ac:dyDescent="0.2">
      <c r="A12" s="451"/>
      <c r="B12" s="126" t="str" cm="1">
        <f t="array" ref="B12:N12">_xlfn.LET(
  _xlpm.tbl, DataForChannels29to40[],
  _xlpm.hdrs, DataForChannels29to40[#Headers],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c r="P12" s="54"/>
    </row>
    <row r="13" spans="1:17" s="64" customFormat="1" x14ac:dyDescent="0.2">
      <c r="A13" s="104"/>
      <c r="B13" s="103"/>
      <c r="C13" s="39"/>
      <c r="D13" s="39"/>
      <c r="E13" s="39"/>
      <c r="F13" s="39"/>
      <c r="G13" s="39"/>
      <c r="H13" s="39"/>
      <c r="I13" s="39"/>
      <c r="J13" s="39"/>
      <c r="K13" s="39"/>
      <c r="L13" s="39"/>
      <c r="M13" s="39" t="str">
        <f>IF(ISBLANK(DaqBook_RAW_Data!AR3),"",DaqBook_RAW_Data!AR3)</f>
        <v/>
      </c>
      <c r="N13" s="39" t="str">
        <f>IF(ISBLANK(DaqBook_RAW_Data!AS3),"",DaqBook_RAW_Data!AS3)</f>
        <v/>
      </c>
      <c r="O13" s="39"/>
      <c r="P13" s="39"/>
    </row>
    <row r="14" spans="1:17" s="64" customFormat="1" x14ac:dyDescent="0.2">
      <c r="A14" s="104" t="str" cm="1">
        <f t="array" ref="A14:A903">TEXT(B14:B903, "h:mm")</f>
        <v>0:00</v>
      </c>
      <c r="B14" s="103" cm="1">
        <f t="array" ref="B14:N14">DataForChannels29to40[]</f>
        <v>0</v>
      </c>
      <c r="C14" s="125">
        <v>0</v>
      </c>
      <c r="D14" s="125">
        <v>0</v>
      </c>
      <c r="E14" s="125">
        <v>0</v>
      </c>
      <c r="F14" s="125">
        <v>0</v>
      </c>
      <c r="G14" s="125">
        <v>0</v>
      </c>
      <c r="H14" s="125">
        <v>0</v>
      </c>
      <c r="I14" s="125">
        <v>0</v>
      </c>
      <c r="J14" s="125">
        <v>0</v>
      </c>
      <c r="K14" s="125">
        <v>0</v>
      </c>
      <c r="L14" s="125">
        <v>0</v>
      </c>
      <c r="M14" s="125">
        <v>0</v>
      </c>
      <c r="N14" s="125">
        <v>0</v>
      </c>
      <c r="O14" s="125"/>
      <c r="P14" s="125"/>
    </row>
    <row r="15" spans="1:17" s="64" customFormat="1" x14ac:dyDescent="0.2">
      <c r="A15" s="104" t="str">
        <v>0:00</v>
      </c>
      <c r="B15" s="103"/>
      <c r="C15" s="125"/>
      <c r="D15" s="125"/>
      <c r="E15" s="125"/>
      <c r="F15" s="125"/>
      <c r="G15" s="125"/>
      <c r="H15" s="125"/>
      <c r="I15" s="125"/>
      <c r="J15" s="125"/>
      <c r="K15" s="125"/>
      <c r="L15" s="125"/>
      <c r="M15" s="125"/>
      <c r="N15" s="125"/>
      <c r="O15" s="125"/>
      <c r="P15" s="125"/>
    </row>
    <row r="16" spans="1:17"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4" customFormat="1" x14ac:dyDescent="0.2">
      <c r="A66" s="104" t="str">
        <v>0:00</v>
      </c>
      <c r="B66" s="103"/>
      <c r="C66" s="125"/>
      <c r="D66" s="125"/>
      <c r="E66" s="125"/>
      <c r="F66" s="125"/>
      <c r="G66" s="125"/>
      <c r="H66" s="125"/>
      <c r="I66" s="125"/>
      <c r="J66" s="125"/>
      <c r="K66" s="125"/>
      <c r="L66" s="125"/>
      <c r="M66" s="125"/>
      <c r="N66" s="125"/>
      <c r="O66" s="125"/>
      <c r="P66" s="125"/>
    </row>
    <row r="67" spans="1:16" s="64" customFormat="1" x14ac:dyDescent="0.2">
      <c r="A67" s="104" t="str">
        <v>0:00</v>
      </c>
      <c r="B67" s="103"/>
      <c r="C67" s="125"/>
      <c r="D67" s="125"/>
      <c r="E67" s="125"/>
      <c r="F67" s="125"/>
      <c r="G67" s="125"/>
      <c r="H67" s="125"/>
      <c r="I67" s="125"/>
      <c r="J67" s="125"/>
      <c r="K67" s="125"/>
      <c r="L67" s="125"/>
      <c r="M67" s="125"/>
      <c r="N67" s="125"/>
      <c r="O67" s="125"/>
      <c r="P67" s="125"/>
    </row>
    <row r="68" spans="1:16" s="64" customFormat="1" x14ac:dyDescent="0.2">
      <c r="A68" s="104" t="str">
        <v>0:00</v>
      </c>
      <c r="B68" s="103"/>
      <c r="C68" s="125"/>
      <c r="D68" s="125"/>
      <c r="E68" s="125"/>
      <c r="F68" s="125"/>
      <c r="G68" s="125"/>
      <c r="H68" s="125"/>
      <c r="I68" s="125"/>
      <c r="J68" s="125"/>
      <c r="K68" s="125"/>
      <c r="L68" s="125"/>
      <c r="M68" s="125"/>
      <c r="N68" s="125"/>
      <c r="O68" s="125"/>
      <c r="P68" s="125"/>
    </row>
    <row r="69" spans="1:16" s="64" customFormat="1" x14ac:dyDescent="0.2">
      <c r="A69" s="104" t="str">
        <v>0:00</v>
      </c>
      <c r="B69" s="103"/>
      <c r="C69" s="125"/>
      <c r="D69" s="125"/>
      <c r="E69" s="125"/>
      <c r="F69" s="125"/>
      <c r="G69" s="125"/>
      <c r="H69" s="125"/>
      <c r="I69" s="125"/>
      <c r="J69" s="125"/>
      <c r="K69" s="125"/>
      <c r="L69" s="125"/>
      <c r="M69" s="125"/>
      <c r="N69" s="125"/>
      <c r="O69" s="125"/>
      <c r="P69" s="125"/>
    </row>
    <row r="70" spans="1:16" s="64" customFormat="1" x14ac:dyDescent="0.2">
      <c r="A70" s="104" t="str">
        <v>0:00</v>
      </c>
      <c r="B70" s="103"/>
      <c r="C70" s="125"/>
      <c r="D70" s="125"/>
      <c r="E70" s="125"/>
      <c r="F70" s="125"/>
      <c r="G70" s="125"/>
      <c r="H70" s="125"/>
      <c r="I70" s="125"/>
      <c r="J70" s="125"/>
      <c r="K70" s="125"/>
      <c r="L70" s="125"/>
      <c r="M70" s="125"/>
      <c r="N70" s="125"/>
      <c r="O70" s="125"/>
      <c r="P70" s="125"/>
    </row>
    <row r="71" spans="1:16" s="64" customFormat="1" x14ac:dyDescent="0.2">
      <c r="A71" s="104" t="str">
        <v>0:00</v>
      </c>
      <c r="B71" s="103"/>
      <c r="C71" s="125"/>
      <c r="D71" s="125"/>
      <c r="E71" s="125"/>
      <c r="F71" s="125"/>
      <c r="G71" s="125"/>
      <c r="H71" s="125"/>
      <c r="I71" s="125"/>
      <c r="J71" s="125"/>
      <c r="K71" s="125"/>
      <c r="L71" s="125"/>
      <c r="M71" s="125"/>
      <c r="N71" s="125"/>
      <c r="O71" s="125"/>
      <c r="P71" s="125"/>
    </row>
    <row r="72" spans="1:16" s="64" customFormat="1" x14ac:dyDescent="0.2">
      <c r="A72" s="104" t="str">
        <v>0:00</v>
      </c>
      <c r="B72" s="103"/>
      <c r="C72" s="125"/>
      <c r="D72" s="125"/>
      <c r="E72" s="125"/>
      <c r="F72" s="125"/>
      <c r="G72" s="125"/>
      <c r="H72" s="125"/>
      <c r="I72" s="125"/>
      <c r="J72" s="125"/>
      <c r="K72" s="125"/>
      <c r="L72" s="125"/>
      <c r="M72" s="125"/>
      <c r="N72" s="125"/>
      <c r="O72" s="125"/>
      <c r="P72" s="125"/>
    </row>
    <row r="73" spans="1:16" s="64" customFormat="1" x14ac:dyDescent="0.2">
      <c r="A73" s="104" t="str">
        <v>0:00</v>
      </c>
      <c r="B73" s="103"/>
      <c r="C73" s="125"/>
      <c r="D73" s="125"/>
      <c r="E73" s="125"/>
      <c r="F73" s="125"/>
      <c r="G73" s="125"/>
      <c r="H73" s="125"/>
      <c r="I73" s="125"/>
      <c r="J73" s="125"/>
      <c r="K73" s="125"/>
      <c r="L73" s="125"/>
      <c r="M73" s="125"/>
      <c r="N73" s="125"/>
      <c r="O73" s="125"/>
      <c r="P73" s="125"/>
    </row>
    <row r="74" spans="1:16" s="64" customFormat="1" x14ac:dyDescent="0.2">
      <c r="A74" s="104" t="str">
        <v>0:00</v>
      </c>
      <c r="B74" s="103"/>
      <c r="C74" s="125"/>
      <c r="D74" s="125"/>
      <c r="E74" s="125"/>
      <c r="F74" s="125"/>
      <c r="G74" s="125"/>
      <c r="H74" s="125"/>
      <c r="I74" s="125"/>
      <c r="J74" s="125"/>
      <c r="K74" s="125"/>
      <c r="L74" s="125"/>
      <c r="M74" s="125"/>
      <c r="N74" s="125"/>
      <c r="O74" s="125"/>
      <c r="P74" s="125"/>
    </row>
    <row r="75" spans="1:16" s="64" customFormat="1" x14ac:dyDescent="0.2">
      <c r="A75" s="104" t="str">
        <v>0:00</v>
      </c>
      <c r="B75" s="103"/>
      <c r="C75" s="125"/>
      <c r="D75" s="125"/>
      <c r="E75" s="125"/>
      <c r="F75" s="125"/>
      <c r="G75" s="125"/>
      <c r="H75" s="125"/>
      <c r="I75" s="125"/>
      <c r="J75" s="125"/>
      <c r="K75" s="125"/>
      <c r="L75" s="125"/>
      <c r="M75" s="125"/>
      <c r="N75" s="125"/>
      <c r="O75" s="125"/>
      <c r="P75" s="125"/>
    </row>
    <row r="76" spans="1:16" s="64" customFormat="1" x14ac:dyDescent="0.2">
      <c r="A76" s="104" t="str">
        <v>0:00</v>
      </c>
      <c r="B76" s="103"/>
      <c r="C76" s="125"/>
      <c r="D76" s="125"/>
      <c r="E76" s="125"/>
      <c r="F76" s="125"/>
      <c r="G76" s="125"/>
      <c r="H76" s="125"/>
      <c r="I76" s="125"/>
      <c r="J76" s="125"/>
      <c r="K76" s="125"/>
      <c r="L76" s="125"/>
      <c r="M76" s="125"/>
      <c r="N76" s="125"/>
      <c r="O76" s="125"/>
      <c r="P76" s="125"/>
    </row>
    <row r="77" spans="1:16" s="64" customFormat="1" x14ac:dyDescent="0.2">
      <c r="A77" s="104" t="str">
        <v>0:00</v>
      </c>
      <c r="B77" s="103"/>
      <c r="C77" s="125"/>
      <c r="D77" s="125"/>
      <c r="E77" s="125"/>
      <c r="F77" s="125"/>
      <c r="G77" s="125"/>
      <c r="H77" s="125"/>
      <c r="I77" s="125"/>
      <c r="J77" s="125"/>
      <c r="K77" s="125"/>
      <c r="L77" s="125"/>
      <c r="M77" s="125"/>
      <c r="N77" s="125"/>
      <c r="O77" s="125"/>
      <c r="P77" s="125"/>
    </row>
    <row r="78" spans="1:16" s="64" customFormat="1" x14ac:dyDescent="0.2">
      <c r="A78" s="104" t="str">
        <v>0:00</v>
      </c>
      <c r="B78" s="103"/>
      <c r="C78" s="125"/>
      <c r="D78" s="125"/>
      <c r="E78" s="125"/>
      <c r="F78" s="125"/>
      <c r="G78" s="125"/>
      <c r="H78" s="125"/>
      <c r="I78" s="125"/>
      <c r="J78" s="125"/>
      <c r="K78" s="125"/>
      <c r="L78" s="125"/>
      <c r="M78" s="125"/>
      <c r="N78" s="125"/>
      <c r="O78" s="125"/>
      <c r="P78" s="125"/>
    </row>
    <row r="79" spans="1:16" s="66" customFormat="1" x14ac:dyDescent="0.2">
      <c r="A79" s="65" t="str">
        <v>0:00</v>
      </c>
      <c r="B79" s="103"/>
      <c r="C79" s="125"/>
      <c r="D79" s="125"/>
      <c r="E79" s="125"/>
      <c r="F79" s="125"/>
      <c r="G79" s="125"/>
      <c r="H79" s="125"/>
      <c r="I79" s="125"/>
      <c r="J79" s="125"/>
      <c r="K79" s="125"/>
      <c r="L79" s="125"/>
      <c r="M79" s="125"/>
      <c r="N79" s="125"/>
      <c r="O79" s="125"/>
      <c r="P79" s="125"/>
    </row>
    <row r="80" spans="1:16" s="66" customFormat="1" x14ac:dyDescent="0.2">
      <c r="A80" s="65" t="str">
        <v>0:00</v>
      </c>
      <c r="B80" s="103"/>
      <c r="C80" s="125"/>
      <c r="D80" s="125"/>
      <c r="E80" s="125"/>
      <c r="F80" s="125"/>
      <c r="G80" s="125"/>
      <c r="H80" s="125"/>
      <c r="I80" s="125"/>
      <c r="J80" s="125"/>
      <c r="K80" s="125"/>
      <c r="L80" s="125"/>
      <c r="M80" s="125"/>
      <c r="N80" s="125"/>
      <c r="O80" s="125"/>
      <c r="P80" s="125"/>
    </row>
    <row r="81" spans="1:16" s="66" customFormat="1" x14ac:dyDescent="0.2">
      <c r="A81" s="65" t="str">
        <v>0:00</v>
      </c>
      <c r="B81" s="103"/>
      <c r="C81" s="125"/>
      <c r="D81" s="125"/>
      <c r="E81" s="125"/>
      <c r="F81" s="125"/>
      <c r="G81" s="125"/>
      <c r="H81" s="125"/>
      <c r="I81" s="125"/>
      <c r="J81" s="125"/>
      <c r="K81" s="125"/>
      <c r="L81" s="125"/>
      <c r="M81" s="125"/>
      <c r="N81" s="125"/>
      <c r="O81" s="125"/>
      <c r="P81" s="125"/>
    </row>
    <row r="82" spans="1:16" s="66" customFormat="1" x14ac:dyDescent="0.2">
      <c r="A82" s="65" t="str">
        <v>0:00</v>
      </c>
      <c r="B82" s="103"/>
      <c r="C82" s="125"/>
      <c r="D82" s="125"/>
      <c r="E82" s="125"/>
      <c r="F82" s="125"/>
      <c r="G82" s="125"/>
      <c r="H82" s="125"/>
      <c r="I82" s="125"/>
      <c r="J82" s="125"/>
      <c r="K82" s="125"/>
      <c r="L82" s="125"/>
      <c r="M82" s="125"/>
      <c r="N82" s="125"/>
      <c r="O82" s="125"/>
      <c r="P82" s="125"/>
    </row>
    <row r="83" spans="1:16" s="66" customFormat="1" x14ac:dyDescent="0.2">
      <c r="A83" s="65" t="str">
        <v>0:00</v>
      </c>
      <c r="B83" s="103"/>
      <c r="C83" s="125"/>
      <c r="D83" s="125"/>
      <c r="E83" s="125"/>
      <c r="F83" s="125"/>
      <c r="G83" s="125"/>
      <c r="H83" s="125"/>
      <c r="I83" s="125"/>
      <c r="J83" s="125"/>
      <c r="K83" s="125"/>
      <c r="L83" s="125"/>
      <c r="M83" s="125"/>
      <c r="N83" s="125"/>
      <c r="O83" s="125"/>
      <c r="P83" s="125"/>
    </row>
    <row r="84" spans="1:16" s="64" customFormat="1" x14ac:dyDescent="0.2">
      <c r="A84" s="104" t="str">
        <v>0:00</v>
      </c>
      <c r="B84" s="103"/>
      <c r="C84" s="125"/>
      <c r="D84" s="125"/>
      <c r="E84" s="125"/>
      <c r="F84" s="125"/>
      <c r="G84" s="125"/>
      <c r="H84" s="125"/>
      <c r="I84" s="125"/>
      <c r="J84" s="125"/>
      <c r="K84" s="125"/>
      <c r="L84" s="125"/>
      <c r="M84" s="125"/>
      <c r="N84" s="125"/>
      <c r="O84" s="125"/>
      <c r="P84" s="125"/>
    </row>
    <row r="85" spans="1:16" s="64" customFormat="1" x14ac:dyDescent="0.2">
      <c r="A85" s="104" t="str">
        <v>0:00</v>
      </c>
      <c r="B85" s="103"/>
      <c r="C85" s="125"/>
      <c r="D85" s="125"/>
      <c r="E85" s="125"/>
      <c r="F85" s="125"/>
      <c r="G85" s="125"/>
      <c r="H85" s="125"/>
      <c r="I85" s="125"/>
      <c r="J85" s="125"/>
      <c r="K85" s="125"/>
      <c r="L85" s="125"/>
      <c r="M85" s="125"/>
      <c r="N85" s="125"/>
      <c r="O85" s="125"/>
      <c r="P85" s="125"/>
    </row>
    <row r="86" spans="1:16" s="64" customFormat="1" x14ac:dyDescent="0.2">
      <c r="A86" s="104" t="str">
        <v>0:00</v>
      </c>
      <c r="B86" s="103"/>
      <c r="C86" s="125"/>
      <c r="D86" s="125"/>
      <c r="E86" s="125"/>
      <c r="F86" s="125"/>
      <c r="G86" s="125"/>
      <c r="H86" s="125"/>
      <c r="I86" s="125"/>
      <c r="J86" s="125"/>
      <c r="K86" s="125"/>
      <c r="L86" s="125"/>
      <c r="M86" s="125"/>
      <c r="N86" s="125"/>
      <c r="O86" s="125"/>
      <c r="P86" s="125"/>
    </row>
    <row r="87" spans="1:16" s="64" customFormat="1" x14ac:dyDescent="0.2">
      <c r="A87" s="104" t="str">
        <v>0:00</v>
      </c>
      <c r="B87" s="103"/>
      <c r="C87" s="125"/>
      <c r="D87" s="125"/>
      <c r="E87" s="125"/>
      <c r="F87" s="125"/>
      <c r="G87" s="125"/>
      <c r="H87" s="125"/>
      <c r="I87" s="125"/>
      <c r="J87" s="125"/>
      <c r="K87" s="125"/>
      <c r="L87" s="125"/>
      <c r="M87" s="125"/>
      <c r="N87" s="125"/>
      <c r="O87" s="125"/>
      <c r="P87" s="125"/>
    </row>
    <row r="88" spans="1:16" s="64" customFormat="1" x14ac:dyDescent="0.2">
      <c r="A88" s="104" t="str">
        <v>0:00</v>
      </c>
      <c r="B88" s="103"/>
      <c r="C88" s="125"/>
      <c r="D88" s="125"/>
      <c r="E88" s="125"/>
      <c r="F88" s="125"/>
      <c r="G88" s="125"/>
      <c r="H88" s="125"/>
      <c r="I88" s="125"/>
      <c r="J88" s="125"/>
      <c r="K88" s="125"/>
      <c r="L88" s="125"/>
      <c r="M88" s="125"/>
      <c r="N88" s="125"/>
      <c r="O88" s="125"/>
      <c r="P88" s="125"/>
    </row>
    <row r="89" spans="1:16" s="64" customFormat="1" x14ac:dyDescent="0.2">
      <c r="A89" s="104" t="str">
        <v>0:00</v>
      </c>
      <c r="B89" s="103"/>
      <c r="C89" s="125"/>
      <c r="D89" s="125"/>
      <c r="E89" s="125"/>
      <c r="F89" s="125"/>
      <c r="G89" s="125"/>
      <c r="H89" s="125"/>
      <c r="I89" s="125"/>
      <c r="J89" s="125"/>
      <c r="K89" s="125"/>
      <c r="L89" s="125"/>
      <c r="M89" s="125"/>
      <c r="N89" s="125"/>
      <c r="O89" s="125"/>
      <c r="P89" s="125"/>
    </row>
    <row r="90" spans="1:16" s="64" customFormat="1" x14ac:dyDescent="0.2">
      <c r="A90" s="104" t="str">
        <v>0:00</v>
      </c>
      <c r="B90" s="103"/>
      <c r="C90" s="125"/>
      <c r="D90" s="125"/>
      <c r="E90" s="125"/>
      <c r="F90" s="125"/>
      <c r="G90" s="125"/>
      <c r="H90" s="125"/>
      <c r="I90" s="125"/>
      <c r="J90" s="125"/>
      <c r="K90" s="125"/>
      <c r="L90" s="125"/>
      <c r="M90" s="125"/>
      <c r="N90" s="125"/>
      <c r="O90" s="125"/>
      <c r="P90" s="125"/>
    </row>
    <row r="91" spans="1:16" s="64" customFormat="1" x14ac:dyDescent="0.2">
      <c r="A91" s="104" t="str">
        <v>0:00</v>
      </c>
      <c r="B91" s="103"/>
      <c r="C91" s="125"/>
      <c r="D91" s="125"/>
      <c r="E91" s="125"/>
      <c r="F91" s="125"/>
      <c r="G91" s="125"/>
      <c r="H91" s="125"/>
      <c r="I91" s="125"/>
      <c r="J91" s="125"/>
      <c r="K91" s="125"/>
      <c r="L91" s="125"/>
      <c r="M91" s="125"/>
      <c r="N91" s="125"/>
      <c r="O91" s="125"/>
      <c r="P91" s="125"/>
    </row>
    <row r="92" spans="1:16" s="64" customFormat="1" x14ac:dyDescent="0.2">
      <c r="A92" s="104"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125"/>
      <c r="D501" s="125"/>
      <c r="E501" s="125"/>
      <c r="F501" s="125"/>
      <c r="G501" s="125"/>
      <c r="H501" s="125"/>
      <c r="I501" s="125"/>
      <c r="J501" s="125"/>
      <c r="K501" s="125"/>
      <c r="L501" s="125"/>
      <c r="M501" s="125"/>
      <c r="N501" s="125"/>
      <c r="O501" s="39"/>
      <c r="P501" s="39"/>
    </row>
    <row r="502" spans="1:16" x14ac:dyDescent="0.2">
      <c r="A502" s="47" t="str">
        <v>0:00</v>
      </c>
      <c r="B502" s="103"/>
      <c r="C502" s="125"/>
      <c r="D502" s="125"/>
      <c r="E502" s="125"/>
      <c r="F502" s="125"/>
      <c r="G502" s="125"/>
      <c r="H502" s="125"/>
      <c r="I502" s="125"/>
      <c r="J502" s="125"/>
      <c r="K502" s="125"/>
      <c r="L502" s="125"/>
      <c r="M502" s="125"/>
      <c r="N502" s="125"/>
      <c r="O502" s="39"/>
      <c r="P502" s="39"/>
    </row>
    <row r="503" spans="1:16" x14ac:dyDescent="0.2">
      <c r="A503" s="47" t="str">
        <v>0:00</v>
      </c>
      <c r="B503" s="103"/>
      <c r="C503" s="125"/>
      <c r="D503" s="125"/>
      <c r="E503" s="125"/>
      <c r="F503" s="125"/>
      <c r="G503" s="125"/>
      <c r="H503" s="125"/>
      <c r="I503" s="125"/>
      <c r="J503" s="125"/>
      <c r="K503" s="125"/>
      <c r="L503" s="125"/>
      <c r="M503" s="125"/>
      <c r="N503" s="125"/>
      <c r="O503" s="39"/>
      <c r="P503" s="39"/>
    </row>
    <row r="504" spans="1:16" x14ac:dyDescent="0.2">
      <c r="A504" s="47" t="str">
        <v>0:00</v>
      </c>
      <c r="B504" s="103"/>
      <c r="C504" s="125"/>
      <c r="D504" s="125"/>
      <c r="E504" s="125"/>
      <c r="F504" s="125"/>
      <c r="G504" s="125"/>
      <c r="H504" s="125"/>
      <c r="I504" s="125"/>
      <c r="J504" s="125"/>
      <c r="K504" s="125"/>
      <c r="L504" s="125"/>
      <c r="M504" s="125"/>
      <c r="N504" s="125"/>
      <c r="O504" s="39"/>
      <c r="P504" s="39"/>
    </row>
    <row r="505" spans="1:16" x14ac:dyDescent="0.2">
      <c r="A505" s="47" t="str">
        <v>0:00</v>
      </c>
      <c r="B505" s="103"/>
      <c r="C505" s="125"/>
      <c r="D505" s="125"/>
      <c r="E505" s="125"/>
      <c r="F505" s="125"/>
      <c r="G505" s="125"/>
      <c r="H505" s="125"/>
      <c r="I505" s="125"/>
      <c r="J505" s="125"/>
      <c r="K505" s="125"/>
      <c r="L505" s="125"/>
      <c r="M505" s="125"/>
      <c r="N505" s="125"/>
      <c r="O505" s="39"/>
      <c r="P505" s="39"/>
    </row>
    <row r="506" spans="1:16" x14ac:dyDescent="0.2">
      <c r="A506" s="47" t="str">
        <v>0:00</v>
      </c>
      <c r="B506" s="103"/>
      <c r="C506" s="125"/>
      <c r="D506" s="125"/>
      <c r="E506" s="125"/>
      <c r="F506" s="125"/>
      <c r="G506" s="125"/>
      <c r="H506" s="125"/>
      <c r="I506" s="125"/>
      <c r="J506" s="125"/>
      <c r="K506" s="125"/>
      <c r="L506" s="125"/>
      <c r="M506" s="125"/>
      <c r="N506" s="125"/>
      <c r="O506" s="39"/>
      <c r="P506" s="39"/>
    </row>
    <row r="507" spans="1:16" x14ac:dyDescent="0.2">
      <c r="A507" s="47" t="str">
        <v>0:00</v>
      </c>
      <c r="B507" s="103"/>
      <c r="C507" s="125"/>
      <c r="D507" s="125"/>
      <c r="E507" s="125"/>
      <c r="F507" s="125"/>
      <c r="G507" s="125"/>
      <c r="H507" s="125"/>
      <c r="I507" s="125"/>
      <c r="J507" s="125"/>
      <c r="K507" s="125"/>
      <c r="L507" s="125"/>
      <c r="M507" s="125"/>
      <c r="N507" s="125"/>
      <c r="O507" s="39"/>
      <c r="P507" s="39"/>
    </row>
    <row r="508" spans="1:16" x14ac:dyDescent="0.2">
      <c r="A508" s="47" t="str">
        <v>0:00</v>
      </c>
      <c r="B508" s="103"/>
      <c r="C508" s="125"/>
      <c r="D508" s="125"/>
      <c r="E508" s="125"/>
      <c r="F508" s="125"/>
      <c r="G508" s="125"/>
      <c r="H508" s="125"/>
      <c r="I508" s="125"/>
      <c r="J508" s="125"/>
      <c r="K508" s="125"/>
      <c r="L508" s="125"/>
      <c r="M508" s="125"/>
      <c r="N508" s="125"/>
      <c r="O508" s="39"/>
      <c r="P508" s="39"/>
    </row>
    <row r="509" spans="1:16" x14ac:dyDescent="0.2">
      <c r="A509" s="47" t="str">
        <v>0:00</v>
      </c>
      <c r="B509" s="103"/>
      <c r="C509" s="125"/>
      <c r="D509" s="125"/>
      <c r="E509" s="125"/>
      <c r="F509" s="125"/>
      <c r="G509" s="125"/>
      <c r="H509" s="125"/>
      <c r="I509" s="125"/>
      <c r="J509" s="125"/>
      <c r="K509" s="125"/>
      <c r="L509" s="125"/>
      <c r="M509" s="125"/>
      <c r="N509" s="125"/>
      <c r="O509" s="39"/>
      <c r="P509" s="39"/>
    </row>
    <row r="510" spans="1:16" x14ac:dyDescent="0.2">
      <c r="A510" s="47" t="str">
        <v>0:00</v>
      </c>
      <c r="B510" s="103"/>
      <c r="C510" s="125"/>
      <c r="D510" s="125"/>
      <c r="E510" s="125"/>
      <c r="F510" s="125"/>
      <c r="G510" s="125"/>
      <c r="H510" s="125"/>
      <c r="I510" s="125"/>
      <c r="J510" s="125"/>
      <c r="K510" s="125"/>
      <c r="L510" s="125"/>
      <c r="M510" s="125"/>
      <c r="N510" s="125"/>
      <c r="O510" s="39"/>
      <c r="P510" s="39"/>
    </row>
    <row r="511" spans="1:16" x14ac:dyDescent="0.2">
      <c r="A511" s="47" t="str">
        <v>0:00</v>
      </c>
      <c r="B511" s="103"/>
      <c r="C511" s="125"/>
      <c r="D511" s="125"/>
      <c r="E511" s="125"/>
      <c r="F511" s="125"/>
      <c r="G511" s="125"/>
      <c r="H511" s="125"/>
      <c r="I511" s="125"/>
      <c r="J511" s="125"/>
      <c r="K511" s="125"/>
      <c r="L511" s="125"/>
      <c r="M511" s="125"/>
      <c r="N511" s="125"/>
      <c r="O511" s="39"/>
      <c r="P511" s="39"/>
    </row>
    <row r="512" spans="1:16" x14ac:dyDescent="0.2">
      <c r="A512" s="47" t="str">
        <v>0:00</v>
      </c>
      <c r="B512" s="103"/>
      <c r="C512" s="125"/>
      <c r="D512" s="125"/>
      <c r="E512" s="125"/>
      <c r="F512" s="125"/>
      <c r="G512" s="125"/>
      <c r="H512" s="125"/>
      <c r="I512" s="125"/>
      <c r="J512" s="125"/>
      <c r="K512" s="125"/>
      <c r="L512" s="125"/>
      <c r="M512" s="125"/>
      <c r="N512" s="125"/>
      <c r="O512" s="39"/>
      <c r="P512" s="39"/>
    </row>
    <row r="513" spans="1:16" x14ac:dyDescent="0.2">
      <c r="A513" s="47" t="str">
        <v>0:00</v>
      </c>
      <c r="B513" s="103"/>
      <c r="C513" s="125"/>
      <c r="D513" s="125"/>
      <c r="E513" s="125"/>
      <c r="F513" s="125"/>
      <c r="G513" s="125"/>
      <c r="H513" s="125"/>
      <c r="I513" s="125"/>
      <c r="J513" s="125"/>
      <c r="K513" s="125"/>
      <c r="L513" s="125"/>
      <c r="M513" s="125"/>
      <c r="N513" s="125"/>
      <c r="O513" s="39"/>
      <c r="P513" s="39"/>
    </row>
    <row r="514" spans="1:16" x14ac:dyDescent="0.2">
      <c r="A514" s="47" t="str">
        <v>0:00</v>
      </c>
      <c r="B514" s="103"/>
      <c r="C514" s="125"/>
      <c r="D514" s="125"/>
      <c r="E514" s="125"/>
      <c r="F514" s="125"/>
      <c r="G514" s="125"/>
      <c r="H514" s="125"/>
      <c r="I514" s="125"/>
      <c r="J514" s="125"/>
      <c r="K514" s="125"/>
      <c r="L514" s="125"/>
      <c r="M514" s="125"/>
      <c r="N514" s="125"/>
      <c r="O514" s="39"/>
      <c r="P514" s="39"/>
    </row>
    <row r="515" spans="1:16" x14ac:dyDescent="0.2">
      <c r="A515" s="47" t="str">
        <v>0:00</v>
      </c>
      <c r="B515" s="103"/>
      <c r="C515" s="125"/>
      <c r="D515" s="125"/>
      <c r="E515" s="125"/>
      <c r="F515" s="125"/>
      <c r="G515" s="125"/>
      <c r="H515" s="125"/>
      <c r="I515" s="125"/>
      <c r="J515" s="125"/>
      <c r="K515" s="125"/>
      <c r="L515" s="125"/>
      <c r="M515" s="125"/>
      <c r="N515" s="125"/>
      <c r="O515" s="39"/>
      <c r="P515" s="39"/>
    </row>
    <row r="516" spans="1:16" x14ac:dyDescent="0.2">
      <c r="A516" s="47" t="str">
        <v>0:00</v>
      </c>
      <c r="B516" s="103"/>
      <c r="C516" s="125"/>
      <c r="D516" s="125"/>
      <c r="E516" s="125"/>
      <c r="F516" s="125"/>
      <c r="G516" s="125"/>
      <c r="H516" s="125"/>
      <c r="I516" s="125"/>
      <c r="J516" s="125"/>
      <c r="K516" s="125"/>
      <c r="L516" s="125"/>
      <c r="M516" s="125"/>
      <c r="N516" s="125"/>
      <c r="O516" s="39"/>
      <c r="P516" s="39"/>
    </row>
    <row r="517" spans="1:16" x14ac:dyDescent="0.2">
      <c r="A517" s="47" t="str">
        <v>0:00</v>
      </c>
      <c r="B517" s="103"/>
      <c r="C517" s="125"/>
      <c r="D517" s="125"/>
      <c r="E517" s="125"/>
      <c r="F517" s="125"/>
      <c r="G517" s="125"/>
      <c r="H517" s="125"/>
      <c r="I517" s="125"/>
      <c r="J517" s="125"/>
      <c r="K517" s="125"/>
      <c r="L517" s="125"/>
      <c r="M517" s="125"/>
      <c r="N517" s="125"/>
      <c r="O517" s="39"/>
      <c r="P517" s="39"/>
    </row>
    <row r="518" spans="1:16" x14ac:dyDescent="0.2">
      <c r="A518" s="47" t="str">
        <v>0:00</v>
      </c>
      <c r="B518" s="103"/>
      <c r="C518" s="125"/>
      <c r="D518" s="125"/>
      <c r="E518" s="125"/>
      <c r="F518" s="125"/>
      <c r="G518" s="125"/>
      <c r="H518" s="125"/>
      <c r="I518" s="125"/>
      <c r="J518" s="125"/>
      <c r="K518" s="125"/>
      <c r="L518" s="125"/>
      <c r="M518" s="125"/>
      <c r="N518" s="125"/>
      <c r="O518" s="39"/>
      <c r="P518" s="39"/>
    </row>
    <row r="519" spans="1:16" x14ac:dyDescent="0.2">
      <c r="A519" s="47" t="str">
        <v>0:00</v>
      </c>
      <c r="B519" s="103"/>
      <c r="C519" s="125"/>
      <c r="D519" s="125"/>
      <c r="E519" s="125"/>
      <c r="F519" s="125"/>
      <c r="G519" s="125"/>
      <c r="H519" s="125"/>
      <c r="I519" s="125"/>
      <c r="J519" s="125"/>
      <c r="K519" s="125"/>
      <c r="L519" s="125"/>
      <c r="M519" s="125"/>
      <c r="N519" s="125"/>
      <c r="O519" s="39"/>
      <c r="P519" s="39"/>
    </row>
    <row r="520" spans="1:16" x14ac:dyDescent="0.2">
      <c r="A520" s="47" t="str">
        <v>0:00</v>
      </c>
      <c r="B520" s="103"/>
      <c r="C520" s="125"/>
      <c r="D520" s="125"/>
      <c r="E520" s="125"/>
      <c r="F520" s="125"/>
      <c r="G520" s="125"/>
      <c r="H520" s="125"/>
      <c r="I520" s="125"/>
      <c r="J520" s="125"/>
      <c r="K520" s="125"/>
      <c r="L520" s="125"/>
      <c r="M520" s="125"/>
      <c r="N520" s="125"/>
      <c r="O520" s="39"/>
      <c r="P520" s="39"/>
    </row>
    <row r="521" spans="1:16" x14ac:dyDescent="0.2">
      <c r="A521" s="47" t="str">
        <v>0:00</v>
      </c>
      <c r="B521" s="103"/>
      <c r="C521" s="125"/>
      <c r="D521" s="125"/>
      <c r="E521" s="125"/>
      <c r="F521" s="125"/>
      <c r="G521" s="125"/>
      <c r="H521" s="125"/>
      <c r="I521" s="125"/>
      <c r="J521" s="125"/>
      <c r="K521" s="125"/>
      <c r="L521" s="125"/>
      <c r="M521" s="125"/>
      <c r="N521" s="125"/>
      <c r="O521" s="39"/>
      <c r="P521" s="39"/>
    </row>
    <row r="522" spans="1:16" x14ac:dyDescent="0.2">
      <c r="A522" s="47" t="str">
        <v>0:00</v>
      </c>
      <c r="B522" s="103"/>
      <c r="C522" s="125"/>
      <c r="D522" s="125"/>
      <c r="E522" s="125"/>
      <c r="F522" s="125"/>
      <c r="G522" s="125"/>
      <c r="H522" s="125"/>
      <c r="I522" s="125"/>
      <c r="J522" s="125"/>
      <c r="K522" s="125"/>
      <c r="L522" s="125"/>
      <c r="M522" s="125"/>
      <c r="N522" s="125"/>
      <c r="O522" s="39"/>
      <c r="P522" s="39"/>
    </row>
    <row r="523" spans="1:16" x14ac:dyDescent="0.2">
      <c r="A523" s="47" t="str">
        <v>0:00</v>
      </c>
      <c r="B523" s="103"/>
      <c r="C523" s="125"/>
      <c r="D523" s="125"/>
      <c r="E523" s="125"/>
      <c r="F523" s="125"/>
      <c r="G523" s="125"/>
      <c r="H523" s="125"/>
      <c r="I523" s="125"/>
      <c r="J523" s="125"/>
      <c r="K523" s="125"/>
      <c r="L523" s="125"/>
      <c r="M523" s="125"/>
      <c r="N523" s="125"/>
      <c r="O523" s="39"/>
      <c r="P523" s="39"/>
    </row>
    <row r="524" spans="1:16" x14ac:dyDescent="0.2">
      <c r="A524" s="47" t="str">
        <v>0:00</v>
      </c>
      <c r="B524" s="103"/>
      <c r="C524" s="125"/>
      <c r="D524" s="125"/>
      <c r="E524" s="125"/>
      <c r="F524" s="125"/>
      <c r="G524" s="125"/>
      <c r="H524" s="125"/>
      <c r="I524" s="125"/>
      <c r="J524" s="125"/>
      <c r="K524" s="125"/>
      <c r="L524" s="125"/>
      <c r="M524" s="125"/>
      <c r="N524" s="125"/>
      <c r="O524" s="39"/>
      <c r="P524" s="39"/>
    </row>
    <row r="525" spans="1:16" x14ac:dyDescent="0.2">
      <c r="A525" s="47" t="str">
        <v>0:00</v>
      </c>
      <c r="B525" s="103"/>
      <c r="C525" s="125"/>
      <c r="D525" s="125"/>
      <c r="E525" s="125"/>
      <c r="F525" s="125"/>
      <c r="G525" s="125"/>
      <c r="H525" s="125"/>
      <c r="I525" s="125"/>
      <c r="J525" s="125"/>
      <c r="K525" s="125"/>
      <c r="L525" s="125"/>
      <c r="M525" s="125"/>
      <c r="N525" s="125"/>
      <c r="O525" s="39"/>
      <c r="P525" s="39"/>
    </row>
    <row r="526" spans="1:16" x14ac:dyDescent="0.2">
      <c r="A526" s="47" t="str">
        <v>0:00</v>
      </c>
      <c r="B526" s="103"/>
      <c r="C526" s="125"/>
      <c r="D526" s="125"/>
      <c r="E526" s="125"/>
      <c r="F526" s="125"/>
      <c r="G526" s="125"/>
      <c r="H526" s="125"/>
      <c r="I526" s="125"/>
      <c r="J526" s="125"/>
      <c r="K526" s="125"/>
      <c r="L526" s="125"/>
      <c r="M526" s="125"/>
      <c r="N526" s="125"/>
      <c r="O526" s="39"/>
      <c r="P526" s="39"/>
    </row>
    <row r="527" spans="1:16" x14ac:dyDescent="0.2">
      <c r="A527" s="47" t="str">
        <v>0:00</v>
      </c>
      <c r="B527" s="103"/>
      <c r="C527" s="125"/>
      <c r="D527" s="125"/>
      <c r="E527" s="125"/>
      <c r="F527" s="125"/>
      <c r="G527" s="125"/>
      <c r="H527" s="125"/>
      <c r="I527" s="125"/>
      <c r="J527" s="125"/>
      <c r="K527" s="125"/>
      <c r="L527" s="125"/>
      <c r="M527" s="125"/>
      <c r="N527" s="125"/>
      <c r="O527" s="39"/>
      <c r="P527" s="39"/>
    </row>
    <row r="528" spans="1:16" x14ac:dyDescent="0.2">
      <c r="A528" s="47" t="str">
        <v>0:00</v>
      </c>
      <c r="B528" s="103"/>
      <c r="C528" s="125"/>
      <c r="D528" s="125"/>
      <c r="E528" s="125"/>
      <c r="F528" s="125"/>
      <c r="G528" s="125"/>
      <c r="H528" s="125"/>
      <c r="I528" s="125"/>
      <c r="J528" s="125"/>
      <c r="K528" s="125"/>
      <c r="L528" s="125"/>
      <c r="M528" s="125"/>
      <c r="N528" s="125"/>
      <c r="O528" s="39"/>
      <c r="P528" s="39"/>
    </row>
    <row r="529" spans="1:16" x14ac:dyDescent="0.2">
      <c r="A529" s="47" t="str">
        <v>0:00</v>
      </c>
      <c r="B529" s="103"/>
      <c r="C529" s="125"/>
      <c r="D529" s="125"/>
      <c r="E529" s="125"/>
      <c r="F529" s="125"/>
      <c r="G529" s="125"/>
      <c r="H529" s="125"/>
      <c r="I529" s="125"/>
      <c r="J529" s="125"/>
      <c r="K529" s="125"/>
      <c r="L529" s="125"/>
      <c r="M529" s="125"/>
      <c r="N529" s="125"/>
      <c r="O529" s="39"/>
      <c r="P529" s="39"/>
    </row>
    <row r="530" spans="1:16" x14ac:dyDescent="0.2">
      <c r="A530" s="47" t="str">
        <v>0:00</v>
      </c>
      <c r="B530" s="103"/>
      <c r="C530" s="125"/>
      <c r="D530" s="125"/>
      <c r="E530" s="125"/>
      <c r="F530" s="125"/>
      <c r="G530" s="125"/>
      <c r="H530" s="125"/>
      <c r="I530" s="125"/>
      <c r="J530" s="125"/>
      <c r="K530" s="125"/>
      <c r="L530" s="125"/>
      <c r="M530" s="125"/>
      <c r="N530" s="125"/>
      <c r="O530" s="39"/>
      <c r="P530" s="39"/>
    </row>
    <row r="531" spans="1:16" x14ac:dyDescent="0.2">
      <c r="A531" s="47" t="str">
        <v>0:00</v>
      </c>
      <c r="B531" s="103"/>
      <c r="C531" s="125"/>
      <c r="D531" s="125"/>
      <c r="E531" s="125"/>
      <c r="F531" s="125"/>
      <c r="G531" s="125"/>
      <c r="H531" s="125"/>
      <c r="I531" s="125"/>
      <c r="J531" s="125"/>
      <c r="K531" s="125"/>
      <c r="L531" s="125"/>
      <c r="M531" s="125"/>
      <c r="N531" s="125"/>
      <c r="O531" s="39"/>
      <c r="P531" s="39"/>
    </row>
    <row r="532" spans="1:16" x14ac:dyDescent="0.2">
      <c r="A532" s="47" t="str">
        <v>0:00</v>
      </c>
      <c r="B532" s="103"/>
      <c r="C532" s="125"/>
      <c r="D532" s="125"/>
      <c r="E532" s="125"/>
      <c r="F532" s="125"/>
      <c r="G532" s="125"/>
      <c r="H532" s="125"/>
      <c r="I532" s="125"/>
      <c r="J532" s="125"/>
      <c r="K532" s="125"/>
      <c r="L532" s="125"/>
      <c r="M532" s="125"/>
      <c r="N532" s="125"/>
      <c r="O532" s="39"/>
      <c r="P532" s="39"/>
    </row>
    <row r="533" spans="1:16" x14ac:dyDescent="0.2">
      <c r="A533" s="47" t="str">
        <v>0:00</v>
      </c>
      <c r="B533" s="103"/>
      <c r="C533" s="125"/>
      <c r="D533" s="125"/>
      <c r="E533" s="125"/>
      <c r="F533" s="125"/>
      <c r="G533" s="125"/>
      <c r="H533" s="125"/>
      <c r="I533" s="125"/>
      <c r="J533" s="125"/>
      <c r="K533" s="125"/>
      <c r="L533" s="125"/>
      <c r="M533" s="125"/>
      <c r="N533" s="125"/>
      <c r="O533" s="39"/>
      <c r="P533" s="39"/>
    </row>
    <row r="534" spans="1:16" x14ac:dyDescent="0.2">
      <c r="A534" s="47" t="str">
        <v>0:00</v>
      </c>
      <c r="B534" s="103"/>
      <c r="C534" s="125"/>
      <c r="D534" s="125"/>
      <c r="E534" s="125"/>
      <c r="F534" s="125"/>
      <c r="G534" s="125"/>
      <c r="H534" s="125"/>
      <c r="I534" s="125"/>
      <c r="J534" s="125"/>
      <c r="K534" s="125"/>
      <c r="L534" s="125"/>
      <c r="M534" s="125"/>
      <c r="N534" s="125"/>
      <c r="O534" s="39"/>
      <c r="P534" s="39"/>
    </row>
    <row r="535" spans="1:16" x14ac:dyDescent="0.2">
      <c r="A535" s="47" t="str">
        <v>0:00</v>
      </c>
      <c r="B535" s="103"/>
      <c r="C535" s="125"/>
      <c r="D535" s="125"/>
      <c r="E535" s="125"/>
      <c r="F535" s="125"/>
      <c r="G535" s="125"/>
      <c r="H535" s="125"/>
      <c r="I535" s="125"/>
      <c r="J535" s="125"/>
      <c r="K535" s="125"/>
      <c r="L535" s="125"/>
      <c r="M535" s="125"/>
      <c r="N535" s="125"/>
      <c r="O535" s="39"/>
      <c r="P535" s="39"/>
    </row>
    <row r="536" spans="1:16" x14ac:dyDescent="0.2">
      <c r="A536" s="47" t="str">
        <v>0:00</v>
      </c>
      <c r="B536" s="103"/>
      <c r="C536" s="125"/>
      <c r="D536" s="125"/>
      <c r="E536" s="125"/>
      <c r="F536" s="125"/>
      <c r="G536" s="125"/>
      <c r="H536" s="125"/>
      <c r="I536" s="125"/>
      <c r="J536" s="125"/>
      <c r="K536" s="125"/>
      <c r="L536" s="125"/>
      <c r="M536" s="125"/>
      <c r="N536" s="125"/>
      <c r="O536" s="39"/>
      <c r="P536" s="39"/>
    </row>
    <row r="537" spans="1:16" x14ac:dyDescent="0.2">
      <c r="A537" s="47" t="str">
        <v>0:00</v>
      </c>
      <c r="B537" s="103"/>
      <c r="C537" s="125"/>
      <c r="D537" s="125"/>
      <c r="E537" s="125"/>
      <c r="F537" s="125"/>
      <c r="G537" s="125"/>
      <c r="H537" s="125"/>
      <c r="I537" s="125"/>
      <c r="J537" s="125"/>
      <c r="K537" s="125"/>
      <c r="L537" s="125"/>
      <c r="M537" s="125"/>
      <c r="N537" s="125"/>
      <c r="O537" s="39"/>
      <c r="P537" s="39"/>
    </row>
    <row r="538" spans="1:16" x14ac:dyDescent="0.2">
      <c r="A538" s="47" t="str">
        <v>0:00</v>
      </c>
      <c r="B538" s="103"/>
      <c r="C538" s="125"/>
      <c r="D538" s="125"/>
      <c r="E538" s="125"/>
      <c r="F538" s="125"/>
      <c r="G538" s="125"/>
      <c r="H538" s="125"/>
      <c r="I538" s="125"/>
      <c r="J538" s="125"/>
      <c r="K538" s="125"/>
      <c r="L538" s="125"/>
      <c r="M538" s="125"/>
      <c r="N538" s="125"/>
      <c r="O538" s="39"/>
      <c r="P538" s="39"/>
    </row>
    <row r="539" spans="1:16" x14ac:dyDescent="0.2">
      <c r="A539" s="47" t="str">
        <v>0:00</v>
      </c>
      <c r="B539" s="103"/>
      <c r="C539" s="125"/>
      <c r="D539" s="125"/>
      <c r="E539" s="125"/>
      <c r="F539" s="125"/>
      <c r="G539" s="125"/>
      <c r="H539" s="125"/>
      <c r="I539" s="125"/>
      <c r="J539" s="125"/>
      <c r="K539" s="125"/>
      <c r="L539" s="125"/>
      <c r="M539" s="125"/>
      <c r="N539" s="125"/>
      <c r="O539" s="39"/>
      <c r="P539" s="39"/>
    </row>
    <row r="540" spans="1:16" x14ac:dyDescent="0.2">
      <c r="A540" s="47" t="str">
        <v>0:00</v>
      </c>
      <c r="B540" s="103"/>
      <c r="C540" s="125"/>
      <c r="D540" s="125"/>
      <c r="E540" s="125"/>
      <c r="F540" s="125"/>
      <c r="G540" s="125"/>
      <c r="H540" s="125"/>
      <c r="I540" s="125"/>
      <c r="J540" s="125"/>
      <c r="K540" s="125"/>
      <c r="L540" s="125"/>
      <c r="M540" s="125"/>
      <c r="N540" s="125"/>
      <c r="O540" s="39"/>
      <c r="P540" s="39"/>
    </row>
    <row r="541" spans="1:16" x14ac:dyDescent="0.2">
      <c r="A541" s="47" t="str">
        <v>0:00</v>
      </c>
      <c r="B541" s="103"/>
      <c r="C541" s="125"/>
      <c r="D541" s="125"/>
      <c r="E541" s="125"/>
      <c r="F541" s="125"/>
      <c r="G541" s="125"/>
      <c r="H541" s="125"/>
      <c r="I541" s="125"/>
      <c r="J541" s="125"/>
      <c r="K541" s="125"/>
      <c r="L541" s="125"/>
      <c r="M541" s="125"/>
      <c r="N541" s="125"/>
      <c r="O541" s="39"/>
      <c r="P541" s="39"/>
    </row>
    <row r="542" spans="1:16" x14ac:dyDescent="0.2">
      <c r="A542" s="47" t="str">
        <v>0:00</v>
      </c>
      <c r="B542" s="103"/>
      <c r="C542" s="125"/>
      <c r="D542" s="125"/>
      <c r="E542" s="125"/>
      <c r="F542" s="125"/>
      <c r="G542" s="125"/>
      <c r="H542" s="125"/>
      <c r="I542" s="125"/>
      <c r="J542" s="125"/>
      <c r="K542" s="125"/>
      <c r="L542" s="125"/>
      <c r="M542" s="125"/>
      <c r="N542" s="125"/>
      <c r="O542" s="39"/>
      <c r="P542" s="39"/>
    </row>
    <row r="543" spans="1:16" x14ac:dyDescent="0.2">
      <c r="A543" s="47" t="str">
        <v>0:00</v>
      </c>
      <c r="B543" s="103"/>
      <c r="C543" s="125"/>
      <c r="D543" s="125"/>
      <c r="E543" s="125"/>
      <c r="F543" s="125"/>
      <c r="G543" s="125"/>
      <c r="H543" s="125"/>
      <c r="I543" s="125"/>
      <c r="J543" s="125"/>
      <c r="K543" s="125"/>
      <c r="L543" s="125"/>
      <c r="M543" s="125"/>
      <c r="N543" s="125"/>
      <c r="O543" s="39"/>
      <c r="P543" s="39"/>
    </row>
    <row r="544" spans="1:16" x14ac:dyDescent="0.2">
      <c r="A544" s="47" t="str">
        <v>0:00</v>
      </c>
      <c r="B544" s="103"/>
      <c r="C544" s="125"/>
      <c r="D544" s="125"/>
      <c r="E544" s="125"/>
      <c r="F544" s="125"/>
      <c r="G544" s="125"/>
      <c r="H544" s="125"/>
      <c r="I544" s="125"/>
      <c r="J544" s="125"/>
      <c r="K544" s="125"/>
      <c r="L544" s="125"/>
      <c r="M544" s="125"/>
      <c r="N544" s="125"/>
      <c r="O544" s="39"/>
      <c r="P544" s="39"/>
    </row>
    <row r="545" spans="1:16" x14ac:dyDescent="0.2">
      <c r="A545" s="47" t="str">
        <v>0:00</v>
      </c>
      <c r="B545" s="103"/>
      <c r="C545" s="125"/>
      <c r="D545" s="125"/>
      <c r="E545" s="125"/>
      <c r="F545" s="125"/>
      <c r="G545" s="125"/>
      <c r="H545" s="125"/>
      <c r="I545" s="125"/>
      <c r="J545" s="125"/>
      <c r="K545" s="125"/>
      <c r="L545" s="125"/>
      <c r="M545" s="125"/>
      <c r="N545" s="125"/>
      <c r="O545" s="39"/>
      <c r="P545" s="39"/>
    </row>
    <row r="546" spans="1:16" x14ac:dyDescent="0.2">
      <c r="A546" s="47" t="str">
        <v>0:00</v>
      </c>
      <c r="B546" s="103"/>
      <c r="C546" s="125"/>
      <c r="D546" s="125"/>
      <c r="E546" s="125"/>
      <c r="F546" s="125"/>
      <c r="G546" s="125"/>
      <c r="H546" s="125"/>
      <c r="I546" s="125"/>
      <c r="J546" s="125"/>
      <c r="K546" s="125"/>
      <c r="L546" s="125"/>
      <c r="M546" s="125"/>
      <c r="N546" s="125"/>
      <c r="O546" s="39"/>
      <c r="P546" s="39"/>
    </row>
    <row r="547" spans="1:16" x14ac:dyDescent="0.2">
      <c r="A547" s="47" t="str">
        <v>0:00</v>
      </c>
      <c r="B547" s="103"/>
      <c r="C547" s="125"/>
      <c r="D547" s="125"/>
      <c r="E547" s="125"/>
      <c r="F547" s="125"/>
      <c r="G547" s="125"/>
      <c r="H547" s="125"/>
      <c r="I547" s="125"/>
      <c r="J547" s="125"/>
      <c r="K547" s="125"/>
      <c r="L547" s="125"/>
      <c r="M547" s="125"/>
      <c r="N547" s="125"/>
      <c r="O547" s="39"/>
      <c r="P547" s="39"/>
    </row>
    <row r="548" spans="1:16" x14ac:dyDescent="0.2">
      <c r="A548" s="47" t="str">
        <v>0:00</v>
      </c>
      <c r="B548" s="103"/>
      <c r="C548" s="125"/>
      <c r="D548" s="125"/>
      <c r="E548" s="125"/>
      <c r="F548" s="125"/>
      <c r="G548" s="125"/>
      <c r="H548" s="125"/>
      <c r="I548" s="125"/>
      <c r="J548" s="125"/>
      <c r="K548" s="125"/>
      <c r="L548" s="125"/>
      <c r="M548" s="125"/>
      <c r="N548" s="125"/>
      <c r="O548" s="39"/>
      <c r="P548" s="39"/>
    </row>
    <row r="549" spans="1:16" x14ac:dyDescent="0.2">
      <c r="A549" s="47" t="str">
        <v>0:00</v>
      </c>
      <c r="B549" s="103"/>
      <c r="C549" s="125"/>
      <c r="D549" s="125"/>
      <c r="E549" s="125"/>
      <c r="F549" s="125"/>
      <c r="G549" s="125"/>
      <c r="H549" s="125"/>
      <c r="I549" s="125"/>
      <c r="J549" s="125"/>
      <c r="K549" s="125"/>
      <c r="L549" s="125"/>
      <c r="M549" s="125"/>
      <c r="N549" s="125"/>
      <c r="O549" s="39"/>
      <c r="P549" s="39"/>
    </row>
    <row r="550" spans="1:16" x14ac:dyDescent="0.2">
      <c r="A550" s="47" t="str">
        <v>0:00</v>
      </c>
      <c r="B550" s="103"/>
      <c r="C550" s="125"/>
      <c r="D550" s="125"/>
      <c r="E550" s="125"/>
      <c r="F550" s="125"/>
      <c r="G550" s="125"/>
      <c r="H550" s="125"/>
      <c r="I550" s="125"/>
      <c r="J550" s="125"/>
      <c r="K550" s="125"/>
      <c r="L550" s="125"/>
      <c r="M550" s="125"/>
      <c r="N550" s="125"/>
      <c r="O550" s="39"/>
      <c r="P550" s="39"/>
    </row>
    <row r="551" spans="1:16" x14ac:dyDescent="0.2">
      <c r="A551" s="47" t="str">
        <v>0:00</v>
      </c>
      <c r="B551" s="103"/>
      <c r="C551" s="125"/>
      <c r="D551" s="125"/>
      <c r="E551" s="125"/>
      <c r="F551" s="125"/>
      <c r="G551" s="125"/>
      <c r="H551" s="125"/>
      <c r="I551" s="125"/>
      <c r="J551" s="125"/>
      <c r="K551" s="125"/>
      <c r="L551" s="125"/>
      <c r="M551" s="125"/>
      <c r="N551" s="125"/>
      <c r="O551" s="39"/>
      <c r="P551" s="39"/>
    </row>
    <row r="552" spans="1:16" x14ac:dyDescent="0.2">
      <c r="A552" s="47" t="str">
        <v>0:00</v>
      </c>
      <c r="B552" s="103"/>
      <c r="C552" s="125"/>
      <c r="D552" s="125"/>
      <c r="E552" s="125"/>
      <c r="F552" s="125"/>
      <c r="G552" s="125"/>
      <c r="H552" s="125"/>
      <c r="I552" s="125"/>
      <c r="J552" s="125"/>
      <c r="K552" s="125"/>
      <c r="L552" s="125"/>
      <c r="M552" s="125"/>
      <c r="N552" s="125"/>
      <c r="O552" s="39"/>
      <c r="P552" s="39"/>
    </row>
    <row r="553" spans="1:16" x14ac:dyDescent="0.2">
      <c r="A553" s="47" t="str">
        <v>0:00</v>
      </c>
      <c r="B553" s="103"/>
      <c r="C553" s="125"/>
      <c r="D553" s="125"/>
      <c r="E553" s="125"/>
      <c r="F553" s="125"/>
      <c r="G553" s="125"/>
      <c r="H553" s="125"/>
      <c r="I553" s="125"/>
      <c r="J553" s="125"/>
      <c r="K553" s="125"/>
      <c r="L553" s="125"/>
      <c r="M553" s="125"/>
      <c r="N553" s="125"/>
      <c r="O553" s="39"/>
      <c r="P553" s="39"/>
    </row>
    <row r="554" spans="1:16" x14ac:dyDescent="0.2">
      <c r="A554" s="47" t="str">
        <v>0:00</v>
      </c>
      <c r="B554" s="103"/>
      <c r="C554" s="125"/>
      <c r="D554" s="125"/>
      <c r="E554" s="125"/>
      <c r="F554" s="125"/>
      <c r="G554" s="125"/>
      <c r="H554" s="125"/>
      <c r="I554" s="125"/>
      <c r="J554" s="125"/>
      <c r="K554" s="125"/>
      <c r="L554" s="125"/>
      <c r="M554" s="125"/>
      <c r="N554" s="125"/>
      <c r="O554" s="39"/>
      <c r="P554" s="39"/>
    </row>
    <row r="555" spans="1:16" x14ac:dyDescent="0.2">
      <c r="A555" s="47" t="str">
        <v>0:00</v>
      </c>
      <c r="B555" s="103"/>
      <c r="C555" s="125"/>
      <c r="D555" s="125"/>
      <c r="E555" s="125"/>
      <c r="F555" s="125"/>
      <c r="G555" s="125"/>
      <c r="H555" s="125"/>
      <c r="I555" s="125"/>
      <c r="J555" s="125"/>
      <c r="K555" s="125"/>
      <c r="L555" s="125"/>
      <c r="M555" s="125"/>
      <c r="N555" s="125"/>
      <c r="O555" s="39"/>
      <c r="P555" s="39"/>
    </row>
    <row r="556" spans="1:16" x14ac:dyDescent="0.2">
      <c r="A556" s="47" t="str">
        <v>0:00</v>
      </c>
      <c r="B556" s="103"/>
      <c r="C556" s="125"/>
      <c r="D556" s="125"/>
      <c r="E556" s="125"/>
      <c r="F556" s="125"/>
      <c r="G556" s="125"/>
      <c r="H556" s="125"/>
      <c r="I556" s="125"/>
      <c r="J556" s="125"/>
      <c r="K556" s="125"/>
      <c r="L556" s="125"/>
      <c r="M556" s="125"/>
      <c r="N556" s="125"/>
      <c r="O556" s="39"/>
      <c r="P556" s="39"/>
    </row>
    <row r="557" spans="1:16" x14ac:dyDescent="0.2">
      <c r="A557" s="47" t="str">
        <v>0:00</v>
      </c>
      <c r="B557" s="103"/>
      <c r="C557" s="125"/>
      <c r="D557" s="125"/>
      <c r="E557" s="125"/>
      <c r="F557" s="125"/>
      <c r="G557" s="125"/>
      <c r="H557" s="125"/>
      <c r="I557" s="125"/>
      <c r="J557" s="125"/>
      <c r="K557" s="125"/>
      <c r="L557" s="125"/>
      <c r="M557" s="125"/>
      <c r="N557" s="125"/>
      <c r="O557" s="39"/>
      <c r="P557" s="39"/>
    </row>
    <row r="558" spans="1:16" x14ac:dyDescent="0.2">
      <c r="A558" s="47" t="str">
        <v>0:00</v>
      </c>
      <c r="B558" s="103"/>
      <c r="C558" s="125"/>
      <c r="D558" s="125"/>
      <c r="E558" s="125"/>
      <c r="F558" s="125"/>
      <c r="G558" s="125"/>
      <c r="H558" s="125"/>
      <c r="I558" s="125"/>
      <c r="J558" s="125"/>
      <c r="K558" s="125"/>
      <c r="L558" s="125"/>
      <c r="M558" s="125"/>
      <c r="N558" s="125"/>
      <c r="O558" s="39"/>
      <c r="P558" s="39"/>
    </row>
    <row r="559" spans="1:16" x14ac:dyDescent="0.2">
      <c r="A559" s="47" t="str">
        <v>0:00</v>
      </c>
      <c r="B559" s="103"/>
      <c r="C559" s="125"/>
      <c r="D559" s="125"/>
      <c r="E559" s="125"/>
      <c r="F559" s="125"/>
      <c r="G559" s="125"/>
      <c r="H559" s="125"/>
      <c r="I559" s="125"/>
      <c r="J559" s="125"/>
      <c r="K559" s="125"/>
      <c r="L559" s="125"/>
      <c r="M559" s="125"/>
      <c r="N559" s="125"/>
      <c r="O559" s="39"/>
      <c r="P559" s="39"/>
    </row>
    <row r="560" spans="1:16" x14ac:dyDescent="0.2">
      <c r="A560" s="47" t="str">
        <v>0:00</v>
      </c>
      <c r="B560" s="103"/>
      <c r="C560" s="125"/>
      <c r="D560" s="125"/>
      <c r="E560" s="125"/>
      <c r="F560" s="125"/>
      <c r="G560" s="125"/>
      <c r="H560" s="125"/>
      <c r="I560" s="125"/>
      <c r="J560" s="125"/>
      <c r="K560" s="125"/>
      <c r="L560" s="125"/>
      <c r="M560" s="125"/>
      <c r="N560" s="125"/>
      <c r="O560" s="39"/>
      <c r="P560" s="39"/>
    </row>
    <row r="561" spans="1:16" x14ac:dyDescent="0.2">
      <c r="A561" s="47" t="str">
        <v>0:00</v>
      </c>
      <c r="B561" s="103"/>
      <c r="C561" s="125"/>
      <c r="D561" s="125"/>
      <c r="E561" s="125"/>
      <c r="F561" s="125"/>
      <c r="G561" s="125"/>
      <c r="H561" s="125"/>
      <c r="I561" s="125"/>
      <c r="J561" s="125"/>
      <c r="K561" s="125"/>
      <c r="L561" s="125"/>
      <c r="M561" s="125"/>
      <c r="N561" s="125"/>
      <c r="O561" s="39"/>
      <c r="P561" s="39"/>
    </row>
    <row r="562" spans="1:16" x14ac:dyDescent="0.2">
      <c r="A562" s="47" t="str">
        <v>0:00</v>
      </c>
      <c r="B562" s="103"/>
      <c r="C562" s="125"/>
      <c r="D562" s="125"/>
      <c r="E562" s="125"/>
      <c r="F562" s="125"/>
      <c r="G562" s="125"/>
      <c r="H562" s="125"/>
      <c r="I562" s="125"/>
      <c r="J562" s="125"/>
      <c r="K562" s="125"/>
      <c r="L562" s="125"/>
      <c r="M562" s="125"/>
      <c r="N562" s="125"/>
      <c r="O562" s="39"/>
      <c r="P562" s="39"/>
    </row>
    <row r="563" spans="1:16" x14ac:dyDescent="0.2">
      <c r="A563" s="47" t="str">
        <v>0:00</v>
      </c>
      <c r="B563" s="103"/>
      <c r="C563" s="125"/>
      <c r="D563" s="125"/>
      <c r="E563" s="125"/>
      <c r="F563" s="125"/>
      <c r="G563" s="125"/>
      <c r="H563" s="125"/>
      <c r="I563" s="125"/>
      <c r="J563" s="125"/>
      <c r="K563" s="125"/>
      <c r="L563" s="125"/>
      <c r="M563" s="125"/>
      <c r="N563" s="125"/>
      <c r="O563" s="39"/>
      <c r="P563" s="39"/>
    </row>
    <row r="564" spans="1:16" x14ac:dyDescent="0.2">
      <c r="A564" s="47" t="str">
        <v>0:00</v>
      </c>
      <c r="B564" s="103"/>
      <c r="C564" s="125"/>
      <c r="D564" s="125"/>
      <c r="E564" s="125"/>
      <c r="F564" s="125"/>
      <c r="G564" s="125"/>
      <c r="H564" s="125"/>
      <c r="I564" s="125"/>
      <c r="J564" s="125"/>
      <c r="K564" s="125"/>
      <c r="L564" s="125"/>
      <c r="M564" s="125"/>
      <c r="N564" s="125"/>
      <c r="O564" s="39"/>
      <c r="P564" s="39"/>
    </row>
    <row r="565" spans="1:16" x14ac:dyDescent="0.2">
      <c r="A565" s="47" t="str">
        <v>0:00</v>
      </c>
      <c r="B565" s="103"/>
      <c r="C565" s="125"/>
      <c r="D565" s="125"/>
      <c r="E565" s="125"/>
      <c r="F565" s="125"/>
      <c r="G565" s="125"/>
      <c r="H565" s="125"/>
      <c r="I565" s="125"/>
      <c r="J565" s="125"/>
      <c r="K565" s="125"/>
      <c r="L565" s="125"/>
      <c r="M565" s="125"/>
      <c r="N565" s="125"/>
      <c r="O565" s="39"/>
      <c r="P565" s="39"/>
    </row>
    <row r="566" spans="1:16" x14ac:dyDescent="0.2">
      <c r="A566" s="47" t="str">
        <v>0:00</v>
      </c>
      <c r="B566" s="103"/>
      <c r="C566" s="125"/>
      <c r="D566" s="125"/>
      <c r="E566" s="125"/>
      <c r="F566" s="125"/>
      <c r="G566" s="125"/>
      <c r="H566" s="125"/>
      <c r="I566" s="125"/>
      <c r="J566" s="125"/>
      <c r="K566" s="125"/>
      <c r="L566" s="125"/>
      <c r="M566" s="125"/>
      <c r="N566" s="125"/>
      <c r="O566" s="39"/>
      <c r="P566" s="39"/>
    </row>
    <row r="567" spans="1:16" x14ac:dyDescent="0.2">
      <c r="A567" s="47" t="str">
        <v>0:00</v>
      </c>
      <c r="B567" s="103"/>
      <c r="C567" s="125"/>
      <c r="D567" s="125"/>
      <c r="E567" s="125"/>
      <c r="F567" s="125"/>
      <c r="G567" s="125"/>
      <c r="H567" s="125"/>
      <c r="I567" s="125"/>
      <c r="J567" s="125"/>
      <c r="K567" s="125"/>
      <c r="L567" s="125"/>
      <c r="M567" s="125"/>
      <c r="N567" s="125"/>
      <c r="O567" s="39"/>
      <c r="P567" s="39"/>
    </row>
    <row r="568" spans="1:16" x14ac:dyDescent="0.2">
      <c r="A568" s="47" t="str">
        <v>0:00</v>
      </c>
      <c r="B568" s="103"/>
      <c r="C568" s="125"/>
      <c r="D568" s="125"/>
      <c r="E568" s="125"/>
      <c r="F568" s="125"/>
      <c r="G568" s="125"/>
      <c r="H568" s="125"/>
      <c r="I568" s="125"/>
      <c r="J568" s="125"/>
      <c r="K568" s="125"/>
      <c r="L568" s="125"/>
      <c r="M568" s="125"/>
      <c r="N568" s="125"/>
      <c r="O568" s="39"/>
      <c r="P568" s="39"/>
    </row>
    <row r="569" spans="1:16" x14ac:dyDescent="0.2">
      <c r="A569" s="47" t="str">
        <v>0:00</v>
      </c>
      <c r="B569" s="103"/>
      <c r="C569" s="125"/>
      <c r="D569" s="125"/>
      <c r="E569" s="125"/>
      <c r="F569" s="125"/>
      <c r="G569" s="125"/>
      <c r="H569" s="125"/>
      <c r="I569" s="125"/>
      <c r="J569" s="125"/>
      <c r="K569" s="125"/>
      <c r="L569" s="125"/>
      <c r="M569" s="125"/>
      <c r="N569" s="125"/>
      <c r="O569" s="39"/>
      <c r="P569" s="39"/>
    </row>
    <row r="570" spans="1:16" x14ac:dyDescent="0.2">
      <c r="A570" s="47" t="str">
        <v>0:00</v>
      </c>
      <c r="B570" s="103"/>
      <c r="C570" s="125"/>
      <c r="D570" s="125"/>
      <c r="E570" s="125"/>
      <c r="F570" s="125"/>
      <c r="G570" s="125"/>
      <c r="H570" s="125"/>
      <c r="I570" s="125"/>
      <c r="J570" s="125"/>
      <c r="K570" s="125"/>
      <c r="L570" s="125"/>
      <c r="M570" s="125"/>
      <c r="N570" s="125"/>
      <c r="O570" s="39"/>
      <c r="P570" s="39"/>
    </row>
    <row r="571" spans="1:16" x14ac:dyDescent="0.2">
      <c r="A571" s="47" t="str">
        <v>0:00</v>
      </c>
      <c r="B571" s="103"/>
      <c r="C571" s="125"/>
      <c r="D571" s="125"/>
      <c r="E571" s="125"/>
      <c r="F571" s="125"/>
      <c r="G571" s="125"/>
      <c r="H571" s="125"/>
      <c r="I571" s="125"/>
      <c r="J571" s="125"/>
      <c r="K571" s="125"/>
      <c r="L571" s="125"/>
      <c r="M571" s="125"/>
      <c r="N571" s="125"/>
      <c r="O571" s="39"/>
      <c r="P571" s="39"/>
    </row>
    <row r="572" spans="1:16" x14ac:dyDescent="0.2">
      <c r="A572" s="47" t="str">
        <v>0:00</v>
      </c>
      <c r="B572" s="103"/>
      <c r="C572" s="125"/>
      <c r="D572" s="125"/>
      <c r="E572" s="125"/>
      <c r="F572" s="125"/>
      <c r="G572" s="125"/>
      <c r="H572" s="125"/>
      <c r="I572" s="125"/>
      <c r="J572" s="125"/>
      <c r="K572" s="125"/>
      <c r="L572" s="125"/>
      <c r="M572" s="125"/>
      <c r="N572" s="125"/>
      <c r="O572" s="39"/>
      <c r="P572" s="39"/>
    </row>
    <row r="573" spans="1:16" x14ac:dyDescent="0.2">
      <c r="A573" s="47" t="str">
        <v>0:00</v>
      </c>
      <c r="B573" s="103"/>
      <c r="C573" s="125"/>
      <c r="D573" s="125"/>
      <c r="E573" s="125"/>
      <c r="F573" s="125"/>
      <c r="G573" s="125"/>
      <c r="H573" s="125"/>
      <c r="I573" s="125"/>
      <c r="J573" s="125"/>
      <c r="K573" s="125"/>
      <c r="L573" s="125"/>
      <c r="M573" s="125"/>
      <c r="N573" s="125"/>
      <c r="O573" s="39"/>
      <c r="P573" s="39"/>
    </row>
    <row r="574" spans="1:16" x14ac:dyDescent="0.2">
      <c r="A574" s="47" t="str">
        <v>0:00</v>
      </c>
      <c r="B574" s="103"/>
      <c r="C574" s="125"/>
      <c r="D574" s="125"/>
      <c r="E574" s="125"/>
      <c r="F574" s="125"/>
      <c r="G574" s="125"/>
      <c r="H574" s="125"/>
      <c r="I574" s="125"/>
      <c r="J574" s="125"/>
      <c r="K574" s="125"/>
      <c r="L574" s="125"/>
      <c r="M574" s="125"/>
      <c r="N574" s="125"/>
      <c r="O574" s="39"/>
      <c r="P574" s="39"/>
    </row>
    <row r="575" spans="1:16" x14ac:dyDescent="0.2">
      <c r="A575" s="47" t="str">
        <v>0:00</v>
      </c>
      <c r="B575" s="103"/>
      <c r="C575" s="125"/>
      <c r="D575" s="125"/>
      <c r="E575" s="125"/>
      <c r="F575" s="125"/>
      <c r="G575" s="125"/>
      <c r="H575" s="125"/>
      <c r="I575" s="125"/>
      <c r="J575" s="125"/>
      <c r="K575" s="125"/>
      <c r="L575" s="125"/>
      <c r="M575" s="125"/>
      <c r="N575" s="125"/>
      <c r="O575" s="39"/>
      <c r="P575" s="39"/>
    </row>
    <row r="576" spans="1:16" x14ac:dyDescent="0.2">
      <c r="A576" s="47" t="str">
        <v>0:00</v>
      </c>
      <c r="B576" s="103"/>
      <c r="C576" s="125"/>
      <c r="D576" s="125"/>
      <c r="E576" s="125"/>
      <c r="F576" s="125"/>
      <c r="G576" s="125"/>
      <c r="H576" s="125"/>
      <c r="I576" s="125"/>
      <c r="J576" s="125"/>
      <c r="K576" s="125"/>
      <c r="L576" s="125"/>
      <c r="M576" s="125"/>
      <c r="N576" s="125"/>
      <c r="O576" s="39"/>
      <c r="P576" s="39"/>
    </row>
    <row r="577" spans="1:16" x14ac:dyDescent="0.2">
      <c r="A577" s="47" t="str">
        <v>0:00</v>
      </c>
      <c r="B577" s="103"/>
      <c r="C577" s="125"/>
      <c r="D577" s="125"/>
      <c r="E577" s="125"/>
      <c r="F577" s="125"/>
      <c r="G577" s="125"/>
      <c r="H577" s="125"/>
      <c r="I577" s="125"/>
      <c r="J577" s="125"/>
      <c r="K577" s="125"/>
      <c r="L577" s="125"/>
      <c r="M577" s="125"/>
      <c r="N577" s="125"/>
      <c r="O577" s="39"/>
      <c r="P577" s="39"/>
    </row>
    <row r="578" spans="1:16" x14ac:dyDescent="0.2">
      <c r="A578" s="47" t="str">
        <v>0:00</v>
      </c>
      <c r="B578" s="103"/>
      <c r="C578" s="125"/>
      <c r="D578" s="125"/>
      <c r="E578" s="125"/>
      <c r="F578" s="125"/>
      <c r="G578" s="125"/>
      <c r="H578" s="125"/>
      <c r="I578" s="125"/>
      <c r="J578" s="125"/>
      <c r="K578" s="125"/>
      <c r="L578" s="125"/>
      <c r="M578" s="125"/>
      <c r="N578" s="125"/>
      <c r="O578" s="39"/>
      <c r="P578" s="39"/>
    </row>
    <row r="579" spans="1:16" x14ac:dyDescent="0.2">
      <c r="A579" s="47" t="str">
        <v>0:00</v>
      </c>
      <c r="B579" s="103"/>
      <c r="C579" s="125"/>
      <c r="D579" s="125"/>
      <c r="E579" s="125"/>
      <c r="F579" s="125"/>
      <c r="G579" s="125"/>
      <c r="H579" s="125"/>
      <c r="I579" s="125"/>
      <c r="J579" s="125"/>
      <c r="K579" s="125"/>
      <c r="L579" s="125"/>
      <c r="M579" s="125"/>
      <c r="N579" s="125"/>
      <c r="O579" s="39"/>
      <c r="P579" s="39"/>
    </row>
    <row r="580" spans="1:16" x14ac:dyDescent="0.2">
      <c r="A580" s="47" t="str">
        <v>0:00</v>
      </c>
      <c r="B580" s="103"/>
      <c r="C580" s="125"/>
      <c r="D580" s="125"/>
      <c r="E580" s="125"/>
      <c r="F580" s="125"/>
      <c r="G580" s="125"/>
      <c r="H580" s="125"/>
      <c r="I580" s="125"/>
      <c r="J580" s="125"/>
      <c r="K580" s="125"/>
      <c r="L580" s="125"/>
      <c r="M580" s="125"/>
      <c r="N580" s="125"/>
      <c r="O580" s="39"/>
      <c r="P580" s="39"/>
    </row>
    <row r="581" spans="1:16" x14ac:dyDescent="0.2">
      <c r="A581" s="47" t="str">
        <v>0:00</v>
      </c>
      <c r="B581" s="103"/>
      <c r="C581" s="125"/>
      <c r="D581" s="125"/>
      <c r="E581" s="125"/>
      <c r="F581" s="125"/>
      <c r="G581" s="125"/>
      <c r="H581" s="125"/>
      <c r="I581" s="125"/>
      <c r="J581" s="125"/>
      <c r="K581" s="125"/>
      <c r="L581" s="125"/>
      <c r="M581" s="125"/>
      <c r="N581" s="125"/>
      <c r="O581" s="39"/>
      <c r="P581" s="39"/>
    </row>
    <row r="582" spans="1:16" x14ac:dyDescent="0.2">
      <c r="A582" s="47" t="str">
        <v>0:00</v>
      </c>
      <c r="B582" s="103"/>
      <c r="C582" s="125"/>
      <c r="D582" s="125"/>
      <c r="E582" s="125"/>
      <c r="F582" s="125"/>
      <c r="G582" s="125"/>
      <c r="H582" s="125"/>
      <c r="I582" s="125"/>
      <c r="J582" s="125"/>
      <c r="K582" s="125"/>
      <c r="L582" s="125"/>
      <c r="M582" s="125"/>
      <c r="N582" s="125"/>
      <c r="O582" s="39"/>
      <c r="P582" s="39"/>
    </row>
    <row r="583" spans="1:16" x14ac:dyDescent="0.2">
      <c r="A583" s="47" t="str">
        <v>0:00</v>
      </c>
      <c r="B583" s="103"/>
      <c r="C583" s="125"/>
      <c r="D583" s="125"/>
      <c r="E583" s="125"/>
      <c r="F583" s="125"/>
      <c r="G583" s="125"/>
      <c r="H583" s="125"/>
      <c r="I583" s="125"/>
      <c r="J583" s="125"/>
      <c r="K583" s="125"/>
      <c r="L583" s="125"/>
      <c r="M583" s="125"/>
      <c r="N583" s="125"/>
      <c r="O583" s="39"/>
      <c r="P583" s="39"/>
    </row>
    <row r="584" spans="1:16" x14ac:dyDescent="0.2">
      <c r="A584" s="47" t="str">
        <v>0:00</v>
      </c>
      <c r="B584" s="103"/>
      <c r="C584" s="125"/>
      <c r="D584" s="125"/>
      <c r="E584" s="125"/>
      <c r="F584" s="125"/>
      <c r="G584" s="125"/>
      <c r="H584" s="125"/>
      <c r="I584" s="125"/>
      <c r="J584" s="125"/>
      <c r="K584" s="125"/>
      <c r="L584" s="125"/>
      <c r="M584" s="125"/>
      <c r="N584" s="125"/>
      <c r="O584" s="39"/>
      <c r="P584" s="39"/>
    </row>
    <row r="585" spans="1:16" x14ac:dyDescent="0.2">
      <c r="A585" s="47" t="str">
        <v>0:00</v>
      </c>
      <c r="B585" s="103"/>
      <c r="C585" s="125"/>
      <c r="D585" s="125"/>
      <c r="E585" s="125"/>
      <c r="F585" s="125"/>
      <c r="G585" s="125"/>
      <c r="H585" s="125"/>
      <c r="I585" s="125"/>
      <c r="J585" s="125"/>
      <c r="K585" s="125"/>
      <c r="L585" s="125"/>
      <c r="M585" s="125"/>
      <c r="N585" s="125"/>
      <c r="O585" s="39"/>
      <c r="P585" s="39"/>
    </row>
    <row r="586" spans="1:16" x14ac:dyDescent="0.2">
      <c r="A586" s="47" t="str">
        <v>0:00</v>
      </c>
      <c r="B586" s="103"/>
      <c r="C586" s="125"/>
      <c r="D586" s="125"/>
      <c r="E586" s="125"/>
      <c r="F586" s="125"/>
      <c r="G586" s="125"/>
      <c r="H586" s="125"/>
      <c r="I586" s="125"/>
      <c r="J586" s="125"/>
      <c r="K586" s="125"/>
      <c r="L586" s="125"/>
      <c r="M586" s="125"/>
      <c r="N586" s="125"/>
      <c r="O586" s="39"/>
      <c r="P586" s="39"/>
    </row>
    <row r="587" spans="1:16" x14ac:dyDescent="0.2">
      <c r="A587" s="47" t="str">
        <v>0:00</v>
      </c>
      <c r="B587" s="103"/>
      <c r="C587" s="125"/>
      <c r="D587" s="125"/>
      <c r="E587" s="125"/>
      <c r="F587" s="125"/>
      <c r="G587" s="125"/>
      <c r="H587" s="125"/>
      <c r="I587" s="125"/>
      <c r="J587" s="125"/>
      <c r="K587" s="125"/>
      <c r="L587" s="125"/>
      <c r="M587" s="125"/>
      <c r="N587" s="125"/>
      <c r="O587" s="39"/>
      <c r="P587" s="39"/>
    </row>
    <row r="588" spans="1:16" x14ac:dyDescent="0.2">
      <c r="A588" s="47" t="str">
        <v>0:00</v>
      </c>
      <c r="B588" s="103"/>
      <c r="C588" s="125"/>
      <c r="D588" s="125"/>
      <c r="E588" s="125"/>
      <c r="F588" s="125"/>
      <c r="G588" s="125"/>
      <c r="H588" s="125"/>
      <c r="I588" s="125"/>
      <c r="J588" s="125"/>
      <c r="K588" s="125"/>
      <c r="L588" s="125"/>
      <c r="M588" s="125"/>
      <c r="N588" s="125"/>
      <c r="O588" s="39"/>
      <c r="P588" s="39"/>
    </row>
    <row r="589" spans="1:16" x14ac:dyDescent="0.2">
      <c r="A589" s="47" t="str">
        <v>0:00</v>
      </c>
      <c r="B589" s="103"/>
      <c r="C589" s="125"/>
      <c r="D589" s="125"/>
      <c r="E589" s="125"/>
      <c r="F589" s="125"/>
      <c r="G589" s="125"/>
      <c r="H589" s="125"/>
      <c r="I589" s="125"/>
      <c r="J589" s="125"/>
      <c r="K589" s="125"/>
      <c r="L589" s="125"/>
      <c r="M589" s="125"/>
      <c r="N589" s="125"/>
      <c r="O589" s="39"/>
      <c r="P589" s="39"/>
    </row>
    <row r="590" spans="1:16" x14ac:dyDescent="0.2">
      <c r="A590" s="47" t="str">
        <v>0:00</v>
      </c>
      <c r="B590" s="103"/>
      <c r="C590" s="125"/>
      <c r="D590" s="125"/>
      <c r="E590" s="125"/>
      <c r="F590" s="125"/>
      <c r="G590" s="125"/>
      <c r="H590" s="125"/>
      <c r="I590" s="125"/>
      <c r="J590" s="125"/>
      <c r="K590" s="125"/>
      <c r="L590" s="125"/>
      <c r="M590" s="125"/>
      <c r="N590" s="125"/>
      <c r="O590" s="39"/>
      <c r="P590" s="39"/>
    </row>
    <row r="591" spans="1:16" x14ac:dyDescent="0.2">
      <c r="A591" s="47" t="str">
        <v>0:00</v>
      </c>
      <c r="B591" s="103"/>
      <c r="C591" s="125"/>
      <c r="D591" s="125"/>
      <c r="E591" s="125"/>
      <c r="F591" s="125"/>
      <c r="G591" s="125"/>
      <c r="H591" s="125"/>
      <c r="I591" s="125"/>
      <c r="J591" s="125"/>
      <c r="K591" s="125"/>
      <c r="L591" s="125"/>
      <c r="M591" s="125"/>
      <c r="N591" s="125"/>
      <c r="O591" s="39"/>
      <c r="P591" s="39"/>
    </row>
    <row r="592" spans="1:16" x14ac:dyDescent="0.2">
      <c r="A592" s="47" t="str">
        <v>0:00</v>
      </c>
      <c r="B592" s="103"/>
      <c r="C592" s="125"/>
      <c r="D592" s="125"/>
      <c r="E592" s="125"/>
      <c r="F592" s="125"/>
      <c r="G592" s="125"/>
      <c r="H592" s="125"/>
      <c r="I592" s="125"/>
      <c r="J592" s="125"/>
      <c r="K592" s="125"/>
      <c r="L592" s="125"/>
      <c r="M592" s="125"/>
      <c r="N592" s="125"/>
      <c r="O592" s="39"/>
      <c r="P592" s="39"/>
    </row>
    <row r="593" spans="1:16" x14ac:dyDescent="0.2">
      <c r="A593" s="47" t="str">
        <v>0:00</v>
      </c>
      <c r="B593" s="103"/>
      <c r="C593" s="125"/>
      <c r="D593" s="125"/>
      <c r="E593" s="125"/>
      <c r="F593" s="125"/>
      <c r="G593" s="125"/>
      <c r="H593" s="125"/>
      <c r="I593" s="125"/>
      <c r="J593" s="125"/>
      <c r="K593" s="125"/>
      <c r="L593" s="125"/>
      <c r="M593" s="125"/>
      <c r="N593" s="125"/>
      <c r="O593" s="39"/>
      <c r="P593" s="39"/>
    </row>
    <row r="594" spans="1:16" x14ac:dyDescent="0.2">
      <c r="A594" s="47" t="str">
        <v>0:00</v>
      </c>
      <c r="B594" s="103"/>
      <c r="C594" s="125"/>
      <c r="D594" s="125"/>
      <c r="E594" s="125"/>
      <c r="F594" s="125"/>
      <c r="G594" s="125"/>
      <c r="H594" s="125"/>
      <c r="I594" s="125"/>
      <c r="J594" s="125"/>
      <c r="K594" s="125"/>
      <c r="L594" s="125"/>
      <c r="M594" s="125"/>
      <c r="N594" s="125"/>
      <c r="O594" s="39"/>
      <c r="P594" s="39"/>
    </row>
    <row r="595" spans="1:16" x14ac:dyDescent="0.2">
      <c r="A595" s="47" t="str">
        <v>0:00</v>
      </c>
      <c r="B595" s="103"/>
      <c r="C595" s="125"/>
      <c r="D595" s="125"/>
      <c r="E595" s="125"/>
      <c r="F595" s="125"/>
      <c r="G595" s="125"/>
      <c r="H595" s="125"/>
      <c r="I595" s="125"/>
      <c r="J595" s="125"/>
      <c r="K595" s="125"/>
      <c r="L595" s="125"/>
      <c r="M595" s="125"/>
      <c r="N595" s="125"/>
      <c r="O595" s="39"/>
      <c r="P595" s="39"/>
    </row>
    <row r="596" spans="1:16" x14ac:dyDescent="0.2">
      <c r="A596" s="47" t="str">
        <v>0:00</v>
      </c>
      <c r="B596" s="103"/>
      <c r="C596" s="125"/>
      <c r="D596" s="125"/>
      <c r="E596" s="125"/>
      <c r="F596" s="125"/>
      <c r="G596" s="125"/>
      <c r="H596" s="125"/>
      <c r="I596" s="125"/>
      <c r="J596" s="125"/>
      <c r="K596" s="125"/>
      <c r="L596" s="125"/>
      <c r="M596" s="125"/>
      <c r="N596" s="125"/>
      <c r="O596" s="39"/>
      <c r="P596" s="39"/>
    </row>
    <row r="597" spans="1:16" x14ac:dyDescent="0.2">
      <c r="A597" s="47" t="str">
        <v>0:00</v>
      </c>
      <c r="B597" s="103"/>
      <c r="C597" s="125"/>
      <c r="D597" s="125"/>
      <c r="E597" s="125"/>
      <c r="F597" s="125"/>
      <c r="G597" s="125"/>
      <c r="H597" s="125"/>
      <c r="I597" s="125"/>
      <c r="J597" s="125"/>
      <c r="K597" s="125"/>
      <c r="L597" s="125"/>
      <c r="M597" s="125"/>
      <c r="N597" s="125"/>
      <c r="O597" s="39"/>
      <c r="P597" s="39"/>
    </row>
    <row r="598" spans="1:16" x14ac:dyDescent="0.2">
      <c r="A598" s="47" t="str">
        <v>0:00</v>
      </c>
      <c r="B598" s="103"/>
      <c r="C598" s="125"/>
      <c r="D598" s="125"/>
      <c r="E598" s="125"/>
      <c r="F598" s="125"/>
      <c r="G598" s="125"/>
      <c r="H598" s="125"/>
      <c r="I598" s="125"/>
      <c r="J598" s="125"/>
      <c r="K598" s="125"/>
      <c r="L598" s="125"/>
      <c r="M598" s="125"/>
      <c r="N598" s="125"/>
      <c r="O598" s="39"/>
      <c r="P598" s="39"/>
    </row>
    <row r="599" spans="1:16" x14ac:dyDescent="0.2">
      <c r="A599" s="47" t="str">
        <v>0:00</v>
      </c>
      <c r="B599" s="103"/>
      <c r="C599" s="125"/>
      <c r="D599" s="125"/>
      <c r="E599" s="125"/>
      <c r="F599" s="125"/>
      <c r="G599" s="125"/>
      <c r="H599" s="125"/>
      <c r="I599" s="125"/>
      <c r="J599" s="125"/>
      <c r="K599" s="125"/>
      <c r="L599" s="125"/>
      <c r="M599" s="125"/>
      <c r="N599" s="125"/>
      <c r="O599" s="39"/>
      <c r="P599" s="39"/>
    </row>
    <row r="600" spans="1:16" x14ac:dyDescent="0.2">
      <c r="A600" s="47" t="str">
        <v>0:00</v>
      </c>
      <c r="B600" s="103"/>
      <c r="C600" s="125"/>
      <c r="D600" s="125"/>
      <c r="E600" s="125"/>
      <c r="F600" s="125"/>
      <c r="G600" s="125"/>
      <c r="H600" s="125"/>
      <c r="I600" s="125"/>
      <c r="J600" s="125"/>
      <c r="K600" s="125"/>
      <c r="L600" s="125"/>
      <c r="M600" s="125"/>
      <c r="N600" s="125"/>
      <c r="O600" s="39"/>
      <c r="P600" s="39"/>
    </row>
    <row r="601" spans="1:16" x14ac:dyDescent="0.2">
      <c r="A601" s="47" t="str">
        <v>0:00</v>
      </c>
      <c r="B601" s="103"/>
      <c r="C601" s="125"/>
      <c r="D601" s="125"/>
      <c r="E601" s="125"/>
      <c r="F601" s="125"/>
      <c r="G601" s="125"/>
      <c r="H601" s="125"/>
      <c r="I601" s="125"/>
      <c r="J601" s="125"/>
      <c r="K601" s="125"/>
      <c r="L601" s="125"/>
      <c r="M601" s="125"/>
      <c r="N601" s="125"/>
      <c r="O601" s="39"/>
      <c r="P601" s="39"/>
    </row>
    <row r="602" spans="1:16" x14ac:dyDescent="0.2">
      <c r="A602" s="47" t="str">
        <v>0:00</v>
      </c>
      <c r="B602" s="103"/>
      <c r="C602" s="125"/>
      <c r="D602" s="125"/>
      <c r="E602" s="125"/>
      <c r="F602" s="125"/>
      <c r="G602" s="125"/>
      <c r="H602" s="125"/>
      <c r="I602" s="125"/>
      <c r="J602" s="125"/>
      <c r="K602" s="125"/>
      <c r="L602" s="125"/>
      <c r="M602" s="125"/>
      <c r="N602" s="125"/>
      <c r="O602" s="39"/>
      <c r="P602" s="39"/>
    </row>
    <row r="603" spans="1:16" x14ac:dyDescent="0.2">
      <c r="A603" s="47" t="str">
        <v>0:00</v>
      </c>
      <c r="B603" s="103"/>
      <c r="C603" s="125"/>
      <c r="D603" s="125"/>
      <c r="E603" s="125"/>
      <c r="F603" s="125"/>
      <c r="G603" s="125"/>
      <c r="H603" s="125"/>
      <c r="I603" s="125"/>
      <c r="J603" s="125"/>
      <c r="K603" s="125"/>
      <c r="L603" s="125"/>
      <c r="M603" s="125"/>
      <c r="N603" s="125"/>
      <c r="O603" s="39"/>
      <c r="P603" s="39"/>
    </row>
    <row r="604" spans="1:16" x14ac:dyDescent="0.2">
      <c r="A604" s="47" t="str">
        <v>0:00</v>
      </c>
      <c r="B604" s="103"/>
      <c r="C604" s="125"/>
      <c r="D604" s="125"/>
      <c r="E604" s="125"/>
      <c r="F604" s="125"/>
      <c r="G604" s="125"/>
      <c r="H604" s="125"/>
      <c r="I604" s="125"/>
      <c r="J604" s="125"/>
      <c r="K604" s="125"/>
      <c r="L604" s="125"/>
      <c r="M604" s="125"/>
      <c r="N604" s="125"/>
      <c r="O604" s="39"/>
      <c r="P604" s="39"/>
    </row>
    <row r="605" spans="1:16" x14ac:dyDescent="0.2">
      <c r="A605" s="47" t="str">
        <v>0:00</v>
      </c>
      <c r="B605" s="103"/>
      <c r="C605" s="125"/>
      <c r="D605" s="125"/>
      <c r="E605" s="125"/>
      <c r="F605" s="125"/>
      <c r="G605" s="125"/>
      <c r="H605" s="125"/>
      <c r="I605" s="125"/>
      <c r="J605" s="125"/>
      <c r="K605" s="125"/>
      <c r="L605" s="125"/>
      <c r="M605" s="125"/>
      <c r="N605" s="125"/>
      <c r="O605" s="39"/>
      <c r="P605" s="39"/>
    </row>
    <row r="606" spans="1:16" x14ac:dyDescent="0.2">
      <c r="A606" s="47" t="str">
        <v>0:00</v>
      </c>
      <c r="B606" s="103"/>
      <c r="C606" s="125"/>
      <c r="D606" s="125"/>
      <c r="E606" s="125"/>
      <c r="F606" s="125"/>
      <c r="G606" s="125"/>
      <c r="H606" s="125"/>
      <c r="I606" s="125"/>
      <c r="J606" s="125"/>
      <c r="K606" s="125"/>
      <c r="L606" s="125"/>
      <c r="M606" s="125"/>
      <c r="N606" s="125"/>
      <c r="O606" s="39"/>
      <c r="P606" s="39"/>
    </row>
    <row r="607" spans="1:16" x14ac:dyDescent="0.2">
      <c r="A607" s="47" t="str">
        <v>0:00</v>
      </c>
      <c r="B607" s="103"/>
      <c r="C607" s="125"/>
      <c r="D607" s="125"/>
      <c r="E607" s="125"/>
      <c r="F607" s="125"/>
      <c r="G607" s="125"/>
      <c r="H607" s="125"/>
      <c r="I607" s="125"/>
      <c r="J607" s="125"/>
      <c r="K607" s="125"/>
      <c r="L607" s="125"/>
      <c r="M607" s="125"/>
      <c r="N607" s="125"/>
      <c r="O607" s="39"/>
      <c r="P607" s="39"/>
    </row>
    <row r="608" spans="1:16" x14ac:dyDescent="0.2">
      <c r="A608" s="47" t="str">
        <v>0:00</v>
      </c>
      <c r="B608" s="103"/>
      <c r="C608" s="125"/>
      <c r="D608" s="125"/>
      <c r="E608" s="125"/>
      <c r="F608" s="125"/>
      <c r="G608" s="125"/>
      <c r="H608" s="125"/>
      <c r="I608" s="125"/>
      <c r="J608" s="125"/>
      <c r="K608" s="125"/>
      <c r="L608" s="125"/>
      <c r="M608" s="125"/>
      <c r="N608" s="125"/>
      <c r="O608" s="39"/>
      <c r="P608" s="39"/>
    </row>
    <row r="609" spans="1:16" x14ac:dyDescent="0.2">
      <c r="A609" s="47" t="str">
        <v>0:00</v>
      </c>
      <c r="B609" s="103"/>
      <c r="C609" s="125"/>
      <c r="D609" s="125"/>
      <c r="E609" s="125"/>
      <c r="F609" s="125"/>
      <c r="G609" s="125"/>
      <c r="H609" s="125"/>
      <c r="I609" s="125"/>
      <c r="J609" s="125"/>
      <c r="K609" s="125"/>
      <c r="L609" s="125"/>
      <c r="M609" s="125"/>
      <c r="N609" s="125"/>
      <c r="O609" s="39"/>
      <c r="P609" s="39"/>
    </row>
    <row r="610" spans="1:16" x14ac:dyDescent="0.2">
      <c r="A610" s="47" t="str">
        <v>0:00</v>
      </c>
      <c r="B610" s="103"/>
      <c r="C610" s="125"/>
      <c r="D610" s="125"/>
      <c r="E610" s="125"/>
      <c r="F610" s="125"/>
      <c r="G610" s="125"/>
      <c r="H610" s="125"/>
      <c r="I610" s="125"/>
      <c r="J610" s="125"/>
      <c r="K610" s="125"/>
      <c r="L610" s="125"/>
      <c r="M610" s="125"/>
      <c r="N610" s="125"/>
      <c r="O610" s="39"/>
      <c r="P610" s="39"/>
    </row>
    <row r="611" spans="1:16" x14ac:dyDescent="0.2">
      <c r="A611" s="47" t="str">
        <v>0:00</v>
      </c>
      <c r="B611" s="103"/>
      <c r="C611" s="125"/>
      <c r="D611" s="125"/>
      <c r="E611" s="125"/>
      <c r="F611" s="125"/>
      <c r="G611" s="125"/>
      <c r="H611" s="125"/>
      <c r="I611" s="125"/>
      <c r="J611" s="125"/>
      <c r="K611" s="125"/>
      <c r="L611" s="125"/>
      <c r="M611" s="125"/>
      <c r="N611" s="125"/>
      <c r="O611" s="39"/>
      <c r="P611" s="39"/>
    </row>
    <row r="612" spans="1:16" x14ac:dyDescent="0.2">
      <c r="A612" s="47" t="str">
        <v>0:00</v>
      </c>
      <c r="B612" s="103"/>
      <c r="C612" s="125"/>
      <c r="D612" s="125"/>
      <c r="E612" s="125"/>
      <c r="F612" s="125"/>
      <c r="G612" s="125"/>
      <c r="H612" s="125"/>
      <c r="I612" s="125"/>
      <c r="J612" s="125"/>
      <c r="K612" s="125"/>
      <c r="L612" s="125"/>
      <c r="M612" s="125"/>
      <c r="N612" s="125"/>
      <c r="O612" s="39"/>
      <c r="P612" s="39"/>
    </row>
    <row r="613" spans="1:16" x14ac:dyDescent="0.2">
      <c r="A613" s="47" t="str">
        <v>0:00</v>
      </c>
      <c r="B613" s="103"/>
      <c r="C613" s="125"/>
      <c r="D613" s="125"/>
      <c r="E613" s="125"/>
      <c r="F613" s="125"/>
      <c r="G613" s="125"/>
      <c r="H613" s="125"/>
      <c r="I613" s="125"/>
      <c r="J613" s="125"/>
      <c r="K613" s="125"/>
      <c r="L613" s="125"/>
      <c r="M613" s="125"/>
      <c r="N613" s="125"/>
      <c r="O613" s="39"/>
      <c r="P613" s="39"/>
    </row>
    <row r="614" spans="1:16" x14ac:dyDescent="0.2">
      <c r="A614" s="47" t="str">
        <v>0:00</v>
      </c>
      <c r="B614" s="103"/>
      <c r="C614" s="125"/>
      <c r="D614" s="125"/>
      <c r="E614" s="125"/>
      <c r="F614" s="125"/>
      <c r="G614" s="125"/>
      <c r="H614" s="125"/>
      <c r="I614" s="125"/>
      <c r="J614" s="125"/>
      <c r="K614" s="125"/>
      <c r="L614" s="125"/>
      <c r="M614" s="125"/>
      <c r="N614" s="125"/>
      <c r="O614" s="39"/>
      <c r="P614" s="39"/>
    </row>
    <row r="615" spans="1:16" x14ac:dyDescent="0.2">
      <c r="A615" s="47" t="str">
        <v>0:00</v>
      </c>
      <c r="B615" s="103"/>
      <c r="C615" s="125"/>
      <c r="D615" s="125"/>
      <c r="E615" s="125"/>
      <c r="F615" s="125"/>
      <c r="G615" s="125"/>
      <c r="H615" s="125"/>
      <c r="I615" s="125"/>
      <c r="J615" s="125"/>
      <c r="K615" s="125"/>
      <c r="L615" s="125"/>
      <c r="M615" s="125"/>
      <c r="N615" s="125"/>
      <c r="O615" s="39"/>
      <c r="P615" s="39"/>
    </row>
    <row r="616" spans="1:16" x14ac:dyDescent="0.2">
      <c r="A616" s="47" t="str">
        <v>0:00</v>
      </c>
      <c r="B616" s="103"/>
      <c r="C616" s="125"/>
      <c r="D616" s="125"/>
      <c r="E616" s="125"/>
      <c r="F616" s="125"/>
      <c r="G616" s="125"/>
      <c r="H616" s="125"/>
      <c r="I616" s="125"/>
      <c r="J616" s="125"/>
      <c r="K616" s="125"/>
      <c r="L616" s="125"/>
      <c r="M616" s="125"/>
      <c r="N616" s="125"/>
      <c r="O616" s="39"/>
      <c r="P616" s="39"/>
    </row>
    <row r="617" spans="1:16" x14ac:dyDescent="0.2">
      <c r="A617" s="47" t="str">
        <v>0:00</v>
      </c>
      <c r="B617" s="103"/>
      <c r="C617" s="125"/>
      <c r="D617" s="125"/>
      <c r="E617" s="125"/>
      <c r="F617" s="125"/>
      <c r="G617" s="125"/>
      <c r="H617" s="125"/>
      <c r="I617" s="125"/>
      <c r="J617" s="125"/>
      <c r="K617" s="125"/>
      <c r="L617" s="125"/>
      <c r="M617" s="125"/>
      <c r="N617" s="125"/>
      <c r="O617" s="39"/>
      <c r="P617" s="39"/>
    </row>
    <row r="618" spans="1:16" x14ac:dyDescent="0.2">
      <c r="A618" s="47" t="str">
        <v>0:00</v>
      </c>
      <c r="B618" s="103"/>
      <c r="C618" s="125"/>
      <c r="D618" s="125"/>
      <c r="E618" s="125"/>
      <c r="F618" s="125"/>
      <c r="G618" s="125"/>
      <c r="H618" s="125"/>
      <c r="I618" s="125"/>
      <c r="J618" s="125"/>
      <c r="K618" s="125"/>
      <c r="L618" s="125"/>
      <c r="M618" s="125"/>
      <c r="N618" s="125"/>
      <c r="O618" s="39"/>
      <c r="P618" s="39"/>
    </row>
    <row r="619" spans="1:16" x14ac:dyDescent="0.2">
      <c r="A619" s="47" t="str">
        <v>0:00</v>
      </c>
      <c r="B619" s="103"/>
      <c r="C619" s="125"/>
      <c r="D619" s="125"/>
      <c r="E619" s="125"/>
      <c r="F619" s="125"/>
      <c r="G619" s="125"/>
      <c r="H619" s="125"/>
      <c r="I619" s="125"/>
      <c r="J619" s="125"/>
      <c r="K619" s="125"/>
      <c r="L619" s="125"/>
      <c r="M619" s="125"/>
      <c r="N619" s="125"/>
      <c r="O619" s="39"/>
      <c r="P619" s="39"/>
    </row>
    <row r="620" spans="1:16" x14ac:dyDescent="0.2">
      <c r="A620" s="47" t="str">
        <v>0:00</v>
      </c>
      <c r="B620" s="103"/>
      <c r="C620" s="125"/>
      <c r="D620" s="125"/>
      <c r="E620" s="125"/>
      <c r="F620" s="125"/>
      <c r="G620" s="125"/>
      <c r="H620" s="125"/>
      <c r="I620" s="125"/>
      <c r="J620" s="125"/>
      <c r="K620" s="125"/>
      <c r="L620" s="125"/>
      <c r="M620" s="125"/>
      <c r="N620" s="125"/>
      <c r="O620" s="39"/>
      <c r="P620" s="39"/>
    </row>
    <row r="621" spans="1:16" x14ac:dyDescent="0.2">
      <c r="A621" s="47" t="str">
        <v>0:00</v>
      </c>
      <c r="B621" s="103"/>
      <c r="C621" s="125"/>
      <c r="D621" s="125"/>
      <c r="E621" s="125"/>
      <c r="F621" s="125"/>
      <c r="G621" s="125"/>
      <c r="H621" s="125"/>
      <c r="I621" s="125"/>
      <c r="J621" s="125"/>
      <c r="K621" s="125"/>
      <c r="L621" s="125"/>
      <c r="M621" s="125"/>
      <c r="N621" s="125"/>
      <c r="O621" s="39"/>
      <c r="P621" s="39"/>
    </row>
    <row r="622" spans="1:16" x14ac:dyDescent="0.2">
      <c r="A622" s="47" t="str">
        <v>0:00</v>
      </c>
      <c r="B622" s="103"/>
      <c r="C622" s="125"/>
      <c r="D622" s="125"/>
      <c r="E622" s="125"/>
      <c r="F622" s="125"/>
      <c r="G622" s="125"/>
      <c r="H622" s="125"/>
      <c r="I622" s="125"/>
      <c r="J622" s="125"/>
      <c r="K622" s="125"/>
      <c r="L622" s="125"/>
      <c r="M622" s="125"/>
      <c r="N622" s="125"/>
      <c r="O622" s="39"/>
      <c r="P622" s="39"/>
    </row>
    <row r="623" spans="1:16" x14ac:dyDescent="0.2">
      <c r="A623" s="47" t="str">
        <v>0:00</v>
      </c>
      <c r="B623" s="103"/>
      <c r="C623" s="125"/>
      <c r="D623" s="125"/>
      <c r="E623" s="125"/>
      <c r="F623" s="125"/>
      <c r="G623" s="125"/>
      <c r="H623" s="125"/>
      <c r="I623" s="125"/>
      <c r="J623" s="125"/>
      <c r="K623" s="125"/>
      <c r="L623" s="125"/>
      <c r="M623" s="125"/>
      <c r="N623" s="125"/>
      <c r="O623" s="39"/>
      <c r="P623" s="39"/>
    </row>
    <row r="624" spans="1:16" x14ac:dyDescent="0.2">
      <c r="A624" s="47" t="str">
        <v>0:00</v>
      </c>
      <c r="B624" s="103"/>
      <c r="C624" s="125"/>
      <c r="D624" s="125"/>
      <c r="E624" s="125"/>
      <c r="F624" s="125"/>
      <c r="G624" s="125"/>
      <c r="H624" s="125"/>
      <c r="I624" s="125"/>
      <c r="J624" s="125"/>
      <c r="K624" s="125"/>
      <c r="L624" s="125"/>
      <c r="M624" s="125"/>
      <c r="N624" s="125"/>
      <c r="O624" s="39"/>
      <c r="P624" s="39"/>
    </row>
    <row r="625" spans="1:16" x14ac:dyDescent="0.2">
      <c r="A625" s="47" t="str">
        <v>0:00</v>
      </c>
      <c r="B625" s="103"/>
      <c r="C625" s="125"/>
      <c r="D625" s="125"/>
      <c r="E625" s="125"/>
      <c r="F625" s="125"/>
      <c r="G625" s="125"/>
      <c r="H625" s="125"/>
      <c r="I625" s="125"/>
      <c r="J625" s="125"/>
      <c r="K625" s="125"/>
      <c r="L625" s="125"/>
      <c r="M625" s="125"/>
      <c r="N625" s="125"/>
      <c r="O625" s="39"/>
      <c r="P625" s="39"/>
    </row>
    <row r="626" spans="1:16" x14ac:dyDescent="0.2">
      <c r="A626" s="47" t="str">
        <v>0:00</v>
      </c>
      <c r="B626" s="103"/>
      <c r="C626" s="125"/>
      <c r="D626" s="125"/>
      <c r="E626" s="125"/>
      <c r="F626" s="125"/>
      <c r="G626" s="125"/>
      <c r="H626" s="125"/>
      <c r="I626" s="125"/>
      <c r="J626" s="125"/>
      <c r="K626" s="125"/>
      <c r="L626" s="125"/>
      <c r="M626" s="125"/>
      <c r="N626" s="125"/>
      <c r="O626" s="39"/>
      <c r="P626" s="39"/>
    </row>
    <row r="627" spans="1:16" x14ac:dyDescent="0.2">
      <c r="A627" s="47" t="str">
        <v>0:00</v>
      </c>
      <c r="B627" s="103"/>
      <c r="C627" s="125"/>
      <c r="D627" s="125"/>
      <c r="E627" s="125"/>
      <c r="F627" s="125"/>
      <c r="G627" s="125"/>
      <c r="H627" s="125"/>
      <c r="I627" s="125"/>
      <c r="J627" s="125"/>
      <c r="K627" s="125"/>
      <c r="L627" s="125"/>
      <c r="M627" s="125"/>
      <c r="N627" s="125"/>
      <c r="O627" s="39"/>
      <c r="P627" s="39"/>
    </row>
    <row r="628" spans="1:16" x14ac:dyDescent="0.2">
      <c r="A628" s="47" t="str">
        <v>0:00</v>
      </c>
      <c r="B628" s="103"/>
      <c r="C628" s="125"/>
      <c r="D628" s="125"/>
      <c r="E628" s="125"/>
      <c r="F628" s="125"/>
      <c r="G628" s="125"/>
      <c r="H628" s="125"/>
      <c r="I628" s="125"/>
      <c r="J628" s="125"/>
      <c r="K628" s="125"/>
      <c r="L628" s="125"/>
      <c r="M628" s="125"/>
      <c r="N628" s="125"/>
      <c r="O628" s="39"/>
      <c r="P628" s="39"/>
    </row>
    <row r="629" spans="1:16" x14ac:dyDescent="0.2">
      <c r="A629" s="47" t="str">
        <v>0:00</v>
      </c>
      <c r="B629" s="103"/>
      <c r="C629" s="125"/>
      <c r="D629" s="125"/>
      <c r="E629" s="125"/>
      <c r="F629" s="125"/>
      <c r="G629" s="125"/>
      <c r="H629" s="125"/>
      <c r="I629" s="125"/>
      <c r="J629" s="125"/>
      <c r="K629" s="125"/>
      <c r="L629" s="125"/>
      <c r="M629" s="125"/>
      <c r="N629" s="125"/>
      <c r="O629" s="39"/>
      <c r="P629" s="39"/>
    </row>
    <row r="630" spans="1:16" x14ac:dyDescent="0.2">
      <c r="A630" s="47" t="str">
        <v>0:00</v>
      </c>
      <c r="B630" s="103"/>
      <c r="C630" s="125"/>
      <c r="D630" s="125"/>
      <c r="E630" s="125"/>
      <c r="F630" s="125"/>
      <c r="G630" s="125"/>
      <c r="H630" s="125"/>
      <c r="I630" s="125"/>
      <c r="J630" s="125"/>
      <c r="K630" s="125"/>
      <c r="L630" s="125"/>
      <c r="M630" s="125"/>
      <c r="N630" s="125"/>
      <c r="O630" s="39"/>
      <c r="P630" s="39"/>
    </row>
    <row r="631" spans="1:16" x14ac:dyDescent="0.2">
      <c r="A631" s="47" t="str">
        <v>0:00</v>
      </c>
      <c r="B631" s="103"/>
      <c r="C631" s="125"/>
      <c r="D631" s="125"/>
      <c r="E631" s="125"/>
      <c r="F631" s="125"/>
      <c r="G631" s="125"/>
      <c r="H631" s="125"/>
      <c r="I631" s="125"/>
      <c r="J631" s="125"/>
      <c r="K631" s="125"/>
      <c r="L631" s="125"/>
      <c r="M631" s="125"/>
      <c r="N631" s="125"/>
      <c r="O631" s="39"/>
      <c r="P631" s="39"/>
    </row>
    <row r="632" spans="1:16" x14ac:dyDescent="0.2">
      <c r="A632" s="47" t="str">
        <v>0:00</v>
      </c>
      <c r="B632" s="103"/>
      <c r="C632" s="125"/>
      <c r="D632" s="125"/>
      <c r="E632" s="125"/>
      <c r="F632" s="125"/>
      <c r="G632" s="125"/>
      <c r="H632" s="125"/>
      <c r="I632" s="125"/>
      <c r="J632" s="125"/>
      <c r="K632" s="125"/>
      <c r="L632" s="125"/>
      <c r="M632" s="125"/>
      <c r="N632" s="125"/>
      <c r="O632" s="39"/>
      <c r="P632" s="39"/>
    </row>
    <row r="633" spans="1:16" x14ac:dyDescent="0.2">
      <c r="A633" s="47" t="str">
        <v>0:00</v>
      </c>
      <c r="B633" s="103"/>
      <c r="C633" s="125"/>
      <c r="D633" s="125"/>
      <c r="E633" s="125"/>
      <c r="F633" s="125"/>
      <c r="G633" s="125"/>
      <c r="H633" s="125"/>
      <c r="I633" s="125"/>
      <c r="J633" s="125"/>
      <c r="K633" s="125"/>
      <c r="L633" s="125"/>
      <c r="M633" s="125"/>
      <c r="N633" s="125"/>
      <c r="O633" s="39"/>
      <c r="P633" s="39"/>
    </row>
    <row r="634" spans="1:16" x14ac:dyDescent="0.2">
      <c r="A634" s="47" t="str">
        <v>0:00</v>
      </c>
      <c r="B634" s="103"/>
      <c r="C634" s="125"/>
      <c r="D634" s="125"/>
      <c r="E634" s="125"/>
      <c r="F634" s="125"/>
      <c r="G634" s="125"/>
      <c r="H634" s="125"/>
      <c r="I634" s="125"/>
      <c r="J634" s="125"/>
      <c r="K634" s="125"/>
      <c r="L634" s="125"/>
      <c r="M634" s="125"/>
      <c r="N634" s="125"/>
      <c r="O634" s="39"/>
      <c r="P634" s="39"/>
    </row>
    <row r="635" spans="1:16" x14ac:dyDescent="0.2">
      <c r="A635" s="47" t="str">
        <v>0:00</v>
      </c>
      <c r="B635" s="103"/>
      <c r="C635" s="125"/>
      <c r="D635" s="125"/>
      <c r="E635" s="125"/>
      <c r="F635" s="125"/>
      <c r="G635" s="125"/>
      <c r="H635" s="125"/>
      <c r="I635" s="125"/>
      <c r="J635" s="125"/>
      <c r="K635" s="125"/>
      <c r="L635" s="125"/>
      <c r="M635" s="125"/>
      <c r="N635" s="125"/>
      <c r="O635" s="39"/>
      <c r="P635" s="39"/>
    </row>
    <row r="636" spans="1:16" x14ac:dyDescent="0.2">
      <c r="A636" s="47" t="str">
        <v>0:00</v>
      </c>
      <c r="B636" s="103"/>
      <c r="C636" s="125"/>
      <c r="D636" s="125"/>
      <c r="E636" s="125"/>
      <c r="F636" s="125"/>
      <c r="G636" s="125"/>
      <c r="H636" s="125"/>
      <c r="I636" s="125"/>
      <c r="J636" s="125"/>
      <c r="K636" s="125"/>
      <c r="L636" s="125"/>
      <c r="M636" s="125"/>
      <c r="N636" s="125"/>
      <c r="O636" s="39"/>
      <c r="P636" s="39"/>
    </row>
    <row r="637" spans="1:16" x14ac:dyDescent="0.2">
      <c r="A637" s="47" t="str">
        <v>0:00</v>
      </c>
      <c r="B637" s="103"/>
      <c r="C637" s="125"/>
      <c r="D637" s="125"/>
      <c r="E637" s="125"/>
      <c r="F637" s="125"/>
      <c r="G637" s="125"/>
      <c r="H637" s="125"/>
      <c r="I637" s="125"/>
      <c r="J637" s="125"/>
      <c r="K637" s="125"/>
      <c r="L637" s="125"/>
      <c r="M637" s="125"/>
      <c r="N637" s="125"/>
      <c r="O637" s="39"/>
      <c r="P637" s="39"/>
    </row>
    <row r="638" spans="1:16" x14ac:dyDescent="0.2">
      <c r="A638" s="47" t="str">
        <v>0:00</v>
      </c>
      <c r="B638" s="103"/>
      <c r="C638" s="125"/>
      <c r="D638" s="125"/>
      <c r="E638" s="125"/>
      <c r="F638" s="125"/>
      <c r="G638" s="125"/>
      <c r="H638" s="125"/>
      <c r="I638" s="125"/>
      <c r="J638" s="125"/>
      <c r="K638" s="125"/>
      <c r="L638" s="125"/>
      <c r="M638" s="125"/>
      <c r="N638" s="125"/>
      <c r="O638" s="39"/>
      <c r="P638" s="39"/>
    </row>
    <row r="639" spans="1:16" x14ac:dyDescent="0.2">
      <c r="A639" s="47" t="str">
        <v>0:00</v>
      </c>
      <c r="B639" s="103"/>
      <c r="C639" s="125"/>
      <c r="D639" s="125"/>
      <c r="E639" s="125"/>
      <c r="F639" s="125"/>
      <c r="G639" s="125"/>
      <c r="H639" s="125"/>
      <c r="I639" s="125"/>
      <c r="J639" s="125"/>
      <c r="K639" s="125"/>
      <c r="L639" s="125"/>
      <c r="M639" s="125"/>
      <c r="N639" s="125"/>
      <c r="O639" s="39"/>
      <c r="P639" s="39"/>
    </row>
    <row r="640" spans="1:16" x14ac:dyDescent="0.2">
      <c r="A640" s="47" t="str">
        <v>0:00</v>
      </c>
      <c r="B640" s="103"/>
      <c r="C640" s="125"/>
      <c r="D640" s="125"/>
      <c r="E640" s="125"/>
      <c r="F640" s="125"/>
      <c r="G640" s="125"/>
      <c r="H640" s="125"/>
      <c r="I640" s="125"/>
      <c r="J640" s="125"/>
      <c r="K640" s="125"/>
      <c r="L640" s="125"/>
      <c r="M640" s="125"/>
      <c r="N640" s="125"/>
      <c r="O640" s="39"/>
      <c r="P640" s="39"/>
    </row>
    <row r="641" spans="1:16" x14ac:dyDescent="0.2">
      <c r="A641" s="47" t="str">
        <v>0:00</v>
      </c>
      <c r="B641" s="103"/>
      <c r="C641" s="125"/>
      <c r="D641" s="125"/>
      <c r="E641" s="125"/>
      <c r="F641" s="125"/>
      <c r="G641" s="125"/>
      <c r="H641" s="125"/>
      <c r="I641" s="125"/>
      <c r="J641" s="125"/>
      <c r="K641" s="125"/>
      <c r="L641" s="125"/>
      <c r="M641" s="125"/>
      <c r="N641" s="125"/>
      <c r="O641" s="39"/>
      <c r="P641" s="39"/>
    </row>
    <row r="642" spans="1:16" x14ac:dyDescent="0.2">
      <c r="A642" s="47" t="str">
        <v>0:00</v>
      </c>
      <c r="B642" s="103"/>
      <c r="C642" s="125"/>
      <c r="D642" s="125"/>
      <c r="E642" s="125"/>
      <c r="F642" s="125"/>
      <c r="G642" s="125"/>
      <c r="H642" s="125"/>
      <c r="I642" s="125"/>
      <c r="J642" s="125"/>
      <c r="K642" s="125"/>
      <c r="L642" s="125"/>
      <c r="M642" s="125"/>
      <c r="N642" s="125"/>
      <c r="O642" s="39"/>
      <c r="P642" s="39"/>
    </row>
    <row r="643" spans="1:16" x14ac:dyDescent="0.2">
      <c r="A643" s="47" t="str">
        <v>0:00</v>
      </c>
      <c r="B643" s="103"/>
      <c r="C643" s="125"/>
      <c r="D643" s="125"/>
      <c r="E643" s="125"/>
      <c r="F643" s="125"/>
      <c r="G643" s="125"/>
      <c r="H643" s="125"/>
      <c r="I643" s="125"/>
      <c r="J643" s="125"/>
      <c r="K643" s="125"/>
      <c r="L643" s="125"/>
      <c r="M643" s="125"/>
      <c r="N643" s="125"/>
      <c r="O643" s="39"/>
      <c r="P643" s="39"/>
    </row>
    <row r="644" spans="1:16" x14ac:dyDescent="0.2">
      <c r="A644" s="47" t="str">
        <v>0:00</v>
      </c>
      <c r="B644" s="103"/>
      <c r="C644" s="125"/>
      <c r="D644" s="125"/>
      <c r="E644" s="125"/>
      <c r="F644" s="125"/>
      <c r="G644" s="125"/>
      <c r="H644" s="125"/>
      <c r="I644" s="125"/>
      <c r="J644" s="125"/>
      <c r="K644" s="125"/>
      <c r="L644" s="125"/>
      <c r="M644" s="125"/>
      <c r="N644" s="125"/>
      <c r="O644" s="39"/>
      <c r="P644" s="39"/>
    </row>
    <row r="645" spans="1:16" x14ac:dyDescent="0.2">
      <c r="A645" s="47" t="str">
        <v>0:00</v>
      </c>
      <c r="B645" s="103"/>
      <c r="C645" s="125"/>
      <c r="D645" s="125"/>
      <c r="E645" s="125"/>
      <c r="F645" s="125"/>
      <c r="G645" s="125"/>
      <c r="H645" s="125"/>
      <c r="I645" s="125"/>
      <c r="J645" s="125"/>
      <c r="K645" s="125"/>
      <c r="L645" s="125"/>
      <c r="M645" s="125"/>
      <c r="N645" s="125"/>
      <c r="O645" s="39"/>
      <c r="P645" s="39"/>
    </row>
    <row r="646" spans="1:16" x14ac:dyDescent="0.2">
      <c r="A646" s="47" t="str">
        <v>0:00</v>
      </c>
      <c r="B646" s="103"/>
      <c r="C646" s="125"/>
      <c r="D646" s="125"/>
      <c r="E646" s="125"/>
      <c r="F646" s="125"/>
      <c r="G646" s="125"/>
      <c r="H646" s="125"/>
      <c r="I646" s="125"/>
      <c r="J646" s="125"/>
      <c r="K646" s="125"/>
      <c r="L646" s="125"/>
      <c r="M646" s="125"/>
      <c r="N646" s="125"/>
      <c r="O646" s="39"/>
      <c r="P646" s="39"/>
    </row>
    <row r="647" spans="1:16" x14ac:dyDescent="0.2">
      <c r="A647" s="47" t="str">
        <v>0:00</v>
      </c>
      <c r="B647" s="103"/>
      <c r="C647" s="125"/>
      <c r="D647" s="125"/>
      <c r="E647" s="125"/>
      <c r="F647" s="125"/>
      <c r="G647" s="125"/>
      <c r="H647" s="125"/>
      <c r="I647" s="125"/>
      <c r="J647" s="125"/>
      <c r="K647" s="125"/>
      <c r="L647" s="125"/>
      <c r="M647" s="125"/>
      <c r="N647" s="125"/>
      <c r="O647" s="39"/>
      <c r="P647" s="39"/>
    </row>
    <row r="648" spans="1:16" x14ac:dyDescent="0.2">
      <c r="A648" s="47" t="str">
        <v>0:00</v>
      </c>
      <c r="B648" s="103"/>
      <c r="C648" s="125"/>
      <c r="D648" s="125"/>
      <c r="E648" s="125"/>
      <c r="F648" s="125"/>
      <c r="G648" s="125"/>
      <c r="H648" s="125"/>
      <c r="I648" s="125"/>
      <c r="J648" s="125"/>
      <c r="K648" s="125"/>
      <c r="L648" s="125"/>
      <c r="M648" s="125"/>
      <c r="N648" s="125"/>
      <c r="O648" s="39"/>
      <c r="P648" s="39"/>
    </row>
    <row r="649" spans="1:16" x14ac:dyDescent="0.2">
      <c r="A649" s="47" t="str">
        <v>0:00</v>
      </c>
      <c r="B649" s="103"/>
      <c r="C649" s="125"/>
      <c r="D649" s="125"/>
      <c r="E649" s="125"/>
      <c r="F649" s="125"/>
      <c r="G649" s="125"/>
      <c r="H649" s="125"/>
      <c r="I649" s="125"/>
      <c r="J649" s="125"/>
      <c r="K649" s="125"/>
      <c r="L649" s="125"/>
      <c r="M649" s="125"/>
      <c r="N649" s="125"/>
      <c r="O649" s="39"/>
      <c r="P649" s="39"/>
    </row>
    <row r="650" spans="1:16" x14ac:dyDescent="0.2">
      <c r="A650" s="47" t="str">
        <v>0:00</v>
      </c>
      <c r="B650" s="103"/>
      <c r="C650" s="125"/>
      <c r="D650" s="125"/>
      <c r="E650" s="125"/>
      <c r="F650" s="125"/>
      <c r="G650" s="125"/>
      <c r="H650" s="125"/>
      <c r="I650" s="125"/>
      <c r="J650" s="125"/>
      <c r="K650" s="125"/>
      <c r="L650" s="125"/>
      <c r="M650" s="125"/>
      <c r="N650" s="125"/>
      <c r="O650" s="39"/>
      <c r="P650" s="39"/>
    </row>
    <row r="651" spans="1:16" x14ac:dyDescent="0.2">
      <c r="A651" s="47" t="str">
        <v>0:00</v>
      </c>
      <c r="B651" s="103"/>
      <c r="C651" s="125"/>
      <c r="D651" s="125"/>
      <c r="E651" s="125"/>
      <c r="F651" s="125"/>
      <c r="G651" s="125"/>
      <c r="H651" s="125"/>
      <c r="I651" s="125"/>
      <c r="J651" s="125"/>
      <c r="K651" s="125"/>
      <c r="L651" s="125"/>
      <c r="M651" s="125"/>
      <c r="N651" s="125"/>
      <c r="O651" s="39"/>
      <c r="P651" s="39"/>
    </row>
    <row r="652" spans="1:16" x14ac:dyDescent="0.2">
      <c r="A652" s="47" t="str">
        <v>0:00</v>
      </c>
      <c r="B652" s="103"/>
      <c r="C652" s="125"/>
      <c r="D652" s="125"/>
      <c r="E652" s="125"/>
      <c r="F652" s="125"/>
      <c r="G652" s="125"/>
      <c r="H652" s="125"/>
      <c r="I652" s="125"/>
      <c r="J652" s="125"/>
      <c r="K652" s="125"/>
      <c r="L652" s="125"/>
      <c r="M652" s="125"/>
      <c r="N652" s="125"/>
      <c r="O652" s="39"/>
      <c r="P652" s="39"/>
    </row>
    <row r="653" spans="1:16" x14ac:dyDescent="0.2">
      <c r="A653" s="47" t="str">
        <v>0:00</v>
      </c>
      <c r="B653" s="103"/>
      <c r="C653" s="125"/>
      <c r="D653" s="125"/>
      <c r="E653" s="125"/>
      <c r="F653" s="125"/>
      <c r="G653" s="125"/>
      <c r="H653" s="125"/>
      <c r="I653" s="125"/>
      <c r="J653" s="125"/>
      <c r="K653" s="125"/>
      <c r="L653" s="125"/>
      <c r="M653" s="125"/>
      <c r="N653" s="125"/>
      <c r="O653" s="39"/>
      <c r="P653" s="39"/>
    </row>
    <row r="654" spans="1:16" x14ac:dyDescent="0.2">
      <c r="A654" s="47" t="str">
        <v>0:00</v>
      </c>
      <c r="B654" s="103"/>
      <c r="C654" s="125"/>
      <c r="D654" s="125"/>
      <c r="E654" s="125"/>
      <c r="F654" s="125"/>
      <c r="G654" s="125"/>
      <c r="H654" s="125"/>
      <c r="I654" s="125"/>
      <c r="J654" s="125"/>
      <c r="K654" s="125"/>
      <c r="L654" s="125"/>
      <c r="M654" s="125"/>
      <c r="N654" s="125"/>
      <c r="O654" s="39"/>
      <c r="P654" s="39"/>
    </row>
    <row r="655" spans="1:16" x14ac:dyDescent="0.2">
      <c r="A655" s="47" t="str">
        <v>0:00</v>
      </c>
      <c r="B655" s="103"/>
      <c r="C655" s="125"/>
      <c r="D655" s="125"/>
      <c r="E655" s="125"/>
      <c r="F655" s="125"/>
      <c r="G655" s="125"/>
      <c r="H655" s="125"/>
      <c r="I655" s="125"/>
      <c r="J655" s="125"/>
      <c r="K655" s="125"/>
      <c r="L655" s="125"/>
      <c r="M655" s="125"/>
      <c r="N655" s="125"/>
      <c r="O655" s="39"/>
      <c r="P655" s="39"/>
    </row>
    <row r="656" spans="1:16" x14ac:dyDescent="0.2">
      <c r="A656" s="47" t="str">
        <v>0:00</v>
      </c>
      <c r="B656" s="103"/>
      <c r="C656" s="125"/>
      <c r="D656" s="125"/>
      <c r="E656" s="125"/>
      <c r="F656" s="125"/>
      <c r="G656" s="125"/>
      <c r="H656" s="125"/>
      <c r="I656" s="125"/>
      <c r="J656" s="125"/>
      <c r="K656" s="125"/>
      <c r="L656" s="125"/>
      <c r="M656" s="125"/>
      <c r="N656" s="125"/>
      <c r="O656" s="39"/>
      <c r="P656" s="39"/>
    </row>
    <row r="657" spans="1:16" x14ac:dyDescent="0.2">
      <c r="A657" s="47" t="str">
        <v>0:00</v>
      </c>
      <c r="B657" s="103"/>
      <c r="C657" s="125"/>
      <c r="D657" s="125"/>
      <c r="E657" s="125"/>
      <c r="F657" s="125"/>
      <c r="G657" s="125"/>
      <c r="H657" s="125"/>
      <c r="I657" s="125"/>
      <c r="J657" s="125"/>
      <c r="K657" s="125"/>
      <c r="L657" s="125"/>
      <c r="M657" s="125"/>
      <c r="N657" s="125"/>
      <c r="O657" s="39"/>
      <c r="P657" s="39"/>
    </row>
    <row r="658" spans="1:16" x14ac:dyDescent="0.2">
      <c r="A658" s="47" t="str">
        <v>0:00</v>
      </c>
      <c r="B658" s="103"/>
      <c r="C658" s="125"/>
      <c r="D658" s="125"/>
      <c r="E658" s="125"/>
      <c r="F658" s="125"/>
      <c r="G658" s="125"/>
      <c r="H658" s="125"/>
      <c r="I658" s="125"/>
      <c r="J658" s="125"/>
      <c r="K658" s="125"/>
      <c r="L658" s="125"/>
      <c r="M658" s="125"/>
      <c r="N658" s="125"/>
      <c r="O658" s="39"/>
      <c r="P658" s="39"/>
    </row>
    <row r="659" spans="1:16" x14ac:dyDescent="0.2">
      <c r="A659" s="47" t="str">
        <v>0:00</v>
      </c>
      <c r="B659" s="103"/>
      <c r="C659" s="125"/>
      <c r="D659" s="125"/>
      <c r="E659" s="125"/>
      <c r="F659" s="125"/>
      <c r="G659" s="125"/>
      <c r="H659" s="125"/>
      <c r="I659" s="125"/>
      <c r="J659" s="125"/>
      <c r="K659" s="125"/>
      <c r="L659" s="125"/>
      <c r="M659" s="125"/>
      <c r="N659" s="125"/>
      <c r="O659" s="39"/>
      <c r="P659" s="39"/>
    </row>
    <row r="660" spans="1:16" x14ac:dyDescent="0.2">
      <c r="A660" s="47" t="str">
        <v>0:00</v>
      </c>
      <c r="B660" s="103"/>
      <c r="C660" s="125"/>
      <c r="D660" s="125"/>
      <c r="E660" s="125"/>
      <c r="F660" s="125"/>
      <c r="G660" s="125"/>
      <c r="H660" s="125"/>
      <c r="I660" s="125"/>
      <c r="J660" s="125"/>
      <c r="K660" s="125"/>
      <c r="L660" s="125"/>
      <c r="M660" s="125"/>
      <c r="N660" s="125"/>
      <c r="O660" s="39"/>
      <c r="P660" s="39"/>
    </row>
    <row r="661" spans="1:16" x14ac:dyDescent="0.2">
      <c r="A661" s="47" t="str">
        <v>0:00</v>
      </c>
      <c r="B661" s="103"/>
      <c r="C661" s="125"/>
      <c r="D661" s="125"/>
      <c r="E661" s="125"/>
      <c r="F661" s="125"/>
      <c r="G661" s="125"/>
      <c r="H661" s="125"/>
      <c r="I661" s="125"/>
      <c r="J661" s="125"/>
      <c r="K661" s="125"/>
      <c r="L661" s="125"/>
      <c r="M661" s="125"/>
      <c r="N661" s="125"/>
      <c r="O661" s="39"/>
      <c r="P661" s="39"/>
    </row>
    <row r="662" spans="1:16" x14ac:dyDescent="0.2">
      <c r="A662" s="47" t="str">
        <v>0:00</v>
      </c>
      <c r="B662" s="103"/>
      <c r="C662" s="125"/>
      <c r="D662" s="125"/>
      <c r="E662" s="125"/>
      <c r="F662" s="125"/>
      <c r="G662" s="125"/>
      <c r="H662" s="125"/>
      <c r="I662" s="125"/>
      <c r="J662" s="125"/>
      <c r="K662" s="125"/>
      <c r="L662" s="125"/>
      <c r="M662" s="125"/>
      <c r="N662" s="125"/>
      <c r="O662" s="39"/>
      <c r="P662" s="39"/>
    </row>
    <row r="663" spans="1:16" x14ac:dyDescent="0.2">
      <c r="A663" s="47" t="str">
        <v>0:00</v>
      </c>
      <c r="B663" s="103"/>
      <c r="C663" s="125"/>
      <c r="D663" s="125"/>
      <c r="E663" s="125"/>
      <c r="F663" s="125"/>
      <c r="G663" s="125"/>
      <c r="H663" s="125"/>
      <c r="I663" s="125"/>
      <c r="J663" s="125"/>
      <c r="K663" s="125"/>
      <c r="L663" s="125"/>
      <c r="M663" s="125"/>
      <c r="N663" s="125"/>
      <c r="O663" s="39"/>
      <c r="P663" s="39"/>
    </row>
    <row r="664" spans="1:16" x14ac:dyDescent="0.2">
      <c r="A664" s="47" t="str">
        <v>0:00</v>
      </c>
      <c r="B664" s="103"/>
      <c r="C664" s="125"/>
      <c r="D664" s="125"/>
      <c r="E664" s="125"/>
      <c r="F664" s="125"/>
      <c r="G664" s="125"/>
      <c r="H664" s="125"/>
      <c r="I664" s="125"/>
      <c r="J664" s="125"/>
      <c r="K664" s="125"/>
      <c r="L664" s="125"/>
      <c r="M664" s="125"/>
      <c r="N664" s="125"/>
      <c r="O664" s="39"/>
      <c r="P664" s="39"/>
    </row>
    <row r="665" spans="1:16" x14ac:dyDescent="0.2">
      <c r="A665" s="47" t="str">
        <v>0:00</v>
      </c>
      <c r="B665" s="103"/>
      <c r="C665" s="125"/>
      <c r="D665" s="125"/>
      <c r="E665" s="125"/>
      <c r="F665" s="125"/>
      <c r="G665" s="125"/>
      <c r="H665" s="125"/>
      <c r="I665" s="125"/>
      <c r="J665" s="125"/>
      <c r="K665" s="125"/>
      <c r="L665" s="125"/>
      <c r="M665" s="125"/>
      <c r="N665" s="125"/>
      <c r="O665" s="39"/>
      <c r="P665" s="39"/>
    </row>
    <row r="666" spans="1:16" x14ac:dyDescent="0.2">
      <c r="A666" s="47" t="str">
        <v>0:00</v>
      </c>
      <c r="B666" s="103"/>
      <c r="C666" s="125"/>
      <c r="D666" s="125"/>
      <c r="E666" s="125"/>
      <c r="F666" s="125"/>
      <c r="G666" s="125"/>
      <c r="H666" s="125"/>
      <c r="I666" s="125"/>
      <c r="J666" s="125"/>
      <c r="K666" s="125"/>
      <c r="L666" s="125"/>
      <c r="M666" s="125"/>
      <c r="N666" s="125"/>
      <c r="O666" s="39"/>
      <c r="P666" s="39"/>
    </row>
    <row r="667" spans="1:16" x14ac:dyDescent="0.2">
      <c r="A667" s="47" t="str">
        <v>0:00</v>
      </c>
      <c r="B667" s="103"/>
      <c r="C667" s="125"/>
      <c r="D667" s="125"/>
      <c r="E667" s="125"/>
      <c r="F667" s="125"/>
      <c r="G667" s="125"/>
      <c r="H667" s="125"/>
      <c r="I667" s="125"/>
      <c r="J667" s="125"/>
      <c r="K667" s="125"/>
      <c r="L667" s="125"/>
      <c r="M667" s="125"/>
      <c r="N667" s="125"/>
      <c r="O667" s="39"/>
      <c r="P667" s="39"/>
    </row>
    <row r="668" spans="1:16" x14ac:dyDescent="0.2">
      <c r="A668" s="47" t="str">
        <v>0:00</v>
      </c>
      <c r="B668" s="103"/>
      <c r="C668" s="125"/>
      <c r="D668" s="125"/>
      <c r="E668" s="125"/>
      <c r="F668" s="125"/>
      <c r="G668" s="125"/>
      <c r="H668" s="125"/>
      <c r="I668" s="125"/>
      <c r="J668" s="125"/>
      <c r="K668" s="125"/>
      <c r="L668" s="125"/>
      <c r="M668" s="125"/>
      <c r="N668" s="125"/>
      <c r="O668" s="39"/>
      <c r="P668" s="39"/>
    </row>
    <row r="669" spans="1:16" x14ac:dyDescent="0.2">
      <c r="A669" s="47" t="str">
        <v>0:00</v>
      </c>
      <c r="B669" s="103"/>
      <c r="C669" s="125"/>
      <c r="D669" s="125"/>
      <c r="E669" s="125"/>
      <c r="F669" s="125"/>
      <c r="G669" s="125"/>
      <c r="H669" s="125"/>
      <c r="I669" s="125"/>
      <c r="J669" s="125"/>
      <c r="K669" s="125"/>
      <c r="L669" s="125"/>
      <c r="M669" s="125"/>
      <c r="N669" s="125"/>
      <c r="O669" s="39"/>
      <c r="P669" s="39"/>
    </row>
    <row r="670" spans="1:16" x14ac:dyDescent="0.2">
      <c r="A670" s="47" t="str">
        <v>0:00</v>
      </c>
      <c r="B670" s="103"/>
      <c r="C670" s="125"/>
      <c r="D670" s="125"/>
      <c r="E670" s="125"/>
      <c r="F670" s="125"/>
      <c r="G670" s="125"/>
      <c r="H670" s="125"/>
      <c r="I670" s="125"/>
      <c r="J670" s="125"/>
      <c r="K670" s="125"/>
      <c r="L670" s="125"/>
      <c r="M670" s="125"/>
      <c r="N670" s="125"/>
      <c r="O670" s="39"/>
      <c r="P670" s="39"/>
    </row>
    <row r="671" spans="1:16" x14ac:dyDescent="0.2">
      <c r="A671" s="47" t="str">
        <v>0:00</v>
      </c>
      <c r="B671" s="103"/>
      <c r="C671" s="125"/>
      <c r="D671" s="125"/>
      <c r="E671" s="125"/>
      <c r="F671" s="125"/>
      <c r="G671" s="125"/>
      <c r="H671" s="125"/>
      <c r="I671" s="125"/>
      <c r="J671" s="125"/>
      <c r="K671" s="125"/>
      <c r="L671" s="125"/>
      <c r="M671" s="125"/>
      <c r="N671" s="125"/>
      <c r="O671" s="39"/>
      <c r="P671" s="39"/>
    </row>
    <row r="672" spans="1:16" x14ac:dyDescent="0.2">
      <c r="A672" s="47" t="str">
        <v>0:00</v>
      </c>
      <c r="B672" s="103"/>
      <c r="C672" s="125"/>
      <c r="D672" s="125"/>
      <c r="E672" s="125"/>
      <c r="F672" s="125"/>
      <c r="G672" s="125"/>
      <c r="H672" s="125"/>
      <c r="I672" s="125"/>
      <c r="J672" s="125"/>
      <c r="K672" s="125"/>
      <c r="L672" s="125"/>
      <c r="M672" s="125"/>
      <c r="N672" s="125"/>
      <c r="O672" s="39"/>
      <c r="P672" s="39"/>
    </row>
    <row r="673" spans="1:16" x14ac:dyDescent="0.2">
      <c r="A673" s="47" t="str">
        <v>0:00</v>
      </c>
      <c r="B673" s="103"/>
      <c r="C673" s="125"/>
      <c r="D673" s="125"/>
      <c r="E673" s="125"/>
      <c r="F673" s="125"/>
      <c r="G673" s="125"/>
      <c r="H673" s="125"/>
      <c r="I673" s="125"/>
      <c r="J673" s="125"/>
      <c r="K673" s="125"/>
      <c r="L673" s="125"/>
      <c r="M673" s="125"/>
      <c r="N673" s="125"/>
      <c r="O673" s="39"/>
      <c r="P673" s="39"/>
    </row>
    <row r="674" spans="1:16" x14ac:dyDescent="0.2">
      <c r="A674" s="47" t="str">
        <v>0:00</v>
      </c>
      <c r="B674" s="103"/>
      <c r="C674" s="125"/>
      <c r="D674" s="125"/>
      <c r="E674" s="125"/>
      <c r="F674" s="125"/>
      <c r="G674" s="125"/>
      <c r="H674" s="125"/>
      <c r="I674" s="125"/>
      <c r="J674" s="125"/>
      <c r="K674" s="125"/>
      <c r="L674" s="125"/>
      <c r="M674" s="125"/>
      <c r="N674" s="125"/>
      <c r="O674" s="39"/>
      <c r="P674" s="39"/>
    </row>
    <row r="675" spans="1:16" x14ac:dyDescent="0.2">
      <c r="A675" s="47" t="str">
        <v>0:00</v>
      </c>
      <c r="B675" s="103"/>
      <c r="C675" s="125"/>
      <c r="D675" s="125"/>
      <c r="E675" s="125"/>
      <c r="F675" s="125"/>
      <c r="G675" s="125"/>
      <c r="H675" s="125"/>
      <c r="I675" s="125"/>
      <c r="J675" s="125"/>
      <c r="K675" s="125"/>
      <c r="L675" s="125"/>
      <c r="M675" s="125"/>
      <c r="N675" s="125"/>
      <c r="O675" s="39"/>
      <c r="P675" s="39"/>
    </row>
    <row r="676" spans="1:16" x14ac:dyDescent="0.2">
      <c r="A676" s="47" t="str">
        <v>0:00</v>
      </c>
      <c r="B676" s="103"/>
      <c r="C676" s="125"/>
      <c r="D676" s="125"/>
      <c r="E676" s="125"/>
      <c r="F676" s="125"/>
      <c r="G676" s="125"/>
      <c r="H676" s="125"/>
      <c r="I676" s="125"/>
      <c r="J676" s="125"/>
      <c r="K676" s="125"/>
      <c r="L676" s="125"/>
      <c r="M676" s="125"/>
      <c r="N676" s="125"/>
      <c r="O676" s="39"/>
      <c r="P676" s="39"/>
    </row>
    <row r="677" spans="1:16" x14ac:dyDescent="0.2">
      <c r="A677" s="47" t="str">
        <v>0:00</v>
      </c>
      <c r="B677" s="103"/>
      <c r="C677" s="125"/>
      <c r="D677" s="125"/>
      <c r="E677" s="125"/>
      <c r="F677" s="125"/>
      <c r="G677" s="125"/>
      <c r="H677" s="125"/>
      <c r="I677" s="125"/>
      <c r="J677" s="125"/>
      <c r="K677" s="125"/>
      <c r="L677" s="125"/>
      <c r="M677" s="125"/>
      <c r="N677" s="125"/>
      <c r="O677" s="39"/>
      <c r="P677" s="39"/>
    </row>
    <row r="678" spans="1:16" x14ac:dyDescent="0.2">
      <c r="A678" s="47" t="str">
        <v>0:00</v>
      </c>
      <c r="B678" s="103"/>
      <c r="C678" s="125"/>
      <c r="D678" s="125"/>
      <c r="E678" s="125"/>
      <c r="F678" s="125"/>
      <c r="G678" s="125"/>
      <c r="H678" s="125"/>
      <c r="I678" s="125"/>
      <c r="J678" s="125"/>
      <c r="K678" s="125"/>
      <c r="L678" s="125"/>
      <c r="M678" s="125"/>
      <c r="N678" s="125"/>
      <c r="O678" s="39"/>
      <c r="P678" s="39"/>
    </row>
    <row r="679" spans="1:16" x14ac:dyDescent="0.2">
      <c r="A679" s="47" t="str">
        <v>0:00</v>
      </c>
      <c r="B679" s="103"/>
      <c r="C679" s="125"/>
      <c r="D679" s="125"/>
      <c r="E679" s="125"/>
      <c r="F679" s="125"/>
      <c r="G679" s="125"/>
      <c r="H679" s="125"/>
      <c r="I679" s="125"/>
      <c r="J679" s="125"/>
      <c r="K679" s="125"/>
      <c r="L679" s="125"/>
      <c r="M679" s="125"/>
      <c r="N679" s="125"/>
      <c r="O679" s="39"/>
      <c r="P679" s="39"/>
    </row>
    <row r="680" spans="1:16" x14ac:dyDescent="0.2">
      <c r="A680" s="47" t="str">
        <v>0:00</v>
      </c>
      <c r="B680" s="103"/>
      <c r="C680" s="125"/>
      <c r="D680" s="125"/>
      <c r="E680" s="125"/>
      <c r="F680" s="125"/>
      <c r="G680" s="125"/>
      <c r="H680" s="125"/>
      <c r="I680" s="125"/>
      <c r="J680" s="125"/>
      <c r="K680" s="125"/>
      <c r="L680" s="125"/>
      <c r="M680" s="125"/>
      <c r="N680" s="125"/>
      <c r="O680" s="39"/>
      <c r="P680" s="39"/>
    </row>
    <row r="681" spans="1:16" x14ac:dyDescent="0.2">
      <c r="A681" s="47" t="str">
        <v>0:00</v>
      </c>
      <c r="B681" s="103"/>
      <c r="C681" s="125"/>
      <c r="D681" s="125"/>
      <c r="E681" s="125"/>
      <c r="F681" s="125"/>
      <c r="G681" s="125"/>
      <c r="H681" s="125"/>
      <c r="I681" s="125"/>
      <c r="J681" s="125"/>
      <c r="K681" s="125"/>
      <c r="L681" s="125"/>
      <c r="M681" s="125"/>
      <c r="N681" s="125"/>
      <c r="O681" s="39"/>
      <c r="P681" s="39"/>
    </row>
    <row r="682" spans="1:16" x14ac:dyDescent="0.2">
      <c r="A682" s="47" t="str">
        <v>0:00</v>
      </c>
      <c r="B682" s="103"/>
      <c r="C682" s="125"/>
      <c r="D682" s="125"/>
      <c r="E682" s="125"/>
      <c r="F682" s="125"/>
      <c r="G682" s="125"/>
      <c r="H682" s="125"/>
      <c r="I682" s="125"/>
      <c r="J682" s="125"/>
      <c r="K682" s="125"/>
      <c r="L682" s="125"/>
      <c r="M682" s="125"/>
      <c r="N682" s="125"/>
      <c r="O682" s="39"/>
      <c r="P682" s="39"/>
    </row>
    <row r="683" spans="1:16" x14ac:dyDescent="0.2">
      <c r="A683" s="47" t="str">
        <v>0:00</v>
      </c>
      <c r="B683" s="103"/>
      <c r="C683" s="125"/>
      <c r="D683" s="125"/>
      <c r="E683" s="125"/>
      <c r="F683" s="125"/>
      <c r="G683" s="125"/>
      <c r="H683" s="125"/>
      <c r="I683" s="125"/>
      <c r="J683" s="125"/>
      <c r="K683" s="125"/>
      <c r="L683" s="125"/>
      <c r="M683" s="125"/>
      <c r="N683" s="125"/>
      <c r="O683" s="39"/>
      <c r="P683" s="39"/>
    </row>
    <row r="684" spans="1:16" x14ac:dyDescent="0.2">
      <c r="A684" s="47" t="str">
        <v>0:00</v>
      </c>
      <c r="B684" s="103"/>
      <c r="C684" s="125"/>
      <c r="D684" s="125"/>
      <c r="E684" s="125"/>
      <c r="F684" s="125"/>
      <c r="G684" s="125"/>
      <c r="H684" s="125"/>
      <c r="I684" s="125"/>
      <c r="J684" s="125"/>
      <c r="K684" s="125"/>
      <c r="L684" s="125"/>
      <c r="M684" s="125"/>
      <c r="N684" s="125"/>
      <c r="O684" s="39"/>
      <c r="P684" s="39"/>
    </row>
    <row r="685" spans="1:16" x14ac:dyDescent="0.2">
      <c r="A685" s="47" t="str">
        <v>0:00</v>
      </c>
      <c r="B685" s="103"/>
      <c r="C685" s="125"/>
      <c r="D685" s="125"/>
      <c r="E685" s="125"/>
      <c r="F685" s="125"/>
      <c r="G685" s="125"/>
      <c r="H685" s="125"/>
      <c r="I685" s="125"/>
      <c r="J685" s="125"/>
      <c r="K685" s="125"/>
      <c r="L685" s="125"/>
      <c r="M685" s="125"/>
      <c r="N685" s="125"/>
      <c r="O685" s="39"/>
      <c r="P685" s="39"/>
    </row>
    <row r="686" spans="1:16" x14ac:dyDescent="0.2">
      <c r="A686" s="47" t="str">
        <v>0:00</v>
      </c>
      <c r="B686" s="103"/>
      <c r="C686" s="125"/>
      <c r="D686" s="125"/>
      <c r="E686" s="125"/>
      <c r="F686" s="125"/>
      <c r="G686" s="125"/>
      <c r="H686" s="125"/>
      <c r="I686" s="125"/>
      <c r="J686" s="125"/>
      <c r="K686" s="125"/>
      <c r="L686" s="125"/>
      <c r="M686" s="125"/>
      <c r="N686" s="125"/>
      <c r="O686" s="39"/>
      <c r="P686" s="39"/>
    </row>
    <row r="687" spans="1:16" x14ac:dyDescent="0.2">
      <c r="A687" s="47" t="str">
        <v>0:00</v>
      </c>
      <c r="B687" s="103"/>
      <c r="C687" s="125"/>
      <c r="D687" s="125"/>
      <c r="E687" s="125"/>
      <c r="F687" s="125"/>
      <c r="G687" s="125"/>
      <c r="H687" s="125"/>
      <c r="I687" s="125"/>
      <c r="J687" s="125"/>
      <c r="K687" s="125"/>
      <c r="L687" s="125"/>
      <c r="M687" s="125"/>
      <c r="N687" s="125"/>
      <c r="O687" s="39"/>
      <c r="P687" s="39"/>
    </row>
    <row r="688" spans="1:16" x14ac:dyDescent="0.2">
      <c r="A688" s="47" t="str">
        <v>0:00</v>
      </c>
      <c r="B688" s="103"/>
      <c r="C688" s="125"/>
      <c r="D688" s="125"/>
      <c r="E688" s="125"/>
      <c r="F688" s="125"/>
      <c r="G688" s="125"/>
      <c r="H688" s="125"/>
      <c r="I688" s="125"/>
      <c r="J688" s="125"/>
      <c r="K688" s="125"/>
      <c r="L688" s="125"/>
      <c r="M688" s="125"/>
      <c r="N688" s="125"/>
      <c r="O688" s="39"/>
      <c r="P688" s="39"/>
    </row>
    <row r="689" spans="1:16" x14ac:dyDescent="0.2">
      <c r="A689" s="47" t="str">
        <v>0:00</v>
      </c>
      <c r="B689" s="103"/>
      <c r="C689" s="125"/>
      <c r="D689" s="125"/>
      <c r="E689" s="125"/>
      <c r="F689" s="125"/>
      <c r="G689" s="125"/>
      <c r="H689" s="125"/>
      <c r="I689" s="125"/>
      <c r="J689" s="125"/>
      <c r="K689" s="125"/>
      <c r="L689" s="125"/>
      <c r="M689" s="125"/>
      <c r="N689" s="125"/>
      <c r="O689" s="39"/>
      <c r="P689" s="39"/>
    </row>
    <row r="690" spans="1:16" x14ac:dyDescent="0.2">
      <c r="A690" s="47" t="str">
        <v>0:00</v>
      </c>
      <c r="B690" s="103"/>
      <c r="C690" s="125"/>
      <c r="D690" s="125"/>
      <c r="E690" s="125"/>
      <c r="F690" s="125"/>
      <c r="G690" s="125"/>
      <c r="H690" s="125"/>
      <c r="I690" s="125"/>
      <c r="J690" s="125"/>
      <c r="K690" s="125"/>
      <c r="L690" s="125"/>
      <c r="M690" s="125"/>
      <c r="N690" s="125"/>
      <c r="O690" s="39"/>
      <c r="P690" s="39"/>
    </row>
    <row r="691" spans="1:16" x14ac:dyDescent="0.2">
      <c r="A691" s="47" t="str">
        <v>0:00</v>
      </c>
      <c r="B691" s="103"/>
      <c r="C691" s="125"/>
      <c r="D691" s="125"/>
      <c r="E691" s="125"/>
      <c r="F691" s="125"/>
      <c r="G691" s="125"/>
      <c r="H691" s="125"/>
      <c r="I691" s="125"/>
      <c r="J691" s="125"/>
      <c r="K691" s="125"/>
      <c r="L691" s="125"/>
      <c r="M691" s="125"/>
      <c r="N691" s="125"/>
      <c r="O691" s="39"/>
      <c r="P691" s="39"/>
    </row>
    <row r="692" spans="1:16" x14ac:dyDescent="0.2">
      <c r="A692" s="47" t="str">
        <v>0:00</v>
      </c>
      <c r="B692" s="103"/>
      <c r="C692" s="125"/>
      <c r="D692" s="125"/>
      <c r="E692" s="125"/>
      <c r="F692" s="125"/>
      <c r="G692" s="125"/>
      <c r="H692" s="125"/>
      <c r="I692" s="125"/>
      <c r="J692" s="125"/>
      <c r="K692" s="125"/>
      <c r="L692" s="125"/>
      <c r="M692" s="125"/>
      <c r="N692" s="125"/>
      <c r="O692" s="39"/>
      <c r="P692" s="39"/>
    </row>
    <row r="693" spans="1:16" x14ac:dyDescent="0.2">
      <c r="A693" s="47" t="str">
        <v>0:00</v>
      </c>
      <c r="B693" s="103"/>
      <c r="C693" s="125"/>
      <c r="D693" s="125"/>
      <c r="E693" s="125"/>
      <c r="F693" s="125"/>
      <c r="G693" s="125"/>
      <c r="H693" s="125"/>
      <c r="I693" s="125"/>
      <c r="J693" s="125"/>
      <c r="K693" s="125"/>
      <c r="L693" s="125"/>
      <c r="M693" s="125"/>
      <c r="N693" s="125"/>
      <c r="O693" s="39"/>
      <c r="P693" s="39"/>
    </row>
    <row r="694" spans="1:16" x14ac:dyDescent="0.2">
      <c r="A694" s="47" t="str">
        <v>0:00</v>
      </c>
      <c r="B694" s="103"/>
      <c r="C694" s="125"/>
      <c r="D694" s="125"/>
      <c r="E694" s="125"/>
      <c r="F694" s="125"/>
      <c r="G694" s="125"/>
      <c r="H694" s="125"/>
      <c r="I694" s="125"/>
      <c r="J694" s="125"/>
      <c r="K694" s="125"/>
      <c r="L694" s="125"/>
      <c r="M694" s="125"/>
      <c r="N694" s="125"/>
      <c r="O694" s="39"/>
      <c r="P694" s="39"/>
    </row>
    <row r="695" spans="1:16" x14ac:dyDescent="0.2">
      <c r="A695" s="47" t="str">
        <v>0:00</v>
      </c>
      <c r="B695" s="103"/>
      <c r="C695" s="125"/>
      <c r="D695" s="125"/>
      <c r="E695" s="125"/>
      <c r="F695" s="125"/>
      <c r="G695" s="125"/>
      <c r="H695" s="125"/>
      <c r="I695" s="125"/>
      <c r="J695" s="125"/>
      <c r="K695" s="125"/>
      <c r="L695" s="125"/>
      <c r="M695" s="125"/>
      <c r="N695" s="125"/>
      <c r="O695" s="39"/>
      <c r="P695" s="39"/>
    </row>
    <row r="696" spans="1:16" x14ac:dyDescent="0.2">
      <c r="A696" s="47" t="str">
        <v>0:00</v>
      </c>
      <c r="B696" s="103"/>
      <c r="C696" s="125"/>
      <c r="D696" s="125"/>
      <c r="E696" s="125"/>
      <c r="F696" s="125"/>
      <c r="G696" s="125"/>
      <c r="H696" s="125"/>
      <c r="I696" s="125"/>
      <c r="J696" s="125"/>
      <c r="K696" s="125"/>
      <c r="L696" s="125"/>
      <c r="M696" s="125"/>
      <c r="N696" s="125"/>
      <c r="O696" s="39"/>
      <c r="P696" s="39"/>
    </row>
    <row r="697" spans="1:16" x14ac:dyDescent="0.2">
      <c r="A697" s="47" t="str">
        <v>0:00</v>
      </c>
      <c r="B697" s="103"/>
      <c r="C697" s="125"/>
      <c r="D697" s="125"/>
      <c r="E697" s="125"/>
      <c r="F697" s="125"/>
      <c r="G697" s="125"/>
      <c r="H697" s="125"/>
      <c r="I697" s="125"/>
      <c r="J697" s="125"/>
      <c r="K697" s="125"/>
      <c r="L697" s="125"/>
      <c r="M697" s="125"/>
      <c r="N697" s="125"/>
      <c r="O697" s="39"/>
      <c r="P697" s="39"/>
    </row>
    <row r="698" spans="1:16" x14ac:dyDescent="0.2">
      <c r="A698" s="47" t="str">
        <v>0:00</v>
      </c>
      <c r="B698" s="103"/>
      <c r="C698" s="125"/>
      <c r="D698" s="125"/>
      <c r="E698" s="125"/>
      <c r="F698" s="125"/>
      <c r="G698" s="125"/>
      <c r="H698" s="125"/>
      <c r="I698" s="125"/>
      <c r="J698" s="125"/>
      <c r="K698" s="125"/>
      <c r="L698" s="125"/>
      <c r="M698" s="125"/>
      <c r="N698" s="125"/>
      <c r="O698" s="39"/>
      <c r="P698" s="39"/>
    </row>
    <row r="699" spans="1:16" x14ac:dyDescent="0.2">
      <c r="A699" s="47" t="str">
        <v>0:00</v>
      </c>
      <c r="B699" s="103"/>
      <c r="C699" s="125"/>
      <c r="D699" s="125"/>
      <c r="E699" s="125"/>
      <c r="F699" s="125"/>
      <c r="G699" s="125"/>
      <c r="H699" s="125"/>
      <c r="I699" s="125"/>
      <c r="J699" s="125"/>
      <c r="K699" s="125"/>
      <c r="L699" s="125"/>
      <c r="M699" s="125"/>
      <c r="N699" s="125"/>
      <c r="O699" s="39"/>
      <c r="P699" s="39"/>
    </row>
    <row r="700" spans="1:16" x14ac:dyDescent="0.2">
      <c r="A700" s="47" t="str">
        <v>0:00</v>
      </c>
      <c r="B700" s="103"/>
      <c r="C700" s="125"/>
      <c r="D700" s="125"/>
      <c r="E700" s="125"/>
      <c r="F700" s="125"/>
      <c r="G700" s="125"/>
      <c r="H700" s="125"/>
      <c r="I700" s="125"/>
      <c r="J700" s="125"/>
      <c r="K700" s="125"/>
      <c r="L700" s="125"/>
      <c r="M700" s="125"/>
      <c r="N700" s="125"/>
      <c r="O700" s="39"/>
      <c r="P700" s="39"/>
    </row>
    <row r="701" spans="1:16" x14ac:dyDescent="0.2">
      <c r="A701" s="47" t="str">
        <v>0:00</v>
      </c>
      <c r="B701" s="103"/>
      <c r="C701" s="125"/>
      <c r="D701" s="125"/>
      <c r="E701" s="125"/>
      <c r="F701" s="125"/>
      <c r="G701" s="125"/>
      <c r="H701" s="125"/>
      <c r="I701" s="125"/>
      <c r="J701" s="125"/>
      <c r="K701" s="125"/>
      <c r="L701" s="125"/>
      <c r="M701" s="125"/>
      <c r="N701" s="125"/>
      <c r="O701" s="39"/>
      <c r="P701" s="39"/>
    </row>
    <row r="702" spans="1:16" x14ac:dyDescent="0.2">
      <c r="A702" s="47" t="str">
        <v>0:00</v>
      </c>
      <c r="B702" s="103"/>
      <c r="C702" s="125"/>
      <c r="D702" s="125"/>
      <c r="E702" s="125"/>
      <c r="F702" s="125"/>
      <c r="G702" s="125"/>
      <c r="H702" s="125"/>
      <c r="I702" s="125"/>
      <c r="J702" s="125"/>
      <c r="K702" s="125"/>
      <c r="L702" s="125"/>
      <c r="M702" s="125"/>
      <c r="N702" s="125"/>
      <c r="O702" s="39"/>
      <c r="P702" s="39"/>
    </row>
    <row r="703" spans="1:16" x14ac:dyDescent="0.2">
      <c r="A703" s="47" t="str">
        <v>0:00</v>
      </c>
      <c r="B703" s="103"/>
      <c r="C703" s="125"/>
      <c r="D703" s="125"/>
      <c r="E703" s="125"/>
      <c r="F703" s="125"/>
      <c r="G703" s="125"/>
      <c r="H703" s="125"/>
      <c r="I703" s="125"/>
      <c r="J703" s="125"/>
      <c r="K703" s="125"/>
      <c r="L703" s="125"/>
      <c r="M703" s="125"/>
      <c r="N703" s="125"/>
      <c r="O703" s="39"/>
      <c r="P703" s="39"/>
    </row>
    <row r="704" spans="1:16" x14ac:dyDescent="0.2">
      <c r="A704" s="47" t="str">
        <v>0:00</v>
      </c>
      <c r="B704" s="103"/>
      <c r="C704" s="125"/>
      <c r="D704" s="125"/>
      <c r="E704" s="125"/>
      <c r="F704" s="125"/>
      <c r="G704" s="125"/>
      <c r="H704" s="125"/>
      <c r="I704" s="125"/>
      <c r="J704" s="125"/>
      <c r="K704" s="125"/>
      <c r="L704" s="125"/>
      <c r="M704" s="125"/>
      <c r="N704" s="125"/>
      <c r="O704" s="39"/>
      <c r="P704" s="39"/>
    </row>
    <row r="705" spans="1:16" x14ac:dyDescent="0.2">
      <c r="A705" s="47" t="str">
        <v>0:00</v>
      </c>
      <c r="B705" s="103"/>
      <c r="C705" s="125"/>
      <c r="D705" s="125"/>
      <c r="E705" s="125"/>
      <c r="F705" s="125"/>
      <c r="G705" s="125"/>
      <c r="H705" s="125"/>
      <c r="I705" s="125"/>
      <c r="J705" s="125"/>
      <c r="K705" s="125"/>
      <c r="L705" s="125"/>
      <c r="M705" s="125"/>
      <c r="N705" s="125"/>
      <c r="O705" s="39"/>
      <c r="P705" s="39"/>
    </row>
    <row r="706" spans="1:16" x14ac:dyDescent="0.2">
      <c r="A706" s="47" t="str">
        <v>0:00</v>
      </c>
      <c r="B706" s="103"/>
      <c r="C706" s="125"/>
      <c r="D706" s="125"/>
      <c r="E706" s="125"/>
      <c r="F706" s="125"/>
      <c r="G706" s="125"/>
      <c r="H706" s="125"/>
      <c r="I706" s="125"/>
      <c r="J706" s="125"/>
      <c r="K706" s="125"/>
      <c r="L706" s="125"/>
      <c r="M706" s="125"/>
      <c r="N706" s="125"/>
      <c r="O706" s="39"/>
      <c r="P706" s="39"/>
    </row>
    <row r="707" spans="1:16" x14ac:dyDescent="0.2">
      <c r="A707" s="47" t="str">
        <v>0:00</v>
      </c>
      <c r="B707" s="103"/>
      <c r="C707" s="125"/>
      <c r="D707" s="125"/>
      <c r="E707" s="125"/>
      <c r="F707" s="125"/>
      <c r="G707" s="125"/>
      <c r="H707" s="125"/>
      <c r="I707" s="125"/>
      <c r="J707" s="125"/>
      <c r="K707" s="125"/>
      <c r="L707" s="125"/>
      <c r="M707" s="125"/>
      <c r="N707" s="125"/>
      <c r="O707" s="39"/>
      <c r="P707" s="39"/>
    </row>
    <row r="708" spans="1:16" x14ac:dyDescent="0.2">
      <c r="A708" s="47" t="str">
        <v>0:00</v>
      </c>
      <c r="B708" s="103"/>
      <c r="C708" s="125"/>
      <c r="D708" s="125"/>
      <c r="E708" s="125"/>
      <c r="F708" s="125"/>
      <c r="G708" s="125"/>
      <c r="H708" s="125"/>
      <c r="I708" s="125"/>
      <c r="J708" s="125"/>
      <c r="K708" s="125"/>
      <c r="L708" s="125"/>
      <c r="M708" s="125"/>
      <c r="N708" s="125"/>
      <c r="O708" s="39"/>
      <c r="P708" s="39"/>
    </row>
    <row r="709" spans="1:16" x14ac:dyDescent="0.2">
      <c r="A709" s="47" t="str">
        <v>0:00</v>
      </c>
      <c r="B709" s="103"/>
      <c r="C709" s="125"/>
      <c r="D709" s="125"/>
      <c r="E709" s="125"/>
      <c r="F709" s="125"/>
      <c r="G709" s="125"/>
      <c r="H709" s="125"/>
      <c r="I709" s="125"/>
      <c r="J709" s="125"/>
      <c r="K709" s="125"/>
      <c r="L709" s="125"/>
      <c r="M709" s="125"/>
      <c r="N709" s="125"/>
      <c r="O709" s="39"/>
      <c r="P709" s="39"/>
    </row>
    <row r="710" spans="1:16" x14ac:dyDescent="0.2">
      <c r="A710" s="47" t="str">
        <v>0:00</v>
      </c>
      <c r="B710" s="103"/>
      <c r="C710" s="125"/>
      <c r="D710" s="125"/>
      <c r="E710" s="125"/>
      <c r="F710" s="125"/>
      <c r="G710" s="125"/>
      <c r="H710" s="125"/>
      <c r="I710" s="125"/>
      <c r="J710" s="125"/>
      <c r="K710" s="125"/>
      <c r="L710" s="125"/>
      <c r="M710" s="125"/>
      <c r="N710" s="125"/>
      <c r="O710" s="39"/>
      <c r="P710" s="39"/>
    </row>
    <row r="711" spans="1:16" x14ac:dyDescent="0.2">
      <c r="A711" s="47" t="str">
        <v>0:00</v>
      </c>
      <c r="B711" s="103"/>
      <c r="C711" s="125"/>
      <c r="D711" s="125"/>
      <c r="E711" s="125"/>
      <c r="F711" s="125"/>
      <c r="G711" s="125"/>
      <c r="H711" s="125"/>
      <c r="I711" s="125"/>
      <c r="J711" s="125"/>
      <c r="K711" s="125"/>
      <c r="L711" s="125"/>
      <c r="M711" s="125"/>
      <c r="N711" s="125"/>
      <c r="O711" s="39"/>
      <c r="P711" s="39"/>
    </row>
    <row r="712" spans="1:16" x14ac:dyDescent="0.2">
      <c r="A712" s="47" t="str">
        <v>0:00</v>
      </c>
      <c r="B712" s="103"/>
      <c r="C712" s="125"/>
      <c r="D712" s="125"/>
      <c r="E712" s="125"/>
      <c r="F712" s="125"/>
      <c r="G712" s="125"/>
      <c r="H712" s="125"/>
      <c r="I712" s="125"/>
      <c r="J712" s="125"/>
      <c r="K712" s="125"/>
      <c r="L712" s="125"/>
      <c r="M712" s="125"/>
      <c r="N712" s="125"/>
      <c r="O712" s="39"/>
      <c r="P712" s="39"/>
    </row>
    <row r="713" spans="1:16" x14ac:dyDescent="0.2">
      <c r="A713" s="47" t="str">
        <v>0:00</v>
      </c>
      <c r="B713" s="103"/>
      <c r="C713" s="125"/>
      <c r="D713" s="125"/>
      <c r="E713" s="125"/>
      <c r="F713" s="125"/>
      <c r="G713" s="125"/>
      <c r="H713" s="125"/>
      <c r="I713" s="125"/>
      <c r="J713" s="125"/>
      <c r="K713" s="125"/>
      <c r="L713" s="125"/>
      <c r="M713" s="125"/>
      <c r="N713" s="125"/>
      <c r="O713" s="39"/>
      <c r="P713" s="39"/>
    </row>
    <row r="714" spans="1:16" x14ac:dyDescent="0.2">
      <c r="A714" s="47" t="str">
        <v>0:00</v>
      </c>
      <c r="B714" s="103"/>
      <c r="C714" s="125"/>
      <c r="D714" s="125"/>
      <c r="E714" s="125"/>
      <c r="F714" s="125"/>
      <c r="G714" s="125"/>
      <c r="H714" s="125"/>
      <c r="I714" s="125"/>
      <c r="J714" s="125"/>
      <c r="K714" s="125"/>
      <c r="L714" s="125"/>
      <c r="M714" s="125"/>
      <c r="N714" s="125"/>
      <c r="O714" s="39"/>
      <c r="P714" s="39"/>
    </row>
    <row r="715" spans="1:16" x14ac:dyDescent="0.2">
      <c r="A715" s="47" t="str">
        <v>0:00</v>
      </c>
      <c r="B715" s="103"/>
      <c r="C715" s="125"/>
      <c r="D715" s="125"/>
      <c r="E715" s="125"/>
      <c r="F715" s="125"/>
      <c r="G715" s="125"/>
      <c r="H715" s="125"/>
      <c r="I715" s="125"/>
      <c r="J715" s="125"/>
      <c r="K715" s="125"/>
      <c r="L715" s="125"/>
      <c r="M715" s="125"/>
      <c r="N715" s="125"/>
      <c r="O715" s="39"/>
      <c r="P715" s="39"/>
    </row>
    <row r="716" spans="1:16" x14ac:dyDescent="0.2">
      <c r="A716" s="47" t="str">
        <v>0:00</v>
      </c>
      <c r="B716" s="103"/>
      <c r="C716" s="125"/>
      <c r="D716" s="125"/>
      <c r="E716" s="125"/>
      <c r="F716" s="125"/>
      <c r="G716" s="125"/>
      <c r="H716" s="125"/>
      <c r="I716" s="125"/>
      <c r="J716" s="125"/>
      <c r="K716" s="125"/>
      <c r="L716" s="125"/>
      <c r="M716" s="125"/>
      <c r="N716" s="125"/>
      <c r="O716" s="39"/>
      <c r="P716" s="39"/>
    </row>
    <row r="717" spans="1:16" x14ac:dyDescent="0.2">
      <c r="A717" s="47" t="str">
        <v>0:00</v>
      </c>
      <c r="B717" s="103"/>
      <c r="C717" s="125"/>
      <c r="D717" s="125"/>
      <c r="E717" s="125"/>
      <c r="F717" s="125"/>
      <c r="G717" s="125"/>
      <c r="H717" s="125"/>
      <c r="I717" s="125"/>
      <c r="J717" s="125"/>
      <c r="K717" s="125"/>
      <c r="L717" s="125"/>
      <c r="M717" s="125"/>
      <c r="N717" s="125"/>
      <c r="O717" s="39"/>
      <c r="P717" s="39"/>
    </row>
    <row r="718" spans="1:16" x14ac:dyDescent="0.2">
      <c r="A718" s="47" t="str">
        <v>0:00</v>
      </c>
      <c r="B718" s="103"/>
      <c r="C718" s="125"/>
      <c r="D718" s="125"/>
      <c r="E718" s="125"/>
      <c r="F718" s="125"/>
      <c r="G718" s="125"/>
      <c r="H718" s="125"/>
      <c r="I718" s="125"/>
      <c r="J718" s="125"/>
      <c r="K718" s="125"/>
      <c r="L718" s="125"/>
      <c r="M718" s="125"/>
      <c r="N718" s="125"/>
      <c r="O718" s="39"/>
      <c r="P718" s="39"/>
    </row>
    <row r="719" spans="1:16" x14ac:dyDescent="0.2">
      <c r="A719" s="47" t="str">
        <v>0:00</v>
      </c>
      <c r="B719" s="103"/>
      <c r="C719" s="125"/>
      <c r="D719" s="125"/>
      <c r="E719" s="125"/>
      <c r="F719" s="125"/>
      <c r="G719" s="125"/>
      <c r="H719" s="125"/>
      <c r="I719" s="125"/>
      <c r="J719" s="125"/>
      <c r="K719" s="125"/>
      <c r="L719" s="125"/>
      <c r="M719" s="125"/>
      <c r="N719" s="125"/>
      <c r="O719" s="39"/>
      <c r="P719" s="39"/>
    </row>
    <row r="720" spans="1:16" x14ac:dyDescent="0.2">
      <c r="A720" s="47" t="str">
        <v>0:00</v>
      </c>
      <c r="B720" s="103"/>
      <c r="C720" s="125"/>
      <c r="D720" s="125"/>
      <c r="E720" s="125"/>
      <c r="F720" s="125"/>
      <c r="G720" s="125"/>
      <c r="H720" s="125"/>
      <c r="I720" s="125"/>
      <c r="J720" s="125"/>
      <c r="K720" s="125"/>
      <c r="L720" s="125"/>
      <c r="M720" s="125"/>
      <c r="N720" s="125"/>
      <c r="O720" s="39"/>
      <c r="P720" s="39"/>
    </row>
    <row r="721" spans="1:16" x14ac:dyDescent="0.2">
      <c r="A721" s="47" t="str">
        <v>0:00</v>
      </c>
      <c r="B721" s="103"/>
      <c r="C721" s="125"/>
      <c r="D721" s="125"/>
      <c r="E721" s="125"/>
      <c r="F721" s="125"/>
      <c r="G721" s="125"/>
      <c r="H721" s="125"/>
      <c r="I721" s="125"/>
      <c r="J721" s="125"/>
      <c r="K721" s="125"/>
      <c r="L721" s="125"/>
      <c r="M721" s="125"/>
      <c r="N721" s="125"/>
      <c r="O721" s="39"/>
      <c r="P721" s="39"/>
    </row>
    <row r="722" spans="1:16" x14ac:dyDescent="0.2">
      <c r="A722" s="47" t="str">
        <v>0:00</v>
      </c>
      <c r="B722" s="103"/>
      <c r="C722" s="125"/>
      <c r="D722" s="125"/>
      <c r="E722" s="125"/>
      <c r="F722" s="125"/>
      <c r="G722" s="125"/>
      <c r="H722" s="125"/>
      <c r="I722" s="125"/>
      <c r="J722" s="125"/>
      <c r="K722" s="125"/>
      <c r="L722" s="125"/>
      <c r="M722" s="125"/>
      <c r="N722" s="125"/>
      <c r="O722" s="39"/>
      <c r="P722" s="39"/>
    </row>
    <row r="723" spans="1:16" x14ac:dyDescent="0.2">
      <c r="A723" s="47" t="str">
        <v>0:00</v>
      </c>
      <c r="B723" s="103"/>
      <c r="C723" s="125"/>
      <c r="D723" s="125"/>
      <c r="E723" s="125"/>
      <c r="F723" s="125"/>
      <c r="G723" s="125"/>
      <c r="H723" s="125"/>
      <c r="I723" s="125"/>
      <c r="J723" s="125"/>
      <c r="K723" s="125"/>
      <c r="L723" s="125"/>
      <c r="M723" s="125"/>
      <c r="N723" s="125"/>
      <c r="O723" s="39"/>
      <c r="P723" s="39"/>
    </row>
    <row r="724" spans="1:16" x14ac:dyDescent="0.2">
      <c r="A724" s="47" t="str">
        <v>0:00</v>
      </c>
      <c r="B724" s="103"/>
      <c r="C724" s="125"/>
      <c r="D724" s="125"/>
      <c r="E724" s="125"/>
      <c r="F724" s="125"/>
      <c r="G724" s="125"/>
      <c r="H724" s="125"/>
      <c r="I724" s="125"/>
      <c r="J724" s="125"/>
      <c r="K724" s="125"/>
      <c r="L724" s="125"/>
      <c r="M724" s="125"/>
      <c r="N724" s="125"/>
      <c r="O724" s="39"/>
      <c r="P724" s="39"/>
    </row>
    <row r="725" spans="1:16" x14ac:dyDescent="0.2">
      <c r="A725" s="47" t="str">
        <v>0:00</v>
      </c>
      <c r="B725" s="103"/>
      <c r="C725" s="125"/>
      <c r="D725" s="125"/>
      <c r="E725" s="125"/>
      <c r="F725" s="125"/>
      <c r="G725" s="125"/>
      <c r="H725" s="125"/>
      <c r="I725" s="125"/>
      <c r="J725" s="125"/>
      <c r="K725" s="125"/>
      <c r="L725" s="125"/>
      <c r="M725" s="125"/>
      <c r="N725" s="125"/>
      <c r="O725" s="39"/>
      <c r="P725" s="39"/>
    </row>
    <row r="726" spans="1:16" x14ac:dyDescent="0.2">
      <c r="A726" s="47" t="str">
        <v>0:00</v>
      </c>
      <c r="B726" s="103"/>
      <c r="C726" s="125"/>
      <c r="D726" s="125"/>
      <c r="E726" s="125"/>
      <c r="F726" s="125"/>
      <c r="G726" s="125"/>
      <c r="H726" s="125"/>
      <c r="I726" s="125"/>
      <c r="J726" s="125"/>
      <c r="K726" s="125"/>
      <c r="L726" s="125"/>
      <c r="M726" s="125"/>
      <c r="N726" s="125"/>
      <c r="O726" s="39"/>
      <c r="P726" s="39"/>
    </row>
    <row r="727" spans="1:16" x14ac:dyDescent="0.2">
      <c r="A727" s="47" t="str">
        <v>0:00</v>
      </c>
      <c r="B727" s="103"/>
      <c r="C727" s="125"/>
      <c r="D727" s="125"/>
      <c r="E727" s="125"/>
      <c r="F727" s="125"/>
      <c r="G727" s="125"/>
      <c r="H727" s="125"/>
      <c r="I727" s="125"/>
      <c r="J727" s="125"/>
      <c r="K727" s="125"/>
      <c r="L727" s="125"/>
      <c r="M727" s="125"/>
      <c r="N727" s="125"/>
      <c r="O727" s="39"/>
      <c r="P727" s="39"/>
    </row>
    <row r="728" spans="1:16" x14ac:dyDescent="0.2">
      <c r="A728" s="47" t="str">
        <v>0:00</v>
      </c>
      <c r="B728" s="103"/>
      <c r="C728" s="125"/>
      <c r="D728" s="125"/>
      <c r="E728" s="125"/>
      <c r="F728" s="125"/>
      <c r="G728" s="125"/>
      <c r="H728" s="125"/>
      <c r="I728" s="125"/>
      <c r="J728" s="125"/>
      <c r="K728" s="125"/>
      <c r="L728" s="125"/>
      <c r="M728" s="125"/>
      <c r="N728" s="125"/>
      <c r="O728" s="39"/>
      <c r="P728" s="39"/>
    </row>
    <row r="729" spans="1:16" x14ac:dyDescent="0.2">
      <c r="A729" s="47" t="str">
        <v>0:00</v>
      </c>
      <c r="B729" s="103"/>
      <c r="C729" s="125"/>
      <c r="D729" s="125"/>
      <c r="E729" s="125"/>
      <c r="F729" s="125"/>
      <c r="G729" s="125"/>
      <c r="H729" s="125"/>
      <c r="I729" s="125"/>
      <c r="J729" s="125"/>
      <c r="K729" s="125"/>
      <c r="L729" s="125"/>
      <c r="M729" s="125"/>
      <c r="N729" s="125"/>
      <c r="O729" s="39"/>
      <c r="P729" s="39"/>
    </row>
    <row r="730" spans="1:16" x14ac:dyDescent="0.2">
      <c r="A730" s="47" t="str">
        <v>0:00</v>
      </c>
      <c r="B730" s="103"/>
      <c r="C730" s="125"/>
      <c r="D730" s="125"/>
      <c r="E730" s="125"/>
      <c r="F730" s="125"/>
      <c r="G730" s="125"/>
      <c r="H730" s="125"/>
      <c r="I730" s="125"/>
      <c r="J730" s="125"/>
      <c r="K730" s="125"/>
      <c r="L730" s="125"/>
      <c r="M730" s="125"/>
      <c r="N730" s="125"/>
      <c r="O730" s="39"/>
      <c r="P730" s="39"/>
    </row>
    <row r="731" spans="1:16" x14ac:dyDescent="0.2">
      <c r="A731" s="47" t="str">
        <v>0:00</v>
      </c>
      <c r="B731" s="103"/>
      <c r="C731" s="125"/>
      <c r="D731" s="125"/>
      <c r="E731" s="125"/>
      <c r="F731" s="125"/>
      <c r="G731" s="125"/>
      <c r="H731" s="125"/>
      <c r="I731" s="125"/>
      <c r="J731" s="125"/>
      <c r="K731" s="125"/>
      <c r="L731" s="125"/>
      <c r="M731" s="125"/>
      <c r="N731" s="125"/>
      <c r="O731" s="39"/>
      <c r="P731" s="39"/>
    </row>
    <row r="732" spans="1:16" x14ac:dyDescent="0.2">
      <c r="A732" s="47" t="str">
        <v>0:00</v>
      </c>
      <c r="B732" s="103"/>
      <c r="C732" s="125"/>
      <c r="D732" s="125"/>
      <c r="E732" s="125"/>
      <c r="F732" s="125"/>
      <c r="G732" s="125"/>
      <c r="H732" s="125"/>
      <c r="I732" s="125"/>
      <c r="J732" s="125"/>
      <c r="K732" s="125"/>
      <c r="L732" s="125"/>
      <c r="M732" s="125"/>
      <c r="N732" s="125"/>
      <c r="O732" s="39"/>
      <c r="P732" s="39"/>
    </row>
    <row r="733" spans="1:16" x14ac:dyDescent="0.2">
      <c r="A733" s="47" t="str">
        <v>0:00</v>
      </c>
      <c r="B733" s="103"/>
      <c r="C733" s="125"/>
      <c r="D733" s="125"/>
      <c r="E733" s="125"/>
      <c r="F733" s="125"/>
      <c r="G733" s="125"/>
      <c r="H733" s="125"/>
      <c r="I733" s="125"/>
      <c r="J733" s="125"/>
      <c r="K733" s="125"/>
      <c r="L733" s="125"/>
      <c r="M733" s="125"/>
      <c r="N733" s="125"/>
      <c r="O733" s="39"/>
      <c r="P733" s="39"/>
    </row>
    <row r="734" spans="1:16" x14ac:dyDescent="0.2">
      <c r="A734" s="47" t="str">
        <v>0:00</v>
      </c>
      <c r="B734" s="103"/>
      <c r="C734" s="125"/>
      <c r="D734" s="125"/>
      <c r="E734" s="125"/>
      <c r="F734" s="125"/>
      <c r="G734" s="125"/>
      <c r="H734" s="125"/>
      <c r="I734" s="125"/>
      <c r="J734" s="125"/>
      <c r="K734" s="125"/>
      <c r="L734" s="125"/>
      <c r="M734" s="125"/>
      <c r="N734" s="125"/>
      <c r="O734" s="39"/>
      <c r="P734" s="39"/>
    </row>
    <row r="735" spans="1:16" x14ac:dyDescent="0.2">
      <c r="A735" s="47" t="str">
        <v>0:00</v>
      </c>
      <c r="B735" s="103"/>
      <c r="C735" s="125"/>
      <c r="D735" s="125"/>
      <c r="E735" s="125"/>
      <c r="F735" s="125"/>
      <c r="G735" s="125"/>
      <c r="H735" s="125"/>
      <c r="I735" s="125"/>
      <c r="J735" s="125"/>
      <c r="K735" s="125"/>
      <c r="L735" s="125"/>
      <c r="M735" s="125"/>
      <c r="N735" s="125"/>
      <c r="O735" s="39"/>
      <c r="P735" s="39"/>
    </row>
    <row r="736" spans="1:16" x14ac:dyDescent="0.2">
      <c r="A736" s="47" t="str">
        <v>0:00</v>
      </c>
      <c r="B736" s="103"/>
      <c r="C736" s="125"/>
      <c r="D736" s="125"/>
      <c r="E736" s="125"/>
      <c r="F736" s="125"/>
      <c r="G736" s="125"/>
      <c r="H736" s="125"/>
      <c r="I736" s="125"/>
      <c r="J736" s="125"/>
      <c r="K736" s="125"/>
      <c r="L736" s="125"/>
      <c r="M736" s="125"/>
      <c r="N736" s="125"/>
      <c r="O736" s="39"/>
      <c r="P736" s="39"/>
    </row>
    <row r="737" spans="1:16" x14ac:dyDescent="0.2">
      <c r="A737" s="47" t="str">
        <v>0:00</v>
      </c>
      <c r="B737" s="103"/>
      <c r="C737" s="125"/>
      <c r="D737" s="125"/>
      <c r="E737" s="125"/>
      <c r="F737" s="125"/>
      <c r="G737" s="125"/>
      <c r="H737" s="125"/>
      <c r="I737" s="125"/>
      <c r="J737" s="125"/>
      <c r="K737" s="125"/>
      <c r="L737" s="125"/>
      <c r="M737" s="125"/>
      <c r="N737" s="125"/>
      <c r="O737" s="39"/>
      <c r="P737" s="39"/>
    </row>
    <row r="738" spans="1:16" x14ac:dyDescent="0.2">
      <c r="A738" s="47" t="str">
        <v>0:00</v>
      </c>
      <c r="B738" s="103"/>
      <c r="C738" s="125"/>
      <c r="D738" s="125"/>
      <c r="E738" s="125"/>
      <c r="F738" s="125"/>
      <c r="G738" s="125"/>
      <c r="H738" s="125"/>
      <c r="I738" s="125"/>
      <c r="J738" s="125"/>
      <c r="K738" s="125"/>
      <c r="L738" s="125"/>
      <c r="M738" s="125"/>
      <c r="N738" s="125"/>
      <c r="O738" s="39"/>
      <c r="P738" s="39"/>
    </row>
    <row r="739" spans="1:16" x14ac:dyDescent="0.2">
      <c r="A739" s="47" t="str">
        <v>0:00</v>
      </c>
      <c r="B739" s="103"/>
      <c r="C739" s="125"/>
      <c r="D739" s="125"/>
      <c r="E739" s="125"/>
      <c r="F739" s="125"/>
      <c r="G739" s="125"/>
      <c r="H739" s="125"/>
      <c r="I739" s="125"/>
      <c r="J739" s="125"/>
      <c r="K739" s="125"/>
      <c r="L739" s="125"/>
      <c r="M739" s="125"/>
      <c r="N739" s="125"/>
      <c r="O739" s="39"/>
      <c r="P739" s="39"/>
    </row>
    <row r="740" spans="1:16" x14ac:dyDescent="0.2">
      <c r="A740" s="47" t="str">
        <v>0:00</v>
      </c>
      <c r="B740" s="103"/>
      <c r="C740" s="125"/>
      <c r="D740" s="125"/>
      <c r="E740" s="125"/>
      <c r="F740" s="125"/>
      <c r="G740" s="125"/>
      <c r="H740" s="125"/>
      <c r="I740" s="125"/>
      <c r="J740" s="125"/>
      <c r="K740" s="125"/>
      <c r="L740" s="125"/>
      <c r="M740" s="125"/>
      <c r="N740" s="125"/>
      <c r="O740" s="39"/>
      <c r="P740" s="39"/>
    </row>
    <row r="741" spans="1:16" x14ac:dyDescent="0.2">
      <c r="A741" s="47" t="str">
        <v>0:00</v>
      </c>
      <c r="B741" s="103"/>
      <c r="C741" s="125"/>
      <c r="D741" s="125"/>
      <c r="E741" s="125"/>
      <c r="F741" s="125"/>
      <c r="G741" s="125"/>
      <c r="H741" s="125"/>
      <c r="I741" s="125"/>
      <c r="J741" s="125"/>
      <c r="K741" s="125"/>
      <c r="L741" s="125"/>
      <c r="M741" s="125"/>
      <c r="N741" s="125"/>
      <c r="O741" s="39"/>
      <c r="P741" s="39"/>
    </row>
    <row r="742" spans="1:16" x14ac:dyDescent="0.2">
      <c r="A742" s="47" t="str">
        <v>0:00</v>
      </c>
      <c r="B742" s="103"/>
      <c r="C742" s="125"/>
      <c r="D742" s="125"/>
      <c r="E742" s="125"/>
      <c r="F742" s="125"/>
      <c r="G742" s="125"/>
      <c r="H742" s="125"/>
      <c r="I742" s="125"/>
      <c r="J742" s="125"/>
      <c r="K742" s="125"/>
      <c r="L742" s="125"/>
      <c r="M742" s="125"/>
      <c r="N742" s="125"/>
      <c r="O742" s="39"/>
      <c r="P742" s="39"/>
    </row>
    <row r="743" spans="1:16" x14ac:dyDescent="0.2">
      <c r="A743" s="47" t="str">
        <v>0:00</v>
      </c>
      <c r="B743" s="103"/>
      <c r="C743" s="125"/>
      <c r="D743" s="125"/>
      <c r="E743" s="125"/>
      <c r="F743" s="125"/>
      <c r="G743" s="125"/>
      <c r="H743" s="125"/>
      <c r="I743" s="125"/>
      <c r="J743" s="125"/>
      <c r="K743" s="125"/>
      <c r="L743" s="125"/>
      <c r="M743" s="125"/>
      <c r="N743" s="125"/>
      <c r="O743" s="39"/>
      <c r="P743" s="39"/>
    </row>
    <row r="744" spans="1:16" x14ac:dyDescent="0.2">
      <c r="A744" s="47" t="str">
        <v>0:00</v>
      </c>
      <c r="B744" s="103"/>
      <c r="C744" s="125"/>
      <c r="D744" s="125"/>
      <c r="E744" s="125"/>
      <c r="F744" s="125"/>
      <c r="G744" s="125"/>
      <c r="H744" s="125"/>
      <c r="I744" s="125"/>
      <c r="J744" s="125"/>
      <c r="K744" s="125"/>
      <c r="L744" s="125"/>
      <c r="M744" s="125"/>
      <c r="N744" s="125"/>
      <c r="O744" s="39"/>
      <c r="P744" s="39"/>
    </row>
    <row r="745" spans="1:16" x14ac:dyDescent="0.2">
      <c r="A745" s="47" t="str">
        <v>0:00</v>
      </c>
      <c r="B745" s="103"/>
      <c r="C745" s="125"/>
      <c r="D745" s="125"/>
      <c r="E745" s="125"/>
      <c r="F745" s="125"/>
      <c r="G745" s="125"/>
      <c r="H745" s="125"/>
      <c r="I745" s="125"/>
      <c r="J745" s="125"/>
      <c r="K745" s="125"/>
      <c r="L745" s="125"/>
      <c r="M745" s="125"/>
      <c r="N745" s="125"/>
      <c r="O745" s="39"/>
      <c r="P745" s="39"/>
    </row>
    <row r="746" spans="1:16" x14ac:dyDescent="0.2">
      <c r="A746" s="47" t="str">
        <v>0:00</v>
      </c>
      <c r="B746" s="103"/>
      <c r="C746" s="125"/>
      <c r="D746" s="125"/>
      <c r="E746" s="125"/>
      <c r="F746" s="125"/>
      <c r="G746" s="125"/>
      <c r="H746" s="125"/>
      <c r="I746" s="125"/>
      <c r="J746" s="125"/>
      <c r="K746" s="125"/>
      <c r="L746" s="125"/>
      <c r="M746" s="125"/>
      <c r="N746" s="125"/>
      <c r="O746" s="39"/>
      <c r="P746" s="39"/>
    </row>
    <row r="747" spans="1:16" x14ac:dyDescent="0.2">
      <c r="A747" s="47" t="str">
        <v>0:00</v>
      </c>
      <c r="B747" s="103"/>
      <c r="C747" s="125"/>
      <c r="D747" s="125"/>
      <c r="E747" s="125"/>
      <c r="F747" s="125"/>
      <c r="G747" s="125"/>
      <c r="H747" s="125"/>
      <c r="I747" s="125"/>
      <c r="J747" s="125"/>
      <c r="K747" s="125"/>
      <c r="L747" s="125"/>
      <c r="M747" s="125"/>
      <c r="N747" s="125"/>
      <c r="O747" s="39"/>
      <c r="P747" s="39"/>
    </row>
    <row r="748" spans="1:16" x14ac:dyDescent="0.2">
      <c r="A748" s="47" t="str">
        <v>0:00</v>
      </c>
      <c r="B748" s="103"/>
      <c r="C748" s="125"/>
      <c r="D748" s="125"/>
      <c r="E748" s="125"/>
      <c r="F748" s="125"/>
      <c r="G748" s="125"/>
      <c r="H748" s="125"/>
      <c r="I748" s="125"/>
      <c r="J748" s="125"/>
      <c r="K748" s="125"/>
      <c r="L748" s="125"/>
      <c r="M748" s="125"/>
      <c r="N748" s="125"/>
      <c r="O748" s="39"/>
      <c r="P748" s="39"/>
    </row>
    <row r="749" spans="1:16" x14ac:dyDescent="0.2">
      <c r="A749" s="47" t="str">
        <v>0:00</v>
      </c>
      <c r="B749" s="103"/>
      <c r="C749" s="125"/>
      <c r="D749" s="125"/>
      <c r="E749" s="125"/>
      <c r="F749" s="125"/>
      <c r="G749" s="125"/>
      <c r="H749" s="125"/>
      <c r="I749" s="125"/>
      <c r="J749" s="125"/>
      <c r="K749" s="125"/>
      <c r="L749" s="125"/>
      <c r="M749" s="125"/>
      <c r="N749" s="125"/>
      <c r="O749" s="39"/>
      <c r="P749" s="39"/>
    </row>
    <row r="750" spans="1:16" x14ac:dyDescent="0.2">
      <c r="A750" s="47" t="str">
        <v>0:00</v>
      </c>
      <c r="B750" s="103"/>
      <c r="C750" s="125"/>
      <c r="D750" s="125"/>
      <c r="E750" s="125"/>
      <c r="F750" s="125"/>
      <c r="G750" s="125"/>
      <c r="H750" s="125"/>
      <c r="I750" s="125"/>
      <c r="J750" s="125"/>
      <c r="K750" s="125"/>
      <c r="L750" s="125"/>
      <c r="M750" s="125"/>
      <c r="N750" s="125"/>
      <c r="O750" s="39"/>
      <c r="P750" s="39"/>
    </row>
    <row r="751" spans="1:16" x14ac:dyDescent="0.2">
      <c r="A751" s="47" t="str">
        <v>0:00</v>
      </c>
      <c r="B751" s="103"/>
      <c r="C751" s="125"/>
      <c r="D751" s="125"/>
      <c r="E751" s="125"/>
      <c r="F751" s="125"/>
      <c r="G751" s="125"/>
      <c r="H751" s="125"/>
      <c r="I751" s="125"/>
      <c r="J751" s="125"/>
      <c r="K751" s="125"/>
      <c r="L751" s="125"/>
      <c r="M751" s="125"/>
      <c r="N751" s="125"/>
      <c r="O751" s="39"/>
      <c r="P751" s="39"/>
    </row>
    <row r="752" spans="1:16" x14ac:dyDescent="0.2">
      <c r="A752" s="47" t="str">
        <v>0:00</v>
      </c>
      <c r="B752" s="103"/>
      <c r="C752" s="125"/>
      <c r="D752" s="125"/>
      <c r="E752" s="125"/>
      <c r="F752" s="125"/>
      <c r="G752" s="125"/>
      <c r="H752" s="125"/>
      <c r="I752" s="125"/>
      <c r="J752" s="125"/>
      <c r="K752" s="125"/>
      <c r="L752" s="125"/>
      <c r="M752" s="125"/>
      <c r="N752" s="125"/>
      <c r="O752" s="39"/>
      <c r="P752" s="39"/>
    </row>
    <row r="753" spans="1:16" x14ac:dyDescent="0.2">
      <c r="A753" s="47" t="str">
        <v>0:00</v>
      </c>
      <c r="B753" s="103"/>
      <c r="C753" s="125"/>
      <c r="D753" s="125"/>
      <c r="E753" s="125"/>
      <c r="F753" s="125"/>
      <c r="G753" s="125"/>
      <c r="H753" s="125"/>
      <c r="I753" s="125"/>
      <c r="J753" s="125"/>
      <c r="K753" s="125"/>
      <c r="L753" s="125"/>
      <c r="M753" s="125"/>
      <c r="N753" s="125"/>
      <c r="O753" s="39"/>
      <c r="P753" s="39"/>
    </row>
    <row r="754" spans="1:16" x14ac:dyDescent="0.2">
      <c r="A754" s="47" t="str">
        <v>0:00</v>
      </c>
      <c r="B754" s="103"/>
      <c r="C754" s="125"/>
      <c r="D754" s="125"/>
      <c r="E754" s="125"/>
      <c r="F754" s="125"/>
      <c r="G754" s="125"/>
      <c r="H754" s="125"/>
      <c r="I754" s="125"/>
      <c r="J754" s="125"/>
      <c r="K754" s="125"/>
      <c r="L754" s="125"/>
      <c r="M754" s="125"/>
      <c r="N754" s="125"/>
      <c r="O754" s="39"/>
      <c r="P754" s="39"/>
    </row>
    <row r="755" spans="1:16" x14ac:dyDescent="0.2">
      <c r="A755" s="47" t="str">
        <v>0:00</v>
      </c>
      <c r="B755" s="103"/>
      <c r="C755" s="125"/>
      <c r="D755" s="125"/>
      <c r="E755" s="125"/>
      <c r="F755" s="125"/>
      <c r="G755" s="125"/>
      <c r="H755" s="125"/>
      <c r="I755" s="125"/>
      <c r="J755" s="125"/>
      <c r="K755" s="125"/>
      <c r="L755" s="125"/>
      <c r="M755" s="125"/>
      <c r="N755" s="125"/>
      <c r="O755" s="39"/>
      <c r="P755" s="39"/>
    </row>
    <row r="756" spans="1:16" x14ac:dyDescent="0.2">
      <c r="A756" s="47" t="str">
        <v>0:00</v>
      </c>
      <c r="B756" s="103"/>
      <c r="C756" s="125"/>
      <c r="D756" s="125"/>
      <c r="E756" s="125"/>
      <c r="F756" s="125"/>
      <c r="G756" s="125"/>
      <c r="H756" s="125"/>
      <c r="I756" s="125"/>
      <c r="J756" s="125"/>
      <c r="K756" s="125"/>
      <c r="L756" s="125"/>
      <c r="M756" s="125"/>
      <c r="N756" s="125"/>
      <c r="O756" s="39"/>
      <c r="P756" s="39"/>
    </row>
    <row r="757" spans="1:16" x14ac:dyDescent="0.2">
      <c r="A757" s="47" t="str">
        <v>0:00</v>
      </c>
      <c r="B757" s="103"/>
      <c r="C757" s="125"/>
      <c r="D757" s="125"/>
      <c r="E757" s="125"/>
      <c r="F757" s="125"/>
      <c r="G757" s="125"/>
      <c r="H757" s="125"/>
      <c r="I757" s="125"/>
      <c r="J757" s="125"/>
      <c r="K757" s="125"/>
      <c r="L757" s="125"/>
      <c r="M757" s="125"/>
      <c r="N757" s="125"/>
      <c r="O757" s="39"/>
      <c r="P757" s="39"/>
    </row>
    <row r="758" spans="1:16" x14ac:dyDescent="0.2">
      <c r="A758" s="47" t="str">
        <v>0:00</v>
      </c>
      <c r="B758" s="103"/>
      <c r="C758" s="125"/>
      <c r="D758" s="125"/>
      <c r="E758" s="125"/>
      <c r="F758" s="125"/>
      <c r="G758" s="125"/>
      <c r="H758" s="125"/>
      <c r="I758" s="125"/>
      <c r="J758" s="125"/>
      <c r="K758" s="125"/>
      <c r="L758" s="125"/>
      <c r="M758" s="125"/>
      <c r="N758" s="125"/>
      <c r="O758" s="39"/>
      <c r="P758" s="39"/>
    </row>
    <row r="759" spans="1:16" x14ac:dyDescent="0.2">
      <c r="A759" s="47" t="str">
        <v>0:00</v>
      </c>
      <c r="B759" s="103"/>
      <c r="C759" s="125"/>
      <c r="D759" s="125"/>
      <c r="E759" s="125"/>
      <c r="F759" s="125"/>
      <c r="G759" s="125"/>
      <c r="H759" s="125"/>
      <c r="I759" s="125"/>
      <c r="J759" s="125"/>
      <c r="K759" s="125"/>
      <c r="L759" s="125"/>
      <c r="M759" s="125"/>
      <c r="N759" s="125"/>
      <c r="O759" s="39"/>
      <c r="P759" s="39"/>
    </row>
    <row r="760" spans="1:16" x14ac:dyDescent="0.2">
      <c r="A760" s="47" t="str">
        <v>0:00</v>
      </c>
      <c r="B760" s="103"/>
      <c r="C760" s="125"/>
      <c r="D760" s="125"/>
      <c r="E760" s="125"/>
      <c r="F760" s="125"/>
      <c r="G760" s="125"/>
      <c r="H760" s="125"/>
      <c r="I760" s="125"/>
      <c r="J760" s="125"/>
      <c r="K760" s="125"/>
      <c r="L760" s="125"/>
      <c r="M760" s="125"/>
      <c r="N760" s="125"/>
      <c r="O760" s="39"/>
      <c r="P760" s="39"/>
    </row>
    <row r="761" spans="1:16" x14ac:dyDescent="0.2">
      <c r="A761" s="47" t="str">
        <v>0:00</v>
      </c>
      <c r="B761" s="103"/>
      <c r="C761" s="125"/>
      <c r="D761" s="125"/>
      <c r="E761" s="125"/>
      <c r="F761" s="125"/>
      <c r="G761" s="125"/>
      <c r="H761" s="125"/>
      <c r="I761" s="125"/>
      <c r="J761" s="125"/>
      <c r="K761" s="125"/>
      <c r="L761" s="125"/>
      <c r="M761" s="125"/>
      <c r="N761" s="125"/>
      <c r="O761" s="39"/>
      <c r="P761" s="39"/>
    </row>
    <row r="762" spans="1:16" x14ac:dyDescent="0.2">
      <c r="A762" s="47" t="str">
        <v>0:00</v>
      </c>
      <c r="B762" s="103"/>
      <c r="C762" s="125"/>
      <c r="D762" s="125"/>
      <c r="E762" s="125"/>
      <c r="F762" s="125"/>
      <c r="G762" s="125"/>
      <c r="H762" s="125"/>
      <c r="I762" s="125"/>
      <c r="J762" s="125"/>
      <c r="K762" s="125"/>
      <c r="L762" s="125"/>
      <c r="M762" s="125"/>
      <c r="N762" s="125"/>
      <c r="O762" s="39"/>
      <c r="P762" s="39"/>
    </row>
    <row r="763" spans="1:16" x14ac:dyDescent="0.2">
      <c r="A763" s="47" t="str">
        <v>0:00</v>
      </c>
      <c r="B763" s="103"/>
      <c r="C763" s="125"/>
      <c r="D763" s="125"/>
      <c r="E763" s="125"/>
      <c r="F763" s="125"/>
      <c r="G763" s="125"/>
      <c r="H763" s="125"/>
      <c r="I763" s="125"/>
      <c r="J763" s="125"/>
      <c r="K763" s="125"/>
      <c r="L763" s="125"/>
      <c r="M763" s="125"/>
      <c r="N763" s="125"/>
      <c r="O763" s="39"/>
      <c r="P763" s="39"/>
    </row>
    <row r="764" spans="1:16" x14ac:dyDescent="0.2">
      <c r="A764" s="47" t="str">
        <v>0:00</v>
      </c>
      <c r="B764" s="103"/>
      <c r="C764" s="125"/>
      <c r="D764" s="125"/>
      <c r="E764" s="125"/>
      <c r="F764" s="125"/>
      <c r="G764" s="125"/>
      <c r="H764" s="125"/>
      <c r="I764" s="125"/>
      <c r="J764" s="125"/>
      <c r="K764" s="125"/>
      <c r="L764" s="125"/>
      <c r="M764" s="125"/>
      <c r="N764" s="125"/>
      <c r="O764" s="39"/>
      <c r="P764" s="39"/>
    </row>
    <row r="765" spans="1:16" x14ac:dyDescent="0.2">
      <c r="A765" s="47" t="str">
        <v>0:00</v>
      </c>
      <c r="B765" s="103"/>
      <c r="C765" s="125"/>
      <c r="D765" s="125"/>
      <c r="E765" s="125"/>
      <c r="F765" s="125"/>
      <c r="G765" s="125"/>
      <c r="H765" s="125"/>
      <c r="I765" s="125"/>
      <c r="J765" s="125"/>
      <c r="K765" s="125"/>
      <c r="L765" s="125"/>
      <c r="M765" s="125"/>
      <c r="N765" s="125"/>
      <c r="O765" s="39"/>
      <c r="P765" s="39"/>
    </row>
    <row r="766" spans="1:16" x14ac:dyDescent="0.2">
      <c r="A766" s="47" t="str">
        <v>0:00</v>
      </c>
      <c r="B766" s="103"/>
      <c r="C766" s="125"/>
      <c r="D766" s="125"/>
      <c r="E766" s="125"/>
      <c r="F766" s="125"/>
      <c r="G766" s="125"/>
      <c r="H766" s="125"/>
      <c r="I766" s="125"/>
      <c r="J766" s="125"/>
      <c r="K766" s="125"/>
      <c r="L766" s="125"/>
      <c r="M766" s="125"/>
      <c r="N766" s="125"/>
      <c r="O766" s="39"/>
      <c r="P766" s="39"/>
    </row>
    <row r="767" spans="1:16" x14ac:dyDescent="0.2">
      <c r="A767" s="47" t="str">
        <v>0:00</v>
      </c>
      <c r="B767" s="103"/>
      <c r="C767" s="125"/>
      <c r="D767" s="125"/>
      <c r="E767" s="125"/>
      <c r="F767" s="125"/>
      <c r="G767" s="125"/>
      <c r="H767" s="125"/>
      <c r="I767" s="125"/>
      <c r="J767" s="125"/>
      <c r="K767" s="125"/>
      <c r="L767" s="125"/>
      <c r="M767" s="125"/>
      <c r="N767" s="125"/>
      <c r="O767" s="39"/>
      <c r="P767" s="39"/>
    </row>
    <row r="768" spans="1:16" x14ac:dyDescent="0.2">
      <c r="A768" s="47" t="str">
        <v>0:00</v>
      </c>
      <c r="B768" s="103"/>
      <c r="C768" s="125"/>
      <c r="D768" s="125"/>
      <c r="E768" s="125"/>
      <c r="F768" s="125"/>
      <c r="G768" s="125"/>
      <c r="H768" s="125"/>
      <c r="I768" s="125"/>
      <c r="J768" s="125"/>
      <c r="K768" s="125"/>
      <c r="L768" s="125"/>
      <c r="M768" s="125"/>
      <c r="N768" s="125"/>
      <c r="O768" s="39"/>
      <c r="P768" s="39"/>
    </row>
    <row r="769" spans="1:16" x14ac:dyDescent="0.2">
      <c r="A769" s="47" t="str">
        <v>0:00</v>
      </c>
      <c r="B769" s="103"/>
      <c r="C769" s="125"/>
      <c r="D769" s="125"/>
      <c r="E769" s="125"/>
      <c r="F769" s="125"/>
      <c r="G769" s="125"/>
      <c r="H769" s="125"/>
      <c r="I769" s="125"/>
      <c r="J769" s="125"/>
      <c r="K769" s="125"/>
      <c r="L769" s="125"/>
      <c r="M769" s="125"/>
      <c r="N769" s="125"/>
      <c r="O769" s="39"/>
      <c r="P769" s="39"/>
    </row>
    <row r="770" spans="1:16" x14ac:dyDescent="0.2">
      <c r="A770" s="47" t="str">
        <v>0:00</v>
      </c>
      <c r="B770" s="103"/>
      <c r="C770" s="125"/>
      <c r="D770" s="125"/>
      <c r="E770" s="125"/>
      <c r="F770" s="125"/>
      <c r="G770" s="125"/>
      <c r="H770" s="125"/>
      <c r="I770" s="125"/>
      <c r="J770" s="125"/>
      <c r="K770" s="125"/>
      <c r="L770" s="125"/>
      <c r="M770" s="125"/>
      <c r="N770" s="125"/>
      <c r="O770" s="39"/>
      <c r="P770" s="39"/>
    </row>
    <row r="771" spans="1:16" x14ac:dyDescent="0.2">
      <c r="A771" s="47" t="str">
        <v>0:00</v>
      </c>
      <c r="B771" s="103"/>
      <c r="C771" s="125"/>
      <c r="D771" s="125"/>
      <c r="E771" s="125"/>
      <c r="F771" s="125"/>
      <c r="G771" s="125"/>
      <c r="H771" s="125"/>
      <c r="I771" s="125"/>
      <c r="J771" s="125"/>
      <c r="K771" s="125"/>
      <c r="L771" s="125"/>
      <c r="M771" s="125"/>
      <c r="N771" s="125"/>
      <c r="O771" s="39"/>
      <c r="P771" s="39"/>
    </row>
    <row r="772" spans="1:16" x14ac:dyDescent="0.2">
      <c r="A772" s="47" t="str">
        <v>0:00</v>
      </c>
      <c r="B772" s="103"/>
      <c r="C772" s="125"/>
      <c r="D772" s="125"/>
      <c r="E772" s="125"/>
      <c r="F772" s="125"/>
      <c r="G772" s="125"/>
      <c r="H772" s="125"/>
      <c r="I772" s="125"/>
      <c r="J772" s="125"/>
      <c r="K772" s="125"/>
      <c r="L772" s="125"/>
      <c r="M772" s="125"/>
      <c r="N772" s="125"/>
      <c r="O772" s="39"/>
      <c r="P772" s="39"/>
    </row>
    <row r="773" spans="1:16" x14ac:dyDescent="0.2">
      <c r="A773" s="47" t="str">
        <v>0:00</v>
      </c>
      <c r="B773" s="103"/>
      <c r="C773" s="125"/>
      <c r="D773" s="125"/>
      <c r="E773" s="125"/>
      <c r="F773" s="125"/>
      <c r="G773" s="125"/>
      <c r="H773" s="125"/>
      <c r="I773" s="125"/>
      <c r="J773" s="125"/>
      <c r="K773" s="125"/>
      <c r="L773" s="125"/>
      <c r="M773" s="125"/>
      <c r="N773" s="125"/>
      <c r="O773" s="39"/>
      <c r="P773" s="39"/>
    </row>
    <row r="774" spans="1:16" x14ac:dyDescent="0.2">
      <c r="A774" s="47" t="str">
        <v>0:00</v>
      </c>
      <c r="B774" s="103"/>
      <c r="C774" s="125"/>
      <c r="D774" s="125"/>
      <c r="E774" s="125"/>
      <c r="F774" s="125"/>
      <c r="G774" s="125"/>
      <c r="H774" s="125"/>
      <c r="I774" s="125"/>
      <c r="J774" s="125"/>
      <c r="K774" s="125"/>
      <c r="L774" s="125"/>
      <c r="M774" s="125"/>
      <c r="N774" s="125"/>
      <c r="O774" s="39"/>
      <c r="P774" s="39"/>
    </row>
    <row r="775" spans="1:16" x14ac:dyDescent="0.2">
      <c r="A775" s="47" t="str">
        <v>0:00</v>
      </c>
      <c r="B775" s="103"/>
      <c r="C775" s="125"/>
      <c r="D775" s="125"/>
      <c r="E775" s="125"/>
      <c r="F775" s="125"/>
      <c r="G775" s="125"/>
      <c r="H775" s="125"/>
      <c r="I775" s="125"/>
      <c r="J775" s="125"/>
      <c r="K775" s="125"/>
      <c r="L775" s="125"/>
      <c r="M775" s="125"/>
      <c r="N775" s="125"/>
      <c r="O775" s="39"/>
      <c r="P775" s="39"/>
    </row>
    <row r="776" spans="1:16" x14ac:dyDescent="0.2">
      <c r="A776" s="47" t="str">
        <v>0:00</v>
      </c>
      <c r="B776" s="103"/>
      <c r="C776" s="125"/>
      <c r="D776" s="125"/>
      <c r="E776" s="125"/>
      <c r="F776" s="125"/>
      <c r="G776" s="125"/>
      <c r="H776" s="125"/>
      <c r="I776" s="125"/>
      <c r="J776" s="125"/>
      <c r="K776" s="125"/>
      <c r="L776" s="125"/>
      <c r="M776" s="125"/>
      <c r="N776" s="125"/>
      <c r="O776" s="39"/>
      <c r="P776" s="39"/>
    </row>
    <row r="777" spans="1:16" x14ac:dyDescent="0.2">
      <c r="A777" s="47" t="str">
        <v>0:00</v>
      </c>
      <c r="B777" s="103"/>
      <c r="C777" s="125"/>
      <c r="D777" s="125"/>
      <c r="E777" s="125"/>
      <c r="F777" s="125"/>
      <c r="G777" s="125"/>
      <c r="H777" s="125"/>
      <c r="I777" s="125"/>
      <c r="J777" s="125"/>
      <c r="K777" s="125"/>
      <c r="L777" s="125"/>
      <c r="M777" s="125"/>
      <c r="N777" s="125"/>
      <c r="O777" s="39"/>
      <c r="P777" s="39"/>
    </row>
    <row r="778" spans="1:16" x14ac:dyDescent="0.2">
      <c r="A778" s="47" t="str">
        <v>0:00</v>
      </c>
      <c r="B778" s="103"/>
      <c r="C778" s="125"/>
      <c r="D778" s="125"/>
      <c r="E778" s="125"/>
      <c r="F778" s="125"/>
      <c r="G778" s="125"/>
      <c r="H778" s="125"/>
      <c r="I778" s="125"/>
      <c r="J778" s="125"/>
      <c r="K778" s="125"/>
      <c r="L778" s="125"/>
      <c r="M778" s="125"/>
      <c r="N778" s="125"/>
      <c r="O778" s="39"/>
      <c r="P778" s="39"/>
    </row>
    <row r="779" spans="1:16" x14ac:dyDescent="0.2">
      <c r="A779" s="47" t="str">
        <v>0:00</v>
      </c>
      <c r="B779" s="103"/>
      <c r="C779" s="125"/>
      <c r="D779" s="125"/>
      <c r="E779" s="125"/>
      <c r="F779" s="125"/>
      <c r="G779" s="125"/>
      <c r="H779" s="125"/>
      <c r="I779" s="125"/>
      <c r="J779" s="125"/>
      <c r="K779" s="125"/>
      <c r="L779" s="125"/>
      <c r="M779" s="125"/>
      <c r="N779" s="125"/>
      <c r="O779" s="39"/>
      <c r="P779" s="39"/>
    </row>
    <row r="780" spans="1:16" x14ac:dyDescent="0.2">
      <c r="A780" s="47" t="str">
        <v>0:00</v>
      </c>
      <c r="B780" s="103"/>
      <c r="C780" s="125"/>
      <c r="D780" s="125"/>
      <c r="E780" s="125"/>
      <c r="F780" s="125"/>
      <c r="G780" s="125"/>
      <c r="H780" s="125"/>
      <c r="I780" s="125"/>
      <c r="J780" s="125"/>
      <c r="K780" s="125"/>
      <c r="L780" s="125"/>
      <c r="M780" s="125"/>
      <c r="N780" s="125"/>
      <c r="O780" s="39"/>
      <c r="P780" s="39"/>
    </row>
    <row r="781" spans="1:16" x14ac:dyDescent="0.2">
      <c r="A781" s="47" t="str">
        <v>0:00</v>
      </c>
      <c r="B781" s="103"/>
      <c r="C781" s="125"/>
      <c r="D781" s="125"/>
      <c r="E781" s="125"/>
      <c r="F781" s="125"/>
      <c r="G781" s="125"/>
      <c r="H781" s="125"/>
      <c r="I781" s="125"/>
      <c r="J781" s="125"/>
      <c r="K781" s="125"/>
      <c r="L781" s="125"/>
      <c r="M781" s="125"/>
      <c r="N781" s="125"/>
      <c r="O781" s="39"/>
      <c r="P781" s="39"/>
    </row>
    <row r="782" spans="1:16" x14ac:dyDescent="0.2">
      <c r="A782" s="47" t="str">
        <v>0:00</v>
      </c>
      <c r="B782" s="103"/>
      <c r="C782" s="125"/>
      <c r="D782" s="125"/>
      <c r="E782" s="125"/>
      <c r="F782" s="125"/>
      <c r="G782" s="125"/>
      <c r="H782" s="125"/>
      <c r="I782" s="125"/>
      <c r="J782" s="125"/>
      <c r="K782" s="125"/>
      <c r="L782" s="125"/>
      <c r="M782" s="125"/>
      <c r="N782" s="125"/>
      <c r="O782" s="39"/>
      <c r="P782" s="39"/>
    </row>
    <row r="783" spans="1:16" x14ac:dyDescent="0.2">
      <c r="A783" s="47" t="str">
        <v>0:00</v>
      </c>
      <c r="B783" s="103"/>
      <c r="C783" s="125"/>
      <c r="D783" s="125"/>
      <c r="E783" s="125"/>
      <c r="F783" s="125"/>
      <c r="G783" s="125"/>
      <c r="H783" s="125"/>
      <c r="I783" s="125"/>
      <c r="J783" s="125"/>
      <c r="K783" s="125"/>
      <c r="L783" s="125"/>
      <c r="M783" s="125"/>
      <c r="N783" s="125"/>
      <c r="O783" s="39"/>
      <c r="P783" s="39"/>
    </row>
    <row r="784" spans="1:16" x14ac:dyDescent="0.2">
      <c r="A784" s="47" t="str">
        <v>0:00</v>
      </c>
      <c r="B784" s="103"/>
      <c r="C784" s="125"/>
      <c r="D784" s="125"/>
      <c r="E784" s="125"/>
      <c r="F784" s="125"/>
      <c r="G784" s="125"/>
      <c r="H784" s="125"/>
      <c r="I784" s="125"/>
      <c r="J784" s="125"/>
      <c r="K784" s="125"/>
      <c r="L784" s="125"/>
      <c r="M784" s="125"/>
      <c r="N784" s="125"/>
      <c r="O784" s="39"/>
      <c r="P784" s="39"/>
    </row>
    <row r="785" spans="1:16" x14ac:dyDescent="0.2">
      <c r="A785" s="47" t="str">
        <v>0:00</v>
      </c>
      <c r="B785" s="103"/>
      <c r="C785" s="125"/>
      <c r="D785" s="125"/>
      <c r="E785" s="125"/>
      <c r="F785" s="125"/>
      <c r="G785" s="125"/>
      <c r="H785" s="125"/>
      <c r="I785" s="125"/>
      <c r="J785" s="125"/>
      <c r="K785" s="125"/>
      <c r="L785" s="125"/>
      <c r="M785" s="125"/>
      <c r="N785" s="125"/>
      <c r="O785" s="39"/>
      <c r="P785" s="39"/>
    </row>
    <row r="786" spans="1:16" x14ac:dyDescent="0.2">
      <c r="A786" s="47" t="str">
        <v>0:00</v>
      </c>
      <c r="B786" s="103"/>
      <c r="C786" s="125"/>
      <c r="D786" s="125"/>
      <c r="E786" s="125"/>
      <c r="F786" s="125"/>
      <c r="G786" s="125"/>
      <c r="H786" s="125"/>
      <c r="I786" s="125"/>
      <c r="J786" s="125"/>
      <c r="K786" s="125"/>
      <c r="L786" s="125"/>
      <c r="M786" s="125"/>
      <c r="N786" s="125"/>
      <c r="O786" s="39"/>
      <c r="P786" s="39"/>
    </row>
    <row r="787" spans="1:16" x14ac:dyDescent="0.2">
      <c r="A787" s="47" t="str">
        <v>0:00</v>
      </c>
      <c r="B787" s="103"/>
      <c r="C787" s="125"/>
      <c r="D787" s="125"/>
      <c r="E787" s="125"/>
      <c r="F787" s="125"/>
      <c r="G787" s="125"/>
      <c r="H787" s="125"/>
      <c r="I787" s="125"/>
      <c r="J787" s="125"/>
      <c r="K787" s="125"/>
      <c r="L787" s="125"/>
      <c r="M787" s="125"/>
      <c r="N787" s="125"/>
      <c r="O787" s="39"/>
      <c r="P787" s="39"/>
    </row>
    <row r="788" spans="1:16" x14ac:dyDescent="0.2">
      <c r="A788" s="47" t="str">
        <v>0:00</v>
      </c>
      <c r="B788" s="103"/>
      <c r="C788" s="125"/>
      <c r="D788" s="125"/>
      <c r="E788" s="125"/>
      <c r="F788" s="125"/>
      <c r="G788" s="125"/>
      <c r="H788" s="125"/>
      <c r="I788" s="125"/>
      <c r="J788" s="125"/>
      <c r="K788" s="125"/>
      <c r="L788" s="125"/>
      <c r="M788" s="125"/>
      <c r="N788" s="125"/>
      <c r="O788" s="39"/>
      <c r="P788" s="39"/>
    </row>
    <row r="789" spans="1:16" x14ac:dyDescent="0.2">
      <c r="A789" s="47" t="str">
        <v>0:00</v>
      </c>
      <c r="B789" s="103"/>
      <c r="C789" s="125"/>
      <c r="D789" s="125"/>
      <c r="E789" s="125"/>
      <c r="F789" s="125"/>
      <c r="G789" s="125"/>
      <c r="H789" s="125"/>
      <c r="I789" s="125"/>
      <c r="J789" s="125"/>
      <c r="K789" s="125"/>
      <c r="L789" s="125"/>
      <c r="M789" s="125"/>
      <c r="N789" s="125"/>
      <c r="O789" s="39"/>
      <c r="P789" s="39"/>
    </row>
    <row r="790" spans="1:16" x14ac:dyDescent="0.2">
      <c r="A790" s="47" t="str">
        <v>0:00</v>
      </c>
      <c r="B790" s="103"/>
      <c r="C790" s="125"/>
      <c r="D790" s="125"/>
      <c r="E790" s="125"/>
      <c r="F790" s="125"/>
      <c r="G790" s="125"/>
      <c r="H790" s="125"/>
      <c r="I790" s="125"/>
      <c r="J790" s="125"/>
      <c r="K790" s="125"/>
      <c r="L790" s="125"/>
      <c r="M790" s="125"/>
      <c r="N790" s="125"/>
      <c r="O790" s="39"/>
      <c r="P790" s="39"/>
    </row>
    <row r="791" spans="1:16" x14ac:dyDescent="0.2">
      <c r="A791" s="47" t="str">
        <v>0:00</v>
      </c>
      <c r="B791" s="103"/>
      <c r="C791" s="125"/>
      <c r="D791" s="125"/>
      <c r="E791" s="125"/>
      <c r="F791" s="125"/>
      <c r="G791" s="125"/>
      <c r="H791" s="125"/>
      <c r="I791" s="125"/>
      <c r="J791" s="125"/>
      <c r="K791" s="125"/>
      <c r="L791" s="125"/>
      <c r="M791" s="125"/>
      <c r="N791" s="125"/>
      <c r="O791" s="39"/>
      <c r="P791" s="39"/>
    </row>
    <row r="792" spans="1:16" x14ac:dyDescent="0.2">
      <c r="A792" s="47" t="str">
        <v>0:00</v>
      </c>
      <c r="B792" s="103"/>
      <c r="C792" s="125"/>
      <c r="D792" s="125"/>
      <c r="E792" s="125"/>
      <c r="F792" s="125"/>
      <c r="G792" s="125"/>
      <c r="H792" s="125"/>
      <c r="I792" s="125"/>
      <c r="J792" s="125"/>
      <c r="K792" s="125"/>
      <c r="L792" s="125"/>
      <c r="M792" s="125"/>
      <c r="N792" s="125"/>
      <c r="O792" s="39"/>
      <c r="P792" s="39"/>
    </row>
    <row r="793" spans="1:16" x14ac:dyDescent="0.2">
      <c r="A793" s="47" t="str">
        <v>0:00</v>
      </c>
      <c r="B793" s="103"/>
      <c r="C793" s="125"/>
      <c r="D793" s="125"/>
      <c r="E793" s="125"/>
      <c r="F793" s="125"/>
      <c r="G793" s="125"/>
      <c r="H793" s="125"/>
      <c r="I793" s="125"/>
      <c r="J793" s="125"/>
      <c r="K793" s="125"/>
      <c r="L793" s="125"/>
      <c r="M793" s="125"/>
      <c r="N793" s="125"/>
      <c r="O793" s="39"/>
      <c r="P793" s="39"/>
    </row>
    <row r="794" spans="1:16" x14ac:dyDescent="0.2">
      <c r="A794" s="47" t="str">
        <v>0:00</v>
      </c>
      <c r="B794" s="103"/>
      <c r="C794" s="125"/>
      <c r="D794" s="125"/>
      <c r="E794" s="125"/>
      <c r="F794" s="125"/>
      <c r="G794" s="125"/>
      <c r="H794" s="125"/>
      <c r="I794" s="125"/>
      <c r="J794" s="125"/>
      <c r="K794" s="125"/>
      <c r="L794" s="125"/>
      <c r="M794" s="125"/>
      <c r="N794" s="125"/>
      <c r="O794" s="39"/>
      <c r="P794" s="39"/>
    </row>
    <row r="795" spans="1:16" x14ac:dyDescent="0.2">
      <c r="A795" s="47" t="str">
        <v>0:00</v>
      </c>
      <c r="B795" s="103"/>
      <c r="C795" s="125"/>
      <c r="D795" s="125"/>
      <c r="E795" s="125"/>
      <c r="F795" s="125"/>
      <c r="G795" s="125"/>
      <c r="H795" s="125"/>
      <c r="I795" s="125"/>
      <c r="J795" s="125"/>
      <c r="K795" s="125"/>
      <c r="L795" s="125"/>
      <c r="M795" s="125"/>
      <c r="N795" s="125"/>
      <c r="O795" s="39"/>
      <c r="P795" s="39"/>
    </row>
    <row r="796" spans="1:16" x14ac:dyDescent="0.2">
      <c r="A796" s="47" t="str">
        <v>0:00</v>
      </c>
      <c r="B796" s="103"/>
      <c r="C796" s="125"/>
      <c r="D796" s="125"/>
      <c r="E796" s="125"/>
      <c r="F796" s="125"/>
      <c r="G796" s="125"/>
      <c r="H796" s="125"/>
      <c r="I796" s="125"/>
      <c r="J796" s="125"/>
      <c r="K796" s="125"/>
      <c r="L796" s="125"/>
      <c r="M796" s="125"/>
      <c r="N796" s="125"/>
      <c r="O796" s="39"/>
      <c r="P796" s="39"/>
    </row>
    <row r="797" spans="1:16" x14ac:dyDescent="0.2">
      <c r="A797" s="47" t="str">
        <v>0:00</v>
      </c>
      <c r="B797" s="103"/>
      <c r="C797" s="125"/>
      <c r="D797" s="125"/>
      <c r="E797" s="125"/>
      <c r="F797" s="125"/>
      <c r="G797" s="125"/>
      <c r="H797" s="125"/>
      <c r="I797" s="125"/>
      <c r="J797" s="125"/>
      <c r="K797" s="125"/>
      <c r="L797" s="125"/>
      <c r="M797" s="125"/>
      <c r="N797" s="125"/>
      <c r="O797" s="39"/>
      <c r="P797" s="39"/>
    </row>
    <row r="798" spans="1:16" x14ac:dyDescent="0.2">
      <c r="A798" s="47" t="str">
        <v>0:00</v>
      </c>
      <c r="B798" s="103"/>
      <c r="C798" s="125"/>
      <c r="D798" s="125"/>
      <c r="E798" s="125"/>
      <c r="F798" s="125"/>
      <c r="G798" s="125"/>
      <c r="H798" s="125"/>
      <c r="I798" s="125"/>
      <c r="J798" s="125"/>
      <c r="K798" s="125"/>
      <c r="L798" s="125"/>
      <c r="M798" s="125"/>
      <c r="N798" s="125"/>
      <c r="O798" s="39"/>
      <c r="P798" s="39"/>
    </row>
    <row r="799" spans="1:16" x14ac:dyDescent="0.2">
      <c r="A799" s="47" t="str">
        <v>0:00</v>
      </c>
      <c r="B799" s="103"/>
      <c r="C799" s="125"/>
      <c r="D799" s="125"/>
      <c r="E799" s="125"/>
      <c r="F799" s="125"/>
      <c r="G799" s="125"/>
      <c r="H799" s="125"/>
      <c r="I799" s="125"/>
      <c r="J799" s="125"/>
      <c r="K799" s="125"/>
      <c r="L799" s="125"/>
      <c r="M799" s="125"/>
      <c r="N799" s="125"/>
      <c r="O799" s="39"/>
      <c r="P799" s="39"/>
    </row>
    <row r="800" spans="1:16" x14ac:dyDescent="0.2">
      <c r="A800" s="47" t="str">
        <v>0:00</v>
      </c>
      <c r="B800" s="103"/>
      <c r="C800" s="125"/>
      <c r="D800" s="125"/>
      <c r="E800" s="125"/>
      <c r="F800" s="125"/>
      <c r="G800" s="125"/>
      <c r="H800" s="125"/>
      <c r="I800" s="125"/>
      <c r="J800" s="125"/>
      <c r="K800" s="125"/>
      <c r="L800" s="125"/>
      <c r="M800" s="125"/>
      <c r="N800" s="125"/>
      <c r="O800" s="39"/>
      <c r="P800" s="39"/>
    </row>
    <row r="801" spans="1:16" x14ac:dyDescent="0.2">
      <c r="A801" s="47" t="str">
        <v>0:00</v>
      </c>
      <c r="B801" s="103"/>
      <c r="C801" s="125"/>
      <c r="D801" s="125"/>
      <c r="E801" s="125"/>
      <c r="F801" s="125"/>
      <c r="G801" s="125"/>
      <c r="H801" s="125"/>
      <c r="I801" s="125"/>
      <c r="J801" s="125"/>
      <c r="K801" s="125"/>
      <c r="L801" s="125"/>
      <c r="M801" s="125"/>
      <c r="N801" s="125"/>
      <c r="O801" s="39"/>
      <c r="P801" s="39"/>
    </row>
    <row r="802" spans="1:16" x14ac:dyDescent="0.2">
      <c r="A802" s="47" t="str">
        <v>0:00</v>
      </c>
      <c r="B802" s="103"/>
      <c r="C802" s="125"/>
      <c r="D802" s="125"/>
      <c r="E802" s="125"/>
      <c r="F802" s="125"/>
      <c r="G802" s="125"/>
      <c r="H802" s="125"/>
      <c r="I802" s="125"/>
      <c r="J802" s="125"/>
      <c r="K802" s="125"/>
      <c r="L802" s="125"/>
      <c r="M802" s="125"/>
      <c r="N802" s="125"/>
      <c r="O802" s="39"/>
      <c r="P802" s="39"/>
    </row>
    <row r="803" spans="1:16" x14ac:dyDescent="0.2">
      <c r="A803" s="47" t="str">
        <v>0:00</v>
      </c>
      <c r="B803" s="103"/>
      <c r="C803" s="125"/>
      <c r="D803" s="125"/>
      <c r="E803" s="125"/>
      <c r="F803" s="125"/>
      <c r="G803" s="125"/>
      <c r="H803" s="125"/>
      <c r="I803" s="125"/>
      <c r="J803" s="125"/>
      <c r="K803" s="125"/>
      <c r="L803" s="125"/>
      <c r="M803" s="125"/>
      <c r="N803" s="125"/>
      <c r="O803" s="39"/>
      <c r="P803" s="39"/>
    </row>
    <row r="804" spans="1:16" x14ac:dyDescent="0.2">
      <c r="A804" s="47" t="str">
        <v>0:00</v>
      </c>
      <c r="B804" s="103"/>
      <c r="C804" s="125"/>
      <c r="D804" s="125"/>
      <c r="E804" s="125"/>
      <c r="F804" s="125"/>
      <c r="G804" s="125"/>
      <c r="H804" s="125"/>
      <c r="I804" s="125"/>
      <c r="J804" s="125"/>
      <c r="K804" s="125"/>
      <c r="L804" s="125"/>
      <c r="M804" s="125"/>
      <c r="N804" s="125"/>
      <c r="O804" s="39"/>
      <c r="P804" s="39"/>
    </row>
    <row r="805" spans="1:16" x14ac:dyDescent="0.2">
      <c r="A805" s="47" t="str">
        <v>0:00</v>
      </c>
      <c r="B805" s="103"/>
      <c r="C805" s="125"/>
      <c r="D805" s="125"/>
      <c r="E805" s="125"/>
      <c r="F805" s="125"/>
      <c r="G805" s="125"/>
      <c r="H805" s="125"/>
      <c r="I805" s="125"/>
      <c r="J805" s="125"/>
      <c r="K805" s="125"/>
      <c r="L805" s="125"/>
      <c r="M805" s="125"/>
      <c r="N805" s="125"/>
      <c r="O805" s="39"/>
      <c r="P805" s="39"/>
    </row>
    <row r="806" spans="1:16" x14ac:dyDescent="0.2">
      <c r="A806" s="47" t="str">
        <v>0:00</v>
      </c>
      <c r="B806" s="103"/>
      <c r="C806" s="125"/>
      <c r="D806" s="125"/>
      <c r="E806" s="125"/>
      <c r="F806" s="125"/>
      <c r="G806" s="125"/>
      <c r="H806" s="125"/>
      <c r="I806" s="125"/>
      <c r="J806" s="125"/>
      <c r="K806" s="125"/>
      <c r="L806" s="125"/>
      <c r="M806" s="125"/>
      <c r="N806" s="125"/>
      <c r="O806" s="39"/>
      <c r="P806" s="39"/>
    </row>
    <row r="807" spans="1:16" x14ac:dyDescent="0.2">
      <c r="A807" s="47" t="str">
        <v>0:00</v>
      </c>
      <c r="B807" s="103"/>
      <c r="C807" s="125"/>
      <c r="D807" s="125"/>
      <c r="E807" s="125"/>
      <c r="F807" s="125"/>
      <c r="G807" s="125"/>
      <c r="H807" s="125"/>
      <c r="I807" s="125"/>
      <c r="J807" s="125"/>
      <c r="K807" s="125"/>
      <c r="L807" s="125"/>
      <c r="M807" s="125"/>
      <c r="N807" s="125"/>
      <c r="O807" s="39"/>
      <c r="P807" s="39"/>
    </row>
    <row r="808" spans="1:16" x14ac:dyDescent="0.2">
      <c r="A808" s="47" t="str">
        <v>0:00</v>
      </c>
      <c r="B808" s="103"/>
      <c r="C808" s="125"/>
      <c r="D808" s="125"/>
      <c r="E808" s="125"/>
      <c r="F808" s="125"/>
      <c r="G808" s="125"/>
      <c r="H808" s="125"/>
      <c r="I808" s="125"/>
      <c r="J808" s="125"/>
      <c r="K808" s="125"/>
      <c r="L808" s="125"/>
      <c r="M808" s="125"/>
      <c r="N808" s="125"/>
      <c r="O808" s="39"/>
      <c r="P808" s="39"/>
    </row>
    <row r="809" spans="1:16" x14ac:dyDescent="0.2">
      <c r="A809" s="47" t="str">
        <v>0:00</v>
      </c>
      <c r="B809" s="103"/>
      <c r="C809" s="125"/>
      <c r="D809" s="125"/>
      <c r="E809" s="125"/>
      <c r="F809" s="125"/>
      <c r="G809" s="125"/>
      <c r="H809" s="125"/>
      <c r="I809" s="125"/>
      <c r="J809" s="125"/>
      <c r="K809" s="125"/>
      <c r="L809" s="125"/>
      <c r="M809" s="125"/>
      <c r="N809" s="125"/>
      <c r="O809" s="39"/>
      <c r="P809" s="39"/>
    </row>
    <row r="810" spans="1:16" x14ac:dyDescent="0.2">
      <c r="A810" s="47" t="str">
        <v>0:00</v>
      </c>
      <c r="B810" s="103"/>
      <c r="C810" s="125"/>
      <c r="D810" s="125"/>
      <c r="E810" s="125"/>
      <c r="F810" s="125"/>
      <c r="G810" s="125"/>
      <c r="H810" s="125"/>
      <c r="I810" s="125"/>
      <c r="J810" s="125"/>
      <c r="K810" s="125"/>
      <c r="L810" s="125"/>
      <c r="M810" s="125"/>
      <c r="N810" s="125"/>
      <c r="O810" s="39"/>
      <c r="P810" s="39"/>
    </row>
    <row r="811" spans="1:16" x14ac:dyDescent="0.2">
      <c r="A811" s="47" t="str">
        <v>0:00</v>
      </c>
      <c r="B811" s="103"/>
      <c r="C811" s="125"/>
      <c r="D811" s="125"/>
      <c r="E811" s="125"/>
      <c r="F811" s="125"/>
      <c r="G811" s="125"/>
      <c r="H811" s="125"/>
      <c r="I811" s="125"/>
      <c r="J811" s="125"/>
      <c r="K811" s="125"/>
      <c r="L811" s="125"/>
      <c r="M811" s="125"/>
      <c r="N811" s="125"/>
      <c r="O811" s="39"/>
      <c r="P811" s="39"/>
    </row>
    <row r="812" spans="1:16" x14ac:dyDescent="0.2">
      <c r="A812" s="47" t="str">
        <v>0:00</v>
      </c>
      <c r="B812" s="103"/>
      <c r="C812" s="125"/>
      <c r="D812" s="125"/>
      <c r="E812" s="125"/>
      <c r="F812" s="125"/>
      <c r="G812" s="125"/>
      <c r="H812" s="125"/>
      <c r="I812" s="125"/>
      <c r="J812" s="125"/>
      <c r="K812" s="125"/>
      <c r="L812" s="125"/>
      <c r="M812" s="125"/>
      <c r="N812" s="125"/>
      <c r="O812" s="39"/>
      <c r="P812" s="39"/>
    </row>
    <row r="813" spans="1:16" x14ac:dyDescent="0.2">
      <c r="A813" s="47" t="str">
        <v>0:00</v>
      </c>
      <c r="B813" s="103"/>
      <c r="C813" s="125"/>
      <c r="D813" s="125"/>
      <c r="E813" s="125"/>
      <c r="F813" s="125"/>
      <c r="G813" s="125"/>
      <c r="H813" s="125"/>
      <c r="I813" s="125"/>
      <c r="J813" s="125"/>
      <c r="K813" s="125"/>
      <c r="L813" s="125"/>
      <c r="M813" s="125"/>
      <c r="N813" s="125"/>
      <c r="O813" s="39"/>
      <c r="P813" s="39"/>
    </row>
    <row r="814" spans="1:16" x14ac:dyDescent="0.2">
      <c r="A814" s="47" t="str">
        <v>0:00</v>
      </c>
      <c r="B814" s="103"/>
      <c r="C814" s="125"/>
      <c r="D814" s="125"/>
      <c r="E814" s="125"/>
      <c r="F814" s="125"/>
      <c r="G814" s="125"/>
      <c r="H814" s="125"/>
      <c r="I814" s="125"/>
      <c r="J814" s="125"/>
      <c r="K814" s="125"/>
      <c r="L814" s="125"/>
      <c r="M814" s="125"/>
      <c r="N814" s="125"/>
      <c r="O814" s="39"/>
      <c r="P814" s="39"/>
    </row>
    <row r="815" spans="1:16" x14ac:dyDescent="0.2">
      <c r="A815" s="47" t="str">
        <v>0:00</v>
      </c>
      <c r="B815" s="103"/>
      <c r="C815" s="125"/>
      <c r="D815" s="125"/>
      <c r="E815" s="125"/>
      <c r="F815" s="125"/>
      <c r="G815" s="125"/>
      <c r="H815" s="125"/>
      <c r="I815" s="125"/>
      <c r="J815" s="125"/>
      <c r="K815" s="125"/>
      <c r="L815" s="125"/>
      <c r="M815" s="125"/>
      <c r="N815" s="125"/>
      <c r="O815" s="39"/>
      <c r="P815" s="39"/>
    </row>
    <row r="816" spans="1:16" x14ac:dyDescent="0.2">
      <c r="A816" s="47" t="str">
        <v>0:00</v>
      </c>
      <c r="B816" s="103"/>
      <c r="C816" s="125"/>
      <c r="D816" s="125"/>
      <c r="E816" s="125"/>
      <c r="F816" s="125"/>
      <c r="G816" s="125"/>
      <c r="H816" s="125"/>
      <c r="I816" s="125"/>
      <c r="J816" s="125"/>
      <c r="K816" s="125"/>
      <c r="L816" s="125"/>
      <c r="M816" s="125"/>
      <c r="N816" s="125"/>
      <c r="O816" s="39"/>
      <c r="P816" s="39"/>
    </row>
    <row r="817" spans="1:16" x14ac:dyDescent="0.2">
      <c r="A817" s="47" t="str">
        <v>0:00</v>
      </c>
      <c r="B817" s="103"/>
      <c r="C817" s="125"/>
      <c r="D817" s="125"/>
      <c r="E817" s="125"/>
      <c r="F817" s="125"/>
      <c r="G817" s="125"/>
      <c r="H817" s="125"/>
      <c r="I817" s="125"/>
      <c r="J817" s="125"/>
      <c r="K817" s="125"/>
      <c r="L817" s="125"/>
      <c r="M817" s="125"/>
      <c r="N817" s="125"/>
      <c r="O817" s="39"/>
      <c r="P817" s="39"/>
    </row>
    <row r="818" spans="1:16" x14ac:dyDescent="0.2">
      <c r="A818" s="47" t="str">
        <v>0:00</v>
      </c>
      <c r="B818" s="103"/>
      <c r="C818" s="125"/>
      <c r="D818" s="125"/>
      <c r="E818" s="125"/>
      <c r="F818" s="125"/>
      <c r="G818" s="125"/>
      <c r="H818" s="125"/>
      <c r="I818" s="125"/>
      <c r="J818" s="125"/>
      <c r="K818" s="125"/>
      <c r="L818" s="125"/>
      <c r="M818" s="125"/>
      <c r="N818" s="125"/>
      <c r="O818" s="39"/>
      <c r="P818" s="39"/>
    </row>
    <row r="819" spans="1:16" x14ac:dyDescent="0.2">
      <c r="A819" s="47" t="str">
        <v>0:00</v>
      </c>
      <c r="B819" s="103"/>
      <c r="C819" s="125"/>
      <c r="D819" s="125"/>
      <c r="E819" s="125"/>
      <c r="F819" s="125"/>
      <c r="G819" s="125"/>
      <c r="H819" s="125"/>
      <c r="I819" s="125"/>
      <c r="J819" s="125"/>
      <c r="K819" s="125"/>
      <c r="L819" s="125"/>
      <c r="M819" s="125"/>
      <c r="N819" s="125"/>
      <c r="O819" s="39"/>
      <c r="P819" s="39"/>
    </row>
    <row r="820" spans="1:16" x14ac:dyDescent="0.2">
      <c r="A820" s="47" t="str">
        <v>0:00</v>
      </c>
      <c r="B820" s="103"/>
      <c r="C820" s="125"/>
      <c r="D820" s="125"/>
      <c r="E820" s="125"/>
      <c r="F820" s="125"/>
      <c r="G820" s="125"/>
      <c r="H820" s="125"/>
      <c r="I820" s="125"/>
      <c r="J820" s="125"/>
      <c r="K820" s="125"/>
      <c r="L820" s="125"/>
      <c r="M820" s="125"/>
      <c r="N820" s="125"/>
      <c r="O820" s="39"/>
      <c r="P820" s="39"/>
    </row>
    <row r="821" spans="1:16" x14ac:dyDescent="0.2">
      <c r="A821" s="47" t="str">
        <v>0:00</v>
      </c>
      <c r="B821" s="103"/>
      <c r="C821" s="125"/>
      <c r="D821" s="125"/>
      <c r="E821" s="125"/>
      <c r="F821" s="125"/>
      <c r="G821" s="125"/>
      <c r="H821" s="125"/>
      <c r="I821" s="125"/>
      <c r="J821" s="125"/>
      <c r="K821" s="125"/>
      <c r="L821" s="125"/>
      <c r="M821" s="125"/>
      <c r="N821" s="125"/>
      <c r="O821" s="39"/>
      <c r="P821" s="39"/>
    </row>
    <row r="822" spans="1:16" x14ac:dyDescent="0.2">
      <c r="A822" s="47" t="str">
        <v>0:00</v>
      </c>
      <c r="B822" s="103"/>
      <c r="C822" s="125"/>
      <c r="D822" s="125"/>
      <c r="E822" s="125"/>
      <c r="F822" s="125"/>
      <c r="G822" s="125"/>
      <c r="H822" s="125"/>
      <c r="I822" s="125"/>
      <c r="J822" s="125"/>
      <c r="K822" s="125"/>
      <c r="L822" s="125"/>
      <c r="M822" s="125"/>
      <c r="N822" s="125"/>
      <c r="O822" s="39"/>
      <c r="P822" s="39"/>
    </row>
    <row r="823" spans="1:16" x14ac:dyDescent="0.2">
      <c r="A823" s="47" t="str">
        <v>0:00</v>
      </c>
      <c r="B823" s="103"/>
      <c r="C823" s="125"/>
      <c r="D823" s="125"/>
      <c r="E823" s="125"/>
      <c r="F823" s="125"/>
      <c r="G823" s="125"/>
      <c r="H823" s="125"/>
      <c r="I823" s="125"/>
      <c r="J823" s="125"/>
      <c r="K823" s="125"/>
      <c r="L823" s="125"/>
      <c r="M823" s="125"/>
      <c r="N823" s="125"/>
      <c r="O823" s="39"/>
      <c r="P823" s="39"/>
    </row>
    <row r="824" spans="1:16" x14ac:dyDescent="0.2">
      <c r="A824" s="47" t="str">
        <v>0:00</v>
      </c>
      <c r="B824" s="103"/>
      <c r="C824" s="125"/>
      <c r="D824" s="125"/>
      <c r="E824" s="125"/>
      <c r="F824" s="125"/>
      <c r="G824" s="125"/>
      <c r="H824" s="125"/>
      <c r="I824" s="125"/>
      <c r="J824" s="125"/>
      <c r="K824" s="125"/>
      <c r="L824" s="125"/>
      <c r="M824" s="125"/>
      <c r="N824" s="125"/>
      <c r="O824" s="39"/>
      <c r="P824" s="39"/>
    </row>
    <row r="825" spans="1:16" x14ac:dyDescent="0.2">
      <c r="A825" s="47" t="str">
        <v>0:00</v>
      </c>
      <c r="B825" s="103"/>
      <c r="C825" s="125"/>
      <c r="D825" s="125"/>
      <c r="E825" s="125"/>
      <c r="F825" s="125"/>
      <c r="G825" s="125"/>
      <c r="H825" s="125"/>
      <c r="I825" s="125"/>
      <c r="J825" s="125"/>
      <c r="K825" s="125"/>
      <c r="L825" s="125"/>
      <c r="M825" s="125"/>
      <c r="N825" s="125"/>
      <c r="O825" s="39"/>
      <c r="P825" s="39"/>
    </row>
    <row r="826" spans="1:16" x14ac:dyDescent="0.2">
      <c r="A826" s="47" t="str">
        <v>0:00</v>
      </c>
      <c r="B826" s="103"/>
      <c r="C826" s="125"/>
      <c r="D826" s="125"/>
      <c r="E826" s="125"/>
      <c r="F826" s="125"/>
      <c r="G826" s="125"/>
      <c r="H826" s="125"/>
      <c r="I826" s="125"/>
      <c r="J826" s="125"/>
      <c r="K826" s="125"/>
      <c r="L826" s="125"/>
      <c r="M826" s="125"/>
      <c r="N826" s="125"/>
      <c r="O826" s="39"/>
      <c r="P826" s="39"/>
    </row>
    <row r="827" spans="1:16" x14ac:dyDescent="0.2">
      <c r="A827" s="47" t="str">
        <v>0:00</v>
      </c>
      <c r="B827" s="103"/>
      <c r="C827" s="125"/>
      <c r="D827" s="125"/>
      <c r="E827" s="125"/>
      <c r="F827" s="125"/>
      <c r="G827" s="125"/>
      <c r="H827" s="125"/>
      <c r="I827" s="125"/>
      <c r="J827" s="125"/>
      <c r="K827" s="125"/>
      <c r="L827" s="125"/>
      <c r="M827" s="125"/>
      <c r="N827" s="125"/>
      <c r="O827" s="39"/>
      <c r="P827" s="39"/>
    </row>
    <row r="828" spans="1:16" x14ac:dyDescent="0.2">
      <c r="A828" s="47" t="str">
        <v>0:00</v>
      </c>
      <c r="B828" s="103"/>
      <c r="C828" s="125"/>
      <c r="D828" s="125"/>
      <c r="E828" s="125"/>
      <c r="F828" s="125"/>
      <c r="G828" s="125"/>
      <c r="H828" s="125"/>
      <c r="I828" s="125"/>
      <c r="J828" s="125"/>
      <c r="K828" s="125"/>
      <c r="L828" s="125"/>
      <c r="M828" s="125"/>
      <c r="N828" s="125"/>
      <c r="O828" s="39"/>
      <c r="P828" s="39"/>
    </row>
    <row r="829" spans="1:16" x14ac:dyDescent="0.2">
      <c r="A829" s="47" t="str">
        <v>0:00</v>
      </c>
      <c r="B829" s="103"/>
      <c r="C829" s="125"/>
      <c r="D829" s="125"/>
      <c r="E829" s="125"/>
      <c r="F829" s="125"/>
      <c r="G829" s="125"/>
      <c r="H829" s="125"/>
      <c r="I829" s="125"/>
      <c r="J829" s="125"/>
      <c r="K829" s="125"/>
      <c r="L829" s="125"/>
      <c r="M829" s="125"/>
      <c r="N829" s="125"/>
      <c r="O829" s="39"/>
      <c r="P829" s="39"/>
    </row>
    <row r="830" spans="1:16" x14ac:dyDescent="0.2">
      <c r="A830" s="47" t="str">
        <v>0:00</v>
      </c>
      <c r="B830" s="103"/>
      <c r="C830" s="125"/>
      <c r="D830" s="125"/>
      <c r="E830" s="125"/>
      <c r="F830" s="125"/>
      <c r="G830" s="125"/>
      <c r="H830" s="125"/>
      <c r="I830" s="125"/>
      <c r="J830" s="125"/>
      <c r="K830" s="125"/>
      <c r="L830" s="125"/>
      <c r="M830" s="125"/>
      <c r="N830" s="125"/>
      <c r="O830" s="39"/>
      <c r="P830" s="39"/>
    </row>
    <row r="831" spans="1:16" x14ac:dyDescent="0.2">
      <c r="A831" s="47" t="str">
        <v>0:00</v>
      </c>
      <c r="B831" s="103"/>
      <c r="C831" s="125"/>
      <c r="D831" s="125"/>
      <c r="E831" s="125"/>
      <c r="F831" s="125"/>
      <c r="G831" s="125"/>
      <c r="H831" s="125"/>
      <c r="I831" s="125"/>
      <c r="J831" s="125"/>
      <c r="K831" s="125"/>
      <c r="L831" s="125"/>
      <c r="M831" s="125"/>
      <c r="N831" s="125"/>
      <c r="O831" s="39"/>
      <c r="P831" s="39"/>
    </row>
    <row r="832" spans="1:16" x14ac:dyDescent="0.2">
      <c r="A832" s="47" t="str">
        <v>0:00</v>
      </c>
      <c r="B832" s="103"/>
      <c r="C832" s="125"/>
      <c r="D832" s="125"/>
      <c r="E832" s="125"/>
      <c r="F832" s="125"/>
      <c r="G832" s="125"/>
      <c r="H832" s="125"/>
      <c r="I832" s="125"/>
      <c r="J832" s="125"/>
      <c r="K832" s="125"/>
      <c r="L832" s="125"/>
      <c r="M832" s="125"/>
      <c r="N832" s="125"/>
      <c r="O832" s="39"/>
      <c r="P832" s="39"/>
    </row>
    <row r="833" spans="1:16" x14ac:dyDescent="0.2">
      <c r="A833" s="47" t="str">
        <v>0:00</v>
      </c>
      <c r="B833" s="103"/>
      <c r="C833" s="125"/>
      <c r="D833" s="125"/>
      <c r="E833" s="125"/>
      <c r="F833" s="125"/>
      <c r="G833" s="125"/>
      <c r="H833" s="125"/>
      <c r="I833" s="125"/>
      <c r="J833" s="125"/>
      <c r="K833" s="125"/>
      <c r="L833" s="125"/>
      <c r="M833" s="125"/>
      <c r="N833" s="125"/>
      <c r="O833" s="39"/>
      <c r="P833" s="39"/>
    </row>
    <row r="834" spans="1:16" x14ac:dyDescent="0.2">
      <c r="A834" s="47" t="str">
        <v>0:00</v>
      </c>
      <c r="B834" s="103"/>
      <c r="C834" s="125"/>
      <c r="D834" s="125"/>
      <c r="E834" s="125"/>
      <c r="F834" s="125"/>
      <c r="G834" s="125"/>
      <c r="H834" s="125"/>
      <c r="I834" s="125"/>
      <c r="J834" s="125"/>
      <c r="K834" s="125"/>
      <c r="L834" s="125"/>
      <c r="M834" s="125"/>
      <c r="N834" s="125"/>
      <c r="O834" s="39"/>
      <c r="P834" s="39"/>
    </row>
    <row r="835" spans="1:16" x14ac:dyDescent="0.2">
      <c r="A835" s="47" t="str">
        <v>0:00</v>
      </c>
      <c r="B835" s="103"/>
      <c r="C835" s="125"/>
      <c r="D835" s="125"/>
      <c r="E835" s="125"/>
      <c r="F835" s="125"/>
      <c r="G835" s="125"/>
      <c r="H835" s="125"/>
      <c r="I835" s="125"/>
      <c r="J835" s="125"/>
      <c r="K835" s="125"/>
      <c r="L835" s="125"/>
      <c r="M835" s="125"/>
      <c r="N835" s="125"/>
      <c r="O835" s="39"/>
      <c r="P835" s="39"/>
    </row>
    <row r="836" spans="1:16" x14ac:dyDescent="0.2">
      <c r="A836" s="47" t="str">
        <v>0:00</v>
      </c>
      <c r="B836" s="103"/>
      <c r="C836" s="125"/>
      <c r="D836" s="125"/>
      <c r="E836" s="125"/>
      <c r="F836" s="125"/>
      <c r="G836" s="125"/>
      <c r="H836" s="125"/>
      <c r="I836" s="125"/>
      <c r="J836" s="125"/>
      <c r="K836" s="125"/>
      <c r="L836" s="125"/>
      <c r="M836" s="125"/>
      <c r="N836" s="125"/>
      <c r="O836" s="39"/>
      <c r="P836" s="39"/>
    </row>
    <row r="837" spans="1:16" x14ac:dyDescent="0.2">
      <c r="A837" s="47" t="str">
        <v>0:00</v>
      </c>
      <c r="B837" s="103"/>
      <c r="C837" s="125"/>
      <c r="D837" s="125"/>
      <c r="E837" s="125"/>
      <c r="F837" s="125"/>
      <c r="G837" s="125"/>
      <c r="H837" s="125"/>
      <c r="I837" s="125"/>
      <c r="J837" s="125"/>
      <c r="K837" s="125"/>
      <c r="L837" s="125"/>
      <c r="M837" s="125"/>
      <c r="N837" s="125"/>
      <c r="O837" s="39"/>
      <c r="P837" s="39"/>
    </row>
    <row r="838" spans="1:16" x14ac:dyDescent="0.2">
      <c r="A838" s="47" t="str">
        <v>0:00</v>
      </c>
      <c r="B838" s="103"/>
      <c r="C838" s="125"/>
      <c r="D838" s="125"/>
      <c r="E838" s="125"/>
      <c r="F838" s="125"/>
      <c r="G838" s="125"/>
      <c r="H838" s="125"/>
      <c r="I838" s="125"/>
      <c r="J838" s="125"/>
      <c r="K838" s="125"/>
      <c r="L838" s="125"/>
      <c r="M838" s="125"/>
      <c r="N838" s="125"/>
      <c r="O838" s="39"/>
      <c r="P838" s="39"/>
    </row>
    <row r="839" spans="1:16" x14ac:dyDescent="0.2">
      <c r="A839" s="47" t="str">
        <v>0:00</v>
      </c>
      <c r="B839" s="103"/>
      <c r="C839" s="125"/>
      <c r="D839" s="125"/>
      <c r="E839" s="125"/>
      <c r="F839" s="125"/>
      <c r="G839" s="125"/>
      <c r="H839" s="125"/>
      <c r="I839" s="125"/>
      <c r="J839" s="125"/>
      <c r="K839" s="125"/>
      <c r="L839" s="125"/>
      <c r="M839" s="125"/>
      <c r="N839" s="125"/>
      <c r="O839" s="39"/>
      <c r="P839" s="39"/>
    </row>
    <row r="840" spans="1:16" x14ac:dyDescent="0.2">
      <c r="A840" s="47" t="str">
        <v>0:00</v>
      </c>
      <c r="B840" s="103"/>
      <c r="C840" s="125"/>
      <c r="D840" s="125"/>
      <c r="E840" s="125"/>
      <c r="F840" s="125"/>
      <c r="G840" s="125"/>
      <c r="H840" s="125"/>
      <c r="I840" s="125"/>
      <c r="J840" s="125"/>
      <c r="K840" s="125"/>
      <c r="L840" s="125"/>
      <c r="M840" s="125"/>
      <c r="N840" s="125"/>
      <c r="O840" s="39"/>
      <c r="P840" s="39"/>
    </row>
    <row r="841" spans="1:16" x14ac:dyDescent="0.2">
      <c r="A841" s="47" t="str">
        <v>0:00</v>
      </c>
      <c r="B841" s="103"/>
      <c r="C841" s="125"/>
      <c r="D841" s="125"/>
      <c r="E841" s="125"/>
      <c r="F841" s="125"/>
      <c r="G841" s="125"/>
      <c r="H841" s="125"/>
      <c r="I841" s="125"/>
      <c r="J841" s="125"/>
      <c r="K841" s="125"/>
      <c r="L841" s="125"/>
      <c r="M841" s="125"/>
      <c r="N841" s="125"/>
      <c r="O841" s="39"/>
      <c r="P841" s="39"/>
    </row>
    <row r="842" spans="1:16" x14ac:dyDescent="0.2">
      <c r="A842" s="47" t="str">
        <v>0:00</v>
      </c>
      <c r="B842" s="103"/>
      <c r="C842" s="125"/>
      <c r="D842" s="125"/>
      <c r="E842" s="125"/>
      <c r="F842" s="125"/>
      <c r="G842" s="125"/>
      <c r="H842" s="125"/>
      <c r="I842" s="125"/>
      <c r="J842" s="125"/>
      <c r="K842" s="125"/>
      <c r="L842" s="125"/>
      <c r="M842" s="125"/>
      <c r="N842" s="125"/>
      <c r="O842" s="39"/>
      <c r="P842" s="39"/>
    </row>
    <row r="843" spans="1:16" x14ac:dyDescent="0.2">
      <c r="A843" s="47" t="str">
        <v>0:00</v>
      </c>
      <c r="B843" s="103"/>
      <c r="C843" s="125"/>
      <c r="D843" s="125"/>
      <c r="E843" s="125"/>
      <c r="F843" s="125"/>
      <c r="G843" s="125"/>
      <c r="H843" s="125"/>
      <c r="I843" s="125"/>
      <c r="J843" s="125"/>
      <c r="K843" s="125"/>
      <c r="L843" s="125"/>
      <c r="M843" s="125"/>
      <c r="N843" s="125"/>
      <c r="O843" s="39"/>
      <c r="P843" s="39"/>
    </row>
    <row r="844" spans="1:16" x14ac:dyDescent="0.2">
      <c r="A844" s="47" t="str">
        <v>0:00</v>
      </c>
      <c r="B844" s="103"/>
      <c r="C844" s="125"/>
      <c r="D844" s="125"/>
      <c r="E844" s="125"/>
      <c r="F844" s="125"/>
      <c r="G844" s="125"/>
      <c r="H844" s="125"/>
      <c r="I844" s="125"/>
      <c r="J844" s="125"/>
      <c r="K844" s="125"/>
      <c r="L844" s="125"/>
      <c r="M844" s="125"/>
      <c r="N844" s="125"/>
      <c r="O844" s="39"/>
      <c r="P844" s="39"/>
    </row>
    <row r="845" spans="1:16" x14ac:dyDescent="0.2">
      <c r="A845" s="47" t="str">
        <v>0:00</v>
      </c>
      <c r="B845" s="103"/>
      <c r="C845" s="125"/>
      <c r="D845" s="125"/>
      <c r="E845" s="125"/>
      <c r="F845" s="125"/>
      <c r="G845" s="125"/>
      <c r="H845" s="125"/>
      <c r="I845" s="125"/>
      <c r="J845" s="125"/>
      <c r="K845" s="125"/>
      <c r="L845" s="125"/>
      <c r="M845" s="125"/>
      <c r="N845" s="125"/>
      <c r="O845" s="39"/>
      <c r="P845" s="39"/>
    </row>
    <row r="846" spans="1:16" x14ac:dyDescent="0.2">
      <c r="A846" s="47" t="str">
        <v>0:00</v>
      </c>
      <c r="B846" s="103"/>
      <c r="C846" s="125"/>
      <c r="D846" s="125"/>
      <c r="E846" s="125"/>
      <c r="F846" s="125"/>
      <c r="G846" s="125"/>
      <c r="H846" s="125"/>
      <c r="I846" s="125"/>
      <c r="J846" s="125"/>
      <c r="K846" s="125"/>
      <c r="L846" s="125"/>
      <c r="M846" s="125"/>
      <c r="N846" s="125"/>
      <c r="O846" s="39"/>
      <c r="P846" s="39"/>
    </row>
    <row r="847" spans="1:16" x14ac:dyDescent="0.2">
      <c r="A847" s="47" t="str">
        <v>0:00</v>
      </c>
      <c r="B847" s="103"/>
      <c r="C847" s="125"/>
      <c r="D847" s="125"/>
      <c r="E847" s="125"/>
      <c r="F847" s="125"/>
      <c r="G847" s="125"/>
      <c r="H847" s="125"/>
      <c r="I847" s="125"/>
      <c r="J847" s="125"/>
      <c r="K847" s="125"/>
      <c r="L847" s="125"/>
      <c r="M847" s="125"/>
      <c r="N847" s="125"/>
      <c r="O847" s="39"/>
      <c r="P847" s="39"/>
    </row>
    <row r="848" spans="1:16" x14ac:dyDescent="0.2">
      <c r="A848" s="47" t="str">
        <v>0:00</v>
      </c>
      <c r="B848" s="103"/>
      <c r="C848" s="125"/>
      <c r="D848" s="125"/>
      <c r="E848" s="125"/>
      <c r="F848" s="125"/>
      <c r="G848" s="125"/>
      <c r="H848" s="125"/>
      <c r="I848" s="125"/>
      <c r="J848" s="125"/>
      <c r="K848" s="125"/>
      <c r="L848" s="125"/>
      <c r="M848" s="125"/>
      <c r="N848" s="125"/>
      <c r="O848" s="39"/>
      <c r="P848" s="39"/>
    </row>
    <row r="849" spans="1:16" x14ac:dyDescent="0.2">
      <c r="A849" s="47" t="str">
        <v>0:00</v>
      </c>
      <c r="B849" s="103"/>
      <c r="C849" s="125"/>
      <c r="D849" s="125"/>
      <c r="E849" s="125"/>
      <c r="F849" s="125"/>
      <c r="G849" s="125"/>
      <c r="H849" s="125"/>
      <c r="I849" s="125"/>
      <c r="J849" s="125"/>
      <c r="K849" s="125"/>
      <c r="L849" s="125"/>
      <c r="M849" s="125"/>
      <c r="N849" s="125"/>
      <c r="O849" s="39"/>
      <c r="P849" s="39"/>
    </row>
    <row r="850" spans="1:16" x14ac:dyDescent="0.2">
      <c r="A850" s="47" t="str">
        <v>0:00</v>
      </c>
      <c r="B850" s="103"/>
      <c r="C850" s="125"/>
      <c r="D850" s="125"/>
      <c r="E850" s="125"/>
      <c r="F850" s="125"/>
      <c r="G850" s="125"/>
      <c r="H850" s="125"/>
      <c r="I850" s="125"/>
      <c r="J850" s="125"/>
      <c r="K850" s="125"/>
      <c r="L850" s="125"/>
      <c r="M850" s="125"/>
      <c r="N850" s="125"/>
      <c r="O850" s="39"/>
      <c r="P850" s="39"/>
    </row>
    <row r="851" spans="1:16" x14ac:dyDescent="0.2">
      <c r="A851" s="47" t="str">
        <v>0:00</v>
      </c>
      <c r="B851" s="103"/>
      <c r="C851" s="125"/>
      <c r="D851" s="125"/>
      <c r="E851" s="125"/>
      <c r="F851" s="125"/>
      <c r="G851" s="125"/>
      <c r="H851" s="125"/>
      <c r="I851" s="125"/>
      <c r="J851" s="125"/>
      <c r="K851" s="125"/>
      <c r="L851" s="125"/>
      <c r="M851" s="125"/>
      <c r="N851" s="125"/>
      <c r="O851" s="39"/>
      <c r="P851" s="39"/>
    </row>
    <row r="852" spans="1:16" x14ac:dyDescent="0.2">
      <c r="A852" s="47" t="str">
        <v>0:00</v>
      </c>
      <c r="B852" s="103"/>
      <c r="C852" s="125"/>
      <c r="D852" s="125"/>
      <c r="E852" s="125"/>
      <c r="F852" s="125"/>
      <c r="G852" s="125"/>
      <c r="H852" s="125"/>
      <c r="I852" s="125"/>
      <c r="J852" s="125"/>
      <c r="K852" s="125"/>
      <c r="L852" s="125"/>
      <c r="M852" s="125"/>
      <c r="N852" s="125"/>
      <c r="O852" s="39"/>
      <c r="P852" s="39"/>
    </row>
    <row r="853" spans="1:16" x14ac:dyDescent="0.2">
      <c r="A853" s="47" t="str">
        <v>0:00</v>
      </c>
      <c r="B853" s="103"/>
      <c r="C853" s="125"/>
      <c r="D853" s="125"/>
      <c r="E853" s="125"/>
      <c r="F853" s="125"/>
      <c r="G853" s="125"/>
      <c r="H853" s="125"/>
      <c r="I853" s="125"/>
      <c r="J853" s="125"/>
      <c r="K853" s="125"/>
      <c r="L853" s="125"/>
      <c r="M853" s="125"/>
      <c r="N853" s="125"/>
      <c r="O853" s="39"/>
      <c r="P853" s="39"/>
    </row>
    <row r="854" spans="1:16" x14ac:dyDescent="0.2">
      <c r="A854" s="47" t="str">
        <v>0:00</v>
      </c>
      <c r="B854" s="103"/>
      <c r="C854" s="125"/>
      <c r="D854" s="125"/>
      <c r="E854" s="125"/>
      <c r="F854" s="125"/>
      <c r="G854" s="125"/>
      <c r="H854" s="125"/>
      <c r="I854" s="125"/>
      <c r="J854" s="125"/>
      <c r="K854" s="125"/>
      <c r="L854" s="125"/>
      <c r="M854" s="125"/>
      <c r="N854" s="125"/>
      <c r="O854" s="39"/>
      <c r="P854" s="39"/>
    </row>
    <row r="855" spans="1:16" x14ac:dyDescent="0.2">
      <c r="A855" s="47" t="str">
        <v>0:00</v>
      </c>
      <c r="B855" s="103"/>
      <c r="C855" s="125"/>
      <c r="D855" s="125"/>
      <c r="E855" s="125"/>
      <c r="F855" s="125"/>
      <c r="G855" s="125"/>
      <c r="H855" s="125"/>
      <c r="I855" s="125"/>
      <c r="J855" s="125"/>
      <c r="K855" s="125"/>
      <c r="L855" s="125"/>
      <c r="M855" s="125"/>
      <c r="N855" s="125"/>
      <c r="O855" s="39"/>
      <c r="P855" s="39"/>
    </row>
    <row r="856" spans="1:16" x14ac:dyDescent="0.2">
      <c r="A856" s="47" t="str">
        <v>0:00</v>
      </c>
      <c r="B856" s="103"/>
      <c r="C856" s="125"/>
      <c r="D856" s="125"/>
      <c r="E856" s="125"/>
      <c r="F856" s="125"/>
      <c r="G856" s="125"/>
      <c r="H856" s="125"/>
      <c r="I856" s="125"/>
      <c r="J856" s="125"/>
      <c r="K856" s="125"/>
      <c r="L856" s="125"/>
      <c r="M856" s="125"/>
      <c r="N856" s="125"/>
      <c r="O856" s="39"/>
      <c r="P856" s="39"/>
    </row>
    <row r="857" spans="1:16" x14ac:dyDescent="0.2">
      <c r="A857" s="47" t="str">
        <v>0:00</v>
      </c>
      <c r="B857" s="103"/>
      <c r="C857" s="125"/>
      <c r="D857" s="125"/>
      <c r="E857" s="125"/>
      <c r="F857" s="125"/>
      <c r="G857" s="125"/>
      <c r="H857" s="125"/>
      <c r="I857" s="125"/>
      <c r="J857" s="125"/>
      <c r="K857" s="125"/>
      <c r="L857" s="125"/>
      <c r="M857" s="125"/>
      <c r="N857" s="125"/>
      <c r="O857" s="39"/>
      <c r="P857" s="39"/>
    </row>
    <row r="858" spans="1:16" x14ac:dyDescent="0.2">
      <c r="A858" s="47" t="str">
        <v>0:00</v>
      </c>
      <c r="B858" s="103"/>
      <c r="C858" s="125"/>
      <c r="D858" s="125"/>
      <c r="E858" s="125"/>
      <c r="F858" s="125"/>
      <c r="G858" s="125"/>
      <c r="H858" s="125"/>
      <c r="I858" s="125"/>
      <c r="J858" s="125"/>
      <c r="K858" s="125"/>
      <c r="L858" s="125"/>
      <c r="M858" s="125"/>
      <c r="N858" s="125"/>
      <c r="O858" s="39"/>
      <c r="P858" s="39"/>
    </row>
    <row r="859" spans="1:16" x14ac:dyDescent="0.2">
      <c r="A859" s="47" t="str">
        <v>0:00</v>
      </c>
      <c r="B859" s="103"/>
      <c r="C859" s="125"/>
      <c r="D859" s="125"/>
      <c r="E859" s="125"/>
      <c r="F859" s="125"/>
      <c r="G859" s="125"/>
      <c r="H859" s="125"/>
      <c r="I859" s="125"/>
      <c r="J859" s="125"/>
      <c r="K859" s="125"/>
      <c r="L859" s="125"/>
      <c r="M859" s="125"/>
      <c r="N859" s="125"/>
      <c r="O859" s="39"/>
      <c r="P859" s="39"/>
    </row>
    <row r="860" spans="1:16" x14ac:dyDescent="0.2">
      <c r="A860" s="47" t="str">
        <v>0:00</v>
      </c>
      <c r="B860" s="103"/>
      <c r="C860" s="125"/>
      <c r="D860" s="125"/>
      <c r="E860" s="125"/>
      <c r="F860" s="125"/>
      <c r="G860" s="125"/>
      <c r="H860" s="125"/>
      <c r="I860" s="125"/>
      <c r="J860" s="125"/>
      <c r="K860" s="125"/>
      <c r="L860" s="125"/>
      <c r="M860" s="125"/>
      <c r="N860" s="125"/>
      <c r="O860" s="39"/>
      <c r="P860" s="39"/>
    </row>
    <row r="861" spans="1:16" x14ac:dyDescent="0.2">
      <c r="A861" s="47" t="str">
        <v>0:00</v>
      </c>
      <c r="B861" s="103"/>
      <c r="C861" s="125"/>
      <c r="D861" s="125"/>
      <c r="E861" s="125"/>
      <c r="F861" s="125"/>
      <c r="G861" s="125"/>
      <c r="H861" s="125"/>
      <c r="I861" s="125"/>
      <c r="J861" s="125"/>
      <c r="K861" s="125"/>
      <c r="L861" s="125"/>
      <c r="M861" s="125"/>
      <c r="N861" s="125"/>
      <c r="O861" s="39"/>
      <c r="P861" s="39"/>
    </row>
    <row r="862" spans="1:16" x14ac:dyDescent="0.2">
      <c r="A862" s="47" t="str">
        <v>0:00</v>
      </c>
      <c r="B862" s="103"/>
      <c r="C862" s="125"/>
      <c r="D862" s="125"/>
      <c r="E862" s="125"/>
      <c r="F862" s="125"/>
      <c r="G862" s="125"/>
      <c r="H862" s="125"/>
      <c r="I862" s="125"/>
      <c r="J862" s="125"/>
      <c r="K862" s="125"/>
      <c r="L862" s="125"/>
      <c r="M862" s="125"/>
      <c r="N862" s="125"/>
      <c r="O862" s="39"/>
      <c r="P862" s="39"/>
    </row>
    <row r="863" spans="1:16" x14ac:dyDescent="0.2">
      <c r="A863" s="47" t="str">
        <v>0:00</v>
      </c>
      <c r="B863" s="103"/>
      <c r="C863" s="125"/>
      <c r="D863" s="125"/>
      <c r="E863" s="125"/>
      <c r="F863" s="125"/>
      <c r="G863" s="125"/>
      <c r="H863" s="125"/>
      <c r="I863" s="125"/>
      <c r="J863" s="125"/>
      <c r="K863" s="125"/>
      <c r="L863" s="125"/>
      <c r="M863" s="125"/>
      <c r="N863" s="125"/>
      <c r="O863" s="39"/>
      <c r="P863" s="39"/>
    </row>
    <row r="864" spans="1:16" x14ac:dyDescent="0.2">
      <c r="A864" s="47" t="str">
        <v>0:00</v>
      </c>
      <c r="B864" s="103"/>
      <c r="C864" s="125"/>
      <c r="D864" s="125"/>
      <c r="E864" s="125"/>
      <c r="F864" s="125"/>
      <c r="G864" s="125"/>
      <c r="H864" s="125"/>
      <c r="I864" s="125"/>
      <c r="J864" s="125"/>
      <c r="K864" s="125"/>
      <c r="L864" s="125"/>
      <c r="M864" s="125"/>
      <c r="N864" s="125"/>
      <c r="O864" s="39"/>
      <c r="P864" s="39"/>
    </row>
    <row r="865" spans="1:16" x14ac:dyDescent="0.2">
      <c r="A865" s="47" t="str">
        <v>0:00</v>
      </c>
      <c r="B865" s="103"/>
      <c r="C865" s="125"/>
      <c r="D865" s="125"/>
      <c r="E865" s="125"/>
      <c r="F865" s="125"/>
      <c r="G865" s="125"/>
      <c r="H865" s="125"/>
      <c r="I865" s="125"/>
      <c r="J865" s="125"/>
      <c r="K865" s="125"/>
      <c r="L865" s="125"/>
      <c r="M865" s="125"/>
      <c r="N865" s="125"/>
      <c r="O865" s="39"/>
      <c r="P865" s="39"/>
    </row>
    <row r="866" spans="1:16" x14ac:dyDescent="0.2">
      <c r="A866" s="47" t="str">
        <v>0:00</v>
      </c>
      <c r="B866" s="103"/>
      <c r="C866" s="125"/>
      <c r="D866" s="125"/>
      <c r="E866" s="125"/>
      <c r="F866" s="125"/>
      <c r="G866" s="125"/>
      <c r="H866" s="125"/>
      <c r="I866" s="125"/>
      <c r="J866" s="125"/>
      <c r="K866" s="125"/>
      <c r="L866" s="125"/>
      <c r="M866" s="125"/>
      <c r="N866" s="125"/>
      <c r="O866" s="39"/>
      <c r="P866" s="39"/>
    </row>
    <row r="867" spans="1:16" x14ac:dyDescent="0.2">
      <c r="A867" s="47" t="str">
        <v>0:00</v>
      </c>
      <c r="B867" s="103"/>
      <c r="C867" s="125"/>
      <c r="D867" s="125"/>
      <c r="E867" s="125"/>
      <c r="F867" s="125"/>
      <c r="G867" s="125"/>
      <c r="H867" s="125"/>
      <c r="I867" s="125"/>
      <c r="J867" s="125"/>
      <c r="K867" s="125"/>
      <c r="L867" s="125"/>
      <c r="M867" s="125"/>
      <c r="N867" s="125"/>
      <c r="O867" s="39"/>
      <c r="P867" s="39"/>
    </row>
    <row r="868" spans="1:16" x14ac:dyDescent="0.2">
      <c r="A868" s="47" t="str">
        <v>0:00</v>
      </c>
      <c r="B868" s="103"/>
      <c r="C868" s="125"/>
      <c r="D868" s="125"/>
      <c r="E868" s="125"/>
      <c r="F868" s="125"/>
      <c r="G868" s="125"/>
      <c r="H868" s="125"/>
      <c r="I868" s="125"/>
      <c r="J868" s="125"/>
      <c r="K868" s="125"/>
      <c r="L868" s="125"/>
      <c r="M868" s="125"/>
      <c r="N868" s="125"/>
      <c r="O868" s="39"/>
      <c r="P868" s="39"/>
    </row>
    <row r="869" spans="1:16" x14ac:dyDescent="0.2">
      <c r="A869" s="47" t="str">
        <v>0:00</v>
      </c>
      <c r="B869" s="103"/>
      <c r="C869" s="125"/>
      <c r="D869" s="125"/>
      <c r="E869" s="125"/>
      <c r="F869" s="125"/>
      <c r="G869" s="125"/>
      <c r="H869" s="125"/>
      <c r="I869" s="125"/>
      <c r="J869" s="125"/>
      <c r="K869" s="125"/>
      <c r="L869" s="125"/>
      <c r="M869" s="125"/>
      <c r="N869" s="125"/>
      <c r="O869" s="39"/>
      <c r="P869" s="39"/>
    </row>
    <row r="870" spans="1:16" x14ac:dyDescent="0.2">
      <c r="A870" s="47" t="str">
        <v>0:00</v>
      </c>
      <c r="B870" s="103"/>
      <c r="C870" s="125"/>
      <c r="D870" s="125"/>
      <c r="E870" s="125"/>
      <c r="F870" s="125"/>
      <c r="G870" s="125"/>
      <c r="H870" s="125"/>
      <c r="I870" s="125"/>
      <c r="J870" s="125"/>
      <c r="K870" s="125"/>
      <c r="L870" s="125"/>
      <c r="M870" s="125"/>
      <c r="N870" s="125"/>
      <c r="O870" s="39"/>
      <c r="P870" s="39"/>
    </row>
    <row r="871" spans="1:16" x14ac:dyDescent="0.2">
      <c r="A871" s="47" t="str">
        <v>0:00</v>
      </c>
      <c r="B871" s="103"/>
      <c r="C871" s="125"/>
      <c r="D871" s="125"/>
      <c r="E871" s="125"/>
      <c r="F871" s="125"/>
      <c r="G871" s="125"/>
      <c r="H871" s="125"/>
      <c r="I871" s="125"/>
      <c r="J871" s="125"/>
      <c r="K871" s="125"/>
      <c r="L871" s="125"/>
      <c r="M871" s="125"/>
      <c r="N871" s="125"/>
      <c r="O871" s="39"/>
      <c r="P871" s="39"/>
    </row>
    <row r="872" spans="1:16" x14ac:dyDescent="0.2">
      <c r="A872" s="47" t="str">
        <v>0:00</v>
      </c>
      <c r="B872" s="103"/>
      <c r="C872" s="125"/>
      <c r="D872" s="125"/>
      <c r="E872" s="125"/>
      <c r="F872" s="125"/>
      <c r="G872" s="125"/>
      <c r="H872" s="125"/>
      <c r="I872" s="125"/>
      <c r="J872" s="125"/>
      <c r="K872" s="125"/>
      <c r="L872" s="125"/>
      <c r="M872" s="125"/>
      <c r="N872" s="125"/>
      <c r="O872" s="39"/>
      <c r="P872" s="39"/>
    </row>
    <row r="873" spans="1:16" x14ac:dyDescent="0.2">
      <c r="A873" s="47" t="str">
        <v>0:00</v>
      </c>
      <c r="B873" s="103"/>
      <c r="C873" s="125"/>
      <c r="D873" s="125"/>
      <c r="E873" s="125"/>
      <c r="F873" s="125"/>
      <c r="G873" s="125"/>
      <c r="H873" s="125"/>
      <c r="I873" s="125"/>
      <c r="J873" s="125"/>
      <c r="K873" s="125"/>
      <c r="L873" s="125"/>
      <c r="M873" s="125"/>
      <c r="N873" s="125"/>
      <c r="O873" s="39"/>
      <c r="P873" s="39"/>
    </row>
    <row r="874" spans="1:16" x14ac:dyDescent="0.2">
      <c r="A874" s="47" t="str">
        <v>0:00</v>
      </c>
      <c r="B874" s="103"/>
      <c r="C874" s="125"/>
      <c r="D874" s="125"/>
      <c r="E874" s="125"/>
      <c r="F874" s="125"/>
      <c r="G874" s="125"/>
      <c r="H874" s="125"/>
      <c r="I874" s="125"/>
      <c r="J874" s="125"/>
      <c r="K874" s="125"/>
      <c r="L874" s="125"/>
      <c r="M874" s="125"/>
      <c r="N874" s="125"/>
      <c r="O874" s="39"/>
      <c r="P874" s="39"/>
    </row>
    <row r="875" spans="1:16" x14ac:dyDescent="0.2">
      <c r="A875" s="47" t="str">
        <v>0:00</v>
      </c>
      <c r="B875" s="103"/>
      <c r="C875" s="125"/>
      <c r="D875" s="125"/>
      <c r="E875" s="125"/>
      <c r="F875" s="125"/>
      <c r="G875" s="125"/>
      <c r="H875" s="125"/>
      <c r="I875" s="125"/>
      <c r="J875" s="125"/>
      <c r="K875" s="125"/>
      <c r="L875" s="125"/>
      <c r="M875" s="125"/>
      <c r="N875" s="125"/>
      <c r="O875" s="39"/>
      <c r="P875" s="39"/>
    </row>
    <row r="876" spans="1:16" x14ac:dyDescent="0.2">
      <c r="A876" s="47" t="str">
        <v>0:00</v>
      </c>
      <c r="B876" s="103"/>
      <c r="C876" s="125"/>
      <c r="D876" s="125"/>
      <c r="E876" s="125"/>
      <c r="F876" s="125"/>
      <c r="G876" s="125"/>
      <c r="H876" s="125"/>
      <c r="I876" s="125"/>
      <c r="J876" s="125"/>
      <c r="K876" s="125"/>
      <c r="L876" s="125"/>
      <c r="M876" s="125"/>
      <c r="N876" s="125"/>
      <c r="O876" s="39"/>
      <c r="P876" s="39"/>
    </row>
    <row r="877" spans="1:16" x14ac:dyDescent="0.2">
      <c r="A877" s="47" t="str">
        <v>0:00</v>
      </c>
      <c r="B877" s="103"/>
      <c r="C877" s="125"/>
      <c r="D877" s="125"/>
      <c r="E877" s="125"/>
      <c r="F877" s="125"/>
      <c r="G877" s="125"/>
      <c r="H877" s="125"/>
      <c r="I877" s="125"/>
      <c r="J877" s="125"/>
      <c r="K877" s="125"/>
      <c r="L877" s="125"/>
      <c r="M877" s="125"/>
      <c r="N877" s="125"/>
      <c r="O877" s="39"/>
      <c r="P877" s="39"/>
    </row>
    <row r="878" spans="1:16" x14ac:dyDescent="0.2">
      <c r="A878" s="47" t="str">
        <v>0:00</v>
      </c>
      <c r="B878" s="103"/>
      <c r="C878" s="125"/>
      <c r="D878" s="125"/>
      <c r="E878" s="125"/>
      <c r="F878" s="125"/>
      <c r="G878" s="125"/>
      <c r="H878" s="125"/>
      <c r="I878" s="125"/>
      <c r="J878" s="125"/>
      <c r="K878" s="125"/>
      <c r="L878" s="125"/>
      <c r="M878" s="125"/>
      <c r="N878" s="125"/>
      <c r="O878" s="39"/>
      <c r="P878" s="39"/>
    </row>
    <row r="879" spans="1:16" x14ac:dyDescent="0.2">
      <c r="A879" s="47" t="str">
        <v>0:00</v>
      </c>
      <c r="B879" s="103"/>
      <c r="C879" s="125"/>
      <c r="D879" s="125"/>
      <c r="E879" s="125"/>
      <c r="F879" s="125"/>
      <c r="G879" s="125"/>
      <c r="H879" s="125"/>
      <c r="I879" s="125"/>
      <c r="J879" s="125"/>
      <c r="K879" s="125"/>
      <c r="L879" s="125"/>
      <c r="M879" s="125"/>
      <c r="N879" s="125"/>
      <c r="O879" s="39"/>
      <c r="P879" s="39"/>
    </row>
    <row r="880" spans="1:16" x14ac:dyDescent="0.2">
      <c r="A880" s="47" t="str">
        <v>0:00</v>
      </c>
      <c r="B880" s="103"/>
      <c r="C880" s="125"/>
      <c r="D880" s="125"/>
      <c r="E880" s="125"/>
      <c r="F880" s="125"/>
      <c r="G880" s="125"/>
      <c r="H880" s="125"/>
      <c r="I880" s="125"/>
      <c r="J880" s="125"/>
      <c r="K880" s="125"/>
      <c r="L880" s="125"/>
      <c r="M880" s="125"/>
      <c r="N880" s="125"/>
      <c r="O880" s="39"/>
      <c r="P880" s="39"/>
    </row>
    <row r="881" spans="1:16" x14ac:dyDescent="0.2">
      <c r="A881" s="47" t="str">
        <v>0:00</v>
      </c>
      <c r="B881" s="103"/>
      <c r="C881" s="125"/>
      <c r="D881" s="125"/>
      <c r="E881" s="125"/>
      <c r="F881" s="125"/>
      <c r="G881" s="125"/>
      <c r="H881" s="125"/>
      <c r="I881" s="125"/>
      <c r="J881" s="125"/>
      <c r="K881" s="125"/>
      <c r="L881" s="125"/>
      <c r="M881" s="125"/>
      <c r="N881" s="125"/>
      <c r="O881" s="39"/>
      <c r="P881" s="39"/>
    </row>
    <row r="882" spans="1:16" x14ac:dyDescent="0.2">
      <c r="A882" s="47" t="str">
        <v>0:00</v>
      </c>
      <c r="B882" s="103"/>
      <c r="C882" s="125"/>
      <c r="D882" s="125"/>
      <c r="E882" s="125"/>
      <c r="F882" s="125"/>
      <c r="G882" s="125"/>
      <c r="H882" s="125"/>
      <c r="I882" s="125"/>
      <c r="J882" s="125"/>
      <c r="K882" s="125"/>
      <c r="L882" s="125"/>
      <c r="M882" s="125"/>
      <c r="N882" s="125"/>
      <c r="O882" s="39"/>
      <c r="P882" s="39"/>
    </row>
    <row r="883" spans="1:16" x14ac:dyDescent="0.2">
      <c r="A883" s="47" t="str">
        <v>0:00</v>
      </c>
      <c r="B883" s="103"/>
      <c r="C883" s="125"/>
      <c r="D883" s="125"/>
      <c r="E883" s="125"/>
      <c r="F883" s="125"/>
      <c r="G883" s="125"/>
      <c r="H883" s="125"/>
      <c r="I883" s="125"/>
      <c r="J883" s="125"/>
      <c r="K883" s="125"/>
      <c r="L883" s="125"/>
      <c r="M883" s="125"/>
      <c r="N883" s="125"/>
      <c r="O883" s="39"/>
      <c r="P883" s="39"/>
    </row>
    <row r="884" spans="1:16" x14ac:dyDescent="0.2">
      <c r="A884" s="47" t="str">
        <v>0:00</v>
      </c>
      <c r="B884" s="103"/>
      <c r="C884" s="125"/>
      <c r="D884" s="125"/>
      <c r="E884" s="125"/>
      <c r="F884" s="125"/>
      <c r="G884" s="125"/>
      <c r="H884" s="125"/>
      <c r="I884" s="125"/>
      <c r="J884" s="125"/>
      <c r="K884" s="125"/>
      <c r="L884" s="125"/>
      <c r="M884" s="125"/>
      <c r="N884" s="125"/>
      <c r="O884" s="39"/>
      <c r="P884" s="39"/>
    </row>
    <row r="885" spans="1:16" x14ac:dyDescent="0.2">
      <c r="A885" s="47" t="str">
        <v>0:00</v>
      </c>
      <c r="B885" s="103"/>
      <c r="C885" s="125"/>
      <c r="D885" s="125"/>
      <c r="E885" s="125"/>
      <c r="F885" s="125"/>
      <c r="G885" s="125"/>
      <c r="H885" s="125"/>
      <c r="I885" s="125"/>
      <c r="J885" s="125"/>
      <c r="K885" s="125"/>
      <c r="L885" s="125"/>
      <c r="M885" s="125"/>
      <c r="N885" s="125"/>
      <c r="O885" s="39"/>
      <c r="P885" s="39"/>
    </row>
    <row r="886" spans="1:16" x14ac:dyDescent="0.2">
      <c r="A886" s="47" t="str">
        <v>0:00</v>
      </c>
      <c r="B886" s="103"/>
      <c r="C886" s="125"/>
      <c r="D886" s="125"/>
      <c r="E886" s="125"/>
      <c r="F886" s="125"/>
      <c r="G886" s="125"/>
      <c r="H886" s="125"/>
      <c r="I886" s="125"/>
      <c r="J886" s="125"/>
      <c r="K886" s="125"/>
      <c r="L886" s="125"/>
      <c r="M886" s="125"/>
      <c r="N886" s="125"/>
      <c r="O886" s="39"/>
      <c r="P886" s="39"/>
    </row>
    <row r="887" spans="1:16" x14ac:dyDescent="0.2">
      <c r="A887" s="47" t="str">
        <v>0:00</v>
      </c>
      <c r="B887" s="103"/>
      <c r="C887" s="125"/>
      <c r="D887" s="125"/>
      <c r="E887" s="125"/>
      <c r="F887" s="125"/>
      <c r="G887" s="125"/>
      <c r="H887" s="125"/>
      <c r="I887" s="125"/>
      <c r="J887" s="125"/>
      <c r="K887" s="125"/>
      <c r="L887" s="125"/>
      <c r="M887" s="125"/>
      <c r="N887" s="125"/>
      <c r="O887" s="39"/>
      <c r="P887" s="39"/>
    </row>
    <row r="888" spans="1:16" x14ac:dyDescent="0.2">
      <c r="A888" s="47" t="str">
        <v>0:00</v>
      </c>
      <c r="B888" s="103"/>
      <c r="C888" s="125"/>
      <c r="D888" s="125"/>
      <c r="E888" s="125"/>
      <c r="F888" s="125"/>
      <c r="G888" s="125"/>
      <c r="H888" s="125"/>
      <c r="I888" s="125"/>
      <c r="J888" s="125"/>
      <c r="K888" s="125"/>
      <c r="L888" s="125"/>
      <c r="M888" s="125"/>
      <c r="N888" s="125"/>
      <c r="O888" s="39"/>
      <c r="P888" s="39"/>
    </row>
    <row r="889" spans="1:16" x14ac:dyDescent="0.2">
      <c r="A889" s="47" t="str">
        <v>0:00</v>
      </c>
      <c r="B889" s="103"/>
      <c r="C889" s="125"/>
      <c r="D889" s="125"/>
      <c r="E889" s="125"/>
      <c r="F889" s="125"/>
      <c r="G889" s="125"/>
      <c r="H889" s="125"/>
      <c r="I889" s="125"/>
      <c r="J889" s="125"/>
      <c r="K889" s="125"/>
      <c r="L889" s="125"/>
      <c r="M889" s="125"/>
      <c r="N889" s="125"/>
      <c r="O889" s="39"/>
      <c r="P889" s="39"/>
    </row>
    <row r="890" spans="1:16" x14ac:dyDescent="0.2">
      <c r="A890" s="47" t="str">
        <v>0:00</v>
      </c>
      <c r="B890" s="103"/>
      <c r="C890" s="125"/>
      <c r="D890" s="125"/>
      <c r="E890" s="125"/>
      <c r="F890" s="125"/>
      <c r="G890" s="125"/>
      <c r="H890" s="125"/>
      <c r="I890" s="125"/>
      <c r="J890" s="125"/>
      <c r="K890" s="125"/>
      <c r="L890" s="125"/>
      <c r="M890" s="125"/>
      <c r="N890" s="125"/>
      <c r="O890" s="39"/>
      <c r="P890" s="39"/>
    </row>
    <row r="891" spans="1:16" x14ac:dyDescent="0.2">
      <c r="A891" s="47" t="str">
        <v>0:00</v>
      </c>
      <c r="B891" s="103"/>
      <c r="C891" s="125"/>
      <c r="D891" s="125"/>
      <c r="E891" s="125"/>
      <c r="F891" s="125"/>
      <c r="G891" s="125"/>
      <c r="H891" s="125"/>
      <c r="I891" s="125"/>
      <c r="J891" s="125"/>
      <c r="K891" s="125"/>
      <c r="L891" s="125"/>
      <c r="M891" s="125"/>
      <c r="N891" s="125"/>
      <c r="O891" s="39"/>
      <c r="P891" s="39"/>
    </row>
    <row r="892" spans="1:16" x14ac:dyDescent="0.2">
      <c r="A892" s="47" t="str">
        <v>0:00</v>
      </c>
      <c r="B892" s="103"/>
      <c r="C892" s="125"/>
      <c r="D892" s="125"/>
      <c r="E892" s="125"/>
      <c r="F892" s="125"/>
      <c r="G892" s="125"/>
      <c r="H892" s="125"/>
      <c r="I892" s="125"/>
      <c r="J892" s="125"/>
      <c r="K892" s="125"/>
      <c r="L892" s="125"/>
      <c r="M892" s="125"/>
      <c r="N892" s="125"/>
      <c r="O892" s="39"/>
      <c r="P892" s="39"/>
    </row>
    <row r="893" spans="1:16" x14ac:dyDescent="0.2">
      <c r="A893" s="47" t="str">
        <v>0:00</v>
      </c>
      <c r="B893" s="103"/>
      <c r="C893" s="125"/>
      <c r="D893" s="125"/>
      <c r="E893" s="125"/>
      <c r="F893" s="125"/>
      <c r="G893" s="125"/>
      <c r="H893" s="125"/>
      <c r="I893" s="125"/>
      <c r="J893" s="125"/>
      <c r="K893" s="125"/>
      <c r="L893" s="125"/>
      <c r="M893" s="125"/>
      <c r="N893" s="125"/>
      <c r="O893" s="39"/>
      <c r="P893" s="39"/>
    </row>
    <row r="894" spans="1:16" x14ac:dyDescent="0.2">
      <c r="A894" s="47" t="str">
        <v>0:00</v>
      </c>
      <c r="B894" s="103"/>
      <c r="C894" s="125"/>
      <c r="D894" s="125"/>
      <c r="E894" s="125"/>
      <c r="F894" s="125"/>
      <c r="G894" s="125"/>
      <c r="H894" s="125"/>
      <c r="I894" s="125"/>
      <c r="J894" s="125"/>
      <c r="K894" s="125"/>
      <c r="L894" s="125"/>
      <c r="M894" s="125"/>
      <c r="N894" s="125"/>
      <c r="O894" s="39"/>
      <c r="P894" s="39"/>
    </row>
    <row r="895" spans="1:16" x14ac:dyDescent="0.2">
      <c r="A895" s="47" t="str">
        <v>0:00</v>
      </c>
      <c r="B895" s="103"/>
      <c r="C895" s="125"/>
      <c r="D895" s="125"/>
      <c r="E895" s="125"/>
      <c r="F895" s="125"/>
      <c r="G895" s="125"/>
      <c r="H895" s="125"/>
      <c r="I895" s="125"/>
      <c r="J895" s="125"/>
      <c r="K895" s="125"/>
      <c r="L895" s="125"/>
      <c r="M895" s="125"/>
      <c r="N895" s="125"/>
      <c r="O895" s="39"/>
      <c r="P895" s="39"/>
    </row>
    <row r="896" spans="1:16" x14ac:dyDescent="0.2">
      <c r="A896" s="47" t="str">
        <v>0:00</v>
      </c>
      <c r="B896" s="103"/>
      <c r="C896" s="125"/>
      <c r="D896" s="125"/>
      <c r="E896" s="125"/>
      <c r="F896" s="125"/>
      <c r="G896" s="125"/>
      <c r="H896" s="125"/>
      <c r="I896" s="125"/>
      <c r="J896" s="125"/>
      <c r="K896" s="125"/>
      <c r="L896" s="125"/>
      <c r="M896" s="125"/>
      <c r="N896" s="125"/>
      <c r="O896" s="39"/>
      <c r="P896" s="39"/>
    </row>
    <row r="897" spans="1:16" x14ac:dyDescent="0.2">
      <c r="A897" s="47" t="str">
        <v>0:00</v>
      </c>
      <c r="B897" s="103"/>
      <c r="C897" s="125"/>
      <c r="D897" s="125"/>
      <c r="E897" s="125"/>
      <c r="F897" s="125"/>
      <c r="G897" s="125"/>
      <c r="H897" s="125"/>
      <c r="I897" s="125"/>
      <c r="J897" s="125"/>
      <c r="K897" s="125"/>
      <c r="L897" s="125"/>
      <c r="M897" s="125"/>
      <c r="N897" s="125"/>
      <c r="O897" s="39"/>
      <c r="P897" s="39"/>
    </row>
    <row r="898" spans="1:16" x14ac:dyDescent="0.2">
      <c r="A898" s="47" t="str">
        <v>0:00</v>
      </c>
      <c r="B898" s="103"/>
      <c r="C898" s="125"/>
      <c r="D898" s="125"/>
      <c r="E898" s="125"/>
      <c r="F898" s="125"/>
      <c r="G898" s="125"/>
      <c r="H898" s="125"/>
      <c r="I898" s="125"/>
      <c r="J898" s="125"/>
      <c r="K898" s="125"/>
      <c r="L898" s="125"/>
      <c r="M898" s="125"/>
      <c r="N898" s="125"/>
      <c r="O898" s="39"/>
      <c r="P898" s="39"/>
    </row>
    <row r="899" spans="1:16" x14ac:dyDescent="0.2">
      <c r="A899" s="47" t="str">
        <v>0:00</v>
      </c>
      <c r="B899" s="103"/>
      <c r="C899" s="125"/>
      <c r="D899" s="125"/>
      <c r="E899" s="125"/>
      <c r="F899" s="125"/>
      <c r="G899" s="125"/>
      <c r="H899" s="125"/>
      <c r="I899" s="125"/>
      <c r="J899" s="125"/>
      <c r="K899" s="125"/>
      <c r="L899" s="125"/>
      <c r="M899" s="125"/>
      <c r="N899" s="125"/>
      <c r="O899" s="39"/>
      <c r="P899" s="39"/>
    </row>
    <row r="900" spans="1:16" x14ac:dyDescent="0.2">
      <c r="A900" s="47" t="str">
        <v>0:00</v>
      </c>
      <c r="B900" s="103"/>
      <c r="C900" s="125"/>
      <c r="D900" s="125"/>
      <c r="E900" s="125"/>
      <c r="F900" s="125"/>
      <c r="G900" s="125"/>
      <c r="H900" s="125"/>
      <c r="I900" s="125"/>
      <c r="J900" s="125"/>
      <c r="K900" s="125"/>
      <c r="L900" s="125"/>
      <c r="M900" s="125"/>
      <c r="N900" s="125"/>
      <c r="O900" s="39"/>
      <c r="P900" s="39"/>
    </row>
    <row r="901" spans="1:16" x14ac:dyDescent="0.2">
      <c r="A901" s="47" t="str">
        <v>0:00</v>
      </c>
      <c r="B901" s="103"/>
      <c r="C901" s="125"/>
      <c r="D901" s="125"/>
      <c r="E901" s="125"/>
      <c r="F901" s="125"/>
      <c r="G901" s="125"/>
      <c r="H901" s="125"/>
      <c r="I901" s="125"/>
      <c r="J901" s="125"/>
      <c r="K901" s="125"/>
      <c r="L901" s="125"/>
      <c r="M901" s="125"/>
      <c r="N901" s="125"/>
      <c r="O901" s="39"/>
      <c r="P901" s="39"/>
    </row>
    <row r="902" spans="1:16" x14ac:dyDescent="0.2">
      <c r="A902" s="47" t="str">
        <v>0:00</v>
      </c>
      <c r="B902" s="103"/>
      <c r="C902" s="125"/>
      <c r="D902" s="125"/>
      <c r="E902" s="125"/>
      <c r="F902" s="125"/>
      <c r="G902" s="125"/>
      <c r="H902" s="125"/>
      <c r="I902" s="125"/>
      <c r="J902" s="125"/>
      <c r="K902" s="125"/>
      <c r="L902" s="125"/>
      <c r="M902" s="125"/>
      <c r="N902" s="125"/>
      <c r="O902" s="39"/>
      <c r="P902" s="39"/>
    </row>
    <row r="903" spans="1:16" x14ac:dyDescent="0.2">
      <c r="A903" s="47" t="str">
        <v>0:00</v>
      </c>
      <c r="B903" s="103"/>
      <c r="C903" s="125"/>
      <c r="D903" s="125"/>
      <c r="E903" s="125"/>
      <c r="F903" s="125"/>
      <c r="G903" s="125"/>
      <c r="H903" s="125"/>
      <c r="I903" s="125"/>
      <c r="J903" s="125"/>
      <c r="K903" s="125"/>
      <c r="L903" s="125"/>
      <c r="M903" s="125"/>
      <c r="N903" s="125"/>
      <c r="O903" s="39"/>
      <c r="P903" s="39"/>
    </row>
  </sheetData>
  <sheetProtection algorithmName="SHA-512" hashValue="8iwcjkbLBtpYyb/ij7EQKK4wp1QetVjLpOOKKe1GbHA9XuuptvJwWBUJKnOu4K0MSaYBfvzwBjqtZYA01BWwXA==" saltValue="EGDCuN15OPR+uhWIoxzHWg=="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5" priority="2" stopIfTrue="1" operator="between">
      <formula>$E$1</formula>
      <formula>$E$2</formula>
    </cfRule>
    <cfRule type="cellIs" dxfId="54" priority="3" stopIfTrue="1" operator="greaterThan">
      <formula>$C$2</formula>
    </cfRule>
    <cfRule type="cellIs" dxfId="53" priority="4" stopIfTrue="1" operator="lessThan">
      <formula>$C$1</formula>
    </cfRule>
    <cfRule type="cellIs" dxfId="52" priority="6" stopIfTrue="1" operator="greaterThanOrEqual">
      <formula>$C$1</formula>
    </cfRule>
  </conditionalFormatting>
  <conditionalFormatting sqref="B14:P903">
    <cfRule type="expression" dxfId="5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9" sqref="U19"/>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4"/>
    <col min="17" max="17" width="9.140625" style="286"/>
    <col min="18" max="18" width="37.85546875" style="284" bestFit="1" customWidth="1"/>
    <col min="19" max="19" width="9.85546875" style="284" bestFit="1" customWidth="1"/>
    <col min="20" max="20" width="21.85546875" style="284" bestFit="1" customWidth="1"/>
    <col min="21" max="21" width="14.42578125" style="284" customWidth="1"/>
    <col min="22" max="22" width="16" style="284" customWidth="1"/>
    <col min="23" max="23" width="9.140625" style="284"/>
    <col min="24" max="25" width="9.140625" style="14"/>
    <col min="26" max="16384" width="9.140625" style="6"/>
  </cols>
  <sheetData>
    <row r="1" spans="1:29" x14ac:dyDescent="0.25">
      <c r="G1" s="8" t="s">
        <v>0</v>
      </c>
      <c r="H1" s="6"/>
      <c r="I1" s="7"/>
      <c r="K1" s="6"/>
      <c r="M1" s="6" t="s">
        <v>7</v>
      </c>
      <c r="O1" s="198"/>
      <c r="R1" s="284">
        <f>IF(T1=0, 0, IF(T1 &gt; Main!G93 + (1-D19)*0.4, 1, ""))</f>
        <v>0</v>
      </c>
      <c r="T1" s="284" cm="1">
        <f t="array" ref="T1">MAX(ABS(E10:E18))</f>
        <v>0</v>
      </c>
      <c r="U1" s="284" cm="1">
        <f t="array" ref="U1">MAX(ABS(H10:H18))</f>
        <v>0</v>
      </c>
      <c r="X1" s="198"/>
      <c r="Y1" s="198"/>
      <c r="Z1" s="200"/>
      <c r="AA1" s="200"/>
      <c r="AB1" s="200"/>
      <c r="AC1" s="200"/>
    </row>
    <row r="2" spans="1:29" ht="18.75" customHeight="1" x14ac:dyDescent="0.25">
      <c r="H2" s="9" t="s">
        <v>8</v>
      </c>
      <c r="I2" s="7"/>
      <c r="K2" s="6"/>
      <c r="M2" s="6" t="s">
        <v>21</v>
      </c>
      <c r="O2" s="198"/>
      <c r="R2" s="284">
        <f>IF(U1=0, 0, IF(U1 &gt; Main!G93 + (1-D31)*0.4, 1, ""))</f>
        <v>0</v>
      </c>
      <c r="T2" s="284" cm="1">
        <f t="array" ref="T2">MAX(ABS(K10:K18))</f>
        <v>0</v>
      </c>
      <c r="U2" s="284" cm="1">
        <f t="array" ref="U2">MAX(ABS(N10:N18))</f>
        <v>0</v>
      </c>
      <c r="X2" s="198"/>
      <c r="Y2" s="198"/>
      <c r="Z2" s="200"/>
      <c r="AA2" s="200"/>
      <c r="AB2" s="200"/>
      <c r="AC2" s="200"/>
    </row>
    <row r="3" spans="1:29" ht="23.25" customHeight="1" x14ac:dyDescent="0.25">
      <c r="D3" s="31" t="s">
        <v>26</v>
      </c>
      <c r="E3" s="37">
        <f>Main!D3</f>
        <v>0</v>
      </c>
      <c r="G3" s="10"/>
      <c r="H3" s="6"/>
      <c r="J3" s="31" t="s">
        <v>41</v>
      </c>
      <c r="K3" s="11" t="e">
        <f>Main!D5</f>
        <v>#N/A</v>
      </c>
      <c r="L3" s="7"/>
      <c r="O3" s="198"/>
      <c r="R3" s="284">
        <f>IF(T2=0, 0, IF(T2 &gt; Main!G93 + (1-G19)*0.4, 1, ""))</f>
        <v>0</v>
      </c>
      <c r="T3" s="284" cm="1">
        <f t="array" ref="T3">MAX(ABS(E22:E30))</f>
        <v>0</v>
      </c>
      <c r="U3" s="284" cm="1">
        <f t="array" ref="U3">MAX(ABS(H22:H30))</f>
        <v>0</v>
      </c>
      <c r="X3" s="198"/>
      <c r="Y3" s="198"/>
      <c r="Z3" s="200"/>
      <c r="AA3" s="200"/>
      <c r="AB3" s="200"/>
      <c r="AC3" s="200"/>
    </row>
    <row r="4" spans="1:29" x14ac:dyDescent="0.25">
      <c r="D4" s="32" t="s">
        <v>40</v>
      </c>
      <c r="E4" s="8" t="e">
        <f>Main!D6</f>
        <v>#N/A</v>
      </c>
      <c r="H4" s="6"/>
      <c r="J4" s="32" t="s">
        <v>42</v>
      </c>
      <c r="K4" s="12">
        <f>Main!D16</f>
        <v>0</v>
      </c>
      <c r="L4" s="7"/>
      <c r="O4" s="198"/>
      <c r="R4" s="284">
        <f>IF(U2=0, 0, IF(U2 &gt; Main!G93 + (1-G31)*0.4, 1, ""))</f>
        <v>0</v>
      </c>
      <c r="T4" s="284" cm="1">
        <f t="array" ref="T4">MAX(ABS(K22:K30))</f>
        <v>0</v>
      </c>
      <c r="U4" s="284" cm="1">
        <f t="array" ref="U4">MAX(ABS(N22:N30))</f>
        <v>0</v>
      </c>
      <c r="X4" s="198"/>
      <c r="Y4" s="198"/>
      <c r="Z4" s="200"/>
      <c r="AA4" s="200"/>
      <c r="AB4" s="200"/>
      <c r="AC4" s="200"/>
    </row>
    <row r="5" spans="1:29" x14ac:dyDescent="0.25">
      <c r="D5" s="32" t="s">
        <v>27</v>
      </c>
      <c r="E5" s="6" t="str">
        <f>Main!D7</f>
        <v>Jeff Hall</v>
      </c>
      <c r="H5" s="6"/>
      <c r="J5" s="33" t="s">
        <v>9</v>
      </c>
      <c r="K5" s="43">
        <f>Main!D18</f>
        <v>0</v>
      </c>
      <c r="O5" s="198"/>
      <c r="R5" s="284">
        <f>IF(T3=0, 0, IF(T3 &gt; Main!G93 + (1-J19)*0.4, 1, ""))</f>
        <v>0</v>
      </c>
      <c r="T5" s="286"/>
      <c r="X5" s="198"/>
      <c r="Y5" s="198"/>
      <c r="Z5" s="200"/>
      <c r="AA5" s="200"/>
      <c r="AB5" s="200"/>
      <c r="AC5" s="200"/>
    </row>
    <row r="6" spans="1:29" ht="15.75" customHeight="1" x14ac:dyDescent="0.25">
      <c r="D6" s="32" t="s">
        <v>10</v>
      </c>
      <c r="E6" s="258">
        <f>IF(ISBLANK(Main!G95),"",Main!G95)</f>
        <v>3</v>
      </c>
      <c r="G6" s="13" t="str">
        <f>IF(OR(R1:R8),"CHECK READINGS!!!","")</f>
        <v/>
      </c>
      <c r="J6" s="14"/>
      <c r="L6" s="7"/>
      <c r="O6" s="198"/>
      <c r="R6" s="284">
        <f>IF(U3=0, 0, IF(U3 &gt; Main!G93 + (1-J31)*0.4, 1, ""))</f>
        <v>0</v>
      </c>
      <c r="T6" s="286"/>
      <c r="X6" s="198"/>
      <c r="Y6" s="198"/>
      <c r="Z6" s="200"/>
      <c r="AA6" s="200"/>
      <c r="AB6" s="200"/>
      <c r="AC6" s="200"/>
    </row>
    <row r="7" spans="1:29" x14ac:dyDescent="0.25">
      <c r="E7" s="6"/>
      <c r="F7" s="30" t="s">
        <v>11</v>
      </c>
      <c r="O7" s="198"/>
      <c r="R7" s="284">
        <f>IF(T4=0, 0, IF(T4 &gt; Main!G93 + (1-M19)*0.4, 1, ""))</f>
        <v>0</v>
      </c>
      <c r="T7" s="286"/>
      <c r="X7" s="198"/>
      <c r="Y7" s="198"/>
      <c r="Z7" s="200"/>
      <c r="AA7" s="200"/>
      <c r="AB7" s="200"/>
      <c r="AC7" s="200"/>
    </row>
    <row r="8" spans="1:29" x14ac:dyDescent="0.25">
      <c r="A8" s="15" t="s">
        <v>51</v>
      </c>
      <c r="C8" s="16" t="s">
        <v>12</v>
      </c>
      <c r="D8" s="16" t="s">
        <v>13</v>
      </c>
      <c r="F8" s="16" t="s">
        <v>12</v>
      </c>
      <c r="G8" s="16" t="s">
        <v>13</v>
      </c>
      <c r="H8" s="16"/>
      <c r="I8" s="16" t="s">
        <v>12</v>
      </c>
      <c r="J8" s="16" t="s">
        <v>13</v>
      </c>
      <c r="K8" s="16"/>
      <c r="L8" s="16" t="s">
        <v>12</v>
      </c>
      <c r="M8" s="16" t="s">
        <v>13</v>
      </c>
      <c r="O8" s="198"/>
      <c r="R8" s="284">
        <f>IF(U4=0, 0, IF(U4 &gt; Main!G93 + (1-M31)*0.4, 1, ""))</f>
        <v>0</v>
      </c>
      <c r="T8" s="286"/>
      <c r="X8" s="198"/>
      <c r="Y8" s="198"/>
      <c r="Z8" s="200"/>
      <c r="AA8" s="200"/>
      <c r="AB8" s="200"/>
      <c r="AC8" s="200"/>
    </row>
    <row r="9" spans="1:29" ht="15.75" thickBot="1" x14ac:dyDescent="0.3">
      <c r="A9" s="17" t="s">
        <v>14</v>
      </c>
      <c r="B9" s="17"/>
      <c r="C9" s="38" t="str" cm="1">
        <f t="array" ref="C9">_xlfn.XLOOKUP(1,Comparison[Index],Comparison[[TUS Point '#]:[Item Name]],"")</f>
        <v/>
      </c>
      <c r="D9" s="18"/>
      <c r="E9" s="18" t="s">
        <v>15</v>
      </c>
      <c r="F9" s="38" t="str" cm="1">
        <f t="array" ref="F9">_xlfn.XLOOKUP(2,Comparison[Index],Comparison[[TUS Point '#]:[Item Name]],"")</f>
        <v/>
      </c>
      <c r="G9" s="18"/>
      <c r="H9" s="18" t="s">
        <v>15</v>
      </c>
      <c r="I9" s="38" t="str" cm="1">
        <f t="array" ref="I9">_xlfn.XLOOKUP(3,Comparison[Index],Comparison[[TUS Point '#]:[Item Name]],"")</f>
        <v/>
      </c>
      <c r="J9" s="18"/>
      <c r="K9" s="18" t="s">
        <v>15</v>
      </c>
      <c r="L9" s="38" t="str" cm="1">
        <f t="array" ref="L9">_xlfn.XLOOKUP(4,Comparison[Index],Comparison[[TUS Point '#]:[Item Name]],"")</f>
        <v/>
      </c>
      <c r="M9" s="18"/>
      <c r="N9" s="18" t="s">
        <v>15</v>
      </c>
      <c r="O9" s="198"/>
      <c r="T9" s="286"/>
      <c r="X9" s="198"/>
      <c r="Y9" s="198"/>
      <c r="Z9" s="200"/>
      <c r="AA9" s="200"/>
      <c r="AB9" s="200"/>
      <c r="AC9" s="200"/>
    </row>
    <row r="10" spans="1:29" x14ac:dyDescent="0.25">
      <c r="A10" s="46" t="str" cm="1">
        <f t="array" ref="A10:A18">TRANSPOSE(Main!D36:L36)</f>
        <v/>
      </c>
      <c r="B10" s="19"/>
      <c r="C10" s="20" t="str" cm="1">
        <f t="array" ref="C10">_xlfn._xlws.FILTER(Comparison[[Value]:[Deviation]],Comparison[Index]=1,"")</f>
        <v/>
      </c>
      <c r="D10" s="40"/>
      <c r="E10" s="28"/>
      <c r="F10" s="20" t="str" cm="1">
        <f t="array" ref="F10">_xlfn._xlws.FILTER(Comparison[[Value]:[Deviation]],Comparison[Index]=2,"")</f>
        <v/>
      </c>
      <c r="G10" s="40"/>
      <c r="H10" s="28"/>
      <c r="I10" s="20" t="str" cm="1">
        <f t="array" ref="I10">_xlfn._xlws.FILTER(Comparison[[Value]:[Deviation]],Comparison[Index]=3,"")</f>
        <v/>
      </c>
      <c r="J10" s="40"/>
      <c r="K10" s="28"/>
      <c r="L10" s="20" t="str" cm="1">
        <f t="array" ref="L10">_xlfn._xlws.FILTER(Comparison[[Value]:[Deviation]],Comparison[Index]=4,"")</f>
        <v/>
      </c>
      <c r="M10" s="40"/>
      <c r="N10" s="28"/>
      <c r="O10" s="198" t="str">
        <f>IF(R1,D9 &amp; " IS OOT!!!","")</f>
        <v/>
      </c>
      <c r="R10" s="285"/>
      <c r="T10" s="286"/>
      <c r="X10" s="198"/>
      <c r="Y10" s="198"/>
      <c r="Z10" s="200"/>
      <c r="AA10" s="200"/>
      <c r="AB10" s="200"/>
      <c r="AC10" s="200"/>
    </row>
    <row r="11" spans="1:29" x14ac:dyDescent="0.25">
      <c r="A11" s="46" t="str">
        <v/>
      </c>
      <c r="B11" s="19"/>
      <c r="C11" s="20"/>
      <c r="D11" s="40"/>
      <c r="E11" s="28"/>
      <c r="F11" s="20"/>
      <c r="G11" s="40"/>
      <c r="H11" s="28"/>
      <c r="I11" s="20"/>
      <c r="J11" s="40"/>
      <c r="K11" s="28"/>
      <c r="L11" s="20"/>
      <c r="M11" s="40"/>
      <c r="N11" s="28"/>
      <c r="O11" s="198" t="str">
        <f>IF(R2, G9 &amp; " IS OOT!!!","")</f>
        <v/>
      </c>
      <c r="R11" s="286"/>
      <c r="S11" s="285"/>
      <c r="T11" s="287" t="s">
        <v>398</v>
      </c>
      <c r="U11" s="290" t="s">
        <v>399</v>
      </c>
      <c r="V11" s="290" t="s">
        <v>400</v>
      </c>
      <c r="X11" s="198"/>
      <c r="Y11" s="198"/>
      <c r="Z11" s="200"/>
      <c r="AA11" s="200"/>
      <c r="AB11" s="200"/>
      <c r="AC11" s="200"/>
    </row>
    <row r="12" spans="1:29" x14ac:dyDescent="0.25">
      <c r="A12" s="46" t="str">
        <v/>
      </c>
      <c r="B12" s="19"/>
      <c r="C12" s="20"/>
      <c r="D12" s="40"/>
      <c r="E12" s="28"/>
      <c r="F12" s="20"/>
      <c r="G12" s="40"/>
      <c r="H12" s="28"/>
      <c r="I12" s="20"/>
      <c r="J12" s="40"/>
      <c r="K12" s="28"/>
      <c r="L12" s="20"/>
      <c r="M12" s="40"/>
      <c r="N12" s="28"/>
      <c r="O12" s="198" t="str">
        <f>IF(R3, J9 &amp; " IS OOT!!!","")</f>
        <v/>
      </c>
      <c r="S12" s="284" t="str" cm="1">
        <f t="array" ref="S12">_xlfn.XLOOKUP(TRIM(LEFT(K5,2)),Table7[#Headers],Table7[],"")</f>
        <v/>
      </c>
      <c r="U12" s="290">
        <v>2</v>
      </c>
      <c r="V12" s="290">
        <v>2</v>
      </c>
      <c r="X12" s="198"/>
      <c r="Y12" s="198"/>
      <c r="Z12" s="200"/>
      <c r="AA12" s="200"/>
      <c r="AB12" s="200"/>
      <c r="AC12" s="200"/>
    </row>
    <row r="13" spans="1:29" x14ac:dyDescent="0.25">
      <c r="A13" s="46" t="str">
        <v/>
      </c>
      <c r="B13" s="19"/>
      <c r="C13" s="20"/>
      <c r="D13" s="40"/>
      <c r="E13" s="28"/>
      <c r="F13" s="20"/>
      <c r="G13" s="40"/>
      <c r="H13" s="28"/>
      <c r="I13" s="20"/>
      <c r="J13" s="40"/>
      <c r="K13" s="28"/>
      <c r="L13" s="20"/>
      <c r="M13" s="40"/>
      <c r="N13" s="28"/>
      <c r="O13" s="198" t="str">
        <f>IF(R4, M9 &amp;" IS OOT!!!","")</f>
        <v/>
      </c>
      <c r="U13" s="290">
        <v>4</v>
      </c>
      <c r="V13" s="290">
        <v>7</v>
      </c>
      <c r="X13" s="198"/>
      <c r="Y13" s="198"/>
      <c r="Z13" s="200"/>
      <c r="AA13" s="200"/>
      <c r="AB13" s="200"/>
      <c r="AC13" s="200"/>
    </row>
    <row r="14" spans="1:29" x14ac:dyDescent="0.25">
      <c r="A14" s="46" t="str">
        <v/>
      </c>
      <c r="B14" s="19"/>
      <c r="C14" s="20"/>
      <c r="D14" s="40"/>
      <c r="E14" s="28"/>
      <c r="F14" s="20"/>
      <c r="G14" s="40"/>
      <c r="H14" s="28"/>
      <c r="I14" s="20"/>
      <c r="J14" s="40"/>
      <c r="K14" s="28"/>
      <c r="L14" s="20"/>
      <c r="M14" s="40"/>
      <c r="N14" s="28"/>
      <c r="O14" s="199"/>
      <c r="U14" s="290">
        <v>6</v>
      </c>
      <c r="V14" s="290">
        <v>12</v>
      </c>
      <c r="X14" s="198"/>
      <c r="Y14" s="198"/>
      <c r="Z14" s="200"/>
      <c r="AA14" s="200"/>
      <c r="AB14" s="200"/>
      <c r="AC14" s="200"/>
    </row>
    <row r="15" spans="1:29" x14ac:dyDescent="0.25">
      <c r="A15" s="46" t="str">
        <v/>
      </c>
      <c r="B15" s="19"/>
      <c r="C15" s="20"/>
      <c r="D15" s="40"/>
      <c r="E15" s="28"/>
      <c r="F15" s="20"/>
      <c r="G15" s="40"/>
      <c r="H15" s="28"/>
      <c r="I15" s="20"/>
      <c r="J15" s="40"/>
      <c r="K15" s="28"/>
      <c r="L15" s="20"/>
      <c r="M15" s="40"/>
      <c r="N15" s="28"/>
      <c r="O15" s="199"/>
      <c r="U15" s="290">
        <v>8</v>
      </c>
      <c r="V15" s="290">
        <v>17</v>
      </c>
      <c r="X15" s="198"/>
      <c r="Y15" s="198"/>
      <c r="Z15" s="200"/>
      <c r="AA15" s="200"/>
      <c r="AB15" s="200"/>
      <c r="AC15" s="200"/>
    </row>
    <row r="16" spans="1:29" x14ac:dyDescent="0.25">
      <c r="A16" s="46" t="str">
        <v/>
      </c>
      <c r="B16" s="19"/>
      <c r="C16" s="20"/>
      <c r="D16" s="40"/>
      <c r="E16" s="28"/>
      <c r="F16" s="20"/>
      <c r="G16" s="40"/>
      <c r="H16" s="28"/>
      <c r="I16" s="20"/>
      <c r="J16" s="40"/>
      <c r="K16" s="28"/>
      <c r="L16" s="20"/>
      <c r="M16" s="40"/>
      <c r="N16" s="28"/>
      <c r="O16" s="199"/>
      <c r="U16" s="290">
        <v>10</v>
      </c>
      <c r="V16" s="290">
        <v>22</v>
      </c>
      <c r="X16" s="198"/>
      <c r="Y16" s="198"/>
      <c r="Z16" s="200"/>
      <c r="AA16" s="200"/>
      <c r="AB16" s="200"/>
      <c r="AC16" s="200"/>
    </row>
    <row r="17" spans="1:22" x14ac:dyDescent="0.25">
      <c r="A17" s="46" t="str">
        <v/>
      </c>
      <c r="B17" s="19"/>
      <c r="C17" s="20"/>
      <c r="D17" s="40"/>
      <c r="E17" s="28"/>
      <c r="F17" s="20"/>
      <c r="G17" s="40"/>
      <c r="H17" s="28"/>
      <c r="I17" s="20"/>
      <c r="J17" s="40"/>
      <c r="K17" s="28"/>
      <c r="L17" s="20"/>
      <c r="M17" s="40"/>
      <c r="N17" s="28"/>
      <c r="O17" s="27"/>
      <c r="U17" s="290">
        <v>12</v>
      </c>
      <c r="V17" s="290" t="s">
        <v>22</v>
      </c>
    </row>
    <row r="18" spans="1:22" x14ac:dyDescent="0.25">
      <c r="A18" s="46" t="str">
        <v/>
      </c>
      <c r="B18" s="19"/>
      <c r="C18" s="20"/>
      <c r="D18" s="40"/>
      <c r="E18" s="28"/>
      <c r="F18" s="20"/>
      <c r="G18" s="40"/>
      <c r="H18" s="28"/>
      <c r="I18" s="20"/>
      <c r="J18" s="40"/>
      <c r="K18" s="28"/>
      <c r="L18" s="20"/>
      <c r="M18" s="40"/>
      <c r="N18" s="28"/>
      <c r="O18" s="27"/>
      <c r="U18" s="290">
        <v>14</v>
      </c>
      <c r="V18" s="290" t="s">
        <v>22</v>
      </c>
    </row>
    <row r="19" spans="1:22" x14ac:dyDescent="0.25">
      <c r="A19" s="15"/>
      <c r="B19" s="15"/>
      <c r="C19" s="15"/>
      <c r="D19" s="480" t="str">
        <f>Main!A37</f>
        <v/>
      </c>
      <c r="E19" s="15" t="str">
        <f>IF(ISNUMBER(SEARCH(".",E10)),".","")</f>
        <v/>
      </c>
      <c r="F19" s="15"/>
      <c r="G19" s="481" t="str">
        <f>Main!A38</f>
        <v/>
      </c>
      <c r="H19" s="13" t="str" cm="1">
        <f t="array" ref="H19">IF(OR(S16:S23=1),"CHECK READINGS!!!","")</f>
        <v/>
      </c>
      <c r="I19" s="15"/>
      <c r="J19" s="481" t="str">
        <f>Main!A39</f>
        <v/>
      </c>
      <c r="K19" s="15" t="str">
        <f>IF(ISNUMBER(SEARCH(".",K10)),".","")</f>
        <v/>
      </c>
      <c r="L19" s="15"/>
      <c r="M19" s="481" t="str">
        <f>Main!A40</f>
        <v/>
      </c>
      <c r="N19" s="15" t="str">
        <f>IF(ISNUMBER(SEARCH(".",N10)),".","")</f>
        <v/>
      </c>
      <c r="O19" s="27"/>
      <c r="U19" s="290">
        <v>16</v>
      </c>
      <c r="V19" s="290" t="s">
        <v>22</v>
      </c>
    </row>
    <row r="20" spans="1:22" x14ac:dyDescent="0.25">
      <c r="C20" s="16" t="s">
        <v>12</v>
      </c>
      <c r="D20" s="16" t="s">
        <v>13</v>
      </c>
      <c r="F20" s="16" t="s">
        <v>12</v>
      </c>
      <c r="G20" s="16" t="s">
        <v>13</v>
      </c>
      <c r="H20" s="16"/>
      <c r="I20" s="16" t="s">
        <v>12</v>
      </c>
      <c r="J20" s="16" t="s">
        <v>13</v>
      </c>
      <c r="K20" s="16"/>
      <c r="L20" s="16" t="s">
        <v>12</v>
      </c>
      <c r="M20" s="16" t="s">
        <v>13</v>
      </c>
      <c r="O20" s="27"/>
      <c r="U20" s="290">
        <v>17</v>
      </c>
      <c r="V20" s="290" t="s">
        <v>22</v>
      </c>
    </row>
    <row r="21" spans="1:22" ht="15.75" thickBot="1" x14ac:dyDescent="0.3">
      <c r="A21" s="17" t="s">
        <v>14</v>
      </c>
      <c r="B21" s="17"/>
      <c r="C21" s="38" t="str" cm="1">
        <f t="array" ref="C21">_xlfn.XLOOKUP(5,Comparison[Index],Comparison[[TUS Point '#]:[Item Name]],"")</f>
        <v/>
      </c>
      <c r="D21" s="18"/>
      <c r="E21" s="18" t="s">
        <v>15</v>
      </c>
      <c r="F21" s="38" t="str" cm="1">
        <f t="array" ref="F21">_xlfn.XLOOKUP(6,Comparison[Index],Comparison[[TUS Point '#]:[Item Name]],"")</f>
        <v/>
      </c>
      <c r="G21" s="18"/>
      <c r="H21" s="18" t="s">
        <v>15</v>
      </c>
      <c r="I21" s="38" t="str" cm="1">
        <f t="array" ref="I21">_xlfn.XLOOKUP(7,Comparison[Index],Comparison[[TUS Point '#]:[Item Name]],"")</f>
        <v/>
      </c>
      <c r="J21" s="18"/>
      <c r="K21" s="18" t="s">
        <v>15</v>
      </c>
      <c r="L21" s="38" t="str" cm="1">
        <f t="array" ref="L21">_xlfn.XLOOKUP(8,Comparison[Index],Comparison[[TUS Point '#]:[Item Name]],"")</f>
        <v/>
      </c>
      <c r="M21" s="18"/>
      <c r="N21" s="18" t="s">
        <v>15</v>
      </c>
      <c r="U21" s="290">
        <v>21</v>
      </c>
      <c r="V21" s="290" t="s">
        <v>22</v>
      </c>
    </row>
    <row r="22" spans="1:22" x14ac:dyDescent="0.25">
      <c r="A22" s="46" t="str" cm="1">
        <f t="array" ref="A22:A30">TRANSPOSE(Main!D36:L36)</f>
        <v/>
      </c>
      <c r="B22" s="19"/>
      <c r="C22" s="20" t="str" cm="1">
        <f t="array" ref="C22">_xlfn._xlws.FILTER(Comparison[[Value]:[Deviation]],Comparison[Index]=5,"")</f>
        <v/>
      </c>
      <c r="D22" s="40"/>
      <c r="E22" s="28"/>
      <c r="F22" s="20" t="str" cm="1">
        <f t="array" ref="F22">_xlfn._xlws.FILTER(Comparison[[Value]:[Deviation]],Comparison[Index]=6,"")</f>
        <v/>
      </c>
      <c r="G22" s="40"/>
      <c r="H22" s="28"/>
      <c r="I22" s="20" t="str" cm="1">
        <f t="array" ref="I22">_xlfn._xlws.FILTER(Comparison[[Value]:[Deviation]],Comparison[Index]=7,"")</f>
        <v/>
      </c>
      <c r="J22" s="40"/>
      <c r="K22" s="28"/>
      <c r="L22" s="20" t="str" cm="1">
        <f t="array" ref="L22">_xlfn._xlws.FILTER(Comparison[[Value]:[Deviation]],Comparison[Index]=8,"")</f>
        <v/>
      </c>
      <c r="M22" s="40"/>
      <c r="N22" s="28"/>
      <c r="O22" s="26" t="str">
        <f>IF(R5, D21 &amp;" IS OOT!!!","")</f>
        <v/>
      </c>
      <c r="U22" s="290" t="s">
        <v>22</v>
      </c>
      <c r="V22" s="290" t="s">
        <v>22</v>
      </c>
    </row>
    <row r="23" spans="1:22" x14ac:dyDescent="0.25">
      <c r="A23" s="46" t="str">
        <v/>
      </c>
      <c r="B23" s="19"/>
      <c r="C23" s="20"/>
      <c r="D23" s="40"/>
      <c r="E23" s="28"/>
      <c r="F23" s="20"/>
      <c r="G23" s="40"/>
      <c r="H23" s="28"/>
      <c r="I23" s="20"/>
      <c r="J23" s="40"/>
      <c r="K23" s="28"/>
      <c r="L23" s="20"/>
      <c r="M23" s="40"/>
      <c r="N23" s="28"/>
      <c r="O23" s="26" t="str">
        <f>IF(R6, G21 &amp;" IS OOT!!!","")</f>
        <v/>
      </c>
      <c r="U23" s="290" t="s">
        <v>22</v>
      </c>
      <c r="V23" s="290" t="s">
        <v>22</v>
      </c>
    </row>
    <row r="24" spans="1:22" x14ac:dyDescent="0.25">
      <c r="A24" s="46" t="str">
        <v/>
      </c>
      <c r="B24" s="19"/>
      <c r="C24" s="20"/>
      <c r="D24" s="40"/>
      <c r="E24" s="28"/>
      <c r="F24" s="20"/>
      <c r="G24" s="40"/>
      <c r="H24" s="28"/>
      <c r="I24" s="20"/>
      <c r="J24" s="40"/>
      <c r="K24" s="28"/>
      <c r="L24" s="20"/>
      <c r="M24" s="40"/>
      <c r="N24" s="28"/>
      <c r="O24" s="26" t="str">
        <f>IF(R7, J21 &amp; " IS OOT!!!","")</f>
        <v/>
      </c>
      <c r="S24" s="288"/>
      <c r="U24" s="290" t="s">
        <v>22</v>
      </c>
      <c r="V24" s="290" t="s">
        <v>22</v>
      </c>
    </row>
    <row r="25" spans="1:22" x14ac:dyDescent="0.25">
      <c r="A25" s="46" t="str">
        <v/>
      </c>
      <c r="B25" s="19"/>
      <c r="C25" s="20"/>
      <c r="D25" s="40"/>
      <c r="E25" s="28"/>
      <c r="F25" s="20"/>
      <c r="G25" s="40"/>
      <c r="H25" s="28"/>
      <c r="I25" s="20"/>
      <c r="J25" s="40"/>
      <c r="K25" s="28"/>
      <c r="L25" s="20"/>
      <c r="M25" s="40"/>
      <c r="N25" s="28"/>
      <c r="O25" s="26" t="str">
        <f>IF(R8, M21 &amp; " IS OOT!!!","")</f>
        <v/>
      </c>
      <c r="U25" s="290" t="s">
        <v>22</v>
      </c>
      <c r="V25" s="290" t="s">
        <v>22</v>
      </c>
    </row>
    <row r="26" spans="1:22" x14ac:dyDescent="0.25">
      <c r="A26" s="46" t="str">
        <v/>
      </c>
      <c r="B26" s="19"/>
      <c r="C26" s="20"/>
      <c r="D26" s="40"/>
      <c r="E26" s="28"/>
      <c r="F26" s="20"/>
      <c r="G26" s="40"/>
      <c r="H26" s="28"/>
      <c r="I26" s="20"/>
      <c r="J26" s="40"/>
      <c r="K26" s="28"/>
      <c r="L26" s="20"/>
      <c r="M26" s="40"/>
      <c r="N26" s="28"/>
    </row>
    <row r="27" spans="1:22" x14ac:dyDescent="0.25">
      <c r="A27" s="46" t="str">
        <v/>
      </c>
      <c r="B27" s="19"/>
      <c r="C27" s="20"/>
      <c r="D27" s="40"/>
      <c r="E27" s="28"/>
      <c r="F27" s="20"/>
      <c r="G27" s="40"/>
      <c r="H27" s="28"/>
      <c r="I27" s="20"/>
      <c r="J27" s="40"/>
      <c r="K27" s="28"/>
      <c r="L27" s="20"/>
      <c r="M27" s="40"/>
      <c r="N27" s="28"/>
    </row>
    <row r="28" spans="1:22" x14ac:dyDescent="0.25">
      <c r="A28" s="46" t="str">
        <v/>
      </c>
      <c r="B28" s="19"/>
      <c r="C28" s="20"/>
      <c r="D28" s="40"/>
      <c r="E28" s="28"/>
      <c r="F28" s="20"/>
      <c r="G28" s="40"/>
      <c r="H28" s="28"/>
      <c r="I28" s="20"/>
      <c r="J28" s="40"/>
      <c r="K28" s="28"/>
      <c r="L28" s="20"/>
      <c r="M28" s="40"/>
      <c r="N28" s="28"/>
    </row>
    <row r="29" spans="1:22" x14ac:dyDescent="0.25">
      <c r="A29" s="46" t="str">
        <v/>
      </c>
      <c r="B29" s="19"/>
      <c r="C29" s="20"/>
      <c r="D29" s="40"/>
      <c r="E29" s="28"/>
      <c r="F29" s="20"/>
      <c r="G29" s="40"/>
      <c r="H29" s="28"/>
      <c r="I29" s="20"/>
      <c r="J29" s="40"/>
      <c r="K29" s="28"/>
      <c r="L29" s="20"/>
      <c r="M29" s="40"/>
      <c r="N29" s="28"/>
    </row>
    <row r="30" spans="1:22" x14ac:dyDescent="0.25">
      <c r="A30" s="46" t="str">
        <v/>
      </c>
      <c r="B30" s="19"/>
      <c r="C30" s="20"/>
      <c r="D30" s="40"/>
      <c r="E30" s="28"/>
      <c r="F30" s="20"/>
      <c r="G30" s="40"/>
      <c r="H30" s="28"/>
      <c r="I30" s="20"/>
      <c r="J30" s="40"/>
      <c r="K30" s="28"/>
      <c r="L30" s="20"/>
      <c r="M30" s="40"/>
      <c r="N30" s="28"/>
    </row>
    <row r="31" spans="1:22" ht="15.75" thickBot="1" x14ac:dyDescent="0.3">
      <c r="A31" s="21"/>
      <c r="B31" s="21"/>
      <c r="C31" s="21"/>
      <c r="D31" s="482" t="str">
        <f>Main!A41</f>
        <v/>
      </c>
      <c r="E31" s="22"/>
      <c r="F31" s="21"/>
      <c r="G31" s="482" t="str">
        <f>Main!A42</f>
        <v/>
      </c>
      <c r="H31" s="22"/>
      <c r="I31" s="21"/>
      <c r="J31" s="482" t="str">
        <f>Main!A43</f>
        <v/>
      </c>
      <c r="K31" s="22"/>
      <c r="L31" s="21"/>
      <c r="M31" s="482" t="str">
        <f>Main!A44</f>
        <v/>
      </c>
      <c r="N31" s="22"/>
    </row>
    <row r="32" spans="1:22" x14ac:dyDescent="0.25">
      <c r="C32" s="23" t="s">
        <v>16</v>
      </c>
      <c r="D32" s="630" t="s">
        <v>17</v>
      </c>
      <c r="E32" s="630"/>
      <c r="F32" s="630"/>
      <c r="G32" s="630"/>
      <c r="H32" s="630"/>
      <c r="I32" s="630"/>
      <c r="J32" s="630"/>
      <c r="K32" s="630"/>
      <c r="L32" s="630"/>
      <c r="M32" s="630"/>
    </row>
    <row r="33" spans="1:14" ht="15" customHeight="1" x14ac:dyDescent="0.25">
      <c r="D33" s="631"/>
      <c r="E33" s="631"/>
      <c r="F33" s="631"/>
      <c r="G33" s="631"/>
      <c r="H33" s="631"/>
      <c r="I33" s="631"/>
      <c r="J33" s="631"/>
      <c r="K33" s="631"/>
      <c r="L33" s="631"/>
      <c r="M33" s="631"/>
      <c r="N33" s="24"/>
    </row>
    <row r="34" spans="1:14" x14ac:dyDescent="0.25">
      <c r="A34" s="19"/>
      <c r="B34" s="19"/>
      <c r="D34" s="631"/>
      <c r="E34" s="631"/>
      <c r="F34" s="631"/>
      <c r="G34" s="631"/>
      <c r="H34" s="631"/>
      <c r="I34" s="631"/>
      <c r="J34" s="631"/>
      <c r="K34" s="631"/>
      <c r="L34" s="631"/>
      <c r="M34" s="631"/>
    </row>
    <row r="35" spans="1:14" x14ac:dyDescent="0.25">
      <c r="A35" s="19"/>
      <c r="B35" s="19"/>
      <c r="C35" s="23" t="s">
        <v>18</v>
      </c>
      <c r="D35" s="29" t="s">
        <v>19</v>
      </c>
      <c r="E35" s="102"/>
      <c r="F35" s="29"/>
      <c r="G35" s="29"/>
      <c r="H35" s="102"/>
      <c r="I35" s="29"/>
      <c r="J35" s="29"/>
      <c r="K35" s="102"/>
      <c r="L35" s="29"/>
      <c r="M35" s="29"/>
    </row>
    <row r="36" spans="1:14" x14ac:dyDescent="0.25">
      <c r="A36" s="19"/>
      <c r="B36" s="19"/>
    </row>
    <row r="37" spans="1:14" x14ac:dyDescent="0.25">
      <c r="A37" s="19"/>
      <c r="B37" s="19"/>
      <c r="C37" s="632" t="s">
        <v>20</v>
      </c>
      <c r="D37" s="632"/>
      <c r="E37" s="632"/>
      <c r="F37" s="632"/>
      <c r="G37" s="632"/>
      <c r="H37" s="632"/>
      <c r="I37" s="632"/>
      <c r="J37" s="632"/>
      <c r="K37" s="632"/>
      <c r="L37" s="632"/>
      <c r="M37" s="632"/>
    </row>
    <row r="38" spans="1:14" x14ac:dyDescent="0.25">
      <c r="A38" s="19"/>
      <c r="B38" s="19"/>
      <c r="C38" s="632"/>
      <c r="D38" s="632"/>
      <c r="E38" s="632"/>
      <c r="F38" s="632"/>
      <c r="G38" s="632"/>
      <c r="H38" s="632"/>
      <c r="I38" s="632"/>
      <c r="J38" s="632"/>
      <c r="K38" s="632"/>
      <c r="L38" s="632"/>
      <c r="M38" s="632"/>
    </row>
    <row r="39" spans="1:14" x14ac:dyDescent="0.25">
      <c r="A39" s="19"/>
      <c r="B39" s="19"/>
      <c r="C39" s="632"/>
      <c r="D39" s="632"/>
      <c r="E39" s="632"/>
      <c r="F39" s="632"/>
      <c r="G39" s="632"/>
      <c r="H39" s="632"/>
      <c r="I39" s="632"/>
      <c r="J39" s="632"/>
      <c r="K39" s="632"/>
      <c r="L39" s="632"/>
      <c r="M39" s="632"/>
    </row>
    <row r="40" spans="1:14" x14ac:dyDescent="0.25">
      <c r="A40" s="19"/>
      <c r="B40" s="19"/>
      <c r="C40" s="632"/>
      <c r="D40" s="632"/>
      <c r="E40" s="632"/>
      <c r="F40" s="632"/>
      <c r="G40" s="632"/>
      <c r="H40" s="632"/>
      <c r="I40" s="632"/>
      <c r="J40" s="632"/>
      <c r="K40" s="632"/>
      <c r="L40" s="632"/>
      <c r="M40" s="632"/>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h0oimut+W5qN9+/RLBsbc7m+1T7NnBGQrfFCq3a6Sq49Vf5p3G+TTXLVT6PNtkL2pHl5N547QdJjtvrUebn8Ig==" saltValue="cynhjXS18yKwgMy7z7KzSQ==" spinCount="100000" sheet="1" objects="1" scenarios="1" selectLockedCells="1" autoFilter="0"/>
  <mergeCells count="2">
    <mergeCell ref="D32:M34"/>
    <mergeCell ref="C37:M40"/>
  </mergeCells>
  <phoneticPr fontId="20" type="noConversion"/>
  <conditionalFormatting sqref="C45">
    <cfRule type="expression" dxfId="50" priority="65">
      <formula>ISNUMBER(SEARCH(".",C45))</formula>
    </cfRule>
    <cfRule type="expression" dxfId="49" priority="66">
      <formula>ISERROR(SEARCH(".",C45))</formula>
    </cfRule>
  </conditionalFormatting>
  <conditionalFormatting sqref="D14:D18">
    <cfRule type="expression" dxfId="48" priority="63">
      <formula>ISERROR(SEARCH(1,$D$19))</formula>
    </cfRule>
    <cfRule type="expression" dxfId="47" priority="64">
      <formula>ISNUMBER(SEARCH(1,$D$19))</formula>
    </cfRule>
  </conditionalFormatting>
  <conditionalFormatting sqref="G14:G18">
    <cfRule type="expression" dxfId="46" priority="61">
      <formula>ISERROR(SEARCH(1,$G$19))</formula>
    </cfRule>
    <cfRule type="expression" dxfId="45" priority="62">
      <formula>ISNUMBER(SEARCH(1,$G$19))</formula>
    </cfRule>
  </conditionalFormatting>
  <conditionalFormatting sqref="J14:J18">
    <cfRule type="expression" dxfId="44" priority="57">
      <formula>ISERROR(SEARCH(1,$J$19))</formula>
    </cfRule>
    <cfRule type="expression" dxfId="43" priority="58">
      <formula>ISNUMBER(SEARCH(1,$J$19))</formula>
    </cfRule>
  </conditionalFormatting>
  <conditionalFormatting sqref="M14:M18">
    <cfRule type="expression" dxfId="42" priority="53">
      <formula>ISERROR(SEARCH(1,$M$19))</formula>
    </cfRule>
    <cfRule type="expression" dxfId="41" priority="54">
      <formula>ISNUMBER(SEARCH(1,$M$19))</formula>
    </cfRule>
  </conditionalFormatting>
  <conditionalFormatting sqref="G26:G30">
    <cfRule type="expression" dxfId="40" priority="45">
      <formula>ISERROR(SEARCH(1,$G$31))</formula>
    </cfRule>
    <cfRule type="expression" dxfId="39" priority="46">
      <formula>ISNUMBER(SEARCH(1,$G$31))</formula>
    </cfRule>
  </conditionalFormatting>
  <conditionalFormatting sqref="J26:J30">
    <cfRule type="expression" dxfId="38" priority="41">
      <formula>ISERROR(SEARCH(1,$J$31))</formula>
    </cfRule>
    <cfRule type="expression" dxfId="37" priority="42">
      <formula>ISNUMBER(SEARCH(1,$J$31))</formula>
    </cfRule>
  </conditionalFormatting>
  <conditionalFormatting sqref="M26:M30">
    <cfRule type="expression" dxfId="36" priority="37">
      <formula>ISERROR(SEARCH(1,$M$31))</formula>
    </cfRule>
    <cfRule type="expression" dxfId="35" priority="38">
      <formula>ISNUMBER(SEARCH(1,$M$31))</formula>
    </cfRule>
  </conditionalFormatting>
  <conditionalFormatting sqref="D26:D30">
    <cfRule type="expression" dxfId="34" priority="33">
      <formula>ISERROR(SEARCH(1,$D$19))</formula>
    </cfRule>
    <cfRule type="expression" dxfId="33" priority="34">
      <formula>ISNUMBER(SEARCH(1,$D$19))</formula>
    </cfRule>
  </conditionalFormatting>
  <conditionalFormatting sqref="D11:D13">
    <cfRule type="expression" dxfId="32" priority="31">
      <formula>ISERROR(SEARCH(1,$G$19))</formula>
    </cfRule>
    <cfRule type="expression" dxfId="31" priority="32">
      <formula>ISNUMBER(SEARCH(1,$G$19))</formula>
    </cfRule>
  </conditionalFormatting>
  <conditionalFormatting sqref="D10">
    <cfRule type="expression" dxfId="30" priority="29">
      <formula>ISERROR(SEARCH(1,$G$19))</formula>
    </cfRule>
    <cfRule type="expression" dxfId="29" priority="30">
      <formula>ISNUMBER(SEARCH(1,$G$19))</formula>
    </cfRule>
  </conditionalFormatting>
  <conditionalFormatting sqref="G11:G13">
    <cfRule type="expression" dxfId="28" priority="27">
      <formula>ISERROR(SEARCH(1,$G$19))</formula>
    </cfRule>
    <cfRule type="expression" dxfId="27" priority="28">
      <formula>ISNUMBER(SEARCH(1,$G$19))</formula>
    </cfRule>
  </conditionalFormatting>
  <conditionalFormatting sqref="G10">
    <cfRule type="expression" dxfId="26" priority="25">
      <formula>ISERROR(SEARCH(1,$G$19))</formula>
    </cfRule>
    <cfRule type="expression" dxfId="25" priority="26">
      <formula>ISNUMBER(SEARCH(1,$G$19))</formula>
    </cfRule>
  </conditionalFormatting>
  <conditionalFormatting sqref="J11:J13">
    <cfRule type="expression" dxfId="24" priority="23">
      <formula>ISERROR(SEARCH(1,$G$19))</formula>
    </cfRule>
    <cfRule type="expression" dxfId="23" priority="24">
      <formula>ISNUMBER(SEARCH(1,$G$19))</formula>
    </cfRule>
  </conditionalFormatting>
  <conditionalFormatting sqref="J10">
    <cfRule type="expression" dxfId="22" priority="21">
      <formula>ISERROR(SEARCH(1,$G$19))</formula>
    </cfRule>
    <cfRule type="expression" dxfId="21" priority="22">
      <formula>ISNUMBER(SEARCH(1,$G$19))</formula>
    </cfRule>
  </conditionalFormatting>
  <conditionalFormatting sqref="M11:M13">
    <cfRule type="expression" dxfId="20" priority="19">
      <formula>ISERROR(SEARCH(1,$G$19))</formula>
    </cfRule>
    <cfRule type="expression" dxfId="19" priority="20">
      <formula>ISNUMBER(SEARCH(1,$G$19))</formula>
    </cfRule>
  </conditionalFormatting>
  <conditionalFormatting sqref="M10">
    <cfRule type="expression" dxfId="18" priority="17">
      <formula>ISERROR(SEARCH(1,$G$19))</formula>
    </cfRule>
    <cfRule type="expression" dxfId="17" priority="18">
      <formula>ISNUMBER(SEARCH(1,$G$19))</formula>
    </cfRule>
  </conditionalFormatting>
  <conditionalFormatting sqref="D23:D25">
    <cfRule type="expression" dxfId="16" priority="15">
      <formula>ISERROR(SEARCH(1,$G$19))</formula>
    </cfRule>
    <cfRule type="expression" dxfId="15" priority="16">
      <formula>ISNUMBER(SEARCH(1,$G$19))</formula>
    </cfRule>
  </conditionalFormatting>
  <conditionalFormatting sqref="D22">
    <cfRule type="expression" dxfId="14" priority="13">
      <formula>ISERROR(SEARCH(1,$G$19))</formula>
    </cfRule>
    <cfRule type="expression" dxfId="13" priority="14">
      <formula>ISNUMBER(SEARCH(1,$G$19))</formula>
    </cfRule>
  </conditionalFormatting>
  <conditionalFormatting sqref="G23:G25">
    <cfRule type="expression" dxfId="12" priority="11">
      <formula>ISERROR(SEARCH(1,$G$19))</formula>
    </cfRule>
    <cfRule type="expression" dxfId="11" priority="12">
      <formula>ISNUMBER(SEARCH(1,$G$19))</formula>
    </cfRule>
  </conditionalFormatting>
  <conditionalFormatting sqref="G22">
    <cfRule type="expression" dxfId="10" priority="9">
      <formula>ISERROR(SEARCH(1,$G$19))</formula>
    </cfRule>
    <cfRule type="expression" dxfId="9" priority="10">
      <formula>ISNUMBER(SEARCH(1,$G$19))</formula>
    </cfRule>
  </conditionalFormatting>
  <conditionalFormatting sqref="J23:J25">
    <cfRule type="expression" dxfId="8" priority="7">
      <formula>ISERROR(SEARCH(1,$G$19))</formula>
    </cfRule>
    <cfRule type="expression" dxfId="7" priority="8">
      <formula>ISNUMBER(SEARCH(1,$G$19))</formula>
    </cfRule>
  </conditionalFormatting>
  <conditionalFormatting sqref="J22">
    <cfRule type="expression" dxfId="6" priority="5">
      <formula>ISERROR(SEARCH(1,$G$19))</formula>
    </cfRule>
    <cfRule type="expression" dxfId="5" priority="6">
      <formula>ISNUMBER(SEARCH(1,$G$19))</formula>
    </cfRule>
  </conditionalFormatting>
  <conditionalFormatting sqref="M23:M25">
    <cfRule type="expression" dxfId="4" priority="3">
      <formula>ISERROR(SEARCH(1,$G$19))</formula>
    </cfRule>
    <cfRule type="expression" dxfId="3" priority="4">
      <formula>ISNUMBER(SEARCH(1,$G$19))</formula>
    </cfRule>
  </conditionalFormatting>
  <conditionalFormatting sqref="M22">
    <cfRule type="expression" dxfId="2" priority="1">
      <formula>ISERROR(SEARCH(1,$G$19))</formula>
    </cfRule>
    <cfRule type="expression" dxfId="1"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F18" sqref="F18"/>
    </sheetView>
  </sheetViews>
  <sheetFormatPr defaultRowHeight="12.75" x14ac:dyDescent="0.2"/>
  <cols>
    <col min="1" max="16" width="12.85546875" customWidth="1"/>
    <col min="17" max="17" width="13" customWidth="1"/>
  </cols>
  <sheetData>
    <row r="1" spans="1:16" ht="18" x14ac:dyDescent="0.25">
      <c r="F1" s="34" t="s">
        <v>865</v>
      </c>
      <c r="O1" t="s">
        <v>23</v>
      </c>
    </row>
    <row r="2" spans="1:16" x14ac:dyDescent="0.2">
      <c r="O2" t="s">
        <v>24</v>
      </c>
    </row>
    <row r="3" spans="1:16" x14ac:dyDescent="0.2">
      <c r="A3" s="39" t="s">
        <v>0</v>
      </c>
      <c r="B3" s="39"/>
      <c r="C3" s="39"/>
      <c r="D3" s="39"/>
      <c r="E3" s="39"/>
      <c r="F3" s="39"/>
      <c r="G3" s="39"/>
      <c r="H3" s="39"/>
      <c r="I3" s="39"/>
      <c r="J3" s="39"/>
      <c r="K3" s="39"/>
      <c r="L3" s="39"/>
      <c r="M3" s="39"/>
      <c r="N3" s="39"/>
      <c r="O3" s="39"/>
      <c r="P3" s="39"/>
    </row>
    <row r="4" spans="1:16" x14ac:dyDescent="0.2">
      <c r="A4" s="1" t="s">
        <v>25</v>
      </c>
      <c r="B4" s="1"/>
      <c r="C4" s="39"/>
      <c r="D4" s="39"/>
      <c r="E4" s="39"/>
      <c r="F4" s="39"/>
      <c r="G4" s="39"/>
      <c r="H4" s="39"/>
      <c r="I4" s="39"/>
      <c r="J4" s="39"/>
      <c r="K4" s="39"/>
      <c r="L4" s="39"/>
      <c r="M4" s="39"/>
      <c r="N4" s="39"/>
      <c r="O4" s="39"/>
      <c r="P4" s="39"/>
    </row>
    <row r="5" spans="1:16" x14ac:dyDescent="0.2">
      <c r="A5" s="55" t="s">
        <v>26</v>
      </c>
      <c r="B5" s="56" t="str">
        <f>IF(Main!D3=0,"",Main!D3)</f>
        <v/>
      </c>
      <c r="C5" s="39"/>
      <c r="D5" s="39"/>
      <c r="E5" s="39"/>
      <c r="F5" s="39"/>
      <c r="G5" s="39"/>
      <c r="H5" s="39"/>
      <c r="I5" s="54" t="s">
        <v>4</v>
      </c>
      <c r="J5" s="39" t="str">
        <f>IFERROR(Main!D5,"")</f>
        <v/>
      </c>
      <c r="K5" s="39"/>
      <c r="L5" s="39"/>
      <c r="M5" s="39"/>
      <c r="N5" s="39"/>
      <c r="O5" s="39"/>
      <c r="P5" s="39"/>
    </row>
    <row r="6" spans="1:16" x14ac:dyDescent="0.2">
      <c r="A6" s="54" t="s">
        <v>3</v>
      </c>
      <c r="B6" s="57" t="e">
        <f>IF(Main!D6=0,"",Main!D6)</f>
        <v>#N/A</v>
      </c>
      <c r="C6" s="39"/>
      <c r="D6" s="39"/>
      <c r="E6" s="39"/>
      <c r="F6" s="39"/>
      <c r="G6" s="39"/>
      <c r="H6" s="39"/>
      <c r="I6" s="54" t="s">
        <v>5</v>
      </c>
      <c r="J6" s="53" t="str">
        <f>IF(NominalTemp="","",NominalTemp)</f>
        <v/>
      </c>
      <c r="K6" s="39"/>
      <c r="L6" s="39"/>
      <c r="M6" s="39"/>
      <c r="N6" s="39"/>
      <c r="O6" s="39"/>
      <c r="P6" s="39"/>
    </row>
    <row r="7" spans="1:16" x14ac:dyDescent="0.2">
      <c r="A7" s="54" t="s">
        <v>27</v>
      </c>
      <c r="B7" s="57" t="str">
        <f>IF(Main!D7=0,"",Main!D7)</f>
        <v>Jeff Hall</v>
      </c>
      <c r="C7" s="39"/>
      <c r="D7" s="39"/>
      <c r="E7" s="39"/>
      <c r="F7" s="39"/>
      <c r="G7" s="39"/>
      <c r="H7" s="39"/>
      <c r="I7" s="39"/>
      <c r="J7" s="39"/>
      <c r="K7" s="39"/>
      <c r="L7" s="39"/>
      <c r="M7" s="39"/>
      <c r="N7" s="39"/>
      <c r="O7" s="39"/>
      <c r="P7" s="39"/>
    </row>
    <row r="8" spans="1:16" x14ac:dyDescent="0.2">
      <c r="A8" s="54"/>
      <c r="B8" s="39"/>
      <c r="C8" s="39"/>
      <c r="D8" s="39"/>
      <c r="E8" s="39"/>
      <c r="F8" s="39"/>
      <c r="G8" s="39"/>
      <c r="H8" s="39"/>
      <c r="I8" s="39"/>
      <c r="J8" s="39"/>
      <c r="K8" s="39"/>
      <c r="L8" s="39"/>
      <c r="M8" s="39"/>
      <c r="N8" s="39"/>
      <c r="O8" s="39"/>
      <c r="P8" s="39"/>
    </row>
    <row r="9" spans="1:16" x14ac:dyDescent="0.2">
      <c r="A9" s="36" t="s">
        <v>28</v>
      </c>
      <c r="B9" s="36"/>
      <c r="C9" s="39"/>
      <c r="D9" s="39"/>
      <c r="E9" s="39"/>
      <c r="F9" s="39"/>
      <c r="G9" s="39"/>
      <c r="H9" s="39"/>
      <c r="I9" s="39"/>
      <c r="J9" s="39"/>
      <c r="K9" s="39"/>
      <c r="L9" s="39"/>
      <c r="M9" s="39"/>
      <c r="N9" s="39"/>
      <c r="O9" s="39"/>
      <c r="P9" s="39"/>
    </row>
    <row r="10" spans="1:16" x14ac:dyDescent="0.2">
      <c r="A10" s="39"/>
      <c r="B10" s="39"/>
      <c r="C10" s="58">
        <v>1</v>
      </c>
      <c r="D10" s="58">
        <v>2</v>
      </c>
      <c r="E10" s="58">
        <v>3</v>
      </c>
      <c r="F10" s="58">
        <v>4</v>
      </c>
      <c r="G10" s="58">
        <v>5</v>
      </c>
      <c r="H10" s="58">
        <v>6</v>
      </c>
      <c r="I10" s="58">
        <v>7</v>
      </c>
      <c r="J10" s="58">
        <v>8</v>
      </c>
      <c r="K10" s="58">
        <v>9</v>
      </c>
      <c r="L10" s="58">
        <v>10</v>
      </c>
      <c r="M10" s="58">
        <v>11</v>
      </c>
      <c r="N10" s="58">
        <v>12</v>
      </c>
      <c r="O10" s="58">
        <v>13</v>
      </c>
      <c r="P10" s="58">
        <v>14</v>
      </c>
    </row>
    <row r="11" spans="1:16" x14ac:dyDescent="0.2">
      <c r="A11" s="39"/>
      <c r="B11" s="59" t="s">
        <v>29</v>
      </c>
      <c r="C11" s="115" t="str">
        <f>IFERROR(HLOOKUP(C10+PT_index_offset,_xlfn.ANCHORARRAY('CorrectionFactors'!$I$2),4,0),"")</f>
        <v/>
      </c>
      <c r="D11" s="115" t="str">
        <f>IFERROR(HLOOKUP(D10+PT_index_offset,_xlfn.ANCHORARRAY('CorrectionFactors'!$I$2),4,0),"")</f>
        <v/>
      </c>
      <c r="E11" s="115" t="str">
        <f>IFERROR(HLOOKUP(E10+PT_index_offset,_xlfn.ANCHORARRAY('CorrectionFactors'!$I$2),4,0),"")</f>
        <v/>
      </c>
      <c r="F11" s="115" t="str">
        <f>IFERROR(HLOOKUP(F10+PT_index_offset,_xlfn.ANCHORARRAY('CorrectionFactors'!$I$2),4,0),"")</f>
        <v/>
      </c>
      <c r="G11" s="115" t="str">
        <f>IFERROR(HLOOKUP(G10+PT_index_offset,_xlfn.ANCHORARRAY('CorrectionFactors'!$I$2),4,0),"")</f>
        <v/>
      </c>
      <c r="H11" s="115" t="str">
        <f>IFERROR(HLOOKUP(H10+PT_index_offset,_xlfn.ANCHORARRAY('CorrectionFactors'!$I$2),4,0),"")</f>
        <v/>
      </c>
      <c r="I11" s="115" t="str">
        <f>IFERROR(HLOOKUP(I10+PT_index_offset,_xlfn.ANCHORARRAY('CorrectionFactors'!$I$2),4,0),"")</f>
        <v/>
      </c>
      <c r="J11" s="115" t="str">
        <f>IFERROR(HLOOKUP(J10+PT_index_offset,_xlfn.ANCHORARRAY('CorrectionFactors'!$I$2),4,0),"")</f>
        <v/>
      </c>
      <c r="K11" s="115" t="str">
        <f>IFERROR(HLOOKUP(K10+PT_index_offset,_xlfn.ANCHORARRAY('CorrectionFactors'!$I$2),4,0),"")</f>
        <v/>
      </c>
      <c r="L11" s="115" t="str">
        <f>IFERROR(HLOOKUP(L10+PT_index_offset,_xlfn.ANCHORARRAY('CorrectionFactors'!$I$2),4,0),"")</f>
        <v/>
      </c>
      <c r="M11" s="115" t="str">
        <f>IFERROR(HLOOKUP(M10+PT_index_offset,_xlfn.ANCHORARRAY('CorrectionFactors'!$I$2),4,0),"")</f>
        <v/>
      </c>
      <c r="N11" s="115" t="str">
        <f>IFERROR(HLOOKUP(N10+PT_index_offset,_xlfn.ANCHORARRAY('CorrectionFactors'!$I$2),4,0),"")</f>
        <v/>
      </c>
      <c r="O11" s="115" t="str">
        <f>IFERROR(HLOOKUP(O10+PT_index_offset,_xlfn.ANCHORARRAY('CorrectionFactors'!$I$2),4,0),"")</f>
        <v/>
      </c>
      <c r="P11" s="115" t="str">
        <f>IFERROR(HLOOKUP(P10+PT_index_offset,_xlfn.ANCHORARRAY('CorrectionFactors'!$I$2),4,0),"")</f>
        <v/>
      </c>
    </row>
    <row r="12" spans="1:16" x14ac:dyDescent="0.2">
      <c r="A12" s="39"/>
      <c r="B12" s="59" t="s">
        <v>30</v>
      </c>
      <c r="C12" s="115" t="str">
        <f>IFERROR(HLOOKUP(C10+PT_index_offset,_xlfn.ANCHORARRAY('CorrectionFactors'!$I$2),5,0),"")</f>
        <v/>
      </c>
      <c r="D12" s="115" t="str">
        <f>IFERROR(HLOOKUP(D10+PT_index_offset,_xlfn.ANCHORARRAY('CorrectionFactors'!$I$2),5,0),"")</f>
        <v/>
      </c>
      <c r="E12" s="115" t="str">
        <f>IFERROR(HLOOKUP(E10+PT_index_offset,_xlfn.ANCHORARRAY('CorrectionFactors'!$I$2),5,0),"")</f>
        <v/>
      </c>
      <c r="F12" s="115" t="str">
        <f>IFERROR(HLOOKUP(F10+PT_index_offset,_xlfn.ANCHORARRAY('CorrectionFactors'!$I$2),5,0),"")</f>
        <v/>
      </c>
      <c r="G12" s="115" t="str">
        <f>IFERROR(HLOOKUP(G10+PT_index_offset,_xlfn.ANCHORARRAY('CorrectionFactors'!$I$2),5,0),"")</f>
        <v/>
      </c>
      <c r="H12" s="115" t="str">
        <f>IFERROR(HLOOKUP(H10+PT_index_offset,_xlfn.ANCHORARRAY('CorrectionFactors'!$I$2),5,0),"")</f>
        <v/>
      </c>
      <c r="I12" s="115" t="str">
        <f>IFERROR(HLOOKUP(I10+PT_index_offset,_xlfn.ANCHORARRAY('CorrectionFactors'!$I$2),5,0),"")</f>
        <v/>
      </c>
      <c r="J12" s="115" t="str">
        <f>IFERROR(HLOOKUP(J10+PT_index_offset,_xlfn.ANCHORARRAY('CorrectionFactors'!$I$2),5,0),"")</f>
        <v/>
      </c>
      <c r="K12" s="115" t="str">
        <f>IFERROR(HLOOKUP(K10+PT_index_offset,_xlfn.ANCHORARRAY('CorrectionFactors'!$I$2),5,0),"")</f>
        <v/>
      </c>
      <c r="L12" s="115" t="str">
        <f>IFERROR(HLOOKUP(L10+PT_index_offset,_xlfn.ANCHORARRAY('CorrectionFactors'!$I$2),5,0),"")</f>
        <v/>
      </c>
      <c r="M12" s="115" t="str">
        <f>IFERROR(HLOOKUP(M10+PT_index_offset,_xlfn.ANCHORARRAY('CorrectionFactors'!$I$2),5,0),"")</f>
        <v/>
      </c>
      <c r="N12" s="115" t="str">
        <f>IFERROR(HLOOKUP(N10+PT_index_offset,_xlfn.ANCHORARRAY('CorrectionFactors'!$I$2),5,0),"")</f>
        <v/>
      </c>
      <c r="O12" s="115" t="str">
        <f>IFERROR(HLOOKUP(O10+PT_index_offset,_xlfn.ANCHORARRAY('CorrectionFactors'!$I$2),5,0),"")</f>
        <v/>
      </c>
      <c r="P12" s="115" t="str">
        <f>IFERROR(HLOOKUP(P10+PT_index_offset,_xlfn.ANCHORARRAY('CorrectionFactors'!$I$2),5,0),"")</f>
        <v/>
      </c>
    </row>
    <row r="13" spans="1:16" x14ac:dyDescent="0.2">
      <c r="A13" s="39"/>
      <c r="B13" s="59" t="s">
        <v>31</v>
      </c>
      <c r="C13" s="115" t="str">
        <f t="shared" ref="C13:P13" si="0">IF(OR(C11="",C12=""),"",C11+C12)</f>
        <v/>
      </c>
      <c r="D13" s="115" t="str">
        <f t="shared" ref="D13:P13" si="1">IF(OR(D11="",D12=""),"",D11+D12)</f>
        <v/>
      </c>
      <c r="E13" s="115" t="str">
        <f t="shared" si="1"/>
        <v/>
      </c>
      <c r="F13" s="115" t="str">
        <f t="shared" si="1"/>
        <v/>
      </c>
      <c r="G13" s="115" t="str">
        <f t="shared" si="1"/>
        <v/>
      </c>
      <c r="H13" s="115" t="str">
        <f t="shared" si="1"/>
        <v/>
      </c>
      <c r="I13" s="115" t="str">
        <f t="shared" si="1"/>
        <v/>
      </c>
      <c r="J13" s="115" t="str">
        <f t="shared" si="1"/>
        <v/>
      </c>
      <c r="K13" s="115" t="str">
        <f t="shared" si="1"/>
        <v/>
      </c>
      <c r="L13" s="115" t="str">
        <f t="shared" si="1"/>
        <v/>
      </c>
      <c r="M13" s="115" t="str">
        <f t="shared" si="1"/>
        <v/>
      </c>
      <c r="N13" s="115" t="str">
        <f t="shared" si="1"/>
        <v/>
      </c>
      <c r="O13" s="115" t="str">
        <f t="shared" si="1"/>
        <v/>
      </c>
      <c r="P13" s="115" t="str">
        <f t="shared" si="1"/>
        <v/>
      </c>
    </row>
    <row r="14" spans="1:16" x14ac:dyDescent="0.2">
      <c r="A14" s="39"/>
      <c r="B14" s="39"/>
      <c r="C14" s="39"/>
      <c r="D14" s="39"/>
      <c r="E14" s="39"/>
      <c r="F14" s="39"/>
      <c r="G14" s="39"/>
      <c r="H14" s="39"/>
      <c r="I14" s="39"/>
      <c r="J14" s="39"/>
      <c r="K14" s="39"/>
      <c r="L14" s="39"/>
      <c r="M14" s="39"/>
      <c r="N14" s="39"/>
      <c r="O14" s="39"/>
      <c r="P14" s="39"/>
    </row>
    <row r="15" spans="1:16" x14ac:dyDescent="0.2">
      <c r="A15" s="39"/>
      <c r="B15" s="39"/>
      <c r="C15" s="39"/>
      <c r="D15" s="39"/>
      <c r="E15" s="39"/>
      <c r="F15" s="39"/>
      <c r="G15" s="39"/>
      <c r="H15" s="39"/>
      <c r="I15" s="39"/>
      <c r="J15" s="39"/>
      <c r="K15" s="39"/>
      <c r="L15" s="39"/>
      <c r="M15" s="39"/>
      <c r="N15" s="39"/>
      <c r="O15" s="39"/>
      <c r="P15" s="39"/>
    </row>
    <row r="16" spans="1:16" x14ac:dyDescent="0.2">
      <c r="A16" s="39"/>
      <c r="B16" s="39"/>
      <c r="C16" s="58">
        <v>15</v>
      </c>
      <c r="D16" s="58">
        <v>16</v>
      </c>
      <c r="E16" s="58">
        <v>17</v>
      </c>
      <c r="F16" s="58">
        <v>18</v>
      </c>
      <c r="G16" s="58">
        <v>19</v>
      </c>
      <c r="H16" s="58">
        <v>20</v>
      </c>
      <c r="I16" s="58">
        <v>21</v>
      </c>
      <c r="J16" s="58">
        <v>22</v>
      </c>
      <c r="K16" s="58">
        <v>23</v>
      </c>
      <c r="L16" s="58">
        <v>24</v>
      </c>
      <c r="M16" s="58">
        <v>25</v>
      </c>
      <c r="N16" s="58">
        <v>26</v>
      </c>
      <c r="O16" s="58">
        <v>27</v>
      </c>
      <c r="P16" s="58">
        <v>28</v>
      </c>
    </row>
    <row r="17" spans="1:20" x14ac:dyDescent="0.2">
      <c r="A17" s="39"/>
      <c r="B17" s="59" t="s">
        <v>29</v>
      </c>
      <c r="C17" s="115" t="str">
        <f>IFERROR(HLOOKUP(C16+PT_index_offset,_xlfn.ANCHORARRAY('CorrectionFactors'!$I$2),4,0),"")</f>
        <v/>
      </c>
      <c r="D17" s="115" t="str">
        <f>IFERROR(HLOOKUP(D16+PT_index_offset,_xlfn.ANCHORARRAY('CorrectionFactors'!$I$2),4,0),"")</f>
        <v/>
      </c>
      <c r="E17" s="115" t="str">
        <f>IFERROR(HLOOKUP(E16+PT_index_offset,_xlfn.ANCHORARRAY('CorrectionFactors'!$I$2),4,0),"")</f>
        <v/>
      </c>
      <c r="F17" s="115" t="str">
        <f>IFERROR(HLOOKUP(F16+PT_index_offset,_xlfn.ANCHORARRAY('CorrectionFactors'!$I$2),4,0),"")</f>
        <v/>
      </c>
      <c r="G17" s="115" t="str">
        <f>IFERROR(HLOOKUP(G16+PT_index_offset,_xlfn.ANCHORARRAY('CorrectionFactors'!$I$2),4,0),"")</f>
        <v/>
      </c>
      <c r="H17" s="115" t="str">
        <f>IFERROR(HLOOKUP(H16+PT_index_offset,_xlfn.ANCHORARRAY('CorrectionFactors'!$I$2),4,0),"")</f>
        <v/>
      </c>
      <c r="I17" s="115" t="str">
        <f>IFERROR(HLOOKUP(I16+PT_index_offset,_xlfn.ANCHORARRAY('CorrectionFactors'!$I$2),4,0),"")</f>
        <v/>
      </c>
      <c r="J17" s="115" t="str">
        <f>IFERROR(HLOOKUP(J16+PT_index_offset,_xlfn.ANCHORARRAY('CorrectionFactors'!$I$2),4,0),"")</f>
        <v/>
      </c>
      <c r="K17" s="115" t="str">
        <f>IFERROR(HLOOKUP(K16+PT_index_offset,_xlfn.ANCHORARRAY('CorrectionFactors'!$I$2),4,0),"")</f>
        <v/>
      </c>
      <c r="L17" s="115" t="str">
        <f>IFERROR(HLOOKUP(L16+PT_index_offset,_xlfn.ANCHORARRAY('CorrectionFactors'!$I$2),4,0),"")</f>
        <v/>
      </c>
      <c r="M17" s="115" t="str">
        <f>IFERROR(HLOOKUP(M16+PT_index_offset,_xlfn.ANCHORARRAY('CorrectionFactors'!$I$2),4,0),"")</f>
        <v/>
      </c>
      <c r="N17" s="115" t="str">
        <f>IFERROR(HLOOKUP(N16+PT_index_offset,_xlfn.ANCHORARRAY('CorrectionFactors'!$I$2),4,0),"")</f>
        <v/>
      </c>
      <c r="O17" s="115" t="str">
        <f>IFERROR(HLOOKUP(O16+PT_index_offset,_xlfn.ANCHORARRAY('CorrectionFactors'!$I$2),4,0),"")</f>
        <v/>
      </c>
      <c r="P17" s="115" t="str">
        <f>IFERROR(HLOOKUP(P16+PT_index_offset,_xlfn.ANCHORARRAY('CorrectionFactors'!$I$2),4,0),"")</f>
        <v/>
      </c>
    </row>
    <row r="18" spans="1:20" x14ac:dyDescent="0.2">
      <c r="A18" s="39"/>
      <c r="B18" s="59" t="s">
        <v>30</v>
      </c>
      <c r="C18" s="115" t="str">
        <f>IFERROR(HLOOKUP(C16+PT_index_offset,_xlfn.ANCHORARRAY('CorrectionFactors'!$I$2),5,0),"")</f>
        <v/>
      </c>
      <c r="D18" s="115" t="str">
        <f>IFERROR(HLOOKUP(D16+PT_index_offset,_xlfn.ANCHORARRAY('CorrectionFactors'!$I$2),5,0),"")</f>
        <v/>
      </c>
      <c r="E18" s="115" t="str">
        <f>IFERROR(HLOOKUP(E16+PT_index_offset,_xlfn.ANCHORARRAY('CorrectionFactors'!$I$2),5,0),"")</f>
        <v/>
      </c>
      <c r="F18" s="115" t="str">
        <f>IFERROR(HLOOKUP(F16+PT_index_offset,_xlfn.ANCHORARRAY('CorrectionFactors'!$I$2),5,0),"")</f>
        <v/>
      </c>
      <c r="G18" s="115" t="str">
        <f>IFERROR(HLOOKUP(G16+PT_index_offset,_xlfn.ANCHORARRAY('CorrectionFactors'!$I$2),5,0),"")</f>
        <v/>
      </c>
      <c r="H18" s="115" t="str">
        <f>IFERROR(HLOOKUP(H16+PT_index_offset,_xlfn.ANCHORARRAY('CorrectionFactors'!$I$2),5,0),"")</f>
        <v/>
      </c>
      <c r="I18" s="115" t="str">
        <f>IFERROR(HLOOKUP(I16+PT_index_offset,_xlfn.ANCHORARRAY('CorrectionFactors'!$I$2),5,0),"")</f>
        <v/>
      </c>
      <c r="J18" s="115" t="str">
        <f>IFERROR(HLOOKUP(J16+PT_index_offset,_xlfn.ANCHORARRAY('CorrectionFactors'!$I$2),5,0),"")</f>
        <v/>
      </c>
      <c r="K18" s="115" t="str">
        <f>IFERROR(HLOOKUP(K16+PT_index_offset,_xlfn.ANCHORARRAY('CorrectionFactors'!$I$2),5,0),"")</f>
        <v/>
      </c>
      <c r="L18" s="115" t="str">
        <f>IFERROR(HLOOKUP(L16+PT_index_offset,_xlfn.ANCHORARRAY('CorrectionFactors'!$I$2),5,0),"")</f>
        <v/>
      </c>
      <c r="M18" s="115" t="str">
        <f>IFERROR(HLOOKUP(M16+PT_index_offset,_xlfn.ANCHORARRAY('CorrectionFactors'!$I$2),5,0),"")</f>
        <v/>
      </c>
      <c r="N18" s="115" t="str">
        <f>IFERROR(HLOOKUP(N16+PT_index_offset,_xlfn.ANCHORARRAY('CorrectionFactors'!$I$2),5,0),"")</f>
        <v/>
      </c>
      <c r="O18" s="115" t="str">
        <f>IFERROR(HLOOKUP(O16+PT_index_offset,_xlfn.ANCHORARRAY('CorrectionFactors'!$I$2),5,0),"")</f>
        <v/>
      </c>
      <c r="P18" s="115" t="str">
        <f>IFERROR(HLOOKUP(P16+PT_index_offset,_xlfn.ANCHORARRAY('CorrectionFactors'!$I$2),5,0),"")</f>
        <v/>
      </c>
    </row>
    <row r="19" spans="1:20" x14ac:dyDescent="0.2">
      <c r="A19" s="39"/>
      <c r="B19" s="59" t="s">
        <v>31</v>
      </c>
      <c r="C19" s="112" t="str">
        <f>IF(OR(C17="",C18=""),"",C17+C18)</f>
        <v/>
      </c>
      <c r="D19" s="112" t="str">
        <f t="shared" ref="D19:P19" si="2">IF(OR(D17="",D18=""),"",D17+D18)</f>
        <v/>
      </c>
      <c r="E19" s="112" t="str">
        <f t="shared" si="2"/>
        <v/>
      </c>
      <c r="F19" s="112" t="str">
        <f t="shared" si="2"/>
        <v/>
      </c>
      <c r="G19" s="112" t="str">
        <f t="shared" si="2"/>
        <v/>
      </c>
      <c r="H19" s="112" t="str">
        <f t="shared" si="2"/>
        <v/>
      </c>
      <c r="I19" s="112" t="str">
        <f t="shared" si="2"/>
        <v/>
      </c>
      <c r="J19" s="112" t="str">
        <f t="shared" si="2"/>
        <v/>
      </c>
      <c r="K19" s="112" t="str">
        <f t="shared" si="2"/>
        <v/>
      </c>
      <c r="L19" s="112" t="str">
        <f t="shared" si="2"/>
        <v/>
      </c>
      <c r="M19" s="112" t="str">
        <f t="shared" si="2"/>
        <v/>
      </c>
      <c r="N19" s="112" t="str">
        <f t="shared" si="2"/>
        <v/>
      </c>
      <c r="O19" s="112" t="str">
        <f t="shared" si="2"/>
        <v/>
      </c>
      <c r="P19" s="112" t="str">
        <f t="shared" si="2"/>
        <v/>
      </c>
    </row>
    <row r="20" spans="1:20" x14ac:dyDescent="0.2">
      <c r="A20" s="39"/>
      <c r="B20" s="39"/>
      <c r="C20" s="39"/>
      <c r="D20" s="39"/>
      <c r="E20" s="39"/>
      <c r="F20" s="39"/>
      <c r="G20" s="39"/>
      <c r="H20" s="39"/>
      <c r="I20" s="39"/>
      <c r="J20" s="39"/>
      <c r="K20" s="39"/>
      <c r="L20" s="39"/>
      <c r="M20" s="39"/>
      <c r="N20" s="39"/>
      <c r="O20" s="39"/>
      <c r="P20" s="39"/>
    </row>
    <row r="21" spans="1:20" x14ac:dyDescent="0.2">
      <c r="A21" s="39"/>
      <c r="B21" s="39"/>
      <c r="C21" s="39"/>
      <c r="D21" s="39"/>
      <c r="E21" s="39"/>
      <c r="F21" s="39"/>
      <c r="G21" s="39"/>
      <c r="H21" s="39"/>
      <c r="I21" s="39"/>
      <c r="J21" s="39"/>
      <c r="K21" s="39"/>
      <c r="L21" s="39"/>
      <c r="M21" s="39"/>
      <c r="N21" s="39"/>
      <c r="O21" s="39"/>
      <c r="P21" s="39"/>
    </row>
    <row r="22" spans="1:20" x14ac:dyDescent="0.2">
      <c r="A22" s="39" t="s">
        <v>32</v>
      </c>
      <c r="B22" s="39"/>
      <c r="C22" s="58">
        <v>29</v>
      </c>
      <c r="D22" s="58">
        <v>30</v>
      </c>
      <c r="E22" s="58">
        <v>31</v>
      </c>
      <c r="F22" s="58">
        <v>32</v>
      </c>
      <c r="G22" s="58">
        <v>33</v>
      </c>
      <c r="H22" s="58">
        <v>34</v>
      </c>
      <c r="I22" s="58">
        <v>35</v>
      </c>
      <c r="J22" s="58">
        <v>36</v>
      </c>
      <c r="K22" s="58">
        <v>37</v>
      </c>
      <c r="L22" s="58">
        <v>38</v>
      </c>
      <c r="M22" s="58">
        <v>39</v>
      </c>
      <c r="N22" s="58">
        <v>40</v>
      </c>
      <c r="O22" s="1"/>
      <c r="P22" s="1"/>
    </row>
    <row r="23" spans="1:20" x14ac:dyDescent="0.2">
      <c r="A23" s="39"/>
      <c r="B23" s="59" t="s">
        <v>29</v>
      </c>
      <c r="C23" s="115" t="str">
        <f>IFERROR(HLOOKUP(C22+PT_index_offset,_xlfn.ANCHORARRAY('CorrectionFactors'!$I$2),4,0),"")</f>
        <v/>
      </c>
      <c r="D23" s="115" t="str">
        <f>IFERROR(HLOOKUP(D22+PT_index_offset,_xlfn.ANCHORARRAY('CorrectionFactors'!$I$2),4,0),"")</f>
        <v/>
      </c>
      <c r="E23" s="115" t="str">
        <f>IFERROR(HLOOKUP(E22+PT_index_offset,_xlfn.ANCHORARRAY('CorrectionFactors'!$I$2),4,0),"")</f>
        <v/>
      </c>
      <c r="F23" s="115" t="str">
        <f>IFERROR(HLOOKUP(F22+PT_index_offset,_xlfn.ANCHORARRAY('CorrectionFactors'!$I$2),4,0),"")</f>
        <v/>
      </c>
      <c r="G23" s="115" t="str">
        <f>IFERROR(HLOOKUP(G22+PT_index_offset,_xlfn.ANCHORARRAY('CorrectionFactors'!$I$2),4,0),"")</f>
        <v/>
      </c>
      <c r="H23" s="115" t="str">
        <f>IFERROR(HLOOKUP(H22+PT_index_offset,_xlfn.ANCHORARRAY('CorrectionFactors'!$I$2),4,0),"")</f>
        <v/>
      </c>
      <c r="I23" s="115" t="str">
        <f>IFERROR(HLOOKUP(I22+PT_index_offset,_xlfn.ANCHORARRAY('CorrectionFactors'!$I$2),4,0),"")</f>
        <v/>
      </c>
      <c r="J23" s="115" t="str">
        <f>IFERROR(HLOOKUP(J22+PT_index_offset,_xlfn.ANCHORARRAY('CorrectionFactors'!$I$2),4,0),"")</f>
        <v/>
      </c>
      <c r="K23" s="115" t="str">
        <f>IFERROR(HLOOKUP(K22+PT_index_offset,_xlfn.ANCHORARRAY('CorrectionFactors'!$I$2),4,0),"")</f>
        <v/>
      </c>
      <c r="L23" s="115" t="str">
        <f>IFERROR(HLOOKUP(L22+PT_index_offset,_xlfn.ANCHORARRAY('CorrectionFactors'!$I$2),4,0),"")</f>
        <v/>
      </c>
      <c r="M23" s="115" t="str">
        <f>IFERROR(HLOOKUP(M22+PT_index_offset,_xlfn.ANCHORARRAY('CorrectionFactors'!$I$2),4,0),"")</f>
        <v/>
      </c>
      <c r="N23" s="115" t="str">
        <f>IFERROR(HLOOKUP(N22+PT_index_offset,_xlfn.ANCHORARRAY('CorrectionFactors'!$I$2),4,0),"")</f>
        <v/>
      </c>
      <c r="O23" s="39"/>
      <c r="P23" s="39"/>
    </row>
    <row r="24" spans="1:20" x14ac:dyDescent="0.2">
      <c r="A24" s="39"/>
      <c r="B24" s="59" t="s">
        <v>30</v>
      </c>
      <c r="C24" s="115" t="str">
        <f>IFERROR(HLOOKUP(C22+PT_index_offset,_xlfn.ANCHORARRAY('CorrectionFactors'!$I$2),5,0),"")</f>
        <v/>
      </c>
      <c r="D24" s="115" t="str">
        <f>IFERROR(HLOOKUP(D22+PT_index_offset,_xlfn.ANCHORARRAY('CorrectionFactors'!$I$2),5,0),"")</f>
        <v/>
      </c>
      <c r="E24" s="115" t="str">
        <f>IFERROR(HLOOKUP(E22+PT_index_offset,_xlfn.ANCHORARRAY('CorrectionFactors'!$I$2),5,0),"")</f>
        <v/>
      </c>
      <c r="F24" s="115" t="str">
        <f>IFERROR(HLOOKUP(F22+PT_index_offset,_xlfn.ANCHORARRAY('CorrectionFactors'!$I$2),5,0),"")</f>
        <v/>
      </c>
      <c r="G24" s="115" t="str">
        <f>IFERROR(HLOOKUP(G22+PT_index_offset,_xlfn.ANCHORARRAY('CorrectionFactors'!$I$2),5,0),"")</f>
        <v/>
      </c>
      <c r="H24" s="115" t="str">
        <f>IFERROR(HLOOKUP(H22+PT_index_offset,_xlfn.ANCHORARRAY('CorrectionFactors'!$I$2),5,0),"")</f>
        <v/>
      </c>
      <c r="I24" s="115" t="str">
        <f>IFERROR(HLOOKUP(I22+PT_index_offset,_xlfn.ANCHORARRAY('CorrectionFactors'!$I$2),5,0),"")</f>
        <v/>
      </c>
      <c r="J24" s="115" t="str">
        <f>IFERROR(HLOOKUP(J22+PT_index_offset,_xlfn.ANCHORARRAY('CorrectionFactors'!$I$2),5,0),"")</f>
        <v/>
      </c>
      <c r="K24" s="115" t="str">
        <f>IFERROR(HLOOKUP(K22+PT_index_offset,_xlfn.ANCHORARRAY('CorrectionFactors'!$I$2),5,0),"")</f>
        <v/>
      </c>
      <c r="L24" s="115" t="str">
        <f>IFERROR(HLOOKUP(L22+PT_index_offset,_xlfn.ANCHORARRAY('CorrectionFactors'!$I$2),5,0),"")</f>
        <v/>
      </c>
      <c r="M24" s="115" t="str">
        <f>IFERROR(HLOOKUP(M22+PT_index_offset,_xlfn.ANCHORARRAY('CorrectionFactors'!$I$2),5,0),"")</f>
        <v/>
      </c>
      <c r="N24" s="115" t="str">
        <f>IFERROR(HLOOKUP(N22+PT_index_offset,_xlfn.ANCHORARRAY('CorrectionFactors'!$I$2),5,0),"")</f>
        <v/>
      </c>
    </row>
    <row r="25" spans="1:20" x14ac:dyDescent="0.2">
      <c r="A25" s="39"/>
      <c r="B25" s="59" t="s">
        <v>31</v>
      </c>
      <c r="C25" s="112" t="str">
        <f>IF(OR(C23="",C24=""),"",C23+C24)</f>
        <v/>
      </c>
      <c r="D25" s="112" t="str">
        <f t="shared" ref="D25:N25" si="3">IF(OR(D23="",D24=""),"",D23+D24)</f>
        <v/>
      </c>
      <c r="E25" s="112" t="str">
        <f t="shared" si="3"/>
        <v/>
      </c>
      <c r="F25" s="112" t="str">
        <f t="shared" si="3"/>
        <v/>
      </c>
      <c r="G25" s="112" t="str">
        <f t="shared" si="3"/>
        <v/>
      </c>
      <c r="H25" s="112" t="str">
        <f t="shared" si="3"/>
        <v/>
      </c>
      <c r="I25" s="112" t="str">
        <f t="shared" si="3"/>
        <v/>
      </c>
      <c r="J25" s="112" t="str">
        <f t="shared" si="3"/>
        <v/>
      </c>
      <c r="K25" s="112" t="str">
        <f t="shared" si="3"/>
        <v/>
      </c>
      <c r="L25" s="112" t="str">
        <f t="shared" si="3"/>
        <v/>
      </c>
      <c r="M25" s="112" t="str">
        <f t="shared" si="3"/>
        <v/>
      </c>
      <c r="N25" s="112" t="str">
        <f t="shared" si="3"/>
        <v/>
      </c>
      <c r="O25" s="39"/>
      <c r="P25" s="39"/>
    </row>
    <row r="27" spans="1:20" x14ac:dyDescent="0.2">
      <c r="A27" s="1"/>
      <c r="B27" s="1"/>
      <c r="C27" s="2"/>
      <c r="D27" s="2"/>
      <c r="E27" s="2"/>
      <c r="F27" s="2"/>
      <c r="G27" s="2"/>
      <c r="H27" s="2"/>
      <c r="I27" s="2"/>
      <c r="J27" s="2"/>
      <c r="K27" s="2"/>
      <c r="L27" s="2"/>
      <c r="M27" s="2"/>
      <c r="N27" s="2"/>
      <c r="O27" s="2"/>
      <c r="P27" s="2"/>
    </row>
    <row r="28" spans="1:20" ht="12.75" customHeight="1" x14ac:dyDescent="0.25">
      <c r="A28" s="36" t="s">
        <v>33</v>
      </c>
      <c r="B28" s="1"/>
      <c r="C28" s="2"/>
      <c r="D28" s="2"/>
      <c r="E28" s="2"/>
      <c r="F28" s="2"/>
      <c r="G28" s="2"/>
      <c r="H28" s="633" t="s">
        <v>349</v>
      </c>
      <c r="I28" s="633"/>
      <c r="J28" s="633"/>
      <c r="K28" s="633"/>
      <c r="L28" s="633"/>
      <c r="M28" s="633"/>
      <c r="N28" s="633"/>
      <c r="O28" s="633"/>
      <c r="P28" s="633"/>
      <c r="Q28" s="633"/>
      <c r="R28" s="633"/>
    </row>
    <row r="29" spans="1:20" x14ac:dyDescent="0.2">
      <c r="A29" s="639" t="s">
        <v>34</v>
      </c>
      <c r="B29" s="640"/>
      <c r="C29" s="49" t="str">
        <f>IF(Main!D48="","",Main!D48)</f>
        <v/>
      </c>
      <c r="D29" s="49" t="str">
        <f>IF(Main!E48="","",Main!E48)</f>
        <v/>
      </c>
      <c r="E29" s="49" t="str">
        <f>IF(Main!F48="","",Main!F48)</f>
        <v/>
      </c>
      <c r="F29" s="49" t="str">
        <f>IF(Main!G48="","",Main!G48)</f>
        <v/>
      </c>
      <c r="G29" s="272"/>
      <c r="H29" s="269" t="s">
        <v>350</v>
      </c>
      <c r="I29" s="115" t="str">
        <f>IF(Main!N47="","",Main!N47)</f>
        <v>Periodic</v>
      </c>
      <c r="J29" s="641" t="s">
        <v>351</v>
      </c>
      <c r="K29" s="642"/>
      <c r="L29" s="115" t="str">
        <f>IF(Main!R47="","",Main!R47)</f>
        <v>Air</v>
      </c>
    </row>
    <row r="30" spans="1:20" x14ac:dyDescent="0.2">
      <c r="A30" s="639" t="s">
        <v>35</v>
      </c>
      <c r="B30" s="640"/>
      <c r="C30" s="50" t="str">
        <f>IF(Main!D49="","",Main!D49)</f>
        <v/>
      </c>
      <c r="D30" s="50" t="str">
        <f>IF(Main!E49="","",Main!E49)</f>
        <v/>
      </c>
      <c r="E30" s="50" t="str">
        <f>IF(Main!F49="","",Main!F49)</f>
        <v/>
      </c>
      <c r="F30" s="50" t="str">
        <f>IF(Main!G49="","",Main!G49)</f>
        <v/>
      </c>
      <c r="G30" s="274"/>
      <c r="H30" s="634" t="s">
        <v>337</v>
      </c>
      <c r="I30" s="634"/>
      <c r="J30" s="643" t="s">
        <v>384</v>
      </c>
      <c r="K30" s="644"/>
      <c r="L30" s="645"/>
      <c r="M30" s="266"/>
      <c r="O30" s="635" t="s">
        <v>387</v>
      </c>
      <c r="P30" s="636"/>
      <c r="Q30" s="637"/>
      <c r="T30" s="39"/>
    </row>
    <row r="31" spans="1:20" x14ac:dyDescent="0.2">
      <c r="A31" s="639" t="s">
        <v>36</v>
      </c>
      <c r="B31" s="640"/>
      <c r="C31" s="50" t="str">
        <f>IF(Main!D50="","",Main!D50)</f>
        <v/>
      </c>
      <c r="D31" s="50" t="str">
        <f>IF(Main!E50="","",Main!E50)</f>
        <v/>
      </c>
      <c r="E31" s="50" t="str">
        <f>IF(Main!F50="","",Main!F50)</f>
        <v/>
      </c>
      <c r="F31" s="50" t="str">
        <f>IF(Main!G50="","",Main!G50)</f>
        <v/>
      </c>
      <c r="G31" s="274"/>
      <c r="H31" s="254" t="s">
        <v>352</v>
      </c>
      <c r="I31" s="256" t="str">
        <f>IF(Main!N49="","",Main!N49)</f>
        <v/>
      </c>
      <c r="J31" s="658" t="s">
        <v>392</v>
      </c>
      <c r="K31" s="659"/>
      <c r="L31" s="660"/>
      <c r="M31" s="267" t="str">
        <f>IF(Main!S49="","",Main!S49)</f>
        <v/>
      </c>
      <c r="O31" s="524" t="s">
        <v>394</v>
      </c>
      <c r="P31" s="525"/>
      <c r="Q31" s="638"/>
      <c r="R31" s="58" t="str">
        <f>IF(Main!X49="","",Main!X49)</f>
        <v/>
      </c>
      <c r="T31" s="39"/>
    </row>
    <row r="32" spans="1:20" ht="12.75" customHeight="1" x14ac:dyDescent="0.2">
      <c r="A32" s="639" t="s">
        <v>37</v>
      </c>
      <c r="B32" s="640"/>
      <c r="C32" s="49" t="str">
        <f>IF(Main!D51="","",Main!D51)</f>
        <v/>
      </c>
      <c r="D32" s="49" t="str">
        <f>IF(Main!E51="","",Main!E51)</f>
        <v/>
      </c>
      <c r="E32" s="49" t="str">
        <f>IF(Main!F51="","",Main!F51)</f>
        <v/>
      </c>
      <c r="F32" s="49" t="str">
        <f>IF(Main!G51="","",Main!G51)</f>
        <v/>
      </c>
      <c r="G32" s="272"/>
      <c r="H32" s="254" t="s">
        <v>368</v>
      </c>
      <c r="I32" s="256" t="str">
        <f>IF(Main!N50="","",Main!N50)</f>
        <v/>
      </c>
      <c r="J32" s="649" t="s">
        <v>340</v>
      </c>
      <c r="K32" s="650"/>
      <c r="L32" s="651"/>
      <c r="M32" s="262"/>
      <c r="O32" s="649" t="s">
        <v>340</v>
      </c>
      <c r="P32" s="650"/>
      <c r="Q32" s="651"/>
      <c r="T32" s="39"/>
    </row>
    <row r="33" spans="1:20" ht="12.75" customHeight="1" x14ac:dyDescent="0.2">
      <c r="A33" s="639" t="s">
        <v>353</v>
      </c>
      <c r="B33" s="640"/>
      <c r="C33" s="49" t="str">
        <f>IF(Main!D52="","",Main!D52)</f>
        <v/>
      </c>
      <c r="D33" s="49" t="str">
        <f>IF(Main!E52="","",Main!E52)</f>
        <v/>
      </c>
      <c r="E33" s="49" t="str">
        <f>IF(Main!F52="","",Main!F52)</f>
        <v/>
      </c>
      <c r="F33" s="49" t="str">
        <f>IF(Main!G52="","",Main!G52)</f>
        <v/>
      </c>
      <c r="G33" s="272"/>
      <c r="H33" s="254" t="s">
        <v>354</v>
      </c>
      <c r="I33" s="256" t="str">
        <f>IF(Main!N51="","",Main!N51)</f>
        <v/>
      </c>
      <c r="J33" s="646" t="s">
        <v>393</v>
      </c>
      <c r="K33" s="647"/>
      <c r="L33" s="648"/>
      <c r="M33" s="261" t="str">
        <f>IF(Main!S51="","",Main!S51)</f>
        <v/>
      </c>
      <c r="O33" s="646" t="s">
        <v>395</v>
      </c>
      <c r="P33" s="647"/>
      <c r="Q33" s="648"/>
      <c r="R33" s="58" t="str">
        <f>IF(Main!X51="","",Main!X51)</f>
        <v/>
      </c>
      <c r="T33" s="39"/>
    </row>
    <row r="34" spans="1:20" ht="12.75" customHeight="1" x14ac:dyDescent="0.2">
      <c r="A34" s="639" t="s">
        <v>38</v>
      </c>
      <c r="B34" s="640"/>
      <c r="C34" s="51" t="str">
        <f>IF(Main!D53="","",Main!D53)</f>
        <v/>
      </c>
      <c r="D34" s="51" t="str">
        <f>IF(Main!E53="","",Main!E53)</f>
        <v/>
      </c>
      <c r="E34" s="51" t="str">
        <f>IF(Main!F53="","",Main!F53)</f>
        <v/>
      </c>
      <c r="F34" s="51" t="str">
        <f>IF(Main!G53="","",Main!G53)</f>
        <v/>
      </c>
      <c r="G34" s="275"/>
      <c r="H34" s="254" t="s">
        <v>355</v>
      </c>
      <c r="I34" s="253" t="str">
        <f>IF(Main!N52="","",Main!N52)</f>
        <v/>
      </c>
      <c r="J34" s="649" t="s">
        <v>340</v>
      </c>
      <c r="K34" s="650"/>
      <c r="L34" s="651"/>
      <c r="O34" s="649" t="s">
        <v>340</v>
      </c>
      <c r="P34" s="650"/>
      <c r="Q34" s="651"/>
      <c r="T34" s="39"/>
    </row>
    <row r="35" spans="1:20" ht="12.75" customHeight="1" x14ac:dyDescent="0.2">
      <c r="A35" s="59"/>
      <c r="B35" s="61" t="s">
        <v>85</v>
      </c>
      <c r="C35" s="71" t="str">
        <f>IF(Main!D54="","",Main!D54)</f>
        <v/>
      </c>
      <c r="D35" s="71" t="str">
        <f>IF(Main!E54="","",Main!E54)</f>
        <v/>
      </c>
      <c r="E35" s="71" t="str">
        <f>IF(Main!F54="","",Main!F54)</f>
        <v/>
      </c>
      <c r="F35" s="71" t="str">
        <f>IF(Main!G54="","",Main!G54)</f>
        <v/>
      </c>
      <c r="G35" s="276"/>
      <c r="H35" s="254" t="s">
        <v>355</v>
      </c>
      <c r="I35" s="253" t="str">
        <f>IF(Main!N53="","",Main!N53)</f>
        <v/>
      </c>
      <c r="J35" s="652" t="s">
        <v>396</v>
      </c>
      <c r="K35" s="653"/>
      <c r="L35" s="654"/>
      <c r="M35" s="270" t="str">
        <f>IF(Main!S53="","",Main!S53)</f>
        <v/>
      </c>
      <c r="O35" s="652" t="s">
        <v>397</v>
      </c>
      <c r="P35" s="653"/>
      <c r="Q35" s="654"/>
      <c r="R35" s="271" t="str">
        <f>IF(Main!X53="","",Main!X53)</f>
        <v/>
      </c>
    </row>
    <row r="36" spans="1:20" ht="13.5" thickBot="1" x14ac:dyDescent="0.25">
      <c r="B36" s="61" t="s">
        <v>356</v>
      </c>
      <c r="C36" s="49" t="str">
        <f>IF(Main!D56="","",Main!D56)</f>
        <v/>
      </c>
      <c r="D36" s="49" t="str">
        <f>IF(Main!E56="","",Main!E56)</f>
        <v/>
      </c>
      <c r="E36" s="49" t="str">
        <f>IF(Main!F56="","",Main!F56)</f>
        <v/>
      </c>
      <c r="F36" s="49" t="str">
        <f>IF(Main!G56="","",Main!G56)</f>
        <v/>
      </c>
      <c r="G36" s="272"/>
      <c r="H36" s="273"/>
      <c r="J36" s="655"/>
      <c r="K36" s="656"/>
      <c r="L36" s="657"/>
      <c r="M36" s="265"/>
      <c r="O36" s="655"/>
      <c r="P36" s="656"/>
      <c r="Q36" s="657"/>
      <c r="T36" s="39"/>
    </row>
    <row r="37" spans="1:20" ht="13.5" thickBot="1" x14ac:dyDescent="0.25">
      <c r="B37" s="59" t="s">
        <v>357</v>
      </c>
      <c r="C37" s="49" t="str">
        <f>IF(Main!D57="","",Main!D57)</f>
        <v/>
      </c>
      <c r="D37" s="49" t="str">
        <f>IF(Main!E57="","",Main!E57)</f>
        <v/>
      </c>
      <c r="E37" s="49" t="str">
        <f>IF(Main!F57="","",Main!F57)</f>
        <v/>
      </c>
      <c r="F37" s="49" t="str">
        <f>IF(Main!G57="","",Main!G57)</f>
        <v/>
      </c>
      <c r="G37" s="272"/>
      <c r="H37" s="273"/>
      <c r="J37" s="280" t="s">
        <v>343</v>
      </c>
      <c r="K37" s="281" t="s">
        <v>14</v>
      </c>
      <c r="L37" s="282" t="s">
        <v>344</v>
      </c>
      <c r="M37" s="265"/>
      <c r="O37" s="280" t="s">
        <v>345</v>
      </c>
      <c r="P37" s="281" t="s">
        <v>14</v>
      </c>
      <c r="Q37" s="282" t="s">
        <v>346</v>
      </c>
    </row>
    <row r="38" spans="1:20" ht="13.5" thickBot="1" x14ac:dyDescent="0.25">
      <c r="B38" s="44" t="s">
        <v>39</v>
      </c>
      <c r="J38" s="277" t="str">
        <f>IF(Main!P56="","",Main!P56)</f>
        <v/>
      </c>
      <c r="K38" s="278" t="str">
        <f>IF(Main!Q56="","",Main!Q56)</f>
        <v/>
      </c>
      <c r="L38" s="279" t="str">
        <f>IF(Main!R56="","",Main!R56)</f>
        <v/>
      </c>
      <c r="O38" s="277" t="str">
        <f>IF(Main!U56="","",Main!U56)</f>
        <v/>
      </c>
      <c r="P38" s="278" t="str">
        <f>IF(Main!V56="","",Main!V56)</f>
        <v/>
      </c>
      <c r="Q38" s="279" t="str">
        <f>IF(Main!W56="","",Main!W56)</f>
        <v/>
      </c>
    </row>
    <row r="39" spans="1:20" x14ac:dyDescent="0.2">
      <c r="B39" s="44" t="s">
        <v>366</v>
      </c>
      <c r="M39" s="283"/>
    </row>
    <row r="40" spans="1:20" ht="15.75" x14ac:dyDescent="0.25">
      <c r="B40" s="264"/>
      <c r="C40" s="264"/>
      <c r="D40" s="264"/>
      <c r="E40" s="264"/>
      <c r="K40" s="59" t="s">
        <v>369</v>
      </c>
      <c r="L40">
        <f>IF(Main!N54="","",Main!N54)</f>
        <v>0</v>
      </c>
      <c r="O40" s="59" t="s">
        <v>371</v>
      </c>
      <c r="P40">
        <f>IF(Main!N56="","",Main!N56)</f>
        <v>0</v>
      </c>
    </row>
    <row r="41" spans="1:20" x14ac:dyDescent="0.2">
      <c r="K41" s="59" t="s">
        <v>370</v>
      </c>
      <c r="L41">
        <f>IF(Main!N55="","",Main!N55)</f>
        <v>0</v>
      </c>
      <c r="O41" s="59" t="s">
        <v>372</v>
      </c>
      <c r="P41">
        <f>IF(Main!N57="","",Main!N57)</f>
        <v>0</v>
      </c>
    </row>
    <row r="42" spans="1:20" ht="15.75" x14ac:dyDescent="0.25">
      <c r="C42" s="264"/>
      <c r="D42" s="264"/>
      <c r="E42" s="264"/>
      <c r="F42" s="264"/>
      <c r="G42" s="264"/>
      <c r="H42" s="264"/>
      <c r="I42" s="264"/>
      <c r="J42" s="264"/>
    </row>
    <row r="44" spans="1:20" x14ac:dyDescent="0.2">
      <c r="F44" s="2"/>
      <c r="G44" s="2"/>
    </row>
    <row r="45" spans="1:20" ht="12.75" customHeight="1" x14ac:dyDescent="0.2">
      <c r="F45" s="266"/>
    </row>
    <row r="46" spans="1:20" x14ac:dyDescent="0.2">
      <c r="F46" s="128"/>
    </row>
    <row r="47" spans="1:20" ht="12.75" customHeight="1" x14ac:dyDescent="0.2">
      <c r="F47" s="262"/>
    </row>
    <row r="48" spans="1:20" ht="12.75" customHeight="1" x14ac:dyDescent="0.2">
      <c r="F48" s="265"/>
    </row>
    <row r="50" spans="6:6" ht="15.75" customHeight="1" x14ac:dyDescent="0.2">
      <c r="F50" s="262"/>
    </row>
    <row r="51" spans="6:6" x14ac:dyDescent="0.2">
      <c r="F51" s="265"/>
    </row>
    <row r="52" spans="6:6" x14ac:dyDescent="0.2">
      <c r="F52" s="265"/>
    </row>
    <row r="54" spans="6:6" x14ac:dyDescent="0.2">
      <c r="F54" s="268"/>
    </row>
  </sheetData>
  <sheetProtection algorithmName="SHA-512" hashValue="5yEbSATq3m4y3eT5PbCNW8YS9Ycls3x4tzfNUgaFHk92kLdntLza6AOa3AEiGfOSL27DeUrqVW0zoenAWBkPBg==" saltValue="eNlwZ2mvQgLa0jlg09LIbw=="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09"/>
  </cols>
  <sheetData>
    <row r="1" spans="1:14" ht="15.75" x14ac:dyDescent="0.25">
      <c r="A1" s="110"/>
      <c r="B1" s="90"/>
      <c r="C1" s="90"/>
      <c r="D1" s="107"/>
      <c r="E1" s="91"/>
      <c r="F1" s="100" t="s">
        <v>146</v>
      </c>
      <c r="G1" s="101"/>
      <c r="H1" s="101"/>
      <c r="I1" s="101"/>
      <c r="J1" s="91"/>
      <c r="K1" s="90"/>
      <c r="L1" s="90"/>
      <c r="M1" s="90"/>
      <c r="N1" s="90"/>
    </row>
    <row r="2" spans="1:14" ht="15.75" x14ac:dyDescent="0.25">
      <c r="A2" s="90"/>
      <c r="B2" s="90"/>
      <c r="C2" s="90"/>
      <c r="D2" s="107"/>
      <c r="E2" s="92" t="s">
        <v>147</v>
      </c>
      <c r="F2" s="101"/>
      <c r="G2" s="101"/>
      <c r="H2" s="101"/>
      <c r="I2" s="101"/>
      <c r="J2" s="91"/>
      <c r="K2" s="90"/>
      <c r="L2" s="90"/>
      <c r="M2" s="90"/>
      <c r="N2" s="90"/>
    </row>
    <row r="3" spans="1:14" x14ac:dyDescent="0.2">
      <c r="A3" s="90"/>
      <c r="B3" s="90"/>
      <c r="C3" s="90"/>
      <c r="D3" s="107"/>
      <c r="E3" s="90"/>
      <c r="F3" s="90"/>
      <c r="G3" s="90"/>
      <c r="H3" s="90"/>
      <c r="I3" s="90"/>
      <c r="J3" s="90"/>
      <c r="K3" s="90"/>
      <c r="L3" s="90"/>
      <c r="M3" s="90"/>
      <c r="N3" s="90"/>
    </row>
    <row r="4" spans="1:14" x14ac:dyDescent="0.2">
      <c r="A4" s="90"/>
      <c r="B4" s="93" t="s">
        <v>0</v>
      </c>
      <c r="C4" s="93"/>
      <c r="D4" s="108"/>
      <c r="E4" s="90"/>
      <c r="F4" s="93"/>
      <c r="G4" s="93"/>
      <c r="H4" s="93"/>
      <c r="I4" s="93"/>
      <c r="J4" s="93"/>
      <c r="K4" s="93"/>
      <c r="L4" s="93"/>
      <c r="M4" s="90"/>
      <c r="N4" s="90"/>
    </row>
    <row r="5" spans="1:14" x14ac:dyDescent="0.2">
      <c r="A5" s="90"/>
      <c r="B5" s="94" t="s">
        <v>25</v>
      </c>
      <c r="C5" s="94"/>
      <c r="D5" s="108"/>
      <c r="E5" s="90"/>
      <c r="F5" s="93"/>
      <c r="G5" s="93"/>
      <c r="H5" s="93"/>
      <c r="I5" s="93"/>
      <c r="J5" s="93"/>
      <c r="K5" s="93"/>
      <c r="L5" s="93"/>
      <c r="M5" s="90"/>
      <c r="N5" s="90"/>
    </row>
    <row r="6" spans="1:14" x14ac:dyDescent="0.2">
      <c r="A6" s="90"/>
      <c r="B6" s="95" t="s">
        <v>26</v>
      </c>
      <c r="C6" s="96">
        <f>Main!D3</f>
        <v>0</v>
      </c>
      <c r="D6" s="107"/>
      <c r="E6" s="93"/>
      <c r="F6" s="93"/>
      <c r="G6" s="93"/>
      <c r="H6" s="93"/>
      <c r="I6" s="97" t="s">
        <v>4</v>
      </c>
      <c r="J6" s="93" t="e">
        <f>Main!D5</f>
        <v>#N/A</v>
      </c>
      <c r="K6" s="90"/>
      <c r="L6" s="90"/>
    </row>
    <row r="7" spans="1:14" x14ac:dyDescent="0.2">
      <c r="A7" s="90"/>
      <c r="B7" s="97" t="s">
        <v>3</v>
      </c>
      <c r="C7" s="98" t="e">
        <f>Main!D6</f>
        <v>#N/A</v>
      </c>
      <c r="D7" s="107"/>
      <c r="E7" s="93"/>
      <c r="F7" s="93"/>
      <c r="G7" s="93"/>
      <c r="H7" s="93"/>
      <c r="I7" s="97" t="s">
        <v>5</v>
      </c>
      <c r="J7" s="99">
        <f>NominalTemp</f>
        <v>0</v>
      </c>
      <c r="K7" s="90"/>
      <c r="L7" s="90"/>
    </row>
    <row r="8" spans="1:14" x14ac:dyDescent="0.2">
      <c r="A8" s="90"/>
      <c r="B8" s="97" t="s">
        <v>27</v>
      </c>
      <c r="C8" s="98" t="str">
        <f>Main!D7</f>
        <v>Jeff Hall</v>
      </c>
      <c r="D8" s="107"/>
      <c r="E8" s="93"/>
      <c r="F8" s="93"/>
      <c r="G8" s="93"/>
      <c r="H8" s="93"/>
      <c r="I8" s="93"/>
      <c r="J8" s="93"/>
      <c r="K8" s="93"/>
      <c r="L8" s="93"/>
      <c r="M8" s="90"/>
      <c r="N8" s="90"/>
    </row>
    <row r="10" spans="1:14" x14ac:dyDescent="0.2">
      <c r="B10" t="s">
        <v>154</v>
      </c>
      <c r="D10" s="109" t="s">
        <v>155</v>
      </c>
    </row>
    <row r="11" spans="1:14" x14ac:dyDescent="0.2">
      <c r="D11" s="5"/>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39"/>
    </row>
  </sheetData>
  <sheetProtection algorithmName="SHA-512" hashValue="UZCXOkwJWe4bGy+zUyA8mjbupc3Uyknzx0517HfCzyEff3tR9OBAc7Ef3P4WnMqx7oK2hHmdPTPKNDsBjg6T6A==" saltValue="CScbGD4lPaHtFC7zHe0RGw=="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sqref="A1:D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1" t="s">
        <v>56</v>
      </c>
      <c r="B1" s="599"/>
      <c r="C1" s="599"/>
      <c r="D1" s="599"/>
      <c r="E1" s="35" t="s">
        <v>156</v>
      </c>
      <c r="G1" s="599" t="s">
        <v>68</v>
      </c>
      <c r="H1" s="599"/>
      <c r="K1" t="s">
        <v>92</v>
      </c>
      <c r="M1" t="s">
        <v>93</v>
      </c>
      <c r="O1" t="s">
        <v>123</v>
      </c>
      <c r="Q1" t="s">
        <v>132</v>
      </c>
      <c r="S1" t="s">
        <v>138</v>
      </c>
      <c r="U1" s="39" t="s">
        <v>170</v>
      </c>
      <c r="W1" s="39" t="s">
        <v>174</v>
      </c>
      <c r="Y1" s="39" t="s">
        <v>225</v>
      </c>
      <c r="AA1" s="39" t="s">
        <v>226</v>
      </c>
      <c r="AC1" s="39" t="s">
        <v>259</v>
      </c>
      <c r="AE1" s="64" t="s">
        <v>358</v>
      </c>
      <c r="AG1" s="36" t="s">
        <v>365</v>
      </c>
      <c r="AH1" s="36"/>
    </row>
    <row r="2" spans="1:34" x14ac:dyDescent="0.2">
      <c r="A2" s="35" t="str" cm="1">
        <f t="array" ref="A2:A9">_xlfn._xlws.FILTER(AssetPool[asset_tag], AssetPool[root_category_name]="DAQ Modules")</f>
        <v>J1</v>
      </c>
      <c r="B2" s="35" t="str" cm="1">
        <f t="array" ref="B2:B9">_xlfn._xlws.FILTER(AssetPool[manufacturer_part_number], AssetPool[root_category_name]="DAQ Modules")</f>
        <v>DaqBook/2005</v>
      </c>
      <c r="C2" s="35" t="str" cm="1">
        <f t="array" ref="C2:C9">_xlfn._xlws.FILTER(AssetPool[serial_number], AssetPool[root_category_name]="DAQ Modules")</f>
        <v>807408</v>
      </c>
      <c r="D2" s="35" t="str">
        <f>VLOOKUP(LEFT(A2,1),G$2:H$4,2,FALSE)</f>
        <v>"J" IRON-CONSTANTAN</v>
      </c>
      <c r="E2" s="35">
        <v>40</v>
      </c>
      <c r="G2" s="39" t="s">
        <v>562</v>
      </c>
      <c r="H2" t="s">
        <v>71</v>
      </c>
      <c r="K2" t="s">
        <v>83</v>
      </c>
      <c r="M2" t="s">
        <v>94</v>
      </c>
      <c r="Q2" t="s">
        <v>133</v>
      </c>
      <c r="S2" t="s">
        <v>80</v>
      </c>
      <c r="U2" s="39" t="s">
        <v>171</v>
      </c>
      <c r="W2">
        <f>IF(Main!D32 = 10, 5, IF(Main!D32 = 30, 15, IF(Main!D32 = 40, 20, 0)))</f>
        <v>0</v>
      </c>
      <c r="Y2" t="s">
        <v>200</v>
      </c>
      <c r="AC2" s="39" t="s">
        <v>261</v>
      </c>
      <c r="AE2" s="39" t="s">
        <v>359</v>
      </c>
      <c r="AG2" s="39" t="str" cm="1">
        <f t="array" ref="AG2:AG11">_xlfn._xlws.FILTER(Employees[Name],Employees[IsPyro])</f>
        <v>Danny Turkali</v>
      </c>
      <c r="AH2" s="39"/>
    </row>
    <row r="3" spans="1:34" x14ac:dyDescent="0.2">
      <c r="A3" s="35" t="str">
        <v>J2</v>
      </c>
      <c r="B3" s="35" t="str">
        <v>DaqBook/2005</v>
      </c>
      <c r="C3" s="35" t="str">
        <v>806337</v>
      </c>
      <c r="D3" s="35" t="str">
        <f t="shared" ref="D3:D9" si="0">VLOOKUP(LEFT(A3,1),G$2:H$4,2,FALSE)</f>
        <v>"J" IRON-CONSTANTAN</v>
      </c>
      <c r="E3" s="35">
        <v>28</v>
      </c>
      <c r="G3" s="39" t="s">
        <v>563</v>
      </c>
      <c r="H3" t="s">
        <v>69</v>
      </c>
      <c r="K3" t="s">
        <v>84</v>
      </c>
      <c r="M3" t="s">
        <v>95</v>
      </c>
      <c r="O3" t="s">
        <v>124</v>
      </c>
      <c r="Q3" s="39" t="s">
        <v>167</v>
      </c>
      <c r="S3" t="s">
        <v>140</v>
      </c>
      <c r="U3" s="39" t="s">
        <v>326</v>
      </c>
      <c r="Y3" t="s">
        <v>201</v>
      </c>
      <c r="AC3" s="39" t="s">
        <v>260</v>
      </c>
      <c r="AE3" s="39" t="s">
        <v>383</v>
      </c>
      <c r="AG3" s="39" t="str">
        <v>James Haven</v>
      </c>
      <c r="AH3" s="39"/>
    </row>
    <row r="4" spans="1:34" x14ac:dyDescent="0.2">
      <c r="A4" s="35" t="str">
        <v>J3</v>
      </c>
      <c r="B4" s="35" t="str">
        <v>DaqBook/2005</v>
      </c>
      <c r="C4" s="35" t="str">
        <v>807705</v>
      </c>
      <c r="D4" s="35" t="str">
        <f t="shared" si="0"/>
        <v>"J" IRON-CONSTANTAN</v>
      </c>
      <c r="E4" s="35">
        <v>28</v>
      </c>
      <c r="G4" s="39" t="s">
        <v>561</v>
      </c>
      <c r="H4" t="s">
        <v>70</v>
      </c>
      <c r="K4" t="s">
        <v>95</v>
      </c>
      <c r="M4" t="s">
        <v>105</v>
      </c>
      <c r="O4" t="s">
        <v>130</v>
      </c>
      <c r="Q4" t="s">
        <v>134</v>
      </c>
      <c r="S4" t="s">
        <v>139</v>
      </c>
      <c r="U4" s="39" t="s">
        <v>172</v>
      </c>
      <c r="Y4" t="s">
        <v>202</v>
      </c>
      <c r="AE4" s="39" t="s">
        <v>334</v>
      </c>
      <c r="AG4" s="39" t="str">
        <v>Jesse Regehr</v>
      </c>
      <c r="AH4" s="39"/>
    </row>
    <row r="5" spans="1:34" x14ac:dyDescent="0.2">
      <c r="A5" s="35" t="str">
        <v>K4</v>
      </c>
      <c r="B5" s="35" t="str">
        <v>DaqBook/2005</v>
      </c>
      <c r="C5" s="35" t="str">
        <v>807409</v>
      </c>
      <c r="D5" s="35" t="str">
        <f t="shared" si="0"/>
        <v>"K" CHROMEL-ALUMEL</v>
      </c>
      <c r="E5" s="35">
        <v>40</v>
      </c>
      <c r="K5" s="70">
        <v>283372</v>
      </c>
      <c r="M5" t="s">
        <v>108</v>
      </c>
      <c r="O5" t="s">
        <v>149</v>
      </c>
      <c r="Q5" t="s">
        <v>135</v>
      </c>
      <c r="U5" s="39" t="s">
        <v>110</v>
      </c>
      <c r="Y5" t="s">
        <v>203</v>
      </c>
      <c r="AG5" s="39" t="str">
        <v>Joey Craig</v>
      </c>
      <c r="AH5" s="39"/>
    </row>
    <row r="6" spans="1:34" x14ac:dyDescent="0.2">
      <c r="A6" s="35" t="str">
        <v>K5</v>
      </c>
      <c r="B6" s="35" t="str">
        <v>DaqBook/2005</v>
      </c>
      <c r="C6" s="35" t="str">
        <v>808005</v>
      </c>
      <c r="D6" s="35" t="str">
        <f t="shared" si="0"/>
        <v>"K" CHROMEL-ALUMEL</v>
      </c>
      <c r="E6" s="35">
        <v>28</v>
      </c>
      <c r="K6" t="s">
        <v>114</v>
      </c>
      <c r="O6" t="s">
        <v>106</v>
      </c>
      <c r="Q6" s="39" t="s">
        <v>380</v>
      </c>
      <c r="U6" s="39" t="s">
        <v>111</v>
      </c>
      <c r="Y6" t="s">
        <v>204</v>
      </c>
      <c r="AG6" s="39" t="str">
        <v>Joey Knutson</v>
      </c>
      <c r="AH6" s="39"/>
    </row>
    <row r="7" spans="1:34" x14ac:dyDescent="0.2">
      <c r="A7" s="35" t="str">
        <v>K6</v>
      </c>
      <c r="B7" s="35" t="str">
        <v>DaqBook/2005</v>
      </c>
      <c r="C7" s="35" t="str">
        <v>808173</v>
      </c>
      <c r="D7" s="35" t="str">
        <f t="shared" si="0"/>
        <v>"K" CHROMEL-ALUMEL</v>
      </c>
      <c r="E7" s="35">
        <v>40</v>
      </c>
      <c r="O7" t="s">
        <v>127</v>
      </c>
      <c r="Q7" s="39" t="s">
        <v>381</v>
      </c>
      <c r="U7" s="39" t="s">
        <v>173</v>
      </c>
      <c r="Y7" t="s">
        <v>205</v>
      </c>
      <c r="AG7" s="39" t="str">
        <v>Kevin Ferrante</v>
      </c>
      <c r="AH7" s="39"/>
    </row>
    <row r="8" spans="1:34" x14ac:dyDescent="0.2">
      <c r="A8" s="35" t="str">
        <v>K7</v>
      </c>
      <c r="B8" s="72" t="str">
        <v>DaqBook/2005</v>
      </c>
      <c r="C8" s="72" t="str">
        <v>22500C0</v>
      </c>
      <c r="D8" s="35" t="str">
        <f t="shared" si="0"/>
        <v>"K" CHROMEL-ALUMEL</v>
      </c>
      <c r="E8" s="35">
        <v>28</v>
      </c>
      <c r="O8" t="s">
        <v>126</v>
      </c>
      <c r="Q8" s="39" t="s">
        <v>382</v>
      </c>
      <c r="U8" t="str">
        <f>IF(AND(Main!D17&lt;&gt;"",Main!D17&gt;14),"Data_Sheet_15_28","")</f>
        <v/>
      </c>
      <c r="Y8" t="s">
        <v>206</v>
      </c>
      <c r="AE8" s="64" t="s">
        <v>360</v>
      </c>
      <c r="AG8" s="39" t="str">
        <v>Matt Coleman</v>
      </c>
      <c r="AH8" s="39"/>
    </row>
    <row r="9" spans="1:34" x14ac:dyDescent="0.2">
      <c r="A9" s="111" t="str">
        <v>N2</v>
      </c>
      <c r="B9" s="60" t="str">
        <v>DaqBook/2005</v>
      </c>
      <c r="C9" s="35" t="str">
        <v>808004</v>
      </c>
      <c r="D9" s="35" t="str">
        <f t="shared" si="0"/>
        <v>"N" NICROSIL-NISIL</v>
      </c>
      <c r="E9" s="60">
        <v>28</v>
      </c>
      <c r="O9" t="s">
        <v>6</v>
      </c>
      <c r="U9" t="str">
        <f>IF(AND(Main!D17&lt;&gt;"",Main!D17&gt;28),"Data_Sheet_29_40","")</f>
        <v/>
      </c>
      <c r="Y9" t="s">
        <v>207</v>
      </c>
      <c r="AE9" s="39" t="s">
        <v>336</v>
      </c>
      <c r="AG9" s="39" t="str">
        <v>Mike Ragonese</v>
      </c>
      <c r="AH9" s="39"/>
    </row>
    <row r="10" spans="1:34" x14ac:dyDescent="0.2">
      <c r="O10" t="s">
        <v>125</v>
      </c>
      <c r="Y10" t="s">
        <v>209</v>
      </c>
      <c r="AE10" s="39" t="s">
        <v>361</v>
      </c>
      <c r="AG10" s="39" t="str">
        <v>Nick Nolte</v>
      </c>
      <c r="AH10" s="39"/>
    </row>
    <row r="11" spans="1:34" x14ac:dyDescent="0.2">
      <c r="O11" t="s">
        <v>129</v>
      </c>
      <c r="Y11" s="39" t="s">
        <v>235</v>
      </c>
      <c r="AE11" s="39" t="s">
        <v>135</v>
      </c>
      <c r="AG11" t="str">
        <v>Ryan Byars</v>
      </c>
    </row>
    <row r="12" spans="1:34" x14ac:dyDescent="0.2">
      <c r="O12" t="s">
        <v>128</v>
      </c>
      <c r="Y12" s="39" t="s">
        <v>374</v>
      </c>
      <c r="AE12" s="39" t="s">
        <v>362</v>
      </c>
    </row>
    <row r="13" spans="1:34" x14ac:dyDescent="0.2">
      <c r="O13" s="39" t="s">
        <v>377</v>
      </c>
      <c r="Y13" t="s">
        <v>210</v>
      </c>
      <c r="AE13" s="39" t="s">
        <v>363</v>
      </c>
    </row>
    <row r="14" spans="1:34" x14ac:dyDescent="0.2">
      <c r="Y14" t="s">
        <v>211</v>
      </c>
      <c r="AE14" s="39" t="s">
        <v>364</v>
      </c>
    </row>
    <row r="15" spans="1:34" x14ac:dyDescent="0.2">
      <c r="Y15" t="s">
        <v>212</v>
      </c>
      <c r="AE15" s="39" t="s">
        <v>376</v>
      </c>
    </row>
    <row r="16" spans="1:34" x14ac:dyDescent="0.2">
      <c r="F16" s="42"/>
      <c r="G16" s="42"/>
      <c r="H16" s="42"/>
      <c r="I16" s="42"/>
      <c r="J16" s="42"/>
      <c r="K16" s="42"/>
      <c r="L16" s="42"/>
      <c r="M16" s="42"/>
      <c r="O16" s="42"/>
      <c r="Y16" t="s">
        <v>213</v>
      </c>
    </row>
    <row r="17" spans="25:25" x14ac:dyDescent="0.2">
      <c r="Y17" s="39" t="s">
        <v>265</v>
      </c>
    </row>
    <row r="18" spans="25:25" x14ac:dyDescent="0.2">
      <c r="Y18" t="s">
        <v>214</v>
      </c>
    </row>
    <row r="19" spans="25:25" x14ac:dyDescent="0.2">
      <c r="Y19" t="s">
        <v>215</v>
      </c>
    </row>
    <row r="20" spans="25:25" x14ac:dyDescent="0.2">
      <c r="Y20" t="s">
        <v>216</v>
      </c>
    </row>
    <row r="21" spans="25:25" x14ac:dyDescent="0.2">
      <c r="Y21" t="s">
        <v>217</v>
      </c>
    </row>
    <row r="22" spans="25:25" x14ac:dyDescent="0.2">
      <c r="Y22" t="s">
        <v>218</v>
      </c>
    </row>
    <row r="23" spans="25:25" x14ac:dyDescent="0.2">
      <c r="Y23" s="39" t="s">
        <v>245</v>
      </c>
    </row>
    <row r="24" spans="25:25" x14ac:dyDescent="0.2">
      <c r="Y24" s="39" t="s">
        <v>257</v>
      </c>
    </row>
    <row r="25" spans="25:25" x14ac:dyDescent="0.2">
      <c r="Y25" s="39" t="s">
        <v>331</v>
      </c>
    </row>
    <row r="26" spans="25:25" x14ac:dyDescent="0.2">
      <c r="Y26" t="s">
        <v>219</v>
      </c>
    </row>
    <row r="27" spans="25:25" x14ac:dyDescent="0.2">
      <c r="Y27" t="s">
        <v>220</v>
      </c>
    </row>
    <row r="28" spans="25:25" x14ac:dyDescent="0.2">
      <c r="Y28" s="39" t="s">
        <v>258</v>
      </c>
    </row>
    <row r="29" spans="25:25" x14ac:dyDescent="0.2">
      <c r="Y29" t="s">
        <v>190</v>
      </c>
    </row>
    <row r="30" spans="25:25" x14ac:dyDescent="0.2">
      <c r="Y30" s="39" t="s">
        <v>269</v>
      </c>
    </row>
    <row r="31" spans="25:25" x14ac:dyDescent="0.2">
      <c r="Y31" t="s">
        <v>192</v>
      </c>
    </row>
    <row r="32" spans="25:25" x14ac:dyDescent="0.2">
      <c r="Y32" t="s">
        <v>195</v>
      </c>
    </row>
    <row r="33" spans="25:25" x14ac:dyDescent="0.2">
      <c r="Y33" t="s">
        <v>198</v>
      </c>
    </row>
    <row r="34" spans="25:25" x14ac:dyDescent="0.2">
      <c r="Y34" t="s">
        <v>199</v>
      </c>
    </row>
    <row r="35" spans="25:25" x14ac:dyDescent="0.2">
      <c r="Y35" s="39" t="s">
        <v>262</v>
      </c>
    </row>
  </sheetData>
  <sheetProtection algorithmName="SHA-512" hashValue="yHtlur4Bh9ePDJih0zn3cYKm6R9/NdfuhVyk68RIlF0ldvo5WXZFeHd25fE/GEEx8IKt6P8SJwOn9JZKIdVjGQ==" saltValue="x0Ww8uXUFNaAcexBi0QfBw=="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75</vt:i4>
      </vt:variant>
    </vt:vector>
  </HeadingPairs>
  <TitlesOfParts>
    <vt:vector size="103"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ComparisonTable</vt:lpstr>
      <vt:lpstr>Header_Info</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AddressLine1</vt:lpstr>
      <vt:lpstr>AddressLine2</vt:lpstr>
      <vt:lpstr>AddressLine3</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FormNumber</vt:lpstr>
      <vt:lpstr>Furnace</vt:lpstr>
      <vt:lpstr>FurnaceSpecificComments</vt:lpstr>
      <vt:lpstr>HeatingMethod</vt:lpstr>
      <vt:lpstr>Integral</vt:lpstr>
      <vt:lpstr>Item</vt:lpstr>
      <vt:lpstr>k</vt:lpstr>
      <vt:lpstr>LagLimit</vt:lpstr>
      <vt:lpstr>ListCompRange</vt:lpstr>
      <vt:lpstr>Load</vt:lpstr>
      <vt:lpstr>Load_Type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Range</vt:lpstr>
      <vt:lpstr>Recorder</vt:lpstr>
      <vt:lpstr>RecoveryLimit</vt:lpstr>
      <vt:lpstr>RecSN</vt:lpstr>
      <vt:lpstr>RecTol</vt:lpstr>
      <vt:lpstr>SerialNumber</vt:lpstr>
      <vt:lpstr>Set_Point</vt:lpstr>
      <vt:lpstr>sp²</vt:lpstr>
      <vt:lpstr>Spec_Class</vt:lpstr>
      <vt:lpstr>Survey_End_Time</vt:lpstr>
      <vt:lpstr>TestLocation</vt:lpstr>
      <vt:lpstr>TestTemp</vt:lpstr>
      <vt:lpstr>TN</vt:lpstr>
      <vt:lpstr>Tolerance</vt:lpstr>
      <vt:lpstr>TolSource</vt:lpstr>
      <vt:lpstr>Tracability</vt:lpstr>
      <vt:lpstr>TUS_Start_Time</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2025-07-16T23:34:29Z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