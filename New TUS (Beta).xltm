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E16664AE-97E8-4443-BDBB-09BF7F899C87}" xr6:coauthVersionLast="47" xr6:coauthVersionMax="47" xr10:uidLastSave="{00000000-0000-0000-0000-000000000000}"/>
  <bookViews>
    <workbookView xWindow="2868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DaqbookServiceRecords!$A$1:$B$39</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WireOffsets!$A$1:$C$43</definedName>
    <definedName name="ExternalData_1" localSheetId="0" hidden="1">WireSets!$A$1:$I$24</definedName>
    <definedName name="ExternalData_1" localSheetId="1" hidden="1">WorkItemDetails!$A$1:$B$2</definedName>
    <definedName name="ExternalData_2" localSheetId="13" hidden="1">AggregatedUUTRangeTol!$A$1:$C$403</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Header_Info!$AO$2</definedName>
    <definedName name="Furnace">Header_Info!$AN$2</definedName>
    <definedName name="FurnaceSpecificComments">Header_Info!$BI$2</definedName>
    <definedName name="HalfTolMax">UUTRangeTol!$Q$7</definedName>
    <definedName name="HalfTolMin">UUTRangeTol!$Q$6</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axMode">UUTRangeTol!$S$6</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Table'!$A$1:$O$1675</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UUTRangeTol!$P$7</definedName>
    <definedName name="TolMin">UUTRangeTol!$P$6</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0" i="8" l="1"/>
  <c r="F50" i="8"/>
  <c r="G50" i="8"/>
  <c r="H50" i="8"/>
  <c r="I50" i="8"/>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54" i="8"/>
  <c r="H54" i="8"/>
  <c r="G54" i="8"/>
  <c r="F54" i="8"/>
  <c r="E54" i="8"/>
  <c r="D54"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K208" i="95" s="1"/>
  <c r="I209" i="95"/>
  <c r="I210" i="95"/>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K4" i="95" s="1"/>
  <c r="J5" i="95"/>
  <c r="J6" i="95"/>
  <c r="J7" i="95"/>
  <c r="K7" i="95" s="1"/>
  <c r="J8" i="95"/>
  <c r="J9" i="95"/>
  <c r="J10" i="95"/>
  <c r="J11" i="95"/>
  <c r="K11" i="95" s="1"/>
  <c r="J12" i="95"/>
  <c r="K12" i="95" s="1"/>
  <c r="J13" i="95"/>
  <c r="K13" i="95" s="1"/>
  <c r="J14" i="95"/>
  <c r="K14" i="95" s="1"/>
  <c r="J15" i="95"/>
  <c r="K15" i="95" s="1"/>
  <c r="J16" i="95"/>
  <c r="J17" i="95"/>
  <c r="K17" i="95" s="1"/>
  <c r="J18" i="95"/>
  <c r="K18" i="95" s="1"/>
  <c r="J19" i="95"/>
  <c r="K19" i="95" s="1"/>
  <c r="J20" i="95"/>
  <c r="J21" i="95"/>
  <c r="J22" i="95"/>
  <c r="K22" i="95" s="1"/>
  <c r="J23" i="95"/>
  <c r="K23" i="95" s="1"/>
  <c r="J24" i="95"/>
  <c r="K24" i="95" s="1"/>
  <c r="J25" i="95"/>
  <c r="K25" i="95" s="1"/>
  <c r="J26" i="95"/>
  <c r="K26" i="95" s="1"/>
  <c r="J27" i="95"/>
  <c r="K27" i="95" s="1"/>
  <c r="J28" i="95"/>
  <c r="K28" i="95" s="1"/>
  <c r="J29" i="95"/>
  <c r="K29" i="95" s="1"/>
  <c r="J30" i="95"/>
  <c r="K30" i="95" s="1"/>
  <c r="J31" i="95"/>
  <c r="K31" i="95" s="1"/>
  <c r="J32" i="95"/>
  <c r="K32" i="95" s="1"/>
  <c r="J33" i="95"/>
  <c r="J34" i="95"/>
  <c r="J35" i="95"/>
  <c r="J36" i="95"/>
  <c r="K36" i="95" s="1"/>
  <c r="J37" i="95"/>
  <c r="J38" i="95"/>
  <c r="J39" i="95"/>
  <c r="K39" i="95" s="1"/>
  <c r="J40" i="95"/>
  <c r="J41" i="95"/>
  <c r="K41" i="95" s="1"/>
  <c r="J42" i="95"/>
  <c r="K42" i="95" s="1"/>
  <c r="J43" i="95"/>
  <c r="K43" i="95" s="1"/>
  <c r="J44" i="95"/>
  <c r="K44" i="95" s="1"/>
  <c r="J45" i="95"/>
  <c r="K45" i="95" s="1"/>
  <c r="J46" i="95"/>
  <c r="K46" i="95" s="1"/>
  <c r="J47" i="95"/>
  <c r="K47" i="95" s="1"/>
  <c r="J48" i="95"/>
  <c r="J49" i="95"/>
  <c r="J50" i="95"/>
  <c r="K50" i="95" s="1"/>
  <c r="J51" i="95"/>
  <c r="J52" i="95"/>
  <c r="J53" i="95"/>
  <c r="J54" i="95"/>
  <c r="J55" i="95"/>
  <c r="K55" i="95" s="1"/>
  <c r="J56" i="95"/>
  <c r="J57" i="95"/>
  <c r="J58" i="95"/>
  <c r="K58" i="95" s="1"/>
  <c r="J59" i="95"/>
  <c r="K59" i="95" s="1"/>
  <c r="J60" i="95"/>
  <c r="K60" i="95" s="1"/>
  <c r="J61" i="95"/>
  <c r="K61" i="95" s="1"/>
  <c r="J62" i="95"/>
  <c r="K62" i="95" s="1"/>
  <c r="J63" i="95"/>
  <c r="K63" i="95" s="1"/>
  <c r="J64" i="95"/>
  <c r="K64" i="95" s="1"/>
  <c r="J65" i="95"/>
  <c r="J66" i="95"/>
  <c r="J67" i="95"/>
  <c r="J68" i="95"/>
  <c r="K68" i="95" s="1"/>
  <c r="J69" i="95"/>
  <c r="J70" i="95"/>
  <c r="J71" i="95"/>
  <c r="K71" i="95" s="1"/>
  <c r="J72" i="95"/>
  <c r="J73" i="95"/>
  <c r="J74" i="95"/>
  <c r="J75" i="95"/>
  <c r="J76" i="95"/>
  <c r="J77" i="95"/>
  <c r="J78" i="95"/>
  <c r="J79" i="95"/>
  <c r="K79" i="95" s="1"/>
  <c r="J80" i="95"/>
  <c r="J81" i="95"/>
  <c r="K81" i="95" s="1"/>
  <c r="J82" i="95"/>
  <c r="K82" i="95" s="1"/>
  <c r="J83" i="95"/>
  <c r="K83" i="95" s="1"/>
  <c r="J84" i="95"/>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J98" i="95"/>
  <c r="J99" i="95"/>
  <c r="J100" i="95"/>
  <c r="K100" i="95" s="1"/>
  <c r="J101" i="95"/>
  <c r="J102" i="95"/>
  <c r="J103" i="95"/>
  <c r="K103" i="95" s="1"/>
  <c r="J104" i="95"/>
  <c r="J105" i="95"/>
  <c r="K105" i="95" s="1"/>
  <c r="J106" i="95"/>
  <c r="K106" i="95" s="1"/>
  <c r="J107" i="95"/>
  <c r="K107" i="95" s="1"/>
  <c r="J108" i="95"/>
  <c r="K108" i="95" s="1"/>
  <c r="J109" i="95"/>
  <c r="K109" i="95" s="1"/>
  <c r="J110" i="95"/>
  <c r="K110" i="95" s="1"/>
  <c r="J111" i="95"/>
  <c r="K111" i="95" s="1"/>
  <c r="J112" i="95"/>
  <c r="J113" i="95"/>
  <c r="J114" i="95"/>
  <c r="K114" i="95" s="1"/>
  <c r="J115" i="95"/>
  <c r="J116" i="95"/>
  <c r="J117" i="95"/>
  <c r="J118" i="95"/>
  <c r="J119" i="95"/>
  <c r="K119" i="95" s="1"/>
  <c r="J120" i="95"/>
  <c r="J121" i="95"/>
  <c r="J122" i="95"/>
  <c r="K122" i="95" s="1"/>
  <c r="J123" i="95"/>
  <c r="K123" i="95" s="1"/>
  <c r="J124" i="95"/>
  <c r="K124" i="95" s="1"/>
  <c r="J125" i="95"/>
  <c r="K125" i="95" s="1"/>
  <c r="J126" i="95"/>
  <c r="K126" i="95" s="1"/>
  <c r="J127" i="95"/>
  <c r="K127" i="95" s="1"/>
  <c r="J128" i="95"/>
  <c r="K128" i="95" s="1"/>
  <c r="J129" i="95"/>
  <c r="J130" i="95"/>
  <c r="J131" i="95"/>
  <c r="J132" i="95"/>
  <c r="K132" i="95" s="1"/>
  <c r="J133" i="95"/>
  <c r="J134" i="95"/>
  <c r="J135" i="95"/>
  <c r="K135" i="95" s="1"/>
  <c r="J136" i="95"/>
  <c r="J137" i="95"/>
  <c r="J138" i="95"/>
  <c r="J139" i="95"/>
  <c r="J140" i="95"/>
  <c r="K140" i="95" s="1"/>
  <c r="J141" i="95"/>
  <c r="K141" i="95" s="1"/>
  <c r="J142" i="95"/>
  <c r="K142" i="95" s="1"/>
  <c r="J143" i="95"/>
  <c r="K143" i="95" s="1"/>
  <c r="J144" i="95"/>
  <c r="J145" i="95"/>
  <c r="K145" i="95" s="1"/>
  <c r="J146" i="95"/>
  <c r="K146" i="95" s="1"/>
  <c r="J147" i="95"/>
  <c r="K147" i="95" s="1"/>
  <c r="J148" i="95"/>
  <c r="J149" i="95"/>
  <c r="J150" i="95"/>
  <c r="J151" i="95"/>
  <c r="J152" i="95"/>
  <c r="J153" i="95"/>
  <c r="J154" i="95"/>
  <c r="J155" i="95"/>
  <c r="J156" i="95"/>
  <c r="J157" i="95"/>
  <c r="J158" i="95"/>
  <c r="J159" i="95"/>
  <c r="K159" i="95" s="1"/>
  <c r="J160" i="95"/>
  <c r="K160" i="95" s="1"/>
  <c r="J161" i="95"/>
  <c r="J162" i="95"/>
  <c r="J163" i="95"/>
  <c r="K163" i="95" s="1"/>
  <c r="J164" i="95"/>
  <c r="K164" i="95" s="1"/>
  <c r="J165" i="95"/>
  <c r="K165" i="95" s="1"/>
  <c r="J166" i="95"/>
  <c r="J167" i="95"/>
  <c r="K167" i="95" s="1"/>
  <c r="J168" i="95"/>
  <c r="K168" i="95" s="1"/>
  <c r="J169" i="95"/>
  <c r="K169" i="95" s="1"/>
  <c r="J170" i="95"/>
  <c r="K170" i="95" s="1"/>
  <c r="J171" i="95"/>
  <c r="K171" i="95" s="1"/>
  <c r="J172" i="95"/>
  <c r="K172" i="95" s="1"/>
  <c r="J173" i="95"/>
  <c r="K173" i="95" s="1"/>
  <c r="J174" i="95"/>
  <c r="K174" i="95" s="1"/>
  <c r="J175" i="95"/>
  <c r="K175" i="95" s="1"/>
  <c r="J176" i="95"/>
  <c r="J177" i="95"/>
  <c r="J178" i="95"/>
  <c r="K178" i="95" s="1"/>
  <c r="J179" i="95"/>
  <c r="J180" i="95"/>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J194" i="95"/>
  <c r="J195" i="95"/>
  <c r="J196" i="95"/>
  <c r="K196" i="95" s="1"/>
  <c r="J197" i="95"/>
  <c r="J198" i="95"/>
  <c r="J199" i="95"/>
  <c r="K199" i="95" s="1"/>
  <c r="J200" i="95"/>
  <c r="J201" i="95"/>
  <c r="J202" i="95"/>
  <c r="J203" i="95"/>
  <c r="J204" i="95"/>
  <c r="K204" i="95" s="1"/>
  <c r="J205" i="95"/>
  <c r="K205" i="95" s="1"/>
  <c r="J206" i="95"/>
  <c r="K206" i="95" s="1"/>
  <c r="J207" i="95"/>
  <c r="K207" i="95" s="1"/>
  <c r="J208" i="95"/>
  <c r="J209" i="95"/>
  <c r="K209" i="95" s="1"/>
  <c r="J210" i="95"/>
  <c r="K210" i="95" s="1"/>
  <c r="J211" i="95"/>
  <c r="J212" i="95"/>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K224" i="95" s="1"/>
  <c r="J225" i="95"/>
  <c r="J226" i="95"/>
  <c r="J227" i="95"/>
  <c r="J228" i="95"/>
  <c r="K228" i="95" s="1"/>
  <c r="J229" i="95"/>
  <c r="J230" i="95"/>
  <c r="J231" i="95"/>
  <c r="K231" i="95" s="1"/>
  <c r="J232" i="95"/>
  <c r="K232" i="95" s="1"/>
  <c r="J233" i="95"/>
  <c r="J234" i="95"/>
  <c r="J235" i="95"/>
  <c r="J236" i="95"/>
  <c r="K236" i="95" s="1"/>
  <c r="J237" i="95"/>
  <c r="J238" i="95"/>
  <c r="J239" i="95"/>
  <c r="K239" i="95" s="1"/>
  <c r="J240" i="95"/>
  <c r="J241" i="95"/>
  <c r="J242" i="95"/>
  <c r="K242" i="95" s="1"/>
  <c r="J243" i="95"/>
  <c r="J244" i="95"/>
  <c r="J245" i="95"/>
  <c r="J246" i="95"/>
  <c r="J247" i="95"/>
  <c r="K247" i="95" s="1"/>
  <c r="J248" i="95"/>
  <c r="K248" i="95" s="1"/>
  <c r="J249" i="95"/>
  <c r="K249" i="95" s="1"/>
  <c r="J250" i="95"/>
  <c r="K250" i="95" s="1"/>
  <c r="J251" i="95"/>
  <c r="K251" i="95" s="1"/>
  <c r="J252" i="95"/>
  <c r="K252" i="95" s="1"/>
  <c r="J253" i="95"/>
  <c r="K253" i="95" s="1"/>
  <c r="J254" i="95"/>
  <c r="K254" i="95" s="1"/>
  <c r="J255" i="95"/>
  <c r="K255" i="95" s="1"/>
  <c r="J256" i="95"/>
  <c r="K256" i="95" s="1"/>
  <c r="J257" i="95"/>
  <c r="J258" i="95"/>
  <c r="J259" i="95"/>
  <c r="J260" i="95"/>
  <c r="K260" i="95" s="1"/>
  <c r="J261" i="95"/>
  <c r="J262" i="95"/>
  <c r="J263" i="95"/>
  <c r="K263" i="95" s="1"/>
  <c r="J264" i="95"/>
  <c r="J265" i="95"/>
  <c r="J266" i="95"/>
  <c r="K266" i="95" s="1"/>
  <c r="J267" i="95"/>
  <c r="K267" i="95" s="1"/>
  <c r="J268" i="95"/>
  <c r="K268" i="95" s="1"/>
  <c r="J269" i="95"/>
  <c r="K269" i="95" s="1"/>
  <c r="J270" i="95"/>
  <c r="K270" i="95" s="1"/>
  <c r="J271" i="95"/>
  <c r="K271" i="95" s="1"/>
  <c r="J272" i="95"/>
  <c r="J273" i="95"/>
  <c r="J274" i="95"/>
  <c r="K274" i="95" s="1"/>
  <c r="J275" i="95"/>
  <c r="J276" i="95"/>
  <c r="J277" i="95"/>
  <c r="J278" i="95"/>
  <c r="J279" i="95"/>
  <c r="K279" i="95" s="1"/>
  <c r="J280" i="95"/>
  <c r="J281" i="95"/>
  <c r="J282" i="95"/>
  <c r="J283" i="95"/>
  <c r="J284" i="95"/>
  <c r="J285" i="95"/>
  <c r="J286" i="95"/>
  <c r="J287" i="95"/>
  <c r="K287" i="95" s="1"/>
  <c r="J288" i="95"/>
  <c r="K288" i="95" s="1"/>
  <c r="J289" i="95"/>
  <c r="J290" i="95"/>
  <c r="J291" i="95"/>
  <c r="J292" i="95"/>
  <c r="K292" i="95" s="1"/>
  <c r="J293" i="95"/>
  <c r="J294" i="95"/>
  <c r="J295" i="95"/>
  <c r="K295" i="95" s="1"/>
  <c r="J296" i="95"/>
  <c r="K296" i="95" s="1"/>
  <c r="J297" i="95"/>
  <c r="J298" i="95"/>
  <c r="K298" i="95" s="1"/>
  <c r="J299" i="95"/>
  <c r="K299" i="95" s="1"/>
  <c r="J300" i="95"/>
  <c r="K300" i="95" s="1"/>
  <c r="J301" i="95"/>
  <c r="K301" i="95" s="1"/>
  <c r="J302" i="95"/>
  <c r="K302" i="95" s="1"/>
  <c r="J303" i="95"/>
  <c r="K303" i="95" s="1"/>
  <c r="J304" i="95"/>
  <c r="J305" i="95"/>
  <c r="J306" i="95"/>
  <c r="K306" i="95" s="1"/>
  <c r="J307" i="95"/>
  <c r="J308" i="95"/>
  <c r="K308" i="95" s="1"/>
  <c r="J309" i="95"/>
  <c r="K309" i="95" s="1"/>
  <c r="J310" i="95"/>
  <c r="J311" i="95"/>
  <c r="K311" i="95" s="1"/>
  <c r="J312" i="95"/>
  <c r="K312" i="95" s="1"/>
  <c r="J313" i="95"/>
  <c r="K313" i="95" s="1"/>
  <c r="J314" i="95"/>
  <c r="K314" i="95" s="1"/>
  <c r="J315" i="95"/>
  <c r="K315" i="95" s="1"/>
  <c r="J316" i="95"/>
  <c r="K316" i="95" s="1"/>
  <c r="J317" i="95"/>
  <c r="K317" i="95" s="1"/>
  <c r="J318" i="95"/>
  <c r="K318" i="95" s="1"/>
  <c r="J319" i="95"/>
  <c r="K319" i="95" s="1"/>
  <c r="J320" i="95"/>
  <c r="J321" i="95"/>
  <c r="J322" i="95"/>
  <c r="J323" i="95"/>
  <c r="J324" i="95"/>
  <c r="K324" i="95" s="1"/>
  <c r="J325" i="95"/>
  <c r="J326" i="95"/>
  <c r="J327" i="95"/>
  <c r="K327" i="95" s="1"/>
  <c r="J328" i="95"/>
  <c r="J329" i="95"/>
  <c r="J330" i="95"/>
  <c r="J331" i="95"/>
  <c r="K331" i="95" s="1"/>
  <c r="J332" i="95"/>
  <c r="K332" i="95" s="1"/>
  <c r="J333" i="95"/>
  <c r="K333" i="95" s="1"/>
  <c r="J334" i="95"/>
  <c r="K334" i="95" s="1"/>
  <c r="J335" i="95"/>
  <c r="K335" i="95" s="1"/>
  <c r="J336" i="95"/>
  <c r="J337" i="95"/>
  <c r="K337" i="95" s="1"/>
  <c r="J338" i="95"/>
  <c r="K338" i="95" s="1"/>
  <c r="J339" i="95"/>
  <c r="J340" i="95"/>
  <c r="J341" i="95"/>
  <c r="J342" i="95"/>
  <c r="K342" i="95" s="1"/>
  <c r="J343" i="95"/>
  <c r="K343" i="95" s="1"/>
  <c r="J344" i="95"/>
  <c r="J345" i="95"/>
  <c r="K345" i="95" s="1"/>
  <c r="J346" i="95"/>
  <c r="K346" i="95" s="1"/>
  <c r="J347" i="95"/>
  <c r="K347" i="95" s="1"/>
  <c r="J348" i="95"/>
  <c r="K348" i="95" s="1"/>
  <c r="J349" i="95"/>
  <c r="K349" i="95" s="1"/>
  <c r="J350" i="95"/>
  <c r="K350" i="95" s="1"/>
  <c r="J351" i="95"/>
  <c r="K351" i="95" s="1"/>
  <c r="J352" i="95"/>
  <c r="K352" i="95" s="1"/>
  <c r="J353" i="95"/>
  <c r="J354" i="95"/>
  <c r="J355" i="95"/>
  <c r="K355" i="95" s="1"/>
  <c r="J356" i="95"/>
  <c r="K356" i="95" s="1"/>
  <c r="J357" i="95"/>
  <c r="J358" i="95"/>
  <c r="J359" i="95"/>
  <c r="K359" i="95" s="1"/>
  <c r="J360" i="95"/>
  <c r="J361" i="95"/>
  <c r="J362" i="95"/>
  <c r="J363" i="95"/>
  <c r="J364" i="95"/>
  <c r="J365" i="95"/>
  <c r="J366" i="95"/>
  <c r="J367" i="95"/>
  <c r="K367" i="95" s="1"/>
  <c r="J368" i="95"/>
  <c r="J369" i="95"/>
  <c r="J370" i="95"/>
  <c r="K370" i="95" s="1"/>
  <c r="J371" i="95"/>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J386" i="95"/>
  <c r="J387" i="95"/>
  <c r="J388" i="95"/>
  <c r="K388" i="95" s="1"/>
  <c r="J389" i="95"/>
  <c r="J390" i="95"/>
  <c r="J391" i="95"/>
  <c r="K391" i="95" s="1"/>
  <c r="J392" i="95"/>
  <c r="K392" i="95" s="1"/>
  <c r="J393" i="95"/>
  <c r="K393" i="95" s="1"/>
  <c r="J394" i="95"/>
  <c r="J395" i="95"/>
  <c r="K395" i="95" s="1"/>
  <c r="J396" i="95"/>
  <c r="K396" i="95" s="1"/>
  <c r="J397" i="95"/>
  <c r="K397" i="95" s="1"/>
  <c r="J398" i="95"/>
  <c r="K398" i="95" s="1"/>
  <c r="J399" i="95"/>
  <c r="K399" i="95" s="1"/>
  <c r="J400" i="95"/>
  <c r="J401" i="95"/>
  <c r="J402" i="95"/>
  <c r="K402" i="95" s="1"/>
  <c r="J403" i="95"/>
  <c r="J404" i="95"/>
  <c r="J405" i="95"/>
  <c r="J406" i="95"/>
  <c r="J407" i="95"/>
  <c r="K407" i="95" s="1"/>
  <c r="J408" i="95"/>
  <c r="J409" i="95"/>
  <c r="J410" i="95"/>
  <c r="J411" i="95"/>
  <c r="J412" i="95"/>
  <c r="K412" i="95" s="1"/>
  <c r="J413" i="95"/>
  <c r="K413" i="95" s="1"/>
  <c r="J414" i="95"/>
  <c r="K414" i="95" s="1"/>
  <c r="J415" i="95"/>
  <c r="K415" i="95" s="1"/>
  <c r="J416" i="95"/>
  <c r="K416" i="95" s="1"/>
  <c r="J417" i="95"/>
  <c r="J418" i="95"/>
  <c r="K2" i="95"/>
  <c r="K3" i="95"/>
  <c r="K5" i="95"/>
  <c r="K6" i="95"/>
  <c r="K8" i="95"/>
  <c r="K9" i="95"/>
  <c r="K10" i="95"/>
  <c r="K16" i="95"/>
  <c r="K20" i="95"/>
  <c r="K21" i="95"/>
  <c r="K33" i="95"/>
  <c r="K34" i="95"/>
  <c r="K35" i="95"/>
  <c r="K37" i="95"/>
  <c r="K38" i="95"/>
  <c r="K40" i="95"/>
  <c r="K48" i="95"/>
  <c r="K49" i="95"/>
  <c r="K51" i="95"/>
  <c r="K52" i="95"/>
  <c r="K53" i="95"/>
  <c r="K54" i="95"/>
  <c r="K56" i="95"/>
  <c r="K57" i="95"/>
  <c r="K65" i="95"/>
  <c r="K66" i="95"/>
  <c r="K67" i="95"/>
  <c r="K69" i="95"/>
  <c r="K70" i="95"/>
  <c r="K72" i="95"/>
  <c r="K73" i="95"/>
  <c r="K74" i="95"/>
  <c r="K75" i="95"/>
  <c r="K76" i="95"/>
  <c r="K77" i="95"/>
  <c r="K78" i="95"/>
  <c r="K80" i="95"/>
  <c r="K84" i="95"/>
  <c r="K97" i="95"/>
  <c r="K98" i="95"/>
  <c r="K99" i="95"/>
  <c r="K101" i="95"/>
  <c r="K102" i="95"/>
  <c r="K104" i="95"/>
  <c r="K112" i="95"/>
  <c r="K113" i="95"/>
  <c r="K115" i="95"/>
  <c r="K116" i="95"/>
  <c r="K117" i="95"/>
  <c r="K118" i="95"/>
  <c r="K120" i="95"/>
  <c r="K121" i="95"/>
  <c r="K129" i="95"/>
  <c r="K130" i="95"/>
  <c r="K131" i="95"/>
  <c r="K133" i="95"/>
  <c r="K134" i="95"/>
  <c r="K136" i="95"/>
  <c r="K137" i="95"/>
  <c r="K138" i="95"/>
  <c r="K139" i="95"/>
  <c r="K144" i="95"/>
  <c r="K148" i="95"/>
  <c r="K149" i="95"/>
  <c r="K150" i="95"/>
  <c r="K152" i="95"/>
  <c r="K153" i="95"/>
  <c r="K154" i="95"/>
  <c r="K155" i="95"/>
  <c r="K156" i="95"/>
  <c r="K157" i="95"/>
  <c r="K158" i="95"/>
  <c r="K161" i="95"/>
  <c r="K162" i="95"/>
  <c r="K166" i="95"/>
  <c r="K176" i="95"/>
  <c r="K177" i="95"/>
  <c r="K179" i="95"/>
  <c r="K180" i="95"/>
  <c r="K193" i="95"/>
  <c r="K194" i="95"/>
  <c r="K195" i="95"/>
  <c r="K197" i="95"/>
  <c r="K198" i="95"/>
  <c r="K200" i="95"/>
  <c r="K201" i="95"/>
  <c r="K202" i="95"/>
  <c r="K203" i="95"/>
  <c r="K212" i="95"/>
  <c r="K225" i="95"/>
  <c r="K226" i="95"/>
  <c r="K227" i="95"/>
  <c r="K229" i="95"/>
  <c r="K230" i="95"/>
  <c r="K233" i="95"/>
  <c r="K234" i="95"/>
  <c r="K235" i="95"/>
  <c r="K237" i="95"/>
  <c r="K238" i="95"/>
  <c r="K240" i="95"/>
  <c r="K241" i="95"/>
  <c r="K243" i="95"/>
  <c r="K244" i="95"/>
  <c r="K245" i="95"/>
  <c r="K246" i="95"/>
  <c r="K257" i="95"/>
  <c r="K258" i="95"/>
  <c r="K259" i="95"/>
  <c r="K261" i="95"/>
  <c r="K262" i="95"/>
  <c r="K264" i="95"/>
  <c r="K265" i="95"/>
  <c r="K272" i="95"/>
  <c r="K273" i="95"/>
  <c r="K275" i="95"/>
  <c r="K276" i="95"/>
  <c r="K277" i="95"/>
  <c r="K278" i="95"/>
  <c r="K280" i="95"/>
  <c r="K281" i="95"/>
  <c r="K282" i="95"/>
  <c r="K283" i="95"/>
  <c r="K284" i="95"/>
  <c r="K285" i="95"/>
  <c r="K286" i="95"/>
  <c r="K289" i="95"/>
  <c r="K290" i="95"/>
  <c r="K291" i="95"/>
  <c r="K293" i="95"/>
  <c r="K294" i="95"/>
  <c r="K297" i="95"/>
  <c r="K304" i="95"/>
  <c r="K305" i="95"/>
  <c r="K307" i="95"/>
  <c r="K310" i="95"/>
  <c r="K322" i="95"/>
  <c r="K323" i="95"/>
  <c r="K325" i="95"/>
  <c r="K326" i="95"/>
  <c r="K328" i="95"/>
  <c r="K329" i="95"/>
  <c r="K330" i="95"/>
  <c r="K336" i="95"/>
  <c r="K339" i="95"/>
  <c r="K340" i="95"/>
  <c r="K341" i="95"/>
  <c r="K344" i="95"/>
  <c r="K353" i="95"/>
  <c r="K354" i="95"/>
  <c r="K357" i="95"/>
  <c r="K358" i="95"/>
  <c r="K360" i="95"/>
  <c r="K361" i="95"/>
  <c r="K362" i="95"/>
  <c r="K363" i="95"/>
  <c r="K364" i="95"/>
  <c r="K365" i="95"/>
  <c r="K366" i="95"/>
  <c r="K368" i="95"/>
  <c r="K369" i="95"/>
  <c r="K371" i="95"/>
  <c r="K385" i="95"/>
  <c r="K386" i="95"/>
  <c r="K387" i="95"/>
  <c r="K389" i="95"/>
  <c r="K390" i="95"/>
  <c r="K394" i="95"/>
  <c r="K400" i="95"/>
  <c r="K401" i="95"/>
  <c r="K403" i="95"/>
  <c r="K404" i="95"/>
  <c r="K405" i="95"/>
  <c r="K406" i="95"/>
  <c r="K408" i="95"/>
  <c r="K409" i="95"/>
  <c r="K410" i="95"/>
  <c r="K411" i="95"/>
  <c r="K417" i="95"/>
  <c r="K418" i="95"/>
  <c r="L2" i="95"/>
  <c r="M2" i="95" s="1"/>
  <c r="L3" i="95"/>
  <c r="L4" i="95"/>
  <c r="L5" i="95"/>
  <c r="M5" i="95" s="1"/>
  <c r="L6" i="95"/>
  <c r="M6" i="95" s="1"/>
  <c r="L7" i="95"/>
  <c r="M7" i="95" s="1"/>
  <c r="L8" i="95"/>
  <c r="M8" i="95" s="1"/>
  <c r="L9" i="95"/>
  <c r="M9" i="95" s="1"/>
  <c r="L10" i="95"/>
  <c r="M10" i="95" s="1"/>
  <c r="L11" i="95"/>
  <c r="L12" i="95"/>
  <c r="L13" i="95"/>
  <c r="M13" i="95" s="1"/>
  <c r="L14" i="95"/>
  <c r="M14" i="95" s="1"/>
  <c r="L15" i="95"/>
  <c r="L16" i="95"/>
  <c r="M16" i="95" s="1"/>
  <c r="L17" i="95"/>
  <c r="L18" i="95"/>
  <c r="M18" i="95" s="1"/>
  <c r="L19" i="95"/>
  <c r="M19" i="95" s="1"/>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L32" i="95"/>
  <c r="L33" i="95"/>
  <c r="L34" i="95"/>
  <c r="M34" i="95" s="1"/>
  <c r="L35" i="95"/>
  <c r="L36" i="95"/>
  <c r="M36" i="95" s="1"/>
  <c r="L37" i="95"/>
  <c r="M37" i="95" s="1"/>
  <c r="L38" i="95"/>
  <c r="M38" i="95" s="1"/>
  <c r="L39" i="95"/>
  <c r="M39" i="95" s="1"/>
  <c r="L40" i="95"/>
  <c r="M40" i="95" s="1"/>
  <c r="L41" i="95"/>
  <c r="M41" i="95" s="1"/>
  <c r="L42" i="95"/>
  <c r="M42" i="95" s="1"/>
  <c r="L43" i="95"/>
  <c r="L44" i="95"/>
  <c r="L45" i="95"/>
  <c r="M45" i="95" s="1"/>
  <c r="L46" i="95"/>
  <c r="M46" i="95" s="1"/>
  <c r="L47" i="95"/>
  <c r="L48" i="95"/>
  <c r="M48" i="95" s="1"/>
  <c r="L49" i="95"/>
  <c r="L50" i="95"/>
  <c r="L51" i="95"/>
  <c r="L52" i="95"/>
  <c r="L53" i="95"/>
  <c r="M53" i="95" s="1"/>
  <c r="L54" i="95"/>
  <c r="M54" i="95" s="1"/>
  <c r="L55" i="95"/>
  <c r="M55" i="95" s="1"/>
  <c r="L56" i="95"/>
  <c r="M56" i="95" s="1"/>
  <c r="L57" i="95"/>
  <c r="M57" i="95" s="1"/>
  <c r="L58" i="95"/>
  <c r="M58" i="95" s="1"/>
  <c r="L59" i="95"/>
  <c r="M59" i="95" s="1"/>
  <c r="L60" i="95"/>
  <c r="M60" i="95" s="1"/>
  <c r="L61" i="95"/>
  <c r="M61" i="95" s="1"/>
  <c r="L62" i="95"/>
  <c r="M62" i="95" s="1"/>
  <c r="L63" i="95"/>
  <c r="L64" i="95"/>
  <c r="L65" i="95"/>
  <c r="L66" i="95"/>
  <c r="M66" i="95" s="1"/>
  <c r="L67" i="95"/>
  <c r="L68" i="95"/>
  <c r="L69" i="95"/>
  <c r="M69" i="95" s="1"/>
  <c r="L70" i="95"/>
  <c r="L71" i="95"/>
  <c r="L72" i="95"/>
  <c r="L73" i="95"/>
  <c r="L74" i="95"/>
  <c r="L75" i="95"/>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L96" i="95"/>
  <c r="M96" i="95" s="1"/>
  <c r="L97" i="95"/>
  <c r="L98" i="95"/>
  <c r="M98" i="95" s="1"/>
  <c r="L99" i="95"/>
  <c r="L100" i="95"/>
  <c r="M100" i="95" s="1"/>
  <c r="L101" i="95"/>
  <c r="M101" i="95" s="1"/>
  <c r="L102" i="95"/>
  <c r="M102" i="95" s="1"/>
  <c r="L103" i="95"/>
  <c r="M103" i="95" s="1"/>
  <c r="L104" i="95"/>
  <c r="M104" i="95" s="1"/>
  <c r="L105" i="95"/>
  <c r="M105" i="95" s="1"/>
  <c r="L106" i="95"/>
  <c r="M106" i="95" s="1"/>
  <c r="L107" i="95"/>
  <c r="L108" i="95"/>
  <c r="L109" i="95"/>
  <c r="M109" i="95" s="1"/>
  <c r="L110" i="95"/>
  <c r="L111" i="95"/>
  <c r="L112" i="95"/>
  <c r="M112" i="95" s="1"/>
  <c r="L113" i="95"/>
  <c r="L114" i="95"/>
  <c r="L115" i="95"/>
  <c r="L116" i="95"/>
  <c r="L117" i="95"/>
  <c r="M117" i="95" s="1"/>
  <c r="L118" i="95"/>
  <c r="M118" i="95" s="1"/>
  <c r="L119" i="95"/>
  <c r="M119" i="95" s="1"/>
  <c r="L120" i="95"/>
  <c r="M120" i="95" s="1"/>
  <c r="L121" i="95"/>
  <c r="M121" i="95" s="1"/>
  <c r="L122" i="95"/>
  <c r="M122" i="95" s="1"/>
  <c r="L123" i="95"/>
  <c r="M123" i="95" s="1"/>
  <c r="L124" i="95"/>
  <c r="M124" i="95" s="1"/>
  <c r="L125" i="95"/>
  <c r="M125" i="95" s="1"/>
  <c r="L126" i="95"/>
  <c r="M126" i="95" s="1"/>
  <c r="L127" i="95"/>
  <c r="L128" i="95"/>
  <c r="L129" i="95"/>
  <c r="L130" i="95"/>
  <c r="M130" i="95" s="1"/>
  <c r="L131" i="95"/>
  <c r="L132" i="95"/>
  <c r="L133" i="95"/>
  <c r="M133" i="95" s="1"/>
  <c r="L134" i="95"/>
  <c r="L135" i="95"/>
  <c r="L136" i="95"/>
  <c r="M136" i="95" s="1"/>
  <c r="L137" i="95"/>
  <c r="M137" i="95" s="1"/>
  <c r="L138" i="95"/>
  <c r="M138" i="95" s="1"/>
  <c r="L139" i="95"/>
  <c r="L140" i="95"/>
  <c r="L141" i="95"/>
  <c r="M141" i="95" s="1"/>
  <c r="L142" i="95"/>
  <c r="M142" i="95" s="1"/>
  <c r="L143" i="95"/>
  <c r="L144" i="95"/>
  <c r="M144" i="95" s="1"/>
  <c r="L145" i="95"/>
  <c r="L146" i="95"/>
  <c r="L147" i="95"/>
  <c r="L148" i="95"/>
  <c r="L149" i="95"/>
  <c r="M149" i="95" s="1"/>
  <c r="L150" i="95"/>
  <c r="L151" i="95"/>
  <c r="L152" i="95"/>
  <c r="L153" i="95"/>
  <c r="L154" i="95"/>
  <c r="L155" i="95"/>
  <c r="L156" i="95"/>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L172" i="95"/>
  <c r="L173" i="95"/>
  <c r="M173" i="95" s="1"/>
  <c r="L174" i="95"/>
  <c r="L175" i="95"/>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L192" i="95"/>
  <c r="L193" i="95"/>
  <c r="L194" i="95"/>
  <c r="M194" i="95" s="1"/>
  <c r="L195" i="95"/>
  <c r="L196" i="95"/>
  <c r="L197" i="95"/>
  <c r="M197" i="95" s="1"/>
  <c r="L198" i="95"/>
  <c r="L199" i="95"/>
  <c r="L200" i="95"/>
  <c r="M200" i="95" s="1"/>
  <c r="L201" i="95"/>
  <c r="M201" i="95" s="1"/>
  <c r="L202" i="95"/>
  <c r="M202" i="95" s="1"/>
  <c r="L203" i="95"/>
  <c r="M203" i="95" s="1"/>
  <c r="L204" i="95"/>
  <c r="L205" i="95"/>
  <c r="M205" i="95" s="1"/>
  <c r="L206" i="95"/>
  <c r="M206" i="95" s="1"/>
  <c r="L207" i="95"/>
  <c r="L208" i="95"/>
  <c r="M208" i="95" s="1"/>
  <c r="L209" i="95"/>
  <c r="M209" i="95" s="1"/>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L224" i="95"/>
  <c r="L225" i="95"/>
  <c r="L226" i="95"/>
  <c r="M226" i="95" s="1"/>
  <c r="L227" i="95"/>
  <c r="L228" i="95"/>
  <c r="L229" i="95"/>
  <c r="M229" i="95" s="1"/>
  <c r="L230" i="95"/>
  <c r="L231" i="95"/>
  <c r="L232" i="95"/>
  <c r="L233" i="95"/>
  <c r="L234" i="95"/>
  <c r="L235" i="95"/>
  <c r="L236" i="95"/>
  <c r="L237" i="95"/>
  <c r="M237" i="95" s="1"/>
  <c r="L238" i="95"/>
  <c r="L239" i="95"/>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L256" i="95"/>
  <c r="L257" i="95"/>
  <c r="L258" i="95"/>
  <c r="M258" i="95" s="1"/>
  <c r="L259" i="95"/>
  <c r="M259" i="95" s="1"/>
  <c r="L260" i="95"/>
  <c r="M260" i="95" s="1"/>
  <c r="L261" i="95"/>
  <c r="M261" i="95" s="1"/>
  <c r="L262" i="95"/>
  <c r="M262" i="95" s="1"/>
  <c r="L263" i="95"/>
  <c r="L264" i="95"/>
  <c r="M264" i="95" s="1"/>
  <c r="L265" i="95"/>
  <c r="M265" i="95" s="1"/>
  <c r="L266" i="95"/>
  <c r="M266" i="95" s="1"/>
  <c r="L267" i="95"/>
  <c r="L268" i="95"/>
  <c r="L269" i="95"/>
  <c r="M269" i="95" s="1"/>
  <c r="L270" i="95"/>
  <c r="L271" i="95"/>
  <c r="L272" i="95"/>
  <c r="M272" i="95" s="1"/>
  <c r="L273" i="95"/>
  <c r="L274" i="95"/>
  <c r="L275" i="95"/>
  <c r="L276" i="95"/>
  <c r="L277" i="95"/>
  <c r="M277" i="95" s="1"/>
  <c r="L278" i="95"/>
  <c r="L279" i="95"/>
  <c r="L280" i="95"/>
  <c r="L281" i="95"/>
  <c r="M281" i="95" s="1"/>
  <c r="L282" i="95"/>
  <c r="M282" i="95" s="1"/>
  <c r="L283" i="95"/>
  <c r="M283" i="95" s="1"/>
  <c r="L284" i="95"/>
  <c r="M284" i="95" s="1"/>
  <c r="L285" i="95"/>
  <c r="M285" i="95" s="1"/>
  <c r="L286" i="95"/>
  <c r="M286" i="95" s="1"/>
  <c r="L287" i="95"/>
  <c r="L288" i="95"/>
  <c r="L289" i="95"/>
  <c r="L290" i="95"/>
  <c r="M290" i="95" s="1"/>
  <c r="L291" i="95"/>
  <c r="L292" i="95"/>
  <c r="L293" i="95"/>
  <c r="M293" i="95" s="1"/>
  <c r="L294" i="95"/>
  <c r="L295" i="95"/>
  <c r="L296" i="95"/>
  <c r="L297" i="95"/>
  <c r="L298" i="95"/>
  <c r="L299" i="95"/>
  <c r="L300" i="95"/>
  <c r="L301" i="95"/>
  <c r="M301" i="95" s="1"/>
  <c r="L302" i="95"/>
  <c r="M302" i="95" s="1"/>
  <c r="L303" i="95"/>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L320" i="95"/>
  <c r="L321" i="95"/>
  <c r="L322" i="95"/>
  <c r="M322" i="95" s="1"/>
  <c r="L323" i="95"/>
  <c r="M323" i="95" s="1"/>
  <c r="L324" i="95"/>
  <c r="M324" i="95" s="1"/>
  <c r="L325" i="95"/>
  <c r="M325" i="95" s="1"/>
  <c r="L326" i="95"/>
  <c r="M326" i="95" s="1"/>
  <c r="L327" i="95"/>
  <c r="M327" i="95" s="1"/>
  <c r="L328" i="95"/>
  <c r="M328" i="95" s="1"/>
  <c r="L329" i="95"/>
  <c r="M329" i="95" s="1"/>
  <c r="L330" i="95"/>
  <c r="M330" i="95" s="1"/>
  <c r="L331" i="95"/>
  <c r="L332" i="95"/>
  <c r="L333" i="95"/>
  <c r="M333" i="95" s="1"/>
  <c r="L334" i="95"/>
  <c r="M334" i="95" s="1"/>
  <c r="L335" i="95"/>
  <c r="L336" i="95"/>
  <c r="M336" i="95" s="1"/>
  <c r="L337" i="95"/>
  <c r="L338" i="95"/>
  <c r="L339" i="95"/>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L352" i="95"/>
  <c r="L353" i="95"/>
  <c r="L354" i="95"/>
  <c r="L355" i="95"/>
  <c r="L356" i="95"/>
  <c r="L357" i="95"/>
  <c r="M357" i="95" s="1"/>
  <c r="L358" i="95"/>
  <c r="L359" i="95"/>
  <c r="L360" i="95"/>
  <c r="L361" i="95"/>
  <c r="L362" i="95"/>
  <c r="M362" i="95" s="1"/>
  <c r="L363" i="95"/>
  <c r="M363" i="95" s="1"/>
  <c r="L364" i="95"/>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L384" i="95"/>
  <c r="L385" i="95"/>
  <c r="L386" i="95"/>
  <c r="L387" i="95"/>
  <c r="L388" i="95"/>
  <c r="L389" i="95"/>
  <c r="L390" i="95"/>
  <c r="L391" i="95"/>
  <c r="L392" i="95"/>
  <c r="L393" i="95"/>
  <c r="L394" i="95"/>
  <c r="L395" i="95"/>
  <c r="L396" i="95"/>
  <c r="L397" i="95"/>
  <c r="M397" i="95" s="1"/>
  <c r="L398" i="95"/>
  <c r="L399" i="95"/>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L416" i="95"/>
  <c r="L417" i="95"/>
  <c r="L418" i="95"/>
  <c r="M3" i="95"/>
  <c r="M4" i="95"/>
  <c r="M11" i="95"/>
  <c r="M12" i="95"/>
  <c r="M15" i="95"/>
  <c r="M17" i="95"/>
  <c r="M31" i="95"/>
  <c r="M32" i="95"/>
  <c r="M33" i="95"/>
  <c r="M35" i="95"/>
  <c r="M43" i="95"/>
  <c r="M44" i="95"/>
  <c r="M47" i="95"/>
  <c r="M49" i="95"/>
  <c r="M50" i="95"/>
  <c r="M51" i="95"/>
  <c r="M52" i="95"/>
  <c r="M63" i="95"/>
  <c r="M64" i="95"/>
  <c r="M65" i="95"/>
  <c r="M67" i="95"/>
  <c r="M68" i="95"/>
  <c r="M70" i="95"/>
  <c r="M71" i="95"/>
  <c r="M72" i="95"/>
  <c r="M73" i="95"/>
  <c r="M74" i="95"/>
  <c r="M75" i="95"/>
  <c r="M95" i="95"/>
  <c r="M97" i="95"/>
  <c r="M99" i="95"/>
  <c r="M107" i="95"/>
  <c r="M108" i="95"/>
  <c r="M110" i="95"/>
  <c r="M111" i="95"/>
  <c r="M113" i="95"/>
  <c r="M114" i="95"/>
  <c r="M115" i="95"/>
  <c r="M116" i="95"/>
  <c r="M127" i="95"/>
  <c r="M128" i="95"/>
  <c r="M129" i="95"/>
  <c r="M131" i="95"/>
  <c r="M132" i="95"/>
  <c r="M134" i="95"/>
  <c r="M135" i="95"/>
  <c r="M139" i="95"/>
  <c r="M140" i="95"/>
  <c r="M143" i="95"/>
  <c r="M145" i="95"/>
  <c r="M146" i="95"/>
  <c r="M147" i="95"/>
  <c r="M148" i="95"/>
  <c r="M150" i="95"/>
  <c r="M151" i="95"/>
  <c r="M152" i="95"/>
  <c r="M153" i="95"/>
  <c r="M154" i="95"/>
  <c r="M155" i="95"/>
  <c r="M156" i="95"/>
  <c r="M171" i="95"/>
  <c r="M172" i="95"/>
  <c r="M174" i="95"/>
  <c r="M175" i="95"/>
  <c r="M191" i="95"/>
  <c r="M192" i="95"/>
  <c r="M193" i="95"/>
  <c r="M195" i="95"/>
  <c r="M196" i="95"/>
  <c r="M198" i="95"/>
  <c r="M199" i="95"/>
  <c r="M204" i="95"/>
  <c r="M207" i="95"/>
  <c r="M223" i="95"/>
  <c r="M224" i="95"/>
  <c r="M225" i="95"/>
  <c r="M227" i="95"/>
  <c r="M228" i="95"/>
  <c r="M230" i="95"/>
  <c r="M231" i="95"/>
  <c r="M232" i="95"/>
  <c r="M233" i="95"/>
  <c r="M234" i="95"/>
  <c r="M235" i="95"/>
  <c r="M236" i="95"/>
  <c r="M238" i="95"/>
  <c r="M239" i="95"/>
  <c r="M255" i="95"/>
  <c r="M256" i="95"/>
  <c r="M257" i="95"/>
  <c r="M263" i="95"/>
  <c r="M267" i="95"/>
  <c r="M268" i="95"/>
  <c r="M270" i="95"/>
  <c r="M271" i="95"/>
  <c r="M273" i="95"/>
  <c r="M274" i="95"/>
  <c r="M275" i="95"/>
  <c r="M276" i="95"/>
  <c r="M278" i="95"/>
  <c r="M279" i="95"/>
  <c r="M280" i="95"/>
  <c r="M287" i="95"/>
  <c r="M288" i="95"/>
  <c r="M289" i="95"/>
  <c r="M291" i="95"/>
  <c r="M292" i="95"/>
  <c r="M294" i="95"/>
  <c r="M295" i="95"/>
  <c r="M296" i="95"/>
  <c r="M297" i="95"/>
  <c r="M298" i="95"/>
  <c r="M299" i="95"/>
  <c r="M300" i="95"/>
  <c r="M303" i="95"/>
  <c r="M319" i="95"/>
  <c r="M320" i="95"/>
  <c r="M321" i="95"/>
  <c r="M331" i="95"/>
  <c r="M332" i="95"/>
  <c r="M335" i="95"/>
  <c r="M337" i="95"/>
  <c r="M338" i="95"/>
  <c r="M339" i="95"/>
  <c r="M351" i="95"/>
  <c r="M352" i="95"/>
  <c r="M353" i="95"/>
  <c r="M354" i="95"/>
  <c r="M355" i="95"/>
  <c r="M356" i="95"/>
  <c r="M358" i="95"/>
  <c r="M359" i="95"/>
  <c r="M360" i="95"/>
  <c r="M361" i="95"/>
  <c r="M364" i="95"/>
  <c r="M383" i="95"/>
  <c r="M384" i="95"/>
  <c r="M385" i="95"/>
  <c r="M386" i="95"/>
  <c r="M387" i="95"/>
  <c r="M388" i="95"/>
  <c r="M389" i="95"/>
  <c r="M390" i="95"/>
  <c r="M391" i="95"/>
  <c r="M392" i="95"/>
  <c r="M393" i="95"/>
  <c r="M394" i="95"/>
  <c r="M395" i="95"/>
  <c r="M396" i="95"/>
  <c r="M398" i="95"/>
  <c r="M399" i="95"/>
  <c r="M415" i="95"/>
  <c r="M416" i="95"/>
  <c r="M417" i="95"/>
  <c r="M418" i="95"/>
  <c r="D11" i="21" a="1"/>
  <c r="D11" i="21" s="1"/>
  <c r="B11" i="21" a="1"/>
  <c r="B11" i="21" s="1"/>
  <c r="B2" i="12" a="1"/>
  <c r="B2" i="12" s="1"/>
  <c r="C2" i="12" a="1"/>
  <c r="C2" i="12" s="1"/>
  <c r="A2" i="12" a="1"/>
  <c r="A2" i="12" s="1"/>
  <c r="E9" i="8" a="1"/>
  <c r="E9" i="8" s="1"/>
  <c r="T62" i="26"/>
  <c r="R62" i="26"/>
  <c r="F62" i="26" a="1"/>
  <c r="F62" i="26" s="1"/>
  <c r="B20" i="8"/>
  <c r="A37" i="8"/>
  <c r="AL1" i="77" a="1"/>
  <c r="AL1" i="77" s="1"/>
  <c r="K320" i="95" l="1"/>
  <c r="K151" i="95"/>
  <c r="V21" i="8"/>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S6" i="95"/>
  <c r="X2" i="95"/>
  <c r="AL2" i="77" a="1"/>
  <c r="E2" i="96" a="1"/>
  <c r="B10" i="26"/>
  <c r="B11" i="26"/>
  <c r="Q2" i="29"/>
  <c r="D5" i="8" s="1"/>
  <c r="E19" i="4"/>
  <c r="K19" i="4"/>
  <c r="N19" i="4"/>
  <c r="M6" i="15" l="1"/>
  <c r="M6" i="13"/>
  <c r="M6" i="14"/>
  <c r="Q6" i="95"/>
  <c r="P7" i="95"/>
  <c r="Q7" i="95"/>
  <c r="P6" i="95"/>
  <c r="AL2" i="77"/>
  <c r="L9" i="26"/>
  <c r="K61" i="8"/>
  <c r="F60" i="8"/>
  <c r="L60" i="8"/>
  <c r="D30" i="26"/>
  <c r="B54" i="26"/>
  <c r="E2" i="96"/>
  <c r="D19" i="8"/>
  <c r="H15" i="26"/>
  <c r="H14" i="26"/>
  <c r="P3" i="90"/>
  <c r="M3" i="90" s="1"/>
  <c r="P2" i="90"/>
  <c r="Q2" i="90" s="1"/>
  <c r="D36" i="8"/>
  <c r="E36" i="8" s="1"/>
  <c r="F36" i="8" s="1"/>
  <c r="G36" i="8" s="1"/>
  <c r="J2" i="90"/>
  <c r="C1" i="15" l="1"/>
  <c r="C1" i="13"/>
  <c r="C1" i="14"/>
  <c r="G97" i="8"/>
  <c r="E1" i="14"/>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R41" i="8" a="1"/>
  <c r="S31" i="8" a="1"/>
  <c r="R10" i="8" a="1"/>
  <c r="S37" i="8" a="1"/>
  <c r="R15" i="8" a="1"/>
  <c r="S30" i="8" a="1"/>
  <c r="R36" i="8" a="1"/>
  <c r="R16" i="8" a="1"/>
  <c r="R35" i="8" a="1"/>
  <c r="R32" i="8" a="1"/>
  <c r="R25" i="8" a="1"/>
  <c r="S13" i="8" a="1"/>
  <c r="R17" i="8" a="1"/>
  <c r="R31" i="8" a="1"/>
  <c r="S5" i="8" a="1"/>
  <c r="S26" i="8" a="1"/>
  <c r="R34" i="8" a="1"/>
  <c r="S6" i="8" a="1"/>
  <c r="S7" i="8" a="1"/>
  <c r="R44" i="8" a="1"/>
  <c r="R26" i="8" a="1"/>
  <c r="S39" i="8" a="1"/>
  <c r="R33" i="8" a="1"/>
  <c r="R29" i="8" a="1"/>
  <c r="R5" i="8" a="1"/>
  <c r="R23" i="8" a="1"/>
  <c r="S14" i="8" a="1"/>
  <c r="S43" i="8" a="1"/>
  <c r="S35" i="8" a="1"/>
  <c r="R21" i="8" a="1"/>
  <c r="S21" i="8" a="1"/>
  <c r="R18" i="8" a="1"/>
  <c r="R12" i="8" a="1"/>
  <c r="S18" i="8" a="1"/>
  <c r="R43" i="8" a="1"/>
  <c r="R38" i="8" a="1"/>
  <c r="R19" i="8" a="1"/>
  <c r="R28" i="8" a="1"/>
  <c r="R8" i="8" a="1"/>
  <c r="R7" i="8" a="1"/>
  <c r="S36" i="8" a="1"/>
  <c r="R11" i="8" a="1"/>
  <c r="R37" i="8" a="1"/>
  <c r="R20" i="8" a="1"/>
  <c r="R13" i="8" a="1"/>
  <c r="R42" i="8" a="1"/>
  <c r="S24" i="8" a="1"/>
  <c r="S25" i="8" a="1"/>
  <c r="S28" i="8" a="1"/>
  <c r="S27" i="8" a="1"/>
  <c r="S32" i="8" a="1"/>
  <c r="R9" i="8" a="1"/>
  <c r="R39" i="8" a="1"/>
  <c r="S15" i="8" a="1"/>
  <c r="S34" i="8" a="1"/>
  <c r="R30" i="8" a="1"/>
  <c r="R6" i="8" a="1"/>
  <c r="R22" i="8" a="1"/>
  <c r="R14" i="8" a="1"/>
  <c r="S11" i="8" a="1"/>
  <c r="R27" i="8" a="1"/>
  <c r="R24" i="8" a="1"/>
  <c r="S41" i="8" a="1"/>
  <c r="S12" i="8" a="1"/>
  <c r="R40" i="8" a="1"/>
  <c r="S42" i="8" a="1"/>
  <c r="S23" i="8" a="1"/>
  <c r="S44" i="8" a="1"/>
  <c r="S40" i="8" a="1"/>
  <c r="S38" i="8" a="1"/>
  <c r="S17" i="8" a="1"/>
  <c r="S9" i="8" a="1"/>
  <c r="S16" i="8" a="1"/>
  <c r="S20" i="8" a="1"/>
  <c r="S33" i="8" a="1"/>
  <c r="S22" i="8" a="1"/>
  <c r="S10" i="8" a="1"/>
  <c r="S19" i="8" a="1"/>
  <c r="S8"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G93" i="8" s="1"/>
  <c r="G94" i="8" l="1"/>
  <c r="E6" i="4"/>
  <c r="D29" i="8"/>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49" i="8"/>
  <c r="H49" i="8"/>
  <c r="G49" i="8"/>
  <c r="F49" i="8"/>
  <c r="E49" i="8"/>
  <c r="D49" i="8"/>
  <c r="D50" i="8" s="1"/>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<sst xmlns="http://schemas.openxmlformats.org/spreadsheetml/2006/main" count="1935" uniqueCount="969">
  <si>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</si>
  <si>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</si>
  <si>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</si>
  <si>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</si>
  <si>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</si>
  <si>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</si>
  <si>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</si>
  <si>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</si>
  <si>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</si>
  <si>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</si>
  <si>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</si>
  <si>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</si>
  <si>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</si>
  <si>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</si>
  <si>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</si>
  <si>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</si>
  <si>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</si>
  <si>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</si>
  <si>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</si>
  <si>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</si>
  <si>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</si>
  <si>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</si>
  <si>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</si>
  <si>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</si>
  <si>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</si>
  <si>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</si>
  <si>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</si>
  <si>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</si>
  <si>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</si>
  <si>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</si>
  <si>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</si>
  <si>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</si>
  <si>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</si>
  <si>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</si>
  <si>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</si>
  <si>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</si>
  <si>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</si>
  <si>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</si>
  <si>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</si>
  <si>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</si>
  <si>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</si>
  <si>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</si>
  <si>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</si>
  <si>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</si>
  <si>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</si>
  <si>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</si>
  <si>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</si>
  <si>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</si>
  <si>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</si>
  <si>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</si>
  <si>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</si>
  <si>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</si>
  <si>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</si>
  <si>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</si>
  <si>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</si>
  <si>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</si>
  <si>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</si>
  <si>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</si>
  <si>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</si>
  <si>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</si>
  <si>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</si>
  <si>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</si>
  <si>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</si>
  <si>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</si>
  <si>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</si>
  <si>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</si>
  <si>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</si>
  <si>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</si>
  <si>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</si>
  <si>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</si>
  <si>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</si>
  <si>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</si>
  <si>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</si>
  <si>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</si>
  <si>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</si>
  <si>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</si>
  <si>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</si>
  <si>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</si>
  <si>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</si>
  <si>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</si>
  <si>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</si>
  <si>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</si>
  <si>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</si>
  <si>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</si>
  <si>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</si>
  <si>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</si>
  <si>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</si>
  <si>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</si>
  <si>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</si>
  <si>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</si>
  <si>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</si>
  <si>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</si>
  <si>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</si>
  <si>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</si>
  <si>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</si>
  <si>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</si>
  <si>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</si>
  <si>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</si>
  <si>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</si>
  <si>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</si>
  <si>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</si>
  <si>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</si>
  <si>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</si>
  <si>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</si>
  <si>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</si>
  <si>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</si>
  <si>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</si>
  <si>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</si>
  <si>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</si>
  <si>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</si>
  <si>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</si>
  <si>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</si>
  <si>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</si>
  <si>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</si>
  <si>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</si>
  <si>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</si>
  <si>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</si>
  <si>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</si>
  <si>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</si>
  <si>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</si>
  <si>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</si>
  <si>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</si>
  <si>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</si>
  <si>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</si>
  <si>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</si>
  <si>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</si>
  <si>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</si>
  <si>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</si>
  <si>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</si>
  <si>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</si>
  <si>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</si>
  <si>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</si>
  <si>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</si>
  <si>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</si>
  <si>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</si>
  <si>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</si>
  <si>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</si>
  <si>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</si>
  <si>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</si>
  <si>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</si>
  <si>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</si>
  <si>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</si>
  <si>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</si>
  <si>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</si>
  <si>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</si>
  <si>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</si>
  <si>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</si>
  <si>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</si>
  <si>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</si>
  <si>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</si>
  <si>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</si>
  <si>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</si>
  <si>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</si>
  <si>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</si>
  <si>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</si>
  <si>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</si>
  <si>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</si>
  <si>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</si>
  <si>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</si>
  <si>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</si>
  <si>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</si>
  <si>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</si>
  <si>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</si>
  <si>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</si>
  <si>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</si>
  <si>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</si>
  <si>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</si>
  <si>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</si>
  <si>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</si>
  <si>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</si>
  <si>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</si>
  <si>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</si>
  <si>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</si>
  <si>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</si>
  <si>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</si>
  <si>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</si>
  <si>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</si>
  <si>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</si>
  <si>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</si>
  <si>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</si>
  <si>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</si>
  <si>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</si>
  <si>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</si>
  <si>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</si>
  <si>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</si>
  <si>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</si>
  <si>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</si>
  <si>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</si>
  <si>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</si>
  <si>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</si>
  <si>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</si>
  <si>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</si>
  <si>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</si>
  <si>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</si>
  <si>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</si>
  <si>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</si>
  <si>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</si>
  <si>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</si>
  <si>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</si>
  <si>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</si>
  <si>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</si>
  <si>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</si>
  <si>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</si>
  <si>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</si>
  <si>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</si>
  <si>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</si>
  <si>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</si>
  <si>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</si>
  <si>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</si>
  <si>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</si>
  <si>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</si>
  <si>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</si>
  <si>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</si>
  <si>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</si>
  <si>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</si>
  <si>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</si>
  <si>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</si>
  <si>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</si>
  <si>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</si>
  <si>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</si>
  <si>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</si>
  <si>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</si>
  <si>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</si>
  <si>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</si>
  <si>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</si>
  <si>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</si>
  <si>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</si>
  <si>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</si>
  <si>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</si>
  <si>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</si>
  <si>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</si>
  <si>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</si>
  <si>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</si>
  <si>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</si>
  <si>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</si>
  <si>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</si>
  <si>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</si>
  <si>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</si>
  <si>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</si>
  <si>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</si>
  <si>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</si>
  <si>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</si>
  <si>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</si>
  <si>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</si>
  <si>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</si>
  <si>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</si>
  <si>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</si>
  <si>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</si>
  <si>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</si>
  <si>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</si>
  <si>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</si>
  <si>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</si>
  <si>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</si>
  <si>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</si>
  <si>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</si>
  <si>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</si>
  <si>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</si>
  <si>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</si>
  <si>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</si>
  <si>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</si>
  <si>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</si>
  <si>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</si>
  <si>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</si>
  <si>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</si>
  <si>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</si>
  <si>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</si>
  <si>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</si>
  <si>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</si>
  <si>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</si>
  <si>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</si>
  <si>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</si>
  <si>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</si>
  <si>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</si>
  <si>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</si>
  <si>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</si>
  <si>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</si>
  <si>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</si>
  <si>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</si>
  <si>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</si>
  <si>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</si>
  <si>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</si>
  <si>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</si>
  <si>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</si>
  <si>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</si>
  <si>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</si>
  <si>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</si>
  <si>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</si>
  <si>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</si>
  <si>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</si>
  <si>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</si>
  <si>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</si>
  <si>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</si>
  <si>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</si>
  <si>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</si>
  <si>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</si>
  <si>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</si>
  <si>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</si>
  <si>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</si>
  <si>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</si>
  <si>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</si>
  <si>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</si>
  <si>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</si>
  <si>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</si>
  <si>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</si>
  <si>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</si>
  <si>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</si>
  <si>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</si>
  <si>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</si>
  <si>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</si>
  <si>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</si>
  <si>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</si>
  <si>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</si>
  <si>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</si>
  <si>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</si>
  <si>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</si>
  <si>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</si>
  <si>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</si>
  <si>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</si>
  <si>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</si>
  <si>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</si>
  <si>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</si>
  <si>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</si>
  <si>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</si>
  <si>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</si>
  <si>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</si>
  <si>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</si>
  <si>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</si>
  <si>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</si>
  <si>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</si>
  <si>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</si>
  <si>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</si>
  <si>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</si>
  <si>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</si>
  <si>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</si>
  <si>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</si>
  <si>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</si>
  <si>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</si>
  <si>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</si>
  <si>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</si>
  <si>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</si>
  <si>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</si>
  <si>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</si>
  <si>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</si>
  <si>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</si>
  <si>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</si>
  <si>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</si>
  <si>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</si>
  <si>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</si>
  <si>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</si>
  <si>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</si>
  <si>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</si>
  <si>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</si>
  <si>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</si>
  <si>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</si>
  <si>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</si>
  <si>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</si>
  <si>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</si>
  <si>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</si>
  <si>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</si>
  <si>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</si>
  <si>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</si>
  <si>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</si>
  <si>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</si>
  <si>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</si>
  <si>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</si>
  <si>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</si>
  <si>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</si>
  <si>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</si>
  <si>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</si>
  <si>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</si>
  <si>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</si>
  <si>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</si>
  <si>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</si>
  <si>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</si>
  <si>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</si>
  <si>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</si>
  <si>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</si>
  <si>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</si>
  <si>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</si>
  <si>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</si>
  <si>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</si>
  <si>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</si>
  <si>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</si>
  <si>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</si>
  <si>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</si>
  <si>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</si>
  <si>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</si>
  <si>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</si>
  <si>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</si>
  <si>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</si>
  <si>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</si>
  <si>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</si>
  <si>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</si>
  <si>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</si>
  <si>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</si>
  <si>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</si>
  <si>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</si>
  <si>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</si>
  <si>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</si>
  <si>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</si>
  <si>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</si>
  <si>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</si>
  <si>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</si>
  <si>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</si>
  <si>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</si>
  <si>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</si>
  <si>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</si>
  <si>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</si>
  <si>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</si>
  <si>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</si>
  <si>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</si>
  <si>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</si>
  <si>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</si>
  <si>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</si>
  <si>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</si>
  <si>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</si>
  <si>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</si>
  <si>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</si>
  <si>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</si>
  <si>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</si>
  <si>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</si>
  <si>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</si>
  <si>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</si>
  <si>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</si>
  <si>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</si>
  <si>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</si>
  <si>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</si>
  <si>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</si>
  <si>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</si>
  <si>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</si>
  <si>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</si>
  <si>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</si>
  <si>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</si>
  <si>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</si>
  <si>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</si>
  <si>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</si>
  <si>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</si>
  <si>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</si>
  <si>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</si>
  <si>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</si>
  <si>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</si>
  <si>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</si>
  <si>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</si>
  <si>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</si>
  <si>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</si>
  <si>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</si>
  <si>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</si>
  <si>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</si>
  <si>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</si>
  <si>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</si>
  <si>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</si>
  <si>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</si>
  <si>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</si>
  <si>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</si>
  <si>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</si>
  <si>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</si>
  <si>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</si>
  <si>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</si>
  <si>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</si>
  <si>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</si>
  <si>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</si>
  <si>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</si>
  <si>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</si>
  <si>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</si>
  <si>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</si>
  <si>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</si>
  <si>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</si>
  <si>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</si>
  <si>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</si>
  <si>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</si>
  <si>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</si>
  <si>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</si>
  <si>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</si>
  <si>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</si>
  <si>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</si>
  <si>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</si>
  <si>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</si>
  <si>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</si>
  <si>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</si>
  <si>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</si>
  <si>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</si>
  <si>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</si>
  <si>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</si>
  <si>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</si>
  <si>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</si>
  <si>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</si>
  <si>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</si>
  <si>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</si>
  <si>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</si>
  <si>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</si>
  <si>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</si>
  <si>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</si>
  <si>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</si>
  <si>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</si>
  <si>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</si>
  <si>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</si>
  <si>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</si>
  <si>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</si>
  <si>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</si>
  <si>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</si>
  <si>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</si>
  <si>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</si>
  <si>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</si>
  <si>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</si>
  <si>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</si>
  <si>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</si>
  <si>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</si>
  <si>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</si>
  <si>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</si>
  <si>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</si>
  <si>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</si>
  <si>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</si>
  <si>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</si>
  <si>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</si>
  <si>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</si>
  <si>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</si>
  <si>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</si>
  <si>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</si>
  <si>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</si>
  <si>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</si>
  <si>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</si>
  <si>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</si>
  <si>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</si>
  <si>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</si>
  <si>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</si>
  <si>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</si>
  <si>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</si>
  <si>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</si>
  <si>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</si>
  <si>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</si>
  <si>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</si>
  <si>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</si>
  <si>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</si>
  <si>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</si>
  <si>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</si>
  <si>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</si>
  <si>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</si>
  <si>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</si>
  <si>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</si>
  <si>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</si>
  <si>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</si>
  <si>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</si>
  <si>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</si>
  <si>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</si>
  <si>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</si>
  <si>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</si>
  <si>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</si>
  <si>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</si>
  <si>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</si>
  <si>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</si>
  <si>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</si>
  <si>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</si>
  <si>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</si>
  <si>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</si>
  <si>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</si>
  <si>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</si>
  <si>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</si>
  <si>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</si>
  <si>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</si>
  <si>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</si>
  <si>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</si>
  <si>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</si>
  <si>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</si>
  <si>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</si>
  <si>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</si>
  <si>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</si>
  <si>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</si>
  <si>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</si>
  <si>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</si>
  <si>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</si>
  <si>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</si>
  <si>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</si>
  <si>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</si>
  <si>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</si>
  <si>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</si>
  <si>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</si>
  <si>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</si>
  <si>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</si>
  <si>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</si>
  <si>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</si>
  <si>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</si>
  <si>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</si>
  <si>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</si>
  <si>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</si>
  <si>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</si>
  <si>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</si>
  <si>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</si>
  <si>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</si>
  <si>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</si>
  <si>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</si>
  <si>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</si>
  <si>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</si>
  <si>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</si>
  <si>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</si>
  <si>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</si>
  <si>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</si>
  <si>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</si>
  <si>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</si>
  <si>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</si>
  <si>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</si>
  <si>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</si>
  <si>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</si>
  <si>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</si>
  <si>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</si>
  <si>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</si>
  <si>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</si>
  <si>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</si>
  <si>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</si>
  <si>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</si>
  <si>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</si>
  <si>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</si>
  <si>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</si>
  <si>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</si>
  <si>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</si>
  <si>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</si>
  <si>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</si>
  <si>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</si>
  <si>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</si>
  <si>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</si>
  <si>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</si>
  <si>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</si>
  <si>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</si>
  <si>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</si>
  <si>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</si>
  <si>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</si>
  <si>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</si>
  <si>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</si>
  <si>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</si>
  <si>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</si>
  <si>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</si>
  <si>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</si>
  <si>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</si>
  <si>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</si>
  <si>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</si>
  <si>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</si>
  <si>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</si>
  <si>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</si>
  <si>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</si>
  <si>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</si>
  <si>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</si>
  <si>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</si>
  <si>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</si>
  <si>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</si>
  <si>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</si>
  <si>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</si>
  <si>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</si>
  <si>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</si>
  <si>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</si>
  <si>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</si>
  <si>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</si>
  <si>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</si>
  <si>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</si>
  <si>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</si>
  <si>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</si>
  <si>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</si>
  <si>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</si>
  <si>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</si>
  <si>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</si>
  <si>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</si>
  <si>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</si>
  <si>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</si>
  <si>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</si>
  <si>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</si>
  <si>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</si>
  <si>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</si>
  <si>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</si>
  <si>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</si>
  <si>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</si>
  <si>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</si>
  <si>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</si>
  <si>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</si>
  <si>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</si>
  <si>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</si>
  <si>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</si>
  <si>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</si>
  <si>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</si>
  <si>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</si>
  <si>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</si>
  <si>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</si>
  <si>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</si>
  <si>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</si>
  <si>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</si>
  <si>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</si>
  <si>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</si>
  <si>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</si>
  <si>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</si>
  <si>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</si>
  <si>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</si>
  <si>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</si>
  <si>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</si>
  <si>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</si>
  <si>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</si>
  <si>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</si>
  <si>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</si>
  <si>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</si>
  <si>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</si>
  <si>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</si>
  <si>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</si>
  <si>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</si>
  <si>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</si>
  <si>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</si>
  <si>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</si>
  <si>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</si>
  <si>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</si>
  <si>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</si>
  <si>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</si>
  <si>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</si>
  <si>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</si>
  <si>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</si>
  <si>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</si>
  <si>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</si>
  <si>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</si>
  <si>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</si>
  <si>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</si>
  <si>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</si>
  <si>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</si>
  <si>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</si>
  <si>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</si>
  <si>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</si>
  <si>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</si>
  <si>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</si>
  <si>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</si>
  <si>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</si>
  <si>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</si>
  <si>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</si>
  <si>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</si>
  <si>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</si>
  <si>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</si>
  <si>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</si>
  <si>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</si>
  <si>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</si>
  <si>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</si>
  <si>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</si>
  <si>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</si>
  <si>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</si>
  <si>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</si>
  <si>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</si>
  <si>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</si>
  <si>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</si>
  <si>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</si>
  <si>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</si>
  <si>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</si>
  <si>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</si>
  <si>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</si>
  <si>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</si>
  <si>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</si>
  <si>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</si>
  <si>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</si>
  <si>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</si>
  <si>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</si>
  <si>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</si>
  <si>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</si>
  <si>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</si>
  <si>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</si>
  <si>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</si>
  <si>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</si>
  <si>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</si>
  <si>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</si>
  <si>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</si>
  <si>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</si>
  <si>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</si>
  <si>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</si>
  <si>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</si>
  <si>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</si>
  <si>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</si>
  <si>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</si>
  <si>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</si>
  <si>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</si>
  <si>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</si>
  <si>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</si>
  <si>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</si>
  <si>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</si>
  <si>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</si>
  <si>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</si>
  <si>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</si>
  <si>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</si>
  <si>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</si>
  <si>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</si>
  <si>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</si>
  <si>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</si>
  <si>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</si>
  <si>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</si>
  <si>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</si>
  <si>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</si>
  <si>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</si>
  <si>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</si>
  <si>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</si>
  <si>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</si>
  <si>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</si>
  <si>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</si>
  <si>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</si>
  <si>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</si>
  <si>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</si>
  <si>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</si>
  <si>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</si>
  <si>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</si>
  <si>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</si>
  <si>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</si>
  <si>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</si>
  <si>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</si>
  <si>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</si>
  <si>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</si>
  <si>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</si>
  <si>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</si>
  <si>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</si>
  <si>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</si>
  <si>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</si>
  <si>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</si>
  <si>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</si>
  <si>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</si>
  <si>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</si>
  <si>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</si>
  <si>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</si>
  <si>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</si>
  <si>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</si>
  <si>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</si>
  <si>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</si>
  <si>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</si>
  <si>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</si>
  <si>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</si>
  <si>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</si>
  <si>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</si>
  <si>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</si>
  <si>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</si>
  <si>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</si>
  <si>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</si>
  <si>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</si>
  <si>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</si>
  <si>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</si>
  <si>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</si>
  <si>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</si>
  <si>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</si>
  <si>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</si>
  <si>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</si>
  <si>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</si>
  <si>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</si>
  <si>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</si>
  <si>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</si>
  <si>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</si>
  <si>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</si>
  <si>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</si>
  <si>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</si>
  <si>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</si>
  <si>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</si>
  <si>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</si>
  <si>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</si>
  <si>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</si>
  <si>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</si>
  <si>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</si>
  <si>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</si>
  <si>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</si>
  <si>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</si>
  <si>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</si>
  <si>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</si>
  <si>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</si>
  <si>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</si>
  <si>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</si>
  <si>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</si>
  <si>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</si>
  <si>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</si>
  <si>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</si>
  <si>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</si>
  <si>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</si>
  <si>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</si>
  <si>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</si>
  <si>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</si>
  <si>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</si>
  <si>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</si>
  <si>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</si>
  <si>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</si>
  <si>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</si>
  <si>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</si>
  <si>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</si>
  <si>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</si>
  <si>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</si>
  <si>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</si>
  <si>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</si>
  <si>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</si>
  <si>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</si>
  <si>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</si>
  <si>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</si>
  <si>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</si>
  <si>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</si>
  <si>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</si>
  <si>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</si>
  <si>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</si>
  <si>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</si>
  <si>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</si>
  <si>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</si>
  <si>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</si>
  <si>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</si>
  <si>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</si>
  <si>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</si>
  <si>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</si>
  <si>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</si>
  <si>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</si>
  <si>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</si>
  <si>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</si>
  <si>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</si>
  <si>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</si>
  <si>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</si>
  <si>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</si>
  <si>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</si>
  <si>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</si>
  <si>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</si>
  <si>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</si>
  <si>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</si>
  <si>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</si>
  <si>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</si>
  <si>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</si>
  <si>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</si>
  <si>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</si>
  <si>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</si>
  <si>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</si>
  <si>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</si>
  <si>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</si>
  <si>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</si>
  <si>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</si>
  <si>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</si>
  <si>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</si>
  <si>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</si>
  <si>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</si>
  <si>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</si>
  <si>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</si>
  <si>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</si>
  <si>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</si>
  <si>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</si>
  <si>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</si>
  <si>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</si>
  <si>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</si>
  <si>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</si>
  <si>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</si>
  <si>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</si>
  <si>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</si>
  <si>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</si>
  <si>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</si>
  <si>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</si>
  <si>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</si>
  <si>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</si>
  <si>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</si>
  <si>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</si>
  <si>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</si>
  <si>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</si>
  <si>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</si>
  <si>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</si>
  <si>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</si>
  <si>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</si>
  <si>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</si>
  <si>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</si>
  <si>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</si>
  <si>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</si>
  <si>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</si>
  <si>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</si>
  <si>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</si>
  <si>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</si>
  <si>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</si>
  <si>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</si>
  <si>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</si>
  <si>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</si>
  <si>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</si>
  <si>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</si>
  <si>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</si>
  <si>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</si>
  <si>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</si>
  <si>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</si>
  <si>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</si>
  <si>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</si>
  <si>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Ver. 09.24.25</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</si>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</sst>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xf numFmtId="172" fontId="6" fillId="0" borderId="0" xfId="3" applyNumberFormat="1" applyFill="1" applyProtection="1">
      <protection locked="0"/>
    </xf>
    <xf numFmtId="164" fontId="6" fillId="0" borderId="0" xfId="3" applyNumberFormat="1" applyFill="1" applyProtection="1">
      <protection locked="0"/>
    </xf>
    <xf numFmtId="14"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3">
    <dxf>
      <numFmt numFmtId="30" formatCode="@"/>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184" formatCode="[$-F400]h:mm:ss\ AM/PM"/>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0" formatCode="General"/>
    </dxf>
    <dxf>
      <numFmt numFmtId="0" formatCode="General"/>
    </dxf>
    <dxf>
      <numFmt numFmtId="0" formatCode="General"/>
    </dxf>
    <dxf>
      <numFmt numFmtId="0" formatCode="General"/>
    </dxf>
    <dxf>
      <numFmt numFmtId="0" formatCode="General"/>
    </dxf>
    <dxf>
      <numFmt numFmtId="2" formatCode="0.0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4" tableType="queryTable" totalsRowShown="0">
  <autoFilter ref="A1:I24" xr:uid="{2F912760-816C-4002-B982-1183C623C4D4}"/>
  <tableColumns count="9">
    <tableColumn id="1" xr3:uid="{4CB1C976-73DA-4579-B7F8-9D891581EA5A}" uniqueName="1" name="asset_id" queryTableFieldId="1" dataDxfId="7"/>
    <tableColumn id="2" xr3:uid="{D07D770F-21F7-425E-8CCA-AA85FFD513A3}" uniqueName="2" name="serial_number" queryTableFieldId="2" dataDxfId="6"/>
    <tableColumn id="3" xr3:uid="{D963BD5C-EE98-4CDD-ABAE-5315BBDA1135}" uniqueName="3" name="asset_tag" queryTableFieldId="3" dataDxfId="5"/>
    <tableColumn id="4" xr3:uid="{44F03B5B-6C09-4D5C-B2E2-D809B4EDF2B0}" uniqueName="4" name="custom_order_number" queryTableFieldId="4" dataDxfId="4"/>
    <tableColumn id="5" xr3:uid="{412A70E1-7452-417E-A3A9-BD3499EBD33C}" uniqueName="5" name="service_date" queryTableFieldId="5" dataDxfId="3"/>
    <tableColumn id="7" xr3:uid="{297A4F29-F6E9-4BD3-A7A2-5F1039480BAE}" uniqueName="7" name="certificate_number" queryTableFieldId="7" dataDxfId="2"/>
    <tableColumn id="6" xr3:uid="{7231074C-78F5-4F41-8E96-7068B6555E6F}" uniqueName="6" name="traceability_number" queryTableFieldId="61"/>
    <tableColumn id="8" xr3:uid="{7C740CB9-37DA-435E-A87E-AF050E31623C}" uniqueName="8" name="wire_roll_cert_number" queryTableFieldId="8" dataDxfId="1"/>
    <tableColumn id="9" xr3:uid="{5B17E9FC-0D68-4EA9-9145-B5DC8FAF5A93}" uniqueName="9" name="type" queryTableFieldId="9"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80"/>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43" tableType="queryTable" totalsRowShown="0">
  <autoFilter ref="A1:C43" xr:uid="{DD841DB9-A242-4050-A7E6-984852778526}"/>
  <tableColumns count="3">
    <tableColumn id="1" xr3:uid="{783036AE-6148-4673-A2B5-A0A0BAA87B07}" uniqueName="1" name="traceability_no" queryTableFieldId="9" dataDxfId="9"/>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82"/>
    <tableColumn id="3" xr3:uid="{5A7694DA-28F6-45C3-AA3A-8F5C42BC36CB}" uniqueName="3" name="login_email" queryTableFieldId="12"/>
    <tableColumn id="4" xr3:uid="{E8A7333A-3221-4D58-96FF-11D069828831}" uniqueName="4" name="IsPyro" queryTableFieldId="13" dataDxfId="181"/>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0">
  <autoFilter ref="A1:C9" xr:uid="{8AF992F3-27EF-4265-960D-70EC6F74FAFA}"/>
  <sortState xmlns:xlrd2="http://schemas.microsoft.com/office/spreadsheetml/2017/richdata2" ref="A2:C9">
    <sortCondition ref="B1:B9"/>
  </sortState>
  <tableColumns count="3">
    <tableColumn id="1" xr3:uid="{1F7D0D09-7152-4679-B25C-65CF0E0AB2D4}" name="Type" dataDxfId="179"/>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8"/>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8">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7">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6"/>
    <tableColumn id="3" xr3:uid="{2724CA85-C781-4E38-A0DA-097BFEEFE8B1}" uniqueName="3" name="Temp" queryTableFieldId="3" dataDxfId="175"/>
    <tableColumn id="6" xr3:uid="{12D5EB84-2052-49F7-A25B-127266D7FB89}" uniqueName="6" name="traceability_no" queryTableFieldId="6" dataDxfId="174"/>
    <tableColumn id="5" xr3:uid="{D8FBA668-C3CE-41DC-B112-B2663A4558F7}" uniqueName="5" name="Offset" queryTableFieldId="5" dataDxfId="173"/>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2"/>
    <tableColumn id="5" xr3:uid="{27363C9A-3D85-416E-8BCC-52B2C8D77A72}" uniqueName="5" name="Uncert Units" queryTableFieldId="5" dataDxfId="171"/>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8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70">
  <autoFilter ref="A3:C8" xr:uid="{5AC13131-9A1C-4C12-B4F9-A393708ED370}"/>
  <tableColumns count="3">
    <tableColumn id="1" xr3:uid="{97181276-3609-45C8-AD82-B2880A7AEDE4}" name="Min" dataDxfId="169"/>
    <tableColumn id="2" xr3:uid="{FCA9B2A8-03BC-4152-9483-74D5E30011E8}" name="Max" dataDxfId="168"/>
    <tableColumn id="3" xr3:uid="{53EFB432-094F-4AB8-B706-DACB84CFAD58}" name="CMC" dataDxfId="167"/>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76"/>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66"/>
    <tableColumn id="43" xr3:uid="{EC576AA5-7F07-4B99-BBD1-C006A3FF4861}" uniqueName="43" name="CalibrationMethod" queryTableFieldId="168" dataDxfId="165"/>
    <tableColumn id="44" xr3:uid="{11784700-CE79-4C3A-B181-67F89C94AC89}" uniqueName="44" name="ToleranceSource" queryTableFieldId="169" dataDxfId="164"/>
    <tableColumn id="45" xr3:uid="{F8D57A3B-9D48-4C00-8E7C-AC29615D88F6}" uniqueName="45" name="Item" queryTableFieldId="170" dataDxfId="163"/>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2"/>
    <tableColumn id="51" xr3:uid="{5B79DBE7-7CAB-41DA-AF62-362ADDE2AED9}" uniqueName="51" name="WorkingZoneSize" queryTableFieldId="176" dataDxfId="161"/>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0"/>
    <tableColumn id="63" xr3:uid="{478884C5-ACFA-42A0-A5A5-3FD7354DF395}" uniqueName="63" name="TestLocation" queryTableFieldId="188" dataDxfId="159"/>
    <tableColumn id="64" xr3:uid="{8742E83A-8953-4A6F-B342-02A544F42A3E}" uniqueName="64" name="OvenLocation" queryTableFieldId="189" dataDxfId="158"/>
    <tableColumn id="65" xr3:uid="{D2C69FD9-EF22-4D46-9BCA-A04DCD92EC4B}" uniqueName="65" name="Condition" queryTableFieldId="190" dataDxfId="157"/>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6"/>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79"/>
    <tableColumn id="2" xr3:uid="{437C4123-EB61-4869-9470-5A1B394BA060}" uniqueName="2" name="Ranges" queryTableFieldId="2" dataDxfId="78"/>
    <tableColumn id="3" xr3:uid="{F2805B69-D38A-4282-80C7-76512A175951}" uniqueName="3" name="Tolerances" queryTableFieldId="3" dataDxfId="77"/>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5"/>
    <tableColumn id="8" xr3:uid="{6A970319-4DB4-4470-AD18-810376DE6248}" uniqueName="8" name="Flags" queryTableFieldId="8" dataDxfId="154"/>
    <tableColumn id="10" xr3:uid="{C036645E-37FD-4D8C-A495-9B7CD74F1924}" uniqueName="10" name="TolMinText" queryTableFieldId="10" dataDxfId="153">
      <calculatedColumnFormula>TEXT(UUTRangeTol[[#This Row],[TolMin]],SUBSTITUTE(UUTRangeTol[[#This Row],[TolResolution]],"1","0"))&amp;UUTRangeTol[[#This Row],[Unit]]</calculatedColumnFormula>
    </tableColumn>
    <tableColumn id="11" xr3:uid="{7185F013-BA2C-4D79-99A0-8DCC297E6118}" uniqueName="11" name="TolMaxText" queryTableFieldId="11" dataDxfId="152">
      <calculatedColumnFormula>TEXT(UUTRangeTol[[#This Row],[TolMax]],SUBSTITUTE(UUTRangeTol[[#This Row],[TolResolution]],"1","0"))&amp;UUTRangeTol[[#This Row],[Unit]]</calculatedColumnFormula>
    </tableColumn>
    <tableColumn id="12" xr3:uid="{EE0701A7-578C-482F-B1ED-DBCB9E95A0C6}" uniqueName="12" name="TolText" queryTableFieldId="12" dataDxfId="15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0">
      <calculatedColumnFormula>UUTRangeTol[[#This Row],[RangeMax]]&amp;UUTRangeTol[[#This Row],[Unit]]</calculatedColumnFormula>
    </tableColumn>
    <tableColumn id="14" xr3:uid="{EF348E52-D936-44CC-A058-66DD7A780488}" uniqueName="14" name="RangeText" queryTableFieldId="14" dataDxfId="14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8"/>
    <tableColumn id="3" xr3:uid="{E88E0260-3227-45C4-8780-42D2D8D460DF}" name="SAT TOL" dataDxfId="14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6" dataDxfId="145" tableBorderDxfId="144">
  <autoFilter ref="AG2:AS3" xr:uid="{B114758F-16E1-4C54-AA0B-E7F64DE85242}"/>
  <tableColumns count="13">
    <tableColumn id="1" xr3:uid="{0D0312AF-C987-4CC8-97F8-A45434AD138A}" name="Time" dataDxfId="143" dataCellStyle="Normal 3"/>
    <tableColumn id="2" xr3:uid="{E5CD88A1-1988-41C9-8D07-30908E60C0B6}" name="29" dataDxfId="142" dataCellStyle="Normal 3"/>
    <tableColumn id="3" xr3:uid="{52334E52-C590-4A01-82BC-CCC9DA2C2817}" name="30" dataDxfId="141" dataCellStyle="Normal 3"/>
    <tableColumn id="4" xr3:uid="{145DAD22-055B-47E2-958D-C0E0B68ECCC8}" name="31" dataDxfId="140" dataCellStyle="Normal 3"/>
    <tableColumn id="5" xr3:uid="{09C3BF4E-C2AE-4497-AAA2-CF5A8A70B030}" name="32" dataDxfId="139" dataCellStyle="Normal 3"/>
    <tableColumn id="6" xr3:uid="{E9F444F5-7F75-4B80-BC2D-E9E92BB7C32D}" name="33" dataDxfId="138" dataCellStyle="Normal 3"/>
    <tableColumn id="7" xr3:uid="{C42F56B6-C38E-41DC-811A-50AF69D04B80}" name="34" dataDxfId="137" dataCellStyle="Normal 3"/>
    <tableColumn id="8" xr3:uid="{1930235F-D2C0-482D-8CC0-6B3AC765E7EA}" name="35" dataDxfId="136" dataCellStyle="Normal 3"/>
    <tableColumn id="9" xr3:uid="{6FCF613B-A86F-4DC6-9CC5-0A1E44E3DFE0}" name="36" dataDxfId="135" dataCellStyle="Normal 3"/>
    <tableColumn id="10" xr3:uid="{19EA3429-FD7E-4BA0-96B7-70F520D9FE0F}" name="37" dataDxfId="134" dataCellStyle="Normal 3"/>
    <tableColumn id="11" xr3:uid="{A5D0DAE1-1017-4DE3-AEA6-1BAF97E0FBDC}" name="38" dataDxfId="133" dataCellStyle="Normal 3"/>
    <tableColumn id="12" xr3:uid="{ABC8E507-1120-436F-9E9F-E3A8852E2E1A}" name="39" dataDxfId="132"/>
    <tableColumn id="13" xr3:uid="{C69AC669-10C2-4E64-9F60-B4AA135FB3DF}" name="40" dataDxfId="131"/>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0" tableBorderDxfId="129">
  <autoFilter ref="Q2:AE3" xr:uid="{6D9D14EA-1966-4240-9028-DABDD72BB7BC}"/>
  <tableColumns count="15">
    <tableColumn id="1" xr3:uid="{F199066A-0899-4173-8784-FC618D5EFA3C}" name="Time" dataDxfId="128" dataCellStyle="Normal 3"/>
    <tableColumn id="2" xr3:uid="{DB040280-BEC7-49AA-A925-A050027B33E3}" name="15" dataDxfId="127" dataCellStyle="Normal 3"/>
    <tableColumn id="3" xr3:uid="{5D74EEBF-1FB4-4DF9-8EDD-C656F929ADA2}" name="16" dataDxfId="126" dataCellStyle="Normal 3"/>
    <tableColumn id="4" xr3:uid="{B1176DF8-22B4-4741-A534-22D0C72EF1F0}" name="17" dataDxfId="125" dataCellStyle="Normal 3"/>
    <tableColumn id="5" xr3:uid="{1E29EA65-5182-4B3E-817F-0D30B2884EC7}" name="18" dataDxfId="124" dataCellStyle="Normal 3"/>
    <tableColumn id="6" xr3:uid="{AF53AEFB-F310-4F08-91BC-82FB0F484ECA}" name="19" dataDxfId="123" dataCellStyle="Normal 3"/>
    <tableColumn id="7" xr3:uid="{EE472F61-D1B5-43CF-A661-FA1D47001C17}" name="20" dataDxfId="122" dataCellStyle="Normal 3"/>
    <tableColumn id="8" xr3:uid="{841D54C1-AB74-4CB1-8C7F-C38D11EFAD3F}" name="21" dataDxfId="121" dataCellStyle="Normal 3"/>
    <tableColumn id="9" xr3:uid="{F1FB485B-DEAA-4958-8C40-80934EA1437F}" name="22" dataDxfId="120" dataCellStyle="Normal 3"/>
    <tableColumn id="10" xr3:uid="{5C552A76-BD54-46C5-93AD-8F25289FA051}" name="23" dataDxfId="119" dataCellStyle="Normal 3"/>
    <tableColumn id="11" xr3:uid="{B20FA5F1-0522-49D0-9B5A-34570A8AE6EA}" name="24" dataDxfId="118" dataCellStyle="Normal 3"/>
    <tableColumn id="12" xr3:uid="{0BC87A98-B9AC-4CD6-9F9B-D04190073E2A}" name="25" dataDxfId="117"/>
    <tableColumn id="13" xr3:uid="{D62EA80B-BBE3-4A29-89AB-EE04C6E03547}" name="26" dataDxfId="116"/>
    <tableColumn id="14" xr3:uid="{6D7DE537-763F-40F1-AC16-33F228CBC8D1}" name="27" dataDxfId="115"/>
    <tableColumn id="15" xr3:uid="{F8FA9620-DB21-4BAE-8D97-FF38B70679C9}" name="28" dataDxfId="114"/>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3" dataDxfId="112" tableBorderDxfId="111">
  <autoFilter ref="A2:O3" xr:uid="{73A9D9BA-FF58-4A3F-98F7-9A835492E25D}"/>
  <tableColumns count="15">
    <tableColumn id="1" xr3:uid="{73B888B4-4146-4E26-9B39-0FC537A113C8}" name="Time" dataDxfId="110" dataCellStyle="Normal 3"/>
    <tableColumn id="2" xr3:uid="{6F1EF879-7C87-4A56-A394-30C6E5BDB32A}" name="1" dataDxfId="109" dataCellStyle="Normal 3"/>
    <tableColumn id="3" xr3:uid="{B2FA8A6A-D50A-41E8-942A-379C757B6A2B}" name="2" dataDxfId="108" dataCellStyle="Normal 3"/>
    <tableColumn id="4" xr3:uid="{F92FE975-D84B-4B73-B49D-3B746FAA3D21}" name="3" dataDxfId="107" dataCellStyle="Normal 3"/>
    <tableColumn id="5" xr3:uid="{7820E0E9-F621-4361-A572-234B3CB7F864}" name="4" dataDxfId="106" dataCellStyle="Normal 3"/>
    <tableColumn id="6" xr3:uid="{A46C0BCA-2139-4CD3-B02F-C4D3F8E65309}" name="5" dataDxfId="105" dataCellStyle="Normal 3"/>
    <tableColumn id="7" xr3:uid="{334BDF50-1D79-41BC-BA09-7B69018332AE}" name="6" dataDxfId="104" dataCellStyle="Normal 3"/>
    <tableColumn id="8" xr3:uid="{6C11BC6A-3E21-4CDE-9CD4-C8EBCF50B6DB}" name="7" dataDxfId="103" dataCellStyle="Normal 3"/>
    <tableColumn id="9" xr3:uid="{1EEEA607-5177-4C19-A1BC-B12D19FF055B}" name="8" dataDxfId="102" dataCellStyle="Normal 3"/>
    <tableColumn id="10" xr3:uid="{ACF909CE-C221-4157-9298-18F2C140C147}" name="9" dataDxfId="101" dataCellStyle="Normal 3"/>
    <tableColumn id="11" xr3:uid="{182688D3-AD0D-4518-A7FE-0C281ABCDF76}" name="10" dataDxfId="100" dataCellStyle="Normal 3"/>
    <tableColumn id="12" xr3:uid="{54AFFA30-00C2-440A-92A2-139F62F751BE}" name="11" dataDxfId="99"/>
    <tableColumn id="13" xr3:uid="{DCF0B43C-F320-4031-91C6-8514285AF6CA}" name="12" dataDxfId="98"/>
    <tableColumn id="14" xr3:uid="{53A56FC8-0536-4D94-A335-FFCBCBEAF45E}" name="13" dataDxfId="97"/>
    <tableColumn id="15" xr3:uid="{F49FEB6E-05C2-4E90-A6CE-A0C9C694642A}" name="14" dataDxfId="9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5" tableType="queryTable" totalsRowShown="0" headerRowDxfId="95" dataDxfId="94">
  <autoFilter ref="A1:O1675" xr:uid="{7FFB3A25-33B3-41D4-A4EC-161ECACD71F3}"/>
  <tableColumns count="15">
    <tableColumn id="1" xr3:uid="{11D744F1-EDFB-47DE-B384-CF9869615081}" uniqueName="1" name="company_name" queryTableFieldId="80"/>
    <tableColumn id="2" xr3:uid="{39B8308C-AB2D-4935-AB6D-60659663F9DB}" uniqueName="2" name="Address1" queryTableFieldId="81" dataDxfId="93"/>
    <tableColumn id="3" xr3:uid="{5F5E8FED-27C7-498A-86F2-8DE1BF0A773A}" uniqueName="3" name="Address2" queryTableFieldId="82" dataDxfId="9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1"/>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90" dataDxfId="89">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81"/>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8"/>
    <tableColumn id="3" xr3:uid="{A4F2902A-51C9-47F2-ABB5-33476BF6B798}" uniqueName="3" name="login_email" queryTableFieldId="5"/>
    <tableColumn id="4" xr3:uid="{93F361AC-D356-4A7B-A6F2-34FB0F71E2F6}" uniqueName="4" name="IsPyro" queryTableFieldId="7" dataDxfId="87"/>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6" dataDxfId="85" headerRowCellStyle="Normal 2" dataCellStyle="Normal 2">
  <autoFilter ref="U11:V25" xr:uid="{DCCFF26E-EC5C-4962-98DB-A7DA1F3C8CE2}"/>
  <tableColumns count="2">
    <tableColumn id="1" xr3:uid="{DFC40837-B092-4826-9847-4A23BE22020F}" name="4" dataDxfId="84" dataCellStyle="Normal 2"/>
    <tableColumn id="2" xr3:uid="{0711DB07-19DA-4D5E-A417-C242A0304453}" name="10" dataDxfId="8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4"/>
  <sheetViews>
    <sheetView workbookViewId="0">
      <selection sqref="A1:I2"/>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s="669"/>
      <c r="B2" s="669"/>
      <c r="C2" s="669"/>
      <c r="D2" s="669"/>
      <c r="E2" s="672"/>
      <c r="F2" s="669"/>
      <c r="H2" s="669"/>
      <c r="I2" s="75"/>
    </row>
    <row r="3" spans="1:9" x14ac:dyDescent="0.2">
      <c r="A3" s="669"/>
      <c r="B3" s="669"/>
      <c r="C3" s="669"/>
      <c r="D3" s="669"/>
      <c r="E3" s="672"/>
      <c r="F3" s="669"/>
      <c r="G3"/>
      <c r="H3" s="669"/>
      <c r="I3" s="75"/>
    </row>
    <row r="4" spans="1:9" x14ac:dyDescent="0.2">
      <c r="A4" s="669"/>
      <c r="B4" s="669"/>
      <c r="C4" s="669"/>
      <c r="D4" s="669"/>
      <c r="E4" s="672"/>
      <c r="F4" s="669"/>
      <c r="G4"/>
      <c r="H4" s="669"/>
      <c r="I4" s="75"/>
    </row>
    <row r="5" spans="1:9" x14ac:dyDescent="0.2">
      <c r="A5" s="669"/>
      <c r="B5" s="669"/>
      <c r="C5" s="669"/>
      <c r="D5" s="669"/>
      <c r="E5" s="672"/>
      <c r="F5" s="669"/>
      <c r="G5"/>
      <c r="H5" s="669"/>
      <c r="I5" s="75"/>
    </row>
    <row r="6" spans="1:9" x14ac:dyDescent="0.2">
      <c r="A6" s="669"/>
      <c r="B6" s="669"/>
      <c r="C6" s="669"/>
      <c r="D6" s="669"/>
      <c r="E6" s="672"/>
      <c r="F6" s="669"/>
      <c r="G6"/>
      <c r="H6" s="669"/>
      <c r="I6" s="75"/>
    </row>
    <row r="7" spans="1:9" x14ac:dyDescent="0.2">
      <c r="A7" s="669"/>
      <c r="B7" s="669"/>
      <c r="C7" s="669"/>
      <c r="D7" s="669"/>
      <c r="E7" s="672"/>
      <c r="F7" s="669"/>
      <c r="G7"/>
      <c r="H7" s="669"/>
      <c r="I7" s="75"/>
    </row>
    <row r="8" spans="1:9" x14ac:dyDescent="0.2">
      <c r="A8" s="669"/>
      <c r="B8" s="669"/>
      <c r="C8" s="669"/>
      <c r="D8" s="669"/>
      <c r="E8" s="672"/>
      <c r="F8" s="669"/>
      <c r="G8"/>
      <c r="H8" s="669"/>
      <c r="I8" s="75"/>
    </row>
    <row r="9" spans="1:9" x14ac:dyDescent="0.2">
      <c r="A9" s="669"/>
      <c r="B9" s="669"/>
      <c r="C9" s="669"/>
      <c r="D9" s="669"/>
      <c r="E9" s="672"/>
      <c r="F9" s="669"/>
      <c r="G9"/>
      <c r="H9" s="669"/>
      <c r="I9" s="75"/>
    </row>
    <row r="10" spans="1:9" x14ac:dyDescent="0.2">
      <c r="A10" s="669"/>
      <c r="B10" s="669"/>
      <c r="C10" s="669"/>
      <c r="D10" s="669"/>
      <c r="E10" s="672"/>
      <c r="F10" s="669"/>
      <c r="G10"/>
      <c r="H10" s="669"/>
      <c r="I10" s="75"/>
    </row>
    <row r="11" spans="1:9" x14ac:dyDescent="0.2">
      <c r="A11" s="669"/>
      <c r="B11" s="669"/>
      <c r="C11" s="669"/>
      <c r="D11" s="669"/>
      <c r="E11" s="672"/>
      <c r="F11" s="669"/>
      <c r="G11"/>
      <c r="H11" s="669"/>
      <c r="I11" s="75"/>
    </row>
    <row r="12" spans="1:9" x14ac:dyDescent="0.2">
      <c r="A12" s="669"/>
      <c r="B12" s="669"/>
      <c r="C12" s="669"/>
      <c r="D12" s="669"/>
      <c r="E12" s="672"/>
      <c r="F12" s="669"/>
      <c r="G12"/>
      <c r="H12" s="669"/>
      <c r="I12" s="75"/>
    </row>
    <row r="13" spans="1:9" x14ac:dyDescent="0.2">
      <c r="A13" s="669"/>
      <c r="B13" s="669"/>
      <c r="C13" s="669"/>
      <c r="D13" s="669"/>
      <c r="E13" s="672"/>
      <c r="F13" s="669"/>
      <c r="G13"/>
      <c r="H13" s="669"/>
      <c r="I13" s="75"/>
    </row>
    <row r="14" spans="1:9" x14ac:dyDescent="0.2">
      <c r="A14" s="669"/>
      <c r="B14" s="669"/>
      <c r="C14" s="669"/>
      <c r="D14" s="669"/>
      <c r="E14" s="672"/>
      <c r="F14" s="669"/>
      <c r="G14"/>
      <c r="H14" s="669"/>
      <c r="I14" s="75"/>
    </row>
    <row r="15" spans="1:9" x14ac:dyDescent="0.2">
      <c r="A15" s="669"/>
      <c r="B15" s="669"/>
      <c r="C15" s="669"/>
      <c r="D15" s="669"/>
      <c r="E15" s="672"/>
      <c r="F15" s="669"/>
      <c r="G15"/>
      <c r="H15" s="669"/>
      <c r="I15" s="75"/>
    </row>
    <row r="16" spans="1:9" x14ac:dyDescent="0.2">
      <c r="A16" s="669"/>
      <c r="B16" s="669"/>
      <c r="C16" s="669"/>
      <c r="D16" s="669"/>
      <c r="E16" s="672"/>
      <c r="F16" s="669"/>
      <c r="G16"/>
      <c r="H16" s="669"/>
      <c r="I16" s="75"/>
    </row>
    <row r="17" spans="1:9" x14ac:dyDescent="0.2">
      <c r="A17" s="669"/>
      <c r="B17" s="669"/>
      <c r="C17" s="669"/>
      <c r="D17" s="669"/>
      <c r="E17" s="672"/>
      <c r="F17" s="669"/>
      <c r="G17"/>
      <c r="H17" s="669"/>
      <c r="I17" s="75"/>
    </row>
    <row r="18" spans="1:9" x14ac:dyDescent="0.2">
      <c r="A18" s="669"/>
      <c r="B18" s="669"/>
      <c r="C18" s="669"/>
      <c r="D18" s="669"/>
      <c r="E18" s="672"/>
      <c r="F18" s="669"/>
      <c r="H18" s="669"/>
      <c r="I18" s="75"/>
    </row>
    <row r="19" spans="1:9" x14ac:dyDescent="0.2">
      <c r="A19" s="669"/>
      <c r="B19" s="669"/>
      <c r="C19" s="669"/>
      <c r="D19" s="669"/>
      <c r="E19" s="672"/>
      <c r="F19" s="669"/>
      <c r="G19"/>
      <c r="H19" s="669"/>
      <c r="I19" s="75"/>
    </row>
    <row r="20" spans="1:9" x14ac:dyDescent="0.2">
      <c r="A20" s="669"/>
      <c r="B20" s="669"/>
      <c r="C20" s="669"/>
      <c r="D20" s="669"/>
      <c r="E20" s="672"/>
      <c r="F20" s="669"/>
      <c r="G20"/>
      <c r="H20" s="669"/>
      <c r="I20" s="75"/>
    </row>
    <row r="21" spans="1:9" x14ac:dyDescent="0.2">
      <c r="A21" s="669"/>
      <c r="B21" s="669"/>
      <c r="C21" s="669"/>
      <c r="D21" s="669"/>
      <c r="E21" s="672"/>
      <c r="F21" s="669"/>
      <c r="G21"/>
      <c r="H21" s="669"/>
      <c r="I21" s="75"/>
    </row>
    <row r="22" spans="1:9" x14ac:dyDescent="0.2">
      <c r="A22" s="669"/>
      <c r="B22" s="669"/>
      <c r="C22" s="669"/>
      <c r="D22" s="669"/>
      <c r="E22" s="672"/>
      <c r="F22" s="669"/>
      <c r="G22"/>
      <c r="H22" s="669"/>
      <c r="I22" s="75"/>
    </row>
    <row r="23" spans="1:9" x14ac:dyDescent="0.2">
      <c r="A23" s="669"/>
      <c r="B23" s="669"/>
      <c r="C23" s="669"/>
      <c r="D23" s="669"/>
      <c r="E23" s="672"/>
      <c r="F23" s="669"/>
      <c r="G23"/>
      <c r="H23" s="669"/>
      <c r="I23" s="75"/>
    </row>
    <row r="24" spans="1:9" x14ac:dyDescent="0.2">
      <c r="A24" s="669"/>
      <c r="B24" s="669"/>
      <c r="C24" s="669"/>
      <c r="D24" s="669"/>
      <c r="E24" s="672"/>
      <c r="F24" s="669"/>
      <c r="G24"/>
      <c r="H24" s="669"/>
      <c r="I24" s="75"/>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899</v>
      </c>
      <c r="E1" s="36" t="s">
        <v>900</v>
      </c>
    </row>
    <row r="2" spans="1:5" x14ac:dyDescent="0.2">
      <c r="A2" s="669"/>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43"/>
  <sheetViews>
    <sheetView workbookViewId="0">
      <selection activeCell="E27" sqref="E27"/>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3" x14ac:dyDescent="0.2">
      <c r="A1"/>
      <c r="B1"/>
      <c r="C1"/>
    </row>
    <row r="2" spans="1:3" x14ac:dyDescent="0.2">
      <c r="A2" s="669"/>
      <c r="B2"/>
      <c r="C2"/>
    </row>
    <row r="3" spans="1:3" x14ac:dyDescent="0.2">
      <c r="A3" s="669"/>
      <c r="B3"/>
      <c r="C3"/>
    </row>
    <row r="4" spans="1:3" x14ac:dyDescent="0.2">
      <c r="A4" s="669"/>
      <c r="B4"/>
      <c r="C4"/>
    </row>
    <row r="5" spans="1:3" x14ac:dyDescent="0.2">
      <c r="A5" s="669"/>
      <c r="B5"/>
      <c r="C5"/>
    </row>
    <row r="6" spans="1:3" x14ac:dyDescent="0.2">
      <c r="A6" s="669"/>
      <c r="B6"/>
      <c r="C6"/>
    </row>
    <row r="7" spans="1:3" x14ac:dyDescent="0.2">
      <c r="A7" s="669"/>
      <c r="B7"/>
      <c r="C7"/>
    </row>
    <row r="8" spans="1:3" x14ac:dyDescent="0.2">
      <c r="A8" s="669"/>
      <c r="B8"/>
      <c r="C8"/>
    </row>
    <row r="9" spans="1:3" x14ac:dyDescent="0.2">
      <c r="A9" s="669"/>
      <c r="B9"/>
      <c r="C9"/>
    </row>
    <row r="10" spans="1:3" x14ac:dyDescent="0.2">
      <c r="A10" s="669"/>
      <c r="B10"/>
      <c r="C10"/>
    </row>
    <row r="11" spans="1:3" x14ac:dyDescent="0.2">
      <c r="A11" s="669"/>
      <c r="B11"/>
      <c r="C11"/>
    </row>
    <row r="12" spans="1:3" x14ac:dyDescent="0.2">
      <c r="A12" s="669"/>
      <c r="B12"/>
      <c r="C12"/>
    </row>
    <row r="13" spans="1:3" x14ac:dyDescent="0.2">
      <c r="A13" s="669"/>
      <c r="B13"/>
      <c r="C13"/>
    </row>
    <row r="14" spans="1:3" x14ac:dyDescent="0.2">
      <c r="A14" s="669"/>
      <c r="B14"/>
      <c r="C14"/>
    </row>
    <row r="15" spans="1:3" x14ac:dyDescent="0.2">
      <c r="A15" s="669"/>
      <c r="B15"/>
      <c r="C15"/>
    </row>
    <row r="16" spans="1:3" x14ac:dyDescent="0.2">
      <c r="A16" s="669"/>
      <c r="B16"/>
      <c r="C16"/>
    </row>
    <row r="17" spans="1:3" x14ac:dyDescent="0.2">
      <c r="A17" s="669"/>
      <c r="B17"/>
      <c r="C17"/>
    </row>
    <row r="18" spans="1:3" x14ac:dyDescent="0.2">
      <c r="A18" s="669"/>
      <c r="B18"/>
      <c r="C18"/>
    </row>
    <row r="19" spans="1:3" x14ac:dyDescent="0.2">
      <c r="A19" s="669"/>
      <c r="B19"/>
      <c r="C19"/>
    </row>
    <row r="20" spans="1:3" x14ac:dyDescent="0.2">
      <c r="A20" s="669"/>
      <c r="B20"/>
      <c r="C20"/>
    </row>
    <row r="21" spans="1:3" x14ac:dyDescent="0.2">
      <c r="A21" s="669"/>
      <c r="B21"/>
      <c r="C21"/>
    </row>
    <row r="22" spans="1:3" x14ac:dyDescent="0.2">
      <c r="A22" s="669"/>
      <c r="B22"/>
      <c r="C22"/>
    </row>
    <row r="23" spans="1:3" x14ac:dyDescent="0.2">
      <c r="A23" s="669"/>
      <c r="B23"/>
      <c r="C23"/>
    </row>
    <row r="24" spans="1:3" x14ac:dyDescent="0.2">
      <c r="A24" s="669"/>
      <c r="B24"/>
      <c r="C24"/>
    </row>
    <row r="25" spans="1:3" x14ac:dyDescent="0.2">
      <c r="A25" s="669"/>
      <c r="B25"/>
      <c r="C25"/>
    </row>
    <row r="26" spans="1:3" x14ac:dyDescent="0.2">
      <c r="A26" s="669"/>
      <c r="B26"/>
      <c r="C26"/>
    </row>
    <row r="27" spans="1:3" x14ac:dyDescent="0.2">
      <c r="A27" s="669"/>
      <c r="B27"/>
      <c r="C27"/>
    </row>
    <row r="28" spans="1:3" x14ac:dyDescent="0.2">
      <c r="A28" s="669"/>
      <c r="B28"/>
      <c r="C28"/>
    </row>
    <row r="29" spans="1:3" x14ac:dyDescent="0.2">
      <c r="A29" s="669"/>
      <c r="B29"/>
      <c r="C29"/>
    </row>
    <row r="30" spans="1:3" x14ac:dyDescent="0.2">
      <c r="A30" s="669"/>
      <c r="B30"/>
      <c r="C30"/>
    </row>
    <row r="31" spans="1:3" x14ac:dyDescent="0.2">
      <c r="A31" s="669"/>
      <c r="B31"/>
      <c r="C31"/>
    </row>
    <row r="32" spans="1:3" x14ac:dyDescent="0.2">
      <c r="A32" s="669"/>
      <c r="B32"/>
      <c r="C32"/>
    </row>
    <row r="33" spans="1:3" x14ac:dyDescent="0.2">
      <c r="A33" s="669"/>
      <c r="B33"/>
      <c r="C33"/>
    </row>
    <row r="34" spans="1:3" x14ac:dyDescent="0.2">
      <c r="A34" s="669"/>
      <c r="B34"/>
      <c r="C34"/>
    </row>
    <row r="35" spans="1:3" x14ac:dyDescent="0.2">
      <c r="A35" s="669"/>
      <c r="B35"/>
      <c r="C35"/>
    </row>
    <row r="36" spans="1:3" x14ac:dyDescent="0.2">
      <c r="A36" s="669"/>
      <c r="B36"/>
      <c r="C36"/>
    </row>
    <row r="37" spans="1:3" x14ac:dyDescent="0.2">
      <c r="A37" s="669"/>
      <c r="B37"/>
      <c r="C37"/>
    </row>
    <row r="38" spans="1:3" x14ac:dyDescent="0.2">
      <c r="A38" s="669"/>
      <c r="B38"/>
      <c r="C38"/>
    </row>
    <row r="39" spans="1:3" x14ac:dyDescent="0.2">
      <c r="A39" s="669"/>
      <c r="B39"/>
      <c r="C39"/>
    </row>
    <row r="40" spans="1:3" x14ac:dyDescent="0.2">
      <c r="A40" s="669"/>
      <c r="B40"/>
      <c r="C40"/>
    </row>
    <row r="41" spans="1:3" x14ac:dyDescent="0.2">
      <c r="A41" s="669"/>
      <c r="B41"/>
      <c r="C41"/>
    </row>
    <row r="42" spans="1:3" x14ac:dyDescent="0.2">
      <c r="A42" s="669"/>
      <c r="B42"/>
      <c r="C42"/>
    </row>
    <row r="43" spans="1:3" x14ac:dyDescent="0.2">
      <c r="A43" s="669"/>
      <c r="B43"/>
      <c r="C43"/>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397</v>
      </c>
      <c r="B1" t="s">
        <v>538</v>
      </c>
      <c r="C1" t="s">
        <v>539</v>
      </c>
      <c r="D1" t="s">
        <v>540</v>
      </c>
      <c r="E1" t="s">
        <v>541</v>
      </c>
      <c r="F1" t="s">
        <v>536</v>
      </c>
      <c r="G1" t="s">
        <v>526</v>
      </c>
      <c r="H1" t="s">
        <v>507</v>
      </c>
      <c r="I1" t="s">
        <v>527</v>
      </c>
      <c r="J1" t="s">
        <v>512</v>
      </c>
      <c r="K1" t="s">
        <v>513</v>
      </c>
      <c r="L1" t="s">
        <v>514</v>
      </c>
      <c r="M1" t="s">
        <v>528</v>
      </c>
      <c r="N1" t="s">
        <v>395</v>
      </c>
      <c r="O1" t="s">
        <v>396</v>
      </c>
      <c r="P1" t="s">
        <v>398</v>
      </c>
      <c r="Q1" t="s">
        <v>516</v>
      </c>
      <c r="R1" t="s">
        <v>517</v>
      </c>
      <c r="S1" t="s">
        <v>518</v>
      </c>
      <c r="T1" t="s">
        <v>515</v>
      </c>
      <c r="U1" t="s">
        <v>529</v>
      </c>
      <c r="V1" t="s">
        <v>530</v>
      </c>
      <c r="W1" t="s">
        <v>519</v>
      </c>
      <c r="X1" t="s">
        <v>520</v>
      </c>
      <c r="Y1" t="s">
        <v>521</v>
      </c>
      <c r="Z1" t="s">
        <v>508</v>
      </c>
      <c r="AA1" t="s">
        <v>509</v>
      </c>
      <c r="AB1" t="s">
        <v>510</v>
      </c>
      <c r="AC1" t="s">
        <v>511</v>
      </c>
      <c r="AD1" t="s">
        <v>399</v>
      </c>
      <c r="AE1" t="s">
        <v>400</v>
      </c>
      <c r="AF1" t="s">
        <v>524</v>
      </c>
      <c r="AG1" t="s">
        <v>525</v>
      </c>
      <c r="AH1" t="s">
        <v>522</v>
      </c>
      <c r="AI1" t="s">
        <v>523</v>
      </c>
      <c r="AJ1" t="s">
        <v>537</v>
      </c>
      <c r="AK1" t="s">
        <v>542</v>
      </c>
      <c r="AL1" t="s">
        <v>543</v>
      </c>
    </row>
    <row r="2" spans="1:38" x14ac:dyDescent="0.2">
      <c r="A2">
        <v>1235344</v>
      </c>
      <c r="B2">
        <v>6864835</v>
      </c>
      <c r="C2">
        <v>7653243</v>
      </c>
      <c r="E2" t="b">
        <v>0</v>
      </c>
      <c r="G2" t="s">
        <v>566</v>
      </c>
      <c r="I2" t="s">
        <v>567</v>
      </c>
      <c r="J2" t="s">
        <v>531</v>
      </c>
      <c r="K2" t="s">
        <v>531</v>
      </c>
      <c r="L2" t="s">
        <v>531</v>
      </c>
      <c r="M2" t="s">
        <v>568</v>
      </c>
      <c r="N2" t="s">
        <v>401</v>
      </c>
      <c r="O2" t="s">
        <v>324</v>
      </c>
      <c r="P2" t="s">
        <v>115</v>
      </c>
      <c r="V2" t="s">
        <v>569</v>
      </c>
      <c r="Y2" t="s">
        <v>570</v>
      </c>
      <c r="AD2" t="s">
        <v>323</v>
      </c>
      <c r="AE2" t="s">
        <v>402</v>
      </c>
      <c r="AJ2" t="s">
        <v>571</v>
      </c>
      <c r="AK2" t="s">
        <v>572</v>
      </c>
      <c r="AL2" t="s">
        <v>573</v>
      </c>
    </row>
    <row r="3" spans="1:38" x14ac:dyDescent="0.2">
      <c r="A3">
        <v>1235555</v>
      </c>
      <c r="B3">
        <v>8036587</v>
      </c>
      <c r="C3">
        <v>7589603</v>
      </c>
      <c r="E3" t="b">
        <v>0</v>
      </c>
      <c r="F3">
        <v>72040</v>
      </c>
      <c r="G3" t="s">
        <v>574</v>
      </c>
      <c r="H3">
        <v>1</v>
      </c>
      <c r="I3" t="s">
        <v>575</v>
      </c>
      <c r="J3" t="s">
        <v>532</v>
      </c>
      <c r="K3" t="s">
        <v>531</v>
      </c>
      <c r="L3" t="s">
        <v>533</v>
      </c>
      <c r="M3" t="s">
        <v>576</v>
      </c>
      <c r="N3" t="s">
        <v>445</v>
      </c>
      <c r="O3" t="s">
        <v>218</v>
      </c>
      <c r="P3" t="s">
        <v>423</v>
      </c>
      <c r="S3" t="s">
        <v>577</v>
      </c>
      <c r="U3" t="s">
        <v>578</v>
      </c>
      <c r="V3" t="s">
        <v>579</v>
      </c>
      <c r="W3" t="s">
        <v>440</v>
      </c>
      <c r="X3" t="s">
        <v>534</v>
      </c>
      <c r="Y3" t="s">
        <v>580</v>
      </c>
      <c r="Z3" t="s">
        <v>546</v>
      </c>
      <c r="AB3" t="s">
        <v>572</v>
      </c>
      <c r="AD3" t="s">
        <v>535</v>
      </c>
      <c r="AE3" t="s">
        <v>535</v>
      </c>
      <c r="AF3">
        <v>0</v>
      </c>
      <c r="AG3">
        <v>0</v>
      </c>
      <c r="AH3">
        <v>46</v>
      </c>
      <c r="AI3">
        <v>0</v>
      </c>
      <c r="AJ3" t="s">
        <v>548</v>
      </c>
      <c r="AK3" t="s">
        <v>572</v>
      </c>
      <c r="AL3" t="s">
        <v>581</v>
      </c>
    </row>
    <row r="4" spans="1:38" x14ac:dyDescent="0.2">
      <c r="A4">
        <v>1235388</v>
      </c>
      <c r="B4">
        <v>7537859</v>
      </c>
      <c r="C4">
        <v>187510</v>
      </c>
      <c r="E4" t="b">
        <v>0</v>
      </c>
      <c r="F4">
        <v>62285</v>
      </c>
      <c r="G4" t="s">
        <v>582</v>
      </c>
      <c r="H4">
        <v>1</v>
      </c>
      <c r="I4" t="s">
        <v>583</v>
      </c>
      <c r="J4" t="s">
        <v>532</v>
      </c>
      <c r="K4" t="s">
        <v>531</v>
      </c>
      <c r="L4" t="s">
        <v>533</v>
      </c>
      <c r="M4" t="s">
        <v>584</v>
      </c>
      <c r="N4" t="s">
        <v>405</v>
      </c>
      <c r="O4" t="s">
        <v>226</v>
      </c>
      <c r="P4" t="s">
        <v>406</v>
      </c>
      <c r="S4" t="s">
        <v>585</v>
      </c>
      <c r="U4" t="s">
        <v>586</v>
      </c>
      <c r="V4" t="s">
        <v>587</v>
      </c>
      <c r="W4" t="s">
        <v>588</v>
      </c>
      <c r="X4" t="s">
        <v>534</v>
      </c>
      <c r="Y4" t="s">
        <v>580</v>
      </c>
      <c r="Z4" t="s">
        <v>546</v>
      </c>
      <c r="AA4" t="s">
        <v>22</v>
      </c>
      <c r="AB4" t="s">
        <v>589</v>
      </c>
      <c r="AD4" t="s">
        <v>225</v>
      </c>
      <c r="AE4" t="s">
        <v>407</v>
      </c>
      <c r="AF4">
        <v>0</v>
      </c>
      <c r="AG4">
        <v>0</v>
      </c>
      <c r="AH4">
        <v>70</v>
      </c>
      <c r="AI4">
        <v>0</v>
      </c>
      <c r="AJ4" t="s">
        <v>548</v>
      </c>
      <c r="AK4" t="s">
        <v>589</v>
      </c>
      <c r="AL4" t="s">
        <v>549</v>
      </c>
    </row>
    <row r="5" spans="1:38" x14ac:dyDescent="0.2">
      <c r="A5">
        <v>1235682</v>
      </c>
      <c r="B5">
        <v>7943647</v>
      </c>
      <c r="C5">
        <v>187508</v>
      </c>
      <c r="E5" t="b">
        <v>0</v>
      </c>
      <c r="F5">
        <v>69999</v>
      </c>
      <c r="G5" t="s">
        <v>590</v>
      </c>
      <c r="H5">
        <v>1</v>
      </c>
      <c r="I5" t="s">
        <v>591</v>
      </c>
      <c r="J5" t="s">
        <v>532</v>
      </c>
      <c r="K5" t="s">
        <v>533</v>
      </c>
      <c r="L5" t="s">
        <v>533</v>
      </c>
      <c r="M5" t="s">
        <v>592</v>
      </c>
      <c r="N5" t="s">
        <v>474</v>
      </c>
      <c r="O5" t="s">
        <v>47</v>
      </c>
      <c r="S5" t="s">
        <v>544</v>
      </c>
      <c r="U5" t="s">
        <v>593</v>
      </c>
      <c r="V5" t="s">
        <v>594</v>
      </c>
      <c r="W5" t="s">
        <v>440</v>
      </c>
      <c r="X5" t="s">
        <v>534</v>
      </c>
      <c r="Y5" t="s">
        <v>545</v>
      </c>
      <c r="Z5" t="s">
        <v>546</v>
      </c>
      <c r="AA5" t="s">
        <v>22</v>
      </c>
      <c r="AB5" t="s">
        <v>547</v>
      </c>
      <c r="AD5" t="s">
        <v>475</v>
      </c>
      <c r="AE5" t="s">
        <v>420</v>
      </c>
      <c r="AF5">
        <v>0</v>
      </c>
      <c r="AG5">
        <v>0</v>
      </c>
      <c r="AH5">
        <v>392.75</v>
      </c>
      <c r="AI5">
        <v>0</v>
      </c>
      <c r="AJ5" t="s">
        <v>548</v>
      </c>
      <c r="AK5" t="s">
        <v>547</v>
      </c>
      <c r="AL5" t="s">
        <v>549</v>
      </c>
    </row>
    <row r="6" spans="1:38" x14ac:dyDescent="0.2">
      <c r="A6">
        <v>1235426</v>
      </c>
      <c r="B6">
        <v>8035840</v>
      </c>
      <c r="C6">
        <v>187508</v>
      </c>
      <c r="E6" t="b">
        <v>0</v>
      </c>
      <c r="F6">
        <v>72024</v>
      </c>
      <c r="G6" t="s">
        <v>553</v>
      </c>
      <c r="H6">
        <v>1</v>
      </c>
      <c r="I6" t="s">
        <v>554</v>
      </c>
      <c r="J6" t="s">
        <v>532</v>
      </c>
      <c r="K6" t="s">
        <v>533</v>
      </c>
      <c r="L6" t="s">
        <v>533</v>
      </c>
      <c r="M6" t="s">
        <v>595</v>
      </c>
      <c r="N6" t="s">
        <v>418</v>
      </c>
      <c r="O6" t="s">
        <v>54</v>
      </c>
      <c r="S6" t="s">
        <v>544</v>
      </c>
      <c r="U6" t="s">
        <v>596</v>
      </c>
      <c r="V6" t="s">
        <v>597</v>
      </c>
      <c r="W6" t="s">
        <v>440</v>
      </c>
      <c r="X6" t="s">
        <v>534</v>
      </c>
      <c r="Y6" t="s">
        <v>545</v>
      </c>
      <c r="Z6" t="s">
        <v>546</v>
      </c>
      <c r="AA6" t="s">
        <v>22</v>
      </c>
      <c r="AB6" t="s">
        <v>547</v>
      </c>
      <c r="AD6" t="s">
        <v>419</v>
      </c>
      <c r="AE6" t="s">
        <v>420</v>
      </c>
      <c r="AF6">
        <v>0</v>
      </c>
      <c r="AG6">
        <v>0</v>
      </c>
      <c r="AH6">
        <v>392.75</v>
      </c>
      <c r="AI6">
        <v>0</v>
      </c>
      <c r="AJ6" t="s">
        <v>548</v>
      </c>
      <c r="AK6" t="s">
        <v>547</v>
      </c>
      <c r="AL6" t="s">
        <v>549</v>
      </c>
    </row>
    <row r="7" spans="1:38" x14ac:dyDescent="0.2">
      <c r="A7">
        <v>1235686</v>
      </c>
      <c r="B7">
        <v>8143520</v>
      </c>
      <c r="C7">
        <v>187508</v>
      </c>
      <c r="E7" t="b">
        <v>0</v>
      </c>
      <c r="F7">
        <v>73531</v>
      </c>
      <c r="G7" t="s">
        <v>551</v>
      </c>
      <c r="H7">
        <v>1</v>
      </c>
      <c r="I7" t="s">
        <v>552</v>
      </c>
      <c r="J7" t="s">
        <v>532</v>
      </c>
      <c r="K7" t="s">
        <v>533</v>
      </c>
      <c r="L7" t="s">
        <v>533</v>
      </c>
      <c r="M7" t="s">
        <v>598</v>
      </c>
      <c r="N7" t="s">
        <v>476</v>
      </c>
      <c r="O7" t="s">
        <v>55</v>
      </c>
      <c r="S7" t="s">
        <v>544</v>
      </c>
      <c r="U7" t="s">
        <v>599</v>
      </c>
      <c r="V7" t="s">
        <v>600</v>
      </c>
      <c r="W7" t="s">
        <v>440</v>
      </c>
      <c r="X7" t="s">
        <v>534</v>
      </c>
      <c r="Y7" t="s">
        <v>545</v>
      </c>
      <c r="Z7" t="s">
        <v>546</v>
      </c>
      <c r="AA7" t="s">
        <v>22</v>
      </c>
      <c r="AB7" t="s">
        <v>547</v>
      </c>
      <c r="AD7" t="s">
        <v>477</v>
      </c>
      <c r="AE7" t="s">
        <v>478</v>
      </c>
      <c r="AF7">
        <v>0</v>
      </c>
      <c r="AG7">
        <v>0</v>
      </c>
      <c r="AH7">
        <v>392.75</v>
      </c>
      <c r="AI7">
        <v>0</v>
      </c>
      <c r="AJ7" t="s">
        <v>548</v>
      </c>
      <c r="AK7" t="s">
        <v>547</v>
      </c>
      <c r="AL7" t="s">
        <v>549</v>
      </c>
    </row>
    <row r="8" spans="1:38" x14ac:dyDescent="0.2">
      <c r="A8">
        <v>1235630</v>
      </c>
      <c r="B8">
        <v>7925909</v>
      </c>
      <c r="C8">
        <v>187508</v>
      </c>
      <c r="E8" t="b">
        <v>0</v>
      </c>
      <c r="F8">
        <v>69663</v>
      </c>
      <c r="G8" t="s">
        <v>601</v>
      </c>
      <c r="H8">
        <v>1</v>
      </c>
      <c r="I8" t="s">
        <v>602</v>
      </c>
      <c r="J8" t="s">
        <v>532</v>
      </c>
      <c r="K8" t="s">
        <v>533</v>
      </c>
      <c r="L8" t="s">
        <v>533</v>
      </c>
      <c r="M8" t="s">
        <v>603</v>
      </c>
      <c r="N8" t="s">
        <v>463</v>
      </c>
      <c r="O8" t="s">
        <v>109</v>
      </c>
      <c r="S8" t="s">
        <v>544</v>
      </c>
      <c r="U8" t="s">
        <v>604</v>
      </c>
      <c r="V8" t="s">
        <v>605</v>
      </c>
      <c r="W8" t="s">
        <v>440</v>
      </c>
      <c r="X8" t="s">
        <v>534</v>
      </c>
      <c r="Y8" t="s">
        <v>545</v>
      </c>
      <c r="Z8" t="s">
        <v>546</v>
      </c>
      <c r="AA8" t="s">
        <v>22</v>
      </c>
      <c r="AB8" t="s">
        <v>547</v>
      </c>
      <c r="AD8" t="s">
        <v>464</v>
      </c>
      <c r="AE8" t="s">
        <v>420</v>
      </c>
      <c r="AF8">
        <v>0</v>
      </c>
      <c r="AG8">
        <v>0</v>
      </c>
      <c r="AH8">
        <v>392.75</v>
      </c>
      <c r="AI8">
        <v>0</v>
      </c>
      <c r="AJ8" t="s">
        <v>548</v>
      </c>
      <c r="AK8" t="s">
        <v>547</v>
      </c>
      <c r="AL8" t="s">
        <v>549</v>
      </c>
    </row>
    <row r="9" spans="1:38" x14ac:dyDescent="0.2">
      <c r="A9">
        <v>1235561</v>
      </c>
      <c r="B9">
        <v>7925915</v>
      </c>
      <c r="C9">
        <v>187508</v>
      </c>
      <c r="E9" t="b">
        <v>0</v>
      </c>
      <c r="F9">
        <v>69665</v>
      </c>
      <c r="G9" t="s">
        <v>606</v>
      </c>
      <c r="H9">
        <v>1</v>
      </c>
      <c r="I9" t="s">
        <v>607</v>
      </c>
      <c r="J9" t="s">
        <v>532</v>
      </c>
      <c r="K9" t="s">
        <v>533</v>
      </c>
      <c r="L9" t="s">
        <v>533</v>
      </c>
      <c r="M9" t="s">
        <v>608</v>
      </c>
      <c r="N9" t="s">
        <v>446</v>
      </c>
      <c r="O9" t="s">
        <v>113</v>
      </c>
      <c r="S9" t="s">
        <v>544</v>
      </c>
      <c r="U9" t="s">
        <v>604</v>
      </c>
      <c r="V9" t="s">
        <v>609</v>
      </c>
      <c r="W9" t="s">
        <v>440</v>
      </c>
      <c r="X9" t="s">
        <v>534</v>
      </c>
      <c r="Y9" t="s">
        <v>545</v>
      </c>
      <c r="Z9" t="s">
        <v>546</v>
      </c>
      <c r="AA9" t="s">
        <v>22</v>
      </c>
      <c r="AB9" t="s">
        <v>547</v>
      </c>
      <c r="AD9" t="s">
        <v>447</v>
      </c>
      <c r="AE9" t="s">
        <v>448</v>
      </c>
      <c r="AF9">
        <v>0</v>
      </c>
      <c r="AG9">
        <v>0</v>
      </c>
      <c r="AH9">
        <v>392.75</v>
      </c>
      <c r="AI9">
        <v>0</v>
      </c>
      <c r="AJ9" t="s">
        <v>548</v>
      </c>
      <c r="AK9" t="s">
        <v>547</v>
      </c>
      <c r="AL9" t="s">
        <v>549</v>
      </c>
    </row>
    <row r="10" spans="1:38" x14ac:dyDescent="0.2">
      <c r="A10">
        <v>1235543</v>
      </c>
      <c r="B10">
        <v>8075187</v>
      </c>
      <c r="C10">
        <v>187508</v>
      </c>
      <c r="E10" t="b">
        <v>0</v>
      </c>
      <c r="F10">
        <v>72822</v>
      </c>
      <c r="G10" t="s">
        <v>610</v>
      </c>
      <c r="H10">
        <v>1</v>
      </c>
      <c r="I10" t="s">
        <v>611</v>
      </c>
      <c r="J10" t="s">
        <v>532</v>
      </c>
      <c r="K10" t="s">
        <v>533</v>
      </c>
      <c r="L10" t="s">
        <v>533</v>
      </c>
      <c r="M10" t="s">
        <v>612</v>
      </c>
      <c r="N10" t="s">
        <v>443</v>
      </c>
      <c r="O10" t="s">
        <v>112</v>
      </c>
      <c r="S10" t="s">
        <v>544</v>
      </c>
      <c r="U10" t="s">
        <v>613</v>
      </c>
      <c r="V10" t="s">
        <v>614</v>
      </c>
      <c r="W10" t="s">
        <v>440</v>
      </c>
      <c r="X10" t="s">
        <v>534</v>
      </c>
      <c r="Y10" t="s">
        <v>545</v>
      </c>
      <c r="Z10" t="s">
        <v>546</v>
      </c>
      <c r="AA10" t="s">
        <v>22</v>
      </c>
      <c r="AB10" t="s">
        <v>547</v>
      </c>
      <c r="AD10" t="s">
        <v>419</v>
      </c>
      <c r="AE10" t="s">
        <v>444</v>
      </c>
      <c r="AF10">
        <v>0</v>
      </c>
      <c r="AG10">
        <v>0</v>
      </c>
      <c r="AH10">
        <v>392.75</v>
      </c>
      <c r="AI10">
        <v>0</v>
      </c>
      <c r="AJ10" t="s">
        <v>548</v>
      </c>
      <c r="AK10" t="s">
        <v>547</v>
      </c>
      <c r="AL10" t="s">
        <v>549</v>
      </c>
    </row>
    <row r="11" spans="1:38" x14ac:dyDescent="0.2">
      <c r="A11">
        <v>1235622</v>
      </c>
      <c r="B11">
        <v>7925914</v>
      </c>
      <c r="C11">
        <v>187508</v>
      </c>
      <c r="E11" t="b">
        <v>0</v>
      </c>
      <c r="F11">
        <v>69664</v>
      </c>
      <c r="G11" t="s">
        <v>615</v>
      </c>
      <c r="H11">
        <v>1</v>
      </c>
      <c r="I11" t="s">
        <v>616</v>
      </c>
      <c r="J11" t="s">
        <v>532</v>
      </c>
      <c r="K11" t="s">
        <v>533</v>
      </c>
      <c r="L11" t="s">
        <v>533</v>
      </c>
      <c r="M11" t="s">
        <v>617</v>
      </c>
      <c r="N11" t="s">
        <v>458</v>
      </c>
      <c r="O11" t="s">
        <v>156</v>
      </c>
      <c r="S11" t="s">
        <v>544</v>
      </c>
      <c r="U11" t="s">
        <v>604</v>
      </c>
      <c r="V11" t="s">
        <v>618</v>
      </c>
      <c r="W11" t="s">
        <v>440</v>
      </c>
      <c r="X11" t="s">
        <v>534</v>
      </c>
      <c r="Y11" t="s">
        <v>545</v>
      </c>
      <c r="Z11" t="s">
        <v>546</v>
      </c>
      <c r="AA11" t="s">
        <v>22</v>
      </c>
      <c r="AB11" t="s">
        <v>547</v>
      </c>
      <c r="AD11" t="s">
        <v>459</v>
      </c>
      <c r="AE11" t="s">
        <v>460</v>
      </c>
      <c r="AF11">
        <v>0</v>
      </c>
      <c r="AG11">
        <v>0</v>
      </c>
      <c r="AH11">
        <v>392.75</v>
      </c>
      <c r="AI11">
        <v>0</v>
      </c>
      <c r="AJ11" t="s">
        <v>548</v>
      </c>
      <c r="AK11" t="s">
        <v>547</v>
      </c>
      <c r="AL11" t="s">
        <v>549</v>
      </c>
    </row>
    <row r="12" spans="1:38" x14ac:dyDescent="0.2">
      <c r="A12">
        <v>1235403</v>
      </c>
      <c r="B12">
        <v>7975239</v>
      </c>
      <c r="C12">
        <v>187508</v>
      </c>
      <c r="E12" t="b">
        <v>0</v>
      </c>
      <c r="F12">
        <v>70613</v>
      </c>
      <c r="G12" t="s">
        <v>619</v>
      </c>
      <c r="H12">
        <v>3</v>
      </c>
      <c r="I12" t="s">
        <v>620</v>
      </c>
      <c r="J12" t="s">
        <v>532</v>
      </c>
      <c r="K12" t="s">
        <v>533</v>
      </c>
      <c r="L12" t="s">
        <v>533</v>
      </c>
      <c r="M12" t="s">
        <v>621</v>
      </c>
      <c r="N12" t="s">
        <v>413</v>
      </c>
      <c r="O12" t="s">
        <v>175</v>
      </c>
      <c r="P12" t="s">
        <v>107</v>
      </c>
      <c r="S12" t="s">
        <v>622</v>
      </c>
      <c r="U12" t="s">
        <v>623</v>
      </c>
      <c r="V12" t="s">
        <v>624</v>
      </c>
      <c r="W12" t="s">
        <v>440</v>
      </c>
      <c r="X12" t="s">
        <v>534</v>
      </c>
      <c r="Y12" t="s">
        <v>545</v>
      </c>
      <c r="Z12" t="s">
        <v>546</v>
      </c>
      <c r="AA12" t="s">
        <v>22</v>
      </c>
      <c r="AB12" t="s">
        <v>547</v>
      </c>
      <c r="AD12" t="s">
        <v>174</v>
      </c>
      <c r="AE12" t="s">
        <v>414</v>
      </c>
      <c r="AF12">
        <v>0</v>
      </c>
      <c r="AG12">
        <v>0</v>
      </c>
      <c r="AH12">
        <v>418.5</v>
      </c>
      <c r="AI12">
        <v>0</v>
      </c>
      <c r="AJ12" t="s">
        <v>548</v>
      </c>
      <c r="AK12" t="s">
        <v>547</v>
      </c>
      <c r="AL12" t="s">
        <v>549</v>
      </c>
    </row>
    <row r="13" spans="1:38" x14ac:dyDescent="0.2">
      <c r="A13">
        <v>1235569</v>
      </c>
      <c r="B13">
        <v>7975237</v>
      </c>
      <c r="C13">
        <v>187508</v>
      </c>
      <c r="E13" t="b">
        <v>0</v>
      </c>
      <c r="F13">
        <v>70613</v>
      </c>
      <c r="G13" t="s">
        <v>619</v>
      </c>
      <c r="H13">
        <v>1</v>
      </c>
      <c r="I13" t="s">
        <v>625</v>
      </c>
      <c r="J13" t="s">
        <v>532</v>
      </c>
      <c r="K13" t="s">
        <v>533</v>
      </c>
      <c r="L13" t="s">
        <v>533</v>
      </c>
      <c r="M13" t="s">
        <v>626</v>
      </c>
      <c r="N13" t="s">
        <v>453</v>
      </c>
      <c r="O13" t="s">
        <v>177</v>
      </c>
      <c r="P13" t="s">
        <v>454</v>
      </c>
      <c r="S13" t="s">
        <v>622</v>
      </c>
      <c r="U13" t="s">
        <v>623</v>
      </c>
      <c r="V13" t="s">
        <v>627</v>
      </c>
      <c r="W13" t="s">
        <v>440</v>
      </c>
      <c r="X13" t="s">
        <v>534</v>
      </c>
      <c r="Y13" t="s">
        <v>545</v>
      </c>
      <c r="Z13" t="s">
        <v>546</v>
      </c>
      <c r="AA13" t="s">
        <v>22</v>
      </c>
      <c r="AB13" t="s">
        <v>547</v>
      </c>
      <c r="AD13" t="s">
        <v>176</v>
      </c>
      <c r="AE13" t="s">
        <v>414</v>
      </c>
      <c r="AF13">
        <v>0</v>
      </c>
      <c r="AG13">
        <v>0</v>
      </c>
      <c r="AH13">
        <v>418.5</v>
      </c>
      <c r="AI13">
        <v>0</v>
      </c>
      <c r="AJ13" t="s">
        <v>548</v>
      </c>
      <c r="AK13" t="s">
        <v>547</v>
      </c>
      <c r="AL13" t="s">
        <v>549</v>
      </c>
    </row>
    <row r="14" spans="1:38" x14ac:dyDescent="0.2">
      <c r="A14">
        <v>1235743</v>
      </c>
      <c r="B14">
        <v>7975241</v>
      </c>
      <c r="C14">
        <v>187508</v>
      </c>
      <c r="E14" t="b">
        <v>0</v>
      </c>
      <c r="F14">
        <v>70613</v>
      </c>
      <c r="G14" t="s">
        <v>619</v>
      </c>
      <c r="H14">
        <v>5</v>
      </c>
      <c r="I14" t="s">
        <v>628</v>
      </c>
      <c r="J14" t="s">
        <v>532</v>
      </c>
      <c r="K14" t="s">
        <v>533</v>
      </c>
      <c r="L14" t="s">
        <v>533</v>
      </c>
      <c r="M14" t="s">
        <v>629</v>
      </c>
      <c r="N14" t="s">
        <v>480</v>
      </c>
      <c r="O14" t="s">
        <v>482</v>
      </c>
      <c r="P14" t="s">
        <v>481</v>
      </c>
      <c r="S14" t="s">
        <v>622</v>
      </c>
      <c r="U14" t="s">
        <v>623</v>
      </c>
      <c r="V14" t="s">
        <v>630</v>
      </c>
      <c r="W14" t="s">
        <v>440</v>
      </c>
      <c r="X14" t="s">
        <v>534</v>
      </c>
      <c r="Y14" t="s">
        <v>545</v>
      </c>
      <c r="Z14" t="s">
        <v>546</v>
      </c>
      <c r="AA14" t="s">
        <v>22</v>
      </c>
      <c r="AB14" t="s">
        <v>547</v>
      </c>
      <c r="AD14" t="s">
        <v>483</v>
      </c>
      <c r="AE14" t="s">
        <v>414</v>
      </c>
      <c r="AF14">
        <v>0</v>
      </c>
      <c r="AG14">
        <v>0</v>
      </c>
      <c r="AH14">
        <v>418.5</v>
      </c>
      <c r="AI14">
        <v>0</v>
      </c>
      <c r="AJ14" t="s">
        <v>548</v>
      </c>
      <c r="AK14" t="s">
        <v>547</v>
      </c>
      <c r="AL14" t="s">
        <v>549</v>
      </c>
    </row>
    <row r="15" spans="1:38" x14ac:dyDescent="0.2">
      <c r="A15">
        <v>2550412</v>
      </c>
      <c r="B15">
        <v>7975245</v>
      </c>
      <c r="C15">
        <v>187508</v>
      </c>
      <c r="E15" t="b">
        <v>0</v>
      </c>
      <c r="F15">
        <v>70613</v>
      </c>
      <c r="G15" t="s">
        <v>619</v>
      </c>
      <c r="H15">
        <v>9</v>
      </c>
      <c r="I15" t="s">
        <v>631</v>
      </c>
      <c r="J15" t="s">
        <v>532</v>
      </c>
      <c r="K15" t="s">
        <v>533</v>
      </c>
      <c r="L15" t="s">
        <v>533</v>
      </c>
      <c r="M15" t="s">
        <v>632</v>
      </c>
      <c r="N15" t="s">
        <v>497</v>
      </c>
      <c r="O15" t="s">
        <v>498</v>
      </c>
      <c r="P15" t="s">
        <v>373</v>
      </c>
      <c r="S15" t="s">
        <v>622</v>
      </c>
      <c r="U15" t="s">
        <v>623</v>
      </c>
      <c r="V15" t="s">
        <v>633</v>
      </c>
      <c r="W15" t="s">
        <v>440</v>
      </c>
      <c r="X15" t="s">
        <v>534</v>
      </c>
      <c r="Y15" t="s">
        <v>545</v>
      </c>
      <c r="Z15" t="s">
        <v>546</v>
      </c>
      <c r="AA15" t="s">
        <v>22</v>
      </c>
      <c r="AB15" t="s">
        <v>547</v>
      </c>
      <c r="AD15" t="s">
        <v>499</v>
      </c>
      <c r="AE15" t="s">
        <v>500</v>
      </c>
      <c r="AF15">
        <v>0</v>
      </c>
      <c r="AG15">
        <v>0</v>
      </c>
      <c r="AH15">
        <v>418.5</v>
      </c>
      <c r="AI15">
        <v>0</v>
      </c>
      <c r="AJ15" t="s">
        <v>548</v>
      </c>
      <c r="AK15" t="s">
        <v>547</v>
      </c>
      <c r="AL15" t="s">
        <v>549</v>
      </c>
    </row>
    <row r="16" spans="1:38" x14ac:dyDescent="0.2">
      <c r="A16">
        <v>1446161</v>
      </c>
      <c r="B16">
        <v>7975243</v>
      </c>
      <c r="C16">
        <v>187508</v>
      </c>
      <c r="E16" t="b">
        <v>0</v>
      </c>
      <c r="F16">
        <v>70613</v>
      </c>
      <c r="G16" t="s">
        <v>619</v>
      </c>
      <c r="H16">
        <v>7</v>
      </c>
      <c r="I16" t="s">
        <v>634</v>
      </c>
      <c r="J16" t="s">
        <v>532</v>
      </c>
      <c r="K16" t="s">
        <v>533</v>
      </c>
      <c r="L16" t="s">
        <v>533</v>
      </c>
      <c r="M16" t="s">
        <v>635</v>
      </c>
      <c r="N16" t="s">
        <v>489</v>
      </c>
      <c r="O16" t="s">
        <v>491</v>
      </c>
      <c r="P16" t="s">
        <v>490</v>
      </c>
      <c r="S16" t="s">
        <v>622</v>
      </c>
      <c r="U16" t="s">
        <v>623</v>
      </c>
      <c r="V16" t="s">
        <v>636</v>
      </c>
      <c r="W16" t="s">
        <v>440</v>
      </c>
      <c r="X16" t="s">
        <v>534</v>
      </c>
      <c r="Y16" t="s">
        <v>545</v>
      </c>
      <c r="Z16" t="s">
        <v>546</v>
      </c>
      <c r="AA16" t="s">
        <v>22</v>
      </c>
      <c r="AB16" t="s">
        <v>547</v>
      </c>
      <c r="AD16" t="s">
        <v>492</v>
      </c>
      <c r="AE16" t="s">
        <v>414</v>
      </c>
      <c r="AF16">
        <v>0</v>
      </c>
      <c r="AG16">
        <v>0</v>
      </c>
      <c r="AH16">
        <v>418.5</v>
      </c>
      <c r="AI16">
        <v>0</v>
      </c>
      <c r="AJ16" t="s">
        <v>548</v>
      </c>
      <c r="AK16" t="s">
        <v>547</v>
      </c>
      <c r="AL16" t="s">
        <v>549</v>
      </c>
    </row>
    <row r="17" spans="1:38" x14ac:dyDescent="0.2">
      <c r="A17">
        <v>2701517</v>
      </c>
      <c r="B17">
        <v>7975246</v>
      </c>
      <c r="C17">
        <v>187508</v>
      </c>
      <c r="E17" t="b">
        <v>0</v>
      </c>
      <c r="F17">
        <v>70613</v>
      </c>
      <c r="G17" t="s">
        <v>619</v>
      </c>
      <c r="H17">
        <v>10</v>
      </c>
      <c r="I17" t="s">
        <v>637</v>
      </c>
      <c r="J17" t="s">
        <v>532</v>
      </c>
      <c r="K17" t="s">
        <v>533</v>
      </c>
      <c r="L17" t="s">
        <v>533</v>
      </c>
      <c r="M17" t="s">
        <v>638</v>
      </c>
      <c r="N17" t="s">
        <v>502</v>
      </c>
      <c r="O17" t="s">
        <v>504</v>
      </c>
      <c r="P17" t="s">
        <v>503</v>
      </c>
      <c r="S17" t="s">
        <v>622</v>
      </c>
      <c r="U17" t="s">
        <v>623</v>
      </c>
      <c r="V17" t="s">
        <v>639</v>
      </c>
      <c r="W17" t="s">
        <v>440</v>
      </c>
      <c r="X17" t="s">
        <v>534</v>
      </c>
      <c r="Y17" t="s">
        <v>545</v>
      </c>
      <c r="Z17" t="s">
        <v>546</v>
      </c>
      <c r="AA17" t="s">
        <v>22</v>
      </c>
      <c r="AB17" t="s">
        <v>547</v>
      </c>
      <c r="AD17" t="s">
        <v>178</v>
      </c>
      <c r="AE17" t="s">
        <v>414</v>
      </c>
      <c r="AF17">
        <v>0</v>
      </c>
      <c r="AG17">
        <v>0</v>
      </c>
      <c r="AH17">
        <v>418.5</v>
      </c>
      <c r="AI17">
        <v>0</v>
      </c>
      <c r="AJ17" t="s">
        <v>548</v>
      </c>
      <c r="AK17" t="s">
        <v>547</v>
      </c>
      <c r="AL17" t="s">
        <v>549</v>
      </c>
    </row>
    <row r="18" spans="1:38" x14ac:dyDescent="0.2">
      <c r="A18">
        <v>2336905</v>
      </c>
      <c r="B18">
        <v>7975244</v>
      </c>
      <c r="C18">
        <v>187508</v>
      </c>
      <c r="E18" t="b">
        <v>0</v>
      </c>
      <c r="F18">
        <v>70613</v>
      </c>
      <c r="G18" t="s">
        <v>619</v>
      </c>
      <c r="H18">
        <v>8</v>
      </c>
      <c r="I18" t="s">
        <v>640</v>
      </c>
      <c r="J18" t="s">
        <v>532</v>
      </c>
      <c r="K18" t="s">
        <v>533</v>
      </c>
      <c r="L18" t="s">
        <v>533</v>
      </c>
      <c r="M18" t="s">
        <v>641</v>
      </c>
      <c r="N18" t="s">
        <v>493</v>
      </c>
      <c r="O18" t="s">
        <v>495</v>
      </c>
      <c r="P18" t="s">
        <v>494</v>
      </c>
      <c r="S18" t="s">
        <v>622</v>
      </c>
      <c r="U18" t="s">
        <v>623</v>
      </c>
      <c r="V18" t="s">
        <v>642</v>
      </c>
      <c r="W18" t="s">
        <v>440</v>
      </c>
      <c r="X18" t="s">
        <v>534</v>
      </c>
      <c r="Y18" t="s">
        <v>545</v>
      </c>
      <c r="Z18" t="s">
        <v>546</v>
      </c>
      <c r="AA18" t="s">
        <v>22</v>
      </c>
      <c r="AB18" t="s">
        <v>547</v>
      </c>
      <c r="AD18" t="s">
        <v>496</v>
      </c>
      <c r="AE18" t="s">
        <v>414</v>
      </c>
      <c r="AF18">
        <v>0</v>
      </c>
      <c r="AG18">
        <v>0</v>
      </c>
      <c r="AH18">
        <v>418.5</v>
      </c>
      <c r="AI18">
        <v>0</v>
      </c>
      <c r="AJ18" t="s">
        <v>548</v>
      </c>
      <c r="AK18" t="s">
        <v>547</v>
      </c>
      <c r="AL18" t="s">
        <v>549</v>
      </c>
    </row>
    <row r="19" spans="1:38" x14ac:dyDescent="0.2">
      <c r="A19">
        <v>1235639</v>
      </c>
      <c r="B19">
        <v>7975242</v>
      </c>
      <c r="C19">
        <v>187508</v>
      </c>
      <c r="E19" t="b">
        <v>0</v>
      </c>
      <c r="F19">
        <v>70613</v>
      </c>
      <c r="G19" t="s">
        <v>619</v>
      </c>
      <c r="H19">
        <v>6</v>
      </c>
      <c r="I19" t="s">
        <v>643</v>
      </c>
      <c r="J19" t="s">
        <v>532</v>
      </c>
      <c r="K19" t="s">
        <v>533</v>
      </c>
      <c r="L19" t="s">
        <v>533</v>
      </c>
      <c r="M19" t="s">
        <v>644</v>
      </c>
      <c r="N19" t="s">
        <v>465</v>
      </c>
      <c r="O19" t="s">
        <v>173</v>
      </c>
      <c r="P19" t="s">
        <v>466</v>
      </c>
      <c r="S19" t="s">
        <v>622</v>
      </c>
      <c r="U19" t="s">
        <v>623</v>
      </c>
      <c r="V19" t="s">
        <v>645</v>
      </c>
      <c r="W19" t="s">
        <v>440</v>
      </c>
      <c r="X19" t="s">
        <v>534</v>
      </c>
      <c r="Y19" t="s">
        <v>545</v>
      </c>
      <c r="Z19" t="s">
        <v>546</v>
      </c>
      <c r="AA19" t="s">
        <v>22</v>
      </c>
      <c r="AB19" t="s">
        <v>547</v>
      </c>
      <c r="AD19" t="s">
        <v>172</v>
      </c>
      <c r="AE19" t="s">
        <v>414</v>
      </c>
      <c r="AF19">
        <v>0</v>
      </c>
      <c r="AG19">
        <v>0</v>
      </c>
      <c r="AH19">
        <v>418.5</v>
      </c>
      <c r="AI19">
        <v>0</v>
      </c>
      <c r="AJ19" t="s">
        <v>548</v>
      </c>
      <c r="AK19" t="s">
        <v>547</v>
      </c>
      <c r="AL19" t="s">
        <v>549</v>
      </c>
    </row>
    <row r="20" spans="1:38" x14ac:dyDescent="0.2">
      <c r="A20">
        <v>1235626</v>
      </c>
      <c r="B20">
        <v>7975238</v>
      </c>
      <c r="C20">
        <v>187508</v>
      </c>
      <c r="E20" t="b">
        <v>0</v>
      </c>
      <c r="F20">
        <v>70613</v>
      </c>
      <c r="G20" t="s">
        <v>619</v>
      </c>
      <c r="H20">
        <v>2</v>
      </c>
      <c r="I20" t="s">
        <v>646</v>
      </c>
      <c r="J20" t="s">
        <v>532</v>
      </c>
      <c r="K20" t="s">
        <v>533</v>
      </c>
      <c r="L20" t="s">
        <v>533</v>
      </c>
      <c r="M20" t="s">
        <v>647</v>
      </c>
      <c r="N20" t="s">
        <v>461</v>
      </c>
      <c r="O20" t="s">
        <v>181</v>
      </c>
      <c r="P20" t="s">
        <v>462</v>
      </c>
      <c r="S20" t="s">
        <v>622</v>
      </c>
      <c r="U20" t="s">
        <v>623</v>
      </c>
      <c r="V20" t="s">
        <v>648</v>
      </c>
      <c r="W20" t="s">
        <v>440</v>
      </c>
      <c r="X20" t="s">
        <v>534</v>
      </c>
      <c r="Y20" t="s">
        <v>545</v>
      </c>
      <c r="Z20" t="s">
        <v>546</v>
      </c>
      <c r="AA20" t="s">
        <v>22</v>
      </c>
      <c r="AB20" t="s">
        <v>547</v>
      </c>
      <c r="AD20" t="s">
        <v>180</v>
      </c>
      <c r="AE20" t="s">
        <v>414</v>
      </c>
      <c r="AF20">
        <v>0</v>
      </c>
      <c r="AG20">
        <v>0</v>
      </c>
      <c r="AH20">
        <v>418.5</v>
      </c>
      <c r="AI20">
        <v>0</v>
      </c>
      <c r="AJ20" t="s">
        <v>548</v>
      </c>
      <c r="AK20" t="s">
        <v>547</v>
      </c>
      <c r="AL20" t="s">
        <v>549</v>
      </c>
    </row>
    <row r="21" spans="1:38" x14ac:dyDescent="0.2">
      <c r="A21">
        <v>1235522</v>
      </c>
      <c r="B21">
        <v>7975240</v>
      </c>
      <c r="C21">
        <v>187508</v>
      </c>
      <c r="E21" t="b">
        <v>0</v>
      </c>
      <c r="F21">
        <v>70613</v>
      </c>
      <c r="G21" t="s">
        <v>619</v>
      </c>
      <c r="H21">
        <v>4</v>
      </c>
      <c r="I21" t="s">
        <v>649</v>
      </c>
      <c r="J21" t="s">
        <v>532</v>
      </c>
      <c r="K21" t="s">
        <v>533</v>
      </c>
      <c r="L21" t="s">
        <v>533</v>
      </c>
      <c r="M21" t="s">
        <v>650</v>
      </c>
      <c r="N21" t="s">
        <v>439</v>
      </c>
      <c r="O21" t="s">
        <v>179</v>
      </c>
      <c r="P21" t="s">
        <v>440</v>
      </c>
      <c r="S21" t="s">
        <v>622</v>
      </c>
      <c r="U21" t="s">
        <v>623</v>
      </c>
      <c r="V21" t="s">
        <v>651</v>
      </c>
      <c r="W21" t="s">
        <v>440</v>
      </c>
      <c r="X21" t="s">
        <v>534</v>
      </c>
      <c r="Y21" t="s">
        <v>545</v>
      </c>
      <c r="Z21" t="s">
        <v>546</v>
      </c>
      <c r="AA21" t="s">
        <v>22</v>
      </c>
      <c r="AB21" t="s">
        <v>547</v>
      </c>
      <c r="AD21" t="s">
        <v>178</v>
      </c>
      <c r="AE21" t="s">
        <v>414</v>
      </c>
      <c r="AF21">
        <v>0</v>
      </c>
      <c r="AG21">
        <v>0</v>
      </c>
      <c r="AH21">
        <v>418.5</v>
      </c>
      <c r="AI21">
        <v>0</v>
      </c>
      <c r="AJ21" t="s">
        <v>548</v>
      </c>
      <c r="AK21" t="s">
        <v>547</v>
      </c>
      <c r="AL21" t="s">
        <v>549</v>
      </c>
    </row>
    <row r="23" spans="1:38" x14ac:dyDescent="0.2">
      <c r="A23">
        <v>1235770</v>
      </c>
      <c r="B23">
        <v>8030104</v>
      </c>
      <c r="C23">
        <v>187514</v>
      </c>
      <c r="E23" t="b">
        <v>0</v>
      </c>
      <c r="F23">
        <v>71864</v>
      </c>
      <c r="G23" t="s">
        <v>652</v>
      </c>
      <c r="H23">
        <v>1</v>
      </c>
      <c r="I23" t="s">
        <v>653</v>
      </c>
      <c r="J23" t="s">
        <v>532</v>
      </c>
      <c r="K23" t="s">
        <v>533</v>
      </c>
      <c r="L23" t="s">
        <v>533</v>
      </c>
      <c r="M23" t="s">
        <v>654</v>
      </c>
      <c r="N23" t="s">
        <v>484</v>
      </c>
      <c r="O23" t="s">
        <v>485</v>
      </c>
      <c r="U23" t="s">
        <v>655</v>
      </c>
      <c r="V23" t="s">
        <v>656</v>
      </c>
      <c r="W23" t="s">
        <v>490</v>
      </c>
      <c r="X23" t="s">
        <v>534</v>
      </c>
      <c r="Y23" t="s">
        <v>411</v>
      </c>
      <c r="Z23" t="s">
        <v>546</v>
      </c>
      <c r="AB23" t="s">
        <v>657</v>
      </c>
      <c r="AD23" t="s">
        <v>231</v>
      </c>
      <c r="AE23" t="s">
        <v>486</v>
      </c>
      <c r="AF23">
        <v>0</v>
      </c>
      <c r="AG23">
        <v>0</v>
      </c>
      <c r="AH23">
        <v>0</v>
      </c>
      <c r="AI23">
        <v>0</v>
      </c>
      <c r="AJ23" t="s">
        <v>548</v>
      </c>
      <c r="AK23" t="s">
        <v>657</v>
      </c>
      <c r="AL23" t="s">
        <v>549</v>
      </c>
    </row>
    <row r="24" spans="1:38" x14ac:dyDescent="0.2">
      <c r="A24">
        <v>1235767</v>
      </c>
    </row>
    <row r="25" spans="1:38" x14ac:dyDescent="0.2">
      <c r="A25">
        <v>1235772</v>
      </c>
    </row>
    <row r="26" spans="1:38" x14ac:dyDescent="0.2">
      <c r="A26">
        <v>1235660</v>
      </c>
      <c r="B26">
        <v>7612900</v>
      </c>
      <c r="C26">
        <v>187509</v>
      </c>
      <c r="E26" t="b">
        <v>0</v>
      </c>
      <c r="F26">
        <v>64197</v>
      </c>
      <c r="G26" t="s">
        <v>658</v>
      </c>
      <c r="H26">
        <v>1</v>
      </c>
      <c r="I26" t="s">
        <v>659</v>
      </c>
      <c r="J26" t="s">
        <v>532</v>
      </c>
      <c r="K26" t="s">
        <v>533</v>
      </c>
      <c r="L26" t="s">
        <v>533</v>
      </c>
      <c r="M26" t="s">
        <v>660</v>
      </c>
      <c r="N26" t="s">
        <v>197</v>
      </c>
      <c r="O26" t="s">
        <v>471</v>
      </c>
      <c r="U26" t="s">
        <v>661</v>
      </c>
      <c r="V26" t="s">
        <v>662</v>
      </c>
      <c r="W26" t="s">
        <v>107</v>
      </c>
      <c r="X26" t="s">
        <v>534</v>
      </c>
      <c r="Y26" t="s">
        <v>116</v>
      </c>
      <c r="AB26" t="s">
        <v>657</v>
      </c>
      <c r="AD26" t="s">
        <v>233</v>
      </c>
      <c r="AE26" t="s">
        <v>430</v>
      </c>
      <c r="AF26">
        <v>0</v>
      </c>
      <c r="AG26">
        <v>0</v>
      </c>
      <c r="AI26">
        <v>0</v>
      </c>
      <c r="AJ26" t="s">
        <v>548</v>
      </c>
      <c r="AK26" t="s">
        <v>657</v>
      </c>
      <c r="AL26" t="s">
        <v>581</v>
      </c>
    </row>
    <row r="27" spans="1:38" x14ac:dyDescent="0.2">
      <c r="A27">
        <v>1235502</v>
      </c>
      <c r="B27">
        <v>6008756</v>
      </c>
      <c r="C27">
        <v>187514</v>
      </c>
      <c r="E27" t="b">
        <v>0</v>
      </c>
      <c r="F27">
        <v>41783</v>
      </c>
      <c r="G27" t="s">
        <v>663</v>
      </c>
      <c r="H27">
        <v>1</v>
      </c>
      <c r="I27" t="s">
        <v>664</v>
      </c>
      <c r="J27" t="s">
        <v>532</v>
      </c>
      <c r="K27" t="s">
        <v>533</v>
      </c>
      <c r="L27" t="s">
        <v>533</v>
      </c>
      <c r="M27" t="s">
        <v>665</v>
      </c>
      <c r="N27" t="s">
        <v>198</v>
      </c>
      <c r="O27" t="s">
        <v>429</v>
      </c>
      <c r="U27" t="s">
        <v>666</v>
      </c>
      <c r="V27" t="s">
        <v>667</v>
      </c>
      <c r="W27" t="s">
        <v>165</v>
      </c>
      <c r="X27" t="s">
        <v>534</v>
      </c>
      <c r="Y27" t="s">
        <v>116</v>
      </c>
      <c r="Z27" t="s">
        <v>546</v>
      </c>
      <c r="AB27" t="s">
        <v>657</v>
      </c>
      <c r="AD27" t="s">
        <v>234</v>
      </c>
      <c r="AE27" t="s">
        <v>430</v>
      </c>
      <c r="AF27">
        <v>0</v>
      </c>
      <c r="AG27">
        <v>0</v>
      </c>
      <c r="AH27">
        <v>27.5</v>
      </c>
      <c r="AI27">
        <v>0</v>
      </c>
      <c r="AJ27" t="s">
        <v>548</v>
      </c>
      <c r="AK27" t="s">
        <v>657</v>
      </c>
      <c r="AL27" t="s">
        <v>549</v>
      </c>
    </row>
    <row r="28" spans="1:38" x14ac:dyDescent="0.2">
      <c r="A28">
        <v>1235505</v>
      </c>
      <c r="B28">
        <v>7971837</v>
      </c>
      <c r="C28">
        <v>187514</v>
      </c>
      <c r="E28" t="b">
        <v>0</v>
      </c>
      <c r="F28">
        <v>70496</v>
      </c>
      <c r="G28" t="s">
        <v>668</v>
      </c>
      <c r="H28">
        <v>1</v>
      </c>
      <c r="I28" t="s">
        <v>669</v>
      </c>
      <c r="J28" t="s">
        <v>532</v>
      </c>
      <c r="K28" t="s">
        <v>533</v>
      </c>
      <c r="L28" t="s">
        <v>533</v>
      </c>
      <c r="M28" t="s">
        <v>670</v>
      </c>
      <c r="N28" t="s">
        <v>199</v>
      </c>
      <c r="O28" t="s">
        <v>433</v>
      </c>
      <c r="S28" t="s">
        <v>671</v>
      </c>
      <c r="U28" t="s">
        <v>672</v>
      </c>
      <c r="V28" t="s">
        <v>673</v>
      </c>
      <c r="W28" t="s">
        <v>503</v>
      </c>
      <c r="X28" t="s">
        <v>534</v>
      </c>
      <c r="Y28" t="s">
        <v>411</v>
      </c>
      <c r="Z28" t="s">
        <v>546</v>
      </c>
      <c r="AB28" t="s">
        <v>657</v>
      </c>
      <c r="AD28" t="s">
        <v>235</v>
      </c>
      <c r="AE28" t="s">
        <v>430</v>
      </c>
      <c r="AF28">
        <v>0</v>
      </c>
      <c r="AG28">
        <v>0</v>
      </c>
      <c r="AH28">
        <v>75</v>
      </c>
      <c r="AI28">
        <v>0</v>
      </c>
      <c r="AJ28" t="s">
        <v>548</v>
      </c>
      <c r="AK28" t="s">
        <v>657</v>
      </c>
      <c r="AL28" t="s">
        <v>549</v>
      </c>
    </row>
    <row r="29" spans="1:38" x14ac:dyDescent="0.2">
      <c r="A29">
        <v>1235646</v>
      </c>
      <c r="B29">
        <v>6249107</v>
      </c>
      <c r="C29">
        <v>187514</v>
      </c>
      <c r="E29" t="b">
        <v>0</v>
      </c>
      <c r="F29">
        <v>46530</v>
      </c>
      <c r="G29" t="s">
        <v>674</v>
      </c>
      <c r="H29">
        <v>1</v>
      </c>
      <c r="I29" t="s">
        <v>675</v>
      </c>
      <c r="J29" t="s">
        <v>532</v>
      </c>
      <c r="K29" t="s">
        <v>533</v>
      </c>
      <c r="L29" t="s">
        <v>533</v>
      </c>
      <c r="M29" t="s">
        <v>676</v>
      </c>
      <c r="N29" t="s">
        <v>200</v>
      </c>
      <c r="O29" t="s">
        <v>467</v>
      </c>
      <c r="U29" t="s">
        <v>677</v>
      </c>
      <c r="V29" t="s">
        <v>678</v>
      </c>
      <c r="W29" t="s">
        <v>165</v>
      </c>
      <c r="X29" t="s">
        <v>534</v>
      </c>
      <c r="Y29" t="s">
        <v>545</v>
      </c>
      <c r="AB29" t="s">
        <v>657</v>
      </c>
      <c r="AD29" t="s">
        <v>236</v>
      </c>
      <c r="AE29" t="s">
        <v>468</v>
      </c>
      <c r="AF29">
        <v>0</v>
      </c>
      <c r="AG29">
        <v>0</v>
      </c>
      <c r="AI29">
        <v>0</v>
      </c>
      <c r="AJ29" t="s">
        <v>548</v>
      </c>
      <c r="AK29" t="s">
        <v>657</v>
      </c>
      <c r="AL29" t="s">
        <v>549</v>
      </c>
    </row>
    <row r="30" spans="1:38" x14ac:dyDescent="0.2">
      <c r="A30">
        <v>1235659</v>
      </c>
      <c r="B30">
        <v>8065644</v>
      </c>
      <c r="C30">
        <v>187514</v>
      </c>
      <c r="E30" t="b">
        <v>0</v>
      </c>
      <c r="F30">
        <v>72594</v>
      </c>
      <c r="G30" t="s">
        <v>679</v>
      </c>
      <c r="H30">
        <v>1</v>
      </c>
      <c r="I30" t="s">
        <v>680</v>
      </c>
      <c r="J30" t="s">
        <v>532</v>
      </c>
      <c r="K30" t="s">
        <v>533</v>
      </c>
      <c r="L30" t="s">
        <v>533</v>
      </c>
      <c r="M30" t="s">
        <v>681</v>
      </c>
      <c r="N30" t="s">
        <v>201</v>
      </c>
      <c r="O30" t="s">
        <v>469</v>
      </c>
      <c r="U30" t="s">
        <v>682</v>
      </c>
      <c r="V30" t="s">
        <v>683</v>
      </c>
      <c r="W30" t="s">
        <v>454</v>
      </c>
      <c r="X30" t="s">
        <v>534</v>
      </c>
      <c r="Y30" t="s">
        <v>411</v>
      </c>
      <c r="Z30" t="s">
        <v>546</v>
      </c>
      <c r="AB30" t="s">
        <v>657</v>
      </c>
      <c r="AD30" t="s">
        <v>237</v>
      </c>
      <c r="AE30" t="s">
        <v>470</v>
      </c>
      <c r="AF30">
        <v>0</v>
      </c>
      <c r="AG30">
        <v>0</v>
      </c>
      <c r="AH30">
        <v>0</v>
      </c>
      <c r="AI30">
        <v>0</v>
      </c>
      <c r="AJ30" t="s">
        <v>548</v>
      </c>
      <c r="AK30" t="s">
        <v>657</v>
      </c>
      <c r="AL30" t="s">
        <v>549</v>
      </c>
    </row>
    <row r="31" spans="1:38" x14ac:dyDescent="0.2">
      <c r="A31">
        <v>1235504</v>
      </c>
      <c r="B31">
        <v>6820976</v>
      </c>
      <c r="C31">
        <v>187514</v>
      </c>
      <c r="E31" t="b">
        <v>0</v>
      </c>
      <c r="F31">
        <v>50724</v>
      </c>
      <c r="G31" t="s">
        <v>684</v>
      </c>
      <c r="H31">
        <v>1</v>
      </c>
      <c r="I31" t="s">
        <v>685</v>
      </c>
      <c r="J31" t="s">
        <v>532</v>
      </c>
      <c r="K31" t="s">
        <v>533</v>
      </c>
      <c r="L31" t="s">
        <v>533</v>
      </c>
      <c r="M31" t="s">
        <v>686</v>
      </c>
      <c r="N31" t="s">
        <v>202</v>
      </c>
      <c r="O31" t="s">
        <v>432</v>
      </c>
      <c r="U31" t="s">
        <v>687</v>
      </c>
      <c r="V31" t="s">
        <v>688</v>
      </c>
      <c r="W31" t="s">
        <v>481</v>
      </c>
      <c r="X31" t="s">
        <v>534</v>
      </c>
      <c r="Y31" t="s">
        <v>545</v>
      </c>
      <c r="Z31" t="s">
        <v>546</v>
      </c>
      <c r="AB31" t="s">
        <v>657</v>
      </c>
      <c r="AD31" t="s">
        <v>238</v>
      </c>
      <c r="AE31" t="s">
        <v>430</v>
      </c>
      <c r="AF31">
        <v>0</v>
      </c>
      <c r="AG31">
        <v>0</v>
      </c>
      <c r="AH31">
        <v>27.5</v>
      </c>
      <c r="AI31">
        <v>0</v>
      </c>
      <c r="AJ31" t="s">
        <v>548</v>
      </c>
      <c r="AK31" t="s">
        <v>657</v>
      </c>
      <c r="AL31" t="s">
        <v>549</v>
      </c>
    </row>
    <row r="32" spans="1:38" x14ac:dyDescent="0.2">
      <c r="A32">
        <v>1235506</v>
      </c>
      <c r="B32">
        <v>7162110</v>
      </c>
      <c r="C32">
        <v>187514</v>
      </c>
      <c r="E32" t="b">
        <v>0</v>
      </c>
      <c r="F32">
        <v>57050</v>
      </c>
      <c r="G32" t="s">
        <v>689</v>
      </c>
      <c r="H32">
        <v>1</v>
      </c>
      <c r="I32" t="s">
        <v>690</v>
      </c>
      <c r="J32" t="s">
        <v>532</v>
      </c>
      <c r="K32" t="s">
        <v>533</v>
      </c>
      <c r="L32" t="s">
        <v>533</v>
      </c>
      <c r="M32" t="s">
        <v>691</v>
      </c>
      <c r="N32" t="s">
        <v>203</v>
      </c>
      <c r="O32" t="s">
        <v>434</v>
      </c>
      <c r="U32" t="s">
        <v>692</v>
      </c>
      <c r="V32" t="s">
        <v>693</v>
      </c>
      <c r="W32" t="s">
        <v>107</v>
      </c>
      <c r="X32" t="s">
        <v>534</v>
      </c>
      <c r="Y32" t="s">
        <v>545</v>
      </c>
      <c r="AB32" t="s">
        <v>657</v>
      </c>
      <c r="AD32" t="s">
        <v>239</v>
      </c>
      <c r="AE32" t="s">
        <v>430</v>
      </c>
      <c r="AF32">
        <v>0</v>
      </c>
      <c r="AG32">
        <v>0</v>
      </c>
      <c r="AI32">
        <v>0</v>
      </c>
      <c r="AJ32" t="s">
        <v>548</v>
      </c>
      <c r="AK32" t="s">
        <v>657</v>
      </c>
      <c r="AL32" t="s">
        <v>549</v>
      </c>
    </row>
    <row r="33" spans="1:38" x14ac:dyDescent="0.2">
      <c r="A33">
        <v>1235510</v>
      </c>
      <c r="B33">
        <v>6129692</v>
      </c>
      <c r="C33">
        <v>187514</v>
      </c>
      <c r="E33" t="b">
        <v>0</v>
      </c>
      <c r="F33">
        <v>44349</v>
      </c>
      <c r="G33" t="s">
        <v>694</v>
      </c>
      <c r="H33">
        <v>1</v>
      </c>
      <c r="I33" t="s">
        <v>695</v>
      </c>
      <c r="J33" t="s">
        <v>532</v>
      </c>
      <c r="K33" t="s">
        <v>533</v>
      </c>
      <c r="L33" t="s">
        <v>533</v>
      </c>
      <c r="M33" t="s">
        <v>696</v>
      </c>
      <c r="N33" t="s">
        <v>204</v>
      </c>
      <c r="O33" t="s">
        <v>438</v>
      </c>
      <c r="U33" t="s">
        <v>697</v>
      </c>
      <c r="V33" t="s">
        <v>698</v>
      </c>
      <c r="W33" t="s">
        <v>699</v>
      </c>
      <c r="X33" t="s">
        <v>534</v>
      </c>
      <c r="Y33" t="s">
        <v>545</v>
      </c>
      <c r="AB33" t="s">
        <v>657</v>
      </c>
      <c r="AD33" t="s">
        <v>240</v>
      </c>
      <c r="AE33" t="s">
        <v>430</v>
      </c>
      <c r="AF33">
        <v>0</v>
      </c>
      <c r="AG33">
        <v>0</v>
      </c>
      <c r="AI33">
        <v>0</v>
      </c>
      <c r="AJ33" t="s">
        <v>548</v>
      </c>
      <c r="AK33" t="s">
        <v>657</v>
      </c>
      <c r="AL33" t="s">
        <v>549</v>
      </c>
    </row>
    <row r="34" spans="1:38" x14ac:dyDescent="0.2">
      <c r="A34">
        <v>1235590</v>
      </c>
      <c r="B34">
        <v>7948956</v>
      </c>
      <c r="C34">
        <v>187514</v>
      </c>
      <c r="E34" t="b">
        <v>0</v>
      </c>
      <c r="F34">
        <v>70164</v>
      </c>
      <c r="G34" t="s">
        <v>700</v>
      </c>
      <c r="H34">
        <v>1</v>
      </c>
      <c r="I34" t="s">
        <v>701</v>
      </c>
      <c r="J34" t="s">
        <v>702</v>
      </c>
      <c r="K34" t="s">
        <v>533</v>
      </c>
      <c r="L34" t="s">
        <v>533</v>
      </c>
      <c r="M34" t="s">
        <v>703</v>
      </c>
      <c r="N34" t="s">
        <v>206</v>
      </c>
      <c r="O34" t="s">
        <v>205</v>
      </c>
      <c r="U34" t="s">
        <v>704</v>
      </c>
      <c r="X34" t="s">
        <v>534</v>
      </c>
      <c r="Y34" t="s">
        <v>116</v>
      </c>
      <c r="Z34" t="s">
        <v>546</v>
      </c>
      <c r="AD34" t="s">
        <v>241</v>
      </c>
      <c r="AE34" t="s">
        <v>430</v>
      </c>
      <c r="AJ34" t="s">
        <v>548</v>
      </c>
      <c r="AK34" t="s">
        <v>657</v>
      </c>
      <c r="AL34" t="s">
        <v>549</v>
      </c>
    </row>
    <row r="35" spans="1:38" x14ac:dyDescent="0.2">
      <c r="A35">
        <v>1235489</v>
      </c>
      <c r="B35">
        <v>7008912</v>
      </c>
      <c r="C35">
        <v>187510</v>
      </c>
      <c r="E35" t="b">
        <v>0</v>
      </c>
      <c r="F35">
        <v>53750</v>
      </c>
      <c r="G35" t="s">
        <v>705</v>
      </c>
      <c r="H35">
        <v>1</v>
      </c>
      <c r="I35" t="s">
        <v>706</v>
      </c>
      <c r="J35" t="s">
        <v>532</v>
      </c>
      <c r="K35" t="s">
        <v>531</v>
      </c>
      <c r="L35" t="s">
        <v>533</v>
      </c>
      <c r="M35" t="s">
        <v>707</v>
      </c>
      <c r="N35" t="s">
        <v>422</v>
      </c>
      <c r="O35" t="s">
        <v>424</v>
      </c>
      <c r="S35" t="s">
        <v>585</v>
      </c>
      <c r="U35" t="s">
        <v>708</v>
      </c>
      <c r="V35" t="s">
        <v>709</v>
      </c>
      <c r="W35" t="s">
        <v>440</v>
      </c>
      <c r="X35" t="s">
        <v>534</v>
      </c>
      <c r="Y35" t="s">
        <v>116</v>
      </c>
      <c r="Z35" t="s">
        <v>546</v>
      </c>
      <c r="AA35" t="s">
        <v>22</v>
      </c>
      <c r="AB35" t="s">
        <v>589</v>
      </c>
      <c r="AD35" t="s">
        <v>425</v>
      </c>
      <c r="AE35" t="s">
        <v>425</v>
      </c>
      <c r="AF35">
        <v>0</v>
      </c>
      <c r="AG35">
        <v>0</v>
      </c>
      <c r="AH35">
        <v>76.25</v>
      </c>
      <c r="AI35">
        <v>0</v>
      </c>
      <c r="AJ35" t="s">
        <v>548</v>
      </c>
      <c r="AK35" t="s">
        <v>589</v>
      </c>
      <c r="AL35" t="s">
        <v>549</v>
      </c>
    </row>
    <row r="36" spans="1:38" x14ac:dyDescent="0.2">
      <c r="A36">
        <v>1235508</v>
      </c>
      <c r="B36">
        <v>4996970</v>
      </c>
      <c r="C36">
        <v>187508</v>
      </c>
      <c r="E36" t="b">
        <v>0</v>
      </c>
      <c r="F36">
        <v>28336</v>
      </c>
      <c r="G36" t="s">
        <v>710</v>
      </c>
      <c r="H36">
        <v>1</v>
      </c>
      <c r="I36" t="s">
        <v>711</v>
      </c>
      <c r="J36" t="s">
        <v>532</v>
      </c>
      <c r="K36" t="s">
        <v>533</v>
      </c>
      <c r="L36" t="s">
        <v>533</v>
      </c>
      <c r="M36" t="s">
        <v>712</v>
      </c>
      <c r="N36" t="s">
        <v>713</v>
      </c>
      <c r="O36" t="s">
        <v>436</v>
      </c>
      <c r="U36" t="s">
        <v>714</v>
      </c>
      <c r="X36" t="s">
        <v>534</v>
      </c>
      <c r="Y36" t="s">
        <v>116</v>
      </c>
      <c r="Z36" t="s">
        <v>546</v>
      </c>
      <c r="AD36" t="s">
        <v>715</v>
      </c>
      <c r="AE36" t="s">
        <v>409</v>
      </c>
      <c r="AJ36" t="s">
        <v>548</v>
      </c>
      <c r="AK36" t="s">
        <v>547</v>
      </c>
      <c r="AL36" t="s">
        <v>549</v>
      </c>
    </row>
    <row r="37" spans="1:38" x14ac:dyDescent="0.2">
      <c r="A37">
        <v>1235777</v>
      </c>
      <c r="B37">
        <v>5034456</v>
      </c>
      <c r="C37">
        <v>187514</v>
      </c>
      <c r="E37" t="b">
        <v>0</v>
      </c>
      <c r="F37">
        <v>29273</v>
      </c>
      <c r="G37" t="s">
        <v>716</v>
      </c>
      <c r="H37">
        <v>1</v>
      </c>
      <c r="I37" t="s">
        <v>717</v>
      </c>
      <c r="J37" t="s">
        <v>532</v>
      </c>
      <c r="K37" t="s">
        <v>533</v>
      </c>
      <c r="L37" t="s">
        <v>533</v>
      </c>
      <c r="M37" t="s">
        <v>718</v>
      </c>
      <c r="N37" t="s">
        <v>207</v>
      </c>
      <c r="O37" t="s">
        <v>487</v>
      </c>
      <c r="S37" t="s">
        <v>671</v>
      </c>
      <c r="V37" t="s">
        <v>719</v>
      </c>
      <c r="W37" t="s">
        <v>720</v>
      </c>
      <c r="X37" t="s">
        <v>534</v>
      </c>
      <c r="Y37" t="s">
        <v>116</v>
      </c>
      <c r="Z37" t="s">
        <v>546</v>
      </c>
      <c r="AB37" t="s">
        <v>657</v>
      </c>
      <c r="AD37" t="s">
        <v>243</v>
      </c>
      <c r="AE37" t="s">
        <v>488</v>
      </c>
      <c r="AF37">
        <v>0</v>
      </c>
      <c r="AG37">
        <v>0</v>
      </c>
      <c r="AH37">
        <v>27.5</v>
      </c>
      <c r="AI37">
        <v>0</v>
      </c>
      <c r="AJ37" t="s">
        <v>548</v>
      </c>
      <c r="AK37" t="s">
        <v>657</v>
      </c>
      <c r="AL37" t="s">
        <v>549</v>
      </c>
    </row>
    <row r="38" spans="1:38" x14ac:dyDescent="0.2">
      <c r="A38">
        <v>1235400</v>
      </c>
      <c r="B38">
        <v>6119636</v>
      </c>
      <c r="C38">
        <v>187514</v>
      </c>
      <c r="E38" t="b">
        <v>0</v>
      </c>
      <c r="F38">
        <v>44172</v>
      </c>
      <c r="G38" t="s">
        <v>721</v>
      </c>
      <c r="H38">
        <v>1</v>
      </c>
      <c r="I38" t="s">
        <v>722</v>
      </c>
      <c r="J38" t="s">
        <v>532</v>
      </c>
      <c r="K38" t="s">
        <v>533</v>
      </c>
      <c r="L38" t="s">
        <v>533</v>
      </c>
      <c r="M38" t="s">
        <v>723</v>
      </c>
      <c r="N38" t="s">
        <v>208</v>
      </c>
      <c r="O38" t="s">
        <v>408</v>
      </c>
      <c r="U38" t="s">
        <v>724</v>
      </c>
      <c r="V38" t="s">
        <v>725</v>
      </c>
      <c r="W38" t="s">
        <v>699</v>
      </c>
      <c r="X38" t="s">
        <v>534</v>
      </c>
      <c r="Y38" t="s">
        <v>545</v>
      </c>
      <c r="AB38" t="s">
        <v>657</v>
      </c>
      <c r="AD38" t="s">
        <v>244</v>
      </c>
      <c r="AE38" t="s">
        <v>409</v>
      </c>
      <c r="AF38">
        <v>0</v>
      </c>
      <c r="AG38">
        <v>0</v>
      </c>
      <c r="AI38">
        <v>0</v>
      </c>
      <c r="AJ38" t="s">
        <v>548</v>
      </c>
      <c r="AK38" t="s">
        <v>657</v>
      </c>
      <c r="AL38" t="s">
        <v>549</v>
      </c>
    </row>
    <row r="39" spans="1:38" x14ac:dyDescent="0.2">
      <c r="A39">
        <v>1235661</v>
      </c>
      <c r="B39">
        <v>8074219</v>
      </c>
      <c r="C39">
        <v>187514</v>
      </c>
      <c r="E39" t="b">
        <v>0</v>
      </c>
      <c r="F39">
        <v>72769</v>
      </c>
      <c r="G39" t="s">
        <v>726</v>
      </c>
      <c r="H39">
        <v>1</v>
      </c>
      <c r="I39" t="s">
        <v>727</v>
      </c>
      <c r="J39" t="s">
        <v>532</v>
      </c>
      <c r="K39" t="s">
        <v>533</v>
      </c>
      <c r="L39" t="s">
        <v>533</v>
      </c>
      <c r="M39" t="s">
        <v>728</v>
      </c>
      <c r="N39" t="s">
        <v>209</v>
      </c>
      <c r="O39" t="s">
        <v>472</v>
      </c>
      <c r="S39" t="s">
        <v>671</v>
      </c>
      <c r="U39" t="s">
        <v>729</v>
      </c>
      <c r="V39" t="s">
        <v>730</v>
      </c>
      <c r="W39" t="s">
        <v>503</v>
      </c>
      <c r="X39" t="s">
        <v>534</v>
      </c>
      <c r="Y39" t="s">
        <v>545</v>
      </c>
      <c r="Z39" t="s">
        <v>546</v>
      </c>
      <c r="AB39" t="s">
        <v>657</v>
      </c>
      <c r="AD39" t="s">
        <v>245</v>
      </c>
      <c r="AE39" t="s">
        <v>409</v>
      </c>
      <c r="AF39">
        <v>0</v>
      </c>
      <c r="AG39">
        <v>0</v>
      </c>
      <c r="AH39">
        <v>0</v>
      </c>
      <c r="AI39">
        <v>0</v>
      </c>
      <c r="AJ39" t="s">
        <v>548</v>
      </c>
      <c r="AK39" t="s">
        <v>657</v>
      </c>
      <c r="AL39" t="s">
        <v>549</v>
      </c>
    </row>
    <row r="40" spans="1:38" x14ac:dyDescent="0.2">
      <c r="A40">
        <v>1235507</v>
      </c>
      <c r="B40">
        <v>8085736</v>
      </c>
      <c r="C40">
        <v>187514</v>
      </c>
      <c r="E40" t="b">
        <v>0</v>
      </c>
      <c r="F40">
        <v>72935</v>
      </c>
      <c r="G40" t="s">
        <v>731</v>
      </c>
      <c r="H40">
        <v>1</v>
      </c>
      <c r="I40" t="s">
        <v>732</v>
      </c>
      <c r="J40" t="s">
        <v>531</v>
      </c>
      <c r="K40" t="s">
        <v>531</v>
      </c>
      <c r="L40" t="s">
        <v>531</v>
      </c>
      <c r="M40" t="s">
        <v>733</v>
      </c>
      <c r="N40" t="s">
        <v>210</v>
      </c>
      <c r="O40" t="s">
        <v>435</v>
      </c>
      <c r="U40" t="s">
        <v>734</v>
      </c>
      <c r="V40" t="s">
        <v>735</v>
      </c>
      <c r="W40" t="s">
        <v>466</v>
      </c>
      <c r="X40" t="s">
        <v>534</v>
      </c>
      <c r="Y40" t="s">
        <v>545</v>
      </c>
      <c r="AB40" t="s">
        <v>657</v>
      </c>
      <c r="AD40" t="s">
        <v>246</v>
      </c>
      <c r="AE40" t="s">
        <v>409</v>
      </c>
      <c r="AF40">
        <v>0</v>
      </c>
      <c r="AG40">
        <v>0</v>
      </c>
      <c r="AI40">
        <v>0</v>
      </c>
      <c r="AJ40" t="s">
        <v>548</v>
      </c>
      <c r="AK40" t="s">
        <v>657</v>
      </c>
      <c r="AL40" t="s">
        <v>549</v>
      </c>
    </row>
    <row r="42" spans="1:38" x14ac:dyDescent="0.2">
      <c r="A42">
        <v>1235500</v>
      </c>
      <c r="B42">
        <v>8128420</v>
      </c>
      <c r="C42">
        <v>187514</v>
      </c>
      <c r="E42" t="b">
        <v>0</v>
      </c>
      <c r="F42">
        <v>73271</v>
      </c>
      <c r="G42" t="s">
        <v>736</v>
      </c>
      <c r="H42">
        <v>1</v>
      </c>
      <c r="I42" t="s">
        <v>737</v>
      </c>
      <c r="J42" t="s">
        <v>532</v>
      </c>
      <c r="K42" t="s">
        <v>531</v>
      </c>
      <c r="L42" t="s">
        <v>533</v>
      </c>
      <c r="M42" t="s">
        <v>738</v>
      </c>
      <c r="N42" t="s">
        <v>211</v>
      </c>
      <c r="O42" t="s">
        <v>427</v>
      </c>
      <c r="U42" t="s">
        <v>739</v>
      </c>
      <c r="V42" t="s">
        <v>740</v>
      </c>
      <c r="W42" t="s">
        <v>107</v>
      </c>
      <c r="X42" t="s">
        <v>534</v>
      </c>
      <c r="Y42" t="s">
        <v>116</v>
      </c>
      <c r="Z42" t="s">
        <v>546</v>
      </c>
      <c r="AB42" t="s">
        <v>657</v>
      </c>
      <c r="AD42" t="s">
        <v>247</v>
      </c>
      <c r="AE42" t="s">
        <v>409</v>
      </c>
      <c r="AF42">
        <v>0</v>
      </c>
      <c r="AG42">
        <v>0</v>
      </c>
      <c r="AH42">
        <v>0</v>
      </c>
      <c r="AI42">
        <v>0</v>
      </c>
      <c r="AJ42" t="s">
        <v>548</v>
      </c>
      <c r="AK42" t="s">
        <v>657</v>
      </c>
      <c r="AL42" t="s">
        <v>549</v>
      </c>
    </row>
    <row r="43" spans="1:38" x14ac:dyDescent="0.2">
      <c r="A43">
        <v>1235509</v>
      </c>
      <c r="B43">
        <v>6206718</v>
      </c>
      <c r="C43">
        <v>187514</v>
      </c>
      <c r="E43" t="b">
        <v>0</v>
      </c>
      <c r="F43">
        <v>46040</v>
      </c>
      <c r="G43" t="s">
        <v>741</v>
      </c>
      <c r="H43">
        <v>2</v>
      </c>
      <c r="I43" t="s">
        <v>742</v>
      </c>
      <c r="J43" t="s">
        <v>532</v>
      </c>
      <c r="K43" t="s">
        <v>533</v>
      </c>
      <c r="L43" t="s">
        <v>533</v>
      </c>
      <c r="M43" t="s">
        <v>743</v>
      </c>
      <c r="N43" t="s">
        <v>212</v>
      </c>
      <c r="O43" t="s">
        <v>437</v>
      </c>
      <c r="U43" t="s">
        <v>744</v>
      </c>
      <c r="V43" t="s">
        <v>745</v>
      </c>
      <c r="W43" t="s">
        <v>720</v>
      </c>
      <c r="X43" t="s">
        <v>534</v>
      </c>
      <c r="Y43" t="s">
        <v>545</v>
      </c>
      <c r="AB43" t="s">
        <v>657</v>
      </c>
      <c r="AD43" t="s">
        <v>248</v>
      </c>
      <c r="AE43" t="s">
        <v>409</v>
      </c>
      <c r="AF43">
        <v>0</v>
      </c>
      <c r="AG43">
        <v>0</v>
      </c>
      <c r="AI43">
        <v>0</v>
      </c>
      <c r="AJ43" t="s">
        <v>548</v>
      </c>
      <c r="AK43" t="s">
        <v>657</v>
      </c>
      <c r="AL43" t="s">
        <v>549</v>
      </c>
    </row>
    <row r="44" spans="1:38" x14ac:dyDescent="0.2">
      <c r="A44">
        <v>1235498</v>
      </c>
      <c r="B44">
        <v>4234901</v>
      </c>
      <c r="C44">
        <v>187508</v>
      </c>
      <c r="E44" t="b">
        <v>0</v>
      </c>
      <c r="F44">
        <v>24455</v>
      </c>
      <c r="G44" t="s">
        <v>746</v>
      </c>
      <c r="H44">
        <v>1</v>
      </c>
      <c r="I44" t="s">
        <v>747</v>
      </c>
      <c r="J44" t="s">
        <v>532</v>
      </c>
      <c r="K44" t="s">
        <v>533</v>
      </c>
      <c r="L44" t="s">
        <v>533</v>
      </c>
      <c r="M44" t="s">
        <v>748</v>
      </c>
      <c r="N44" t="s">
        <v>213</v>
      </c>
      <c r="O44" t="s">
        <v>426</v>
      </c>
      <c r="S44" t="s">
        <v>749</v>
      </c>
      <c r="U44" t="s">
        <v>750</v>
      </c>
      <c r="V44" t="s">
        <v>751</v>
      </c>
      <c r="W44" t="s">
        <v>752</v>
      </c>
      <c r="X44" t="s">
        <v>534</v>
      </c>
      <c r="Y44" t="s">
        <v>116</v>
      </c>
      <c r="Z44" t="s">
        <v>546</v>
      </c>
      <c r="AB44" t="s">
        <v>547</v>
      </c>
      <c r="AD44" t="s">
        <v>249</v>
      </c>
      <c r="AE44" t="s">
        <v>409</v>
      </c>
      <c r="AF44">
        <v>0</v>
      </c>
      <c r="AG44">
        <v>0</v>
      </c>
      <c r="AH44">
        <v>68</v>
      </c>
      <c r="AI44">
        <v>0</v>
      </c>
      <c r="AJ44" t="s">
        <v>548</v>
      </c>
      <c r="AK44" t="s">
        <v>547</v>
      </c>
      <c r="AL44" t="s">
        <v>549</v>
      </c>
    </row>
    <row r="45" spans="1:38" x14ac:dyDescent="0.2">
      <c r="A45">
        <v>1235401</v>
      </c>
      <c r="B45">
        <v>6140648</v>
      </c>
      <c r="C45">
        <v>187514</v>
      </c>
      <c r="E45" t="b">
        <v>0</v>
      </c>
      <c r="F45">
        <v>44618</v>
      </c>
      <c r="G45" t="s">
        <v>753</v>
      </c>
      <c r="H45">
        <v>1</v>
      </c>
      <c r="I45" t="s">
        <v>754</v>
      </c>
      <c r="J45" t="s">
        <v>532</v>
      </c>
      <c r="K45" t="s">
        <v>533</v>
      </c>
      <c r="L45" t="s">
        <v>533</v>
      </c>
      <c r="M45" t="s">
        <v>755</v>
      </c>
      <c r="N45" t="s">
        <v>214</v>
      </c>
      <c r="O45" t="s">
        <v>410</v>
      </c>
      <c r="P45" t="s">
        <v>115</v>
      </c>
      <c r="U45" t="s">
        <v>756</v>
      </c>
      <c r="V45" t="s">
        <v>757</v>
      </c>
      <c r="W45" t="s">
        <v>165</v>
      </c>
      <c r="X45" t="s">
        <v>534</v>
      </c>
      <c r="Y45" t="s">
        <v>116</v>
      </c>
      <c r="AB45" t="s">
        <v>657</v>
      </c>
      <c r="AD45" t="s">
        <v>250</v>
      </c>
      <c r="AE45" t="s">
        <v>409</v>
      </c>
      <c r="AF45">
        <v>0</v>
      </c>
      <c r="AG45">
        <v>0</v>
      </c>
      <c r="AI45">
        <v>0</v>
      </c>
      <c r="AJ45" t="s">
        <v>548</v>
      </c>
      <c r="AK45" t="s">
        <v>657</v>
      </c>
      <c r="AL45" t="s">
        <v>549</v>
      </c>
    </row>
    <row r="46" spans="1:38" x14ac:dyDescent="0.2">
      <c r="A46">
        <v>1235402</v>
      </c>
      <c r="B46">
        <v>8128495</v>
      </c>
      <c r="C46">
        <v>187514</v>
      </c>
      <c r="E46" t="b">
        <v>0</v>
      </c>
      <c r="F46">
        <v>73279</v>
      </c>
      <c r="G46" t="s">
        <v>758</v>
      </c>
      <c r="H46">
        <v>1</v>
      </c>
      <c r="I46" t="s">
        <v>759</v>
      </c>
      <c r="J46" t="s">
        <v>532</v>
      </c>
      <c r="K46" t="s">
        <v>533</v>
      </c>
      <c r="L46" t="s">
        <v>533</v>
      </c>
      <c r="M46" t="s">
        <v>760</v>
      </c>
      <c r="N46" t="s">
        <v>215</v>
      </c>
      <c r="O46" t="s">
        <v>412</v>
      </c>
      <c r="P46" t="s">
        <v>115</v>
      </c>
      <c r="U46" t="s">
        <v>761</v>
      </c>
      <c r="V46" t="s">
        <v>762</v>
      </c>
      <c r="W46" t="s">
        <v>107</v>
      </c>
      <c r="X46" t="s">
        <v>534</v>
      </c>
      <c r="Y46" t="s">
        <v>116</v>
      </c>
      <c r="Z46" t="s">
        <v>546</v>
      </c>
      <c r="AB46" t="s">
        <v>657</v>
      </c>
      <c r="AD46" t="s">
        <v>251</v>
      </c>
      <c r="AE46" t="s">
        <v>409</v>
      </c>
      <c r="AF46">
        <v>0</v>
      </c>
      <c r="AG46">
        <v>0</v>
      </c>
      <c r="AH46">
        <v>0</v>
      </c>
      <c r="AI46">
        <v>0</v>
      </c>
      <c r="AJ46" t="s">
        <v>548</v>
      </c>
      <c r="AK46" t="s">
        <v>657</v>
      </c>
      <c r="AL46" t="s">
        <v>549</v>
      </c>
    </row>
    <row r="47" spans="1:38" x14ac:dyDescent="0.2">
      <c r="A47">
        <v>1235610</v>
      </c>
      <c r="B47">
        <v>3518992</v>
      </c>
      <c r="E47" t="b">
        <v>0</v>
      </c>
      <c r="F47">
        <v>7771</v>
      </c>
      <c r="G47" t="s">
        <v>763</v>
      </c>
      <c r="H47">
        <v>1</v>
      </c>
      <c r="I47" t="s">
        <v>764</v>
      </c>
      <c r="J47" t="s">
        <v>532</v>
      </c>
      <c r="K47" t="s">
        <v>531</v>
      </c>
      <c r="L47" t="s">
        <v>533</v>
      </c>
      <c r="M47" t="s">
        <v>765</v>
      </c>
      <c r="N47" t="s">
        <v>221</v>
      </c>
      <c r="O47" t="s">
        <v>220</v>
      </c>
      <c r="P47" t="s">
        <v>456</v>
      </c>
      <c r="S47" t="s">
        <v>577</v>
      </c>
      <c r="V47" t="s">
        <v>766</v>
      </c>
      <c r="W47" t="s">
        <v>440</v>
      </c>
      <c r="X47" t="s">
        <v>534</v>
      </c>
      <c r="Y47" t="s">
        <v>116</v>
      </c>
      <c r="Z47" t="s">
        <v>546</v>
      </c>
      <c r="AD47" t="s">
        <v>219</v>
      </c>
      <c r="AE47" t="s">
        <v>457</v>
      </c>
      <c r="AF47">
        <v>0</v>
      </c>
      <c r="AG47">
        <v>0</v>
      </c>
      <c r="AH47">
        <v>41</v>
      </c>
      <c r="AI47">
        <v>0</v>
      </c>
      <c r="AJ47" t="s">
        <v>767</v>
      </c>
    </row>
    <row r="49" spans="1:38" x14ac:dyDescent="0.2">
      <c r="A49">
        <v>1235673</v>
      </c>
      <c r="B49">
        <v>7098933</v>
      </c>
      <c r="C49">
        <v>187514</v>
      </c>
      <c r="E49" t="b">
        <v>0</v>
      </c>
      <c r="F49">
        <v>55608</v>
      </c>
      <c r="G49" t="s">
        <v>768</v>
      </c>
      <c r="H49">
        <v>1</v>
      </c>
      <c r="I49" t="s">
        <v>769</v>
      </c>
      <c r="J49" t="s">
        <v>532</v>
      </c>
      <c r="K49" t="s">
        <v>533</v>
      </c>
      <c r="L49" t="s">
        <v>533</v>
      </c>
      <c r="M49" t="s">
        <v>770</v>
      </c>
      <c r="N49" t="s">
        <v>326</v>
      </c>
      <c r="O49" t="s">
        <v>473</v>
      </c>
      <c r="U49" t="s">
        <v>771</v>
      </c>
      <c r="V49" t="s">
        <v>772</v>
      </c>
      <c r="W49" t="s">
        <v>107</v>
      </c>
      <c r="X49" t="s">
        <v>534</v>
      </c>
      <c r="Y49" t="s">
        <v>545</v>
      </c>
      <c r="Z49" t="s">
        <v>546</v>
      </c>
      <c r="AB49" t="s">
        <v>657</v>
      </c>
      <c r="AD49" t="s">
        <v>325</v>
      </c>
      <c r="AE49" t="s">
        <v>442</v>
      </c>
      <c r="AF49">
        <v>0</v>
      </c>
      <c r="AG49">
        <v>0</v>
      </c>
      <c r="AH49">
        <v>27.5</v>
      </c>
      <c r="AI49">
        <v>0</v>
      </c>
      <c r="AJ49" t="s">
        <v>548</v>
      </c>
      <c r="AK49" t="s">
        <v>657</v>
      </c>
      <c r="AL49" t="s">
        <v>549</v>
      </c>
    </row>
    <row r="50" spans="1:38" x14ac:dyDescent="0.2">
      <c r="A50">
        <v>1235526</v>
      </c>
      <c r="B50">
        <v>6917566</v>
      </c>
      <c r="C50">
        <v>187514</v>
      </c>
      <c r="E50" t="b">
        <v>0</v>
      </c>
      <c r="F50">
        <v>51875</v>
      </c>
      <c r="G50" t="s">
        <v>773</v>
      </c>
      <c r="H50">
        <v>1</v>
      </c>
      <c r="I50" t="s">
        <v>774</v>
      </c>
      <c r="J50" t="s">
        <v>532</v>
      </c>
      <c r="K50" t="s">
        <v>533</v>
      </c>
      <c r="L50" t="s">
        <v>533</v>
      </c>
      <c r="M50" t="s">
        <v>775</v>
      </c>
      <c r="N50" t="s">
        <v>216</v>
      </c>
      <c r="O50" t="s">
        <v>441</v>
      </c>
      <c r="U50" t="s">
        <v>776</v>
      </c>
      <c r="V50" t="s">
        <v>777</v>
      </c>
      <c r="W50" t="s">
        <v>454</v>
      </c>
      <c r="X50" t="s">
        <v>534</v>
      </c>
      <c r="Y50" t="s">
        <v>545</v>
      </c>
      <c r="AB50" t="s">
        <v>657</v>
      </c>
      <c r="AD50" t="s">
        <v>252</v>
      </c>
      <c r="AE50" t="s">
        <v>442</v>
      </c>
      <c r="AF50">
        <v>0</v>
      </c>
      <c r="AG50">
        <v>0</v>
      </c>
      <c r="AI50">
        <v>0</v>
      </c>
      <c r="AJ50" t="s">
        <v>548</v>
      </c>
      <c r="AK50" t="s">
        <v>657</v>
      </c>
      <c r="AL50" t="s">
        <v>549</v>
      </c>
    </row>
    <row r="51" spans="1:38" x14ac:dyDescent="0.2">
      <c r="A51">
        <v>2635568</v>
      </c>
      <c r="B51">
        <v>7621062</v>
      </c>
      <c r="C51">
        <v>187514</v>
      </c>
      <c r="E51" t="b">
        <v>0</v>
      </c>
      <c r="F51">
        <v>64450</v>
      </c>
      <c r="G51" t="s">
        <v>778</v>
      </c>
      <c r="H51">
        <v>1</v>
      </c>
      <c r="I51" t="s">
        <v>779</v>
      </c>
      <c r="J51" t="s">
        <v>531</v>
      </c>
      <c r="K51" t="s">
        <v>531</v>
      </c>
      <c r="L51" t="s">
        <v>531</v>
      </c>
      <c r="M51" t="s">
        <v>780</v>
      </c>
      <c r="N51" t="s">
        <v>217</v>
      </c>
      <c r="O51" t="s">
        <v>501</v>
      </c>
      <c r="U51" t="s">
        <v>781</v>
      </c>
      <c r="V51" t="s">
        <v>782</v>
      </c>
      <c r="W51" t="s">
        <v>494</v>
      </c>
      <c r="X51" t="s">
        <v>534</v>
      </c>
      <c r="Y51" t="s">
        <v>411</v>
      </c>
      <c r="Z51" t="s">
        <v>546</v>
      </c>
      <c r="AB51" t="s">
        <v>657</v>
      </c>
      <c r="AD51" t="s">
        <v>253</v>
      </c>
      <c r="AE51" t="s">
        <v>442</v>
      </c>
      <c r="AF51">
        <v>0</v>
      </c>
      <c r="AG51">
        <v>0</v>
      </c>
      <c r="AH51">
        <v>27.5</v>
      </c>
      <c r="AI51">
        <v>0</v>
      </c>
      <c r="AJ51" t="s">
        <v>548</v>
      </c>
      <c r="AK51" t="s">
        <v>657</v>
      </c>
      <c r="AL51" t="s">
        <v>549</v>
      </c>
    </row>
    <row r="52" spans="1:38" x14ac:dyDescent="0.2">
      <c r="A52">
        <v>1235345</v>
      </c>
      <c r="B52">
        <v>7865996</v>
      </c>
      <c r="C52">
        <v>7654931</v>
      </c>
      <c r="E52" t="b">
        <v>0</v>
      </c>
      <c r="F52">
        <v>68489</v>
      </c>
      <c r="G52" t="s">
        <v>783</v>
      </c>
      <c r="H52">
        <v>1</v>
      </c>
      <c r="I52" t="s">
        <v>784</v>
      </c>
      <c r="J52" t="s">
        <v>532</v>
      </c>
      <c r="K52" t="s">
        <v>533</v>
      </c>
      <c r="L52" t="s">
        <v>533</v>
      </c>
      <c r="M52" t="s">
        <v>785</v>
      </c>
      <c r="N52" t="s">
        <v>183</v>
      </c>
      <c r="O52" t="s">
        <v>183</v>
      </c>
      <c r="P52" t="s">
        <v>403</v>
      </c>
      <c r="S52" t="s">
        <v>786</v>
      </c>
      <c r="U52" t="s">
        <v>787</v>
      </c>
      <c r="V52" t="s">
        <v>788</v>
      </c>
      <c r="W52" t="s">
        <v>789</v>
      </c>
      <c r="X52" t="s">
        <v>534</v>
      </c>
      <c r="Y52" t="s">
        <v>116</v>
      </c>
      <c r="Z52" t="s">
        <v>790</v>
      </c>
      <c r="AB52" t="s">
        <v>572</v>
      </c>
      <c r="AD52" t="s">
        <v>182</v>
      </c>
      <c r="AE52" t="s">
        <v>404</v>
      </c>
      <c r="AF52">
        <v>0</v>
      </c>
      <c r="AG52">
        <v>0</v>
      </c>
      <c r="AH52">
        <v>117.75</v>
      </c>
      <c r="AI52">
        <v>0</v>
      </c>
      <c r="AJ52" t="s">
        <v>548</v>
      </c>
      <c r="AK52" t="s">
        <v>572</v>
      </c>
      <c r="AL52" t="s">
        <v>791</v>
      </c>
    </row>
    <row r="53" spans="1:38" x14ac:dyDescent="0.2">
      <c r="A53">
        <v>1235444</v>
      </c>
      <c r="B53">
        <v>7855800</v>
      </c>
      <c r="C53">
        <v>187508</v>
      </c>
      <c r="E53" t="b">
        <v>0</v>
      </c>
      <c r="F53">
        <v>68290</v>
      </c>
      <c r="G53" t="s">
        <v>792</v>
      </c>
      <c r="H53">
        <v>1</v>
      </c>
      <c r="I53" t="s">
        <v>793</v>
      </c>
      <c r="J53" t="s">
        <v>532</v>
      </c>
      <c r="K53" t="s">
        <v>531</v>
      </c>
      <c r="L53" t="s">
        <v>533</v>
      </c>
      <c r="M53" t="s">
        <v>794</v>
      </c>
      <c r="N53" t="s">
        <v>187</v>
      </c>
      <c r="O53" t="s">
        <v>186</v>
      </c>
      <c r="P53" t="s">
        <v>115</v>
      </c>
      <c r="S53" t="s">
        <v>585</v>
      </c>
      <c r="U53" t="s">
        <v>795</v>
      </c>
      <c r="V53" t="s">
        <v>796</v>
      </c>
      <c r="W53" t="s">
        <v>440</v>
      </c>
      <c r="X53" t="s">
        <v>534</v>
      </c>
      <c r="Y53" t="s">
        <v>545</v>
      </c>
      <c r="Z53" t="s">
        <v>546</v>
      </c>
      <c r="AB53" t="s">
        <v>547</v>
      </c>
      <c r="AD53" t="s">
        <v>421</v>
      </c>
      <c r="AE53" t="s">
        <v>797</v>
      </c>
      <c r="AF53">
        <v>0</v>
      </c>
      <c r="AG53">
        <v>0</v>
      </c>
      <c r="AH53">
        <v>102</v>
      </c>
      <c r="AI53">
        <v>0</v>
      </c>
      <c r="AJ53" t="s">
        <v>548</v>
      </c>
      <c r="AK53" t="s">
        <v>547</v>
      </c>
      <c r="AL53" t="s">
        <v>549</v>
      </c>
    </row>
    <row r="54" spans="1:38" x14ac:dyDescent="0.2">
      <c r="A54">
        <v>1235564</v>
      </c>
      <c r="B54">
        <v>7890061</v>
      </c>
      <c r="C54">
        <v>187508</v>
      </c>
      <c r="E54" t="b">
        <v>0</v>
      </c>
      <c r="F54">
        <v>69031</v>
      </c>
      <c r="G54" t="s">
        <v>798</v>
      </c>
      <c r="H54">
        <v>1</v>
      </c>
      <c r="I54" t="s">
        <v>799</v>
      </c>
      <c r="J54" t="s">
        <v>532</v>
      </c>
      <c r="K54" t="s">
        <v>531</v>
      </c>
      <c r="L54" t="s">
        <v>533</v>
      </c>
      <c r="M54" t="s">
        <v>800</v>
      </c>
      <c r="N54" t="s">
        <v>192</v>
      </c>
      <c r="O54" t="s">
        <v>191</v>
      </c>
      <c r="S54" t="s">
        <v>801</v>
      </c>
      <c r="U54" t="s">
        <v>802</v>
      </c>
      <c r="V54" t="s">
        <v>803</v>
      </c>
      <c r="W54" t="s">
        <v>440</v>
      </c>
      <c r="X54" t="s">
        <v>534</v>
      </c>
      <c r="Y54" t="s">
        <v>545</v>
      </c>
      <c r="Z54" t="s">
        <v>546</v>
      </c>
      <c r="AB54" t="s">
        <v>547</v>
      </c>
      <c r="AD54" t="s">
        <v>190</v>
      </c>
      <c r="AE54" t="s">
        <v>452</v>
      </c>
      <c r="AF54">
        <v>0</v>
      </c>
      <c r="AG54">
        <v>0</v>
      </c>
      <c r="AH54">
        <v>75</v>
      </c>
      <c r="AI54">
        <v>0</v>
      </c>
      <c r="AJ54" t="s">
        <v>548</v>
      </c>
      <c r="AK54" t="s">
        <v>547</v>
      </c>
      <c r="AL54" t="s">
        <v>549</v>
      </c>
    </row>
    <row r="55" spans="1:38" x14ac:dyDescent="0.2">
      <c r="A55">
        <v>1235501</v>
      </c>
      <c r="B55">
        <v>8010165</v>
      </c>
      <c r="C55">
        <v>187508</v>
      </c>
      <c r="E55" t="b">
        <v>0</v>
      </c>
      <c r="F55">
        <v>71410</v>
      </c>
      <c r="G55" t="s">
        <v>804</v>
      </c>
      <c r="H55">
        <v>1</v>
      </c>
      <c r="I55" t="s">
        <v>805</v>
      </c>
      <c r="J55" t="s">
        <v>532</v>
      </c>
      <c r="K55" t="s">
        <v>531</v>
      </c>
      <c r="L55" t="s">
        <v>533</v>
      </c>
      <c r="M55" t="s">
        <v>806</v>
      </c>
      <c r="N55" t="s">
        <v>195</v>
      </c>
      <c r="O55" t="s">
        <v>194</v>
      </c>
      <c r="P55" t="s">
        <v>411</v>
      </c>
      <c r="S55" t="s">
        <v>585</v>
      </c>
      <c r="U55" t="s">
        <v>623</v>
      </c>
      <c r="V55" t="s">
        <v>807</v>
      </c>
      <c r="W55" t="s">
        <v>440</v>
      </c>
      <c r="X55" t="s">
        <v>534</v>
      </c>
      <c r="Y55" t="s">
        <v>545</v>
      </c>
      <c r="Z55" t="s">
        <v>546</v>
      </c>
      <c r="AB55" t="s">
        <v>547</v>
      </c>
      <c r="AD55" t="s">
        <v>193</v>
      </c>
      <c r="AE55" t="s">
        <v>428</v>
      </c>
      <c r="AF55">
        <v>0</v>
      </c>
      <c r="AG55">
        <v>0</v>
      </c>
      <c r="AH55">
        <v>75</v>
      </c>
      <c r="AI55">
        <v>0</v>
      </c>
      <c r="AJ55" t="s">
        <v>548</v>
      </c>
      <c r="AK55" t="s">
        <v>547</v>
      </c>
      <c r="AL55" t="s">
        <v>549</v>
      </c>
    </row>
    <row r="56" spans="1:38" x14ac:dyDescent="0.2">
      <c r="A56">
        <v>1235704</v>
      </c>
      <c r="B56">
        <v>8031653</v>
      </c>
      <c r="C56">
        <v>187514</v>
      </c>
      <c r="E56" t="b">
        <v>0</v>
      </c>
      <c r="F56">
        <v>71907</v>
      </c>
      <c r="G56" t="s">
        <v>808</v>
      </c>
      <c r="H56">
        <v>1</v>
      </c>
      <c r="I56" t="s">
        <v>809</v>
      </c>
      <c r="J56" t="s">
        <v>532</v>
      </c>
      <c r="K56" t="s">
        <v>533</v>
      </c>
      <c r="L56" t="s">
        <v>533</v>
      </c>
      <c r="M56" t="s">
        <v>810</v>
      </c>
      <c r="N56" t="s">
        <v>261</v>
      </c>
      <c r="O56" t="s">
        <v>479</v>
      </c>
      <c r="S56" t="s">
        <v>671</v>
      </c>
      <c r="U56" t="s">
        <v>811</v>
      </c>
      <c r="V56" t="s">
        <v>812</v>
      </c>
      <c r="W56" t="s">
        <v>373</v>
      </c>
      <c r="X56" t="s">
        <v>534</v>
      </c>
      <c r="Y56" t="s">
        <v>411</v>
      </c>
      <c r="Z56" t="s">
        <v>546</v>
      </c>
      <c r="AB56" t="s">
        <v>657</v>
      </c>
      <c r="AD56" t="s">
        <v>260</v>
      </c>
      <c r="AE56" t="s">
        <v>260</v>
      </c>
      <c r="AF56">
        <v>0</v>
      </c>
      <c r="AG56">
        <v>0</v>
      </c>
      <c r="AH56">
        <v>27.5</v>
      </c>
      <c r="AI56">
        <v>0</v>
      </c>
      <c r="AJ56" t="s">
        <v>548</v>
      </c>
      <c r="AK56" t="s">
        <v>657</v>
      </c>
      <c r="AL56" t="s">
        <v>549</v>
      </c>
    </row>
    <row r="57" spans="1:38" x14ac:dyDescent="0.2">
      <c r="A57">
        <v>1235563</v>
      </c>
      <c r="B57">
        <v>7009411</v>
      </c>
      <c r="C57">
        <v>7589603</v>
      </c>
      <c r="E57" t="b">
        <v>0</v>
      </c>
      <c r="F57">
        <v>53782</v>
      </c>
      <c r="G57" t="s">
        <v>813</v>
      </c>
      <c r="H57">
        <v>1</v>
      </c>
      <c r="I57" t="s">
        <v>814</v>
      </c>
      <c r="J57" t="s">
        <v>532</v>
      </c>
      <c r="K57" t="s">
        <v>531</v>
      </c>
      <c r="L57" t="s">
        <v>533</v>
      </c>
      <c r="M57" t="s">
        <v>815</v>
      </c>
      <c r="N57" t="s">
        <v>227</v>
      </c>
      <c r="O57" t="s">
        <v>227</v>
      </c>
      <c r="P57" t="s">
        <v>449</v>
      </c>
      <c r="S57" t="s">
        <v>577</v>
      </c>
      <c r="U57" t="s">
        <v>816</v>
      </c>
      <c r="V57" t="s">
        <v>817</v>
      </c>
      <c r="W57" t="s">
        <v>440</v>
      </c>
      <c r="X57" t="s">
        <v>534</v>
      </c>
      <c r="Y57" t="s">
        <v>116</v>
      </c>
      <c r="Z57" t="s">
        <v>546</v>
      </c>
      <c r="AB57" t="s">
        <v>572</v>
      </c>
      <c r="AD57" t="s">
        <v>450</v>
      </c>
      <c r="AE57" t="s">
        <v>451</v>
      </c>
      <c r="AF57">
        <v>0</v>
      </c>
      <c r="AG57">
        <v>0</v>
      </c>
      <c r="AH57">
        <v>46</v>
      </c>
      <c r="AI57">
        <v>0</v>
      </c>
      <c r="AJ57" t="s">
        <v>548</v>
      </c>
      <c r="AK57" t="s">
        <v>572</v>
      </c>
      <c r="AL57" t="s">
        <v>581</v>
      </c>
    </row>
    <row r="58" spans="1:38" x14ac:dyDescent="0.2">
      <c r="A58">
        <v>1235428</v>
      </c>
      <c r="B58">
        <v>3934094</v>
      </c>
      <c r="C58">
        <v>7589603</v>
      </c>
      <c r="E58" t="b">
        <v>0</v>
      </c>
      <c r="F58">
        <v>17702</v>
      </c>
      <c r="G58" t="s">
        <v>818</v>
      </c>
      <c r="H58">
        <v>1</v>
      </c>
      <c r="I58" t="s">
        <v>819</v>
      </c>
      <c r="J58" t="s">
        <v>532</v>
      </c>
      <c r="K58" t="s">
        <v>533</v>
      </c>
      <c r="L58" t="s">
        <v>533</v>
      </c>
      <c r="M58" t="s">
        <v>820</v>
      </c>
      <c r="N58" t="s">
        <v>228</v>
      </c>
      <c r="O58" t="s">
        <v>228</v>
      </c>
      <c r="P58" t="s">
        <v>752</v>
      </c>
      <c r="S58" t="s">
        <v>577</v>
      </c>
      <c r="V58" t="s">
        <v>821</v>
      </c>
      <c r="W58" t="s">
        <v>440</v>
      </c>
      <c r="X58" t="s">
        <v>534</v>
      </c>
      <c r="Y58" t="s">
        <v>116</v>
      </c>
      <c r="Z58" t="s">
        <v>546</v>
      </c>
      <c r="AB58" t="s">
        <v>572</v>
      </c>
      <c r="AD58" t="s">
        <v>822</v>
      </c>
      <c r="AE58" t="s">
        <v>823</v>
      </c>
      <c r="AF58">
        <v>0</v>
      </c>
      <c r="AG58">
        <v>0</v>
      </c>
      <c r="AH58">
        <v>41</v>
      </c>
      <c r="AI58">
        <v>0</v>
      </c>
      <c r="AJ58" t="s">
        <v>548</v>
      </c>
      <c r="AK58" t="s">
        <v>572</v>
      </c>
      <c r="AL58" t="s">
        <v>581</v>
      </c>
    </row>
    <row r="59" spans="1:38" x14ac:dyDescent="0.2">
      <c r="A59">
        <v>2822437</v>
      </c>
    </row>
    <row r="60" spans="1:38" x14ac:dyDescent="0.2">
      <c r="A60">
        <v>1235598</v>
      </c>
      <c r="B60">
        <v>7490110</v>
      </c>
      <c r="C60">
        <v>7589602</v>
      </c>
      <c r="E60" t="b">
        <v>0</v>
      </c>
      <c r="F60">
        <v>61175</v>
      </c>
      <c r="G60" t="s">
        <v>824</v>
      </c>
      <c r="H60">
        <v>1</v>
      </c>
      <c r="I60" t="s">
        <v>825</v>
      </c>
      <c r="J60" t="s">
        <v>532</v>
      </c>
      <c r="K60" t="s">
        <v>531</v>
      </c>
      <c r="L60" t="s">
        <v>533</v>
      </c>
      <c r="M60" t="s">
        <v>826</v>
      </c>
      <c r="N60" t="s">
        <v>184</v>
      </c>
      <c r="O60" t="s">
        <v>184</v>
      </c>
      <c r="P60" t="s">
        <v>440</v>
      </c>
      <c r="S60" t="s">
        <v>585</v>
      </c>
      <c r="U60" t="s">
        <v>827</v>
      </c>
      <c r="V60" t="s">
        <v>828</v>
      </c>
      <c r="W60" t="s">
        <v>440</v>
      </c>
      <c r="X60" t="s">
        <v>534</v>
      </c>
      <c r="Y60" t="s">
        <v>116</v>
      </c>
      <c r="Z60" t="s">
        <v>546</v>
      </c>
      <c r="AA60" t="s">
        <v>22</v>
      </c>
      <c r="AB60" t="s">
        <v>589</v>
      </c>
      <c r="AD60" t="s">
        <v>455</v>
      </c>
      <c r="AE60" t="s">
        <v>455</v>
      </c>
      <c r="AF60">
        <v>0</v>
      </c>
      <c r="AG60">
        <v>0</v>
      </c>
      <c r="AH60">
        <v>76.25</v>
      </c>
      <c r="AI60">
        <v>0</v>
      </c>
      <c r="AJ60" t="s">
        <v>548</v>
      </c>
      <c r="AK60" t="s">
        <v>589</v>
      </c>
      <c r="AL60" t="s">
        <v>581</v>
      </c>
    </row>
    <row r="61" spans="1:38" x14ac:dyDescent="0.2">
      <c r="A61">
        <v>1235517</v>
      </c>
      <c r="B61">
        <v>6829128</v>
      </c>
      <c r="C61">
        <v>187510</v>
      </c>
      <c r="E61" t="b">
        <v>0</v>
      </c>
      <c r="F61">
        <v>50907</v>
      </c>
      <c r="G61" t="s">
        <v>829</v>
      </c>
      <c r="H61">
        <v>1</v>
      </c>
      <c r="I61" t="s">
        <v>830</v>
      </c>
      <c r="J61" t="s">
        <v>532</v>
      </c>
      <c r="K61" t="s">
        <v>531</v>
      </c>
      <c r="L61" t="s">
        <v>533</v>
      </c>
      <c r="M61" t="s">
        <v>831</v>
      </c>
      <c r="N61" t="s">
        <v>185</v>
      </c>
      <c r="O61" t="s">
        <v>185</v>
      </c>
      <c r="P61" t="s">
        <v>107</v>
      </c>
      <c r="S61" t="s">
        <v>585</v>
      </c>
      <c r="U61" t="s">
        <v>832</v>
      </c>
      <c r="V61" t="s">
        <v>833</v>
      </c>
      <c r="W61" t="s">
        <v>440</v>
      </c>
      <c r="X61" t="s">
        <v>534</v>
      </c>
      <c r="Y61" t="s">
        <v>116</v>
      </c>
      <c r="Z61" t="s">
        <v>546</v>
      </c>
      <c r="AA61" t="s">
        <v>22</v>
      </c>
      <c r="AB61" t="s">
        <v>589</v>
      </c>
      <c r="AD61" t="s">
        <v>834</v>
      </c>
      <c r="AE61" t="s">
        <v>834</v>
      </c>
      <c r="AF61">
        <v>0</v>
      </c>
      <c r="AG61">
        <v>0</v>
      </c>
      <c r="AH61">
        <v>74.75</v>
      </c>
      <c r="AI61">
        <v>0</v>
      </c>
      <c r="AJ61" t="s">
        <v>548</v>
      </c>
      <c r="AK61" t="s">
        <v>589</v>
      </c>
      <c r="AL61" t="s">
        <v>549</v>
      </c>
    </row>
    <row r="62" spans="1:38" x14ac:dyDescent="0.2">
      <c r="A62">
        <v>2822784</v>
      </c>
      <c r="B62">
        <v>8069275</v>
      </c>
      <c r="E62" t="b">
        <v>0</v>
      </c>
      <c r="F62">
        <v>72690</v>
      </c>
      <c r="G62" t="s">
        <v>835</v>
      </c>
      <c r="H62">
        <v>1</v>
      </c>
      <c r="I62" t="s">
        <v>836</v>
      </c>
      <c r="J62" t="s">
        <v>532</v>
      </c>
      <c r="K62" t="s">
        <v>533</v>
      </c>
      <c r="L62" t="s">
        <v>533</v>
      </c>
      <c r="M62" t="s">
        <v>837</v>
      </c>
      <c r="N62" t="s">
        <v>505</v>
      </c>
      <c r="O62" t="s">
        <v>505</v>
      </c>
      <c r="P62" t="s">
        <v>147</v>
      </c>
      <c r="S62" t="s">
        <v>838</v>
      </c>
      <c r="V62" t="s">
        <v>839</v>
      </c>
      <c r="W62" t="s">
        <v>440</v>
      </c>
      <c r="X62" t="s">
        <v>534</v>
      </c>
      <c r="Y62" t="s">
        <v>580</v>
      </c>
      <c r="Z62" t="s">
        <v>546</v>
      </c>
      <c r="AA62" t="s">
        <v>22</v>
      </c>
      <c r="AD62" t="s">
        <v>506</v>
      </c>
      <c r="AE62" t="s">
        <v>506</v>
      </c>
      <c r="AF62">
        <v>0</v>
      </c>
      <c r="AG62">
        <v>0</v>
      </c>
      <c r="AH62">
        <v>76.25</v>
      </c>
      <c r="AI62">
        <v>0</v>
      </c>
      <c r="AJ62" t="s">
        <v>548</v>
      </c>
    </row>
    <row r="63" spans="1:38" x14ac:dyDescent="0.2">
      <c r="A63">
        <v>1235416</v>
      </c>
      <c r="B63">
        <v>7618351</v>
      </c>
      <c r="C63">
        <v>187510</v>
      </c>
      <c r="E63" t="b">
        <v>0</v>
      </c>
      <c r="F63">
        <v>64375</v>
      </c>
      <c r="G63" t="s">
        <v>840</v>
      </c>
      <c r="H63">
        <v>1</v>
      </c>
      <c r="I63" t="s">
        <v>841</v>
      </c>
      <c r="J63" t="s">
        <v>532</v>
      </c>
      <c r="K63" t="s">
        <v>842</v>
      </c>
      <c r="L63" t="s">
        <v>533</v>
      </c>
      <c r="M63" t="s">
        <v>843</v>
      </c>
      <c r="N63" t="s">
        <v>415</v>
      </c>
      <c r="O63" t="s">
        <v>415</v>
      </c>
      <c r="P63" t="s">
        <v>416</v>
      </c>
      <c r="S63" t="s">
        <v>844</v>
      </c>
      <c r="U63" t="s">
        <v>845</v>
      </c>
      <c r="V63" t="s">
        <v>846</v>
      </c>
      <c r="W63" t="s">
        <v>440</v>
      </c>
      <c r="X63" t="s">
        <v>534</v>
      </c>
      <c r="Y63" t="s">
        <v>116</v>
      </c>
      <c r="Z63" t="s">
        <v>546</v>
      </c>
      <c r="AA63" t="s">
        <v>22</v>
      </c>
      <c r="AB63" t="s">
        <v>589</v>
      </c>
      <c r="AD63" t="s">
        <v>417</v>
      </c>
      <c r="AE63" t="s">
        <v>417</v>
      </c>
      <c r="AF63">
        <v>0</v>
      </c>
      <c r="AG63">
        <v>0</v>
      </c>
      <c r="AH63">
        <v>76.25</v>
      </c>
      <c r="AI63">
        <v>0</v>
      </c>
      <c r="AJ63" t="s">
        <v>548</v>
      </c>
      <c r="AK63" t="s">
        <v>589</v>
      </c>
      <c r="AL63" t="s">
        <v>549</v>
      </c>
    </row>
    <row r="64" spans="1:38" x14ac:dyDescent="0.2">
      <c r="A64">
        <v>1235503</v>
      </c>
      <c r="B64">
        <v>8035837</v>
      </c>
      <c r="C64">
        <v>187508</v>
      </c>
      <c r="E64" t="b">
        <v>0</v>
      </c>
      <c r="F64">
        <v>72022</v>
      </c>
      <c r="G64" t="s">
        <v>847</v>
      </c>
      <c r="H64">
        <v>1</v>
      </c>
      <c r="I64" t="s">
        <v>848</v>
      </c>
      <c r="J64" t="s">
        <v>532</v>
      </c>
      <c r="K64" t="s">
        <v>531</v>
      </c>
      <c r="L64" t="s">
        <v>533</v>
      </c>
      <c r="M64" t="s">
        <v>849</v>
      </c>
      <c r="N64" t="s">
        <v>264</v>
      </c>
      <c r="O64" t="s">
        <v>188</v>
      </c>
      <c r="P64" t="s">
        <v>411</v>
      </c>
      <c r="S64" t="s">
        <v>850</v>
      </c>
      <c r="U64" t="s">
        <v>851</v>
      </c>
      <c r="V64" t="s">
        <v>852</v>
      </c>
      <c r="W64" t="s">
        <v>440</v>
      </c>
      <c r="X64" t="s">
        <v>534</v>
      </c>
      <c r="Y64" t="s">
        <v>545</v>
      </c>
      <c r="Z64" t="s">
        <v>546</v>
      </c>
      <c r="AB64" t="s">
        <v>547</v>
      </c>
      <c r="AD64" t="s">
        <v>265</v>
      </c>
      <c r="AE64" t="s">
        <v>431</v>
      </c>
      <c r="AF64">
        <v>0</v>
      </c>
      <c r="AG64">
        <v>0</v>
      </c>
      <c r="AH64">
        <v>97</v>
      </c>
      <c r="AI64">
        <v>0</v>
      </c>
      <c r="AJ64" t="s">
        <v>548</v>
      </c>
      <c r="AK64" t="s">
        <v>547</v>
      </c>
      <c r="AL64" t="s">
        <v>549</v>
      </c>
    </row>
    <row r="65" spans="1:1" x14ac:dyDescent="0.2">
      <c r="A65">
        <v>1235768</v>
      </c>
    </row>
    <row r="66" spans="1:1" x14ac:dyDescent="0.2">
      <c r="A66">
        <v>1235769</v>
      </c>
    </row>
    <row r="67" spans="1:1" x14ac:dyDescent="0.2">
      <c r="A67">
        <v>1235540</v>
      </c>
    </row>
  </sheetData>
  <sheetProtection algorithmName="SHA-512" hashValue="CSFQ21rbMm8NbsnIjDA7W3h6zGorpTlzfVFq/ObA4U9963opKyf1Uek3BNOgj6h+i2IUYOO987kp1Gxebo6FCQ==" saltValue="SEJ56CTLMpotHz9J4mfVj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565</v>
      </c>
      <c r="B1" s="39" t="s">
        <v>563</v>
      </c>
      <c r="C1" s="39" t="s">
        <v>564</v>
      </c>
    </row>
    <row r="2" spans="1:3" x14ac:dyDescent="0.2">
      <c r="A2" s="39" t="s">
        <v>562</v>
      </c>
      <c r="B2">
        <v>-100</v>
      </c>
      <c r="C2">
        <v>450</v>
      </c>
    </row>
    <row r="3" spans="1:3" x14ac:dyDescent="0.2">
      <c r="A3" s="39" t="s">
        <v>556</v>
      </c>
      <c r="B3">
        <v>-50</v>
      </c>
      <c r="C3">
        <v>450</v>
      </c>
    </row>
    <row r="4" spans="1:3" x14ac:dyDescent="0.2">
      <c r="A4" s="39" t="s">
        <v>555</v>
      </c>
      <c r="B4">
        <v>70</v>
      </c>
      <c r="C4">
        <v>500</v>
      </c>
    </row>
    <row r="5" spans="1:3" x14ac:dyDescent="0.2">
      <c r="A5" s="39" t="s">
        <v>557</v>
      </c>
      <c r="B5">
        <v>70</v>
      </c>
      <c r="C5">
        <v>450</v>
      </c>
    </row>
    <row r="6" spans="1:3" x14ac:dyDescent="0.2">
      <c r="A6" s="39" t="s">
        <v>559</v>
      </c>
      <c r="B6">
        <v>70</v>
      </c>
      <c r="C6">
        <v>1000</v>
      </c>
    </row>
    <row r="7" spans="1:3" x14ac:dyDescent="0.2">
      <c r="A7" s="39" t="s">
        <v>560</v>
      </c>
      <c r="B7">
        <v>200</v>
      </c>
      <c r="C7">
        <v>1850</v>
      </c>
    </row>
    <row r="8" spans="1:3" x14ac:dyDescent="0.2">
      <c r="A8" s="39" t="s">
        <v>558</v>
      </c>
      <c r="B8">
        <v>700</v>
      </c>
      <c r="C8">
        <v>2200</v>
      </c>
    </row>
    <row r="9" spans="1:3" x14ac:dyDescent="0.2">
      <c r="A9" s="39" t="s">
        <v>561</v>
      </c>
      <c r="B9">
        <v>700</v>
      </c>
      <c r="C9">
        <v>2200</v>
      </c>
    </row>
  </sheetData>
  <sheetProtection algorithmName="SHA-512" hashValue="wLEaom5+fup5vFnP8l1aWExp3heL2wfH0s7+ZfmHelJZcYz5CBhR59Inj9B8e44hklzooYwuHs0PlwJUvhKpWQ==" saltValue="4StsrI9sKOxmZtbQA0MVt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912</v>
      </c>
      <c r="G1" s="39" t="s">
        <v>915</v>
      </c>
      <c r="I1" s="502" t="s">
        <v>909</v>
      </c>
      <c r="J1" s="503"/>
      <c r="L1" s="36"/>
      <c r="M1" s="452" t="s">
        <v>904</v>
      </c>
      <c r="N1" s="453" t="s">
        <v>15</v>
      </c>
      <c r="O1" s="453" t="s">
        <v>908</v>
      </c>
      <c r="P1" s="453" t="s">
        <v>898</v>
      </c>
      <c r="Q1" s="453" t="s">
        <v>14</v>
      </c>
    </row>
    <row r="2" spans="1:17" ht="13.5" thickTop="1" x14ac:dyDescent="0.2">
      <c r="A2" s="439"/>
      <c r="I2" s="463" t="s">
        <v>905</v>
      </c>
      <c r="J2" s="464">
        <f>COUNTIF(Survey[TestPoint],"&lt;=5")-1</f>
        <v>-1</v>
      </c>
      <c r="L2" s="475" t="s">
        <v>1</v>
      </c>
      <c r="M2" s="459" t="e">
        <f>_xlfn.XLOOKUP(P2,Survey[CorrectedTemp],Survey[TestPoint])</f>
        <v>#N/A</v>
      </c>
      <c r="N2" s="454">
        <f>P2-NominalTemp</f>
        <v>0</v>
      </c>
      <c r="O2" s="455" t="s">
        <v>267</v>
      </c>
      <c r="P2" s="454">
        <f>MAX(Survey[CorrectedTemp])</f>
        <v>0</v>
      </c>
      <c r="Q2" s="456" t="e">
        <f>_xlfn.XLOOKUP(P2,Survey[CorrectedTemp],Survey[Time])</f>
        <v>#N/A</v>
      </c>
    </row>
    <row r="3" spans="1:17" x14ac:dyDescent="0.2">
      <c r="I3" s="469" t="s">
        <v>913</v>
      </c>
      <c r="J3" s="470" t="e">
        <f>_xlfn.T.INV.2T(1-0.9545, DoF)</f>
        <v>#NUM!</v>
      </c>
      <c r="L3" s="475" t="s">
        <v>2</v>
      </c>
      <c r="M3" s="460" t="e">
        <f>_xlfn.XLOOKUP(P3,Survey[CorrectedTemp],Survey[TestPoint])</f>
        <v>#N/A</v>
      </c>
      <c r="N3" s="457">
        <f>P3-NominalTemp</f>
        <v>0</v>
      </c>
      <c r="O3" s="446" t="s">
        <v>268</v>
      </c>
      <c r="P3" s="457">
        <f>MIN(Survey[CorrectedTemp])</f>
        <v>0</v>
      </c>
      <c r="Q3" s="458" t="e">
        <f>_xlfn.XLOOKUP(P3,Survey[CorrectedTemp],Survey[Time])</f>
        <v>#N/A</v>
      </c>
    </row>
    <row r="4" spans="1:17" x14ac:dyDescent="0.2">
      <c r="I4" s="465" t="s">
        <v>917</v>
      </c>
      <c r="J4" s="466" cm="1">
        <f t="array" ref="J4">SUM(_xlfn._xlws.FILTER(Survey[Deviations],Survey[TestPoint]&lt;=5)^2)/DoF</f>
        <v>0</v>
      </c>
      <c r="L4" s="504" t="s">
        <v>910</v>
      </c>
      <c r="M4" s="139">
        <v>1</v>
      </c>
      <c r="O4" t="str" cm="1">
        <f t="array" ref="O4">IF(
  Main!O5 = "",
  "",
  IF(
    COUNTIF(Survey[TestPoint], Alerts[[#This Row],[TestPoint]]) = 0,
    "DROPPED",
    IF(
      OR(
        _xlfn._xlws.FILTER(
          Survey[OutOfTolerance],
          Survey[TestPoint] = Alerts[[#This Row],[TestPoint]]
        )
      ),
      "Out of Tol",
      ""
    )
  )
)</f>
        <v/>
      </c>
    </row>
    <row r="5" spans="1:17" x14ac:dyDescent="0.2">
      <c r="I5" s="469" t="s">
        <v>918</v>
      </c>
      <c r="J5" s="471" cm="1">
        <f t="array" ref="J5">VLOOKUP(NominalTemp,_xlfn._xlws.FILTER(MUG[],MUG[Meas Units]="°F"),8,TRUE)</f>
        <v>0.66776102980616914</v>
      </c>
      <c r="L5" s="504"/>
      <c r="M5" s="139">
        <v>2</v>
      </c>
      <c r="O5" t="str" cm="1">
        <f t="array" ref="O5">IF(
  Main!O6 = "",
  "",
  IF(
    COUNTIF(Survey[TestPoint], Alerts[[#This Row],[TestPoint]]) = 0,
    "DROPPED",
    IF(
      OR(
        _xlfn._xlws.FILTER(
          Survey[OutOfTolerance],
          Survey[TestPoint] = Alerts[[#This Row],[TestPoint]]
        )
      ),
      "Out of Tol",
      ""
    )
  )
)</f>
        <v/>
      </c>
    </row>
    <row r="6" spans="1:17" x14ac:dyDescent="0.2">
      <c r="I6" s="465" t="s">
        <v>916</v>
      </c>
      <c r="J6" s="466">
        <f>SQRT(Base₂^2+sp²)</f>
        <v>0.66776102980616914</v>
      </c>
      <c r="L6" s="504"/>
      <c r="M6" s="139">
        <v>3</v>
      </c>
      <c r="O6" t="str" cm="1">
        <f t="array" ref="O6">IF(
  Main!O7 = "",
  "",
  IF(
    COUNTIF(Survey[TestPoint], Alerts[[#This Row],[TestPoint]]) = 0,
    "DROPPED",
    IF(
      OR(
        _xlfn._xlws.FILTER(
          Survey[OutOfTolerance],
          Survey[TestPoint] = Alerts[[#This Row],[TestPoint]]
        )
      ),
      "Out of Tol",
      ""
    )
  )
)</f>
        <v/>
      </c>
    </row>
    <row r="7" spans="1:17" x14ac:dyDescent="0.2">
      <c r="I7" s="469" t="s">
        <v>906</v>
      </c>
      <c r="J7" s="472" t="e">
        <f>J6*k</f>
        <v>#NUM!</v>
      </c>
      <c r="L7" s="504"/>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7" t="s">
        <v>907</v>
      </c>
      <c r="J8" s="468">
        <f>VLOOKUP(NominalTemp,CMCs[],3,TRUE)</f>
        <v>1.6</v>
      </c>
      <c r="L8" s="504"/>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73" t="s">
        <v>914</v>
      </c>
      <c r="J9" s="474" t="e">
        <f>MAX(J7,J8)</f>
        <v>#NUM!</v>
      </c>
      <c r="L9" s="504"/>
      <c r="M9" s="139">
        <v>6</v>
      </c>
      <c r="O9" t="str" cm="1">
        <f t="array" ref="O9">IF(
  Main!O10 = "",
  "",
  IF(
    COUNTIF(Survey[TestPoint], Alerts[[#This Row],[TestPoint]]) = 0,
    "DROPPED",
    IF(
      OR(
        _xlfn._xlws.FILTER(
          Survey[OutOfTolerance],
          Survey[TestPoint] = Alerts[[#This Row],[TestPoint]]
        )
      ),
      "Out of Tol",
      ""
    )
  )
)</f>
        <v/>
      </c>
    </row>
    <row r="10" spans="1:17" x14ac:dyDescent="0.2">
      <c r="L10" s="504"/>
      <c r="M10" s="139">
        <v>7</v>
      </c>
      <c r="O10" t="str" cm="1">
        <f t="array" ref="O10">IF(
  Main!O11 = "",
  "",
  IF(
    COUNTIF(Survey[TestPoint], Alerts[[#This Row],[TestPoint]]) = 0,
    "DROPPED",
    IF(
      OR(
        _xlfn._xlws.FILTER(
          Survey[OutOfTolerance],
          Survey[TestPoint] = Alerts[[#This Row],[TestPoint]]
        )
      ),
      "Out of Tol",
      ""
    )
  )
)</f>
        <v/>
      </c>
    </row>
    <row r="11" spans="1:17" x14ac:dyDescent="0.2">
      <c r="L11" s="504"/>
      <c r="M11" s="139">
        <v>8</v>
      </c>
      <c r="O11" t="str" cm="1">
        <f t="array" ref="O11">IF(
  Main!O12 = "",
  "",
  IF(
    COUNTIF(Survey[TestPoint], Alerts[[#This Row],[TestPoint]]) = 0,
    "DROPPED",
    IF(
      OR(
        _xlfn._xlws.FILTER(
          Survey[OutOfTolerance],
          Survey[TestPoint] = Alerts[[#This Row],[TestPoint]]
        )
      ),
      "Out of Tol",
      ""
    )
  )
)</f>
        <v/>
      </c>
    </row>
    <row r="12" spans="1:17" x14ac:dyDescent="0.2">
      <c r="L12" s="504"/>
      <c r="M12" s="139">
        <v>9</v>
      </c>
      <c r="O12" t="str" cm="1">
        <f t="array" ref="O12">IF(
  Main!O13 = "",
  "",
  IF(
    COUNTIF(Survey[TestPoint], Alerts[[#This Row],[TestPoint]]) = 0,
    "DROPPED",
    IF(
      OR(
        _xlfn._xlws.FILTER(
          Survey[OutOfTolerance],
          Survey[TestPoint] = Alerts[[#This Row],[TestPoint]]
        )
      ),
      "Out of Tol",
      ""
    )
  )
)</f>
        <v/>
      </c>
    </row>
    <row r="13" spans="1:17" x14ac:dyDescent="0.2">
      <c r="L13" s="504"/>
      <c r="M13" s="139">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39">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39">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939</v>
      </c>
      <c r="I2" t="str" cm="1">
        <f t="array" ref="I2">TRANSPOSE(_xlfn._xlws.FILTER(CorrectionFactors[], (CorrectionFactors[point]&gt;=Main!V22) * (CorrectionFactors[point]&lt;=Main!V23), ""))</f>
        <v/>
      </c>
    </row>
    <row r="3" spans="1:9" x14ac:dyDescent="0.2">
      <c r="H3" t="s">
        <v>305</v>
      </c>
    </row>
    <row r="4" spans="1:9" x14ac:dyDescent="0.2">
      <c r="H4" t="s">
        <v>940</v>
      </c>
    </row>
    <row r="5" spans="1:9" x14ac:dyDescent="0.2">
      <c r="H5" t="s">
        <v>941</v>
      </c>
    </row>
    <row r="6" spans="1:9" x14ac:dyDescent="0.2">
      <c r="H6" t="s">
        <v>942</v>
      </c>
    </row>
    <row r="7" spans="1:9" x14ac:dyDescent="0.2">
      <c r="H7" t="s">
        <v>943</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8"/>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856</v>
      </c>
      <c r="B1" s="410" t="s">
        <v>857</v>
      </c>
    </row>
    <row r="2" spans="1:3" x14ac:dyDescent="0.2">
      <c r="A2" s="39"/>
      <c r="B2" s="39"/>
    </row>
    <row r="3" spans="1:3" x14ac:dyDescent="0.2">
      <c r="A3" s="39" t="s">
        <v>563</v>
      </c>
      <c r="B3" s="39" t="s">
        <v>564</v>
      </c>
      <c r="C3" s="39" t="s">
        <v>858</v>
      </c>
    </row>
    <row r="4" spans="1:3" x14ac:dyDescent="0.2">
      <c r="A4" s="409">
        <v>-100</v>
      </c>
      <c r="B4" s="409">
        <v>392</v>
      </c>
      <c r="C4" s="408">
        <v>1.6</v>
      </c>
    </row>
    <row r="5" spans="1:3" x14ac:dyDescent="0.2">
      <c r="A5" s="409">
        <v>392</v>
      </c>
      <c r="B5" s="409">
        <v>752</v>
      </c>
      <c r="C5" s="408">
        <v>4</v>
      </c>
    </row>
    <row r="6" spans="1:3" x14ac:dyDescent="0.2">
      <c r="A6" s="409">
        <v>752</v>
      </c>
      <c r="B6" s="409">
        <v>1200</v>
      </c>
      <c r="C6" s="408">
        <v>3</v>
      </c>
    </row>
    <row r="7" spans="1:3" x14ac:dyDescent="0.2">
      <c r="A7" s="409">
        <v>1200</v>
      </c>
      <c r="B7" s="409">
        <v>2000</v>
      </c>
      <c r="C7" s="408">
        <v>4.0999999999999996</v>
      </c>
    </row>
    <row r="8" spans="1:3" x14ac:dyDescent="0.2">
      <c r="A8" s="409">
        <v>1800</v>
      </c>
      <c r="B8" s="409">
        <v>2200</v>
      </c>
      <c r="C8" s="408">
        <v>4.0999999999999996</v>
      </c>
    </row>
  </sheetData>
  <sheetProtection algorithmName="SHA-512" hashValue="BkOQOy0A7c8EVtGxl6OQj4GUDeo1G0SJHbNTPzROlz5qr6N3B/J/LUxrwJMUoV2dI25fsHkwd2Aakk6RnF1PiA==" saltValue="d5aGCNYO767Jhk3eXKBfo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9"/>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397</v>
      </c>
      <c r="F1" t="s">
        <v>961</v>
      </c>
      <c r="G1" t="s">
        <v>962</v>
      </c>
    </row>
    <row r="2" spans="1:7" x14ac:dyDescent="0.2">
      <c r="A2" s="669"/>
      <c r="B2" s="669"/>
      <c r="C2" s="669"/>
      <c r="E2" t="e" cm="1">
        <f t="array" ref="E2">_xlfn.XLOOKUP(AssetId,AggregatedUUTRangeTol[AssetId],AggregatedUUTRangeTol[])</f>
        <v>#N/A</v>
      </c>
    </row>
    <row r="3" spans="1:7" x14ac:dyDescent="0.2">
      <c r="A3" s="669"/>
      <c r="B3" s="669"/>
      <c r="C3" s="669"/>
    </row>
    <row r="4" spans="1:7" x14ac:dyDescent="0.2">
      <c r="A4" s="669"/>
      <c r="B4" s="669"/>
      <c r="C4" s="669"/>
    </row>
    <row r="5" spans="1:7" x14ac:dyDescent="0.2">
      <c r="A5" s="669"/>
      <c r="B5" s="669"/>
      <c r="C5" s="669"/>
    </row>
    <row r="6" spans="1:7" x14ac:dyDescent="0.2">
      <c r="A6" s="669"/>
      <c r="B6" s="669"/>
      <c r="C6" s="669"/>
    </row>
    <row r="7" spans="1:7" x14ac:dyDescent="0.2">
      <c r="A7" s="669"/>
      <c r="B7" s="669"/>
      <c r="C7" s="669"/>
    </row>
    <row r="8" spans="1:7" x14ac:dyDescent="0.2">
      <c r="A8" s="669"/>
      <c r="B8" s="669"/>
      <c r="C8" s="669"/>
    </row>
    <row r="9" spans="1:7" x14ac:dyDescent="0.2">
      <c r="A9" s="669"/>
      <c r="B9" s="669"/>
      <c r="C9" s="669"/>
    </row>
    <row r="10" spans="1:7" x14ac:dyDescent="0.2">
      <c r="A10" s="669"/>
      <c r="B10" s="669"/>
      <c r="C10" s="669"/>
    </row>
    <row r="11" spans="1:7" x14ac:dyDescent="0.2">
      <c r="A11" s="669"/>
      <c r="B11" s="669"/>
      <c r="C11" s="669"/>
    </row>
    <row r="12" spans="1:7" x14ac:dyDescent="0.2">
      <c r="A12" s="669"/>
      <c r="B12" s="669"/>
      <c r="C12" s="669"/>
    </row>
    <row r="13" spans="1:7" x14ac:dyDescent="0.2">
      <c r="A13" s="669"/>
      <c r="B13" s="669"/>
      <c r="C13" s="669"/>
    </row>
    <row r="14" spans="1:7" x14ac:dyDescent="0.2">
      <c r="A14" s="669"/>
      <c r="B14" s="669"/>
      <c r="C14" s="669"/>
    </row>
    <row r="15" spans="1:7" x14ac:dyDescent="0.2">
      <c r="A15" s="669"/>
      <c r="B15" s="669"/>
      <c r="C15" s="669"/>
    </row>
    <row r="16" spans="1:7" x14ac:dyDescent="0.2">
      <c r="A16" s="669"/>
      <c r="B16" s="669"/>
      <c r="C16" s="669"/>
    </row>
    <row r="17" spans="1:3" x14ac:dyDescent="0.2">
      <c r="A17" s="669"/>
      <c r="B17" s="669"/>
      <c r="C17" s="669"/>
    </row>
    <row r="18" spans="1:3" x14ac:dyDescent="0.2">
      <c r="A18" s="669"/>
      <c r="B18" s="669"/>
      <c r="C18" s="669"/>
    </row>
    <row r="19" spans="1:3" x14ac:dyDescent="0.2">
      <c r="A19" s="669"/>
      <c r="B19" s="669"/>
      <c r="C19" s="669"/>
    </row>
    <row r="20" spans="1:3" x14ac:dyDescent="0.2">
      <c r="A20" s="669"/>
      <c r="B20" s="669"/>
      <c r="C20" s="669"/>
    </row>
    <row r="21" spans="1:3" x14ac:dyDescent="0.2">
      <c r="A21" s="669"/>
      <c r="B21" s="669"/>
      <c r="C21" s="669"/>
    </row>
    <row r="22" spans="1:3" x14ac:dyDescent="0.2">
      <c r="A22" s="669"/>
      <c r="B22" s="669"/>
      <c r="C22" s="669"/>
    </row>
    <row r="23" spans="1:3" x14ac:dyDescent="0.2">
      <c r="A23" s="669"/>
      <c r="B23" s="669"/>
      <c r="C23" s="669"/>
    </row>
    <row r="24" spans="1:3" x14ac:dyDescent="0.2">
      <c r="A24" s="669"/>
      <c r="B24" s="669"/>
      <c r="C24" s="669"/>
    </row>
    <row r="25" spans="1:3" x14ac:dyDescent="0.2">
      <c r="A25" s="669"/>
      <c r="B25" s="669"/>
      <c r="C25" s="669"/>
    </row>
    <row r="26" spans="1:3" x14ac:dyDescent="0.2">
      <c r="A26" s="669"/>
      <c r="B26" s="669"/>
      <c r="C26" s="669"/>
    </row>
    <row r="27" spans="1:3" x14ac:dyDescent="0.2">
      <c r="A27" s="669"/>
      <c r="B27" s="669"/>
      <c r="C27" s="669"/>
    </row>
    <row r="28" spans="1:3" x14ac:dyDescent="0.2">
      <c r="A28" s="669"/>
      <c r="B28" s="669"/>
      <c r="C28" s="669"/>
    </row>
    <row r="29" spans="1:3" x14ac:dyDescent="0.2">
      <c r="A29" s="669"/>
      <c r="B29" s="669"/>
      <c r="C29" s="669"/>
    </row>
    <row r="30" spans="1:3" x14ac:dyDescent="0.2">
      <c r="A30" s="669"/>
      <c r="B30" s="669"/>
      <c r="C30" s="669"/>
    </row>
    <row r="31" spans="1:3" x14ac:dyDescent="0.2">
      <c r="A31" s="669"/>
      <c r="B31" s="669"/>
      <c r="C31" s="669"/>
    </row>
    <row r="32" spans="1:3" x14ac:dyDescent="0.2">
      <c r="A32" s="669"/>
      <c r="B32" s="669"/>
      <c r="C32" s="669"/>
    </row>
    <row r="33" spans="1:3" x14ac:dyDescent="0.2">
      <c r="A33" s="669"/>
      <c r="B33" s="669"/>
      <c r="C33" s="669"/>
    </row>
    <row r="34" spans="1:3" x14ac:dyDescent="0.2">
      <c r="A34" s="669"/>
      <c r="B34" s="669"/>
      <c r="C34" s="669"/>
    </row>
    <row r="35" spans="1:3" x14ac:dyDescent="0.2">
      <c r="A35" s="669"/>
      <c r="B35" s="669"/>
      <c r="C35" s="669"/>
    </row>
    <row r="36" spans="1:3" x14ac:dyDescent="0.2">
      <c r="A36" s="669"/>
      <c r="B36" s="669"/>
      <c r="C36" s="669"/>
    </row>
    <row r="37" spans="1:3" x14ac:dyDescent="0.2">
      <c r="A37" s="669"/>
      <c r="B37" s="669"/>
      <c r="C37" s="669"/>
    </row>
    <row r="38" spans="1:3" x14ac:dyDescent="0.2">
      <c r="A38" s="669"/>
      <c r="B38" s="669"/>
      <c r="C38" s="669"/>
    </row>
    <row r="39" spans="1:3" x14ac:dyDescent="0.2">
      <c r="A39" s="669"/>
      <c r="B39" s="669"/>
      <c r="C39" s="669"/>
    </row>
    <row r="40" spans="1:3" x14ac:dyDescent="0.2">
      <c r="A40" s="669"/>
      <c r="B40" s="669"/>
      <c r="C40" s="669"/>
    </row>
    <row r="41" spans="1:3" x14ac:dyDescent="0.2">
      <c r="A41" s="669"/>
      <c r="B41" s="669"/>
      <c r="C41" s="669"/>
    </row>
    <row r="42" spans="1:3" x14ac:dyDescent="0.2">
      <c r="A42" s="669"/>
      <c r="B42" s="669"/>
      <c r="C42" s="669"/>
    </row>
    <row r="43" spans="1:3" x14ac:dyDescent="0.2">
      <c r="A43" s="669"/>
      <c r="B43" s="669"/>
      <c r="C43" s="669"/>
    </row>
    <row r="44" spans="1:3" x14ac:dyDescent="0.2">
      <c r="A44" s="669"/>
      <c r="B44" s="669"/>
      <c r="C44" s="669"/>
    </row>
    <row r="45" spans="1:3" x14ac:dyDescent="0.2">
      <c r="A45" s="669"/>
      <c r="B45" s="669"/>
      <c r="C45" s="669"/>
    </row>
    <row r="46" spans="1:3" x14ac:dyDescent="0.2">
      <c r="A46" s="669"/>
      <c r="B46" s="669"/>
      <c r="C46" s="669"/>
    </row>
    <row r="47" spans="1:3" x14ac:dyDescent="0.2">
      <c r="A47" s="669"/>
      <c r="B47" s="669"/>
      <c r="C47" s="669"/>
    </row>
    <row r="48" spans="1:3" x14ac:dyDescent="0.2">
      <c r="A48" s="669"/>
      <c r="B48" s="669"/>
      <c r="C48" s="669"/>
    </row>
    <row r="49" spans="1:3" x14ac:dyDescent="0.2">
      <c r="A49" s="669"/>
      <c r="B49" s="669"/>
      <c r="C49" s="669"/>
    </row>
    <row r="50" spans="1:3" x14ac:dyDescent="0.2">
      <c r="A50" s="669"/>
      <c r="B50" s="669"/>
      <c r="C50" s="669"/>
    </row>
    <row r="51" spans="1:3" x14ac:dyDescent="0.2">
      <c r="A51" s="669"/>
      <c r="B51" s="669"/>
      <c r="C51" s="669"/>
    </row>
    <row r="52" spans="1:3" x14ac:dyDescent="0.2">
      <c r="A52" s="669"/>
      <c r="B52" s="669"/>
      <c r="C52" s="669"/>
    </row>
    <row r="53" spans="1:3" x14ac:dyDescent="0.2">
      <c r="A53" s="669"/>
      <c r="B53" s="669"/>
      <c r="C53" s="669"/>
    </row>
    <row r="54" spans="1:3" x14ac:dyDescent="0.2">
      <c r="A54" s="669"/>
      <c r="B54" s="669"/>
      <c r="C54" s="669"/>
    </row>
    <row r="55" spans="1:3" x14ac:dyDescent="0.2">
      <c r="A55" s="669"/>
      <c r="B55" s="669"/>
      <c r="C55" s="669"/>
    </row>
    <row r="56" spans="1:3" x14ac:dyDescent="0.2">
      <c r="A56" s="669"/>
      <c r="B56" s="669"/>
      <c r="C56" s="669"/>
    </row>
    <row r="57" spans="1:3" x14ac:dyDescent="0.2">
      <c r="A57" s="669"/>
      <c r="B57" s="669"/>
      <c r="C57" s="669"/>
    </row>
    <row r="58" spans="1:3" x14ac:dyDescent="0.2">
      <c r="A58" s="669"/>
      <c r="B58" s="669"/>
      <c r="C58" s="669"/>
    </row>
    <row r="59" spans="1:3" x14ac:dyDescent="0.2">
      <c r="A59" s="669"/>
      <c r="B59" s="669"/>
      <c r="C59" s="669"/>
    </row>
    <row r="60" spans="1:3" x14ac:dyDescent="0.2">
      <c r="A60" s="669"/>
      <c r="B60" s="669"/>
      <c r="C60" s="669"/>
    </row>
    <row r="61" spans="1:3" x14ac:dyDescent="0.2">
      <c r="A61" s="669"/>
      <c r="B61" s="669"/>
      <c r="C61" s="669"/>
    </row>
    <row r="62" spans="1:3" x14ac:dyDescent="0.2">
      <c r="A62" s="669"/>
      <c r="B62" s="669"/>
      <c r="C62" s="669"/>
    </row>
    <row r="63" spans="1:3" x14ac:dyDescent="0.2">
      <c r="A63" s="669"/>
      <c r="B63" s="669"/>
      <c r="C63" s="669"/>
    </row>
    <row r="64" spans="1:3" x14ac:dyDescent="0.2">
      <c r="A64" s="669"/>
      <c r="B64" s="669"/>
      <c r="C64" s="669"/>
    </row>
    <row r="65" spans="1:3" x14ac:dyDescent="0.2">
      <c r="A65" s="669"/>
      <c r="B65" s="669"/>
      <c r="C65" s="669"/>
    </row>
    <row r="66" spans="1:3" x14ac:dyDescent="0.2">
      <c r="A66" s="669"/>
      <c r="B66" s="669"/>
      <c r="C66" s="669"/>
    </row>
    <row r="67" spans="1:3" x14ac:dyDescent="0.2">
      <c r="A67" s="669"/>
      <c r="B67" s="669"/>
      <c r="C67" s="669"/>
    </row>
    <row r="68" spans="1:3" x14ac:dyDescent="0.2">
      <c r="A68" s="669"/>
      <c r="B68" s="669"/>
      <c r="C68" s="669"/>
    </row>
    <row r="69" spans="1:3" x14ac:dyDescent="0.2">
      <c r="A69" s="669"/>
      <c r="B69" s="669"/>
      <c r="C69" s="669"/>
    </row>
    <row r="70" spans="1:3" x14ac:dyDescent="0.2">
      <c r="A70" s="669"/>
      <c r="B70" s="669"/>
      <c r="C70" s="669"/>
    </row>
    <row r="71" spans="1:3" x14ac:dyDescent="0.2">
      <c r="A71" s="669"/>
      <c r="B71" s="669"/>
      <c r="C71" s="669"/>
    </row>
    <row r="72" spans="1:3" x14ac:dyDescent="0.2">
      <c r="A72" s="669"/>
      <c r="B72" s="669"/>
      <c r="C72" s="669"/>
    </row>
    <row r="73" spans="1:3" x14ac:dyDescent="0.2">
      <c r="A73" s="669"/>
      <c r="B73" s="669"/>
      <c r="C73" s="669"/>
    </row>
    <row r="74" spans="1:3" x14ac:dyDescent="0.2">
      <c r="A74" s="669"/>
      <c r="B74" s="669"/>
      <c r="C74" s="669"/>
    </row>
    <row r="75" spans="1:3" x14ac:dyDescent="0.2">
      <c r="A75" s="669"/>
      <c r="B75" s="669"/>
      <c r="C75" s="669"/>
    </row>
    <row r="76" spans="1:3" x14ac:dyDescent="0.2">
      <c r="A76" s="669"/>
      <c r="B76" s="669"/>
      <c r="C76" s="669"/>
    </row>
    <row r="77" spans="1:3" x14ac:dyDescent="0.2">
      <c r="A77" s="669"/>
      <c r="B77" s="669"/>
      <c r="C77" s="669"/>
    </row>
    <row r="78" spans="1:3" x14ac:dyDescent="0.2">
      <c r="A78" s="669"/>
      <c r="B78" s="669"/>
      <c r="C78" s="669"/>
    </row>
    <row r="79" spans="1:3" x14ac:dyDescent="0.2">
      <c r="A79" s="669"/>
      <c r="B79" s="669"/>
      <c r="C79" s="669"/>
    </row>
    <row r="80" spans="1:3" x14ac:dyDescent="0.2">
      <c r="A80" s="669"/>
      <c r="B80" s="669"/>
      <c r="C80" s="669"/>
    </row>
    <row r="81" spans="1:3" x14ac:dyDescent="0.2">
      <c r="A81" s="669"/>
      <c r="B81" s="669"/>
      <c r="C81" s="669"/>
    </row>
    <row r="82" spans="1:3" x14ac:dyDescent="0.2">
      <c r="A82" s="669"/>
      <c r="B82" s="669"/>
      <c r="C82" s="669"/>
    </row>
    <row r="83" spans="1:3" x14ac:dyDescent="0.2">
      <c r="A83" s="669"/>
      <c r="B83" s="669"/>
      <c r="C83" s="669"/>
    </row>
    <row r="84" spans="1:3" x14ac:dyDescent="0.2">
      <c r="A84" s="669"/>
      <c r="B84" s="669"/>
      <c r="C84" s="669"/>
    </row>
    <row r="85" spans="1:3" x14ac:dyDescent="0.2">
      <c r="A85" s="669"/>
      <c r="B85" s="669"/>
      <c r="C85" s="669"/>
    </row>
    <row r="86" spans="1:3" x14ac:dyDescent="0.2">
      <c r="A86" s="669"/>
      <c r="B86" s="669"/>
      <c r="C86" s="669"/>
    </row>
    <row r="87" spans="1:3" x14ac:dyDescent="0.2">
      <c r="A87" s="669"/>
      <c r="B87" s="669"/>
      <c r="C87" s="669"/>
    </row>
    <row r="88" spans="1:3" x14ac:dyDescent="0.2">
      <c r="A88" s="669"/>
      <c r="B88" s="669"/>
      <c r="C88" s="669"/>
    </row>
    <row r="89" spans="1:3" x14ac:dyDescent="0.2">
      <c r="A89" s="669"/>
      <c r="B89" s="669"/>
      <c r="C89" s="669"/>
    </row>
    <row r="90" spans="1:3" x14ac:dyDescent="0.2">
      <c r="A90" s="669"/>
      <c r="B90" s="669"/>
      <c r="C90" s="669"/>
    </row>
    <row r="91" spans="1:3" x14ac:dyDescent="0.2">
      <c r="A91" s="669"/>
      <c r="B91" s="669"/>
      <c r="C91" s="669"/>
    </row>
    <row r="92" spans="1:3" x14ac:dyDescent="0.2">
      <c r="A92" s="669"/>
      <c r="B92" s="669"/>
      <c r="C92" s="669"/>
    </row>
    <row r="93" spans="1:3" x14ac:dyDescent="0.2">
      <c r="A93" s="669"/>
      <c r="B93" s="669"/>
      <c r="C93" s="669"/>
    </row>
    <row r="94" spans="1:3" x14ac:dyDescent="0.2">
      <c r="A94" s="669"/>
      <c r="B94" s="669"/>
      <c r="C94" s="669"/>
    </row>
    <row r="95" spans="1:3" x14ac:dyDescent="0.2">
      <c r="A95" s="669"/>
      <c r="B95" s="669"/>
      <c r="C95" s="669"/>
    </row>
    <row r="96" spans="1:3" x14ac:dyDescent="0.2">
      <c r="A96" s="669"/>
      <c r="B96" s="669"/>
      <c r="C96" s="669"/>
    </row>
    <row r="97" spans="1:3" x14ac:dyDescent="0.2">
      <c r="A97" s="669"/>
      <c r="B97" s="669"/>
      <c r="C97" s="669"/>
    </row>
    <row r="98" spans="1:3" x14ac:dyDescent="0.2">
      <c r="A98" s="669"/>
      <c r="B98" s="669"/>
      <c r="C98" s="669"/>
    </row>
    <row r="99" spans="1:3" x14ac:dyDescent="0.2">
      <c r="A99" s="669"/>
      <c r="B99" s="669"/>
      <c r="C99" s="669"/>
    </row>
    <row r="100" spans="1:3" x14ac:dyDescent="0.2">
      <c r="A100" s="669"/>
      <c r="B100" s="669"/>
      <c r="C100" s="669"/>
    </row>
    <row r="101" spans="1:3" x14ac:dyDescent="0.2">
      <c r="A101" s="669"/>
      <c r="B101" s="669"/>
      <c r="C101" s="669"/>
    </row>
    <row r="102" spans="1:3" x14ac:dyDescent="0.2">
      <c r="A102" s="669"/>
      <c r="B102" s="669"/>
      <c r="C102" s="669"/>
    </row>
    <row r="103" spans="1:3" x14ac:dyDescent="0.2">
      <c r="A103" s="669"/>
      <c r="B103" s="669"/>
      <c r="C103" s="669"/>
    </row>
    <row r="104" spans="1:3" x14ac:dyDescent="0.2">
      <c r="A104" s="669"/>
      <c r="B104" s="669"/>
      <c r="C104" s="669"/>
    </row>
    <row r="105" spans="1:3" x14ac:dyDescent="0.2">
      <c r="A105" s="669"/>
      <c r="B105" s="669"/>
      <c r="C105" s="669"/>
    </row>
    <row r="106" spans="1:3" x14ac:dyDescent="0.2">
      <c r="A106" s="669"/>
      <c r="B106" s="669"/>
      <c r="C106" s="669"/>
    </row>
    <row r="107" spans="1:3" x14ac:dyDescent="0.2">
      <c r="A107" s="669"/>
      <c r="B107" s="669"/>
      <c r="C107" s="669"/>
    </row>
    <row r="108" spans="1:3" x14ac:dyDescent="0.2">
      <c r="A108" s="669"/>
      <c r="B108" s="669"/>
      <c r="C108" s="669"/>
    </row>
    <row r="109" spans="1:3" x14ac:dyDescent="0.2">
      <c r="A109" s="669"/>
      <c r="B109" s="669"/>
      <c r="C109" s="669"/>
    </row>
    <row r="110" spans="1:3" x14ac:dyDescent="0.2">
      <c r="A110" s="669"/>
      <c r="B110" s="669"/>
      <c r="C110" s="669"/>
    </row>
    <row r="111" spans="1:3" x14ac:dyDescent="0.2">
      <c r="A111" s="669"/>
      <c r="B111" s="669"/>
      <c r="C111" s="669"/>
    </row>
    <row r="112" spans="1:3" x14ac:dyDescent="0.2">
      <c r="A112" s="669"/>
      <c r="B112" s="669"/>
      <c r="C112" s="669"/>
    </row>
    <row r="113" spans="1:3" x14ac:dyDescent="0.2">
      <c r="A113" s="669"/>
      <c r="B113" s="669"/>
      <c r="C113" s="669"/>
    </row>
    <row r="114" spans="1:3" x14ac:dyDescent="0.2">
      <c r="A114" s="669"/>
      <c r="B114" s="669"/>
      <c r="C114" s="669"/>
    </row>
    <row r="115" spans="1:3" x14ac:dyDescent="0.2">
      <c r="A115" s="669"/>
      <c r="B115" s="669"/>
      <c r="C115" s="669"/>
    </row>
    <row r="116" spans="1:3" x14ac:dyDescent="0.2">
      <c r="A116" s="669"/>
      <c r="B116" s="669"/>
      <c r="C116" s="669"/>
    </row>
    <row r="117" spans="1:3" x14ac:dyDescent="0.2">
      <c r="A117" s="669"/>
      <c r="B117" s="669"/>
      <c r="C117" s="669"/>
    </row>
    <row r="118" spans="1:3" x14ac:dyDescent="0.2">
      <c r="A118" s="669"/>
      <c r="B118" s="669"/>
      <c r="C118" s="669"/>
    </row>
    <row r="119" spans="1:3" x14ac:dyDescent="0.2">
      <c r="A119" s="669"/>
      <c r="B119" s="669"/>
      <c r="C119" s="669"/>
    </row>
    <row r="120" spans="1:3" x14ac:dyDescent="0.2">
      <c r="A120" s="669"/>
      <c r="B120" s="669"/>
      <c r="C120" s="669"/>
    </row>
    <row r="121" spans="1:3" x14ac:dyDescent="0.2">
      <c r="A121" s="669"/>
      <c r="B121" s="669"/>
      <c r="C121" s="669"/>
    </row>
    <row r="122" spans="1:3" x14ac:dyDescent="0.2">
      <c r="A122" s="669"/>
      <c r="B122" s="669"/>
      <c r="C122" s="669"/>
    </row>
    <row r="123" spans="1:3" x14ac:dyDescent="0.2">
      <c r="A123" s="669"/>
      <c r="B123" s="669"/>
      <c r="C123" s="669"/>
    </row>
    <row r="124" spans="1:3" x14ac:dyDescent="0.2">
      <c r="A124" s="669"/>
      <c r="B124" s="669"/>
      <c r="C124" s="669"/>
    </row>
    <row r="125" spans="1:3" x14ac:dyDescent="0.2">
      <c r="A125" s="669"/>
      <c r="B125" s="669"/>
      <c r="C125" s="669"/>
    </row>
    <row r="126" spans="1:3" x14ac:dyDescent="0.2">
      <c r="A126" s="669"/>
      <c r="B126" s="669"/>
      <c r="C126" s="669"/>
    </row>
    <row r="127" spans="1:3" x14ac:dyDescent="0.2">
      <c r="A127" s="669"/>
      <c r="B127" s="669"/>
      <c r="C127" s="669"/>
    </row>
    <row r="128" spans="1:3" x14ac:dyDescent="0.2">
      <c r="A128" s="669"/>
      <c r="B128" s="669"/>
      <c r="C128" s="669"/>
    </row>
    <row r="129" spans="1:3" x14ac:dyDescent="0.2">
      <c r="A129" s="669"/>
      <c r="B129" s="669"/>
      <c r="C129" s="669"/>
    </row>
    <row r="130" spans="1:3" x14ac:dyDescent="0.2">
      <c r="A130" s="669"/>
      <c r="B130" s="669"/>
      <c r="C130" s="669"/>
    </row>
    <row r="131" spans="1:3" x14ac:dyDescent="0.2">
      <c r="A131" s="669"/>
      <c r="B131" s="669"/>
      <c r="C131" s="669"/>
    </row>
    <row r="132" spans="1:3" x14ac:dyDescent="0.2">
      <c r="A132" s="669"/>
      <c r="B132" s="669"/>
      <c r="C132" s="669"/>
    </row>
    <row r="133" spans="1:3" x14ac:dyDescent="0.2">
      <c r="A133" s="669"/>
      <c r="B133" s="669"/>
      <c r="C133" s="669"/>
    </row>
    <row r="134" spans="1:3" x14ac:dyDescent="0.2">
      <c r="A134" s="669"/>
      <c r="B134" s="669"/>
      <c r="C134" s="669"/>
    </row>
    <row r="135" spans="1:3" x14ac:dyDescent="0.2">
      <c r="A135" s="669"/>
      <c r="B135" s="669"/>
      <c r="C135" s="669"/>
    </row>
    <row r="136" spans="1:3" x14ac:dyDescent="0.2">
      <c r="A136" s="669"/>
      <c r="B136" s="669"/>
      <c r="C136" s="669"/>
    </row>
    <row r="137" spans="1:3" x14ac:dyDescent="0.2">
      <c r="A137" s="669"/>
      <c r="B137" s="669"/>
      <c r="C137" s="669"/>
    </row>
    <row r="138" spans="1:3" x14ac:dyDescent="0.2">
      <c r="A138" s="669"/>
      <c r="B138" s="669"/>
      <c r="C138" s="669"/>
    </row>
    <row r="139" spans="1:3" x14ac:dyDescent="0.2">
      <c r="A139" s="669"/>
      <c r="B139" s="669"/>
      <c r="C139" s="669"/>
    </row>
    <row r="140" spans="1:3" x14ac:dyDescent="0.2">
      <c r="A140" s="669"/>
      <c r="B140" s="669"/>
      <c r="C140" s="669"/>
    </row>
    <row r="141" spans="1:3" x14ac:dyDescent="0.2">
      <c r="A141" s="669"/>
      <c r="B141" s="669"/>
      <c r="C141" s="669"/>
    </row>
    <row r="142" spans="1:3" x14ac:dyDescent="0.2">
      <c r="A142" s="669"/>
      <c r="B142" s="669"/>
      <c r="C142" s="669"/>
    </row>
    <row r="143" spans="1:3" x14ac:dyDescent="0.2">
      <c r="A143" s="669"/>
      <c r="B143" s="669"/>
      <c r="C143" s="669"/>
    </row>
    <row r="144" spans="1:3" x14ac:dyDescent="0.2">
      <c r="A144" s="669"/>
      <c r="B144" s="669"/>
      <c r="C144" s="669"/>
    </row>
    <row r="145" spans="1:3" x14ac:dyDescent="0.2">
      <c r="A145" s="669"/>
      <c r="B145" s="669"/>
      <c r="C145" s="669"/>
    </row>
    <row r="146" spans="1:3" x14ac:dyDescent="0.2">
      <c r="A146" s="669"/>
      <c r="B146" s="669"/>
      <c r="C146" s="669"/>
    </row>
    <row r="147" spans="1:3" x14ac:dyDescent="0.2">
      <c r="A147" s="669"/>
      <c r="B147" s="669"/>
      <c r="C147" s="669"/>
    </row>
    <row r="148" spans="1:3" x14ac:dyDescent="0.2">
      <c r="A148" s="669"/>
      <c r="B148" s="669"/>
      <c r="C148" s="669"/>
    </row>
    <row r="149" spans="1:3" x14ac:dyDescent="0.2">
      <c r="A149" s="669"/>
      <c r="B149" s="669"/>
      <c r="C149" s="669"/>
    </row>
    <row r="150" spans="1:3" x14ac:dyDescent="0.2">
      <c r="A150" s="669"/>
      <c r="B150" s="669"/>
      <c r="C150" s="669"/>
    </row>
    <row r="151" spans="1:3" x14ac:dyDescent="0.2">
      <c r="A151" s="669"/>
      <c r="B151" s="669"/>
      <c r="C151" s="669"/>
    </row>
    <row r="152" spans="1:3" x14ac:dyDescent="0.2">
      <c r="A152" s="669"/>
      <c r="B152" s="669"/>
      <c r="C152" s="669"/>
    </row>
    <row r="153" spans="1:3" x14ac:dyDescent="0.2">
      <c r="A153" s="669"/>
      <c r="B153" s="669"/>
      <c r="C153" s="669"/>
    </row>
    <row r="154" spans="1:3" x14ac:dyDescent="0.2">
      <c r="A154" s="669"/>
      <c r="B154" s="669"/>
      <c r="C154" s="669"/>
    </row>
    <row r="155" spans="1:3" x14ac:dyDescent="0.2">
      <c r="A155" s="669"/>
      <c r="B155" s="669"/>
      <c r="C155" s="669"/>
    </row>
    <row r="156" spans="1:3" x14ac:dyDescent="0.2">
      <c r="A156" s="669"/>
      <c r="B156" s="669"/>
      <c r="C156" s="669"/>
    </row>
    <row r="157" spans="1:3" x14ac:dyDescent="0.2">
      <c r="A157" s="669"/>
      <c r="B157" s="669"/>
      <c r="C157" s="669"/>
    </row>
    <row r="158" spans="1:3" x14ac:dyDescent="0.2">
      <c r="A158" s="669"/>
      <c r="B158" s="669"/>
      <c r="C158" s="669"/>
    </row>
    <row r="159" spans="1:3" x14ac:dyDescent="0.2">
      <c r="A159" s="669"/>
      <c r="B159" s="669"/>
      <c r="C159" s="669"/>
    </row>
    <row r="160" spans="1:3" x14ac:dyDescent="0.2">
      <c r="A160" s="669"/>
      <c r="B160" s="669"/>
      <c r="C160" s="669"/>
    </row>
    <row r="161" spans="1:3" x14ac:dyDescent="0.2">
      <c r="A161" s="669"/>
      <c r="B161" s="669"/>
      <c r="C161" s="669"/>
    </row>
    <row r="162" spans="1:3" x14ac:dyDescent="0.2">
      <c r="A162" s="669"/>
      <c r="B162" s="669"/>
      <c r="C162" s="669"/>
    </row>
    <row r="163" spans="1:3" x14ac:dyDescent="0.2">
      <c r="A163" s="669"/>
      <c r="B163" s="669"/>
      <c r="C163" s="669"/>
    </row>
    <row r="164" spans="1:3" x14ac:dyDescent="0.2">
      <c r="A164" s="669"/>
      <c r="B164" s="669"/>
      <c r="C164" s="669"/>
    </row>
    <row r="165" spans="1:3" x14ac:dyDescent="0.2">
      <c r="A165" s="669"/>
      <c r="B165" s="669"/>
      <c r="C165" s="669"/>
    </row>
    <row r="166" spans="1:3" x14ac:dyDescent="0.2">
      <c r="A166" s="669"/>
      <c r="B166" s="669"/>
      <c r="C166" s="669"/>
    </row>
    <row r="167" spans="1:3" x14ac:dyDescent="0.2">
      <c r="A167" s="669"/>
      <c r="B167" s="669"/>
      <c r="C167" s="669"/>
    </row>
    <row r="168" spans="1:3" x14ac:dyDescent="0.2">
      <c r="A168" s="669"/>
      <c r="B168" s="669"/>
      <c r="C168" s="669"/>
    </row>
    <row r="169" spans="1:3" x14ac:dyDescent="0.2">
      <c r="A169" s="669"/>
      <c r="B169" s="669"/>
      <c r="C169" s="669"/>
    </row>
    <row r="170" spans="1:3" x14ac:dyDescent="0.2">
      <c r="A170" s="669"/>
      <c r="B170" s="669"/>
      <c r="C170" s="669"/>
    </row>
    <row r="171" spans="1:3" x14ac:dyDescent="0.2">
      <c r="A171" s="669"/>
      <c r="B171" s="669"/>
      <c r="C171" s="669"/>
    </row>
    <row r="172" spans="1:3" x14ac:dyDescent="0.2">
      <c r="A172" s="669"/>
      <c r="B172" s="669"/>
      <c r="C172" s="669"/>
    </row>
    <row r="173" spans="1:3" x14ac:dyDescent="0.2">
      <c r="A173" s="669"/>
      <c r="B173" s="669"/>
      <c r="C173" s="669"/>
    </row>
    <row r="174" spans="1:3" x14ac:dyDescent="0.2">
      <c r="A174" s="669"/>
      <c r="B174" s="669"/>
      <c r="C174" s="669"/>
    </row>
    <row r="175" spans="1:3" x14ac:dyDescent="0.2">
      <c r="A175" s="669"/>
      <c r="B175" s="669"/>
      <c r="C175" s="669"/>
    </row>
    <row r="176" spans="1:3" x14ac:dyDescent="0.2">
      <c r="A176" s="669"/>
      <c r="B176" s="669"/>
      <c r="C176" s="669"/>
    </row>
    <row r="177" spans="1:3" x14ac:dyDescent="0.2">
      <c r="A177" s="669"/>
      <c r="B177" s="669"/>
      <c r="C177" s="669"/>
    </row>
    <row r="178" spans="1:3" x14ac:dyDescent="0.2">
      <c r="A178" s="669"/>
      <c r="B178" s="669"/>
      <c r="C178" s="669"/>
    </row>
    <row r="179" spans="1:3" x14ac:dyDescent="0.2">
      <c r="A179" s="669"/>
      <c r="B179" s="669"/>
      <c r="C179" s="669"/>
    </row>
    <row r="180" spans="1:3" x14ac:dyDescent="0.2">
      <c r="A180" s="669"/>
      <c r="B180" s="669"/>
      <c r="C180" s="669"/>
    </row>
    <row r="181" spans="1:3" x14ac:dyDescent="0.2">
      <c r="A181" s="669"/>
      <c r="B181" s="669"/>
      <c r="C181" s="669"/>
    </row>
    <row r="182" spans="1:3" x14ac:dyDescent="0.2">
      <c r="A182" s="669"/>
      <c r="B182" s="669"/>
      <c r="C182" s="669"/>
    </row>
    <row r="183" spans="1:3" x14ac:dyDescent="0.2">
      <c r="A183" s="669"/>
      <c r="B183" s="669"/>
      <c r="C183" s="669"/>
    </row>
    <row r="184" spans="1:3" x14ac:dyDescent="0.2">
      <c r="A184" s="669"/>
      <c r="B184" s="669"/>
      <c r="C184" s="669"/>
    </row>
    <row r="185" spans="1:3" x14ac:dyDescent="0.2">
      <c r="A185" s="669"/>
      <c r="B185" s="669"/>
      <c r="C185" s="669"/>
    </row>
    <row r="186" spans="1:3" x14ac:dyDescent="0.2">
      <c r="A186" s="669"/>
      <c r="B186" s="669"/>
      <c r="C186" s="669"/>
    </row>
    <row r="187" spans="1:3" x14ac:dyDescent="0.2">
      <c r="A187" s="669"/>
      <c r="B187" s="669"/>
      <c r="C187" s="669"/>
    </row>
    <row r="188" spans="1:3" x14ac:dyDescent="0.2">
      <c r="A188" s="669"/>
      <c r="B188" s="669"/>
      <c r="C188" s="669"/>
    </row>
    <row r="189" spans="1:3" x14ac:dyDescent="0.2">
      <c r="A189" s="669"/>
      <c r="B189" s="669"/>
      <c r="C189" s="669"/>
    </row>
    <row r="190" spans="1:3" x14ac:dyDescent="0.2">
      <c r="A190" s="669"/>
      <c r="B190" s="669"/>
      <c r="C190" s="669"/>
    </row>
    <row r="191" spans="1:3" x14ac:dyDescent="0.2">
      <c r="A191" s="669"/>
      <c r="B191" s="669"/>
      <c r="C191" s="669"/>
    </row>
    <row r="192" spans="1:3" x14ac:dyDescent="0.2">
      <c r="A192" s="669"/>
      <c r="B192" s="669"/>
      <c r="C192" s="669"/>
    </row>
    <row r="193" spans="1:3" x14ac:dyDescent="0.2">
      <c r="A193" s="669"/>
      <c r="B193" s="669"/>
      <c r="C193" s="669"/>
    </row>
    <row r="194" spans="1:3" x14ac:dyDescent="0.2">
      <c r="A194" s="669"/>
      <c r="B194" s="669"/>
      <c r="C194" s="669"/>
    </row>
    <row r="195" spans="1:3" x14ac:dyDescent="0.2">
      <c r="A195" s="669"/>
      <c r="B195" s="669"/>
      <c r="C195" s="669"/>
    </row>
    <row r="196" spans="1:3" x14ac:dyDescent="0.2">
      <c r="A196" s="669"/>
      <c r="B196" s="669"/>
      <c r="C196" s="669"/>
    </row>
    <row r="197" spans="1:3" x14ac:dyDescent="0.2">
      <c r="A197" s="669"/>
      <c r="B197" s="669"/>
      <c r="C197" s="669"/>
    </row>
    <row r="198" spans="1:3" x14ac:dyDescent="0.2">
      <c r="A198" s="669"/>
      <c r="B198" s="669"/>
      <c r="C198" s="669"/>
    </row>
    <row r="199" spans="1:3" x14ac:dyDescent="0.2">
      <c r="A199" s="669"/>
      <c r="B199" s="669"/>
      <c r="C199" s="669"/>
    </row>
    <row r="200" spans="1:3" x14ac:dyDescent="0.2">
      <c r="A200" s="669"/>
      <c r="B200" s="669"/>
      <c r="C200" s="669"/>
    </row>
    <row r="201" spans="1:3" x14ac:dyDescent="0.2">
      <c r="A201" s="669"/>
      <c r="B201" s="669"/>
      <c r="C201" s="669"/>
    </row>
    <row r="202" spans="1:3" x14ac:dyDescent="0.2">
      <c r="A202" s="669"/>
      <c r="B202" s="669"/>
      <c r="C202" s="669"/>
    </row>
    <row r="203" spans="1:3" x14ac:dyDescent="0.2">
      <c r="A203" s="669"/>
      <c r="B203" s="669"/>
      <c r="C203" s="669"/>
    </row>
    <row r="204" spans="1:3" x14ac:dyDescent="0.2">
      <c r="A204" s="669"/>
      <c r="B204" s="669"/>
      <c r="C204" s="669"/>
    </row>
    <row r="205" spans="1:3" x14ac:dyDescent="0.2">
      <c r="A205" s="669"/>
      <c r="B205" s="669"/>
      <c r="C205" s="669"/>
    </row>
    <row r="206" spans="1:3" x14ac:dyDescent="0.2">
      <c r="A206" s="669"/>
      <c r="B206" s="669"/>
      <c r="C206" s="669"/>
    </row>
    <row r="207" spans="1:3" x14ac:dyDescent="0.2">
      <c r="A207" s="669"/>
      <c r="B207" s="669"/>
      <c r="C207" s="669"/>
    </row>
    <row r="208" spans="1:3" x14ac:dyDescent="0.2">
      <c r="A208" s="669"/>
      <c r="B208" s="669"/>
      <c r="C208" s="669"/>
    </row>
    <row r="209" spans="1:3" x14ac:dyDescent="0.2">
      <c r="A209" s="669"/>
      <c r="B209" s="669"/>
      <c r="C209" s="669"/>
    </row>
    <row r="210" spans="1:3" x14ac:dyDescent="0.2">
      <c r="A210" s="669"/>
      <c r="B210" s="669"/>
      <c r="C210" s="669"/>
    </row>
    <row r="211" spans="1:3" x14ac:dyDescent="0.2">
      <c r="A211" s="669"/>
      <c r="B211" s="669"/>
      <c r="C211" s="669"/>
    </row>
    <row r="212" spans="1:3" x14ac:dyDescent="0.2">
      <c r="A212" s="669"/>
      <c r="B212" s="669"/>
      <c r="C212" s="669"/>
    </row>
    <row r="213" spans="1:3" x14ac:dyDescent="0.2">
      <c r="A213" s="669"/>
      <c r="B213" s="669"/>
      <c r="C213" s="669"/>
    </row>
    <row r="214" spans="1:3" x14ac:dyDescent="0.2">
      <c r="A214" s="669"/>
      <c r="B214" s="669"/>
      <c r="C214" s="669"/>
    </row>
    <row r="215" spans="1:3" x14ac:dyDescent="0.2">
      <c r="A215" s="669"/>
      <c r="B215" s="669"/>
      <c r="C215" s="669"/>
    </row>
    <row r="216" spans="1:3" x14ac:dyDescent="0.2">
      <c r="A216" s="669"/>
      <c r="B216" s="669"/>
      <c r="C216" s="669"/>
    </row>
    <row r="217" spans="1:3" x14ac:dyDescent="0.2">
      <c r="A217" s="669"/>
      <c r="B217" s="669"/>
      <c r="C217" s="669"/>
    </row>
    <row r="218" spans="1:3" x14ac:dyDescent="0.2">
      <c r="A218" s="669"/>
      <c r="B218" s="669"/>
      <c r="C218" s="669"/>
    </row>
    <row r="219" spans="1:3" x14ac:dyDescent="0.2">
      <c r="A219" s="669"/>
      <c r="B219" s="669"/>
      <c r="C219" s="669"/>
    </row>
    <row r="220" spans="1:3" x14ac:dyDescent="0.2">
      <c r="A220" s="669"/>
      <c r="B220" s="669"/>
      <c r="C220" s="669"/>
    </row>
    <row r="221" spans="1:3" x14ac:dyDescent="0.2">
      <c r="A221" s="669"/>
      <c r="B221" s="669"/>
      <c r="C221" s="669"/>
    </row>
    <row r="222" spans="1:3" x14ac:dyDescent="0.2">
      <c r="A222" s="669"/>
      <c r="B222" s="669"/>
      <c r="C222" s="669"/>
    </row>
    <row r="223" spans="1:3" x14ac:dyDescent="0.2">
      <c r="A223" s="669"/>
      <c r="B223" s="669"/>
      <c r="C223" s="669"/>
    </row>
    <row r="224" spans="1:3" x14ac:dyDescent="0.2">
      <c r="A224" s="669"/>
      <c r="B224" s="669"/>
      <c r="C224" s="669"/>
    </row>
    <row r="225" spans="1:3" x14ac:dyDescent="0.2">
      <c r="A225" s="669"/>
      <c r="B225" s="669"/>
      <c r="C225" s="669"/>
    </row>
    <row r="226" spans="1:3" x14ac:dyDescent="0.2">
      <c r="A226" s="669"/>
      <c r="B226" s="669"/>
      <c r="C226" s="669"/>
    </row>
    <row r="227" spans="1:3" x14ac:dyDescent="0.2">
      <c r="A227" s="669"/>
      <c r="B227" s="669"/>
      <c r="C227" s="669"/>
    </row>
    <row r="228" spans="1:3" x14ac:dyDescent="0.2">
      <c r="A228" s="669"/>
      <c r="B228" s="669"/>
      <c r="C228" s="669"/>
    </row>
    <row r="229" spans="1:3" x14ac:dyDescent="0.2">
      <c r="A229" s="669"/>
      <c r="B229" s="669"/>
      <c r="C229" s="669"/>
    </row>
    <row r="230" spans="1:3" x14ac:dyDescent="0.2">
      <c r="A230" s="669"/>
      <c r="B230" s="669"/>
      <c r="C230" s="669"/>
    </row>
    <row r="231" spans="1:3" x14ac:dyDescent="0.2">
      <c r="A231" s="669"/>
      <c r="B231" s="669"/>
      <c r="C231" s="669"/>
    </row>
    <row r="232" spans="1:3" x14ac:dyDescent="0.2">
      <c r="A232" s="669"/>
      <c r="B232" s="669"/>
      <c r="C232" s="669"/>
    </row>
    <row r="233" spans="1:3" x14ac:dyDescent="0.2">
      <c r="A233" s="669"/>
      <c r="B233" s="669"/>
      <c r="C233" s="669"/>
    </row>
    <row r="234" spans="1:3" x14ac:dyDescent="0.2">
      <c r="A234" s="669"/>
      <c r="B234" s="669"/>
      <c r="C234" s="669"/>
    </row>
    <row r="235" spans="1:3" x14ac:dyDescent="0.2">
      <c r="A235" s="669"/>
      <c r="B235" s="669"/>
      <c r="C235" s="669"/>
    </row>
    <row r="236" spans="1:3" x14ac:dyDescent="0.2">
      <c r="A236" s="669"/>
      <c r="B236" s="669"/>
      <c r="C236" s="669"/>
    </row>
    <row r="237" spans="1:3" x14ac:dyDescent="0.2">
      <c r="A237" s="669"/>
      <c r="B237" s="669"/>
      <c r="C237" s="669"/>
    </row>
    <row r="238" spans="1:3" x14ac:dyDescent="0.2">
      <c r="A238" s="669"/>
      <c r="B238" s="669"/>
      <c r="C238" s="669"/>
    </row>
    <row r="239" spans="1:3" x14ac:dyDescent="0.2">
      <c r="A239" s="669"/>
      <c r="B239" s="669"/>
      <c r="C239" s="669"/>
    </row>
    <row r="240" spans="1:3" x14ac:dyDescent="0.2">
      <c r="A240" s="669"/>
      <c r="B240" s="669"/>
      <c r="C240" s="669"/>
    </row>
    <row r="241" spans="1:3" x14ac:dyDescent="0.2">
      <c r="A241" s="669"/>
      <c r="B241" s="669"/>
      <c r="C241" s="669"/>
    </row>
    <row r="242" spans="1:3" x14ac:dyDescent="0.2">
      <c r="A242" s="669"/>
      <c r="B242" s="669"/>
      <c r="C242" s="669"/>
    </row>
    <row r="243" spans="1:3" x14ac:dyDescent="0.2">
      <c r="A243" s="669"/>
      <c r="B243" s="669"/>
      <c r="C243" s="669"/>
    </row>
    <row r="244" spans="1:3" x14ac:dyDescent="0.2">
      <c r="A244" s="669"/>
      <c r="B244" s="669"/>
      <c r="C244" s="669"/>
    </row>
    <row r="245" spans="1:3" x14ac:dyDescent="0.2">
      <c r="A245" s="669"/>
      <c r="B245" s="669"/>
      <c r="C245" s="669"/>
    </row>
    <row r="246" spans="1:3" x14ac:dyDescent="0.2">
      <c r="A246" s="669"/>
      <c r="B246" s="669"/>
      <c r="C246" s="669"/>
    </row>
    <row r="247" spans="1:3" x14ac:dyDescent="0.2">
      <c r="A247" s="669"/>
      <c r="B247" s="669"/>
      <c r="C247" s="669"/>
    </row>
    <row r="248" spans="1:3" x14ac:dyDescent="0.2">
      <c r="A248" s="669"/>
      <c r="B248" s="669"/>
      <c r="C248" s="669"/>
    </row>
    <row r="249" spans="1:3" x14ac:dyDescent="0.2">
      <c r="A249" s="669"/>
      <c r="B249" s="669"/>
      <c r="C249" s="669"/>
    </row>
    <row r="250" spans="1:3" x14ac:dyDescent="0.2">
      <c r="A250" s="669"/>
      <c r="B250" s="669"/>
      <c r="C250" s="669"/>
    </row>
    <row r="251" spans="1:3" x14ac:dyDescent="0.2">
      <c r="A251" s="669"/>
      <c r="B251" s="669"/>
      <c r="C251" s="669"/>
    </row>
    <row r="252" spans="1:3" x14ac:dyDescent="0.2">
      <c r="A252" s="669"/>
      <c r="B252" s="669"/>
      <c r="C252" s="669"/>
    </row>
    <row r="253" spans="1:3" x14ac:dyDescent="0.2">
      <c r="A253" s="669"/>
      <c r="B253" s="669"/>
      <c r="C253" s="669"/>
    </row>
    <row r="254" spans="1:3" x14ac:dyDescent="0.2">
      <c r="A254" s="669"/>
      <c r="B254" s="669"/>
      <c r="C254" s="669"/>
    </row>
    <row r="255" spans="1:3" x14ac:dyDescent="0.2">
      <c r="A255" s="669"/>
      <c r="B255" s="669"/>
      <c r="C255" s="669"/>
    </row>
    <row r="256" spans="1:3" x14ac:dyDescent="0.2">
      <c r="A256" s="669"/>
      <c r="B256" s="669"/>
      <c r="C256" s="669"/>
    </row>
    <row r="257" spans="1:3" x14ac:dyDescent="0.2">
      <c r="A257" s="669"/>
      <c r="B257" s="669"/>
      <c r="C257" s="669"/>
    </row>
    <row r="258" spans="1:3" x14ac:dyDescent="0.2">
      <c r="A258" s="669"/>
      <c r="B258" s="669"/>
      <c r="C258" s="669"/>
    </row>
    <row r="259" spans="1:3" x14ac:dyDescent="0.2">
      <c r="A259" s="669"/>
      <c r="B259" s="669"/>
      <c r="C259" s="669"/>
    </row>
    <row r="260" spans="1:3" x14ac:dyDescent="0.2">
      <c r="A260" s="669"/>
      <c r="B260" s="669"/>
      <c r="C260" s="669"/>
    </row>
    <row r="261" spans="1:3" x14ac:dyDescent="0.2">
      <c r="A261" s="669"/>
      <c r="B261" s="669"/>
      <c r="C261" s="669"/>
    </row>
    <row r="262" spans="1:3" x14ac:dyDescent="0.2">
      <c r="A262" s="669"/>
      <c r="B262" s="669"/>
      <c r="C262" s="669"/>
    </row>
    <row r="263" spans="1:3" x14ac:dyDescent="0.2">
      <c r="A263" s="669"/>
      <c r="B263" s="669"/>
      <c r="C263" s="669"/>
    </row>
    <row r="264" spans="1:3" x14ac:dyDescent="0.2">
      <c r="A264" s="669"/>
      <c r="B264" s="669"/>
      <c r="C264" s="669"/>
    </row>
    <row r="265" spans="1:3" x14ac:dyDescent="0.2">
      <c r="A265" s="669"/>
      <c r="B265" s="669"/>
      <c r="C265" s="669"/>
    </row>
    <row r="266" spans="1:3" x14ac:dyDescent="0.2">
      <c r="A266" s="669"/>
      <c r="B266" s="669"/>
      <c r="C266" s="669"/>
    </row>
    <row r="267" spans="1:3" x14ac:dyDescent="0.2">
      <c r="A267" s="669"/>
      <c r="B267" s="669"/>
      <c r="C267" s="669"/>
    </row>
    <row r="268" spans="1:3" x14ac:dyDescent="0.2">
      <c r="A268" s="669"/>
      <c r="B268" s="669"/>
      <c r="C268" s="669"/>
    </row>
    <row r="269" spans="1:3" x14ac:dyDescent="0.2">
      <c r="A269" s="669"/>
      <c r="B269" s="669"/>
      <c r="C269" s="669"/>
    </row>
    <row r="270" spans="1:3" x14ac:dyDescent="0.2">
      <c r="A270" s="669"/>
      <c r="B270" s="669"/>
      <c r="C270" s="669"/>
    </row>
    <row r="271" spans="1:3" x14ac:dyDescent="0.2">
      <c r="A271" s="669"/>
      <c r="B271" s="669"/>
      <c r="C271" s="669"/>
    </row>
    <row r="272" spans="1:3" x14ac:dyDescent="0.2">
      <c r="A272" s="669"/>
      <c r="B272" s="669"/>
      <c r="C272" s="669"/>
    </row>
    <row r="273" spans="1:3" x14ac:dyDescent="0.2">
      <c r="A273" s="669"/>
      <c r="B273" s="669"/>
      <c r="C273" s="669"/>
    </row>
    <row r="274" spans="1:3" x14ac:dyDescent="0.2">
      <c r="A274" s="669"/>
      <c r="B274" s="669"/>
      <c r="C274" s="669"/>
    </row>
    <row r="275" spans="1:3" x14ac:dyDescent="0.2">
      <c r="A275" s="669"/>
      <c r="B275" s="669"/>
      <c r="C275" s="669"/>
    </row>
    <row r="276" spans="1:3" x14ac:dyDescent="0.2">
      <c r="A276" s="669"/>
      <c r="B276" s="669"/>
      <c r="C276" s="669"/>
    </row>
    <row r="277" spans="1:3" x14ac:dyDescent="0.2">
      <c r="A277" s="669"/>
      <c r="B277" s="669"/>
      <c r="C277" s="669"/>
    </row>
    <row r="278" spans="1:3" x14ac:dyDescent="0.2">
      <c r="A278" s="669"/>
      <c r="B278" s="669"/>
      <c r="C278" s="669"/>
    </row>
    <row r="279" spans="1:3" x14ac:dyDescent="0.2">
      <c r="A279" s="669"/>
      <c r="B279" s="669"/>
      <c r="C279" s="669"/>
    </row>
    <row r="280" spans="1:3" x14ac:dyDescent="0.2">
      <c r="A280" s="669"/>
      <c r="B280" s="669"/>
      <c r="C280" s="669"/>
    </row>
    <row r="281" spans="1:3" x14ac:dyDescent="0.2">
      <c r="A281" s="669"/>
      <c r="B281" s="669"/>
      <c r="C281" s="669"/>
    </row>
    <row r="282" spans="1:3" x14ac:dyDescent="0.2">
      <c r="A282" s="669"/>
      <c r="B282" s="669"/>
      <c r="C282" s="669"/>
    </row>
    <row r="283" spans="1:3" x14ac:dyDescent="0.2">
      <c r="A283" s="669"/>
      <c r="B283" s="669"/>
      <c r="C283" s="669"/>
    </row>
    <row r="284" spans="1:3" x14ac:dyDescent="0.2">
      <c r="A284" s="669"/>
      <c r="B284" s="669"/>
      <c r="C284" s="669"/>
    </row>
    <row r="285" spans="1:3" x14ac:dyDescent="0.2">
      <c r="A285" s="669"/>
      <c r="B285" s="669"/>
      <c r="C285" s="669"/>
    </row>
    <row r="286" spans="1:3" x14ac:dyDescent="0.2">
      <c r="A286" s="669"/>
      <c r="B286" s="669"/>
      <c r="C286" s="669"/>
    </row>
    <row r="287" spans="1:3" x14ac:dyDescent="0.2">
      <c r="A287" s="669"/>
      <c r="B287" s="669"/>
      <c r="C287" s="669"/>
    </row>
    <row r="288" spans="1:3" x14ac:dyDescent="0.2">
      <c r="A288" s="669"/>
      <c r="B288" s="669"/>
      <c r="C288" s="669"/>
    </row>
    <row r="289" spans="1:3" x14ac:dyDescent="0.2">
      <c r="A289" s="669"/>
      <c r="B289" s="669"/>
      <c r="C289" s="669"/>
    </row>
    <row r="290" spans="1:3" x14ac:dyDescent="0.2">
      <c r="A290" s="669"/>
      <c r="B290" s="669"/>
      <c r="C290" s="669"/>
    </row>
    <row r="291" spans="1:3" x14ac:dyDescent="0.2">
      <c r="A291" s="669"/>
      <c r="B291" s="669"/>
      <c r="C291" s="669"/>
    </row>
    <row r="292" spans="1:3" x14ac:dyDescent="0.2">
      <c r="A292" s="669"/>
      <c r="B292" s="669"/>
      <c r="C292" s="669"/>
    </row>
    <row r="293" spans="1:3" x14ac:dyDescent="0.2">
      <c r="A293" s="669"/>
      <c r="B293" s="669"/>
      <c r="C293" s="669"/>
    </row>
    <row r="294" spans="1:3" x14ac:dyDescent="0.2">
      <c r="A294" s="669"/>
      <c r="B294" s="669"/>
      <c r="C294" s="669"/>
    </row>
    <row r="295" spans="1:3" x14ac:dyDescent="0.2">
      <c r="A295" s="669"/>
      <c r="B295" s="669"/>
      <c r="C295" s="669"/>
    </row>
    <row r="296" spans="1:3" x14ac:dyDescent="0.2">
      <c r="A296" s="669"/>
      <c r="B296" s="669"/>
      <c r="C296" s="669"/>
    </row>
    <row r="297" spans="1:3" x14ac:dyDescent="0.2">
      <c r="A297" s="669"/>
      <c r="B297" s="669"/>
      <c r="C297" s="669"/>
    </row>
    <row r="298" spans="1:3" x14ac:dyDescent="0.2">
      <c r="A298" s="669"/>
      <c r="B298" s="669"/>
      <c r="C298" s="669"/>
    </row>
    <row r="299" spans="1:3" x14ac:dyDescent="0.2">
      <c r="A299" s="669"/>
      <c r="B299" s="669"/>
      <c r="C299" s="669"/>
    </row>
    <row r="300" spans="1:3" x14ac:dyDescent="0.2">
      <c r="A300" s="669"/>
      <c r="B300" s="669"/>
      <c r="C300" s="669"/>
    </row>
    <row r="301" spans="1:3" x14ac:dyDescent="0.2">
      <c r="A301" s="669"/>
      <c r="B301" s="669"/>
      <c r="C301" s="669"/>
    </row>
    <row r="302" spans="1:3" x14ac:dyDescent="0.2">
      <c r="A302" s="669"/>
      <c r="B302" s="669"/>
      <c r="C302" s="669"/>
    </row>
    <row r="303" spans="1:3" x14ac:dyDescent="0.2">
      <c r="A303" s="669"/>
      <c r="B303" s="669"/>
      <c r="C303" s="669"/>
    </row>
    <row r="304" spans="1:3" x14ac:dyDescent="0.2">
      <c r="A304" s="669"/>
      <c r="B304" s="669"/>
      <c r="C304" s="669"/>
    </row>
    <row r="305" spans="1:3" x14ac:dyDescent="0.2">
      <c r="A305" s="669"/>
      <c r="B305" s="669"/>
      <c r="C305" s="669"/>
    </row>
    <row r="306" spans="1:3" x14ac:dyDescent="0.2">
      <c r="A306" s="669"/>
      <c r="B306" s="669"/>
      <c r="C306" s="669"/>
    </row>
    <row r="307" spans="1:3" x14ac:dyDescent="0.2">
      <c r="A307" s="669"/>
      <c r="B307" s="669"/>
      <c r="C307" s="669"/>
    </row>
    <row r="308" spans="1:3" x14ac:dyDescent="0.2">
      <c r="A308" s="669"/>
      <c r="B308" s="669"/>
      <c r="C308" s="669"/>
    </row>
    <row r="309" spans="1:3" x14ac:dyDescent="0.2">
      <c r="A309" s="669"/>
      <c r="B309" s="669"/>
      <c r="C309" s="669"/>
    </row>
    <row r="310" spans="1:3" x14ac:dyDescent="0.2">
      <c r="A310" s="669"/>
      <c r="B310" s="669"/>
      <c r="C310" s="669"/>
    </row>
    <row r="311" spans="1:3" x14ac:dyDescent="0.2">
      <c r="A311" s="669"/>
      <c r="B311" s="669"/>
      <c r="C311" s="669"/>
    </row>
    <row r="312" spans="1:3" x14ac:dyDescent="0.2">
      <c r="A312" s="669"/>
      <c r="B312" s="669"/>
      <c r="C312" s="669"/>
    </row>
    <row r="313" spans="1:3" x14ac:dyDescent="0.2">
      <c r="A313" s="669"/>
      <c r="B313" s="669"/>
      <c r="C313" s="669"/>
    </row>
    <row r="314" spans="1:3" x14ac:dyDescent="0.2">
      <c r="A314" s="669"/>
      <c r="B314" s="669"/>
      <c r="C314" s="669"/>
    </row>
    <row r="315" spans="1:3" x14ac:dyDescent="0.2">
      <c r="A315" s="669"/>
      <c r="B315" s="669"/>
      <c r="C315" s="669"/>
    </row>
    <row r="316" spans="1:3" x14ac:dyDescent="0.2">
      <c r="A316" s="669"/>
      <c r="B316" s="669"/>
      <c r="C316" s="669"/>
    </row>
    <row r="317" spans="1:3" x14ac:dyDescent="0.2">
      <c r="A317" s="669"/>
      <c r="B317" s="669"/>
      <c r="C317" s="669"/>
    </row>
    <row r="318" spans="1:3" x14ac:dyDescent="0.2">
      <c r="A318" s="669"/>
      <c r="B318" s="669"/>
      <c r="C318" s="669"/>
    </row>
    <row r="319" spans="1:3" x14ac:dyDescent="0.2">
      <c r="A319" s="669"/>
      <c r="B319" s="669"/>
      <c r="C319" s="669"/>
    </row>
    <row r="320" spans="1:3" x14ac:dyDescent="0.2">
      <c r="A320" s="669"/>
      <c r="B320" s="669"/>
      <c r="C320" s="669"/>
    </row>
    <row r="321" spans="1:3" x14ac:dyDescent="0.2">
      <c r="A321" s="669"/>
      <c r="B321" s="669"/>
      <c r="C321" s="669"/>
    </row>
    <row r="322" spans="1:3" x14ac:dyDescent="0.2">
      <c r="A322" s="669"/>
      <c r="B322" s="669"/>
      <c r="C322" s="669"/>
    </row>
    <row r="323" spans="1:3" x14ac:dyDescent="0.2">
      <c r="A323" s="669"/>
      <c r="B323" s="669"/>
      <c r="C323" s="669"/>
    </row>
    <row r="324" spans="1:3" x14ac:dyDescent="0.2">
      <c r="A324" s="669"/>
      <c r="B324" s="669"/>
      <c r="C324" s="669"/>
    </row>
    <row r="325" spans="1:3" x14ac:dyDescent="0.2">
      <c r="A325" s="669"/>
      <c r="B325" s="669"/>
      <c r="C325" s="669"/>
    </row>
    <row r="326" spans="1:3" x14ac:dyDescent="0.2">
      <c r="A326" s="669"/>
      <c r="B326" s="669"/>
      <c r="C326" s="669"/>
    </row>
    <row r="327" spans="1:3" x14ac:dyDescent="0.2">
      <c r="A327" s="669"/>
      <c r="B327" s="669"/>
      <c r="C327" s="669"/>
    </row>
    <row r="328" spans="1:3" x14ac:dyDescent="0.2">
      <c r="A328" s="669"/>
      <c r="B328" s="669"/>
      <c r="C328" s="669"/>
    </row>
    <row r="329" spans="1:3" x14ac:dyDescent="0.2">
      <c r="A329" s="669"/>
      <c r="B329" s="669"/>
      <c r="C329" s="669"/>
    </row>
    <row r="330" spans="1:3" x14ac:dyDescent="0.2">
      <c r="A330" s="669"/>
      <c r="B330" s="669"/>
      <c r="C330" s="669"/>
    </row>
    <row r="331" spans="1:3" x14ac:dyDescent="0.2">
      <c r="A331" s="669"/>
      <c r="B331" s="669"/>
      <c r="C331" s="669"/>
    </row>
    <row r="332" spans="1:3" x14ac:dyDescent="0.2">
      <c r="A332" s="669"/>
      <c r="B332" s="669"/>
      <c r="C332" s="669"/>
    </row>
    <row r="333" spans="1:3" x14ac:dyDescent="0.2">
      <c r="A333" s="669"/>
      <c r="B333" s="669"/>
      <c r="C333" s="669"/>
    </row>
    <row r="334" spans="1:3" x14ac:dyDescent="0.2">
      <c r="A334" s="669"/>
      <c r="B334" s="669"/>
      <c r="C334" s="669"/>
    </row>
    <row r="335" spans="1:3" x14ac:dyDescent="0.2">
      <c r="A335" s="669"/>
      <c r="B335" s="669"/>
      <c r="C335" s="669"/>
    </row>
    <row r="336" spans="1:3" x14ac:dyDescent="0.2">
      <c r="A336" s="669"/>
      <c r="B336" s="669"/>
      <c r="C336" s="669"/>
    </row>
    <row r="337" spans="1:3" x14ac:dyDescent="0.2">
      <c r="A337" s="669"/>
      <c r="B337" s="669"/>
      <c r="C337" s="669"/>
    </row>
    <row r="338" spans="1:3" x14ac:dyDescent="0.2">
      <c r="A338" s="669"/>
      <c r="B338" s="669"/>
      <c r="C338" s="669"/>
    </row>
    <row r="339" spans="1:3" x14ac:dyDescent="0.2">
      <c r="A339" s="669"/>
      <c r="B339" s="669"/>
      <c r="C339" s="669"/>
    </row>
    <row r="340" spans="1:3" x14ac:dyDescent="0.2">
      <c r="A340" s="669"/>
      <c r="B340" s="669"/>
      <c r="C340" s="669"/>
    </row>
    <row r="341" spans="1:3" x14ac:dyDescent="0.2">
      <c r="A341" s="669"/>
      <c r="B341" s="669"/>
      <c r="C341" s="669"/>
    </row>
    <row r="342" spans="1:3" x14ac:dyDescent="0.2">
      <c r="A342" s="669"/>
      <c r="B342" s="669"/>
      <c r="C342" s="669"/>
    </row>
    <row r="343" spans="1:3" x14ac:dyDescent="0.2">
      <c r="A343" s="669"/>
      <c r="B343" s="669"/>
      <c r="C343" s="669"/>
    </row>
    <row r="344" spans="1:3" x14ac:dyDescent="0.2">
      <c r="A344" s="669"/>
      <c r="B344" s="669"/>
      <c r="C344" s="669"/>
    </row>
    <row r="345" spans="1:3" x14ac:dyDescent="0.2">
      <c r="A345" s="669"/>
      <c r="B345" s="669"/>
      <c r="C345" s="669"/>
    </row>
    <row r="346" spans="1:3" x14ac:dyDescent="0.2">
      <c r="A346" s="669"/>
      <c r="B346" s="669"/>
      <c r="C346" s="669"/>
    </row>
    <row r="347" spans="1:3" x14ac:dyDescent="0.2">
      <c r="A347" s="669"/>
      <c r="B347" s="669"/>
      <c r="C347" s="669"/>
    </row>
    <row r="348" spans="1:3" x14ac:dyDescent="0.2">
      <c r="A348" s="669"/>
      <c r="B348" s="669"/>
      <c r="C348" s="669"/>
    </row>
    <row r="349" spans="1:3" x14ac:dyDescent="0.2">
      <c r="A349" s="669"/>
      <c r="B349" s="669"/>
      <c r="C349" s="669"/>
    </row>
    <row r="350" spans="1:3" x14ac:dyDescent="0.2">
      <c r="A350" s="669"/>
      <c r="B350" s="669"/>
      <c r="C350" s="669"/>
    </row>
    <row r="351" spans="1:3" x14ac:dyDescent="0.2">
      <c r="A351" s="669"/>
      <c r="B351" s="669"/>
      <c r="C351" s="669"/>
    </row>
    <row r="352" spans="1:3" x14ac:dyDescent="0.2">
      <c r="A352" s="669"/>
      <c r="B352" s="669"/>
      <c r="C352" s="669"/>
    </row>
    <row r="353" spans="1:3" x14ac:dyDescent="0.2">
      <c r="A353" s="669"/>
      <c r="B353" s="669"/>
      <c r="C353" s="669"/>
    </row>
    <row r="354" spans="1:3" x14ac:dyDescent="0.2">
      <c r="A354" s="669"/>
      <c r="B354" s="669"/>
      <c r="C354" s="669"/>
    </row>
    <row r="355" spans="1:3" x14ac:dyDescent="0.2">
      <c r="A355" s="669"/>
      <c r="B355" s="669"/>
      <c r="C355" s="669"/>
    </row>
    <row r="356" spans="1:3" x14ac:dyDescent="0.2">
      <c r="A356" s="669"/>
      <c r="B356" s="669"/>
      <c r="C356" s="669"/>
    </row>
    <row r="357" spans="1:3" x14ac:dyDescent="0.2">
      <c r="A357" s="669"/>
      <c r="B357" s="669"/>
      <c r="C357" s="669"/>
    </row>
    <row r="358" spans="1:3" x14ac:dyDescent="0.2">
      <c r="A358" s="669"/>
      <c r="B358" s="669"/>
      <c r="C358" s="669"/>
    </row>
    <row r="359" spans="1:3" x14ac:dyDescent="0.2">
      <c r="A359" s="669"/>
      <c r="B359" s="669"/>
      <c r="C359" s="669"/>
    </row>
    <row r="360" spans="1:3" x14ac:dyDescent="0.2">
      <c r="A360" s="669"/>
      <c r="B360" s="669"/>
      <c r="C360" s="669"/>
    </row>
    <row r="361" spans="1:3" x14ac:dyDescent="0.2">
      <c r="A361" s="669"/>
      <c r="B361" s="669"/>
      <c r="C361" s="669"/>
    </row>
    <row r="362" spans="1:3" x14ac:dyDescent="0.2">
      <c r="A362" s="669"/>
      <c r="B362" s="669"/>
      <c r="C362" s="669"/>
    </row>
    <row r="363" spans="1:3" x14ac:dyDescent="0.2">
      <c r="A363" s="669"/>
      <c r="B363" s="669"/>
      <c r="C363" s="669"/>
    </row>
    <row r="364" spans="1:3" x14ac:dyDescent="0.2">
      <c r="A364" s="669"/>
      <c r="B364" s="669"/>
      <c r="C364" s="669"/>
    </row>
    <row r="365" spans="1:3" x14ac:dyDescent="0.2">
      <c r="A365" s="669"/>
      <c r="B365" s="669"/>
      <c r="C365" s="669"/>
    </row>
    <row r="366" spans="1:3" x14ac:dyDescent="0.2">
      <c r="A366" s="669"/>
      <c r="B366" s="669"/>
      <c r="C366" s="669"/>
    </row>
    <row r="367" spans="1:3" x14ac:dyDescent="0.2">
      <c r="A367" s="669"/>
      <c r="B367" s="669"/>
      <c r="C367" s="669"/>
    </row>
    <row r="368" spans="1:3" x14ac:dyDescent="0.2">
      <c r="A368" s="669"/>
      <c r="B368" s="669"/>
      <c r="C368" s="669"/>
    </row>
    <row r="369" spans="1:3" x14ac:dyDescent="0.2">
      <c r="A369" s="669"/>
      <c r="B369" s="669"/>
      <c r="C369" s="669"/>
    </row>
    <row r="370" spans="1:3" x14ac:dyDescent="0.2">
      <c r="A370" s="669"/>
      <c r="B370" s="669"/>
      <c r="C370" s="669"/>
    </row>
    <row r="371" spans="1:3" x14ac:dyDescent="0.2">
      <c r="A371" s="669"/>
      <c r="B371" s="669"/>
      <c r="C371" s="669"/>
    </row>
    <row r="372" spans="1:3" x14ac:dyDescent="0.2">
      <c r="A372" s="669"/>
      <c r="B372" s="669"/>
      <c r="C372" s="669"/>
    </row>
    <row r="373" spans="1:3" x14ac:dyDescent="0.2">
      <c r="A373" s="669"/>
      <c r="B373" s="669"/>
      <c r="C373" s="669"/>
    </row>
    <row r="374" spans="1:3" x14ac:dyDescent="0.2">
      <c r="A374" s="669"/>
      <c r="B374" s="669"/>
      <c r="C374" s="669"/>
    </row>
    <row r="375" spans="1:3" x14ac:dyDescent="0.2">
      <c r="A375" s="669"/>
      <c r="B375" s="669"/>
      <c r="C375" s="669"/>
    </row>
    <row r="376" spans="1:3" x14ac:dyDescent="0.2">
      <c r="A376" s="669"/>
      <c r="B376" s="669"/>
      <c r="C376" s="669"/>
    </row>
    <row r="377" spans="1:3" x14ac:dyDescent="0.2">
      <c r="A377" s="669"/>
      <c r="B377" s="669"/>
      <c r="C377" s="669"/>
    </row>
    <row r="378" spans="1:3" x14ac:dyDescent="0.2">
      <c r="A378" s="669"/>
      <c r="B378" s="669"/>
      <c r="C378" s="669"/>
    </row>
    <row r="379" spans="1:3" x14ac:dyDescent="0.2">
      <c r="A379" s="669"/>
      <c r="B379" s="669"/>
      <c r="C379" s="669"/>
    </row>
    <row r="380" spans="1:3" x14ac:dyDescent="0.2">
      <c r="A380" s="669"/>
      <c r="B380" s="669"/>
      <c r="C380" s="669"/>
    </row>
    <row r="381" spans="1:3" x14ac:dyDescent="0.2">
      <c r="A381" s="669"/>
      <c r="B381" s="669"/>
      <c r="C381" s="669"/>
    </row>
    <row r="382" spans="1:3" x14ac:dyDescent="0.2">
      <c r="A382" s="669"/>
      <c r="B382" s="669"/>
      <c r="C382" s="669"/>
    </row>
    <row r="383" spans="1:3" x14ac:dyDescent="0.2">
      <c r="A383" s="669"/>
      <c r="B383" s="669"/>
      <c r="C383" s="669"/>
    </row>
    <row r="384" spans="1:3" x14ac:dyDescent="0.2">
      <c r="A384" s="669"/>
      <c r="B384" s="669"/>
      <c r="C384" s="669"/>
    </row>
    <row r="385" spans="1:3" x14ac:dyDescent="0.2">
      <c r="A385" s="669"/>
      <c r="B385" s="669"/>
      <c r="C385" s="669"/>
    </row>
    <row r="386" spans="1:3" x14ac:dyDescent="0.2">
      <c r="A386" s="669"/>
      <c r="B386" s="669"/>
      <c r="C386" s="669"/>
    </row>
    <row r="387" spans="1:3" x14ac:dyDescent="0.2">
      <c r="A387" s="669"/>
      <c r="B387" s="669"/>
      <c r="C387" s="669"/>
    </row>
    <row r="388" spans="1:3" x14ac:dyDescent="0.2">
      <c r="A388" s="669"/>
      <c r="B388" s="669"/>
      <c r="C388" s="669"/>
    </row>
    <row r="389" spans="1:3" x14ac:dyDescent="0.2">
      <c r="A389" s="669"/>
      <c r="B389" s="669"/>
      <c r="C389" s="669"/>
    </row>
    <row r="390" spans="1:3" x14ac:dyDescent="0.2">
      <c r="A390" s="669"/>
      <c r="B390" s="669"/>
      <c r="C390" s="669"/>
    </row>
    <row r="391" spans="1:3" x14ac:dyDescent="0.2">
      <c r="A391" s="669"/>
      <c r="B391" s="669"/>
      <c r="C391" s="669"/>
    </row>
    <row r="392" spans="1:3" x14ac:dyDescent="0.2">
      <c r="A392" s="669"/>
      <c r="B392" s="669"/>
      <c r="C392" s="669"/>
    </row>
    <row r="393" spans="1:3" x14ac:dyDescent="0.2">
      <c r="A393" s="669"/>
      <c r="B393" s="669"/>
      <c r="C393" s="669"/>
    </row>
    <row r="394" spans="1:3" x14ac:dyDescent="0.2">
      <c r="A394" s="669"/>
      <c r="B394" s="669"/>
      <c r="C394" s="669"/>
    </row>
    <row r="395" spans="1:3" x14ac:dyDescent="0.2">
      <c r="A395" s="669"/>
      <c r="B395" s="669"/>
      <c r="C395" s="669"/>
    </row>
    <row r="396" spans="1:3" x14ac:dyDescent="0.2">
      <c r="A396" s="669"/>
      <c r="B396" s="669"/>
      <c r="C396" s="669"/>
    </row>
    <row r="397" spans="1:3" x14ac:dyDescent="0.2">
      <c r="A397" s="669"/>
      <c r="B397" s="669"/>
      <c r="C397" s="669"/>
    </row>
    <row r="398" spans="1:3" x14ac:dyDescent="0.2">
      <c r="A398" s="669"/>
      <c r="B398" s="669"/>
      <c r="C398" s="669"/>
    </row>
    <row r="399" spans="1:3" x14ac:dyDescent="0.2">
      <c r="A399" s="669"/>
      <c r="B399" s="669"/>
      <c r="C399" s="669"/>
    </row>
    <row r="400" spans="1:3" x14ac:dyDescent="0.2">
      <c r="A400" s="669"/>
      <c r="B400" s="669"/>
      <c r="C400" s="669"/>
    </row>
    <row r="401" spans="1:3" x14ac:dyDescent="0.2">
      <c r="A401" s="669"/>
      <c r="B401" s="669"/>
      <c r="C401" s="669"/>
    </row>
    <row r="402" spans="1:3" x14ac:dyDescent="0.2">
      <c r="A402" s="669"/>
      <c r="B402" s="669"/>
      <c r="C402" s="669"/>
    </row>
    <row r="403" spans="1:3" x14ac:dyDescent="0.2">
      <c r="A403" s="669"/>
      <c r="B403" s="669"/>
      <c r="C403" s="66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topLeftCell="E1" workbookViewId="0">
      <selection activeCell="O7" sqref="O7"/>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 min="16" max="16" width="9.5703125" customWidth="1"/>
  </cols>
  <sheetData>
    <row r="1" spans="1:24" x14ac:dyDescent="0.2">
      <c r="A1"/>
      <c r="B1"/>
      <c r="C1"/>
      <c r="D1"/>
      <c r="E1"/>
      <c r="F1"/>
      <c r="G1"/>
      <c r="H1"/>
      <c r="I1" t="s">
        <v>956</v>
      </c>
      <c r="J1" t="s">
        <v>957</v>
      </c>
      <c r="K1" t="s">
        <v>958</v>
      </c>
      <c r="L1" t="s">
        <v>959</v>
      </c>
      <c r="M1" t="s">
        <v>960</v>
      </c>
      <c r="O1" s="39" t="s">
        <v>397</v>
      </c>
      <c r="P1" t="s">
        <v>950</v>
      </c>
      <c r="Q1" t="s">
        <v>951</v>
      </c>
      <c r="R1" t="s">
        <v>952</v>
      </c>
      <c r="S1" t="s">
        <v>953</v>
      </c>
      <c r="T1" t="s">
        <v>954</v>
      </c>
      <c r="U1" t="s">
        <v>955</v>
      </c>
      <c r="X1" t="s">
        <v>955</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964</v>
      </c>
      <c r="Q5" s="39" t="s">
        <v>965</v>
      </c>
      <c r="S5" s="39" t="s">
        <v>966</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563</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564</v>
      </c>
      <c r="P7" s="50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97" t="s">
        <v>967</v>
      </c>
      <c r="B1" s="332"/>
      <c r="C1" s="524" t="s">
        <v>50</v>
      </c>
      <c r="D1" s="525"/>
      <c r="E1" s="525"/>
      <c r="F1" s="525"/>
      <c r="G1" s="140" t="e" cm="1">
        <f t="array" ref="G1">GetFormattedWorkItemNumber(K14, D24)</f>
        <v>#VALUE!</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26" t="s">
        <v>102</v>
      </c>
      <c r="K3" s="527"/>
      <c r="L3" s="528"/>
      <c r="M3" s="315"/>
      <c r="N3" s="543" t="s">
        <v>91</v>
      </c>
      <c r="O3" s="543"/>
      <c r="P3" s="543"/>
      <c r="Q3" s="543"/>
      <c r="R3" s="543"/>
      <c r="S3" s="543"/>
      <c r="T3" s="493"/>
    </row>
    <row r="4" spans="1:22" s="290" customFormat="1" x14ac:dyDescent="0.2">
      <c r="A4" s="333"/>
      <c r="B4" s="143"/>
      <c r="C4" s="144" t="s">
        <v>229</v>
      </c>
      <c r="D4" s="297" t="str">
        <f>IF(Condition="","",Condition)</f>
        <v/>
      </c>
      <c r="E4" s="315"/>
      <c r="F4" s="315"/>
      <c r="G4" s="315"/>
      <c r="H4" s="315"/>
      <c r="I4" s="315"/>
      <c r="J4" s="531" t="s">
        <v>1</v>
      </c>
      <c r="K4" s="532"/>
      <c r="L4" s="145">
        <f>IFERROR(Survey!N2,0)</f>
        <v>0</v>
      </c>
      <c r="M4" s="315"/>
      <c r="N4" s="146" t="s">
        <v>90</v>
      </c>
      <c r="O4" s="147" t="s">
        <v>89</v>
      </c>
      <c r="P4" s="529" t="s">
        <v>100</v>
      </c>
      <c r="Q4" s="530"/>
      <c r="R4" s="146" t="s">
        <v>137</v>
      </c>
      <c r="S4" s="146" t="s">
        <v>141</v>
      </c>
      <c r="T4" s="493"/>
    </row>
    <row r="5" spans="1:22" s="290" customFormat="1" x14ac:dyDescent="0.2">
      <c r="A5" s="333"/>
      <c r="B5" s="143"/>
      <c r="C5" s="144" t="s">
        <v>41</v>
      </c>
      <c r="D5" s="547" t="e">
        <f>companyName</f>
        <v>#N/A</v>
      </c>
      <c r="E5" s="548"/>
      <c r="F5" s="548"/>
      <c r="G5" s="548"/>
      <c r="H5" s="549"/>
      <c r="I5" s="298"/>
      <c r="J5" s="531" t="s">
        <v>2</v>
      </c>
      <c r="K5" s="532"/>
      <c r="L5" s="145">
        <f>IFERROR(Survey!N3,0)</f>
        <v>0</v>
      </c>
      <c r="M5" s="315"/>
      <c r="N5" s="461">
        <v>1</v>
      </c>
      <c r="O5" s="148"/>
      <c r="P5" s="505" t="str">
        <f>VLOOKUP(N5,Alerts[],3,FALSE)</f>
        <v/>
      </c>
      <c r="Q5" s="506"/>
      <c r="R5" s="462" t="str" cm="1">
        <f t="array" ref="R5">IFZERO(VLOOKUP(N5,Alerts[],4,FALSE),"")</f>
        <v/>
      </c>
      <c r="S5" s="149" t="str" cm="1">
        <f t="array" ref="S5">IFZERO(VLOOKUP(N5,Alerts[],5,FALSE),"")</f>
        <v/>
      </c>
      <c r="T5" s="493"/>
    </row>
    <row r="6" spans="1:22" s="290" customFormat="1" x14ac:dyDescent="0.2">
      <c r="A6" s="333"/>
      <c r="B6" s="143"/>
      <c r="C6" s="144" t="s">
        <v>40</v>
      </c>
      <c r="D6" s="544" t="e">
        <f>VLOOKUP("assetName",WorkItemDetails[],2,FALSE)</f>
        <v>#N/A</v>
      </c>
      <c r="E6" s="545"/>
      <c r="F6" s="545"/>
      <c r="G6" s="545"/>
      <c r="H6" s="546"/>
      <c r="J6" s="531" t="s">
        <v>101</v>
      </c>
      <c r="K6" s="532"/>
      <c r="L6" s="145">
        <f>L4-L5</f>
        <v>0</v>
      </c>
      <c r="M6" s="315"/>
      <c r="N6" s="461">
        <v>2</v>
      </c>
      <c r="O6" s="148"/>
      <c r="P6" s="505" t="str">
        <f>VLOOKUP(N6,Alerts[],3,FALSE)</f>
        <v/>
      </c>
      <c r="Q6" s="506"/>
      <c r="R6" s="462" t="str" cm="1">
        <f t="array" ref="R6">IFZERO(VLOOKUP(N6,Alerts[],4,FALSE),"")</f>
        <v/>
      </c>
      <c r="S6" s="149" t="str" cm="1">
        <f t="array" ref="S6">IFZERO(VLOOKUP(N6,Alerts[],5,FALSE),"")</f>
        <v/>
      </c>
      <c r="T6" s="493"/>
    </row>
    <row r="7" spans="1:22" s="290" customFormat="1" x14ac:dyDescent="0.2">
      <c r="A7" s="333"/>
      <c r="B7" s="150"/>
      <c r="C7" s="151" t="s">
        <v>27</v>
      </c>
      <c r="D7" s="412" t="str" cm="1">
        <f t="array" ref="D7">Employee[Name]</f>
        <v>Jeff Hall</v>
      </c>
      <c r="E7" s="315"/>
      <c r="F7" s="315"/>
      <c r="G7" s="315"/>
      <c r="H7" s="315"/>
      <c r="I7" s="315"/>
      <c r="J7" s="336"/>
      <c r="K7" s="336"/>
      <c r="L7" s="336"/>
      <c r="M7" s="315"/>
      <c r="N7" s="461">
        <v>3</v>
      </c>
      <c r="O7" s="148"/>
      <c r="P7" s="505" t="str">
        <f>VLOOKUP(N7,Alerts[],3,FALSE)</f>
        <v/>
      </c>
      <c r="Q7" s="506"/>
      <c r="R7" s="462" t="str" cm="1">
        <f t="array" ref="R7">IFZERO(VLOOKUP(N7,Alerts[],4,FALSE),"")</f>
        <v/>
      </c>
      <c r="S7" s="149" t="str" cm="1">
        <f t="array" ref="S7">IFZERO(VLOOKUP(N7,Alerts[],5,FALSE),"")</f>
        <v/>
      </c>
      <c r="T7" s="493"/>
    </row>
    <row r="8" spans="1:22" s="290" customFormat="1" x14ac:dyDescent="0.2">
      <c r="A8" s="333"/>
      <c r="B8" s="330"/>
      <c r="C8" s="337"/>
      <c r="D8" s="338"/>
      <c r="E8" s="315"/>
      <c r="F8" s="339" t="str">
        <f>IF(N49="","CHECK TUNING CONSTANTS","")</f>
        <v>CHECK TUNING CONSTANTS</v>
      </c>
      <c r="G8" s="315"/>
      <c r="H8" s="315"/>
      <c r="I8" s="315"/>
      <c r="J8" s="315"/>
      <c r="K8" s="315"/>
      <c r="L8" s="315"/>
      <c r="M8" s="315"/>
      <c r="N8" s="461">
        <v>4</v>
      </c>
      <c r="O8" s="148"/>
      <c r="P8" s="505" t="str">
        <f>VLOOKUP(N8,Alerts[],3,FALSE)</f>
        <v/>
      </c>
      <c r="Q8" s="506"/>
      <c r="R8" s="462" t="str" cm="1">
        <f t="array" ref="R8">IFZERO(VLOOKUP(N8,Alerts[],4,FALSE),"")</f>
        <v/>
      </c>
      <c r="S8" s="149" t="str" cm="1">
        <f t="array" ref="S8">IFZERO(VLOOKUP(N8,Alerts[],5,FALSE),"")</f>
        <v/>
      </c>
      <c r="T8" s="49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61">
        <v>5</v>
      </c>
      <c r="O9" s="148"/>
      <c r="P9" s="505" t="str">
        <f>VLOOKUP(N9,Alerts[],3,FALSE)</f>
        <v/>
      </c>
      <c r="Q9" s="506"/>
      <c r="R9" s="462" t="str" cm="1">
        <f t="array" ref="R9">IFZERO(VLOOKUP(N9,Alerts[],4,FALSE),"")</f>
        <v/>
      </c>
      <c r="S9" s="149" t="str" cm="1">
        <f t="array" ref="S9">IFZERO(VLOOKUP(N9,Alerts[],5,FALSE),"")</f>
        <v/>
      </c>
      <c r="T9" s="49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61">
        <v>6</v>
      </c>
      <c r="O10" s="148"/>
      <c r="P10" s="505" t="str">
        <f>VLOOKUP(N10,Alerts[],3,FALSE)</f>
        <v/>
      </c>
      <c r="Q10" s="506"/>
      <c r="R10" s="462" t="str" cm="1">
        <f t="array" ref="R10">IFZERO(VLOOKUP(N10,Alerts[],4,FALSE),"")</f>
        <v/>
      </c>
      <c r="S10" s="149" t="str" cm="1">
        <f t="array" ref="S10">IFZERO(VLOOKUP(N10,Alerts[],5,FALSE),"")</f>
        <v/>
      </c>
      <c r="T10" s="493"/>
    </row>
    <row r="11" spans="1:22" s="290" customFormat="1" x14ac:dyDescent="0.2">
      <c r="A11" s="333"/>
      <c r="B11" s="143"/>
      <c r="C11" s="152" t="s">
        <v>53</v>
      </c>
      <c r="D11" s="491">
        <f>VLOOKUP("serial_number",DaqbookServiceRecord[], 2, FALSE)</f>
        <v>0</v>
      </c>
      <c r="E11" s="315"/>
      <c r="F11" s="315"/>
      <c r="G11" s="316" t="str">
        <f>IF(OR(ISBLANK(D3),ISBLANK(D13)),"",IF(D13&lt;D3,"!!!!! DAQBOOK IS OUT OF CERTIFICATION !!!!!",""))</f>
        <v/>
      </c>
      <c r="H11" s="315"/>
      <c r="I11" s="315"/>
      <c r="J11" s="315"/>
      <c r="K11" s="315"/>
      <c r="L11" s="315"/>
      <c r="M11" s="315"/>
      <c r="N11" s="461">
        <v>7</v>
      </c>
      <c r="O11" s="148"/>
      <c r="P11" s="505" t="str">
        <f>VLOOKUP(N11,Alerts[],3,FALSE)</f>
        <v/>
      </c>
      <c r="Q11" s="506"/>
      <c r="R11" s="462" t="str" cm="1">
        <f t="array" ref="R11">IFZERO(VLOOKUP(N11,Alerts[],4,FALSE),"")</f>
        <v/>
      </c>
      <c r="S11" s="149" t="str" cm="1">
        <f t="array" ref="S11">IFZERO(VLOOKUP(N11,Alerts[],5,FALSE),"")</f>
        <v/>
      </c>
      <c r="T11" s="493"/>
    </row>
    <row r="12" spans="1:22" s="290" customFormat="1" x14ac:dyDescent="0.2">
      <c r="A12" s="333"/>
      <c r="B12" s="143"/>
      <c r="C12" s="152" t="s">
        <v>87</v>
      </c>
      <c r="D12" s="291">
        <f>VLOOKUP("service_date",DaqbookServiceRecord[], 2, FALSE)</f>
        <v>0</v>
      </c>
      <c r="E12" s="315"/>
      <c r="F12" s="315"/>
      <c r="G12" s="316" t="str">
        <f>IF(IF(COUNTIFS(DataForChannels1to14[],"&gt;"&amp;B2,DataForChannels1to14[],"&lt;"&amp;(B2+200))&gt;0,1,0)=1,"!!!!! OVEN OVERSHOT IN POINTS 1-14 !!!!!","")</f>
        <v/>
      </c>
      <c r="H12" s="315"/>
      <c r="I12" s="315"/>
      <c r="J12" s="336"/>
      <c r="K12" s="319"/>
      <c r="L12" s="336"/>
      <c r="M12" s="319"/>
      <c r="N12" s="461">
        <v>8</v>
      </c>
      <c r="O12" s="148"/>
      <c r="P12" s="505" t="str">
        <f>VLOOKUP(N12,Alerts[],3,FALSE)</f>
        <v/>
      </c>
      <c r="Q12" s="506"/>
      <c r="R12" s="462" t="str" cm="1">
        <f t="array" ref="R12">IFZERO(VLOOKUP(N12,Alerts[],4,FALSE),"")</f>
        <v/>
      </c>
      <c r="S12" s="149" t="str" cm="1">
        <f t="array" ref="S12">IFZERO(VLOOKUP(N12,Alerts[],5,FALSE),"")</f>
        <v/>
      </c>
      <c r="T12" s="493"/>
    </row>
    <row r="13" spans="1:22" s="290" customFormat="1" x14ac:dyDescent="0.2">
      <c r="A13" s="333"/>
      <c r="B13" s="153"/>
      <c r="C13" s="154" t="s">
        <v>86</v>
      </c>
      <c r="D13" s="291">
        <f>VLOOKUP("next_service_date",DaqbookServiceRecord[], 2, FALSE)</f>
        <v>0</v>
      </c>
      <c r="E13" s="315"/>
      <c r="F13" s="340"/>
      <c r="G13" s="331" t="str">
        <f>IF(IF(COUNTIFS(DataForChannels15to28[],"&gt;"&amp;B2,DataForChannels15to28[],"&lt;"&amp;(B2+200))&gt;0,1,0)=1,"!!!!! OVEN OVERSHOT IN POINTS 15-28 !!!!!","")</f>
        <v/>
      </c>
      <c r="H13" s="315"/>
      <c r="I13" s="315"/>
      <c r="J13" s="251" t="s">
        <v>322</v>
      </c>
      <c r="K13" s="541" t="str">
        <f>IFERROR(VLOOKUP("PoNumber",WorkItemDetails[],2,FALSE),"")</f>
        <v/>
      </c>
      <c r="L13" s="542"/>
      <c r="M13" s="315"/>
      <c r="N13" s="461">
        <v>9</v>
      </c>
      <c r="O13" s="148"/>
      <c r="P13" s="505" t="str">
        <f>VLOOKUP(N13,Alerts[],3,FALSE)</f>
        <v/>
      </c>
      <c r="Q13" s="506"/>
      <c r="R13" s="462" t="str" cm="1">
        <f t="array" ref="R13">IFZERO(VLOOKUP(N13,Alerts[],4,FALSE),"")</f>
        <v/>
      </c>
      <c r="S13" s="149" t="str" cm="1">
        <f t="array" ref="S13">IFZERO(VLOOKUP(N13,Alerts[],5,FALSE),"")</f>
        <v/>
      </c>
      <c r="T13" s="493"/>
    </row>
    <row r="14" spans="1:22" s="290" customFormat="1" x14ac:dyDescent="0.2">
      <c r="A14" s="333"/>
      <c r="B14" s="143"/>
      <c r="C14" s="152" t="s">
        <v>88</v>
      </c>
      <c r="D14" s="491">
        <f>VLOOKUP("certificate_number",DaqbookServiceRecord[], 2, FALSE)</f>
        <v>0</v>
      </c>
      <c r="E14" s="315"/>
      <c r="F14" s="315"/>
      <c r="G14" s="316" t="str">
        <f>IF(IF(COUNTIFS(DataForChannels29to40[],"&gt;"&amp;B2,DataForChannels29to40[],"&lt;"&amp;(B2+200))&gt;0,1,0)=1,"!!!!! OVEN OVERSHOT IN POINTS 29-40 !!!!!","")</f>
        <v/>
      </c>
      <c r="H14" s="315"/>
      <c r="I14" s="315"/>
      <c r="J14" s="155" t="s">
        <v>136</v>
      </c>
      <c r="K14" s="550"/>
      <c r="L14" s="551"/>
      <c r="M14" s="315"/>
      <c r="N14" s="461">
        <v>10</v>
      </c>
      <c r="O14" s="148"/>
      <c r="P14" s="505" t="str">
        <f>VLOOKUP(N14,Alerts[],3,FALSE)</f>
        <v/>
      </c>
      <c r="Q14" s="506"/>
      <c r="R14" s="462" t="str" cm="1">
        <f t="array" ref="R14">IFZERO(VLOOKUP(N14,Alerts[],4,FALSE),"")</f>
        <v/>
      </c>
      <c r="S14" s="149" t="str" cm="1">
        <f t="array" ref="S14">IFZERO(VLOOKUP(N14,Alerts[],5,FALSE),"")</f>
        <v/>
      </c>
      <c r="T14" s="493"/>
    </row>
    <row r="15" spans="1:22" s="290" customFormat="1" x14ac:dyDescent="0.2">
      <c r="A15" s="333"/>
      <c r="B15" s="196"/>
      <c r="C15" s="194" t="s">
        <v>65</v>
      </c>
      <c r="D15" s="308"/>
      <c r="E15" s="315"/>
      <c r="F15" s="315"/>
      <c r="G15" s="315"/>
      <c r="H15" s="478" t="b">
        <v>1</v>
      </c>
      <c r="I15" s="315"/>
      <c r="J15" s="156" t="s">
        <v>131</v>
      </c>
      <c r="K15" s="535"/>
      <c r="L15" s="536"/>
      <c r="M15" s="315"/>
      <c r="N15" s="461">
        <v>11</v>
      </c>
      <c r="O15" s="148"/>
      <c r="P15" s="505" t="str">
        <f>VLOOKUP(N15,Alerts[],3,FALSE)</f>
        <v/>
      </c>
      <c r="Q15" s="506"/>
      <c r="R15" s="462" t="str" cm="1">
        <f t="array" ref="R15">IFZERO(VLOOKUP(N15,Alerts[],4,FALSE),"")</f>
        <v/>
      </c>
      <c r="S15" s="149" t="str" cm="1">
        <f t="array" ref="S15">IFZERO(VLOOKUP(N15,Alerts[],5,FALSE),"")</f>
        <v/>
      </c>
      <c r="T15" s="493"/>
    </row>
    <row r="16" spans="1:22" s="290" customFormat="1" x14ac:dyDescent="0.2">
      <c r="A16" s="333"/>
      <c r="B16" s="157"/>
      <c r="C16" s="195" t="s">
        <v>263</v>
      </c>
      <c r="D16" s="308"/>
      <c r="E16" s="315"/>
      <c r="F16" s="155" t="s">
        <v>77</v>
      </c>
      <c r="G16" s="440" t="s">
        <v>266</v>
      </c>
      <c r="H16" s="441"/>
      <c r="I16" s="315"/>
      <c r="J16" s="555" t="s">
        <v>162</v>
      </c>
      <c r="K16" s="556"/>
      <c r="L16" s="296"/>
      <c r="M16" s="315"/>
      <c r="N16" s="461">
        <v>12</v>
      </c>
      <c r="O16" s="148"/>
      <c r="P16" s="505" t="str">
        <f>VLOOKUP(N16,Alerts[],3,FALSE)</f>
        <v/>
      </c>
      <c r="Q16" s="506"/>
      <c r="R16" s="462" t="str" cm="1">
        <f t="array" ref="R16">IFZERO(VLOOKUP(N16,Alerts[],4,FALSE),"")</f>
        <v/>
      </c>
      <c r="S16" s="149" t="str" cm="1">
        <f t="array" ref="S16">IFZERO(VLOOKUP(N16,Alerts[],5,FALSE),"")</f>
        <v/>
      </c>
      <c r="T16" s="493"/>
    </row>
    <row r="17" spans="1:22" s="290" customFormat="1" x14ac:dyDescent="0.2">
      <c r="A17" s="333"/>
      <c r="B17" s="143"/>
      <c r="C17" s="144" t="s">
        <v>64</v>
      </c>
      <c r="D17" s="309"/>
      <c r="E17" s="315"/>
      <c r="F17" s="156" t="s">
        <v>96</v>
      </c>
      <c r="G17" s="413" t="str">
        <f>IF(ISBLANK(Load),"",Load)</f>
        <v/>
      </c>
      <c r="H17" s="315"/>
      <c r="I17" s="316"/>
      <c r="J17" s="555" t="s">
        <v>163</v>
      </c>
      <c r="K17" s="556"/>
      <c r="L17" s="159" t="str">
        <f>IF(K15="SIM Load Hot",TEXT(D26,"hh:mm"),"")</f>
        <v/>
      </c>
      <c r="M17" s="315"/>
      <c r="N17" s="461">
        <v>13</v>
      </c>
      <c r="O17" s="148"/>
      <c r="P17" s="505" t="str">
        <f>VLOOKUP(N17,Alerts[],3,FALSE)</f>
        <v/>
      </c>
      <c r="Q17" s="506"/>
      <c r="R17" s="462" t="str" cm="1">
        <f t="array" ref="R17">IFZERO(VLOOKUP(N17,Alerts[],4,FALSE),"")</f>
        <v/>
      </c>
      <c r="S17" s="149" t="str" cm="1">
        <f t="array" ref="S17">IFZERO(VLOOKUP(N17,Alerts[],5,FALSE),"")</f>
        <v/>
      </c>
      <c r="T17" s="493"/>
    </row>
    <row r="18" spans="1:22" s="290" customFormat="1" x14ac:dyDescent="0.2">
      <c r="A18" s="333"/>
      <c r="B18" s="153"/>
      <c r="C18" s="160" t="s">
        <v>67</v>
      </c>
      <c r="D18" s="294"/>
      <c r="E18" s="315"/>
      <c r="F18" s="161" t="s">
        <v>78</v>
      </c>
      <c r="G18" s="507" t="s">
        <v>19</v>
      </c>
      <c r="H18" s="508"/>
      <c r="I18" s="316"/>
      <c r="J18" s="341"/>
      <c r="K18" s="315"/>
      <c r="L18" s="316"/>
      <c r="M18" s="315"/>
      <c r="N18" s="461">
        <v>14</v>
      </c>
      <c r="O18" s="148"/>
      <c r="P18" s="505" t="str">
        <f>VLOOKUP(N18,Alerts[],3,FALSE)</f>
        <v/>
      </c>
      <c r="Q18" s="506"/>
      <c r="R18" s="462" t="str" cm="1">
        <f t="array" ref="R18">IFZERO(VLOOKUP(N18,Alerts[],4,FALSE),"")</f>
        <v/>
      </c>
      <c r="S18" s="149" t="str" cm="1">
        <f t="array" ref="S18">IFZERO(VLOOKUP(N18,Alerts[],5,FALSE),"")</f>
        <v/>
      </c>
      <c r="T18" s="493"/>
    </row>
    <row r="19" spans="1:22" s="290" customFormat="1" x14ac:dyDescent="0.2">
      <c r="A19" s="333"/>
      <c r="B19" s="143"/>
      <c r="C19" s="144" t="s">
        <v>10</v>
      </c>
      <c r="D19" s="500">
        <f>Tolerances</f>
        <v>0</v>
      </c>
      <c r="E19" s="315"/>
      <c r="F19" s="156" t="s">
        <v>79</v>
      </c>
      <c r="G19" s="533" t="str">
        <f>IF(K15="Salt",0, IF(OR(K15="Hot",K15="SIM Load Hot"),IF(OR(D26="",D28=""),"N/A",IF(ISBLANK(D26),"N/A",D28-D26)),"N/A"))</f>
        <v>N/A</v>
      </c>
      <c r="H19" s="534"/>
      <c r="I19" s="342" t="str">
        <f>IF(G19="N/A","N/A",IF(G19=0,"&lt;2",ROUND(IF(LEN(G19)&gt;3,G19*1440,RIGHT(TEXT(G19,"hh:mm"),2)),0))&amp;" MINUTES")</f>
        <v>N/A</v>
      </c>
      <c r="J19" s="495">
        <f>V21</f>
        <v>40</v>
      </c>
      <c r="K19" s="315"/>
      <c r="L19" s="316"/>
      <c r="M19" s="315"/>
      <c r="N19" s="461">
        <v>15</v>
      </c>
      <c r="O19" s="148"/>
      <c r="P19" s="505" t="str">
        <f>VLOOKUP(N19,Alerts[],3,FALSE)</f>
        <v/>
      </c>
      <c r="Q19" s="506"/>
      <c r="R19" s="462" t="str" cm="1">
        <f t="array" ref="R19">IFZERO(VLOOKUP(N19,Alerts[],4,FALSE),"")</f>
        <v/>
      </c>
      <c r="S19" s="149" t="str" cm="1">
        <f t="array" ref="S19">IFZERO(VLOOKUP(N19,Alerts[],5,FALSE),"")</f>
        <v/>
      </c>
      <c r="T19" s="493"/>
      <c r="U19" s="298" t="s">
        <v>949</v>
      </c>
      <c r="V19" s="298">
        <f>L20</f>
        <v>1</v>
      </c>
    </row>
    <row r="20" spans="1:22" s="290" customFormat="1" ht="13.7" customHeight="1" x14ac:dyDescent="0.2">
      <c r="A20" s="191"/>
      <c r="B20" s="537" t="str">
        <f>"SAT Tolerance (per " &amp; IF(E20, "AMS2750", "BAC5621") &amp; "):"</f>
        <v>SAT Tolerance (per AMS2750):</v>
      </c>
      <c r="C20" s="538"/>
      <c r="D20" s="411" t="e">
        <f>G94</f>
        <v>#N/A</v>
      </c>
      <c r="E20" s="476" t="b">
        <v>1</v>
      </c>
      <c r="F20" s="315"/>
      <c r="G20" s="315"/>
      <c r="H20" s="315"/>
      <c r="I20" s="316"/>
      <c r="J20" s="315"/>
      <c r="K20" s="315"/>
      <c r="L20" s="477">
        <v>1</v>
      </c>
      <c r="M20" s="315"/>
      <c r="N20" s="461">
        <v>16</v>
      </c>
      <c r="O20" s="148"/>
      <c r="P20" s="505" t="str">
        <f>VLOOKUP(N20,Alerts[],3,FALSE)</f>
        <v/>
      </c>
      <c r="Q20" s="506"/>
      <c r="R20" s="462" t="str" cm="1">
        <f t="array" ref="R20">IFZERO(VLOOKUP(N20,Alerts[],4,FALSE),"")</f>
        <v/>
      </c>
      <c r="S20" s="149" t="str" cm="1">
        <f t="array" ref="S20">IFZERO(VLOOKUP(N20,Alerts[],5,FALSE),"")</f>
        <v/>
      </c>
      <c r="T20" s="493"/>
      <c r="U20" s="298" t="s">
        <v>948</v>
      </c>
      <c r="V20" s="298">
        <f>(V19-1)*14</f>
        <v>0</v>
      </c>
    </row>
    <row r="21" spans="1:22" s="290" customFormat="1" x14ac:dyDescent="0.2">
      <c r="A21" s="333"/>
      <c r="B21" s="330"/>
      <c r="C21" s="343"/>
      <c r="D21" s="338"/>
      <c r="E21" s="315"/>
      <c r="F21" s="315"/>
      <c r="G21" s="315"/>
      <c r="H21" s="315"/>
      <c r="I21" s="316"/>
      <c r="J21" s="315"/>
      <c r="K21" s="315"/>
      <c r="L21" s="316"/>
      <c r="M21" s="315"/>
      <c r="N21" s="461">
        <v>17</v>
      </c>
      <c r="O21" s="148"/>
      <c r="P21" s="505" t="str">
        <f>VLOOKUP(N21,Alerts[],3,FALSE)</f>
        <v/>
      </c>
      <c r="Q21" s="506"/>
      <c r="R21" s="462" t="str" cm="1">
        <f t="array" ref="R21">IFZERO(VLOOKUP(N21,Alerts[],4,FALSE),"")</f>
        <v/>
      </c>
      <c r="S21" s="149" t="str" cm="1">
        <f t="array" ref="S21">IFZERO(VLOOKUP(N21,Alerts[],5,FALSE),"")</f>
        <v/>
      </c>
      <c r="T21" s="493"/>
      <c r="U21" s="298" t="s">
        <v>947</v>
      </c>
      <c r="V21" s="496">
        <f>IF(D17=0,40,D17)</f>
        <v>40</v>
      </c>
    </row>
    <row r="22" spans="1:22" s="290" customFormat="1" x14ac:dyDescent="0.2">
      <c r="A22" s="333"/>
      <c r="B22" s="157"/>
      <c r="C22" s="158" t="s">
        <v>42</v>
      </c>
      <c r="D22" s="293"/>
      <c r="E22" s="315"/>
      <c r="F22" s="344"/>
      <c r="G22" s="315"/>
      <c r="H22" s="315"/>
      <c r="I22" s="316"/>
      <c r="J22" s="315"/>
      <c r="K22" s="315"/>
      <c r="L22" s="316"/>
      <c r="M22" s="315"/>
      <c r="N22" s="461">
        <v>18</v>
      </c>
      <c r="O22" s="148"/>
      <c r="P22" s="505" t="str">
        <f>VLOOKUP(N22,Alerts[],3,FALSE)</f>
        <v/>
      </c>
      <c r="Q22" s="506"/>
      <c r="R22" s="462" t="str" cm="1">
        <f t="array" ref="R22">IFZERO(VLOOKUP(N22,Alerts[],4,FALSE),"")</f>
        <v/>
      </c>
      <c r="S22" s="149" t="str" cm="1">
        <f t="array" ref="S22">IFZERO(VLOOKUP(N22,Alerts[],5,FALSE),"")</f>
        <v/>
      </c>
      <c r="T22" s="493"/>
      <c r="U22" s="298" t="s">
        <v>946</v>
      </c>
      <c r="V22" s="298">
        <f>V20+1</f>
        <v>1</v>
      </c>
    </row>
    <row r="23" spans="1:22" s="290" customFormat="1" x14ac:dyDescent="0.2">
      <c r="A23" s="333"/>
      <c r="B23" s="143"/>
      <c r="C23" s="443" t="s">
        <v>911</v>
      </c>
      <c r="D23" s="294"/>
      <c r="E23" s="315"/>
      <c r="F23" s="162" t="s">
        <v>97</v>
      </c>
      <c r="G23" s="563" t="s">
        <v>369</v>
      </c>
      <c r="H23" s="564"/>
      <c r="I23" s="564"/>
      <c r="J23" s="564"/>
      <c r="K23" s="565"/>
      <c r="L23" s="316"/>
      <c r="M23" s="315"/>
      <c r="N23" s="461">
        <v>19</v>
      </c>
      <c r="O23" s="148"/>
      <c r="P23" s="505" t="str">
        <f>VLOOKUP(N23,Alerts[],3,FALSE)</f>
        <v/>
      </c>
      <c r="Q23" s="506"/>
      <c r="R23" s="462" t="str" cm="1">
        <f t="array" ref="R23">IFZERO(VLOOKUP(N23,Alerts[],4,FALSE),"")</f>
        <v/>
      </c>
      <c r="S23" s="149" t="str" cm="1">
        <f t="array" ref="S23">IFZERO(VLOOKUP(N23,Alerts[],5,FALSE),"")</f>
        <v/>
      </c>
      <c r="T23" s="493"/>
      <c r="U23" s="298" t="s">
        <v>945</v>
      </c>
      <c r="V23" s="298">
        <f>V20+V21</f>
        <v>40</v>
      </c>
    </row>
    <row r="24" spans="1:22" s="290" customFormat="1" x14ac:dyDescent="0.2">
      <c r="A24" s="333"/>
      <c r="B24" s="539" t="s">
        <v>550</v>
      </c>
      <c r="C24" s="540"/>
      <c r="D24" s="294">
        <v>1</v>
      </c>
      <c r="E24" s="315"/>
      <c r="F24" s="162" t="s">
        <v>98</v>
      </c>
      <c r="G24" s="566"/>
      <c r="H24" s="567"/>
      <c r="I24" s="567"/>
      <c r="J24" s="567"/>
      <c r="K24" s="568"/>
      <c r="L24" s="316"/>
      <c r="M24" s="315"/>
      <c r="N24" s="461">
        <v>20</v>
      </c>
      <c r="O24" s="148"/>
      <c r="P24" s="505" t="str">
        <f>VLOOKUP(N24,Alerts[],3,FALSE)</f>
        <v/>
      </c>
      <c r="Q24" s="506"/>
      <c r="R24" s="462" t="str" cm="1">
        <f t="array" ref="R24">IFZERO(VLOOKUP(N24,Alerts[],4,FALSE),"")</f>
        <v/>
      </c>
      <c r="S24" s="149" t="str" cm="1">
        <f t="array" ref="S24">IFZERO(VLOOKUP(N24,Alerts[],5,FALSE),"")</f>
        <v/>
      </c>
      <c r="T24" s="493"/>
      <c r="U24" s="298" t="s">
        <v>944</v>
      </c>
      <c r="V24" s="298" t="str">
        <f>IF(V19=1,"","DaqBook points "&amp;V22&amp;"-"&amp;V23&amp;" used.")</f>
        <v/>
      </c>
    </row>
    <row r="25" spans="1:22" s="290" customFormat="1" x14ac:dyDescent="0.2">
      <c r="A25" s="333"/>
      <c r="B25" s="330"/>
      <c r="C25" s="331"/>
      <c r="D25" s="338"/>
      <c r="E25" s="315"/>
      <c r="F25" s="162" t="s">
        <v>99</v>
      </c>
      <c r="G25" s="566"/>
      <c r="H25" s="567"/>
      <c r="I25" s="567"/>
      <c r="J25" s="567"/>
      <c r="K25" s="568"/>
      <c r="L25" s="316"/>
      <c r="M25" s="315"/>
      <c r="N25" s="461">
        <v>21</v>
      </c>
      <c r="O25" s="148"/>
      <c r="P25" s="505" t="str">
        <f>VLOOKUP(N25,Alerts[],3,FALSE)</f>
        <v/>
      </c>
      <c r="Q25" s="506"/>
      <c r="R25" s="462" t="str" cm="1">
        <f t="array" ref="R25">IFZERO(VLOOKUP(N25,Alerts[],4,FALSE),"")</f>
        <v/>
      </c>
      <c r="S25" s="149" t="str" cm="1">
        <f t="array" ref="S25">IFZERO(VLOOKUP(N25,Alerts[],5,FALSE),"")</f>
        <v/>
      </c>
      <c r="T25" s="493"/>
    </row>
    <row r="26" spans="1:22" s="290" customFormat="1" x14ac:dyDescent="0.2">
      <c r="A26" s="333"/>
      <c r="B26" s="157"/>
      <c r="C26" s="158" t="s">
        <v>60</v>
      </c>
      <c r="D26" s="304"/>
      <c r="E26" s="317" t="str">
        <f>TEXT(D26,"hh:mm")</f>
        <v>00:00</v>
      </c>
      <c r="F26" s="316"/>
      <c r="G26" s="316"/>
      <c r="H26" s="316"/>
      <c r="I26" s="316"/>
      <c r="J26" s="316"/>
      <c r="K26" s="316"/>
      <c r="L26" s="316"/>
      <c r="M26" s="315"/>
      <c r="N26" s="461">
        <v>22</v>
      </c>
      <c r="O26" s="148"/>
      <c r="P26" s="505" t="str">
        <f>VLOOKUP(N26,Alerts[],3,FALSE)</f>
        <v/>
      </c>
      <c r="Q26" s="506"/>
      <c r="R26" s="462" t="str" cm="1">
        <f t="array" ref="R26">IFZERO(VLOOKUP(N26,Alerts[],4,FALSE),"")</f>
        <v/>
      </c>
      <c r="S26" s="149" t="str" cm="1">
        <f t="array" ref="S26">IFZERO(VLOOKUP(N26,Alerts[],5,FALSE),"")</f>
        <v/>
      </c>
      <c r="T26" s="493"/>
    </row>
    <row r="27" spans="1:22" s="290" customFormat="1" x14ac:dyDescent="0.2">
      <c r="A27" s="333"/>
      <c r="B27" s="163">
        <v>10</v>
      </c>
      <c r="C27" s="144" t="s">
        <v>61</v>
      </c>
      <c r="D27" s="304"/>
      <c r="E27" s="317"/>
      <c r="F27" s="251" t="s">
        <v>269</v>
      </c>
      <c r="G27" s="250" t="str">
        <f>G28</f>
        <v/>
      </c>
      <c r="H27" s="561" t="str">
        <f>IF(ISBLANK(D6),"",IF(CheckRec="x","CHECK INSTRUMENT CAL DATES!!!!             CHECK INSTRUMENT CAL DATES!!!!",""))</f>
        <v/>
      </c>
      <c r="I27" s="562"/>
      <c r="J27" s="562"/>
      <c r="K27" s="562"/>
      <c r="L27" s="316"/>
      <c r="M27" s="315"/>
      <c r="N27" s="461">
        <v>23</v>
      </c>
      <c r="O27" s="148"/>
      <c r="P27" s="505" t="str">
        <f>VLOOKUP(N27,Alerts[],3,FALSE)</f>
        <v/>
      </c>
      <c r="Q27" s="506"/>
      <c r="R27" s="462" t="str" cm="1">
        <f t="array" ref="R27">IFZERO(VLOOKUP(N27,Alerts[],4,FALSE),"")</f>
        <v/>
      </c>
      <c r="S27" s="149" t="str" cm="1">
        <f t="array" ref="S27">IFZERO(VLOOKUP(N27,Alerts[],5,FALSE),"")</f>
        <v/>
      </c>
      <c r="T27" s="493"/>
    </row>
    <row r="28" spans="1:22" s="290" customFormat="1" x14ac:dyDescent="0.2">
      <c r="A28" s="333"/>
      <c r="B28" s="164">
        <v>30</v>
      </c>
      <c r="C28" s="160" t="s">
        <v>62</v>
      </c>
      <c r="D28" s="304"/>
      <c r="E28" s="317"/>
      <c r="F28" s="251" t="s">
        <v>270</v>
      </c>
      <c r="G28" s="250" t="str">
        <f>IF(CheckRec="y","Cal by Customer",IF(D$3,D$3,""))</f>
        <v/>
      </c>
      <c r="H28" s="561"/>
      <c r="I28" s="562"/>
      <c r="J28" s="562"/>
      <c r="K28" s="562"/>
      <c r="L28" s="316"/>
      <c r="M28" s="315"/>
      <c r="N28" s="461">
        <v>24</v>
      </c>
      <c r="O28" s="148"/>
      <c r="P28" s="505" t="str">
        <f>VLOOKUP(N28,Alerts[],3,FALSE)</f>
        <v/>
      </c>
      <c r="Q28" s="506"/>
      <c r="R28" s="462" t="str" cm="1">
        <f t="array" ref="R28">IFZERO(VLOOKUP(N28,Alerts[],4,FALSE),"")</f>
        <v/>
      </c>
      <c r="S28" s="149" t="str" cm="1">
        <f t="array" ref="S28">IFZERO(VLOOKUP(N28,Alerts[],5,FALSE),"")</f>
        <v/>
      </c>
      <c r="T28" s="493"/>
    </row>
    <row r="29" spans="1:22" s="290" customFormat="1" x14ac:dyDescent="0.2">
      <c r="A29" s="333"/>
      <c r="B29" s="163">
        <v>40</v>
      </c>
      <c r="C29" s="144" t="s">
        <v>73</v>
      </c>
      <c r="D29" s="165" t="str">
        <f>(IF(OR(D27="",D28=""),"",IF(ISBLANK(D27),"",D28-D27)))</f>
        <v/>
      </c>
      <c r="E29" s="345" t="str">
        <f>IFERROR(IF(D29=0,"&lt;2",ROUND(IF(LEN(D29)&gt;3,D29*1440,TEXT(D29,"hh:mm")),0)) &amp;" MINUTES","")</f>
        <v/>
      </c>
      <c r="F29" s="319" t="s">
        <v>271</v>
      </c>
      <c r="G29" s="316"/>
      <c r="H29" s="316"/>
      <c r="I29" s="316"/>
      <c r="J29" s="316"/>
      <c r="K29" s="316"/>
      <c r="L29" s="316"/>
      <c r="M29" s="315"/>
      <c r="N29" s="461">
        <v>25</v>
      </c>
      <c r="O29" s="148"/>
      <c r="P29" s="505" t="str">
        <f>VLOOKUP(N29,Alerts[],3,FALSE)</f>
        <v/>
      </c>
      <c r="Q29" s="506"/>
      <c r="R29" s="462" t="str" cm="1">
        <f t="array" ref="R29">IFZERO(VLOOKUP(N29,Alerts[],4,FALSE),"")</f>
        <v/>
      </c>
      <c r="S29" s="149" t="str" cm="1">
        <f t="array" ref="S29">IFZERO(VLOOKUP(N29,Alerts[],5,FALSE),"")</f>
        <v/>
      </c>
      <c r="T29" s="493"/>
    </row>
    <row r="30" spans="1:22" s="290" customFormat="1" x14ac:dyDescent="0.2">
      <c r="A30" s="333"/>
      <c r="B30" s="258">
        <v>45</v>
      </c>
      <c r="C30" s="160" t="s">
        <v>63</v>
      </c>
      <c r="D30" s="407"/>
      <c r="E30" s="346" t="str">
        <f>IF(ISBLANK(D30), "", TEXT(D30, "H:mm"))</f>
        <v/>
      </c>
      <c r="F30" s="315"/>
      <c r="G30" s="318">
        <f>IF(D29="",0,D29)</f>
        <v>0</v>
      </c>
      <c r="H30" s="347">
        <f>D28-D26</f>
        <v>0</v>
      </c>
      <c r="I30" s="316"/>
      <c r="J30" s="316"/>
      <c r="K30" s="316"/>
      <c r="L30" s="348"/>
      <c r="M30" s="315"/>
      <c r="N30" s="461">
        <v>26</v>
      </c>
      <c r="O30" s="148"/>
      <c r="P30" s="505" t="str">
        <f>VLOOKUP(N30,Alerts[],3,FALSE)</f>
        <v/>
      </c>
      <c r="Q30" s="506"/>
      <c r="R30" s="462" t="str" cm="1">
        <f t="array" ref="R30">IFZERO(VLOOKUP(N30,Alerts[],4,FALSE),"")</f>
        <v/>
      </c>
      <c r="S30" s="149" t="str" cm="1">
        <f t="array" ref="S30">IFZERO(VLOOKUP(N30,Alerts[],5,FALSE),"")</f>
        <v/>
      </c>
      <c r="T30" s="49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61">
        <v>27</v>
      </c>
      <c r="O31" s="148"/>
      <c r="P31" s="505" t="str">
        <f>VLOOKUP(N31,Alerts[],3,FALSE)</f>
        <v/>
      </c>
      <c r="Q31" s="506"/>
      <c r="R31" s="462" t="str" cm="1">
        <f t="array" ref="R31">IFZERO(VLOOKUP(N31,Alerts[],4,FALSE),"")</f>
        <v/>
      </c>
      <c r="S31" s="149" t="str" cm="1">
        <f t="array" ref="S31">IFZERO(VLOOKUP(N31,Alerts[],5,FALSE),"")</f>
        <v/>
      </c>
      <c r="T31" s="49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61">
        <v>28</v>
      </c>
      <c r="O32" s="148"/>
      <c r="P32" s="505" t="str">
        <f>VLOOKUP(N32,Alerts[],3,FALSE)</f>
        <v/>
      </c>
      <c r="Q32" s="506"/>
      <c r="R32" s="462" t="str" cm="1">
        <f t="array" ref="R32">IFZERO(VLOOKUP(N32,Alerts[],4,FALSE),"")</f>
        <v/>
      </c>
      <c r="S32" s="149" t="str" cm="1">
        <f t="array" ref="S32">IFZERO(VLOOKUP(N32,Alerts[],5,FALSE),"")</f>
        <v/>
      </c>
      <c r="T32" s="493"/>
    </row>
    <row r="33" spans="1:23" s="290" customFormat="1" x14ac:dyDescent="0.2">
      <c r="A33" s="333"/>
      <c r="B33" s="330"/>
      <c r="C33" s="352"/>
      <c r="D33" s="142"/>
      <c r="E33" s="142"/>
      <c r="F33" s="142"/>
      <c r="G33" s="142"/>
      <c r="H33" s="142"/>
      <c r="I33" s="142"/>
      <c r="J33" s="142"/>
      <c r="K33" s="142"/>
      <c r="L33" s="142"/>
      <c r="M33" s="315"/>
      <c r="N33" s="461">
        <v>29</v>
      </c>
      <c r="O33" s="148"/>
      <c r="P33" s="505" t="str">
        <f>VLOOKUP(N33,Alerts[],3,FALSE)</f>
        <v/>
      </c>
      <c r="Q33" s="506"/>
      <c r="R33" s="462" t="str" cm="1">
        <f t="array" ref="R33">IFZERO(VLOOKUP(N33,Alerts[],4,FALSE),"")</f>
        <v/>
      </c>
      <c r="S33" s="149" t="str" cm="1">
        <f t="array" ref="S33">IFZERO(VLOOKUP(N33,Alerts[],5,FALSE),"")</f>
        <v/>
      </c>
      <c r="T33" s="493"/>
    </row>
    <row r="34" spans="1:23" s="290" customFormat="1" ht="12.75" customHeight="1" x14ac:dyDescent="0.2">
      <c r="A34" s="333"/>
      <c r="B34" s="526" t="s">
        <v>49</v>
      </c>
      <c r="C34" s="527"/>
      <c r="D34" s="527"/>
      <c r="E34" s="527"/>
      <c r="F34" s="527"/>
      <c r="G34" s="527"/>
      <c r="H34" s="527"/>
      <c r="I34" s="527"/>
      <c r="J34" s="527"/>
      <c r="K34" s="527"/>
      <c r="L34" s="528"/>
      <c r="M34" s="315"/>
      <c r="N34" s="461">
        <v>30</v>
      </c>
      <c r="O34" s="148"/>
      <c r="P34" s="505" t="str">
        <f>VLOOKUP(N34,Alerts[],3,FALSE)</f>
        <v/>
      </c>
      <c r="Q34" s="506"/>
      <c r="R34" s="462" t="str" cm="1">
        <f t="array" ref="R34">IFZERO(VLOOKUP(N34,Alerts[],4,FALSE),"")</f>
        <v/>
      </c>
      <c r="S34" s="149" t="str" cm="1">
        <f t="array" ref="S34">IFZERO(VLOOKUP(N34,Alerts[],5,FALSE),"")</f>
        <v/>
      </c>
      <c r="T34" s="494"/>
    </row>
    <row r="35" spans="1:23" s="290" customFormat="1" ht="12.75" customHeight="1" thickBot="1" x14ac:dyDescent="0.25">
      <c r="A35" s="49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61">
        <v>31</v>
      </c>
      <c r="O35" s="148"/>
      <c r="P35" s="505" t="str">
        <f>VLOOKUP(N35,Alerts[],3,FALSE)</f>
        <v/>
      </c>
      <c r="Q35" s="506"/>
      <c r="R35" s="462" t="str" cm="1">
        <f t="array" ref="R35">IFZERO(VLOOKUP(N35,Alerts[],4,FALSE),"")</f>
        <v/>
      </c>
      <c r="S35" s="149" t="str" cm="1">
        <f t="array" ref="S35">IFZERO(VLOOKUP(N35,Alerts[],5,FALSE),"")</f>
        <v/>
      </c>
      <c r="T35" s="494"/>
    </row>
    <row r="36" spans="1:23" s="290" customFormat="1" ht="13.5" thickBot="1" x14ac:dyDescent="0.25">
      <c r="A36" s="499" t="s">
        <v>920</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61">
        <v>32</v>
      </c>
      <c r="O36" s="148"/>
      <c r="P36" s="505" t="str">
        <f>VLOOKUP(N36,Alerts[],3,FALSE)</f>
        <v/>
      </c>
      <c r="Q36" s="506"/>
      <c r="R36" s="462" t="str" cm="1">
        <f t="array" ref="R36">IFZERO(VLOOKUP(N36,Alerts[],4,FALSE),"")</f>
        <v/>
      </c>
      <c r="S36" s="149" t="str" cm="1">
        <f t="array" ref="S36">IFZERO(VLOOKUP(N36,Alerts[],5,FALSE),"")</f>
        <v/>
      </c>
      <c r="T36" s="494"/>
    </row>
    <row r="37" spans="1:23" s="290" customFormat="1" x14ac:dyDescent="0.2">
      <c r="A37" s="201" t="str">
        <f t="shared" ref="A37:A44" si="0">IF(B37,1,"")</f>
        <v/>
      </c>
      <c r="B37" s="201"/>
      <c r="C37" s="192"/>
      <c r="D37" s="202"/>
      <c r="E37" s="202"/>
      <c r="F37" s="202"/>
      <c r="G37" s="202"/>
      <c r="H37" s="202"/>
      <c r="I37" s="175"/>
      <c r="J37" s="175"/>
      <c r="K37" s="175"/>
      <c r="L37" s="175"/>
      <c r="M37" s="315"/>
      <c r="N37" s="461">
        <v>33</v>
      </c>
      <c r="O37" s="148"/>
      <c r="P37" s="505" t="str">
        <f>VLOOKUP(N37,Alerts[],3,FALSE)</f>
        <v/>
      </c>
      <c r="Q37" s="506"/>
      <c r="R37" s="462" t="str" cm="1">
        <f t="array" ref="R37">IFZERO(VLOOKUP(N37,Alerts[],4,FALSE),"")</f>
        <v/>
      </c>
      <c r="S37" s="149" t="str" cm="1">
        <f t="array" ref="S37">IFZERO(VLOOKUP(N37,Alerts[],5,FALSE),"")</f>
        <v/>
      </c>
      <c r="T37" s="494"/>
    </row>
    <row r="38" spans="1:23" s="290" customFormat="1" x14ac:dyDescent="0.2">
      <c r="A38" s="201" t="str">
        <f t="shared" si="0"/>
        <v/>
      </c>
      <c r="B38" s="203"/>
      <c r="C38" s="193"/>
      <c r="D38" s="202"/>
      <c r="E38" s="202"/>
      <c r="F38" s="202"/>
      <c r="G38" s="202"/>
      <c r="H38" s="202"/>
      <c r="I38" s="175"/>
      <c r="J38" s="175"/>
      <c r="K38" s="175"/>
      <c r="L38" s="175"/>
      <c r="M38" s="315"/>
      <c r="N38" s="461">
        <v>34</v>
      </c>
      <c r="O38" s="148"/>
      <c r="P38" s="505" t="str">
        <f>VLOOKUP(N38,Alerts[],3,FALSE)</f>
        <v/>
      </c>
      <c r="Q38" s="506"/>
      <c r="R38" s="462" t="str" cm="1">
        <f t="array" ref="R38">IFZERO(VLOOKUP(N38,Alerts[],4,FALSE),"")</f>
        <v/>
      </c>
      <c r="S38" s="149" t="str" cm="1">
        <f t="array" ref="S38">IFZERO(VLOOKUP(N38,Alerts[],5,FALSE),"")</f>
        <v/>
      </c>
      <c r="T38" s="494"/>
    </row>
    <row r="39" spans="1:23" s="290" customFormat="1" x14ac:dyDescent="0.2">
      <c r="A39" s="201" t="str">
        <f t="shared" si="0"/>
        <v/>
      </c>
      <c r="B39" s="203"/>
      <c r="C39" s="193"/>
      <c r="D39" s="202"/>
      <c r="E39" s="202"/>
      <c r="F39" s="202"/>
      <c r="G39" s="202"/>
      <c r="H39" s="175"/>
      <c r="I39" s="175"/>
      <c r="J39" s="175"/>
      <c r="K39" s="175"/>
      <c r="L39" s="175"/>
      <c r="M39" s="315"/>
      <c r="N39" s="461">
        <v>35</v>
      </c>
      <c r="O39" s="148"/>
      <c r="P39" s="505" t="str">
        <f>VLOOKUP(N39,Alerts[],3,FALSE)</f>
        <v/>
      </c>
      <c r="Q39" s="506"/>
      <c r="R39" s="462" t="str" cm="1">
        <f t="array" ref="R39">IFZERO(VLOOKUP(N39,Alerts[],4,FALSE),"")</f>
        <v/>
      </c>
      <c r="S39" s="149" t="str" cm="1">
        <f t="array" ref="S39">IFZERO(VLOOKUP(N39,Alerts[],5,FALSE),"")</f>
        <v/>
      </c>
      <c r="T39" s="494"/>
    </row>
    <row r="40" spans="1:23" s="290" customFormat="1" x14ac:dyDescent="0.2">
      <c r="A40" s="201" t="str">
        <f t="shared" si="0"/>
        <v/>
      </c>
      <c r="B40" s="203"/>
      <c r="C40" s="193"/>
      <c r="D40" s="202"/>
      <c r="E40" s="202"/>
      <c r="F40" s="202"/>
      <c r="G40" s="202"/>
      <c r="H40" s="175"/>
      <c r="I40" s="175"/>
      <c r="J40" s="175"/>
      <c r="K40" s="175"/>
      <c r="L40" s="175"/>
      <c r="M40" s="315"/>
      <c r="N40" s="461">
        <v>36</v>
      </c>
      <c r="O40" s="148"/>
      <c r="P40" s="505" t="str">
        <f>VLOOKUP(N40,Alerts[],3,FALSE)</f>
        <v/>
      </c>
      <c r="Q40" s="506"/>
      <c r="R40" s="462" t="str" cm="1">
        <f t="array" ref="R40">IFZERO(VLOOKUP(N40,Alerts[],4,FALSE),"")</f>
        <v/>
      </c>
      <c r="S40" s="149" t="str" cm="1">
        <f t="array" ref="S40">IFZERO(VLOOKUP(N40,Alerts[],5,FALSE),"")</f>
        <v/>
      </c>
      <c r="T40" s="494"/>
    </row>
    <row r="41" spans="1:23" s="290" customFormat="1" x14ac:dyDescent="0.2">
      <c r="A41" s="201" t="str">
        <f t="shared" si="0"/>
        <v/>
      </c>
      <c r="B41" s="176"/>
      <c r="C41" s="177"/>
      <c r="D41" s="178"/>
      <c r="E41" s="178"/>
      <c r="F41" s="178"/>
      <c r="G41" s="178"/>
      <c r="H41" s="178"/>
      <c r="I41" s="178"/>
      <c r="J41" s="178"/>
      <c r="K41" s="178"/>
      <c r="L41" s="178"/>
      <c r="M41" s="315"/>
      <c r="N41" s="461">
        <v>37</v>
      </c>
      <c r="O41" s="148"/>
      <c r="P41" s="505" t="str">
        <f>VLOOKUP(N41,Alerts[],3,FALSE)</f>
        <v/>
      </c>
      <c r="Q41" s="506"/>
      <c r="R41" s="462" t="str" cm="1">
        <f t="array" ref="R41">IFZERO(VLOOKUP(N41,Alerts[],4,FALSE),"")</f>
        <v/>
      </c>
      <c r="S41" s="149" t="str" cm="1">
        <f t="array" ref="S41">IFZERO(VLOOKUP(N41,Alerts[],5,FALSE),"")</f>
        <v/>
      </c>
      <c r="T41" s="494"/>
    </row>
    <row r="42" spans="1:23" s="290" customFormat="1" x14ac:dyDescent="0.2">
      <c r="A42" s="201" t="str">
        <f t="shared" si="0"/>
        <v/>
      </c>
      <c r="B42" s="176"/>
      <c r="C42" s="177"/>
      <c r="D42" s="178"/>
      <c r="E42" s="178"/>
      <c r="F42" s="178"/>
      <c r="G42" s="178"/>
      <c r="H42" s="178"/>
      <c r="I42" s="178"/>
      <c r="J42" s="178"/>
      <c r="K42" s="178"/>
      <c r="L42" s="178"/>
      <c r="M42" s="315"/>
      <c r="N42" s="461">
        <v>38</v>
      </c>
      <c r="O42" s="148"/>
      <c r="P42" s="505" t="str">
        <f>VLOOKUP(N42,Alerts[],3,FALSE)</f>
        <v/>
      </c>
      <c r="Q42" s="506"/>
      <c r="R42" s="462" t="str" cm="1">
        <f t="array" ref="R42">IFZERO(VLOOKUP(N42,Alerts[],4,FALSE),"")</f>
        <v/>
      </c>
      <c r="S42" s="149" t="str" cm="1">
        <f t="array" ref="S42">IFZERO(VLOOKUP(N42,Alerts[],5,FALSE),"")</f>
        <v/>
      </c>
      <c r="T42" s="494"/>
    </row>
    <row r="43" spans="1:23" s="290" customFormat="1" x14ac:dyDescent="0.2">
      <c r="A43" s="201" t="str">
        <f t="shared" si="0"/>
        <v/>
      </c>
      <c r="B43" s="176"/>
      <c r="C43" s="177"/>
      <c r="D43" s="178"/>
      <c r="E43" s="178"/>
      <c r="F43" s="178"/>
      <c r="G43" s="178"/>
      <c r="H43" s="178"/>
      <c r="I43" s="178"/>
      <c r="J43" s="178"/>
      <c r="K43" s="178"/>
      <c r="L43" s="178"/>
      <c r="M43" s="315"/>
      <c r="N43" s="461">
        <v>39</v>
      </c>
      <c r="O43" s="148"/>
      <c r="P43" s="505" t="str">
        <f>VLOOKUP(N43,Alerts[],3,FALSE)</f>
        <v/>
      </c>
      <c r="Q43" s="506"/>
      <c r="R43" s="462" t="str" cm="1">
        <f t="array" ref="R43">IFZERO(VLOOKUP(N43,Alerts[],4,FALSE),"")</f>
        <v/>
      </c>
      <c r="S43" s="149" t="str" cm="1">
        <f t="array" ref="S43">IFZERO(VLOOKUP(N43,Alerts[],5,FALSE),"")</f>
        <v/>
      </c>
      <c r="T43" s="494"/>
    </row>
    <row r="44" spans="1:23" s="290" customFormat="1" x14ac:dyDescent="0.2">
      <c r="A44" s="201" t="str">
        <f t="shared" si="0"/>
        <v/>
      </c>
      <c r="B44" s="176"/>
      <c r="C44" s="177"/>
      <c r="D44" s="178"/>
      <c r="E44" s="178"/>
      <c r="F44" s="178"/>
      <c r="G44" s="178"/>
      <c r="H44" s="178"/>
      <c r="I44" s="178"/>
      <c r="J44" s="178"/>
      <c r="K44" s="178"/>
      <c r="L44" s="178"/>
      <c r="M44" s="315"/>
      <c r="N44" s="461">
        <v>40</v>
      </c>
      <c r="O44" s="148"/>
      <c r="P44" s="505" t="str">
        <f>VLOOKUP(N44,Alerts[],3,FALSE)</f>
        <v/>
      </c>
      <c r="Q44" s="506"/>
      <c r="R44" s="462" t="str" cm="1">
        <f t="array" ref="R44">IFZERO(VLOOKUP(N44,Alerts[],4,FALSE),"")</f>
        <v/>
      </c>
      <c r="S44" s="149" t="str" cm="1">
        <f t="array" ref="S44">IFZERO(VLOOKUP(N44,Alerts[],5,FALSE),"")</f>
        <v/>
      </c>
      <c r="T44" s="49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552" t="s">
        <v>33</v>
      </c>
      <c r="E46" s="553"/>
      <c r="F46" s="553"/>
      <c r="G46" s="553"/>
      <c r="H46" s="553"/>
      <c r="I46" s="554"/>
      <c r="J46" s="359"/>
      <c r="K46" s="359"/>
      <c r="L46" s="359"/>
      <c r="M46" s="569" t="s">
        <v>327</v>
      </c>
      <c r="N46" s="570"/>
      <c r="O46" s="571"/>
      <c r="P46" s="572"/>
      <c r="Q46" s="319"/>
      <c r="R46" s="319"/>
      <c r="S46" s="319"/>
      <c r="T46" s="319"/>
      <c r="U46" s="319"/>
    </row>
    <row r="47" spans="1:23" x14ac:dyDescent="0.2">
      <c r="A47" s="337"/>
      <c r="B47" s="357"/>
      <c r="C47" s="428" t="s">
        <v>59</v>
      </c>
      <c r="D47" s="301" t="str">
        <f>IF(D48="","",""""&amp;_xlfn.XLOOKUP(D$48,WireSets[serial_number],WireSets[type],"",0)&amp;"""")</f>
        <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328</v>
      </c>
      <c r="N47" s="313" t="s">
        <v>329</v>
      </c>
      <c r="O47" s="360"/>
      <c r="P47" s="559" t="s">
        <v>330</v>
      </c>
      <c r="Q47" s="559"/>
      <c r="R47" s="431" t="s">
        <v>331</v>
      </c>
      <c r="S47" s="319"/>
      <c r="T47" s="319"/>
      <c r="U47" s="319"/>
    </row>
    <row r="48" spans="1:23" x14ac:dyDescent="0.2">
      <c r="A48" s="333"/>
      <c r="B48" s="357"/>
      <c r="C48" s="429" t="s">
        <v>34</v>
      </c>
      <c r="D48" s="302"/>
      <c r="E48" s="302"/>
      <c r="F48" s="302"/>
      <c r="G48" s="302"/>
      <c r="H48" s="302"/>
      <c r="I48" s="302"/>
      <c r="J48" s="359"/>
      <c r="K48" s="359"/>
      <c r="L48" s="359"/>
      <c r="M48" s="560" t="s">
        <v>332</v>
      </c>
      <c r="N48" s="560"/>
      <c r="O48" s="361"/>
      <c r="P48" s="518" t="s">
        <v>378</v>
      </c>
      <c r="Q48" s="519"/>
      <c r="R48" s="520"/>
      <c r="S48" s="362"/>
      <c r="T48" s="320"/>
      <c r="U48" s="518" t="s">
        <v>381</v>
      </c>
      <c r="V48" s="519"/>
      <c r="W48" s="520"/>
    </row>
    <row r="49" spans="1:24" x14ac:dyDescent="0.2">
      <c r="A49" s="333"/>
      <c r="B49" s="363"/>
      <c r="C49" s="428" t="s">
        <v>35</v>
      </c>
      <c r="D49" s="300" t="str">
        <f>_xlfn.XLOOKUP(D$48,WireSets[serial_number],WireSets[service_date],"",0)</f>
        <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855</v>
      </c>
      <c r="L49" s="359"/>
      <c r="M49" s="251" t="s">
        <v>333</v>
      </c>
      <c r="N49" s="312" t="str">
        <f>IF(PB="","",PB)</f>
        <v/>
      </c>
      <c r="O49" s="329"/>
      <c r="P49" s="521" t="s">
        <v>383</v>
      </c>
      <c r="Q49" s="522"/>
      <c r="R49" s="523"/>
      <c r="S49" s="432"/>
      <c r="T49" s="321"/>
      <c r="U49" s="521" t="s">
        <v>382</v>
      </c>
      <c r="V49" s="522"/>
      <c r="W49" s="523"/>
      <c r="X49" s="303"/>
    </row>
    <row r="50" spans="1:24" x14ac:dyDescent="0.2">
      <c r="A50" s="333"/>
      <c r="B50" s="364"/>
      <c r="C50" s="428" t="s">
        <v>36</v>
      </c>
      <c r="D50" s="300" t="str">
        <f>IF(D49="","",EDATE(D49,3))</f>
        <v/>
      </c>
      <c r="E50" s="300" t="str">
        <f t="shared" ref="E50:I50" si="1">IF(E49="","",EDATE(E49,3))</f>
        <v/>
      </c>
      <c r="F50" s="300" t="str">
        <f t="shared" si="1"/>
        <v/>
      </c>
      <c r="G50" s="300" t="str">
        <f t="shared" si="1"/>
        <v/>
      </c>
      <c r="H50" s="300" t="str">
        <f t="shared" si="1"/>
        <v/>
      </c>
      <c r="I50" s="300" t="str">
        <f t="shared" si="1"/>
        <v/>
      </c>
      <c r="J50" s="359"/>
      <c r="K50" s="359"/>
      <c r="L50" s="359"/>
      <c r="M50" s="251" t="s">
        <v>334</v>
      </c>
      <c r="N50" s="312" t="str">
        <f>IF(Integral="","",Integral)</f>
        <v/>
      </c>
      <c r="O50" s="329"/>
      <c r="P50" s="509" t="s">
        <v>335</v>
      </c>
      <c r="Q50" s="510"/>
      <c r="R50" s="511"/>
      <c r="S50" s="365"/>
      <c r="T50" s="322"/>
      <c r="U50" s="509" t="s">
        <v>335</v>
      </c>
      <c r="V50" s="510"/>
      <c r="W50" s="511"/>
      <c r="X50" s="319"/>
    </row>
    <row r="51" spans="1:24" x14ac:dyDescent="0.2">
      <c r="A51" s="333"/>
      <c r="B51" s="366"/>
      <c r="C51" s="428" t="s">
        <v>57</v>
      </c>
      <c r="D51" s="302"/>
      <c r="E51" s="302"/>
      <c r="F51" s="302"/>
      <c r="G51" s="302"/>
      <c r="H51" s="302"/>
      <c r="I51" s="302"/>
      <c r="J51" s="359"/>
      <c r="K51" s="367"/>
      <c r="L51" s="359"/>
      <c r="M51" s="415" t="s">
        <v>336</v>
      </c>
      <c r="N51" s="312" t="str">
        <f>IF(Derivative="","",Derivative)</f>
        <v/>
      </c>
      <c r="O51" s="315"/>
      <c r="P51" s="521" t="s">
        <v>379</v>
      </c>
      <c r="Q51" s="522"/>
      <c r="R51" s="523"/>
      <c r="S51" s="432"/>
      <c r="T51" s="323"/>
      <c r="U51" s="521" t="s">
        <v>384</v>
      </c>
      <c r="V51" s="522"/>
      <c r="W51" s="523"/>
      <c r="X51" s="303"/>
    </row>
    <row r="52" spans="1:24" x14ac:dyDescent="0.2">
      <c r="A52" s="333"/>
      <c r="B52" s="357"/>
      <c r="C52" s="428" t="s">
        <v>342</v>
      </c>
      <c r="D52" s="302"/>
      <c r="E52" s="302"/>
      <c r="F52" s="302"/>
      <c r="G52" s="302"/>
      <c r="H52" s="302"/>
      <c r="I52" s="302"/>
      <c r="J52" s="359"/>
      <c r="K52" s="367"/>
      <c r="L52" s="359"/>
      <c r="M52" s="415" t="s">
        <v>337</v>
      </c>
      <c r="N52" s="312" t="str">
        <f>IF(Other1="","",Other1)</f>
        <v/>
      </c>
      <c r="O52" s="329"/>
      <c r="P52" s="509" t="s">
        <v>335</v>
      </c>
      <c r="Q52" s="510"/>
      <c r="R52" s="511"/>
      <c r="S52" s="365"/>
      <c r="T52" s="324"/>
      <c r="U52" s="509" t="s">
        <v>335</v>
      </c>
      <c r="V52" s="510"/>
      <c r="W52" s="511"/>
      <c r="X52" s="319"/>
    </row>
    <row r="53" spans="1:24" ht="12.75" customHeight="1" x14ac:dyDescent="0.2">
      <c r="A53" s="333"/>
      <c r="B53" s="357"/>
      <c r="C53" s="428" t="s">
        <v>58</v>
      </c>
      <c r="D53" s="307"/>
      <c r="E53" s="307"/>
      <c r="F53" s="307"/>
      <c r="G53" s="307"/>
      <c r="H53" s="307"/>
      <c r="I53" s="307"/>
      <c r="J53" s="359"/>
      <c r="K53" s="368"/>
      <c r="L53" s="368"/>
      <c r="M53" s="416" t="s">
        <v>337</v>
      </c>
      <c r="N53" s="312" t="str">
        <f>IF(Other2="","",Other2)</f>
        <v/>
      </c>
      <c r="O53" s="329"/>
      <c r="P53" s="512" t="s">
        <v>380</v>
      </c>
      <c r="Q53" s="513"/>
      <c r="R53" s="514"/>
      <c r="S53" s="433"/>
      <c r="T53" s="325"/>
      <c r="U53" s="512" t="s">
        <v>385</v>
      </c>
      <c r="V53" s="513"/>
      <c r="W53" s="514"/>
      <c r="X53" s="414"/>
    </row>
    <row r="54" spans="1:24" x14ac:dyDescent="0.2">
      <c r="A54" s="333"/>
      <c r="B54" s="357"/>
      <c r="C54" s="430" t="s">
        <v>82</v>
      </c>
      <c r="D54" s="485" t="str">
        <f>_xlfn.XLOOKUP(D$48,WireSets[serial_number],WireSets[traceability_number],"",0)</f>
        <v/>
      </c>
      <c r="E54" s="485" t="str">
        <f>_xlfn.XLOOKUP(E$48,WireSets[serial_number],WireSets[traceability_number],"",0)</f>
        <v/>
      </c>
      <c r="F54" s="485" t="str">
        <f>_xlfn.XLOOKUP(F$48,WireSets[serial_number],WireSets[traceability_number],"",0)</f>
        <v/>
      </c>
      <c r="G54" s="485" t="str">
        <f>_xlfn.XLOOKUP(G$48,WireSets[serial_number],WireSets[traceability_number],"",0)</f>
        <v/>
      </c>
      <c r="H54" s="485" t="str">
        <f>_xlfn.XLOOKUP(H$48,WireSets[serial_number],WireSets[traceability_number],"",0)</f>
        <v/>
      </c>
      <c r="I54" s="485" t="str">
        <f>_xlfn.XLOOKUP(I$48,WireSets[serial_number],WireSets[traceability_number],"",0)</f>
        <v/>
      </c>
      <c r="J54" s="369"/>
      <c r="K54" s="417"/>
      <c r="L54" s="418"/>
      <c r="M54" s="419" t="s">
        <v>364</v>
      </c>
      <c r="N54" s="311">
        <v>0</v>
      </c>
      <c r="O54" s="317"/>
      <c r="P54" s="515"/>
      <c r="Q54" s="516"/>
      <c r="R54" s="517"/>
      <c r="S54" s="370"/>
      <c r="T54" s="326"/>
      <c r="U54" s="515"/>
      <c r="V54" s="516"/>
      <c r="W54" s="517"/>
    </row>
    <row r="55" spans="1:24" x14ac:dyDescent="0.2">
      <c r="A55" s="333"/>
      <c r="B55" s="357"/>
      <c r="C55" s="430" t="s">
        <v>151</v>
      </c>
      <c r="D55" s="486" t="str">
        <f>_xlfn.XLOOKUP(D$48,WireSets[serial_number],WireSets[wire_roll_cert_number],"",0)</f>
        <v/>
      </c>
      <c r="E55" s="486" t="str">
        <f>_xlfn.XLOOKUP(E$48,WireSets[serial_number],WireSets[wire_roll_cert_number],"",0)</f>
        <v/>
      </c>
      <c r="F55" s="486" t="str">
        <f>_xlfn.XLOOKUP(F$48,WireSets[serial_number],WireSets[wire_roll_cert_number],"",0)</f>
        <v/>
      </c>
      <c r="G55" s="486" t="str">
        <f>_xlfn.XLOOKUP(G$48,WireSets[serial_number],WireSets[wire_roll_cert_number],"",0)</f>
        <v/>
      </c>
      <c r="H55" s="486" t="str">
        <f>_xlfn.XLOOKUP(H$48,WireSets[serial_number],WireSets[wire_roll_cert_number],"",0)</f>
        <v/>
      </c>
      <c r="I55" s="486" t="str">
        <f>_xlfn.XLOOKUP(I$48,WireSets[serial_number],WireSets[wire_roll_cert_number],"",0)</f>
        <v/>
      </c>
      <c r="J55" s="371"/>
      <c r="K55" s="420"/>
      <c r="L55" s="421"/>
      <c r="M55" s="422" t="s">
        <v>365</v>
      </c>
      <c r="N55" s="311">
        <v>0</v>
      </c>
      <c r="O55" s="317"/>
      <c r="P55" s="254" t="s">
        <v>338</v>
      </c>
      <c r="Q55" s="254" t="s">
        <v>14</v>
      </c>
      <c r="R55" s="262" t="s">
        <v>339</v>
      </c>
      <c r="S55" s="372"/>
      <c r="T55" s="327"/>
      <c r="U55" s="314" t="s">
        <v>340</v>
      </c>
      <c r="V55" s="254" t="s">
        <v>14</v>
      </c>
      <c r="W55" s="254" t="s">
        <v>341</v>
      </c>
    </row>
    <row r="56" spans="1:24" x14ac:dyDescent="0.2">
      <c r="A56" s="333"/>
      <c r="B56" s="373"/>
      <c r="C56" s="430" t="s">
        <v>152</v>
      </c>
      <c r="D56" s="302"/>
      <c r="E56" s="302"/>
      <c r="F56" s="302"/>
      <c r="G56" s="302"/>
      <c r="H56" s="302"/>
      <c r="I56" s="302"/>
      <c r="J56" s="374"/>
      <c r="K56" s="423"/>
      <c r="L56" s="424"/>
      <c r="M56" s="422" t="s">
        <v>366</v>
      </c>
      <c r="N56" s="311">
        <v>0</v>
      </c>
      <c r="O56" s="317"/>
      <c r="P56" s="434"/>
      <c r="Q56" s="435"/>
      <c r="R56" s="436"/>
      <c r="S56" s="375"/>
      <c r="T56" s="328"/>
      <c r="U56" s="437"/>
      <c r="V56" s="435"/>
      <c r="W56" s="434"/>
    </row>
    <row r="57" spans="1:24" x14ac:dyDescent="0.2">
      <c r="A57" s="333"/>
      <c r="B57" s="354"/>
      <c r="C57" s="251" t="s">
        <v>343</v>
      </c>
      <c r="D57" s="303"/>
      <c r="E57" s="303"/>
      <c r="F57" s="303"/>
      <c r="G57" s="303"/>
      <c r="H57" s="303"/>
      <c r="I57" s="303"/>
      <c r="J57" s="315"/>
      <c r="K57" s="425"/>
      <c r="L57" s="426"/>
      <c r="M57" s="427" t="s">
        <v>367</v>
      </c>
      <c r="N57" s="311">
        <v>0</v>
      </c>
      <c r="O57" s="317"/>
      <c r="P57" s="315"/>
      <c r="Q57" s="315"/>
      <c r="R57" s="315"/>
      <c r="S57" s="315"/>
    </row>
    <row r="58" spans="1:24" x14ac:dyDescent="0.2">
      <c r="A58" s="333"/>
      <c r="B58" s="354"/>
      <c r="C58" s="552" t="s">
        <v>157</v>
      </c>
      <c r="D58" s="553"/>
      <c r="E58" s="553"/>
      <c r="F58" s="553"/>
      <c r="G58" s="553"/>
      <c r="H58" s="553"/>
      <c r="I58" s="553"/>
      <c r="J58" s="553"/>
      <c r="K58" s="557"/>
      <c r="L58" s="558"/>
      <c r="M58" s="319"/>
      <c r="N58" s="319"/>
      <c r="O58" s="319"/>
      <c r="P58" s="319"/>
      <c r="Q58" s="319"/>
      <c r="R58" s="319"/>
      <c r="S58" s="319"/>
      <c r="T58" s="319"/>
      <c r="U58" s="319"/>
    </row>
    <row r="59" spans="1:24" x14ac:dyDescent="0.2">
      <c r="A59" s="333"/>
      <c r="B59" s="354"/>
      <c r="C59" s="552" t="s">
        <v>160</v>
      </c>
      <c r="D59" s="553"/>
      <c r="E59" s="553"/>
      <c r="F59" s="553"/>
      <c r="G59" s="553"/>
      <c r="H59" s="553"/>
      <c r="I59" s="553"/>
      <c r="J59" s="553"/>
      <c r="K59" s="553"/>
      <c r="L59" s="554"/>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158</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159</v>
      </c>
      <c r="E61" s="310"/>
      <c r="F61" s="186" t="s">
        <v>161</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362</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30"/>
      <c r="C64" s="352"/>
      <c r="D64" s="353"/>
      <c r="E64" s="353"/>
      <c r="F64" s="353"/>
      <c r="G64" s="353"/>
      <c r="H64" s="353"/>
      <c r="I64" s="353"/>
      <c r="J64" s="315"/>
      <c r="K64" s="315"/>
      <c r="L64" s="315"/>
      <c r="M64" s="319"/>
      <c r="N64" s="359"/>
      <c r="O64" s="359"/>
      <c r="P64" s="319"/>
      <c r="Q64" s="319"/>
      <c r="R64" s="319"/>
      <c r="S64" s="319"/>
      <c r="T64" s="319"/>
      <c r="U64" s="319"/>
    </row>
    <row r="65" spans="1:19" x14ac:dyDescent="0.2">
      <c r="A65" s="381"/>
      <c r="B65" s="330"/>
      <c r="C65" s="352"/>
      <c r="D65" s="353"/>
      <c r="E65" s="353"/>
      <c r="F65" s="353"/>
      <c r="G65" s="353"/>
      <c r="H65" s="353"/>
      <c r="I65" s="353"/>
      <c r="J65" s="315"/>
      <c r="K65" s="315"/>
      <c r="L65" s="315"/>
      <c r="M65" s="315"/>
      <c r="N65" s="382"/>
      <c r="O65" s="382"/>
      <c r="P65" s="315"/>
      <c r="Q65" s="315"/>
      <c r="R65" s="315"/>
      <c r="S65" s="315"/>
    </row>
    <row r="66" spans="1:19" x14ac:dyDescent="0.2">
      <c r="A66" s="383"/>
      <c r="B66" s="330"/>
      <c r="C66" s="352"/>
      <c r="D66" s="353"/>
      <c r="E66" s="353"/>
      <c r="F66" s="353"/>
      <c r="G66" s="353"/>
      <c r="H66" s="353"/>
      <c r="I66" s="353"/>
      <c r="J66" s="315"/>
      <c r="K66" s="315"/>
      <c r="L66" s="315"/>
      <c r="M66" s="315"/>
      <c r="N66" s="384"/>
      <c r="O66" s="384"/>
      <c r="P66" s="315"/>
      <c r="Q66" s="315"/>
      <c r="R66" s="315"/>
      <c r="S66" s="315"/>
    </row>
    <row r="67" spans="1:19" x14ac:dyDescent="0.2">
      <c r="A67" s="337"/>
      <c r="B67" s="330"/>
      <c r="C67" s="352"/>
      <c r="D67" s="353"/>
      <c r="E67" s="353"/>
      <c r="F67" s="353"/>
      <c r="G67" s="353"/>
      <c r="H67" s="353"/>
      <c r="I67" s="353"/>
      <c r="J67" s="315"/>
      <c r="K67" s="315"/>
      <c r="L67" s="315"/>
      <c r="M67" s="315"/>
      <c r="N67" s="384"/>
      <c r="O67" s="384"/>
      <c r="P67" s="315"/>
      <c r="Q67" s="315"/>
      <c r="R67" s="315"/>
      <c r="S67" s="315"/>
    </row>
    <row r="68" spans="1:19" x14ac:dyDescent="0.2">
      <c r="A68" s="337"/>
      <c r="B68" s="330"/>
      <c r="C68" s="352"/>
      <c r="D68" s="353"/>
      <c r="E68" s="353"/>
      <c r="F68" s="353"/>
      <c r="G68" s="353"/>
      <c r="H68" s="353"/>
      <c r="I68" s="353"/>
      <c r="J68" s="315"/>
      <c r="K68" s="315"/>
      <c r="L68" s="315"/>
      <c r="M68" s="315"/>
      <c r="N68" s="384"/>
      <c r="O68" s="384"/>
      <c r="P68" s="315"/>
      <c r="Q68" s="315"/>
      <c r="R68" s="315"/>
      <c r="S68" s="315"/>
    </row>
    <row r="69" spans="1:19" ht="24.75" customHeight="1" x14ac:dyDescent="0.2">
      <c r="A69" s="337"/>
      <c r="B69" s="330"/>
      <c r="C69" s="352"/>
      <c r="D69" s="353"/>
      <c r="E69" s="353"/>
      <c r="F69" s="353"/>
      <c r="G69" s="353"/>
      <c r="H69" s="353"/>
      <c r="I69" s="353"/>
      <c r="J69" s="315"/>
      <c r="K69" s="315"/>
      <c r="L69" s="315"/>
      <c r="M69" s="315"/>
      <c r="N69" s="384"/>
      <c r="O69" s="384"/>
      <c r="P69" s="315"/>
      <c r="Q69" s="315"/>
      <c r="R69" s="315"/>
      <c r="S69" s="315"/>
    </row>
    <row r="70" spans="1:19" x14ac:dyDescent="0.2">
      <c r="A70" s="337"/>
      <c r="B70" s="330"/>
      <c r="C70" s="331"/>
      <c r="D70" s="315"/>
      <c r="E70" s="315"/>
      <c r="F70" s="315"/>
      <c r="G70" s="315"/>
      <c r="H70" s="315"/>
      <c r="I70" s="315"/>
      <c r="J70" s="315"/>
      <c r="K70" s="315"/>
      <c r="L70" s="315"/>
      <c r="M70" s="315"/>
      <c r="N70" s="358"/>
      <c r="O70" s="358"/>
      <c r="P70" s="315"/>
      <c r="Q70" s="315"/>
      <c r="R70" s="315"/>
      <c r="S70" s="315"/>
    </row>
    <row r="71" spans="1:19" x14ac:dyDescent="0.2">
      <c r="A71" s="385"/>
      <c r="B71" s="330"/>
      <c r="C71" s="331"/>
      <c r="D71" s="315"/>
      <c r="E71" s="315"/>
      <c r="F71" s="315"/>
      <c r="G71" s="315"/>
      <c r="H71" s="315"/>
      <c r="I71" s="315"/>
      <c r="J71" s="315"/>
      <c r="K71" s="315"/>
      <c r="L71" s="315"/>
      <c r="M71" s="315"/>
      <c r="N71" s="315"/>
      <c r="O71" s="358"/>
      <c r="P71" s="315"/>
      <c r="Q71" s="315"/>
      <c r="R71" s="315"/>
      <c r="S71" s="315"/>
    </row>
    <row r="72" spans="1:19" x14ac:dyDescent="0.2">
      <c r="A72" s="386"/>
      <c r="B72" s="387"/>
      <c r="C72" s="388"/>
      <c r="D72" s="389"/>
      <c r="E72" s="389"/>
      <c r="F72" s="389"/>
      <c r="G72" s="389"/>
      <c r="H72" s="389"/>
      <c r="I72" s="389"/>
      <c r="J72" s="389"/>
      <c r="K72" s="389"/>
      <c r="L72" s="389"/>
      <c r="M72" s="389"/>
      <c r="N72" s="390"/>
      <c r="O72" s="390"/>
      <c r="P72" s="390"/>
      <c r="Q72" s="389"/>
      <c r="R72" s="315"/>
      <c r="S72" s="315"/>
    </row>
    <row r="73" spans="1:19" x14ac:dyDescent="0.2">
      <c r="A73" s="386"/>
      <c r="B73" s="387"/>
      <c r="C73" s="388"/>
      <c r="D73" s="389"/>
      <c r="E73" s="389"/>
      <c r="F73" s="389"/>
      <c r="G73" s="389"/>
      <c r="H73" s="389"/>
      <c r="I73" s="389"/>
      <c r="J73" s="389"/>
      <c r="K73" s="389"/>
      <c r="L73" s="389"/>
      <c r="M73" s="389"/>
      <c r="N73" s="390"/>
      <c r="O73" s="390"/>
      <c r="P73" s="390"/>
      <c r="Q73" s="389"/>
      <c r="R73" s="315"/>
      <c r="S73" s="315"/>
    </row>
    <row r="74" spans="1:19" x14ac:dyDescent="0.2">
      <c r="A74" s="386"/>
      <c r="B74" s="387"/>
      <c r="C74" s="388"/>
      <c r="D74" s="389"/>
      <c r="E74" s="389"/>
      <c r="F74" s="389"/>
      <c r="G74" s="389"/>
      <c r="H74" s="389"/>
      <c r="I74" s="389"/>
      <c r="J74" s="389"/>
      <c r="K74" s="389"/>
      <c r="L74" s="389"/>
      <c r="M74" s="389"/>
      <c r="N74" s="390"/>
      <c r="O74" s="390"/>
      <c r="P74" s="390"/>
      <c r="Q74" s="389"/>
      <c r="R74" s="315"/>
      <c r="S74" s="315"/>
    </row>
    <row r="75" spans="1:19" x14ac:dyDescent="0.2">
      <c r="A75" s="386"/>
      <c r="B75" s="387"/>
      <c r="C75" s="388"/>
      <c r="D75" s="389"/>
      <c r="E75" s="389"/>
      <c r="F75" s="389"/>
      <c r="G75" s="389"/>
      <c r="H75" s="389"/>
      <c r="I75" s="389"/>
      <c r="J75" s="389"/>
      <c r="K75" s="389"/>
      <c r="L75" s="389"/>
      <c r="M75" s="389"/>
      <c r="N75" s="390"/>
      <c r="O75" s="390"/>
      <c r="P75" s="390"/>
      <c r="Q75" s="389"/>
      <c r="R75" s="315"/>
      <c r="S75" s="315"/>
    </row>
    <row r="76" spans="1:19" x14ac:dyDescent="0.2">
      <c r="A76" s="386"/>
      <c r="B76" s="387"/>
      <c r="C76" s="388"/>
      <c r="D76" s="389"/>
      <c r="E76" s="389"/>
      <c r="F76" s="389"/>
      <c r="G76" s="389"/>
      <c r="H76" s="389"/>
      <c r="I76" s="389"/>
      <c r="J76" s="389"/>
      <c r="K76" s="389"/>
      <c r="L76" s="389"/>
      <c r="M76" s="389"/>
      <c r="N76" s="390"/>
      <c r="O76" s="390"/>
      <c r="P76" s="390"/>
      <c r="Q76" s="389"/>
      <c r="R76" s="315"/>
      <c r="S76" s="315"/>
    </row>
    <row r="77" spans="1:19" x14ac:dyDescent="0.2">
      <c r="A77" s="386"/>
      <c r="B77" s="387"/>
      <c r="C77" s="388"/>
      <c r="D77" s="389"/>
      <c r="E77" s="389"/>
      <c r="F77" s="389"/>
      <c r="G77" s="389"/>
      <c r="H77" s="389"/>
      <c r="I77" s="389"/>
      <c r="J77" s="389"/>
      <c r="K77" s="389"/>
      <c r="L77" s="389"/>
      <c r="M77" s="389"/>
      <c r="N77" s="390"/>
      <c r="O77" s="390"/>
      <c r="P77" s="390"/>
      <c r="Q77" s="389"/>
      <c r="R77" s="315"/>
      <c r="S77" s="315"/>
    </row>
    <row r="78" spans="1:19" x14ac:dyDescent="0.2">
      <c r="A78" s="386"/>
      <c r="B78" s="492"/>
      <c r="C78" s="388"/>
      <c r="D78" s="389"/>
      <c r="E78" s="389"/>
      <c r="F78" s="389"/>
      <c r="G78" s="389"/>
      <c r="H78" s="389"/>
      <c r="I78" s="389"/>
      <c r="J78" s="389"/>
      <c r="K78" s="389"/>
      <c r="L78" s="389"/>
      <c r="M78" s="389"/>
      <c r="N78" s="390"/>
      <c r="O78" s="390"/>
      <c r="P78" s="390"/>
      <c r="Q78" s="389"/>
      <c r="R78" s="315"/>
      <c r="S78" s="315"/>
    </row>
    <row r="79" spans="1:19" x14ac:dyDescent="0.2">
      <c r="A79" s="386"/>
      <c r="B79" s="387"/>
      <c r="C79" s="388"/>
      <c r="D79" s="389"/>
      <c r="E79" s="389"/>
      <c r="F79" s="389"/>
      <c r="G79" s="389"/>
      <c r="H79" s="389"/>
      <c r="I79" s="389"/>
      <c r="J79" s="389"/>
      <c r="K79" s="389"/>
      <c r="L79" s="389"/>
      <c r="M79" s="389"/>
      <c r="N79" s="390"/>
      <c r="O79" s="390"/>
      <c r="P79" s="390"/>
      <c r="Q79" s="389"/>
      <c r="R79" s="315"/>
      <c r="S79" s="315"/>
    </row>
    <row r="80" spans="1:19" x14ac:dyDescent="0.2">
      <c r="A80" s="386"/>
      <c r="B80" s="387"/>
      <c r="C80" s="388"/>
      <c r="D80" s="389"/>
      <c r="E80" s="389"/>
      <c r="F80" s="389"/>
      <c r="G80" s="389"/>
      <c r="H80" s="389"/>
      <c r="I80" s="389"/>
      <c r="J80" s="389"/>
      <c r="K80" s="389"/>
      <c r="L80" s="389"/>
      <c r="M80" s="389"/>
      <c r="N80" s="390"/>
      <c r="O80" s="390"/>
      <c r="P80" s="390"/>
      <c r="Q80" s="389"/>
      <c r="R80" s="315"/>
      <c r="S80" s="315"/>
    </row>
    <row r="81" spans="1:19" x14ac:dyDescent="0.2">
      <c r="A81" s="386"/>
      <c r="B81" s="387"/>
      <c r="C81" s="388"/>
      <c r="D81" s="389"/>
      <c r="E81" s="389"/>
      <c r="F81" s="389"/>
      <c r="G81" s="389"/>
      <c r="H81" s="389"/>
      <c r="I81" s="389"/>
      <c r="J81" s="389"/>
      <c r="K81" s="389"/>
      <c r="L81" s="389"/>
      <c r="M81" s="389"/>
      <c r="N81" s="390"/>
      <c r="O81" s="390"/>
      <c r="P81" s="390"/>
      <c r="Q81" s="389"/>
      <c r="R81" s="315"/>
      <c r="S81" s="315"/>
    </row>
    <row r="82" spans="1:19" x14ac:dyDescent="0.2">
      <c r="A82" s="386"/>
      <c r="B82" s="387"/>
      <c r="C82" s="388"/>
      <c r="D82" s="389"/>
      <c r="E82" s="389"/>
      <c r="F82" s="389"/>
      <c r="G82" s="389"/>
      <c r="I82" s="389"/>
      <c r="J82" s="389"/>
      <c r="K82" s="389"/>
      <c r="L82" s="389"/>
      <c r="M82" s="389"/>
      <c r="N82" s="390"/>
      <c r="O82" s="390"/>
      <c r="P82" s="390"/>
      <c r="Q82" s="389"/>
      <c r="R82" s="315"/>
      <c r="S82" s="315"/>
    </row>
    <row r="83" spans="1:19" x14ac:dyDescent="0.2">
      <c r="A83" s="386"/>
      <c r="B83" s="387"/>
      <c r="C83" s="388"/>
      <c r="D83" s="389"/>
      <c r="E83" s="391"/>
      <c r="F83" s="392"/>
      <c r="G83" s="319" t="s">
        <v>903</v>
      </c>
      <c r="H83" s="447">
        <f>MAX(NominalTemp/1000,1)</f>
        <v>1</v>
      </c>
      <c r="I83" s="391"/>
      <c r="J83" s="392"/>
      <c r="K83" s="393"/>
      <c r="L83" s="394"/>
      <c r="M83" s="389"/>
      <c r="N83" s="390"/>
      <c r="O83" s="390"/>
      <c r="P83" s="390"/>
      <c r="Q83" s="389"/>
      <c r="R83" s="315"/>
      <c r="S83" s="315"/>
    </row>
    <row r="84" spans="1:19" x14ac:dyDescent="0.2">
      <c r="A84" s="386"/>
      <c r="B84" s="387"/>
      <c r="C84" s="388"/>
      <c r="D84" s="389"/>
      <c r="E84" s="395"/>
      <c r="F84" s="396"/>
      <c r="G84" s="397"/>
      <c r="H84" s="398"/>
      <c r="I84" s="399"/>
      <c r="J84" s="392"/>
      <c r="K84" s="393"/>
      <c r="L84" s="394"/>
      <c r="M84" s="389"/>
      <c r="N84" s="390"/>
      <c r="O84" s="390"/>
      <c r="P84" s="390"/>
      <c r="Q84" s="389"/>
      <c r="R84" s="315"/>
      <c r="S84" s="315"/>
    </row>
    <row r="85" spans="1:19" x14ac:dyDescent="0.2">
      <c r="A85" s="386"/>
      <c r="B85" s="387"/>
      <c r="C85" s="388"/>
      <c r="D85" s="389"/>
      <c r="E85" s="395"/>
      <c r="F85" t="s">
        <v>901</v>
      </c>
      <c r="G85" t="s">
        <v>150</v>
      </c>
      <c r="H85" t="s">
        <v>149</v>
      </c>
      <c r="I85" s="39" t="s">
        <v>902</v>
      </c>
      <c r="J85" s="393"/>
      <c r="K85" s="394"/>
      <c r="L85" s="389"/>
      <c r="M85" s="390"/>
      <c r="N85" s="390"/>
      <c r="O85" s="390"/>
      <c r="P85" s="389"/>
      <c r="Q85" s="315"/>
      <c r="R85" s="315"/>
      <c r="S85" s="315"/>
    </row>
    <row r="86" spans="1:19" x14ac:dyDescent="0.2">
      <c r="A86" s="386"/>
      <c r="B86" s="387"/>
      <c r="C86" s="388"/>
      <c r="D86" s="389"/>
      <c r="E86" s="395"/>
      <c r="F86">
        <v>1</v>
      </c>
      <c r="G86" s="409">
        <v>5</v>
      </c>
      <c r="H86" s="409">
        <f>$H$83*Table18[[#This Row],[SAT Multiplier]]</f>
        <v>2</v>
      </c>
      <c r="I86">
        <v>2</v>
      </c>
      <c r="J86" s="393"/>
      <c r="K86" s="394"/>
      <c r="L86" s="389"/>
      <c r="M86" s="390"/>
      <c r="N86" s="390"/>
      <c r="O86" s="390"/>
      <c r="P86" s="389"/>
      <c r="Q86" s="315"/>
      <c r="R86" s="315"/>
      <c r="S86" s="315"/>
    </row>
    <row r="87" spans="1:19" x14ac:dyDescent="0.2">
      <c r="A87" s="386"/>
      <c r="B87" s="387"/>
      <c r="C87" s="388"/>
      <c r="D87" s="389"/>
      <c r="E87" s="395"/>
      <c r="F87">
        <v>2</v>
      </c>
      <c r="G87" s="409">
        <v>10</v>
      </c>
      <c r="H87" s="409">
        <f>$H$83*Table18[[#This Row],[SAT Multiplier]]</f>
        <v>3</v>
      </c>
      <c r="I87">
        <v>3</v>
      </c>
      <c r="J87" s="393"/>
      <c r="K87" s="394"/>
      <c r="L87" s="389"/>
      <c r="M87" s="390"/>
      <c r="N87" s="390"/>
      <c r="O87" s="390"/>
      <c r="P87" s="389"/>
      <c r="Q87" s="315"/>
      <c r="R87" s="315"/>
      <c r="S87" s="315"/>
    </row>
    <row r="88" spans="1:19" x14ac:dyDescent="0.2">
      <c r="A88" s="386"/>
      <c r="B88" s="387"/>
      <c r="C88" s="388"/>
      <c r="D88" s="389"/>
      <c r="E88" s="395"/>
      <c r="F88">
        <v>3</v>
      </c>
      <c r="G88" s="409">
        <v>15</v>
      </c>
      <c r="H88" s="409">
        <f>$H$83*Table18[[#This Row],[SAT Multiplier]]</f>
        <v>4</v>
      </c>
      <c r="I88">
        <v>4</v>
      </c>
      <c r="J88" s="393"/>
      <c r="K88" s="394"/>
      <c r="L88" s="389"/>
      <c r="M88" s="390"/>
      <c r="N88" s="390"/>
      <c r="O88" s="390"/>
      <c r="P88" s="389"/>
      <c r="Q88" s="315"/>
      <c r="R88" s="315"/>
      <c r="S88" s="315"/>
    </row>
    <row r="89" spans="1:19" x14ac:dyDescent="0.2">
      <c r="A89" s="386"/>
      <c r="B89" s="387"/>
      <c r="C89" s="388"/>
      <c r="D89" s="389"/>
      <c r="E89" s="395"/>
      <c r="F89">
        <v>4</v>
      </c>
      <c r="G89" s="409">
        <v>20</v>
      </c>
      <c r="H89" s="409">
        <f>$H$83*Table18[[#This Row],[SAT Multiplier]]</f>
        <v>4</v>
      </c>
      <c r="I89">
        <v>4</v>
      </c>
      <c r="J89" s="393"/>
      <c r="K89" s="394"/>
      <c r="L89" s="389"/>
      <c r="M89" s="390"/>
      <c r="N89" s="390"/>
      <c r="O89" s="390"/>
      <c r="P89" s="389"/>
      <c r="Q89" s="315"/>
      <c r="R89" s="315"/>
      <c r="S89" s="315"/>
    </row>
    <row r="90" spans="1:19" x14ac:dyDescent="0.2">
      <c r="A90" s="386"/>
      <c r="B90" s="387"/>
      <c r="C90" s="388"/>
      <c r="D90" s="389"/>
      <c r="E90" s="395"/>
      <c r="F90">
        <v>5</v>
      </c>
      <c r="G90" s="409">
        <v>25</v>
      </c>
      <c r="H90" s="409">
        <f>$H$83*Table18[[#This Row],[SAT Multiplier]]</f>
        <v>5</v>
      </c>
      <c r="I90">
        <v>5</v>
      </c>
      <c r="J90" s="393"/>
      <c r="K90" s="394"/>
      <c r="L90" s="389"/>
      <c r="M90" s="390"/>
      <c r="N90" s="390"/>
      <c r="O90" s="390"/>
      <c r="P90" s="389"/>
      <c r="Q90" s="315"/>
      <c r="R90" s="315"/>
      <c r="S90" s="315"/>
    </row>
    <row r="91" spans="1:19" x14ac:dyDescent="0.2">
      <c r="A91" s="386"/>
      <c r="B91" s="387"/>
      <c r="C91" s="388"/>
      <c r="D91" s="389"/>
      <c r="E91" s="395"/>
      <c r="F91">
        <v>6</v>
      </c>
      <c r="G91" s="409">
        <v>50</v>
      </c>
      <c r="H91" s="409">
        <f>$H$83*Table18[[#This Row],[SAT Multiplier]]</f>
        <v>10</v>
      </c>
      <c r="I91">
        <v>10</v>
      </c>
      <c r="J91" s="393"/>
      <c r="K91" s="394"/>
      <c r="L91" s="389"/>
      <c r="M91" s="390"/>
      <c r="N91" s="390"/>
      <c r="O91" s="390"/>
      <c r="P91" s="389"/>
      <c r="Q91" s="315"/>
      <c r="R91" s="315"/>
      <c r="S91" s="315"/>
    </row>
    <row r="92" spans="1:19" x14ac:dyDescent="0.2">
      <c r="A92" s="386"/>
      <c r="B92" s="387"/>
      <c r="C92" s="388"/>
      <c r="D92" s="389"/>
      <c r="E92" s="395"/>
      <c r="F92" s="396"/>
      <c r="G92" s="397"/>
      <c r="H92" s="398"/>
      <c r="I92" s="399"/>
      <c r="J92" s="392"/>
      <c r="K92" s="393"/>
      <c r="L92" s="394"/>
      <c r="M92" s="389"/>
      <c r="N92" s="390"/>
      <c r="O92" s="390"/>
      <c r="P92" s="390"/>
      <c r="Q92" s="389"/>
      <c r="R92" s="315"/>
      <c r="S92" s="315"/>
    </row>
    <row r="93" spans="1:19" x14ac:dyDescent="0.2">
      <c r="A93" s="386"/>
      <c r="B93" s="387"/>
      <c r="C93" s="388"/>
      <c r="D93" s="389"/>
      <c r="E93" s="395"/>
      <c r="F93" s="396"/>
      <c r="G93" s="397" t="e">
        <f>VLOOKUP(G97,G86:H91,2,FALSE)</f>
        <v>#N/A</v>
      </c>
      <c r="H93" s="398"/>
      <c r="I93" s="399"/>
      <c r="J93" s="392"/>
      <c r="K93" s="393"/>
      <c r="L93" s="394"/>
      <c r="M93" s="389"/>
      <c r="N93" s="390"/>
      <c r="O93" s="390"/>
      <c r="P93" s="390"/>
      <c r="Q93" s="389"/>
      <c r="R93" s="315"/>
      <c r="S93" s="315"/>
    </row>
    <row r="94" spans="1:19" x14ac:dyDescent="0.2">
      <c r="A94" s="386"/>
      <c r="B94" s="387"/>
      <c r="C94" s="388"/>
      <c r="D94" s="389"/>
      <c r="E94" s="395"/>
      <c r="F94" s="400"/>
      <c r="G94" s="401" t="e">
        <f>"±"&amp;G93&amp;"°F"</f>
        <v>#N/A</v>
      </c>
      <c r="H94" s="402"/>
      <c r="J94" s="392"/>
      <c r="K94" s="393"/>
      <c r="L94" s="394"/>
      <c r="M94" s="389"/>
      <c r="N94" s="390"/>
      <c r="O94" s="390"/>
      <c r="P94" s="390"/>
      <c r="Q94" s="389"/>
      <c r="R94" s="315"/>
      <c r="S94" s="315"/>
    </row>
    <row r="95" spans="1:19" x14ac:dyDescent="0.2">
      <c r="A95" s="386"/>
      <c r="B95" s="387"/>
      <c r="C95" s="388"/>
      <c r="D95" s="389"/>
      <c r="E95" s="391"/>
      <c r="F95" s="392"/>
      <c r="G95" s="393"/>
      <c r="H95" s="394"/>
      <c r="I95" s="391"/>
      <c r="J95" s="392"/>
      <c r="K95" s="393"/>
      <c r="L95" s="394"/>
      <c r="M95" s="389"/>
      <c r="N95" s="390"/>
      <c r="O95" s="390"/>
      <c r="P95" s="390"/>
      <c r="Q95" s="389"/>
      <c r="R95" s="315"/>
      <c r="S95" s="315"/>
    </row>
    <row r="96" spans="1:19" x14ac:dyDescent="0.2">
      <c r="A96" s="386"/>
      <c r="B96" s="387"/>
      <c r="C96" s="388"/>
      <c r="D96" s="389"/>
      <c r="E96" s="386"/>
      <c r="F96" s="387"/>
      <c r="G96" s="388"/>
      <c r="H96" s="389"/>
      <c r="I96" s="386"/>
      <c r="J96" s="387"/>
      <c r="K96" s="388"/>
      <c r="L96" s="389"/>
      <c r="M96" s="389"/>
      <c r="N96" s="390"/>
      <c r="O96" s="390"/>
      <c r="P96" s="390"/>
      <c r="Q96" s="389"/>
      <c r="R96" s="315"/>
      <c r="S96" s="315"/>
    </row>
    <row r="97" spans="1:26" x14ac:dyDescent="0.2">
      <c r="A97" s="386"/>
      <c r="B97" s="387"/>
      <c r="C97" s="388"/>
      <c r="D97" s="389"/>
      <c r="E97" s="386"/>
      <c r="F97" s="387" t="s">
        <v>919</v>
      </c>
      <c r="G97" s="388">
        <f>IF(TolMin+TolMax=0,TolMax,"Not Implemented: AMS Class unknown for asymmetrical tolerances.")</f>
        <v>0</v>
      </c>
      <c r="H97" s="389"/>
      <c r="I97" s="386"/>
      <c r="J97" s="387"/>
      <c r="K97" s="388"/>
      <c r="L97" s="389"/>
      <c r="M97" s="389"/>
      <c r="N97" s="390"/>
      <c r="O97" s="390"/>
      <c r="P97" s="390"/>
      <c r="Q97" s="389"/>
      <c r="R97" s="315"/>
      <c r="S97" s="315"/>
    </row>
    <row r="98" spans="1:26" x14ac:dyDescent="0.2">
      <c r="A98" s="386"/>
      <c r="B98" s="387"/>
      <c r="C98" s="388"/>
      <c r="D98" s="389"/>
      <c r="E98" s="389"/>
      <c r="F98" s="389"/>
      <c r="G98" s="389"/>
      <c r="H98" s="389"/>
      <c r="I98" s="389"/>
      <c r="J98" s="389"/>
      <c r="K98" s="389"/>
      <c r="L98" s="389"/>
      <c r="M98" s="389"/>
      <c r="N98" s="390"/>
      <c r="O98" s="390"/>
      <c r="P98" s="390"/>
      <c r="Q98" s="389"/>
      <c r="R98" s="315"/>
      <c r="S98" s="315"/>
    </row>
    <row r="99" spans="1:26" x14ac:dyDescent="0.2">
      <c r="A99" s="386"/>
      <c r="B99" s="387"/>
      <c r="C99" s="388"/>
      <c r="D99" s="389"/>
      <c r="E99" s="389"/>
      <c r="F99" s="389"/>
      <c r="G99" s="389"/>
      <c r="H99" s="389"/>
      <c r="I99" s="389"/>
      <c r="J99" s="389"/>
      <c r="K99" s="389"/>
      <c r="L99" s="389"/>
      <c r="M99" s="389"/>
      <c r="N99" s="390"/>
      <c r="O99" s="390"/>
      <c r="P99" s="390"/>
      <c r="Q99" s="389"/>
      <c r="R99" s="315"/>
      <c r="S99" s="315"/>
    </row>
    <row r="100" spans="1:26" x14ac:dyDescent="0.2">
      <c r="A100" s="386"/>
      <c r="B100" s="387"/>
      <c r="C100" s="388"/>
      <c r="D100" s="389"/>
      <c r="E100" s="389"/>
      <c r="F100" s="389"/>
      <c r="G100" s="389"/>
      <c r="H100" s="389"/>
      <c r="I100" s="389"/>
      <c r="J100" s="389"/>
      <c r="K100" s="389"/>
      <c r="L100" s="389"/>
      <c r="M100" s="389"/>
      <c r="N100" s="390"/>
      <c r="O100" s="390"/>
      <c r="P100" s="390"/>
      <c r="Q100" s="389"/>
      <c r="R100" s="315"/>
      <c r="S100" s="315"/>
      <c r="Z100" s="483"/>
    </row>
    <row r="101" spans="1:26" x14ac:dyDescent="0.2">
      <c r="A101" s="386"/>
      <c r="B101" s="387"/>
      <c r="C101" s="388"/>
      <c r="D101" s="389"/>
      <c r="E101" s="389"/>
      <c r="F101" s="389"/>
      <c r="G101" s="389"/>
      <c r="H101" s="389"/>
      <c r="I101" s="389"/>
      <c r="J101" s="389"/>
      <c r="K101" s="389"/>
      <c r="L101" s="389"/>
      <c r="M101" s="389"/>
      <c r="N101" s="390"/>
      <c r="O101" s="390"/>
      <c r="P101" s="390"/>
      <c r="Q101" s="389"/>
      <c r="R101" s="315"/>
      <c r="S101" s="315"/>
    </row>
    <row r="102" spans="1:26" x14ac:dyDescent="0.2">
      <c r="A102" s="386"/>
      <c r="B102" s="387"/>
      <c r="C102" s="388"/>
      <c r="D102" s="389"/>
      <c r="E102" s="389"/>
      <c r="F102" s="389"/>
      <c r="G102" s="389"/>
      <c r="H102" s="389"/>
      <c r="I102" s="389"/>
      <c r="J102" s="389"/>
      <c r="K102" s="389"/>
      <c r="L102" s="389"/>
      <c r="M102" s="389"/>
      <c r="N102" s="390"/>
      <c r="O102" s="390"/>
      <c r="P102" s="390"/>
      <c r="Q102" s="389"/>
      <c r="R102" s="315"/>
      <c r="S102" s="315"/>
    </row>
    <row r="103" spans="1:26" x14ac:dyDescent="0.2">
      <c r="A103" s="386"/>
      <c r="B103" s="387"/>
      <c r="C103" s="388"/>
      <c r="D103" s="389"/>
      <c r="E103" s="389"/>
      <c r="F103" s="389"/>
      <c r="G103" s="389"/>
      <c r="H103" s="389"/>
      <c r="I103" s="389"/>
      <c r="J103" s="389"/>
      <c r="K103" s="389"/>
      <c r="L103" s="389"/>
      <c r="M103" s="389"/>
      <c r="N103" s="390"/>
      <c r="O103" s="390"/>
      <c r="P103" s="390"/>
      <c r="Q103" s="389"/>
      <c r="R103" s="315"/>
      <c r="S103" s="315"/>
    </row>
    <row r="104" spans="1:26" x14ac:dyDescent="0.2">
      <c r="A104" s="386"/>
      <c r="B104" s="387"/>
      <c r="C104" s="388"/>
      <c r="D104" s="389"/>
      <c r="E104" s="389"/>
      <c r="F104" s="389"/>
      <c r="G104" s="389"/>
      <c r="H104" s="389"/>
      <c r="I104" s="389"/>
      <c r="J104" s="389"/>
      <c r="K104" s="389"/>
      <c r="L104" s="389"/>
      <c r="M104" s="389"/>
      <c r="N104" s="390"/>
      <c r="O104" s="390"/>
      <c r="P104" s="390"/>
      <c r="Q104" s="389"/>
      <c r="R104" s="315"/>
      <c r="S104" s="315"/>
    </row>
    <row r="105" spans="1:26" x14ac:dyDescent="0.2">
      <c r="A105" s="386"/>
      <c r="B105" s="387"/>
      <c r="C105" s="388"/>
      <c r="D105" s="389"/>
      <c r="E105" s="389"/>
      <c r="F105" s="389"/>
      <c r="G105" s="389"/>
      <c r="H105" s="389"/>
      <c r="I105" s="389"/>
      <c r="J105" s="389"/>
      <c r="K105" s="389"/>
      <c r="L105" s="389"/>
      <c r="M105" s="389"/>
      <c r="N105" s="390"/>
      <c r="O105" s="390"/>
      <c r="P105" s="390"/>
      <c r="Q105" s="389"/>
      <c r="R105" s="315"/>
      <c r="S105" s="315"/>
    </row>
    <row r="106" spans="1:26" x14ac:dyDescent="0.2">
      <c r="A106" s="386"/>
      <c r="B106" s="387"/>
      <c r="C106" s="388"/>
      <c r="D106" s="389"/>
      <c r="E106" s="389"/>
      <c r="F106" s="389"/>
      <c r="G106" s="482"/>
      <c r="H106" s="389"/>
      <c r="I106" s="389"/>
      <c r="J106" s="389"/>
      <c r="K106" s="389"/>
      <c r="L106" s="389"/>
      <c r="M106" s="389"/>
      <c r="N106" s="390"/>
      <c r="O106" s="390"/>
      <c r="P106" s="390"/>
      <c r="Q106" s="389"/>
      <c r="R106" s="315"/>
      <c r="S106" s="315"/>
    </row>
    <row r="107" spans="1:26" x14ac:dyDescent="0.2">
      <c r="A107" s="386"/>
      <c r="B107" s="387"/>
      <c r="C107" s="388"/>
      <c r="D107" s="389"/>
      <c r="E107" s="389"/>
      <c r="F107" s="389"/>
      <c r="G107" s="389"/>
      <c r="H107" s="389"/>
      <c r="I107" s="389"/>
      <c r="J107" s="389"/>
      <c r="K107" s="389"/>
      <c r="L107" s="389"/>
      <c r="M107" s="389"/>
      <c r="N107" s="390"/>
      <c r="O107" s="390"/>
      <c r="P107" s="390"/>
      <c r="Q107" s="389"/>
      <c r="R107" s="315"/>
      <c r="S107" s="315"/>
    </row>
    <row r="108" spans="1:26" x14ac:dyDescent="0.2">
      <c r="A108" s="386"/>
      <c r="B108" s="387"/>
      <c r="C108" s="388"/>
      <c r="D108" s="389"/>
      <c r="E108" s="389"/>
      <c r="F108" s="389"/>
      <c r="G108" s="389"/>
      <c r="H108" s="389"/>
      <c r="I108" s="389"/>
      <c r="J108" s="389"/>
      <c r="K108" s="389"/>
      <c r="L108" s="389"/>
      <c r="M108" s="389"/>
      <c r="N108" s="390"/>
      <c r="O108" s="390"/>
      <c r="P108" s="390"/>
      <c r="Q108" s="389"/>
      <c r="R108" s="315"/>
      <c r="S108" s="315"/>
    </row>
    <row r="109" spans="1:26" x14ac:dyDescent="0.2">
      <c r="A109" s="386"/>
      <c r="B109" s="387"/>
      <c r="C109" s="388"/>
      <c r="D109" s="389"/>
      <c r="E109" s="389"/>
      <c r="F109" s="389"/>
      <c r="G109" s="389"/>
      <c r="H109" s="389"/>
      <c r="I109" s="389"/>
      <c r="J109" s="389"/>
      <c r="K109" s="389"/>
      <c r="L109" s="389"/>
      <c r="M109" s="389"/>
      <c r="N109" s="390"/>
      <c r="O109" s="390"/>
      <c r="P109" s="390"/>
      <c r="Q109" s="389"/>
      <c r="R109" s="315"/>
      <c r="S109" s="315"/>
    </row>
    <row r="110" spans="1:26" x14ac:dyDescent="0.2">
      <c r="A110" s="386"/>
      <c r="B110" s="387"/>
      <c r="C110" s="388"/>
      <c r="D110" s="389"/>
      <c r="E110" s="389"/>
      <c r="F110" s="389"/>
      <c r="G110" s="389"/>
      <c r="H110" s="389"/>
      <c r="I110" s="389"/>
      <c r="J110" s="389"/>
      <c r="K110" s="389"/>
      <c r="L110" s="389"/>
      <c r="M110" s="389"/>
      <c r="N110" s="390"/>
      <c r="O110" s="390"/>
      <c r="P110" s="390"/>
      <c r="Q110" s="389"/>
      <c r="R110" s="315"/>
      <c r="S110" s="315"/>
    </row>
    <row r="111" spans="1:26" x14ac:dyDescent="0.2">
      <c r="A111" s="386"/>
      <c r="B111" s="387"/>
      <c r="C111" s="388"/>
      <c r="D111" s="389"/>
      <c r="E111" s="389"/>
      <c r="F111" s="389"/>
      <c r="G111" s="389"/>
      <c r="H111" s="389"/>
      <c r="I111" s="389"/>
      <c r="J111" s="389"/>
      <c r="K111" s="389"/>
      <c r="L111" s="389"/>
      <c r="M111" s="389"/>
      <c r="N111" s="390"/>
      <c r="O111" s="390"/>
      <c r="P111" s="390"/>
      <c r="Q111" s="389"/>
      <c r="R111" s="315"/>
      <c r="S111" s="315"/>
    </row>
    <row r="112" spans="1:26" x14ac:dyDescent="0.2">
      <c r="A112" s="386"/>
      <c r="B112" s="387"/>
      <c r="C112" s="388"/>
      <c r="D112" s="389"/>
      <c r="E112" s="389"/>
      <c r="F112" s="389"/>
      <c r="G112" s="389"/>
      <c r="H112" s="389"/>
      <c r="I112" s="389"/>
      <c r="J112" s="389"/>
      <c r="K112" s="389"/>
      <c r="L112" s="389"/>
      <c r="M112" s="389"/>
      <c r="N112" s="403"/>
      <c r="O112" s="403"/>
      <c r="P112" s="403"/>
      <c r="Q112" s="389"/>
      <c r="R112" s="315"/>
      <c r="S112" s="315"/>
    </row>
    <row r="113" spans="1:19" x14ac:dyDescent="0.2">
      <c r="A113" s="386"/>
      <c r="B113" s="387"/>
      <c r="C113" s="388"/>
      <c r="D113" s="389"/>
      <c r="E113" s="389"/>
      <c r="F113" s="389"/>
      <c r="G113" s="389"/>
      <c r="H113" s="389"/>
      <c r="I113" s="389"/>
      <c r="J113" s="389"/>
      <c r="K113" s="389"/>
      <c r="L113" s="389"/>
      <c r="M113" s="389"/>
      <c r="N113" s="403"/>
      <c r="O113" s="403"/>
      <c r="P113" s="403"/>
      <c r="Q113" s="389"/>
      <c r="R113" s="315"/>
      <c r="S113" s="315"/>
    </row>
    <row r="114" spans="1:19" x14ac:dyDescent="0.2">
      <c r="A114" s="386"/>
      <c r="B114" s="387"/>
      <c r="C114" s="388"/>
      <c r="D114" s="389"/>
      <c r="E114" s="389"/>
      <c r="F114" s="389"/>
      <c r="G114" s="389"/>
      <c r="H114" s="389"/>
      <c r="I114" s="389"/>
      <c r="J114" s="389"/>
      <c r="K114" s="389"/>
      <c r="L114" s="389"/>
      <c r="M114" s="389"/>
      <c r="N114" s="403"/>
      <c r="O114" s="403"/>
      <c r="P114" s="403"/>
      <c r="Q114" s="389"/>
      <c r="R114" s="315"/>
      <c r="S114" s="315"/>
    </row>
    <row r="115" spans="1:19" x14ac:dyDescent="0.2">
      <c r="A115" s="386"/>
      <c r="B115" s="387"/>
      <c r="C115" s="388"/>
      <c r="D115" s="389"/>
      <c r="E115" s="389"/>
      <c r="F115" s="389"/>
      <c r="G115" s="389"/>
      <c r="H115" s="389"/>
      <c r="I115" s="389"/>
      <c r="J115" s="389"/>
      <c r="K115" s="389"/>
      <c r="L115" s="389"/>
      <c r="M115" s="389"/>
      <c r="N115" s="403"/>
      <c r="O115" s="403"/>
      <c r="P115" s="403"/>
      <c r="Q115" s="389"/>
      <c r="R115" s="315"/>
      <c r="S115" s="315"/>
    </row>
    <row r="116" spans="1:19" x14ac:dyDescent="0.2">
      <c r="A116" s="386"/>
      <c r="B116" s="387"/>
      <c r="C116" s="388"/>
      <c r="D116" s="389"/>
      <c r="E116" s="389"/>
      <c r="F116" s="389"/>
      <c r="G116" s="389"/>
      <c r="H116" s="389"/>
      <c r="I116" s="389"/>
      <c r="J116" s="389"/>
      <c r="K116" s="389"/>
      <c r="L116" s="389"/>
      <c r="M116" s="389"/>
      <c r="N116" s="389"/>
      <c r="O116" s="389"/>
      <c r="P116" s="389"/>
      <c r="Q116" s="389"/>
      <c r="R116" s="315"/>
      <c r="S116" s="315"/>
    </row>
    <row r="117" spans="1:19" x14ac:dyDescent="0.2">
      <c r="A117" s="404"/>
      <c r="B117" s="405"/>
      <c r="C117" s="406"/>
      <c r="D117" s="317"/>
      <c r="E117" s="317"/>
      <c r="F117" s="317"/>
      <c r="G117" s="317"/>
      <c r="H117" s="317"/>
      <c r="I117" s="317"/>
      <c r="J117" s="315"/>
      <c r="K117" s="315"/>
      <c r="L117" s="315"/>
      <c r="M117" s="315"/>
      <c r="N117" s="315"/>
      <c r="O117" s="315"/>
      <c r="P117" s="315"/>
      <c r="Q117" s="315"/>
      <c r="R117" s="315"/>
      <c r="S117" s="315"/>
    </row>
    <row r="118" spans="1:19" x14ac:dyDescent="0.2">
      <c r="A118" s="404"/>
      <c r="B118" s="405"/>
      <c r="C118" s="406"/>
      <c r="D118" s="317"/>
      <c r="E118" s="317"/>
      <c r="F118" s="317"/>
      <c r="G118" s="317"/>
      <c r="H118" s="317"/>
      <c r="I118" s="317"/>
      <c r="J118" s="315"/>
      <c r="K118" s="315"/>
      <c r="L118" s="315"/>
      <c r="M118" s="315"/>
      <c r="N118" s="315"/>
      <c r="O118" s="315"/>
      <c r="P118" s="315"/>
      <c r="Q118" s="315"/>
      <c r="R118" s="315"/>
      <c r="S118" s="315"/>
    </row>
    <row r="119" spans="1:19" x14ac:dyDescent="0.2">
      <c r="A119" s="404"/>
      <c r="B119" s="405"/>
      <c r="C119" s="406"/>
      <c r="D119" s="317"/>
      <c r="E119" s="317"/>
      <c r="F119" s="317"/>
      <c r="G119" s="317"/>
      <c r="H119" s="317"/>
      <c r="I119" s="317"/>
      <c r="J119" s="315"/>
      <c r="K119" s="315"/>
      <c r="L119" s="315"/>
      <c r="M119" s="315"/>
      <c r="N119" s="315"/>
      <c r="O119" s="315"/>
      <c r="P119" s="315"/>
      <c r="Q119" s="315"/>
      <c r="R119" s="315"/>
      <c r="S119" s="315"/>
    </row>
  </sheetData>
  <sheetProtection algorithmName="SHA-512" hashValue="43tpLBIKVDO+q/nkYKzx8MMEB1eNxV3LLw+z4pvFgkTyNKmTb6p4t/834vUclmbigtSRbOcM0YLGgN4ZsZpCzQ==" saltValue="uDAM3gAEqmbI0hFft9bVaQ=="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75"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5: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937</v>
      </c>
      <c r="B1" s="1" t="s">
        <v>936</v>
      </c>
    </row>
    <row r="2" spans="1:2" x14ac:dyDescent="0.2">
      <c r="A2" t="s">
        <v>938</v>
      </c>
      <c r="B2" t="b">
        <v>1</v>
      </c>
    </row>
  </sheetData>
  <sheetProtection algorithmName="SHA-512" hashValue="60L8RRKqA6/MLAuXuufVOBifxY6Ic7uBNzCbWnHbcDkXLlKm9ER5M0TamWnj9gxrBaAnNYNR2GcVoupdXrUgvw==" saltValue="PeIryYI0cEM56onG5PEluw=="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7" bestFit="1" customWidth="1"/>
    <col min="2" max="15" width="6" style="52" customWidth="1"/>
    <col min="16" max="16" width="2.140625" style="52" customWidth="1"/>
    <col min="17" max="17" width="9" style="442" bestFit="1" customWidth="1"/>
    <col min="18" max="31" width="6" style="52" customWidth="1"/>
    <col min="32" max="32" width="2.140625" style="52" customWidth="1"/>
    <col min="33" max="33" width="9" style="442" bestFit="1" customWidth="1"/>
    <col min="34" max="45" width="6" style="52" customWidth="1"/>
    <col min="46" max="16384" width="9.140625" style="52"/>
  </cols>
  <sheetData>
    <row r="1" spans="1:45" s="444" customFormat="1" ht="24.75" customHeight="1" x14ac:dyDescent="0.25"/>
    <row r="2" spans="1:45" s="445" customFormat="1" x14ac:dyDescent="0.2">
      <c r="A2" s="442" t="s">
        <v>14</v>
      </c>
      <c r="B2" s="48" t="s">
        <v>886</v>
      </c>
      <c r="C2" s="48" t="s">
        <v>887</v>
      </c>
      <c r="D2" s="48" t="s">
        <v>888</v>
      </c>
      <c r="E2" s="48" t="s">
        <v>393</v>
      </c>
      <c r="F2" s="48" t="s">
        <v>889</v>
      </c>
      <c r="G2" s="48" t="s">
        <v>890</v>
      </c>
      <c r="H2" s="48" t="s">
        <v>891</v>
      </c>
      <c r="I2" s="48" t="s">
        <v>892</v>
      </c>
      <c r="J2" s="48" t="s">
        <v>893</v>
      </c>
      <c r="K2" s="48" t="s">
        <v>394</v>
      </c>
      <c r="L2" s="48" t="s">
        <v>894</v>
      </c>
      <c r="M2" s="48" t="s">
        <v>895</v>
      </c>
      <c r="N2" s="48" t="s">
        <v>896</v>
      </c>
      <c r="O2" s="48" t="s">
        <v>897</v>
      </c>
      <c r="P2" s="52"/>
      <c r="Q2" s="442" t="s">
        <v>14</v>
      </c>
      <c r="R2" s="48" t="s">
        <v>872</v>
      </c>
      <c r="S2" s="48" t="s">
        <v>873</v>
      </c>
      <c r="T2" s="48" t="s">
        <v>874</v>
      </c>
      <c r="U2" s="48" t="s">
        <v>875</v>
      </c>
      <c r="V2" s="48" t="s">
        <v>876</v>
      </c>
      <c r="W2" s="48" t="s">
        <v>877</v>
      </c>
      <c r="X2" s="48" t="s">
        <v>878</v>
      </c>
      <c r="Y2" s="48" t="s">
        <v>879</v>
      </c>
      <c r="Z2" s="48" t="s">
        <v>880</v>
      </c>
      <c r="AA2" s="48" t="s">
        <v>881</v>
      </c>
      <c r="AB2" s="48" t="s">
        <v>882</v>
      </c>
      <c r="AC2" s="48" t="s">
        <v>883</v>
      </c>
      <c r="AD2" s="48" t="s">
        <v>884</v>
      </c>
      <c r="AE2" s="48" t="s">
        <v>885</v>
      </c>
      <c r="AF2" s="52"/>
      <c r="AG2" s="442" t="s">
        <v>14</v>
      </c>
      <c r="AH2" s="86" t="s">
        <v>860</v>
      </c>
      <c r="AI2" s="86" t="s">
        <v>861</v>
      </c>
      <c r="AJ2" s="86" t="s">
        <v>862</v>
      </c>
      <c r="AK2" s="86" t="s">
        <v>863</v>
      </c>
      <c r="AL2" s="86" t="s">
        <v>864</v>
      </c>
      <c r="AM2" s="86" t="s">
        <v>865</v>
      </c>
      <c r="AN2" s="86" t="s">
        <v>866</v>
      </c>
      <c r="AO2" s="86" t="s">
        <v>867</v>
      </c>
      <c r="AP2" s="86" t="s">
        <v>868</v>
      </c>
      <c r="AQ2" s="86" t="s">
        <v>869</v>
      </c>
      <c r="AR2" s="86" t="s">
        <v>870</v>
      </c>
      <c r="AS2" s="86" t="s">
        <v>871</v>
      </c>
    </row>
    <row r="3" spans="1:45" x14ac:dyDescent="0.2">
      <c r="A3" s="670"/>
      <c r="B3" s="671"/>
      <c r="C3" s="671"/>
      <c r="D3" s="671"/>
      <c r="E3" s="671"/>
      <c r="F3" s="671"/>
      <c r="G3" s="671"/>
      <c r="H3" s="671"/>
      <c r="I3" s="671"/>
      <c r="J3" s="671"/>
      <c r="K3" s="671"/>
      <c r="L3" s="489"/>
      <c r="M3" s="489"/>
      <c r="N3" s="489"/>
      <c r="O3" s="484"/>
      <c r="Q3" s="487"/>
      <c r="R3" s="488"/>
      <c r="S3" s="488"/>
      <c r="T3" s="488"/>
      <c r="U3" s="488"/>
      <c r="V3" s="488"/>
      <c r="W3" s="488"/>
      <c r="X3" s="488"/>
      <c r="Y3" s="488"/>
      <c r="Z3" s="488"/>
      <c r="AA3" s="488"/>
      <c r="AD3" s="490"/>
      <c r="AE3" s="484"/>
      <c r="AG3" s="487"/>
      <c r="AH3" s="488"/>
      <c r="AI3" s="488"/>
      <c r="AJ3" s="488"/>
      <c r="AK3" s="488"/>
      <c r="AL3" s="488"/>
      <c r="AM3" s="488"/>
      <c r="AN3" s="488"/>
      <c r="AO3" s="488"/>
      <c r="AP3" s="488"/>
      <c r="AQ3" s="488"/>
    </row>
    <row r="4" spans="1:45" x14ac:dyDescent="0.2">
      <c r="Q4" s="487"/>
      <c r="AG4" s="487"/>
    </row>
    <row r="5" spans="1:45" x14ac:dyDescent="0.2">
      <c r="Q5" s="487"/>
      <c r="AG5" s="487"/>
    </row>
    <row r="6" spans="1:45" x14ac:dyDescent="0.2">
      <c r="Q6" s="487"/>
      <c r="AG6" s="487"/>
    </row>
    <row r="7" spans="1:45" x14ac:dyDescent="0.2">
      <c r="Q7" s="487"/>
      <c r="AG7" s="487"/>
    </row>
    <row r="8" spans="1:45" x14ac:dyDescent="0.2">
      <c r="Q8" s="487"/>
      <c r="AG8" s="487"/>
    </row>
    <row r="9" spans="1:45" x14ac:dyDescent="0.2">
      <c r="Q9" s="487"/>
      <c r="AG9" s="487"/>
    </row>
    <row r="10" spans="1:45" x14ac:dyDescent="0.2">
      <c r="Q10" s="487"/>
      <c r="AG10" s="487"/>
    </row>
    <row r="11" spans="1:45" x14ac:dyDescent="0.2">
      <c r="Q11" s="487"/>
      <c r="AG11" s="487"/>
    </row>
    <row r="12" spans="1:45" x14ac:dyDescent="0.2">
      <c r="Q12" s="487"/>
      <c r="AG12" s="487"/>
    </row>
    <row r="13" spans="1:45" x14ac:dyDescent="0.2">
      <c r="Q13" s="487"/>
      <c r="AG13" s="487"/>
    </row>
    <row r="14" spans="1:45" x14ac:dyDescent="0.2">
      <c r="Q14" s="487"/>
      <c r="AG14" s="487"/>
    </row>
    <row r="15" spans="1:45" x14ac:dyDescent="0.2">
      <c r="Q15" s="487"/>
      <c r="AG15" s="487"/>
    </row>
    <row r="16" spans="1:45" x14ac:dyDescent="0.2">
      <c r="Q16" s="487"/>
      <c r="AG16" s="487"/>
    </row>
    <row r="17" spans="17:33" x14ac:dyDescent="0.2">
      <c r="Q17" s="487"/>
      <c r="AG17" s="487"/>
    </row>
    <row r="18" spans="17:33" x14ac:dyDescent="0.2">
      <c r="Q18" s="487"/>
      <c r="AG18" s="487"/>
    </row>
    <row r="19" spans="17:33" x14ac:dyDescent="0.2">
      <c r="Q19" s="487"/>
      <c r="AG19" s="487"/>
    </row>
    <row r="20" spans="17:33" x14ac:dyDescent="0.2">
      <c r="Q20" s="487"/>
      <c r="AG20" s="487"/>
    </row>
    <row r="21" spans="17:33" x14ac:dyDescent="0.2">
      <c r="Q21" s="487"/>
      <c r="AG21" s="487"/>
    </row>
    <row r="22" spans="17:33" x14ac:dyDescent="0.2">
      <c r="Q22" s="487"/>
      <c r="AG22" s="487"/>
    </row>
    <row r="23" spans="17:33" x14ac:dyDescent="0.2">
      <c r="Q23" s="487"/>
      <c r="AG23" s="487"/>
    </row>
    <row r="24" spans="17:33" x14ac:dyDescent="0.2">
      <c r="Q24" s="487"/>
      <c r="AG24" s="487"/>
    </row>
    <row r="25" spans="17:33" x14ac:dyDescent="0.2">
      <c r="Q25" s="487"/>
      <c r="AG25" s="487"/>
    </row>
    <row r="26" spans="17:33" x14ac:dyDescent="0.2">
      <c r="Q26" s="487"/>
      <c r="AG26" s="487"/>
    </row>
    <row r="27" spans="17:33" x14ac:dyDescent="0.2">
      <c r="Q27" s="487"/>
      <c r="AG27" s="487"/>
    </row>
    <row r="28" spans="17:33" x14ac:dyDescent="0.2">
      <c r="Q28" s="487"/>
      <c r="AG28" s="487"/>
    </row>
    <row r="29" spans="17:33" x14ac:dyDescent="0.2">
      <c r="Q29" s="487"/>
      <c r="AG29" s="487"/>
    </row>
    <row r="30" spans="17:33" x14ac:dyDescent="0.2">
      <c r="Q30" s="487"/>
      <c r="AG30" s="487"/>
    </row>
    <row r="31" spans="17:33" x14ac:dyDescent="0.2">
      <c r="Q31" s="487"/>
      <c r="AG31" s="487"/>
    </row>
    <row r="32" spans="17:33" x14ac:dyDescent="0.2">
      <c r="Q32" s="487"/>
      <c r="AG32" s="487"/>
    </row>
    <row r="33" spans="17:33" x14ac:dyDescent="0.2">
      <c r="Q33" s="487"/>
      <c r="AG33" s="487"/>
    </row>
    <row r="34" spans="17:33" x14ac:dyDescent="0.2">
      <c r="Q34" s="487"/>
      <c r="AG34" s="487"/>
    </row>
    <row r="35" spans="17:33" x14ac:dyDescent="0.2">
      <c r="Q35" s="487"/>
      <c r="AG35" s="487"/>
    </row>
    <row r="36" spans="17:33" x14ac:dyDescent="0.2">
      <c r="Q36" s="487"/>
      <c r="AG36" s="487"/>
    </row>
    <row r="37" spans="17:33" x14ac:dyDescent="0.2">
      <c r="Q37" s="487"/>
      <c r="AG37" s="487"/>
    </row>
    <row r="38" spans="17:33" x14ac:dyDescent="0.2">
      <c r="Q38" s="487"/>
      <c r="AG38" s="487"/>
    </row>
    <row r="39" spans="17:33" x14ac:dyDescent="0.2">
      <c r="Q39" s="487"/>
      <c r="AG39" s="487"/>
    </row>
    <row r="40" spans="17:33" x14ac:dyDescent="0.2">
      <c r="Q40" s="487"/>
      <c r="AG40" s="487"/>
    </row>
    <row r="41" spans="17:33" x14ac:dyDescent="0.2">
      <c r="Q41" s="487"/>
      <c r="AG41" s="487"/>
    </row>
    <row r="42" spans="17:33" x14ac:dyDescent="0.2">
      <c r="Q42" s="487"/>
      <c r="AG42" s="487"/>
    </row>
    <row r="43" spans="17:33" x14ac:dyDescent="0.2">
      <c r="Q43" s="487"/>
      <c r="AG43" s="487"/>
    </row>
    <row r="44" spans="17:33" x14ac:dyDescent="0.2">
      <c r="Q44" s="487"/>
      <c r="AG44" s="487"/>
    </row>
    <row r="45" spans="17:33" x14ac:dyDescent="0.2">
      <c r="Q45" s="487"/>
      <c r="AG45" s="487"/>
    </row>
    <row r="46" spans="17:33" x14ac:dyDescent="0.2">
      <c r="Q46" s="487"/>
      <c r="AG46" s="487"/>
    </row>
    <row r="47" spans="17:33" x14ac:dyDescent="0.2">
      <c r="Q47" s="487"/>
      <c r="AG47" s="487"/>
    </row>
    <row r="48" spans="17:33" x14ac:dyDescent="0.2">
      <c r="Q48" s="487"/>
      <c r="AG48" s="487"/>
    </row>
    <row r="49" spans="17:33" x14ac:dyDescent="0.2">
      <c r="Q49" s="487"/>
      <c r="AG49" s="487"/>
    </row>
    <row r="50" spans="17:33" x14ac:dyDescent="0.2">
      <c r="Q50" s="487"/>
      <c r="AG50" s="487"/>
    </row>
    <row r="51" spans="17:33" x14ac:dyDescent="0.2">
      <c r="Q51" s="487"/>
      <c r="AG51" s="487"/>
    </row>
    <row r="52" spans="17:33" x14ac:dyDescent="0.2">
      <c r="Q52" s="487"/>
      <c r="AG52" s="487"/>
    </row>
    <row r="53" spans="17:33" x14ac:dyDescent="0.2">
      <c r="Q53" s="487"/>
      <c r="AG53" s="487"/>
    </row>
    <row r="54" spans="17:33" x14ac:dyDescent="0.2">
      <c r="Q54" s="487"/>
      <c r="AG54" s="487"/>
    </row>
    <row r="55" spans="17:33" x14ac:dyDescent="0.2">
      <c r="Q55" s="487"/>
      <c r="AG55" s="487"/>
    </row>
    <row r="56" spans="17:33" x14ac:dyDescent="0.2">
      <c r="Q56" s="487"/>
      <c r="AG56" s="487"/>
    </row>
    <row r="57" spans="17:33" x14ac:dyDescent="0.2">
      <c r="Q57" s="487"/>
      <c r="AG57" s="487"/>
    </row>
    <row r="58" spans="17:33" x14ac:dyDescent="0.2">
      <c r="Q58" s="487"/>
      <c r="AG58" s="487"/>
    </row>
    <row r="59" spans="17:33" x14ac:dyDescent="0.2">
      <c r="Q59" s="487"/>
      <c r="AG59" s="487"/>
    </row>
    <row r="60" spans="17:33" x14ac:dyDescent="0.2">
      <c r="Q60" s="487"/>
      <c r="AG60" s="487"/>
    </row>
    <row r="61" spans="17:33" x14ac:dyDescent="0.2">
      <c r="Q61" s="487"/>
      <c r="AG61" s="487"/>
    </row>
    <row r="62" spans="17:33" x14ac:dyDescent="0.2">
      <c r="Q62" s="487"/>
      <c r="AG62" s="487"/>
    </row>
    <row r="63" spans="17:33" x14ac:dyDescent="0.2">
      <c r="Q63" s="487"/>
      <c r="AG63" s="487"/>
    </row>
    <row r="64" spans="17:33" x14ac:dyDescent="0.2">
      <c r="Q64" s="487"/>
      <c r="AG64" s="487"/>
    </row>
    <row r="65" spans="17:33" x14ac:dyDescent="0.2">
      <c r="Q65" s="487"/>
      <c r="AG65" s="487"/>
    </row>
    <row r="66" spans="17:33" x14ac:dyDescent="0.2">
      <c r="Q66" s="487"/>
      <c r="AG66" s="487"/>
    </row>
    <row r="67" spans="17:33" x14ac:dyDescent="0.2">
      <c r="Q67" s="487"/>
      <c r="AG67" s="487"/>
    </row>
    <row r="68" spans="17:33" x14ac:dyDescent="0.2">
      <c r="Q68" s="487"/>
      <c r="AG68" s="487"/>
    </row>
    <row r="69" spans="17:33" x14ac:dyDescent="0.2">
      <c r="Q69" s="487"/>
      <c r="AG69" s="487"/>
    </row>
    <row r="70" spans="17:33" x14ac:dyDescent="0.2">
      <c r="Q70" s="487"/>
      <c r="AG70" s="487"/>
    </row>
    <row r="71" spans="17:33" x14ac:dyDescent="0.2">
      <c r="Q71" s="487"/>
      <c r="AG71" s="487"/>
    </row>
    <row r="72" spans="17:33" x14ac:dyDescent="0.2">
      <c r="Q72" s="487"/>
      <c r="AG72" s="487"/>
    </row>
    <row r="73" spans="17:33" x14ac:dyDescent="0.2">
      <c r="Q73" s="487"/>
      <c r="AG73" s="487"/>
    </row>
    <row r="74" spans="17:33" x14ac:dyDescent="0.2">
      <c r="Q74" s="487"/>
      <c r="AG74" s="487"/>
    </row>
    <row r="75" spans="17:33" x14ac:dyDescent="0.2">
      <c r="Q75" s="487"/>
      <c r="AG75" s="487"/>
    </row>
    <row r="76" spans="17:33" x14ac:dyDescent="0.2">
      <c r="Q76" s="487"/>
      <c r="AG76" s="487"/>
    </row>
    <row r="77" spans="17:33" x14ac:dyDescent="0.2">
      <c r="Q77" s="487"/>
      <c r="AG77" s="487"/>
    </row>
    <row r="78" spans="17:33" x14ac:dyDescent="0.2">
      <c r="Q78" s="487"/>
      <c r="AG78" s="487"/>
    </row>
    <row r="79" spans="17:33" x14ac:dyDescent="0.2">
      <c r="Q79" s="487"/>
      <c r="AG79" s="487"/>
    </row>
    <row r="80" spans="17:33" x14ac:dyDescent="0.2">
      <c r="Q80" s="487"/>
      <c r="AG80" s="487"/>
    </row>
    <row r="81" spans="17:33" x14ac:dyDescent="0.2">
      <c r="Q81" s="487"/>
      <c r="AG81" s="487"/>
    </row>
    <row r="82" spans="17:33" x14ac:dyDescent="0.2">
      <c r="Q82" s="487"/>
      <c r="AG82" s="487"/>
    </row>
    <row r="83" spans="17:33" x14ac:dyDescent="0.2">
      <c r="Q83" s="487"/>
      <c r="AG83" s="487"/>
    </row>
    <row r="84" spans="17:33" x14ac:dyDescent="0.2">
      <c r="Q84" s="487"/>
      <c r="AG84" s="487"/>
    </row>
    <row r="85" spans="17:33" x14ac:dyDescent="0.2">
      <c r="Q85" s="487"/>
      <c r="AG85" s="487"/>
    </row>
    <row r="86" spans="17:33" x14ac:dyDescent="0.2">
      <c r="Q86" s="487"/>
      <c r="AG86" s="487"/>
    </row>
    <row r="87" spans="17:33" x14ac:dyDescent="0.2">
      <c r="Q87" s="487"/>
      <c r="AG87" s="487"/>
    </row>
    <row r="88" spans="17:33" x14ac:dyDescent="0.2">
      <c r="Q88" s="487"/>
      <c r="AG88" s="487"/>
    </row>
    <row r="89" spans="17:33" x14ac:dyDescent="0.2">
      <c r="Q89" s="487"/>
      <c r="AG89" s="487"/>
    </row>
    <row r="90" spans="17:33" x14ac:dyDescent="0.2">
      <c r="Q90" s="487"/>
      <c r="AG90" s="487"/>
    </row>
    <row r="91" spans="17:33" x14ac:dyDescent="0.2">
      <c r="Q91" s="487"/>
      <c r="AG91" s="487"/>
    </row>
    <row r="92" spans="17:33" x14ac:dyDescent="0.2">
      <c r="Q92" s="487"/>
      <c r="AG92" s="487"/>
    </row>
    <row r="93" spans="17:33" x14ac:dyDescent="0.2">
      <c r="Q93" s="487"/>
      <c r="AG93" s="487"/>
    </row>
    <row r="94" spans="17:33" x14ac:dyDescent="0.2">
      <c r="Q94" s="487"/>
      <c r="AG94" s="487"/>
    </row>
    <row r="95" spans="17:33" x14ac:dyDescent="0.2">
      <c r="Q95" s="487"/>
      <c r="AG95" s="487"/>
    </row>
    <row r="96" spans="17:33" x14ac:dyDescent="0.2">
      <c r="Q96" s="487"/>
      <c r="AG96" s="487"/>
    </row>
    <row r="97" spans="17:33" x14ac:dyDescent="0.2">
      <c r="Q97" s="487"/>
      <c r="AG97" s="487"/>
    </row>
    <row r="98" spans="17:33" x14ac:dyDescent="0.2">
      <c r="Q98" s="487"/>
      <c r="AG98" s="487"/>
    </row>
    <row r="99" spans="17:33" x14ac:dyDescent="0.2">
      <c r="Q99" s="487"/>
      <c r="AG99" s="487"/>
    </row>
    <row r="100" spans="17:33" x14ac:dyDescent="0.2">
      <c r="Q100" s="487"/>
      <c r="AG100" s="487"/>
    </row>
    <row r="101" spans="17:33" x14ac:dyDescent="0.2">
      <c r="Q101" s="487"/>
      <c r="AG101" s="487"/>
    </row>
    <row r="102" spans="17:33" x14ac:dyDescent="0.2">
      <c r="Q102" s="487"/>
      <c r="AG102" s="487"/>
    </row>
    <row r="103" spans="17:33" x14ac:dyDescent="0.2">
      <c r="Q103" s="487"/>
      <c r="AG103" s="487"/>
    </row>
    <row r="104" spans="17:33" x14ac:dyDescent="0.2">
      <c r="Q104" s="487"/>
      <c r="AG104" s="487"/>
    </row>
    <row r="105" spans="17:33" x14ac:dyDescent="0.2">
      <c r="Q105" s="487"/>
      <c r="AG105" s="487"/>
    </row>
    <row r="106" spans="17:33" x14ac:dyDescent="0.2">
      <c r="Q106" s="487"/>
      <c r="AG106" s="487"/>
    </row>
    <row r="107" spans="17:33" x14ac:dyDescent="0.2">
      <c r="Q107" s="487"/>
      <c r="AG107" s="487"/>
    </row>
    <row r="108" spans="17:33" x14ac:dyDescent="0.2">
      <c r="Q108" s="487"/>
      <c r="AG108" s="487"/>
    </row>
    <row r="109" spans="17:33" x14ac:dyDescent="0.2">
      <c r="Q109" s="487"/>
      <c r="AG109" s="487"/>
    </row>
    <row r="110" spans="17:33" x14ac:dyDescent="0.2">
      <c r="Q110" s="487"/>
      <c r="AG110" s="487"/>
    </row>
    <row r="111" spans="17:33" x14ac:dyDescent="0.2">
      <c r="Q111" s="487"/>
      <c r="AG111" s="487"/>
    </row>
    <row r="112" spans="17:33" x14ac:dyDescent="0.2">
      <c r="Q112" s="487"/>
      <c r="AG112" s="487"/>
    </row>
    <row r="113" spans="17:33" x14ac:dyDescent="0.2">
      <c r="Q113" s="487"/>
      <c r="AG113" s="487"/>
    </row>
    <row r="114" spans="17:33" x14ac:dyDescent="0.2">
      <c r="Q114" s="487"/>
      <c r="AG114" s="487"/>
    </row>
    <row r="115" spans="17:33" x14ac:dyDescent="0.2">
      <c r="Q115" s="487"/>
      <c r="AG115" s="487"/>
    </row>
    <row r="116" spans="17:33" x14ac:dyDescent="0.2">
      <c r="Q116" s="487"/>
      <c r="AG116" s="487"/>
    </row>
    <row r="117" spans="17:33" x14ac:dyDescent="0.2">
      <c r="Q117" s="487"/>
      <c r="AG117" s="487"/>
    </row>
    <row r="118" spans="17:33" x14ac:dyDescent="0.2">
      <c r="Q118" s="487"/>
      <c r="AG118" s="487"/>
    </row>
    <row r="119" spans="17:33" x14ac:dyDescent="0.2">
      <c r="Q119" s="487"/>
      <c r="AG119" s="487"/>
    </row>
    <row r="120" spans="17:33" x14ac:dyDescent="0.2">
      <c r="Q120" s="487"/>
      <c r="AG120" s="487"/>
    </row>
    <row r="121" spans="17:33" x14ac:dyDescent="0.2">
      <c r="Q121" s="487"/>
      <c r="AG121" s="487"/>
    </row>
    <row r="122" spans="17:33" x14ac:dyDescent="0.2">
      <c r="Q122" s="487"/>
      <c r="AG122" s="487"/>
    </row>
    <row r="123" spans="17:33" x14ac:dyDescent="0.2">
      <c r="Q123" s="487"/>
      <c r="AG123" s="487"/>
    </row>
    <row r="124" spans="17:33" x14ac:dyDescent="0.2">
      <c r="Q124" s="487"/>
      <c r="AG124" s="487"/>
    </row>
    <row r="125" spans="17:33" x14ac:dyDescent="0.2">
      <c r="Q125" s="487"/>
      <c r="AG125" s="487"/>
    </row>
    <row r="126" spans="17:33" x14ac:dyDescent="0.2">
      <c r="Q126" s="487"/>
      <c r="AG126" s="487"/>
    </row>
    <row r="127" spans="17:33" x14ac:dyDescent="0.2">
      <c r="Q127" s="487"/>
      <c r="AG127" s="487"/>
    </row>
    <row r="128" spans="17:33" x14ac:dyDescent="0.2">
      <c r="Q128" s="487"/>
      <c r="AG128" s="487"/>
    </row>
    <row r="129" spans="17:33" x14ac:dyDescent="0.2">
      <c r="Q129" s="487"/>
      <c r="AG129" s="487"/>
    </row>
    <row r="130" spans="17:33" x14ac:dyDescent="0.2">
      <c r="Q130" s="487"/>
      <c r="AG130" s="487"/>
    </row>
    <row r="131" spans="17:33" x14ac:dyDescent="0.2">
      <c r="Q131" s="487"/>
      <c r="AG131" s="487"/>
    </row>
    <row r="132" spans="17:33" x14ac:dyDescent="0.2">
      <c r="Q132" s="487"/>
      <c r="AG132" s="487"/>
    </row>
    <row r="133" spans="17:33" x14ac:dyDescent="0.2">
      <c r="Q133" s="487"/>
      <c r="AG133" s="487"/>
    </row>
    <row r="134" spans="17:33" x14ac:dyDescent="0.2">
      <c r="Q134" s="487"/>
      <c r="AG134" s="487"/>
    </row>
    <row r="135" spans="17:33" x14ac:dyDescent="0.2">
      <c r="Q135" s="487"/>
      <c r="AG135" s="487"/>
    </row>
    <row r="136" spans="17:33" x14ac:dyDescent="0.2">
      <c r="Q136" s="487"/>
      <c r="AG136" s="487"/>
    </row>
    <row r="137" spans="17:33" x14ac:dyDescent="0.2">
      <c r="Q137" s="487"/>
      <c r="AG137" s="487"/>
    </row>
    <row r="138" spans="17:33" x14ac:dyDescent="0.2">
      <c r="Q138" s="487"/>
      <c r="AG138" s="487"/>
    </row>
    <row r="139" spans="17:33" x14ac:dyDescent="0.2">
      <c r="Q139" s="487"/>
      <c r="AG139" s="487"/>
    </row>
    <row r="140" spans="17:33" x14ac:dyDescent="0.2">
      <c r="Q140" s="487"/>
      <c r="AG140" s="487"/>
    </row>
    <row r="141" spans="17:33" x14ac:dyDescent="0.2">
      <c r="Q141" s="487"/>
      <c r="AG141" s="487"/>
    </row>
    <row r="142" spans="17:33" x14ac:dyDescent="0.2">
      <c r="Q142" s="487"/>
      <c r="AG142" s="487"/>
    </row>
    <row r="143" spans="17:33" x14ac:dyDescent="0.2">
      <c r="Q143" s="487"/>
      <c r="AG143" s="487"/>
    </row>
    <row r="144" spans="17:33" x14ac:dyDescent="0.2">
      <c r="Q144" s="487"/>
      <c r="AG144" s="487"/>
    </row>
    <row r="145" spans="17:33" x14ac:dyDescent="0.2">
      <c r="Q145" s="487"/>
      <c r="AG145" s="487"/>
    </row>
    <row r="146" spans="17:33" x14ac:dyDescent="0.2">
      <c r="Q146" s="487"/>
      <c r="AG146" s="487"/>
    </row>
    <row r="147" spans="17:33" x14ac:dyDescent="0.2">
      <c r="Q147" s="487"/>
      <c r="AG147" s="487"/>
    </row>
    <row r="148" spans="17:33" x14ac:dyDescent="0.2">
      <c r="Q148" s="487"/>
      <c r="AG148" s="487"/>
    </row>
    <row r="149" spans="17:33" x14ac:dyDescent="0.2">
      <c r="Q149" s="487"/>
      <c r="AG149" s="487"/>
    </row>
    <row r="150" spans="17:33" x14ac:dyDescent="0.2">
      <c r="Q150" s="487"/>
      <c r="AG150" s="487"/>
    </row>
    <row r="151" spans="17:33" x14ac:dyDescent="0.2">
      <c r="Q151" s="487"/>
      <c r="AG151" s="487"/>
    </row>
    <row r="152" spans="17:33" x14ac:dyDescent="0.2">
      <c r="Q152" s="487"/>
      <c r="AG152" s="487"/>
    </row>
    <row r="153" spans="17:33" x14ac:dyDescent="0.2">
      <c r="Q153" s="487"/>
      <c r="AG153" s="487"/>
    </row>
    <row r="154" spans="17:33" x14ac:dyDescent="0.2">
      <c r="Q154" s="487"/>
      <c r="AG154" s="487"/>
    </row>
    <row r="155" spans="17:33" x14ac:dyDescent="0.2">
      <c r="Q155" s="487"/>
      <c r="AG155" s="487"/>
    </row>
    <row r="156" spans="17:33" x14ac:dyDescent="0.2">
      <c r="Q156" s="487"/>
      <c r="AG156" s="487"/>
    </row>
    <row r="157" spans="17:33" x14ac:dyDescent="0.2">
      <c r="Q157" s="487"/>
      <c r="AG157" s="487"/>
    </row>
    <row r="158" spans="17:33" x14ac:dyDescent="0.2">
      <c r="Q158" s="487"/>
      <c r="AG158" s="487"/>
    </row>
    <row r="159" spans="17:33" x14ac:dyDescent="0.2">
      <c r="Q159" s="487"/>
      <c r="AG159" s="487"/>
    </row>
    <row r="160" spans="17:33" x14ac:dyDescent="0.2">
      <c r="Q160" s="487"/>
      <c r="AG160" s="487"/>
    </row>
    <row r="161" spans="17:33" x14ac:dyDescent="0.2">
      <c r="Q161" s="487"/>
      <c r="AG161" s="487"/>
    </row>
    <row r="162" spans="17:33" x14ac:dyDescent="0.2">
      <c r="Q162" s="487"/>
      <c r="AG162" s="487"/>
    </row>
    <row r="163" spans="17:33" x14ac:dyDescent="0.2">
      <c r="Q163" s="487"/>
      <c r="AG163" s="487"/>
    </row>
    <row r="164" spans="17:33" x14ac:dyDescent="0.2">
      <c r="Q164" s="487"/>
      <c r="AG164" s="487"/>
    </row>
    <row r="165" spans="17:33" x14ac:dyDescent="0.2">
      <c r="Q165" s="487"/>
      <c r="AG165" s="487"/>
    </row>
    <row r="166" spans="17:33" x14ac:dyDescent="0.2">
      <c r="Q166" s="487"/>
      <c r="AG166" s="487"/>
    </row>
    <row r="167" spans="17:33" x14ac:dyDescent="0.2">
      <c r="Q167" s="487"/>
      <c r="AG167" s="487"/>
    </row>
    <row r="168" spans="17:33" x14ac:dyDescent="0.2">
      <c r="Q168" s="487"/>
      <c r="AG168" s="487"/>
    </row>
    <row r="169" spans="17:33" x14ac:dyDescent="0.2">
      <c r="Q169" s="487"/>
      <c r="AG169" s="487"/>
    </row>
    <row r="170" spans="17:33" x14ac:dyDescent="0.2">
      <c r="Q170" s="487"/>
      <c r="AG170" s="487"/>
    </row>
    <row r="171" spans="17:33" x14ac:dyDescent="0.2">
      <c r="Q171" s="487"/>
      <c r="AG171" s="487"/>
    </row>
    <row r="172" spans="17:33" x14ac:dyDescent="0.2">
      <c r="Q172" s="487"/>
      <c r="AG172" s="487"/>
    </row>
    <row r="173" spans="17:33" x14ac:dyDescent="0.2">
      <c r="Q173" s="487"/>
      <c r="AG173" s="487"/>
    </row>
    <row r="174" spans="17:33" x14ac:dyDescent="0.2">
      <c r="Q174" s="487"/>
      <c r="AG174" s="487"/>
    </row>
    <row r="175" spans="17:33" x14ac:dyDescent="0.2">
      <c r="Q175" s="487"/>
      <c r="AG175" s="487"/>
    </row>
    <row r="176" spans="17:33" x14ac:dyDescent="0.2">
      <c r="Q176" s="487"/>
      <c r="AG176" s="487"/>
    </row>
    <row r="177" spans="17:33" x14ac:dyDescent="0.2">
      <c r="Q177" s="487"/>
      <c r="AG177" s="487"/>
    </row>
    <row r="178" spans="17:33" x14ac:dyDescent="0.2">
      <c r="Q178" s="487"/>
      <c r="AG178" s="487"/>
    </row>
    <row r="179" spans="17:33" x14ac:dyDescent="0.2">
      <c r="Q179" s="487"/>
      <c r="AG179" s="487"/>
    </row>
    <row r="180" spans="17:33" x14ac:dyDescent="0.2">
      <c r="Q180" s="487"/>
      <c r="AG180" s="487"/>
    </row>
    <row r="181" spans="17:33" x14ac:dyDescent="0.2">
      <c r="Q181" s="487"/>
      <c r="AG181" s="487"/>
    </row>
    <row r="182" spans="17:33" x14ac:dyDescent="0.2">
      <c r="Q182" s="487"/>
      <c r="AG182" s="487"/>
    </row>
    <row r="183" spans="17:33" x14ac:dyDescent="0.2">
      <c r="Q183" s="487"/>
      <c r="AG183" s="487"/>
    </row>
    <row r="184" spans="17:33" x14ac:dyDescent="0.2">
      <c r="Q184" s="487"/>
      <c r="AG184" s="487"/>
    </row>
    <row r="185" spans="17:33" x14ac:dyDescent="0.2">
      <c r="Q185" s="487"/>
      <c r="AG185" s="487"/>
    </row>
    <row r="186" spans="17:33" x14ac:dyDescent="0.2">
      <c r="Q186" s="487"/>
      <c r="AG186" s="487"/>
    </row>
    <row r="187" spans="17:33" x14ac:dyDescent="0.2">
      <c r="Q187" s="487"/>
      <c r="AG187" s="487"/>
    </row>
    <row r="188" spans="17:33" x14ac:dyDescent="0.2">
      <c r="Q188" s="487"/>
      <c r="AG188" s="487"/>
    </row>
    <row r="189" spans="17:33" x14ac:dyDescent="0.2">
      <c r="Q189" s="487"/>
      <c r="AG189" s="487"/>
    </row>
    <row r="190" spans="17:33" x14ac:dyDescent="0.2">
      <c r="Q190" s="487"/>
      <c r="AG190" s="487"/>
    </row>
    <row r="191" spans="17:33" x14ac:dyDescent="0.2">
      <c r="Q191" s="487"/>
      <c r="AG191" s="487"/>
    </row>
    <row r="192" spans="17:33" x14ac:dyDescent="0.2">
      <c r="Q192" s="487"/>
      <c r="AG192" s="487"/>
    </row>
    <row r="193" spans="17:33" x14ac:dyDescent="0.2">
      <c r="Q193" s="487"/>
      <c r="AG193" s="487"/>
    </row>
    <row r="194" spans="17:33" x14ac:dyDescent="0.2">
      <c r="Q194" s="487"/>
      <c r="AG194" s="487"/>
    </row>
    <row r="195" spans="17:33" x14ac:dyDescent="0.2">
      <c r="Q195" s="487"/>
      <c r="AG195" s="487"/>
    </row>
    <row r="196" spans="17:33" x14ac:dyDescent="0.2">
      <c r="Q196" s="487"/>
      <c r="AG196" s="487"/>
    </row>
    <row r="197" spans="17:33" x14ac:dyDescent="0.2">
      <c r="Q197" s="487"/>
      <c r="AG197" s="487"/>
    </row>
    <row r="198" spans="17:33" x14ac:dyDescent="0.2">
      <c r="Q198" s="487"/>
      <c r="AG198" s="487"/>
    </row>
    <row r="199" spans="17:33" x14ac:dyDescent="0.2">
      <c r="Q199" s="487"/>
      <c r="AG199" s="487"/>
    </row>
    <row r="200" spans="17:33" x14ac:dyDescent="0.2">
      <c r="Q200" s="487"/>
      <c r="AG200" s="487"/>
    </row>
    <row r="201" spans="17:33" x14ac:dyDescent="0.2">
      <c r="Q201" s="487"/>
      <c r="AG201" s="487"/>
    </row>
    <row r="202" spans="17:33" x14ac:dyDescent="0.2">
      <c r="Q202" s="487"/>
      <c r="AG202" s="487"/>
    </row>
    <row r="203" spans="17:33" x14ac:dyDescent="0.2">
      <c r="Q203" s="487"/>
      <c r="AG203" s="487"/>
    </row>
    <row r="204" spans="17:33" x14ac:dyDescent="0.2">
      <c r="Q204" s="487"/>
      <c r="AG204" s="487"/>
    </row>
    <row r="205" spans="17:33" x14ac:dyDescent="0.2">
      <c r="Q205" s="487"/>
      <c r="AG205" s="487"/>
    </row>
    <row r="206" spans="17:33" x14ac:dyDescent="0.2">
      <c r="Q206" s="487"/>
      <c r="AG206" s="487"/>
    </row>
    <row r="207" spans="17:33" x14ac:dyDescent="0.2">
      <c r="Q207" s="487"/>
      <c r="AG207" s="487"/>
    </row>
    <row r="208" spans="17:33" x14ac:dyDescent="0.2">
      <c r="Q208" s="487"/>
      <c r="AG208" s="487"/>
    </row>
    <row r="209" spans="17:33" x14ac:dyDescent="0.2">
      <c r="Q209" s="487"/>
      <c r="AG209" s="487"/>
    </row>
    <row r="210" spans="17:33" x14ac:dyDescent="0.2">
      <c r="Q210" s="487"/>
      <c r="AG210" s="487"/>
    </row>
    <row r="211" spans="17:33" x14ac:dyDescent="0.2">
      <c r="Q211" s="487"/>
      <c r="AG211" s="487"/>
    </row>
    <row r="212" spans="17:33" x14ac:dyDescent="0.2">
      <c r="Q212" s="487"/>
      <c r="AG212" s="487"/>
    </row>
    <row r="213" spans="17:33" x14ac:dyDescent="0.2">
      <c r="Q213" s="487"/>
      <c r="AG213" s="487"/>
    </row>
    <row r="214" spans="17:33" x14ac:dyDescent="0.2">
      <c r="Q214" s="487"/>
      <c r="AG214" s="487"/>
    </row>
    <row r="215" spans="17:33" x14ac:dyDescent="0.2">
      <c r="Q215" s="487"/>
      <c r="AG215" s="487"/>
    </row>
    <row r="216" spans="17:33" x14ac:dyDescent="0.2">
      <c r="Q216" s="487"/>
      <c r="AG216" s="487"/>
    </row>
    <row r="217" spans="17:33" x14ac:dyDescent="0.2">
      <c r="Q217" s="487"/>
      <c r="AG217" s="487"/>
    </row>
    <row r="218" spans="17:33" x14ac:dyDescent="0.2">
      <c r="Q218" s="487"/>
      <c r="AG218" s="487"/>
    </row>
    <row r="219" spans="17:33" x14ac:dyDescent="0.2">
      <c r="Q219" s="487"/>
      <c r="AG219" s="487"/>
    </row>
    <row r="220" spans="17:33" x14ac:dyDescent="0.2">
      <c r="Q220" s="487"/>
      <c r="AG220" s="487"/>
    </row>
    <row r="221" spans="17:33" x14ac:dyDescent="0.2">
      <c r="Q221" s="487"/>
      <c r="AG221" s="487"/>
    </row>
    <row r="222" spans="17:33" x14ac:dyDescent="0.2">
      <c r="Q222" s="487"/>
      <c r="AG222" s="487"/>
    </row>
    <row r="223" spans="17:33" x14ac:dyDescent="0.2">
      <c r="Q223" s="487"/>
      <c r="AG223" s="487"/>
    </row>
    <row r="224" spans="17:33" x14ac:dyDescent="0.2">
      <c r="Q224" s="487"/>
      <c r="AG224" s="487"/>
    </row>
    <row r="225" spans="17:33" x14ac:dyDescent="0.2">
      <c r="Q225" s="487"/>
      <c r="AG225" s="487"/>
    </row>
    <row r="226" spans="17:33" x14ac:dyDescent="0.2">
      <c r="Q226" s="487"/>
      <c r="AG226" s="487"/>
    </row>
    <row r="227" spans="17:33" x14ac:dyDescent="0.2">
      <c r="Q227" s="487"/>
      <c r="AG227" s="487"/>
    </row>
    <row r="228" spans="17:33" x14ac:dyDescent="0.2">
      <c r="Q228" s="487"/>
      <c r="AG228" s="487"/>
    </row>
    <row r="229" spans="17:33" x14ac:dyDescent="0.2">
      <c r="Q229" s="487"/>
      <c r="AG229" s="487"/>
    </row>
    <row r="230" spans="17:33" x14ac:dyDescent="0.2">
      <c r="Q230" s="487"/>
      <c r="AG230" s="487"/>
    </row>
    <row r="231" spans="17:33" x14ac:dyDescent="0.2">
      <c r="Q231" s="487"/>
      <c r="AG231" s="487"/>
    </row>
    <row r="232" spans="17:33" x14ac:dyDescent="0.2">
      <c r="Q232" s="487"/>
      <c r="AG232" s="487"/>
    </row>
    <row r="233" spans="17:33" x14ac:dyDescent="0.2">
      <c r="Q233" s="487"/>
      <c r="AG233" s="487"/>
    </row>
    <row r="234" spans="17:33" x14ac:dyDescent="0.2">
      <c r="Q234" s="487"/>
      <c r="AG234" s="487"/>
    </row>
    <row r="235" spans="17:33" x14ac:dyDescent="0.2">
      <c r="Q235" s="487"/>
      <c r="AG235" s="487"/>
    </row>
    <row r="236" spans="17:33" x14ac:dyDescent="0.2">
      <c r="Q236" s="487"/>
      <c r="AG236" s="487"/>
    </row>
    <row r="237" spans="17:33" x14ac:dyDescent="0.2">
      <c r="Q237" s="487"/>
      <c r="AG237" s="487"/>
    </row>
    <row r="238" spans="17:33" x14ac:dyDescent="0.2">
      <c r="Q238" s="487"/>
      <c r="AG238" s="487"/>
    </row>
    <row r="239" spans="17:33" x14ac:dyDescent="0.2">
      <c r="Q239" s="487"/>
      <c r="AG239" s="487"/>
    </row>
    <row r="240" spans="17:33" x14ac:dyDescent="0.2">
      <c r="Q240" s="487"/>
      <c r="AG240" s="487"/>
    </row>
    <row r="241" spans="17:33" x14ac:dyDescent="0.2">
      <c r="Q241" s="487"/>
      <c r="AG241" s="487"/>
    </row>
    <row r="242" spans="17:33" x14ac:dyDescent="0.2">
      <c r="Q242" s="487"/>
      <c r="AG242" s="487"/>
    </row>
    <row r="243" spans="17:33" x14ac:dyDescent="0.2">
      <c r="Q243" s="487"/>
      <c r="AG243" s="487"/>
    </row>
    <row r="244" spans="17:33" x14ac:dyDescent="0.2">
      <c r="Q244" s="487"/>
      <c r="AG244" s="487"/>
    </row>
    <row r="245" spans="17:33" x14ac:dyDescent="0.2">
      <c r="Q245" s="487"/>
      <c r="AG245" s="487"/>
    </row>
    <row r="246" spans="17:33" x14ac:dyDescent="0.2">
      <c r="Q246" s="487"/>
      <c r="AG246" s="487"/>
    </row>
    <row r="247" spans="17:33" x14ac:dyDescent="0.2">
      <c r="Q247" s="487"/>
      <c r="AG247" s="487"/>
    </row>
    <row r="248" spans="17:33" x14ac:dyDescent="0.2">
      <c r="Q248" s="487"/>
      <c r="AG248" s="487"/>
    </row>
    <row r="249" spans="17:33" x14ac:dyDescent="0.2">
      <c r="Q249" s="487"/>
      <c r="AG249" s="487"/>
    </row>
    <row r="250" spans="17:33" x14ac:dyDescent="0.2">
      <c r="Q250" s="487"/>
      <c r="AG250" s="487"/>
    </row>
    <row r="251" spans="17:33" x14ac:dyDescent="0.2">
      <c r="Q251" s="487"/>
      <c r="AG251" s="487"/>
    </row>
    <row r="252" spans="17:33" x14ac:dyDescent="0.2">
      <c r="Q252" s="487"/>
      <c r="AG252" s="487"/>
    </row>
    <row r="253" spans="17:33" x14ac:dyDescent="0.2">
      <c r="Q253" s="487"/>
      <c r="AG253" s="487"/>
    </row>
    <row r="254" spans="17:33" x14ac:dyDescent="0.2">
      <c r="Q254" s="487"/>
      <c r="AG254" s="487"/>
    </row>
    <row r="255" spans="17:33" x14ac:dyDescent="0.2">
      <c r="Q255" s="487"/>
      <c r="AG255" s="487"/>
    </row>
    <row r="256" spans="17:33" x14ac:dyDescent="0.2">
      <c r="Q256" s="487"/>
      <c r="AG256" s="487"/>
    </row>
    <row r="257" spans="17:33" x14ac:dyDescent="0.2">
      <c r="Q257" s="487"/>
      <c r="AG257" s="487"/>
    </row>
    <row r="258" spans="17:33" x14ac:dyDescent="0.2">
      <c r="Q258" s="487"/>
      <c r="AG258" s="487"/>
    </row>
    <row r="259" spans="17:33" x14ac:dyDescent="0.2">
      <c r="Q259" s="487"/>
      <c r="AG259" s="487"/>
    </row>
    <row r="260" spans="17:33" x14ac:dyDescent="0.2">
      <c r="Q260" s="487"/>
      <c r="AG260" s="487"/>
    </row>
    <row r="261" spans="17:33" x14ac:dyDescent="0.2">
      <c r="Q261" s="487"/>
      <c r="AG261" s="487"/>
    </row>
    <row r="262" spans="17:33" x14ac:dyDescent="0.2">
      <c r="Q262" s="487"/>
      <c r="AG262" s="487"/>
    </row>
    <row r="263" spans="17:33" x14ac:dyDescent="0.2">
      <c r="Q263" s="487"/>
      <c r="AG263" s="487"/>
    </row>
    <row r="264" spans="17:33" x14ac:dyDescent="0.2">
      <c r="Q264" s="487"/>
      <c r="AG264" s="487"/>
    </row>
    <row r="265" spans="17:33" x14ac:dyDescent="0.2">
      <c r="Q265" s="487"/>
      <c r="AG265" s="487"/>
    </row>
    <row r="266" spans="17:33" x14ac:dyDescent="0.2">
      <c r="Q266" s="487"/>
      <c r="AG266" s="487"/>
    </row>
    <row r="267" spans="17:33" x14ac:dyDescent="0.2">
      <c r="Q267" s="487"/>
      <c r="AG267" s="487"/>
    </row>
    <row r="268" spans="17:33" x14ac:dyDescent="0.2">
      <c r="Q268" s="487"/>
      <c r="AG268" s="487"/>
    </row>
    <row r="269" spans="17:33" x14ac:dyDescent="0.2">
      <c r="Q269" s="487"/>
      <c r="AG269" s="487"/>
    </row>
    <row r="270" spans="17:33" x14ac:dyDescent="0.2">
      <c r="Q270" s="487"/>
      <c r="AG270" s="487"/>
    </row>
    <row r="271" spans="17:33" x14ac:dyDescent="0.2">
      <c r="Q271" s="487"/>
      <c r="AG271" s="487"/>
    </row>
    <row r="272" spans="17:33" x14ac:dyDescent="0.2">
      <c r="Q272" s="487"/>
      <c r="AG272" s="487"/>
    </row>
    <row r="273" spans="17:33" x14ac:dyDescent="0.2">
      <c r="Q273" s="487"/>
      <c r="AG273" s="487"/>
    </row>
    <row r="274" spans="17:33" x14ac:dyDescent="0.2">
      <c r="Q274" s="487"/>
      <c r="AG274" s="487"/>
    </row>
    <row r="275" spans="17:33" x14ac:dyDescent="0.2">
      <c r="Q275" s="487"/>
      <c r="AG275" s="487"/>
    </row>
    <row r="276" spans="17:33" x14ac:dyDescent="0.2">
      <c r="Q276" s="487"/>
      <c r="AG276" s="487"/>
    </row>
    <row r="277" spans="17:33" x14ac:dyDescent="0.2">
      <c r="Q277" s="487"/>
      <c r="AG277" s="487"/>
    </row>
    <row r="278" spans="17:33" x14ac:dyDescent="0.2">
      <c r="Q278" s="487"/>
      <c r="AG278" s="487"/>
    </row>
    <row r="279" spans="17:33" x14ac:dyDescent="0.2">
      <c r="Q279" s="487"/>
      <c r="AG279" s="487"/>
    </row>
    <row r="280" spans="17:33" x14ac:dyDescent="0.2">
      <c r="Q280" s="487"/>
      <c r="AG280" s="487"/>
    </row>
    <row r="281" spans="17:33" x14ac:dyDescent="0.2">
      <c r="Q281" s="487"/>
      <c r="AG281" s="487"/>
    </row>
    <row r="282" spans="17:33" x14ac:dyDescent="0.2">
      <c r="Q282" s="487"/>
      <c r="AG282" s="487"/>
    </row>
    <row r="283" spans="17:33" x14ac:dyDescent="0.2">
      <c r="Q283" s="487"/>
      <c r="AG283" s="487"/>
    </row>
    <row r="284" spans="17:33" x14ac:dyDescent="0.2">
      <c r="Q284" s="487"/>
      <c r="AG284" s="487"/>
    </row>
    <row r="285" spans="17:33" x14ac:dyDescent="0.2">
      <c r="Q285" s="487"/>
      <c r="AG285" s="487"/>
    </row>
    <row r="286" spans="17:33" x14ac:dyDescent="0.2">
      <c r="Q286" s="487"/>
      <c r="AG286" s="487"/>
    </row>
    <row r="287" spans="17:33" x14ac:dyDescent="0.2">
      <c r="Q287" s="487"/>
      <c r="AG287" s="487"/>
    </row>
    <row r="288" spans="17:33" x14ac:dyDescent="0.2">
      <c r="Q288" s="487"/>
      <c r="AG288" s="487"/>
    </row>
    <row r="289" spans="17:33" x14ac:dyDescent="0.2">
      <c r="Q289" s="487"/>
      <c r="AG289" s="487"/>
    </row>
    <row r="290" spans="17:33" x14ac:dyDescent="0.2">
      <c r="Q290" s="487"/>
      <c r="AG290" s="487"/>
    </row>
    <row r="291" spans="17:33" x14ac:dyDescent="0.2">
      <c r="Q291" s="487"/>
      <c r="AG291" s="487"/>
    </row>
    <row r="292" spans="17:33" x14ac:dyDescent="0.2">
      <c r="Q292" s="487"/>
      <c r="AG292" s="487"/>
    </row>
    <row r="293" spans="17:33" x14ac:dyDescent="0.2">
      <c r="Q293" s="487"/>
      <c r="AG293" s="487"/>
    </row>
    <row r="294" spans="17:33" x14ac:dyDescent="0.2">
      <c r="Q294" s="487"/>
      <c r="AG294" s="487"/>
    </row>
    <row r="295" spans="17:33" x14ac:dyDescent="0.2">
      <c r="Q295" s="487"/>
      <c r="AG295" s="487"/>
    </row>
    <row r="296" spans="17:33" x14ac:dyDescent="0.2">
      <c r="Q296" s="487"/>
      <c r="AG296" s="487"/>
    </row>
    <row r="297" spans="17:33" x14ac:dyDescent="0.2">
      <c r="Q297" s="487"/>
      <c r="AG297" s="487"/>
    </row>
    <row r="298" spans="17:33" x14ac:dyDescent="0.2">
      <c r="Q298" s="487"/>
      <c r="AG298" s="487"/>
    </row>
    <row r="299" spans="17:33" x14ac:dyDescent="0.2">
      <c r="Q299" s="487"/>
      <c r="AG299" s="487"/>
    </row>
    <row r="300" spans="17:33" x14ac:dyDescent="0.2">
      <c r="Q300" s="487"/>
      <c r="AG300" s="487"/>
    </row>
    <row r="301" spans="17:33" x14ac:dyDescent="0.2">
      <c r="Q301" s="487"/>
      <c r="AG301" s="487"/>
    </row>
    <row r="302" spans="17:33" x14ac:dyDescent="0.2">
      <c r="Q302" s="487"/>
      <c r="AG302" s="487"/>
    </row>
    <row r="303" spans="17:33" x14ac:dyDescent="0.2">
      <c r="Q303" s="487"/>
      <c r="AG303" s="487"/>
    </row>
    <row r="304" spans="17:33" x14ac:dyDescent="0.2">
      <c r="Q304" s="487"/>
      <c r="AG304" s="487"/>
    </row>
    <row r="305" spans="17:33" x14ac:dyDescent="0.2">
      <c r="Q305" s="487"/>
      <c r="AG305" s="487"/>
    </row>
    <row r="306" spans="17:33" x14ac:dyDescent="0.2">
      <c r="Q306" s="487"/>
      <c r="AG306" s="487"/>
    </row>
    <row r="307" spans="17:33" x14ac:dyDescent="0.2">
      <c r="Q307" s="487"/>
      <c r="AG307" s="487"/>
    </row>
    <row r="308" spans="17:33" x14ac:dyDescent="0.2">
      <c r="Q308" s="487"/>
      <c r="AG308" s="487"/>
    </row>
    <row r="309" spans="17:33" x14ac:dyDescent="0.2">
      <c r="Q309" s="487"/>
      <c r="AG309" s="487"/>
    </row>
    <row r="310" spans="17:33" x14ac:dyDescent="0.2">
      <c r="Q310" s="487"/>
      <c r="AG310" s="487"/>
    </row>
    <row r="311" spans="17:33" x14ac:dyDescent="0.2">
      <c r="Q311" s="487"/>
      <c r="AG311" s="487"/>
    </row>
    <row r="312" spans="17:33" x14ac:dyDescent="0.2">
      <c r="Q312" s="487"/>
      <c r="AG312" s="487"/>
    </row>
    <row r="313" spans="17:33" x14ac:dyDescent="0.2">
      <c r="Q313" s="487"/>
      <c r="AG313" s="487"/>
    </row>
    <row r="314" spans="17:33" x14ac:dyDescent="0.2">
      <c r="Q314" s="487"/>
      <c r="AG314" s="487"/>
    </row>
    <row r="315" spans="17:33" x14ac:dyDescent="0.2">
      <c r="Q315" s="487"/>
      <c r="AG315" s="487"/>
    </row>
    <row r="316" spans="17:33" x14ac:dyDescent="0.2">
      <c r="Q316" s="487"/>
      <c r="AG316" s="487"/>
    </row>
    <row r="317" spans="17:33" x14ac:dyDescent="0.2">
      <c r="Q317" s="487"/>
      <c r="AG317" s="487"/>
    </row>
    <row r="318" spans="17:33" x14ac:dyDescent="0.2">
      <c r="Q318" s="487"/>
      <c r="AG318" s="487"/>
    </row>
    <row r="319" spans="17:33" x14ac:dyDescent="0.2">
      <c r="Q319" s="487"/>
      <c r="AG319" s="487"/>
    </row>
    <row r="320" spans="17:33" x14ac:dyDescent="0.2">
      <c r="Q320" s="487"/>
      <c r="AG320" s="487"/>
    </row>
    <row r="321" spans="17:33" x14ac:dyDescent="0.2">
      <c r="Q321" s="487"/>
      <c r="AG321" s="487"/>
    </row>
    <row r="322" spans="17:33" x14ac:dyDescent="0.2">
      <c r="Q322" s="487"/>
      <c r="AG322" s="487"/>
    </row>
    <row r="323" spans="17:33" x14ac:dyDescent="0.2">
      <c r="Q323" s="487"/>
      <c r="AG323" s="487"/>
    </row>
    <row r="324" spans="17:33" x14ac:dyDescent="0.2">
      <c r="Q324" s="487"/>
      <c r="AG324" s="487"/>
    </row>
    <row r="325" spans="17:33" x14ac:dyDescent="0.2">
      <c r="Q325" s="487"/>
      <c r="AG325" s="487"/>
    </row>
    <row r="326" spans="17:33" x14ac:dyDescent="0.2">
      <c r="Q326" s="487"/>
      <c r="AG326" s="487"/>
    </row>
    <row r="327" spans="17:33" x14ac:dyDescent="0.2">
      <c r="Q327" s="487"/>
      <c r="AG327" s="487"/>
    </row>
    <row r="328" spans="17:33" x14ac:dyDescent="0.2">
      <c r="Q328" s="487"/>
      <c r="AG328" s="487"/>
    </row>
    <row r="329" spans="17:33" x14ac:dyDescent="0.2">
      <c r="Q329" s="487"/>
      <c r="AG329" s="487"/>
    </row>
    <row r="330" spans="17:33" x14ac:dyDescent="0.2">
      <c r="Q330" s="487"/>
      <c r="AG330" s="487"/>
    </row>
    <row r="331" spans="17:33" x14ac:dyDescent="0.2">
      <c r="Q331" s="487"/>
      <c r="AG331" s="487"/>
    </row>
    <row r="332" spans="17:33" x14ac:dyDescent="0.2">
      <c r="Q332" s="487"/>
      <c r="AG332" s="487"/>
    </row>
    <row r="333" spans="17:33" x14ac:dyDescent="0.2">
      <c r="Q333" s="487"/>
      <c r="AG333" s="487"/>
    </row>
    <row r="334" spans="17:33" x14ac:dyDescent="0.2">
      <c r="Q334" s="487"/>
      <c r="AG334" s="487"/>
    </row>
    <row r="335" spans="17:33" x14ac:dyDescent="0.2">
      <c r="Q335" s="487"/>
      <c r="AG335" s="487"/>
    </row>
    <row r="336" spans="17:33" x14ac:dyDescent="0.2">
      <c r="Q336" s="487"/>
      <c r="AG336" s="487"/>
    </row>
    <row r="337" spans="17:33" x14ac:dyDescent="0.2">
      <c r="Q337" s="487"/>
      <c r="AG337" s="487"/>
    </row>
    <row r="338" spans="17:33" x14ac:dyDescent="0.2">
      <c r="Q338" s="487"/>
      <c r="AG338" s="487"/>
    </row>
    <row r="339" spans="17:33" x14ac:dyDescent="0.2">
      <c r="Q339" s="487"/>
      <c r="AG339" s="487"/>
    </row>
    <row r="340" spans="17:33" x14ac:dyDescent="0.2">
      <c r="Q340" s="487"/>
      <c r="AG340" s="487"/>
    </row>
    <row r="341" spans="17:33" x14ac:dyDescent="0.2">
      <c r="Q341" s="487"/>
      <c r="AG341" s="487"/>
    </row>
    <row r="342" spans="17:33" x14ac:dyDescent="0.2">
      <c r="Q342" s="487"/>
      <c r="AG342" s="487"/>
    </row>
    <row r="343" spans="17:33" x14ac:dyDescent="0.2">
      <c r="Q343" s="487"/>
      <c r="AG343" s="487"/>
    </row>
    <row r="344" spans="17:33" x14ac:dyDescent="0.2">
      <c r="Q344" s="487"/>
      <c r="AG344" s="487"/>
    </row>
    <row r="345" spans="17:33" x14ac:dyDescent="0.2">
      <c r="Q345" s="487"/>
      <c r="AG345" s="487"/>
    </row>
    <row r="346" spans="17:33" x14ac:dyDescent="0.2">
      <c r="Q346" s="487"/>
      <c r="AG346" s="487"/>
    </row>
    <row r="347" spans="17:33" x14ac:dyDescent="0.2">
      <c r="Q347" s="487"/>
      <c r="AG347" s="487"/>
    </row>
    <row r="348" spans="17:33" x14ac:dyDescent="0.2">
      <c r="Q348" s="487"/>
      <c r="AG348" s="487"/>
    </row>
    <row r="349" spans="17:33" x14ac:dyDescent="0.2">
      <c r="Q349" s="487"/>
      <c r="AG349" s="487"/>
    </row>
    <row r="350" spans="17:33" x14ac:dyDescent="0.2">
      <c r="Q350" s="487"/>
      <c r="AG350" s="487"/>
    </row>
    <row r="351" spans="17:33" x14ac:dyDescent="0.2">
      <c r="Q351" s="487"/>
      <c r="AG351" s="487"/>
    </row>
    <row r="352" spans="17:33" x14ac:dyDescent="0.2">
      <c r="Q352" s="487"/>
      <c r="AG352" s="487"/>
    </row>
    <row r="353" spans="17:33" x14ac:dyDescent="0.2">
      <c r="Q353" s="487"/>
      <c r="AG353" s="487"/>
    </row>
    <row r="354" spans="17:33" x14ac:dyDescent="0.2">
      <c r="Q354" s="487"/>
      <c r="AG354" s="487"/>
    </row>
    <row r="355" spans="17:33" x14ac:dyDescent="0.2">
      <c r="Q355" s="487"/>
      <c r="AG355" s="487"/>
    </row>
    <row r="356" spans="17:33" x14ac:dyDescent="0.2">
      <c r="Q356" s="487"/>
      <c r="AG356" s="487"/>
    </row>
    <row r="357" spans="17:33" x14ac:dyDescent="0.2">
      <c r="Q357" s="487"/>
      <c r="AG357" s="487"/>
    </row>
    <row r="358" spans="17:33" x14ac:dyDescent="0.2">
      <c r="Q358" s="487"/>
      <c r="AG358" s="487"/>
    </row>
    <row r="359" spans="17:33" x14ac:dyDescent="0.2">
      <c r="Q359" s="487"/>
      <c r="AG359" s="487"/>
    </row>
    <row r="360" spans="17:33" x14ac:dyDescent="0.2">
      <c r="Q360" s="487"/>
      <c r="AG360" s="487"/>
    </row>
    <row r="361" spans="17:33" x14ac:dyDescent="0.2">
      <c r="Q361" s="487"/>
      <c r="AG361" s="487"/>
    </row>
    <row r="362" spans="17:33" x14ac:dyDescent="0.2">
      <c r="Q362" s="487"/>
      <c r="AG362" s="487"/>
    </row>
    <row r="363" spans="17:33" x14ac:dyDescent="0.2">
      <c r="Q363" s="487"/>
      <c r="AG363" s="487"/>
    </row>
    <row r="364" spans="17:33" x14ac:dyDescent="0.2">
      <c r="Q364" s="487"/>
      <c r="AG364" s="487"/>
    </row>
    <row r="365" spans="17:33" x14ac:dyDescent="0.2">
      <c r="Q365" s="487"/>
      <c r="AG365" s="487"/>
    </row>
    <row r="366" spans="17:33" x14ac:dyDescent="0.2">
      <c r="Q366" s="487"/>
      <c r="AG366" s="487"/>
    </row>
    <row r="367" spans="17:33" x14ac:dyDescent="0.2">
      <c r="Q367" s="487"/>
      <c r="AG367" s="487"/>
    </row>
    <row r="368" spans="17:33" x14ac:dyDescent="0.2">
      <c r="Q368" s="487"/>
      <c r="AG368" s="487"/>
    </row>
    <row r="369" spans="17:33" x14ac:dyDescent="0.2">
      <c r="Q369" s="487"/>
      <c r="AG369" s="487"/>
    </row>
    <row r="370" spans="17:33" x14ac:dyDescent="0.2">
      <c r="Q370" s="487"/>
      <c r="AG370" s="487"/>
    </row>
    <row r="371" spans="17:33" x14ac:dyDescent="0.2">
      <c r="Q371" s="487"/>
      <c r="AG371" s="487"/>
    </row>
    <row r="372" spans="17:33" x14ac:dyDescent="0.2">
      <c r="Q372" s="487"/>
      <c r="AG372" s="487"/>
    </row>
    <row r="373" spans="17:33" x14ac:dyDescent="0.2">
      <c r="Q373" s="487"/>
      <c r="AG373" s="487"/>
    </row>
    <row r="374" spans="17:33" x14ac:dyDescent="0.2">
      <c r="Q374" s="487"/>
      <c r="AG374" s="487"/>
    </row>
    <row r="375" spans="17:33" x14ac:dyDescent="0.2">
      <c r="Q375" s="487"/>
      <c r="AG375" s="487"/>
    </row>
    <row r="376" spans="17:33" x14ac:dyDescent="0.2">
      <c r="Q376" s="487"/>
      <c r="AG376" s="487"/>
    </row>
    <row r="377" spans="17:33" x14ac:dyDescent="0.2">
      <c r="Q377" s="487"/>
      <c r="AG377" s="487"/>
    </row>
    <row r="378" spans="17:33" x14ac:dyDescent="0.2">
      <c r="Q378" s="487"/>
      <c r="AG378" s="487"/>
    </row>
    <row r="379" spans="17:33" x14ac:dyDescent="0.2">
      <c r="Q379" s="487"/>
      <c r="AG379" s="487"/>
    </row>
    <row r="380" spans="17:33" x14ac:dyDescent="0.2">
      <c r="Q380" s="487"/>
      <c r="AG380" s="487"/>
    </row>
    <row r="381" spans="17:33" x14ac:dyDescent="0.2">
      <c r="Q381" s="487"/>
      <c r="AG381" s="487"/>
    </row>
    <row r="382" spans="17:33" x14ac:dyDescent="0.2">
      <c r="Q382" s="487"/>
      <c r="AG382" s="487"/>
    </row>
    <row r="383" spans="17:33" x14ac:dyDescent="0.2">
      <c r="Q383" s="487"/>
      <c r="AG383" s="487"/>
    </row>
    <row r="384" spans="17:33" x14ac:dyDescent="0.2">
      <c r="Q384" s="487"/>
      <c r="AG384" s="487"/>
    </row>
    <row r="385" spans="17:33" x14ac:dyDescent="0.2">
      <c r="Q385" s="487"/>
      <c r="AG385" s="487"/>
    </row>
    <row r="386" spans="17:33" x14ac:dyDescent="0.2">
      <c r="Q386" s="487"/>
      <c r="AG386" s="487"/>
    </row>
    <row r="387" spans="17:33" x14ac:dyDescent="0.2">
      <c r="Q387" s="487"/>
      <c r="AG387" s="487"/>
    </row>
    <row r="388" spans="17:33" x14ac:dyDescent="0.2">
      <c r="Q388" s="487"/>
      <c r="AG388" s="487"/>
    </row>
    <row r="389" spans="17:33" x14ac:dyDescent="0.2">
      <c r="Q389" s="487"/>
      <c r="AG389" s="487"/>
    </row>
    <row r="390" spans="17:33" x14ac:dyDescent="0.2">
      <c r="Q390" s="487"/>
      <c r="AG390" s="487"/>
    </row>
    <row r="391" spans="17:33" x14ac:dyDescent="0.2">
      <c r="Q391" s="487"/>
      <c r="AG391" s="487"/>
    </row>
    <row r="392" spans="17:33" x14ac:dyDescent="0.2">
      <c r="Q392" s="487"/>
      <c r="AG392" s="487"/>
    </row>
    <row r="393" spans="17:33" x14ac:dyDescent="0.2">
      <c r="Q393" s="487"/>
      <c r="AG393" s="487"/>
    </row>
    <row r="394" spans="17:33" x14ac:dyDescent="0.2">
      <c r="Q394" s="487"/>
      <c r="AG394" s="487"/>
    </row>
    <row r="395" spans="17:33" x14ac:dyDescent="0.2">
      <c r="Q395" s="487"/>
      <c r="AG395" s="487"/>
    </row>
    <row r="396" spans="17:33" x14ac:dyDescent="0.2">
      <c r="Q396" s="487"/>
      <c r="AG396" s="487"/>
    </row>
    <row r="397" spans="17:33" x14ac:dyDescent="0.2">
      <c r="Q397" s="487"/>
      <c r="AG397" s="487"/>
    </row>
    <row r="398" spans="17:33" x14ac:dyDescent="0.2">
      <c r="Q398" s="487"/>
      <c r="AG398" s="487"/>
    </row>
    <row r="399" spans="17:33" x14ac:dyDescent="0.2">
      <c r="Q399" s="487"/>
      <c r="AG399" s="487"/>
    </row>
    <row r="400" spans="17:33" x14ac:dyDescent="0.2">
      <c r="Q400" s="487"/>
      <c r="AG400" s="487"/>
    </row>
    <row r="401" spans="17:33" x14ac:dyDescent="0.2">
      <c r="Q401" s="487"/>
      <c r="AG401" s="487"/>
    </row>
    <row r="402" spans="17:33" x14ac:dyDescent="0.2">
      <c r="Q402" s="487"/>
      <c r="AG402" s="487"/>
    </row>
    <row r="403" spans="17:33" x14ac:dyDescent="0.2">
      <c r="Q403" s="487"/>
      <c r="AG403" s="487"/>
    </row>
    <row r="404" spans="17:33" x14ac:dyDescent="0.2">
      <c r="Q404" s="487"/>
      <c r="AG404" s="487"/>
    </row>
    <row r="405" spans="17:33" x14ac:dyDescent="0.2">
      <c r="Q405" s="487"/>
      <c r="AG405" s="487"/>
    </row>
    <row r="406" spans="17:33" x14ac:dyDescent="0.2">
      <c r="Q406" s="487"/>
      <c r="AG406" s="487"/>
    </row>
    <row r="407" spans="17:33" x14ac:dyDescent="0.2">
      <c r="Q407" s="487"/>
      <c r="AG407" s="487"/>
    </row>
    <row r="408" spans="17:33" x14ac:dyDescent="0.2">
      <c r="Q408" s="487"/>
      <c r="AG408" s="487"/>
    </row>
    <row r="409" spans="17:33" x14ac:dyDescent="0.2">
      <c r="Q409" s="487"/>
      <c r="AG409" s="487"/>
    </row>
    <row r="410" spans="17:33" x14ac:dyDescent="0.2">
      <c r="Q410" s="487"/>
      <c r="AG410" s="487"/>
    </row>
    <row r="411" spans="17:33" x14ac:dyDescent="0.2">
      <c r="Q411" s="487"/>
      <c r="AG411" s="487"/>
    </row>
    <row r="412" spans="17:33" x14ac:dyDescent="0.2">
      <c r="Q412" s="487"/>
      <c r="AG412" s="487"/>
    </row>
    <row r="413" spans="17:33" x14ac:dyDescent="0.2">
      <c r="Q413" s="487"/>
      <c r="AG413" s="487"/>
    </row>
    <row r="414" spans="17:33" x14ac:dyDescent="0.2">
      <c r="Q414" s="487"/>
      <c r="AG414" s="487"/>
    </row>
    <row r="415" spans="17:33" x14ac:dyDescent="0.2">
      <c r="Q415" s="487"/>
      <c r="AG415" s="487"/>
    </row>
    <row r="416" spans="17:33" x14ac:dyDescent="0.2">
      <c r="Q416" s="487"/>
      <c r="AG416" s="487"/>
    </row>
    <row r="417" spans="17:33" x14ac:dyDescent="0.2">
      <c r="Q417" s="487"/>
      <c r="AG417" s="487"/>
    </row>
    <row r="418" spans="17:33" x14ac:dyDescent="0.2">
      <c r="Q418" s="487"/>
      <c r="AG418" s="487"/>
    </row>
    <row r="419" spans="17:33" x14ac:dyDescent="0.2">
      <c r="Q419" s="487"/>
      <c r="AG419" s="487"/>
    </row>
    <row r="420" spans="17:33" x14ac:dyDescent="0.2">
      <c r="Q420" s="487"/>
      <c r="AG420" s="487"/>
    </row>
    <row r="421" spans="17:33" x14ac:dyDescent="0.2">
      <c r="Q421" s="487"/>
      <c r="AG421" s="487"/>
    </row>
    <row r="422" spans="17:33" x14ac:dyDescent="0.2">
      <c r="Q422" s="487"/>
      <c r="AG422" s="487"/>
    </row>
    <row r="423" spans="17:33" x14ac:dyDescent="0.2">
      <c r="Q423" s="487"/>
      <c r="AG423" s="487"/>
    </row>
    <row r="424" spans="17:33" x14ac:dyDescent="0.2">
      <c r="Q424" s="487"/>
      <c r="AG424" s="487"/>
    </row>
    <row r="425" spans="17:33" x14ac:dyDescent="0.2">
      <c r="Q425" s="487"/>
      <c r="AG425" s="487"/>
    </row>
    <row r="426" spans="17:33" x14ac:dyDescent="0.2">
      <c r="Q426" s="487"/>
      <c r="AG426" s="487"/>
    </row>
    <row r="427" spans="17:33" x14ac:dyDescent="0.2">
      <c r="Q427" s="487"/>
      <c r="AG427" s="487"/>
    </row>
    <row r="428" spans="17:33" x14ac:dyDescent="0.2">
      <c r="Q428" s="487"/>
      <c r="AG428" s="487"/>
    </row>
    <row r="429" spans="17:33" x14ac:dyDescent="0.2">
      <c r="Q429" s="487"/>
      <c r="AG429" s="487"/>
    </row>
    <row r="430" spans="17:33" x14ac:dyDescent="0.2">
      <c r="Q430" s="487"/>
      <c r="AG430" s="487"/>
    </row>
    <row r="431" spans="17:33" x14ac:dyDescent="0.2">
      <c r="Q431" s="487"/>
      <c r="AG431" s="487"/>
    </row>
    <row r="432" spans="17:33" x14ac:dyDescent="0.2">
      <c r="Q432" s="487"/>
      <c r="AG432" s="487"/>
    </row>
    <row r="433" spans="17:33" x14ac:dyDescent="0.2">
      <c r="Q433" s="487"/>
      <c r="AG433" s="487"/>
    </row>
    <row r="434" spans="17:33" x14ac:dyDescent="0.2">
      <c r="Q434" s="487"/>
      <c r="AG434" s="487"/>
    </row>
    <row r="435" spans="17:33" x14ac:dyDescent="0.2">
      <c r="Q435" s="487"/>
      <c r="AG435" s="487"/>
    </row>
    <row r="436" spans="17:33" x14ac:dyDescent="0.2">
      <c r="Q436" s="487"/>
      <c r="AG436" s="487"/>
    </row>
    <row r="437" spans="17:33" x14ac:dyDescent="0.2">
      <c r="Q437" s="487"/>
      <c r="AG437" s="487"/>
    </row>
    <row r="438" spans="17:33" x14ac:dyDescent="0.2">
      <c r="Q438" s="487"/>
      <c r="AG438" s="487"/>
    </row>
    <row r="439" spans="17:33" x14ac:dyDescent="0.2">
      <c r="Q439" s="487"/>
      <c r="AG439" s="487"/>
    </row>
    <row r="440" spans="17:33" x14ac:dyDescent="0.2">
      <c r="Q440" s="487"/>
      <c r="AG440" s="487"/>
    </row>
    <row r="441" spans="17:33" x14ac:dyDescent="0.2">
      <c r="Q441" s="487"/>
      <c r="AG441" s="487"/>
    </row>
    <row r="442" spans="17:33" x14ac:dyDescent="0.2">
      <c r="Q442" s="487"/>
      <c r="AG442" s="487"/>
    </row>
    <row r="443" spans="17:33" x14ac:dyDescent="0.2">
      <c r="Q443" s="487"/>
      <c r="AG443" s="487"/>
    </row>
    <row r="444" spans="17:33" x14ac:dyDescent="0.2">
      <c r="Q444" s="487"/>
      <c r="AG444" s="487"/>
    </row>
    <row r="445" spans="17:33" x14ac:dyDescent="0.2">
      <c r="Q445" s="487"/>
      <c r="AG445" s="487"/>
    </row>
    <row r="446" spans="17:33" x14ac:dyDescent="0.2">
      <c r="Q446" s="487"/>
      <c r="AG446" s="487"/>
    </row>
    <row r="447" spans="17:33" x14ac:dyDescent="0.2">
      <c r="Q447" s="487"/>
      <c r="AG447" s="487"/>
    </row>
    <row r="448" spans="17:33" x14ac:dyDescent="0.2">
      <c r="Q448" s="487"/>
      <c r="AG448" s="487"/>
    </row>
    <row r="449" spans="17:33" x14ac:dyDescent="0.2">
      <c r="Q449" s="487"/>
      <c r="AG449" s="487"/>
    </row>
    <row r="450" spans="17:33" x14ac:dyDescent="0.2">
      <c r="Q450" s="487"/>
      <c r="AG450" s="487"/>
    </row>
    <row r="451" spans="17:33" x14ac:dyDescent="0.2">
      <c r="Q451" s="487"/>
      <c r="AG451" s="487"/>
    </row>
    <row r="452" spans="17:33" x14ac:dyDescent="0.2">
      <c r="Q452" s="487"/>
      <c r="AG452" s="487"/>
    </row>
    <row r="453" spans="17:33" x14ac:dyDescent="0.2">
      <c r="Q453" s="487"/>
      <c r="AG453" s="487"/>
    </row>
    <row r="454" spans="17:33" x14ac:dyDescent="0.2">
      <c r="Q454" s="487"/>
      <c r="AG454" s="487"/>
    </row>
    <row r="455" spans="17:33" x14ac:dyDescent="0.2">
      <c r="Q455" s="487"/>
      <c r="AG455" s="487"/>
    </row>
    <row r="456" spans="17:33" x14ac:dyDescent="0.2">
      <c r="Q456" s="487"/>
      <c r="AG456" s="487"/>
    </row>
    <row r="457" spans="17:33" x14ac:dyDescent="0.2">
      <c r="Q457" s="487"/>
      <c r="AG457" s="487"/>
    </row>
    <row r="458" spans="17:33" x14ac:dyDescent="0.2">
      <c r="Q458" s="487"/>
      <c r="AG458" s="487"/>
    </row>
    <row r="459" spans="17:33" x14ac:dyDescent="0.2">
      <c r="Q459" s="487"/>
      <c r="AG459" s="487"/>
    </row>
    <row r="460" spans="17:33" x14ac:dyDescent="0.2">
      <c r="Q460" s="487"/>
      <c r="AG460" s="487"/>
    </row>
    <row r="461" spans="17:33" x14ac:dyDescent="0.2">
      <c r="Q461" s="487"/>
      <c r="AG461" s="487"/>
    </row>
    <row r="462" spans="17:33" x14ac:dyDescent="0.2">
      <c r="Q462" s="487"/>
      <c r="AG462" s="487"/>
    </row>
    <row r="463" spans="17:33" x14ac:dyDescent="0.2">
      <c r="Q463" s="487"/>
      <c r="AG463" s="487"/>
    </row>
    <row r="464" spans="17:33" x14ac:dyDescent="0.2">
      <c r="Q464" s="487"/>
      <c r="AG464" s="487"/>
    </row>
    <row r="465" spans="17:33" x14ac:dyDescent="0.2">
      <c r="Q465" s="487"/>
      <c r="AG465" s="487"/>
    </row>
    <row r="466" spans="17:33" x14ac:dyDescent="0.2">
      <c r="Q466" s="487"/>
      <c r="AG466" s="487"/>
    </row>
    <row r="467" spans="17:33" x14ac:dyDescent="0.2">
      <c r="Q467" s="487"/>
      <c r="AG467" s="487"/>
    </row>
    <row r="468" spans="17:33" x14ac:dyDescent="0.2">
      <c r="Q468" s="487"/>
      <c r="AG468" s="487"/>
    </row>
    <row r="469" spans="17:33" x14ac:dyDescent="0.2">
      <c r="Q469" s="487"/>
      <c r="AG469" s="487"/>
    </row>
    <row r="470" spans="17:33" x14ac:dyDescent="0.2">
      <c r="Q470" s="487"/>
      <c r="AG470" s="487"/>
    </row>
    <row r="471" spans="17:33" x14ac:dyDescent="0.2">
      <c r="Q471" s="487"/>
      <c r="AG471" s="487"/>
    </row>
    <row r="472" spans="17:33" x14ac:dyDescent="0.2">
      <c r="Q472" s="487"/>
      <c r="AG472" s="487"/>
    </row>
    <row r="473" spans="17:33" x14ac:dyDescent="0.2">
      <c r="Q473" s="487"/>
      <c r="AG473" s="487"/>
    </row>
    <row r="474" spans="17:33" x14ac:dyDescent="0.2">
      <c r="Q474" s="487"/>
      <c r="AG474" s="487"/>
    </row>
    <row r="475" spans="17:33" x14ac:dyDescent="0.2">
      <c r="Q475" s="487"/>
      <c r="AG475" s="487"/>
    </row>
    <row r="476" spans="17:33" x14ac:dyDescent="0.2">
      <c r="Q476" s="487"/>
      <c r="AG476" s="487"/>
    </row>
    <row r="477" spans="17:33" x14ac:dyDescent="0.2">
      <c r="Q477" s="487"/>
      <c r="AG477" s="487"/>
    </row>
    <row r="478" spans="17:33" x14ac:dyDescent="0.2">
      <c r="Q478" s="487"/>
      <c r="AG478" s="487"/>
    </row>
    <row r="479" spans="17:33" x14ac:dyDescent="0.2">
      <c r="Q479" s="487"/>
      <c r="AG479" s="487"/>
    </row>
    <row r="480" spans="17:33" x14ac:dyDescent="0.2">
      <c r="Q480" s="487"/>
      <c r="AG480" s="487"/>
    </row>
    <row r="481" spans="17:33" x14ac:dyDescent="0.2">
      <c r="Q481" s="487"/>
      <c r="AG481" s="487"/>
    </row>
    <row r="482" spans="17:33" x14ac:dyDescent="0.2">
      <c r="Q482" s="487"/>
      <c r="AG482" s="487"/>
    </row>
    <row r="483" spans="17:33" x14ac:dyDescent="0.2">
      <c r="Q483" s="487"/>
      <c r="AG483" s="487"/>
    </row>
    <row r="484" spans="17:33" x14ac:dyDescent="0.2">
      <c r="Q484" s="487"/>
      <c r="AG484" s="487"/>
    </row>
    <row r="485" spans="17:33" x14ac:dyDescent="0.2">
      <c r="Q485" s="487"/>
      <c r="AG485" s="487"/>
    </row>
    <row r="486" spans="17:33" x14ac:dyDescent="0.2">
      <c r="Q486" s="487"/>
      <c r="AG486" s="487"/>
    </row>
    <row r="487" spans="17:33" x14ac:dyDescent="0.2">
      <c r="Q487" s="487"/>
      <c r="AG487" s="487"/>
    </row>
    <row r="488" spans="17:33" x14ac:dyDescent="0.2">
      <c r="Q488" s="487"/>
      <c r="AG488" s="487"/>
    </row>
    <row r="489" spans="17:33" x14ac:dyDescent="0.2">
      <c r="Q489" s="487"/>
      <c r="AG489" s="487"/>
    </row>
    <row r="490" spans="17:33" x14ac:dyDescent="0.2">
      <c r="Q490" s="487"/>
      <c r="AG490" s="487"/>
    </row>
    <row r="491" spans="17:33" x14ac:dyDescent="0.2">
      <c r="Q491" s="487"/>
      <c r="AG491" s="487"/>
    </row>
    <row r="492" spans="17:33" x14ac:dyDescent="0.2">
      <c r="Q492" s="487"/>
      <c r="AG492" s="487"/>
    </row>
    <row r="493" spans="17:33" x14ac:dyDescent="0.2">
      <c r="Q493" s="487"/>
      <c r="AG493" s="487"/>
    </row>
    <row r="494" spans="17:33" x14ac:dyDescent="0.2">
      <c r="Q494" s="487"/>
      <c r="AG494" s="487"/>
    </row>
    <row r="495" spans="17:33" x14ac:dyDescent="0.2">
      <c r="Q495" s="487"/>
      <c r="AG495" s="487"/>
    </row>
    <row r="496" spans="17:33" x14ac:dyDescent="0.2">
      <c r="Q496" s="487"/>
      <c r="AG496" s="487"/>
    </row>
    <row r="497" spans="17:33" x14ac:dyDescent="0.2">
      <c r="Q497" s="487"/>
      <c r="AG497" s="487"/>
    </row>
    <row r="498" spans="17:33" x14ac:dyDescent="0.2">
      <c r="Q498" s="487"/>
      <c r="AG498" s="487"/>
    </row>
    <row r="499" spans="17:33" x14ac:dyDescent="0.2">
      <c r="Q499" s="487"/>
      <c r="AG499" s="487"/>
    </row>
    <row r="500" spans="17:33" x14ac:dyDescent="0.2">
      <c r="Q500" s="487"/>
      <c r="AG500" s="487"/>
    </row>
    <row r="501" spans="17:33" x14ac:dyDescent="0.2">
      <c r="Q501" s="487"/>
      <c r="AG501" s="487"/>
    </row>
    <row r="502" spans="17:33" x14ac:dyDescent="0.2">
      <c r="Q502" s="487"/>
      <c r="AG502" s="487"/>
    </row>
    <row r="503" spans="17:33" x14ac:dyDescent="0.2">
      <c r="Q503" s="487"/>
      <c r="AG503" s="487"/>
    </row>
    <row r="504" spans="17:33" x14ac:dyDescent="0.2">
      <c r="Q504" s="487"/>
      <c r="AG504" s="487"/>
    </row>
    <row r="505" spans="17:33" x14ac:dyDescent="0.2">
      <c r="Q505" s="487"/>
      <c r="AG505" s="487"/>
    </row>
    <row r="506" spans="17:33" x14ac:dyDescent="0.2">
      <c r="Q506" s="487"/>
      <c r="AG506" s="487"/>
    </row>
    <row r="507" spans="17:33" x14ac:dyDescent="0.2">
      <c r="Q507" s="487"/>
      <c r="AG507" s="487"/>
    </row>
    <row r="508" spans="17:33" x14ac:dyDescent="0.2">
      <c r="Q508" s="487"/>
      <c r="AG508" s="487"/>
    </row>
    <row r="509" spans="17:33" x14ac:dyDescent="0.2">
      <c r="Q509" s="487"/>
      <c r="AG509" s="487"/>
    </row>
    <row r="510" spans="17:33" x14ac:dyDescent="0.2">
      <c r="Q510" s="487"/>
      <c r="AG510" s="487"/>
    </row>
    <row r="511" spans="17:33" x14ac:dyDescent="0.2">
      <c r="Q511" s="487"/>
      <c r="AG511" s="487"/>
    </row>
    <row r="512" spans="17:33" x14ac:dyDescent="0.2">
      <c r="Q512" s="487"/>
      <c r="AG512" s="487"/>
    </row>
    <row r="513" spans="17:33" x14ac:dyDescent="0.2">
      <c r="Q513" s="487"/>
      <c r="AG513" s="487"/>
    </row>
    <row r="514" spans="17:33" x14ac:dyDescent="0.2">
      <c r="Q514" s="487"/>
      <c r="AG514" s="487"/>
    </row>
    <row r="515" spans="17:33" x14ac:dyDescent="0.2">
      <c r="Q515" s="487"/>
      <c r="AG515" s="487"/>
    </row>
    <row r="516" spans="17:33" x14ac:dyDescent="0.2">
      <c r="Q516" s="487"/>
      <c r="AG516" s="487"/>
    </row>
    <row r="517" spans="17:33" x14ac:dyDescent="0.2">
      <c r="Q517" s="487"/>
      <c r="AG517" s="487"/>
    </row>
    <row r="518" spans="17:33" x14ac:dyDescent="0.2">
      <c r="Q518" s="487"/>
      <c r="AG518" s="487"/>
    </row>
    <row r="519" spans="17:33" x14ac:dyDescent="0.2">
      <c r="Q519" s="487"/>
      <c r="AG519" s="487"/>
    </row>
    <row r="520" spans="17:33" x14ac:dyDescent="0.2">
      <c r="Q520" s="487"/>
      <c r="AG520" s="487"/>
    </row>
    <row r="521" spans="17:33" x14ac:dyDescent="0.2">
      <c r="Q521" s="487"/>
      <c r="AG521" s="487"/>
    </row>
    <row r="522" spans="17:33" x14ac:dyDescent="0.2">
      <c r="Q522" s="487"/>
      <c r="AG522" s="487"/>
    </row>
    <row r="523" spans="17:33" x14ac:dyDescent="0.2">
      <c r="Q523" s="487"/>
      <c r="AG523" s="487"/>
    </row>
    <row r="524" spans="17:33" x14ac:dyDescent="0.2">
      <c r="Q524" s="487"/>
      <c r="AG524" s="487"/>
    </row>
    <row r="525" spans="17:33" x14ac:dyDescent="0.2">
      <c r="Q525" s="487"/>
      <c r="AG525" s="487"/>
    </row>
    <row r="526" spans="17:33" x14ac:dyDescent="0.2">
      <c r="Q526" s="487"/>
      <c r="AG526" s="487"/>
    </row>
    <row r="527" spans="17:33" x14ac:dyDescent="0.2">
      <c r="Q527" s="487"/>
      <c r="AG527" s="487"/>
    </row>
    <row r="528" spans="17:33" x14ac:dyDescent="0.2">
      <c r="Q528" s="487"/>
      <c r="AG528" s="487"/>
    </row>
    <row r="529" spans="17:33" x14ac:dyDescent="0.2">
      <c r="Q529" s="487"/>
      <c r="AG529" s="487"/>
    </row>
    <row r="530" spans="17:33" x14ac:dyDescent="0.2">
      <c r="Q530" s="487"/>
      <c r="AG530" s="487"/>
    </row>
    <row r="531" spans="17:33" x14ac:dyDescent="0.2">
      <c r="Q531" s="487"/>
      <c r="AG531" s="487"/>
    </row>
    <row r="532" spans="17:33" x14ac:dyDescent="0.2">
      <c r="Q532" s="487"/>
      <c r="AG532" s="487"/>
    </row>
    <row r="533" spans="17:33" x14ac:dyDescent="0.2">
      <c r="Q533" s="487"/>
      <c r="AG533" s="487"/>
    </row>
    <row r="534" spans="17:33" x14ac:dyDescent="0.2">
      <c r="Q534" s="487"/>
      <c r="AG534" s="487"/>
    </row>
    <row r="535" spans="17:33" x14ac:dyDescent="0.2">
      <c r="AG535" s="487"/>
    </row>
    <row r="536" spans="17:33" x14ac:dyDescent="0.2">
      <c r="AG536" s="487"/>
    </row>
    <row r="537" spans="17:33" x14ac:dyDescent="0.2">
      <c r="AG537" s="487"/>
    </row>
    <row r="538" spans="17:33" x14ac:dyDescent="0.2">
      <c r="AG538" s="487"/>
    </row>
    <row r="539" spans="17:33" x14ac:dyDescent="0.2">
      <c r="AG539" s="487"/>
    </row>
    <row r="540" spans="17:33" x14ac:dyDescent="0.2">
      <c r="AG540" s="487"/>
    </row>
    <row r="541" spans="17:33" x14ac:dyDescent="0.2">
      <c r="AG541" s="487"/>
    </row>
    <row r="542" spans="17:33" x14ac:dyDescent="0.2">
      <c r="AG542" s="487"/>
    </row>
    <row r="543" spans="17:33" x14ac:dyDescent="0.2">
      <c r="AG543" s="487"/>
    </row>
    <row r="544" spans="17:33" x14ac:dyDescent="0.2">
      <c r="AG544" s="487"/>
    </row>
    <row r="545" spans="33:33" x14ac:dyDescent="0.2">
      <c r="AG545" s="487"/>
    </row>
    <row r="546" spans="33:33" x14ac:dyDescent="0.2">
      <c r="AG546" s="487"/>
    </row>
    <row r="547" spans="33:33" x14ac:dyDescent="0.2">
      <c r="AG547" s="487"/>
    </row>
    <row r="548" spans="33:33" x14ac:dyDescent="0.2">
      <c r="AG548" s="487"/>
    </row>
    <row r="549" spans="33:33" x14ac:dyDescent="0.2">
      <c r="AG549" s="487"/>
    </row>
    <row r="550" spans="33:33" x14ac:dyDescent="0.2">
      <c r="AG550" s="487"/>
    </row>
    <row r="551" spans="33:33" x14ac:dyDescent="0.2">
      <c r="AG551" s="487"/>
    </row>
    <row r="552" spans="33:33" x14ac:dyDescent="0.2">
      <c r="AG552" s="487"/>
    </row>
    <row r="553" spans="33:33" x14ac:dyDescent="0.2">
      <c r="AG553" s="487"/>
    </row>
    <row r="554" spans="33:33" x14ac:dyDescent="0.2">
      <c r="AG554" s="487"/>
    </row>
    <row r="555" spans="33:33" x14ac:dyDescent="0.2">
      <c r="AG555" s="487"/>
    </row>
    <row r="556" spans="33:33" x14ac:dyDescent="0.2">
      <c r="AG556" s="487"/>
    </row>
    <row r="557" spans="33:33" x14ac:dyDescent="0.2">
      <c r="AG557" s="487"/>
    </row>
    <row r="558" spans="33:33" x14ac:dyDescent="0.2">
      <c r="AG558" s="487"/>
    </row>
    <row r="559" spans="33:33" x14ac:dyDescent="0.2">
      <c r="AG559" s="487"/>
    </row>
    <row r="560" spans="33:33" x14ac:dyDescent="0.2">
      <c r="AG560" s="487"/>
    </row>
    <row r="561" spans="33:33" x14ac:dyDescent="0.2">
      <c r="AG561" s="487"/>
    </row>
    <row r="562" spans="33:33" x14ac:dyDescent="0.2">
      <c r="AG562" s="487"/>
    </row>
    <row r="563" spans="33:33" x14ac:dyDescent="0.2">
      <c r="AG563" s="487"/>
    </row>
    <row r="564" spans="33:33" x14ac:dyDescent="0.2">
      <c r="AG564" s="487"/>
    </row>
    <row r="565" spans="33:33" x14ac:dyDescent="0.2">
      <c r="AG565" s="487"/>
    </row>
    <row r="566" spans="33:33" x14ac:dyDescent="0.2">
      <c r="AG566" s="487"/>
    </row>
    <row r="567" spans="33:33" x14ac:dyDescent="0.2">
      <c r="AG567" s="487"/>
    </row>
    <row r="568" spans="33:33" x14ac:dyDescent="0.2">
      <c r="AG568" s="487"/>
    </row>
    <row r="569" spans="33:33" x14ac:dyDescent="0.2">
      <c r="AG569" s="487"/>
    </row>
    <row r="570" spans="33:33" x14ac:dyDescent="0.2">
      <c r="AG570" s="487"/>
    </row>
    <row r="571" spans="33:33" x14ac:dyDescent="0.2">
      <c r="AG571" s="487"/>
    </row>
    <row r="572" spans="33:33" x14ac:dyDescent="0.2">
      <c r="AG572" s="487"/>
    </row>
    <row r="573" spans="33:33" x14ac:dyDescent="0.2">
      <c r="AG573" s="487"/>
    </row>
    <row r="574" spans="33:33" x14ac:dyDescent="0.2">
      <c r="AG574" s="487"/>
    </row>
    <row r="575" spans="33:33" x14ac:dyDescent="0.2">
      <c r="AG575" s="487"/>
    </row>
    <row r="576" spans="33:33" x14ac:dyDescent="0.2">
      <c r="AG576" s="487"/>
    </row>
    <row r="577" spans="33:33" x14ac:dyDescent="0.2">
      <c r="AG577" s="487"/>
    </row>
    <row r="578" spans="33:33" x14ac:dyDescent="0.2">
      <c r="AG578" s="487"/>
    </row>
    <row r="579" spans="33:33" x14ac:dyDescent="0.2">
      <c r="AG579" s="487"/>
    </row>
    <row r="580" spans="33:33" x14ac:dyDescent="0.2">
      <c r="AG580" s="487"/>
    </row>
    <row r="581" spans="33:33" x14ac:dyDescent="0.2">
      <c r="AG581" s="487"/>
    </row>
    <row r="582" spans="33:33" x14ac:dyDescent="0.2">
      <c r="AG582" s="487"/>
    </row>
    <row r="583" spans="33:33" x14ac:dyDescent="0.2">
      <c r="AG583" s="487"/>
    </row>
    <row r="584" spans="33:33" x14ac:dyDescent="0.2">
      <c r="AG584" s="487"/>
    </row>
    <row r="585" spans="33:33" x14ac:dyDescent="0.2">
      <c r="AG585" s="487"/>
    </row>
    <row r="586" spans="33:33" x14ac:dyDescent="0.2">
      <c r="AG586" s="487"/>
    </row>
    <row r="587" spans="33:33" x14ac:dyDescent="0.2">
      <c r="AG587" s="487"/>
    </row>
    <row r="588" spans="33:33" x14ac:dyDescent="0.2">
      <c r="AG588" s="487"/>
    </row>
    <row r="589" spans="33:33" x14ac:dyDescent="0.2">
      <c r="AG589" s="487"/>
    </row>
    <row r="590" spans="33:33" x14ac:dyDescent="0.2">
      <c r="AG590" s="487"/>
    </row>
    <row r="591" spans="33:33" x14ac:dyDescent="0.2">
      <c r="AG591" s="487"/>
    </row>
    <row r="592" spans="33:33" x14ac:dyDescent="0.2">
      <c r="AG592" s="487"/>
    </row>
    <row r="593" spans="33:33" x14ac:dyDescent="0.2">
      <c r="AG593" s="487"/>
    </row>
    <row r="594" spans="33:33" x14ac:dyDescent="0.2">
      <c r="AG594" s="487"/>
    </row>
    <row r="595" spans="33:33" x14ac:dyDescent="0.2">
      <c r="AG595" s="487"/>
    </row>
    <row r="596" spans="33:33" x14ac:dyDescent="0.2">
      <c r="AG596" s="487"/>
    </row>
    <row r="597" spans="33:33" x14ac:dyDescent="0.2">
      <c r="AG597" s="487"/>
    </row>
    <row r="598" spans="33:33" x14ac:dyDescent="0.2">
      <c r="AG598" s="487"/>
    </row>
    <row r="599" spans="33:33" x14ac:dyDescent="0.2">
      <c r="AG599" s="487"/>
    </row>
    <row r="600" spans="33:33" x14ac:dyDescent="0.2">
      <c r="AG600" s="487"/>
    </row>
    <row r="601" spans="33:33" x14ac:dyDescent="0.2">
      <c r="AG601" s="487"/>
    </row>
    <row r="602" spans="33:33" x14ac:dyDescent="0.2">
      <c r="AG602" s="487"/>
    </row>
    <row r="603" spans="33:33" x14ac:dyDescent="0.2">
      <c r="AG603" s="487"/>
    </row>
    <row r="604" spans="33:33" x14ac:dyDescent="0.2">
      <c r="AG604" s="487"/>
    </row>
    <row r="605" spans="33:33" x14ac:dyDescent="0.2">
      <c r="AG605" s="487"/>
    </row>
    <row r="606" spans="33:33" x14ac:dyDescent="0.2">
      <c r="AG606" s="487"/>
    </row>
    <row r="607" spans="33:33" x14ac:dyDescent="0.2">
      <c r="AG607" s="487"/>
    </row>
    <row r="608" spans="33:33" x14ac:dyDescent="0.2">
      <c r="AG608" s="487"/>
    </row>
    <row r="609" spans="33:33" x14ac:dyDescent="0.2">
      <c r="AG609" s="487"/>
    </row>
    <row r="610" spans="33:33" x14ac:dyDescent="0.2">
      <c r="AG610" s="487"/>
    </row>
    <row r="611" spans="33:33" x14ac:dyDescent="0.2">
      <c r="AG611" s="487"/>
    </row>
    <row r="612" spans="33:33" x14ac:dyDescent="0.2">
      <c r="AG612" s="487"/>
    </row>
    <row r="613" spans="33:33" x14ac:dyDescent="0.2">
      <c r="AG613" s="487"/>
    </row>
    <row r="614" spans="33:33" x14ac:dyDescent="0.2">
      <c r="AG614" s="487"/>
    </row>
    <row r="615" spans="33:33" x14ac:dyDescent="0.2">
      <c r="AG615" s="487"/>
    </row>
    <row r="616" spans="33:33" x14ac:dyDescent="0.2">
      <c r="AG616" s="487"/>
    </row>
    <row r="617" spans="33:33" x14ac:dyDescent="0.2">
      <c r="AG617" s="487"/>
    </row>
    <row r="618" spans="33:33" x14ac:dyDescent="0.2">
      <c r="AG618" s="487"/>
    </row>
    <row r="619" spans="33:33" x14ac:dyDescent="0.2">
      <c r="AG619" s="487"/>
    </row>
    <row r="620" spans="33:33" x14ac:dyDescent="0.2">
      <c r="AG620" s="487"/>
    </row>
    <row r="621" spans="33:33" x14ac:dyDescent="0.2">
      <c r="AG621" s="487"/>
    </row>
    <row r="622" spans="33:33" x14ac:dyDescent="0.2">
      <c r="AG622" s="487"/>
    </row>
    <row r="623" spans="33:33" x14ac:dyDescent="0.2">
      <c r="AG623" s="487"/>
    </row>
    <row r="624" spans="33:33" x14ac:dyDescent="0.2">
      <c r="AG624" s="487"/>
    </row>
    <row r="625" spans="33:33" x14ac:dyDescent="0.2">
      <c r="AG625" s="487"/>
    </row>
    <row r="626" spans="33:33" x14ac:dyDescent="0.2">
      <c r="AG626" s="487"/>
    </row>
    <row r="627" spans="33:33" x14ac:dyDescent="0.2">
      <c r="AG627" s="487"/>
    </row>
    <row r="628" spans="33:33" x14ac:dyDescent="0.2">
      <c r="AG628" s="487"/>
    </row>
    <row r="629" spans="33:33" x14ac:dyDescent="0.2">
      <c r="AG629" s="487"/>
    </row>
    <row r="630" spans="33:33" x14ac:dyDescent="0.2">
      <c r="AG630" s="487"/>
    </row>
    <row r="631" spans="33:33" x14ac:dyDescent="0.2">
      <c r="AG631" s="487"/>
    </row>
    <row r="632" spans="33:33" x14ac:dyDescent="0.2">
      <c r="AG632" s="487"/>
    </row>
    <row r="633" spans="33:33" x14ac:dyDescent="0.2">
      <c r="AG633" s="487"/>
    </row>
    <row r="634" spans="33:33" x14ac:dyDescent="0.2">
      <c r="AG634" s="487"/>
    </row>
    <row r="635" spans="33:33" x14ac:dyDescent="0.2">
      <c r="AG635" s="487"/>
    </row>
    <row r="636" spans="33:33" x14ac:dyDescent="0.2">
      <c r="AG636" s="487"/>
    </row>
    <row r="637" spans="33:33" x14ac:dyDescent="0.2">
      <c r="AG637" s="487"/>
    </row>
    <row r="638" spans="33:33" x14ac:dyDescent="0.2">
      <c r="AG638" s="487"/>
    </row>
    <row r="639" spans="33:33" x14ac:dyDescent="0.2">
      <c r="AG639" s="487"/>
    </row>
    <row r="640" spans="33:33" x14ac:dyDescent="0.2">
      <c r="AG640" s="487"/>
    </row>
    <row r="641" spans="33:33" x14ac:dyDescent="0.2">
      <c r="AG641" s="487"/>
    </row>
    <row r="642" spans="33:33" x14ac:dyDescent="0.2">
      <c r="AG642" s="487"/>
    </row>
    <row r="643" spans="33:33" x14ac:dyDescent="0.2">
      <c r="AG643" s="487"/>
    </row>
    <row r="644" spans="33:33" x14ac:dyDescent="0.2">
      <c r="AG644" s="487"/>
    </row>
    <row r="645" spans="33:33" x14ac:dyDescent="0.2">
      <c r="AG645" s="487"/>
    </row>
    <row r="646" spans="33:33" x14ac:dyDescent="0.2">
      <c r="AG646" s="487"/>
    </row>
    <row r="647" spans="33:33" x14ac:dyDescent="0.2">
      <c r="AG647" s="487"/>
    </row>
    <row r="648" spans="33:33" x14ac:dyDescent="0.2">
      <c r="AG648" s="487"/>
    </row>
    <row r="649" spans="33:33" x14ac:dyDescent="0.2">
      <c r="AG649" s="487"/>
    </row>
    <row r="650" spans="33:33" x14ac:dyDescent="0.2">
      <c r="AG650" s="487"/>
    </row>
    <row r="651" spans="33:33" x14ac:dyDescent="0.2">
      <c r="AG651" s="487"/>
    </row>
    <row r="652" spans="33:33" x14ac:dyDescent="0.2">
      <c r="AG652" s="487"/>
    </row>
    <row r="653" spans="33:33" x14ac:dyDescent="0.2">
      <c r="AG653" s="487"/>
    </row>
    <row r="654" spans="33:33" x14ac:dyDescent="0.2">
      <c r="AG654" s="487"/>
    </row>
    <row r="655" spans="33:33" x14ac:dyDescent="0.2">
      <c r="AG655" s="487"/>
    </row>
    <row r="656" spans="33:33" x14ac:dyDescent="0.2">
      <c r="AG656" s="487"/>
    </row>
    <row r="657" spans="33:33" x14ac:dyDescent="0.2">
      <c r="AG657" s="487"/>
    </row>
    <row r="658" spans="33:33" x14ac:dyDescent="0.2">
      <c r="AG658" s="487"/>
    </row>
    <row r="659" spans="33:33" x14ac:dyDescent="0.2">
      <c r="AG659" s="487"/>
    </row>
    <row r="660" spans="33:33" x14ac:dyDescent="0.2">
      <c r="AG660" s="487"/>
    </row>
    <row r="661" spans="33:33" x14ac:dyDescent="0.2">
      <c r="AG661" s="487"/>
    </row>
    <row r="662" spans="33:33" x14ac:dyDescent="0.2">
      <c r="AG662" s="487"/>
    </row>
    <row r="663" spans="33:33" x14ac:dyDescent="0.2">
      <c r="AG663" s="487"/>
    </row>
    <row r="664" spans="33:33" x14ac:dyDescent="0.2">
      <c r="AG664" s="487"/>
    </row>
    <row r="665" spans="33:33" x14ac:dyDescent="0.2">
      <c r="AG665" s="487"/>
    </row>
    <row r="666" spans="33:33" x14ac:dyDescent="0.2">
      <c r="AG666" s="487"/>
    </row>
    <row r="667" spans="33:33" x14ac:dyDescent="0.2">
      <c r="AG667" s="487"/>
    </row>
    <row r="668" spans="33:33" x14ac:dyDescent="0.2">
      <c r="AG668" s="487"/>
    </row>
    <row r="669" spans="33:33" x14ac:dyDescent="0.2">
      <c r="AG669" s="487"/>
    </row>
    <row r="670" spans="33:33" x14ac:dyDescent="0.2">
      <c r="AG670" s="487"/>
    </row>
    <row r="671" spans="33:33" x14ac:dyDescent="0.2">
      <c r="AG671" s="487"/>
    </row>
    <row r="672" spans="33:33" x14ac:dyDescent="0.2">
      <c r="AG672" s="487"/>
    </row>
    <row r="673" spans="33:33" x14ac:dyDescent="0.2">
      <c r="AG673" s="487"/>
    </row>
    <row r="674" spans="33:33" x14ac:dyDescent="0.2">
      <c r="AG674" s="487"/>
    </row>
    <row r="675" spans="33:33" x14ac:dyDescent="0.2">
      <c r="AG675" s="487"/>
    </row>
    <row r="676" spans="33:33" x14ac:dyDescent="0.2">
      <c r="AG676" s="487"/>
    </row>
    <row r="677" spans="33:33" x14ac:dyDescent="0.2">
      <c r="AG677" s="487"/>
    </row>
    <row r="678" spans="33:33" x14ac:dyDescent="0.2">
      <c r="AG678" s="487"/>
    </row>
    <row r="679" spans="33:33" x14ac:dyDescent="0.2">
      <c r="AG679" s="487"/>
    </row>
    <row r="680" spans="33:33" x14ac:dyDescent="0.2">
      <c r="AG680" s="487"/>
    </row>
    <row r="681" spans="33:33" x14ac:dyDescent="0.2">
      <c r="AG681" s="487"/>
    </row>
    <row r="682" spans="33:33" x14ac:dyDescent="0.2">
      <c r="AG682" s="487"/>
    </row>
    <row r="683" spans="33:33" x14ac:dyDescent="0.2">
      <c r="AG683" s="487"/>
    </row>
    <row r="684" spans="33:33" x14ac:dyDescent="0.2">
      <c r="AG684" s="487"/>
    </row>
    <row r="685" spans="33:33" x14ac:dyDescent="0.2">
      <c r="AG685" s="487"/>
    </row>
    <row r="686" spans="33:33" x14ac:dyDescent="0.2">
      <c r="AG686" s="487"/>
    </row>
    <row r="687" spans="33:33" x14ac:dyDescent="0.2">
      <c r="AG687" s="487"/>
    </row>
    <row r="688" spans="33:33" x14ac:dyDescent="0.2">
      <c r="AG688" s="487"/>
    </row>
    <row r="689" spans="33:33" x14ac:dyDescent="0.2">
      <c r="AG689" s="487"/>
    </row>
    <row r="690" spans="33:33" x14ac:dyDescent="0.2">
      <c r="AG690" s="487"/>
    </row>
    <row r="691" spans="33:33" x14ac:dyDescent="0.2">
      <c r="AG691" s="487"/>
    </row>
    <row r="692" spans="33:33" x14ac:dyDescent="0.2">
      <c r="AG692" s="487"/>
    </row>
    <row r="693" spans="33:33" x14ac:dyDescent="0.2">
      <c r="AG693" s="487"/>
    </row>
    <row r="694" spans="33:33" x14ac:dyDescent="0.2">
      <c r="AG694" s="487"/>
    </row>
    <row r="695" spans="33:33" x14ac:dyDescent="0.2">
      <c r="AG695" s="487"/>
    </row>
    <row r="696" spans="33:33" x14ac:dyDescent="0.2">
      <c r="AG696" s="487"/>
    </row>
    <row r="697" spans="33:33" x14ac:dyDescent="0.2">
      <c r="AG697" s="487"/>
    </row>
    <row r="698" spans="33:33" x14ac:dyDescent="0.2">
      <c r="AG698" s="487"/>
    </row>
    <row r="699" spans="33:33" x14ac:dyDescent="0.2">
      <c r="AG699" s="487"/>
    </row>
    <row r="700" spans="33:33" x14ac:dyDescent="0.2">
      <c r="AG700" s="487"/>
    </row>
    <row r="701" spans="33:33" x14ac:dyDescent="0.2">
      <c r="AG701" s="487"/>
    </row>
    <row r="702" spans="33:33" x14ac:dyDescent="0.2">
      <c r="AG702" s="487"/>
    </row>
    <row r="703" spans="33:33" x14ac:dyDescent="0.2">
      <c r="AG703" s="487"/>
    </row>
    <row r="704" spans="33:33" x14ac:dyDescent="0.2">
      <c r="AG704" s="487"/>
    </row>
    <row r="705" spans="33:33" x14ac:dyDescent="0.2">
      <c r="AG705" s="487"/>
    </row>
    <row r="706" spans="33:33" x14ac:dyDescent="0.2">
      <c r="AG706" s="487"/>
    </row>
    <row r="707" spans="33:33" x14ac:dyDescent="0.2">
      <c r="AG707" s="487"/>
    </row>
    <row r="708" spans="33:33" x14ac:dyDescent="0.2">
      <c r="AG708" s="487"/>
    </row>
    <row r="709" spans="33:33" x14ac:dyDescent="0.2">
      <c r="AG709" s="487"/>
    </row>
    <row r="710" spans="33:33" x14ac:dyDescent="0.2">
      <c r="AG710" s="487"/>
    </row>
    <row r="711" spans="33:33" x14ac:dyDescent="0.2">
      <c r="AG711" s="487"/>
    </row>
    <row r="712" spans="33:33" x14ac:dyDescent="0.2">
      <c r="AG712" s="487"/>
    </row>
    <row r="713" spans="33:33" x14ac:dyDescent="0.2">
      <c r="AG713" s="487"/>
    </row>
    <row r="714" spans="33:33" x14ac:dyDescent="0.2">
      <c r="AG714" s="487"/>
    </row>
    <row r="715" spans="33:33" x14ac:dyDescent="0.2">
      <c r="AG715" s="487"/>
    </row>
    <row r="716" spans="33:33" x14ac:dyDescent="0.2">
      <c r="AG716" s="487"/>
    </row>
    <row r="717" spans="33:33" x14ac:dyDescent="0.2">
      <c r="AG717" s="487"/>
    </row>
    <row r="718" spans="33:33" x14ac:dyDescent="0.2">
      <c r="AG718" s="487"/>
    </row>
    <row r="719" spans="33:33" x14ac:dyDescent="0.2">
      <c r="AG719" s="487"/>
    </row>
    <row r="720" spans="33:33" x14ac:dyDescent="0.2">
      <c r="AG720" s="487"/>
    </row>
    <row r="721" spans="33:33" x14ac:dyDescent="0.2">
      <c r="AG721" s="487"/>
    </row>
    <row r="722" spans="33:33" x14ac:dyDescent="0.2">
      <c r="AG722" s="487"/>
    </row>
    <row r="723" spans="33:33" x14ac:dyDescent="0.2">
      <c r="AG723" s="487"/>
    </row>
    <row r="724" spans="33:33" x14ac:dyDescent="0.2">
      <c r="AG724" s="487"/>
    </row>
    <row r="725" spans="33:33" x14ac:dyDescent="0.2">
      <c r="AG725" s="487"/>
    </row>
    <row r="726" spans="33:33" x14ac:dyDescent="0.2">
      <c r="AG726" s="487"/>
    </row>
    <row r="727" spans="33:33" x14ac:dyDescent="0.2">
      <c r="AG727" s="487"/>
    </row>
    <row r="728" spans="33:33" x14ac:dyDescent="0.2">
      <c r="AG728" s="487"/>
    </row>
    <row r="729" spans="33:33" x14ac:dyDescent="0.2">
      <c r="AG729" s="487"/>
    </row>
    <row r="730" spans="33:33" x14ac:dyDescent="0.2">
      <c r="AG730" s="487"/>
    </row>
    <row r="731" spans="33:33" x14ac:dyDescent="0.2">
      <c r="AG731" s="487"/>
    </row>
    <row r="732" spans="33:33" x14ac:dyDescent="0.2">
      <c r="AG732" s="487"/>
    </row>
    <row r="733" spans="33:33" x14ac:dyDescent="0.2">
      <c r="AG733" s="487"/>
    </row>
    <row r="734" spans="33:33" x14ac:dyDescent="0.2">
      <c r="AG734" s="487"/>
    </row>
    <row r="735" spans="33:33" x14ac:dyDescent="0.2">
      <c r="AG735" s="487"/>
    </row>
    <row r="736" spans="33:33" x14ac:dyDescent="0.2">
      <c r="AG736" s="487"/>
    </row>
    <row r="737" spans="33:33" x14ac:dyDescent="0.2">
      <c r="AG737" s="487"/>
    </row>
    <row r="738" spans="33:33" x14ac:dyDescent="0.2">
      <c r="AG738" s="487"/>
    </row>
    <row r="739" spans="33:33" x14ac:dyDescent="0.2">
      <c r="AG739" s="487"/>
    </row>
    <row r="740" spans="33:33" x14ac:dyDescent="0.2">
      <c r="AG740" s="487"/>
    </row>
    <row r="741" spans="33:33" x14ac:dyDescent="0.2">
      <c r="AG741" s="487"/>
    </row>
    <row r="742" spans="33:33" x14ac:dyDescent="0.2">
      <c r="AG742" s="487"/>
    </row>
    <row r="743" spans="33:33" x14ac:dyDescent="0.2">
      <c r="AG743" s="487"/>
    </row>
    <row r="744" spans="33:33" x14ac:dyDescent="0.2">
      <c r="AG744" s="487"/>
    </row>
    <row r="745" spans="33:33" x14ac:dyDescent="0.2">
      <c r="AG745" s="487"/>
    </row>
    <row r="746" spans="33:33" x14ac:dyDescent="0.2">
      <c r="AG746" s="487"/>
    </row>
    <row r="747" spans="33:33" x14ac:dyDescent="0.2">
      <c r="AG747" s="487"/>
    </row>
    <row r="748" spans="33:33" x14ac:dyDescent="0.2">
      <c r="AG748" s="487"/>
    </row>
    <row r="749" spans="33:33" x14ac:dyDescent="0.2">
      <c r="AG749" s="487"/>
    </row>
    <row r="750" spans="33:33" x14ac:dyDescent="0.2">
      <c r="AG750" s="487"/>
    </row>
    <row r="751" spans="33:33" x14ac:dyDescent="0.2">
      <c r="AG751" s="487"/>
    </row>
    <row r="752" spans="33:33" x14ac:dyDescent="0.2">
      <c r="AG752" s="487"/>
    </row>
    <row r="753" spans="33:33" x14ac:dyDescent="0.2">
      <c r="AG753" s="487"/>
    </row>
    <row r="754" spans="33:33" x14ac:dyDescent="0.2">
      <c r="AG754" s="487"/>
    </row>
    <row r="755" spans="33:33" x14ac:dyDescent="0.2">
      <c r="AG755" s="487"/>
    </row>
    <row r="756" spans="33:33" x14ac:dyDescent="0.2">
      <c r="AG756" s="487"/>
    </row>
    <row r="757" spans="33:33" x14ac:dyDescent="0.2">
      <c r="AG757" s="487"/>
    </row>
    <row r="758" spans="33:33" x14ac:dyDescent="0.2">
      <c r="AG758" s="487"/>
    </row>
    <row r="759" spans="33:33" x14ac:dyDescent="0.2">
      <c r="AG759" s="487"/>
    </row>
    <row r="760" spans="33:33" x14ac:dyDescent="0.2">
      <c r="AG760" s="487"/>
    </row>
    <row r="761" spans="33:33" x14ac:dyDescent="0.2">
      <c r="AG761" s="487"/>
    </row>
    <row r="762" spans="33:33" x14ac:dyDescent="0.2">
      <c r="AG762" s="487"/>
    </row>
    <row r="763" spans="33:33" x14ac:dyDescent="0.2">
      <c r="AG763" s="487"/>
    </row>
    <row r="764" spans="33:33" x14ac:dyDescent="0.2">
      <c r="AG764" s="487"/>
    </row>
    <row r="765" spans="33:33" x14ac:dyDescent="0.2">
      <c r="AG765" s="487"/>
    </row>
    <row r="766" spans="33:33" x14ac:dyDescent="0.2">
      <c r="AG766" s="487"/>
    </row>
    <row r="767" spans="33:33" x14ac:dyDescent="0.2">
      <c r="AG767" s="487"/>
    </row>
    <row r="768" spans="33:33" x14ac:dyDescent="0.2">
      <c r="AG768" s="487"/>
    </row>
    <row r="769" spans="33:33" x14ac:dyDescent="0.2">
      <c r="AG769" s="487"/>
    </row>
    <row r="770" spans="33:33" x14ac:dyDescent="0.2">
      <c r="AG770" s="487"/>
    </row>
    <row r="771" spans="33:33" x14ac:dyDescent="0.2">
      <c r="AG771" s="487"/>
    </row>
    <row r="772" spans="33:33" x14ac:dyDescent="0.2">
      <c r="AG772" s="487"/>
    </row>
    <row r="773" spans="33:33" x14ac:dyDescent="0.2">
      <c r="AG773" s="487"/>
    </row>
    <row r="774" spans="33:33" x14ac:dyDescent="0.2">
      <c r="AG774" s="487"/>
    </row>
    <row r="775" spans="33:33" x14ac:dyDescent="0.2">
      <c r="AG775" s="487"/>
    </row>
    <row r="776" spans="33:33" x14ac:dyDescent="0.2">
      <c r="AG776" s="487"/>
    </row>
    <row r="777" spans="33:33" x14ac:dyDescent="0.2">
      <c r="AG777" s="487"/>
    </row>
    <row r="778" spans="33:33" x14ac:dyDescent="0.2">
      <c r="AG778" s="487"/>
    </row>
    <row r="779" spans="33:33" x14ac:dyDescent="0.2">
      <c r="AG779" s="487"/>
    </row>
    <row r="780" spans="33:33" x14ac:dyDescent="0.2">
      <c r="AG780" s="487"/>
    </row>
    <row r="781" spans="33:33" x14ac:dyDescent="0.2">
      <c r="AG781" s="487"/>
    </row>
    <row r="782" spans="33:33" x14ac:dyDescent="0.2">
      <c r="AG782" s="487"/>
    </row>
    <row r="783" spans="33:33" x14ac:dyDescent="0.2">
      <c r="AG783" s="487"/>
    </row>
    <row r="784" spans="33:33" x14ac:dyDescent="0.2">
      <c r="AG784" s="487"/>
    </row>
    <row r="785" spans="33:33" x14ac:dyDescent="0.2">
      <c r="AG785" s="487"/>
    </row>
    <row r="786" spans="33:33" x14ac:dyDescent="0.2">
      <c r="AG786" s="487"/>
    </row>
    <row r="787" spans="33:33" x14ac:dyDescent="0.2">
      <c r="AG787" s="487"/>
    </row>
    <row r="788" spans="33:33" x14ac:dyDescent="0.2">
      <c r="AG788" s="487"/>
    </row>
    <row r="789" spans="33:33" x14ac:dyDescent="0.2">
      <c r="AG789" s="487"/>
    </row>
    <row r="790" spans="33:33" x14ac:dyDescent="0.2">
      <c r="AG790" s="487"/>
    </row>
    <row r="791" spans="33:33" x14ac:dyDescent="0.2">
      <c r="AG791" s="487"/>
    </row>
    <row r="792" spans="33:33" x14ac:dyDescent="0.2">
      <c r="AG792" s="487"/>
    </row>
    <row r="793" spans="33:33" x14ac:dyDescent="0.2">
      <c r="AG793" s="487"/>
    </row>
    <row r="794" spans="33:33" x14ac:dyDescent="0.2">
      <c r="AG794" s="487"/>
    </row>
    <row r="795" spans="33:33" x14ac:dyDescent="0.2">
      <c r="AG795" s="487"/>
    </row>
    <row r="796" spans="33:33" x14ac:dyDescent="0.2">
      <c r="AG796" s="487"/>
    </row>
    <row r="797" spans="33:33" x14ac:dyDescent="0.2">
      <c r="AG797" s="487"/>
    </row>
    <row r="798" spans="33:33" x14ac:dyDescent="0.2">
      <c r="AG798" s="487"/>
    </row>
    <row r="799" spans="33:33" x14ac:dyDescent="0.2">
      <c r="AG799" s="487"/>
    </row>
    <row r="800" spans="33:33" x14ac:dyDescent="0.2">
      <c r="AG800" s="487"/>
    </row>
    <row r="801" spans="33:33" x14ac:dyDescent="0.2">
      <c r="AG801" s="487"/>
    </row>
    <row r="802" spans="33:33" x14ac:dyDescent="0.2">
      <c r="AG802" s="487"/>
    </row>
    <row r="803" spans="33:33" x14ac:dyDescent="0.2">
      <c r="AG803" s="487"/>
    </row>
    <row r="804" spans="33:33" x14ac:dyDescent="0.2">
      <c r="AG804" s="487"/>
    </row>
    <row r="805" spans="33:33" x14ac:dyDescent="0.2">
      <c r="AG805" s="487"/>
    </row>
    <row r="806" spans="33:33" x14ac:dyDescent="0.2">
      <c r="AG806" s="487"/>
    </row>
    <row r="807" spans="33:33" x14ac:dyDescent="0.2">
      <c r="AG807" s="487"/>
    </row>
    <row r="808" spans="33:33" x14ac:dyDescent="0.2">
      <c r="AG808" s="487"/>
    </row>
    <row r="809" spans="33:33" x14ac:dyDescent="0.2">
      <c r="AG809" s="487"/>
    </row>
    <row r="810" spans="33:33" x14ac:dyDescent="0.2">
      <c r="AG810" s="487"/>
    </row>
    <row r="811" spans="33:33" x14ac:dyDescent="0.2">
      <c r="AG811" s="487"/>
    </row>
    <row r="812" spans="33:33" x14ac:dyDescent="0.2">
      <c r="AG812" s="487"/>
    </row>
    <row r="813" spans="33:33" x14ac:dyDescent="0.2">
      <c r="AG813" s="487"/>
    </row>
    <row r="814" spans="33:33" x14ac:dyDescent="0.2">
      <c r="AG814" s="487"/>
    </row>
    <row r="815" spans="33:33" x14ac:dyDescent="0.2">
      <c r="AG815" s="487"/>
    </row>
    <row r="816" spans="33:33" x14ac:dyDescent="0.2">
      <c r="AG816" s="487"/>
    </row>
    <row r="817" spans="33:33" x14ac:dyDescent="0.2">
      <c r="AG817" s="487"/>
    </row>
    <row r="818" spans="33:33" x14ac:dyDescent="0.2">
      <c r="AG818" s="487"/>
    </row>
    <row r="819" spans="33:33" x14ac:dyDescent="0.2">
      <c r="AG819" s="487"/>
    </row>
    <row r="820" spans="33:33" x14ac:dyDescent="0.2">
      <c r="AG820" s="487"/>
    </row>
    <row r="821" spans="33:33" x14ac:dyDescent="0.2">
      <c r="AG821" s="487"/>
    </row>
    <row r="822" spans="33:33" x14ac:dyDescent="0.2">
      <c r="AG822" s="487"/>
    </row>
    <row r="823" spans="33:33" x14ac:dyDescent="0.2">
      <c r="AG823" s="487"/>
    </row>
    <row r="824" spans="33:33" x14ac:dyDescent="0.2">
      <c r="AG824" s="487"/>
    </row>
    <row r="825" spans="33:33" x14ac:dyDescent="0.2">
      <c r="AG825" s="487"/>
    </row>
    <row r="826" spans="33:33" x14ac:dyDescent="0.2">
      <c r="AG826" s="487"/>
    </row>
    <row r="827" spans="33:33" x14ac:dyDescent="0.2">
      <c r="AG827" s="487"/>
    </row>
    <row r="828" spans="33:33" x14ac:dyDescent="0.2">
      <c r="AG828" s="487"/>
    </row>
    <row r="829" spans="33:33" x14ac:dyDescent="0.2">
      <c r="AG829" s="487"/>
    </row>
    <row r="830" spans="33:33" x14ac:dyDescent="0.2">
      <c r="AG830" s="487"/>
    </row>
    <row r="831" spans="33:33" x14ac:dyDescent="0.2">
      <c r="AG831" s="487"/>
    </row>
    <row r="832" spans="33:33" x14ac:dyDescent="0.2">
      <c r="AG832" s="487"/>
    </row>
    <row r="833" spans="33:33" x14ac:dyDescent="0.2">
      <c r="AG833" s="487"/>
    </row>
    <row r="834" spans="33:33" x14ac:dyDescent="0.2">
      <c r="AG834" s="487"/>
    </row>
    <row r="835" spans="33:33" x14ac:dyDescent="0.2">
      <c r="AG835" s="487"/>
    </row>
    <row r="836" spans="33:33" x14ac:dyDescent="0.2">
      <c r="AG836" s="487"/>
    </row>
    <row r="837" spans="33:33" x14ac:dyDescent="0.2">
      <c r="AG837" s="487"/>
    </row>
    <row r="838" spans="33:33" x14ac:dyDescent="0.2">
      <c r="AG838" s="487"/>
    </row>
    <row r="839" spans="33:33" x14ac:dyDescent="0.2">
      <c r="AG839" s="487"/>
    </row>
    <row r="840" spans="33:33" x14ac:dyDescent="0.2">
      <c r="AG840" s="487"/>
    </row>
    <row r="841" spans="33:33" x14ac:dyDescent="0.2">
      <c r="AG841" s="487"/>
    </row>
    <row r="842" spans="33:33" x14ac:dyDescent="0.2">
      <c r="AG842" s="487"/>
    </row>
    <row r="843" spans="33:33" x14ac:dyDescent="0.2">
      <c r="AG843" s="487"/>
    </row>
    <row r="844" spans="33:33" x14ac:dyDescent="0.2">
      <c r="AG844" s="487"/>
    </row>
    <row r="845" spans="33:33" x14ac:dyDescent="0.2">
      <c r="AG845" s="487"/>
    </row>
    <row r="846" spans="33:33" x14ac:dyDescent="0.2">
      <c r="AG846" s="487"/>
    </row>
    <row r="847" spans="33:33" x14ac:dyDescent="0.2">
      <c r="AG847" s="487"/>
    </row>
    <row r="848" spans="33:33" x14ac:dyDescent="0.2">
      <c r="AG848" s="487"/>
    </row>
    <row r="849" spans="33:33" x14ac:dyDescent="0.2">
      <c r="AG849" s="487"/>
    </row>
    <row r="850" spans="33:33" x14ac:dyDescent="0.2">
      <c r="AG850" s="487"/>
    </row>
    <row r="851" spans="33:33" x14ac:dyDescent="0.2">
      <c r="AG851" s="487"/>
    </row>
    <row r="852" spans="33:33" x14ac:dyDescent="0.2">
      <c r="AG852" s="487"/>
    </row>
    <row r="853" spans="33:33" x14ac:dyDescent="0.2">
      <c r="AG853" s="487"/>
    </row>
    <row r="854" spans="33:33" x14ac:dyDescent="0.2">
      <c r="AG854" s="487"/>
    </row>
    <row r="855" spans="33:33" x14ac:dyDescent="0.2">
      <c r="AG855" s="487"/>
    </row>
    <row r="856" spans="33:33" x14ac:dyDescent="0.2">
      <c r="AG856" s="487"/>
    </row>
    <row r="857" spans="33:33" x14ac:dyDescent="0.2">
      <c r="AG857" s="487"/>
    </row>
    <row r="858" spans="33:33" x14ac:dyDescent="0.2">
      <c r="AG858" s="487"/>
    </row>
    <row r="859" spans="33:33" x14ac:dyDescent="0.2">
      <c r="AG859" s="487"/>
    </row>
    <row r="860" spans="33:33" x14ac:dyDescent="0.2">
      <c r="AG860" s="487"/>
    </row>
    <row r="861" spans="33:33" x14ac:dyDescent="0.2">
      <c r="AG861" s="487"/>
    </row>
    <row r="862" spans="33:33" x14ac:dyDescent="0.2">
      <c r="AG862" s="487"/>
    </row>
    <row r="863" spans="33:33" x14ac:dyDescent="0.2">
      <c r="AG863" s="487"/>
    </row>
    <row r="864" spans="33:33" x14ac:dyDescent="0.2">
      <c r="AG864" s="487"/>
    </row>
    <row r="865" spans="33:33" x14ac:dyDescent="0.2">
      <c r="AG865" s="487"/>
    </row>
    <row r="866" spans="33:33" x14ac:dyDescent="0.2">
      <c r="AG866" s="487"/>
    </row>
    <row r="867" spans="33:33" x14ac:dyDescent="0.2">
      <c r="AG867" s="487"/>
    </row>
    <row r="868" spans="33:33" x14ac:dyDescent="0.2">
      <c r="AG868" s="487"/>
    </row>
    <row r="869" spans="33:33" x14ac:dyDescent="0.2">
      <c r="AG869" s="487"/>
    </row>
    <row r="870" spans="33:33" x14ac:dyDescent="0.2">
      <c r="AG870" s="487"/>
    </row>
    <row r="871" spans="33:33" x14ac:dyDescent="0.2">
      <c r="AG871" s="487"/>
    </row>
    <row r="872" spans="33:33" x14ac:dyDescent="0.2">
      <c r="AG872" s="487"/>
    </row>
    <row r="873" spans="33:33" x14ac:dyDescent="0.2">
      <c r="AG873" s="487"/>
    </row>
    <row r="874" spans="33:33" x14ac:dyDescent="0.2">
      <c r="AG874" s="487"/>
    </row>
    <row r="875" spans="33:33" x14ac:dyDescent="0.2">
      <c r="AG875" s="487"/>
    </row>
    <row r="876" spans="33:33" x14ac:dyDescent="0.2">
      <c r="AG876" s="487"/>
    </row>
    <row r="877" spans="33:33" x14ac:dyDescent="0.2">
      <c r="AG877" s="487"/>
    </row>
    <row r="878" spans="33:33" x14ac:dyDescent="0.2">
      <c r="AG878" s="487"/>
    </row>
    <row r="879" spans="33:33" x14ac:dyDescent="0.2">
      <c r="AG879" s="487"/>
    </row>
    <row r="880" spans="33:33" x14ac:dyDescent="0.2">
      <c r="AG880" s="487"/>
    </row>
    <row r="881" spans="33:33" x14ac:dyDescent="0.2">
      <c r="AG881" s="487"/>
    </row>
    <row r="882" spans="33:33" x14ac:dyDescent="0.2">
      <c r="AG882" s="487"/>
    </row>
    <row r="883" spans="33:33" x14ac:dyDescent="0.2">
      <c r="AG883" s="487"/>
    </row>
    <row r="884" spans="33:33" x14ac:dyDescent="0.2">
      <c r="AG884" s="487"/>
    </row>
    <row r="885" spans="33:33" x14ac:dyDescent="0.2">
      <c r="AG885" s="487"/>
    </row>
    <row r="886" spans="33:33" x14ac:dyDescent="0.2">
      <c r="AG886" s="487"/>
    </row>
    <row r="887" spans="33:33" x14ac:dyDescent="0.2">
      <c r="AG887" s="487"/>
    </row>
    <row r="888" spans="33:33" x14ac:dyDescent="0.2">
      <c r="AG888" s="487"/>
    </row>
    <row r="889" spans="33:33" x14ac:dyDescent="0.2">
      <c r="AG889" s="487"/>
    </row>
    <row r="890" spans="33:33" x14ac:dyDescent="0.2">
      <c r="AG890" s="487"/>
    </row>
    <row r="891" spans="33:33" x14ac:dyDescent="0.2">
      <c r="AG891" s="487"/>
    </row>
    <row r="892" spans="33:33" x14ac:dyDescent="0.2">
      <c r="AG892" s="487"/>
    </row>
    <row r="893" spans="33:33" x14ac:dyDescent="0.2">
      <c r="AG893" s="487"/>
    </row>
    <row r="894" spans="33:33" x14ac:dyDescent="0.2">
      <c r="AG894" s="487"/>
    </row>
    <row r="895" spans="33:33" x14ac:dyDescent="0.2">
      <c r="AG895" s="487"/>
    </row>
    <row r="896" spans="33:33" x14ac:dyDescent="0.2">
      <c r="AG896" s="487"/>
    </row>
    <row r="897" spans="33:33" x14ac:dyDescent="0.2">
      <c r="AG897" s="487"/>
    </row>
    <row r="898" spans="33:33" x14ac:dyDescent="0.2">
      <c r="AG898" s="487"/>
    </row>
    <row r="899" spans="33:33" x14ac:dyDescent="0.2">
      <c r="AG899" s="487"/>
    </row>
    <row r="900" spans="33:33" x14ac:dyDescent="0.2">
      <c r="AG900" s="487"/>
    </row>
    <row r="901" spans="33:33" x14ac:dyDescent="0.2">
      <c r="AG901" s="487"/>
    </row>
    <row r="902" spans="33:33" x14ac:dyDescent="0.2">
      <c r="AG902" s="487"/>
    </row>
    <row r="903" spans="33:33" x14ac:dyDescent="0.2">
      <c r="AG903" s="487"/>
    </row>
    <row r="904" spans="33:33" x14ac:dyDescent="0.2">
      <c r="AG904" s="487"/>
    </row>
    <row r="905" spans="33:33" x14ac:dyDescent="0.2">
      <c r="AG905" s="487"/>
    </row>
    <row r="906" spans="33:33" x14ac:dyDescent="0.2">
      <c r="AG906" s="487"/>
    </row>
    <row r="907" spans="33:33" x14ac:dyDescent="0.2">
      <c r="AG907" s="487"/>
    </row>
    <row r="908" spans="33:33" x14ac:dyDescent="0.2">
      <c r="AG908" s="487"/>
    </row>
    <row r="909" spans="33:33" x14ac:dyDescent="0.2">
      <c r="AG909" s="487"/>
    </row>
    <row r="910" spans="33:33" x14ac:dyDescent="0.2">
      <c r="AG910" s="487"/>
    </row>
    <row r="911" spans="33:33" x14ac:dyDescent="0.2">
      <c r="AG911" s="487"/>
    </row>
    <row r="912" spans="33:33" x14ac:dyDescent="0.2">
      <c r="AG912" s="487"/>
    </row>
    <row r="913" spans="33:33" x14ac:dyDescent="0.2">
      <c r="AG913" s="487"/>
    </row>
    <row r="914" spans="33:33" x14ac:dyDescent="0.2">
      <c r="AG914" s="487"/>
    </row>
    <row r="915" spans="33:33" x14ac:dyDescent="0.2">
      <c r="AG915" s="487"/>
    </row>
    <row r="916" spans="33:33" x14ac:dyDescent="0.2">
      <c r="AG916" s="487"/>
    </row>
    <row r="917" spans="33:33" x14ac:dyDescent="0.2">
      <c r="AG917" s="487"/>
    </row>
    <row r="918" spans="33:33" x14ac:dyDescent="0.2">
      <c r="AG918" s="487"/>
    </row>
    <row r="919" spans="33:33" x14ac:dyDescent="0.2">
      <c r="AG919" s="487"/>
    </row>
    <row r="920" spans="33:33" x14ac:dyDescent="0.2">
      <c r="AG920" s="487"/>
    </row>
    <row r="921" spans="33:33" x14ac:dyDescent="0.2">
      <c r="AG921" s="487"/>
    </row>
    <row r="922" spans="33:33" x14ac:dyDescent="0.2">
      <c r="AG922" s="487"/>
    </row>
    <row r="923" spans="33:33" x14ac:dyDescent="0.2">
      <c r="AG923" s="487"/>
    </row>
    <row r="924" spans="33:33" x14ac:dyDescent="0.2">
      <c r="AG924" s="487"/>
    </row>
    <row r="925" spans="33:33" x14ac:dyDescent="0.2">
      <c r="AG925" s="487"/>
    </row>
    <row r="926" spans="33:33" x14ac:dyDescent="0.2">
      <c r="AG926" s="487"/>
    </row>
    <row r="927" spans="33:33" x14ac:dyDescent="0.2">
      <c r="AG927" s="487"/>
    </row>
  </sheetData>
  <sheetProtection algorithmName="SHA-512" hashValue="Yn3BuQ6uM9Mhqny1rHJumDBGSVTVpKM8EXQtnseUp1QjpjQyEB5RhnZ+qQvsc9ZQveB/O2KTpq/3ZTWE1TcSyA==" saltValue="dBBMCyAmi/zMK8jHiD5j5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230</v>
      </c>
      <c r="D11" s="81" t="e">
        <f>Main!D6</f>
        <v>#N/A</v>
      </c>
    </row>
    <row r="14" spans="3:8" ht="15.75" x14ac:dyDescent="0.25">
      <c r="C14" s="83" t="s">
        <v>121</v>
      </c>
      <c r="E14" s="81"/>
      <c r="F14" s="82" t="s">
        <v>122</v>
      </c>
      <c r="G14" s="81"/>
      <c r="H14" s="81"/>
    </row>
    <row r="15" spans="3:8" ht="15.75" customHeight="1" x14ac:dyDescent="0.2">
      <c r="C15" s="132"/>
      <c r="D15" s="76"/>
      <c r="E15" s="574" t="s">
        <v>371</v>
      </c>
      <c r="F15" s="574"/>
      <c r="G15" s="574"/>
      <c r="H15" s="574"/>
    </row>
    <row r="16" spans="3:8" ht="15" x14ac:dyDescent="0.2">
      <c r="C16" s="132"/>
      <c r="D16" s="75"/>
      <c r="E16" s="299" t="s">
        <v>124</v>
      </c>
      <c r="F16" s="299"/>
      <c r="G16" s="299"/>
      <c r="H16" s="299"/>
    </row>
    <row r="17" spans="3:8" ht="15" x14ac:dyDescent="0.2">
      <c r="C17" s="132"/>
      <c r="D17" s="75"/>
      <c r="E17" s="573" t="s">
        <v>125</v>
      </c>
      <c r="F17" s="573"/>
      <c r="G17" s="573"/>
      <c r="H17" s="573"/>
    </row>
    <row r="18" spans="3:8" ht="15" x14ac:dyDescent="0.2">
      <c r="C18" s="132"/>
      <c r="D18" s="75"/>
      <c r="E18" s="573" t="s">
        <v>6</v>
      </c>
      <c r="F18" s="573"/>
      <c r="G18" s="573"/>
      <c r="H18" s="573"/>
    </row>
    <row r="19" spans="3:8" ht="15" x14ac:dyDescent="0.2">
      <c r="C19" s="132"/>
      <c r="D19" s="75"/>
      <c r="E19" s="573" t="s">
        <v>130</v>
      </c>
      <c r="F19" s="573"/>
      <c r="G19" s="573"/>
      <c r="H19" s="573"/>
    </row>
    <row r="20" spans="3:8" ht="15" x14ac:dyDescent="0.2">
      <c r="C20" s="132"/>
      <c r="D20" s="75"/>
      <c r="E20" s="573" t="s">
        <v>127</v>
      </c>
      <c r="F20" s="573"/>
      <c r="G20" s="573"/>
      <c r="H20" s="573"/>
    </row>
    <row r="21" spans="3:8" ht="15" x14ac:dyDescent="0.2">
      <c r="C21" s="132"/>
      <c r="D21" s="75"/>
      <c r="E21" s="573" t="s">
        <v>128</v>
      </c>
      <c r="F21" s="573"/>
      <c r="G21" s="573"/>
      <c r="H21" s="573"/>
    </row>
    <row r="22" spans="3:8" ht="15" x14ac:dyDescent="0.2">
      <c r="C22" s="132"/>
      <c r="D22" s="75"/>
      <c r="E22" s="573" t="s">
        <v>106</v>
      </c>
      <c r="F22" s="573"/>
      <c r="G22" s="573"/>
      <c r="H22" s="573"/>
    </row>
    <row r="23" spans="3:8" ht="15" x14ac:dyDescent="0.2">
      <c r="C23" s="132"/>
      <c r="D23" s="75"/>
      <c r="E23" s="573" t="s">
        <v>129</v>
      </c>
      <c r="F23" s="573"/>
      <c r="G23" s="573"/>
      <c r="H23" s="573"/>
    </row>
    <row r="24" spans="3:8" ht="15" x14ac:dyDescent="0.2">
      <c r="C24" s="84"/>
      <c r="D24" s="75"/>
      <c r="E24" s="573" t="s">
        <v>148</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59" t="s">
        <v>372</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fc+MICwvaLh18EuLJ/TGbh6tRdCBpASfUKfO/G3512jOPhVcDZSLpVxNSPw2i02RDm6iirGAvieC3WOMT9TMQA==" saltValue="U+lBsE/fMjwC49+6QMz4p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A75" sqref="A7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0"/>
      <c r="D1" s="593" t="s">
        <v>116</v>
      </c>
      <c r="E1" s="593"/>
      <c r="F1" s="593"/>
      <c r="G1" s="593"/>
      <c r="H1" s="593"/>
      <c r="I1" s="593"/>
      <c r="J1" s="593"/>
      <c r="K1" s="593"/>
      <c r="L1" s="593"/>
      <c r="M1" s="593"/>
    </row>
    <row r="2" spans="1:18" ht="23.25" customHeight="1" x14ac:dyDescent="0.3">
      <c r="C2" s="241"/>
      <c r="D2" s="241" t="s">
        <v>320</v>
      </c>
      <c r="E2" s="241"/>
      <c r="F2" s="241"/>
      <c r="G2" s="241"/>
      <c r="H2" s="241"/>
      <c r="I2" s="241"/>
      <c r="J2" s="241"/>
      <c r="K2" s="241"/>
      <c r="L2" s="241"/>
      <c r="M2" s="241"/>
    </row>
    <row r="3" spans="1:18" ht="23.25" x14ac:dyDescent="0.35">
      <c r="C3" s="594"/>
      <c r="D3" s="594"/>
      <c r="E3" s="594"/>
      <c r="F3" s="594"/>
      <c r="G3" s="594"/>
      <c r="H3" s="594"/>
      <c r="I3" s="594"/>
      <c r="J3" s="594"/>
      <c r="K3" s="594"/>
      <c r="L3" s="594"/>
      <c r="M3" s="594"/>
    </row>
    <row r="4" spans="1:18" ht="23.25" x14ac:dyDescent="0.35">
      <c r="C4" s="225"/>
      <c r="D4" s="225"/>
      <c r="E4" s="225"/>
      <c r="F4" s="225"/>
      <c r="G4" s="225"/>
      <c r="H4" s="225"/>
      <c r="I4" s="225"/>
      <c r="J4" s="225"/>
      <c r="K4" s="225"/>
      <c r="L4" s="225"/>
      <c r="M4" s="225"/>
    </row>
    <row r="5" spans="1:18" ht="23.25" x14ac:dyDescent="0.35">
      <c r="C5" s="611" t="s">
        <v>6</v>
      </c>
      <c r="D5" s="611"/>
      <c r="E5" s="611"/>
      <c r="F5" s="611"/>
      <c r="G5" s="611"/>
      <c r="H5" s="611"/>
      <c r="I5" s="611"/>
      <c r="J5" s="611"/>
      <c r="K5" s="611"/>
      <c r="L5" s="611"/>
      <c r="M5" s="611"/>
    </row>
    <row r="6" spans="1:18" ht="23.25" x14ac:dyDescent="0.35">
      <c r="C6" s="226"/>
      <c r="D6" s="226"/>
      <c r="E6" s="577" t="str">
        <f>IFERROR(CONCATENATE("Report Number: ", WorkItemNumber),"")</f>
        <v/>
      </c>
      <c r="F6" s="577"/>
      <c r="G6" s="577"/>
      <c r="H6" s="577"/>
      <c r="I6" s="577"/>
      <c r="J6" s="577"/>
      <c r="K6" s="577"/>
      <c r="L6" s="226"/>
      <c r="M6" s="226"/>
    </row>
    <row r="7" spans="1:18" ht="18.75" customHeight="1" x14ac:dyDescent="0.3">
      <c r="G7" s="589"/>
      <c r="H7" s="589"/>
      <c r="I7" s="200"/>
      <c r="R7" t="str">
        <f>CONCATENATE("Page ",Main!L9," of ",Main!L10)</f>
        <v xml:space="preserve">Page  of </v>
      </c>
    </row>
    <row r="8" spans="1:18" ht="18" customHeight="1" x14ac:dyDescent="0.25">
      <c r="G8" s="606"/>
      <c r="H8" s="606"/>
      <c r="J8" s="81"/>
      <c r="K8" s="227" t="s">
        <v>317</v>
      </c>
      <c r="L8" s="590">
        <f>FormNumber</f>
        <v>0</v>
      </c>
      <c r="M8" s="590"/>
      <c r="N8" s="590"/>
      <c r="O8" s="590"/>
    </row>
    <row r="9" spans="1:18" ht="18" customHeight="1" x14ac:dyDescent="0.25">
      <c r="A9" s="227" t="s">
        <v>274</v>
      </c>
      <c r="B9" s="34" t="e">
        <f>Main!D5</f>
        <v>#N/A</v>
      </c>
      <c r="J9" s="81"/>
      <c r="K9" s="227" t="s">
        <v>318</v>
      </c>
      <c r="L9" s="591" t="str">
        <f>"JGI WP4100, "&amp;CalMethod</f>
        <v xml:space="preserve">JGI WP4100, </v>
      </c>
      <c r="M9" s="591"/>
      <c r="N9" s="591"/>
      <c r="O9" s="591"/>
    </row>
    <row r="10" spans="1:18" ht="18" customHeight="1" x14ac:dyDescent="0.25">
      <c r="A10" s="89"/>
      <c r="B10" s="222" t="str" cm="1">
        <f t="array" ref="B10">IFZERO('Customer Table'!R2,"")</f>
        <v/>
      </c>
      <c r="J10" s="81"/>
      <c r="K10" s="227"/>
      <c r="L10" s="591"/>
      <c r="M10" s="591"/>
      <c r="N10" s="591"/>
      <c r="O10" s="591"/>
    </row>
    <row r="11" spans="1:18" ht="18" customHeight="1" x14ac:dyDescent="0.25">
      <c r="A11" s="89"/>
      <c r="B11" s="222" t="str" cm="1">
        <f t="array" ref="B11">IFZERO('Customer Table'!S2,"")</f>
        <v/>
      </c>
      <c r="J11" s="81"/>
      <c r="K11" s="227" t="s">
        <v>319</v>
      </c>
      <c r="L11" s="590">
        <f>TolSource</f>
        <v>0</v>
      </c>
      <c r="M11" s="590"/>
      <c r="N11" s="590"/>
      <c r="O11" s="590"/>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275</v>
      </c>
      <c r="B14" s="229">
        <f>Item</f>
        <v>0</v>
      </c>
      <c r="C14" s="230"/>
      <c r="D14" s="230"/>
      <c r="E14" s="230"/>
      <c r="F14" s="204"/>
      <c r="G14" s="218" t="s">
        <v>280</v>
      </c>
      <c r="H14" s="229">
        <f>Ranges</f>
        <v>0</v>
      </c>
      <c r="I14" s="204"/>
      <c r="J14" s="204"/>
      <c r="K14" s="204"/>
      <c r="L14" s="204"/>
      <c r="M14" s="218" t="s">
        <v>285</v>
      </c>
      <c r="N14" s="229" t="str">
        <f>Main!D7</f>
        <v>Jeff Hall</v>
      </c>
      <c r="O14" s="205"/>
    </row>
    <row r="15" spans="1:18" ht="18" customHeight="1" x14ac:dyDescent="0.25">
      <c r="A15" s="233" t="s">
        <v>276</v>
      </c>
      <c r="B15" s="231">
        <f>ModelNumber</f>
        <v>0</v>
      </c>
      <c r="C15" s="222"/>
      <c r="D15" s="222"/>
      <c r="E15" s="222"/>
      <c r="G15" s="227" t="s">
        <v>281</v>
      </c>
      <c r="H15" s="231">
        <f>Tolerances</f>
        <v>0</v>
      </c>
      <c r="M15" s="227" t="s">
        <v>286</v>
      </c>
      <c r="N15" s="235">
        <f>Main!D3</f>
        <v>0</v>
      </c>
      <c r="O15" s="206"/>
    </row>
    <row r="16" spans="1:18" ht="18" customHeight="1" x14ac:dyDescent="0.25">
      <c r="A16" s="233" t="s">
        <v>277</v>
      </c>
      <c r="B16" s="608">
        <f>SerialNumber</f>
        <v>0</v>
      </c>
      <c r="C16" s="608"/>
      <c r="D16" s="608"/>
      <c r="E16" s="608"/>
      <c r="G16" s="227" t="s">
        <v>282</v>
      </c>
      <c r="H16" s="231">
        <f>HeatingMethod</f>
        <v>0</v>
      </c>
      <c r="M16" s="227" t="s">
        <v>287</v>
      </c>
      <c r="N16" s="235" t="e">
        <f>IF(CalInterval="N/A", "N/A", EDATE(N15, CHOOSE(MATCH(CalInterval, {"M","2 Mo","Q","4 Mo","6 Mo","A","2Yr","3Yr"}, 0), 1, 2, 3, 4, 6, 12, 24, 36)))</f>
        <v>#N/A</v>
      </c>
      <c r="O16" s="206"/>
    </row>
    <row r="17" spans="1:19" ht="18" customHeight="1" x14ac:dyDescent="0.25">
      <c r="A17" s="233" t="s">
        <v>278</v>
      </c>
      <c r="B17" s="256">
        <f>UnitNumber</f>
        <v>0</v>
      </c>
      <c r="C17" s="222"/>
      <c r="D17" s="222"/>
      <c r="E17" s="222"/>
      <c r="G17" s="227" t="s">
        <v>283</v>
      </c>
      <c r="H17" s="231">
        <f>WorkingZoneSize</f>
        <v>0</v>
      </c>
      <c r="M17" s="227" t="str">
        <f>IF(Main!K13="","","PO:")</f>
        <v/>
      </c>
      <c r="N17" s="231" t="str">
        <f>IF(Main!K13="","",Main!K13)</f>
        <v/>
      </c>
      <c r="O17" s="206"/>
    </row>
    <row r="18" spans="1:19" ht="18" customHeight="1" x14ac:dyDescent="0.25">
      <c r="A18" s="233" t="s">
        <v>279</v>
      </c>
      <c r="B18" s="597">
        <f>Class</f>
        <v>0</v>
      </c>
      <c r="C18" s="597"/>
      <c r="D18" s="597"/>
      <c r="E18" s="597"/>
      <c r="G18" s="227" t="s">
        <v>284</v>
      </c>
      <c r="H18" s="231">
        <f>CubicFeet</f>
        <v>0</v>
      </c>
      <c r="M18" s="227" t="s">
        <v>288</v>
      </c>
      <c r="N18" s="231" t="str">
        <f>Main!G18</f>
        <v>ACCEPTED</v>
      </c>
      <c r="O18" s="206"/>
    </row>
    <row r="19" spans="1:19" ht="18" customHeight="1" x14ac:dyDescent="0.25">
      <c r="A19" s="217"/>
      <c r="B19" s="598"/>
      <c r="C19" s="598"/>
      <c r="D19" s="598"/>
      <c r="E19" s="598"/>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289</v>
      </c>
      <c r="B21" s="609">
        <f>Controller</f>
        <v>0</v>
      </c>
      <c r="C21" s="609"/>
      <c r="D21" s="609"/>
      <c r="E21" s="609"/>
      <c r="F21" s="218" t="s">
        <v>291</v>
      </c>
      <c r="G21" s="609">
        <f>ContSN</f>
        <v>0</v>
      </c>
      <c r="H21" s="609"/>
      <c r="I21" s="609"/>
      <c r="J21" s="218" t="s">
        <v>292</v>
      </c>
      <c r="K21" s="230">
        <f>ContTol</f>
        <v>0</v>
      </c>
      <c r="L21" s="204"/>
      <c r="M21" s="218" t="s">
        <v>293</v>
      </c>
      <c r="N21" s="243" t="str">
        <f>Main!G27</f>
        <v/>
      </c>
      <c r="O21" s="205"/>
    </row>
    <row r="22" spans="1:19" ht="18" customHeight="1" x14ac:dyDescent="0.25">
      <c r="A22" s="236" t="s">
        <v>290</v>
      </c>
      <c r="B22" s="610">
        <f>_xlnm.Recorder</f>
        <v>0</v>
      </c>
      <c r="C22" s="610"/>
      <c r="D22" s="610"/>
      <c r="E22" s="610"/>
      <c r="F22" s="219" t="s">
        <v>291</v>
      </c>
      <c r="G22" s="610">
        <f>RecSN</f>
        <v>0</v>
      </c>
      <c r="H22" s="610"/>
      <c r="I22" s="610"/>
      <c r="J22" s="219" t="s">
        <v>292</v>
      </c>
      <c r="K22" s="242">
        <f>RecTol</f>
        <v>0</v>
      </c>
      <c r="L22" s="207"/>
      <c r="M22" s="219" t="s">
        <v>293</v>
      </c>
      <c r="N22" s="244" t="str">
        <f>Main!G28</f>
        <v/>
      </c>
      <c r="O22" s="208"/>
    </row>
    <row r="23" spans="1:19" ht="8.1" customHeight="1" x14ac:dyDescent="0.25">
      <c r="A23" s="81"/>
      <c r="B23" s="222"/>
      <c r="C23" s="222"/>
      <c r="D23" s="222"/>
      <c r="E23" s="211"/>
    </row>
    <row r="24" spans="1:19" ht="18" customHeight="1" x14ac:dyDescent="0.25">
      <c r="A24" s="232" t="s">
        <v>294</v>
      </c>
      <c r="B24" s="238">
        <f>NominalTemp</f>
        <v>0</v>
      </c>
      <c r="C24" s="230"/>
      <c r="D24" s="230"/>
      <c r="E24" s="212"/>
      <c r="F24" s="204"/>
      <c r="G24" s="218" t="s">
        <v>297</v>
      </c>
      <c r="H24" s="220">
        <f>Main!D26</f>
        <v>0</v>
      </c>
      <c r="I24" s="204"/>
      <c r="J24" s="204"/>
      <c r="K24" s="204"/>
      <c r="L24" s="216"/>
      <c r="M24" s="218" t="s">
        <v>300</v>
      </c>
      <c r="N24" s="230" t="str">
        <f>TEXT(Survey!N2,"0.0") &amp; Unit &amp; " / " &amp; TEXT(Survey!N3,"0.0") &amp; Unit</f>
        <v>0.0°F / 0.0°F</v>
      </c>
      <c r="O24" s="205"/>
    </row>
    <row r="25" spans="1:19" ht="18" customHeight="1" x14ac:dyDescent="0.25">
      <c r="A25" s="233" t="s">
        <v>295</v>
      </c>
      <c r="B25" s="239">
        <f>Main!D15</f>
        <v>0</v>
      </c>
      <c r="C25" s="222"/>
      <c r="D25" s="222"/>
      <c r="E25" s="211"/>
      <c r="G25" s="227" t="s">
        <v>298</v>
      </c>
      <c r="H25" s="221" t="str">
        <f>Main!E29</f>
        <v/>
      </c>
      <c r="L25" s="81"/>
      <c r="M25" s="227" t="s">
        <v>301</v>
      </c>
      <c r="N25" s="222" t="str">
        <f>IF(Main!H15=TRUE,Main!G17,"VERIFY LOAD!!!")</f>
        <v/>
      </c>
      <c r="O25" s="206"/>
      <c r="R25" s="139"/>
      <c r="S25" s="75"/>
    </row>
    <row r="26" spans="1:19" ht="18" customHeight="1" x14ac:dyDescent="0.25">
      <c r="A26" s="233" t="s">
        <v>296</v>
      </c>
      <c r="B26" s="222" t="s">
        <v>266</v>
      </c>
      <c r="C26" s="222"/>
      <c r="D26" s="222"/>
      <c r="E26" s="211"/>
      <c r="G26" s="227" t="s">
        <v>299</v>
      </c>
      <c r="H26" s="222" t="str">
        <f>Main!I19</f>
        <v>N/A</v>
      </c>
      <c r="L26" s="81"/>
      <c r="M26" s="227" t="str">
        <f>"Uncertainty @ k="&amp;IFERROR(ROUND(k,1),2)&amp;":"</f>
        <v>Uncertainty @ k=2:</v>
      </c>
      <c r="N26" s="222" t="e">
        <f>TEXT(Survey!J9,"0.0") &amp; Unit</f>
        <v>#NUM!</v>
      </c>
      <c r="O26" s="206"/>
    </row>
    <row r="27" spans="1:19" ht="18" customHeight="1" x14ac:dyDescent="0.2">
      <c r="A27" s="237"/>
      <c r="B27" s="207"/>
      <c r="C27" s="607" t="s">
        <v>302</v>
      </c>
      <c r="D27" s="607"/>
      <c r="E27" s="607"/>
      <c r="F27" s="607"/>
      <c r="G27" s="607"/>
      <c r="H27" s="607"/>
      <c r="I27" s="607"/>
      <c r="J27" s="607"/>
      <c r="K27" s="607"/>
      <c r="L27" s="607"/>
      <c r="M27" s="607"/>
      <c r="N27" s="207"/>
      <c r="O27" s="208"/>
    </row>
    <row r="28" spans="1:19" ht="8.1" customHeight="1" x14ac:dyDescent="0.2"/>
    <row r="29" spans="1:19" ht="18" customHeight="1" x14ac:dyDescent="0.2">
      <c r="A29" s="603" t="s">
        <v>272</v>
      </c>
      <c r="B29" s="604"/>
      <c r="C29" s="605"/>
      <c r="D29" s="603" t="s">
        <v>303</v>
      </c>
      <c r="E29" s="604"/>
      <c r="F29" s="604"/>
      <c r="G29" s="605"/>
      <c r="H29" s="603" t="s">
        <v>273</v>
      </c>
      <c r="I29" s="604"/>
      <c r="J29" s="604"/>
      <c r="K29" s="605"/>
      <c r="L29" s="603" t="s">
        <v>256</v>
      </c>
      <c r="M29" s="604"/>
      <c r="N29" s="604"/>
      <c r="O29" s="605"/>
    </row>
    <row r="30" spans="1:19" ht="18" customHeight="1" x14ac:dyDescent="0.2">
      <c r="A30" s="223"/>
      <c r="B30" s="213" t="s">
        <v>963</v>
      </c>
      <c r="C30" s="224"/>
      <c r="D30" s="600" t="str">
        <f>CONCATENATE(Main!D22,Unit," / ",Main!D23,"% RH")</f>
        <v>°F / % RH</v>
      </c>
      <c r="E30" s="601"/>
      <c r="F30" s="601"/>
      <c r="G30" s="602"/>
      <c r="H30" s="600">
        <f>OvenLocation</f>
        <v>0</v>
      </c>
      <c r="I30" s="601"/>
      <c r="J30" s="601"/>
      <c r="K30" s="602"/>
      <c r="L30" s="600">
        <f>Condition</f>
        <v>0</v>
      </c>
      <c r="M30" s="601"/>
      <c r="N30" s="601"/>
      <c r="O30" s="602"/>
    </row>
    <row r="31" spans="1:19" ht="18" customHeight="1" x14ac:dyDescent="0.2"/>
    <row r="32" spans="1:19" ht="18" customHeight="1" x14ac:dyDescent="0.25">
      <c r="A32" s="246" t="s">
        <v>304</v>
      </c>
      <c r="B32" s="592" t="s">
        <v>305</v>
      </c>
      <c r="C32" s="592"/>
      <c r="D32" s="246" t="s">
        <v>268</v>
      </c>
      <c r="E32" s="246" t="s">
        <v>267</v>
      </c>
      <c r="F32" s="246" t="s">
        <v>306</v>
      </c>
      <c r="G32" s="81"/>
      <c r="H32" s="81"/>
      <c r="I32" s="246" t="s">
        <v>304</v>
      </c>
      <c r="J32" s="592" t="s">
        <v>305</v>
      </c>
      <c r="K32" s="592"/>
      <c r="L32" s="246" t="s">
        <v>268</v>
      </c>
      <c r="M32" s="246" t="s">
        <v>267</v>
      </c>
      <c r="N32" s="246" t="s">
        <v>306</v>
      </c>
    </row>
    <row r="33" spans="1:14" ht="18" customHeight="1" x14ac:dyDescent="0.2">
      <c r="A33" s="247" t="str">
        <f>IF(B33="","",1)</f>
        <v/>
      </c>
      <c r="B33" s="589" t="str">
        <f>IF(Main!O5="","",Main!O5)</f>
        <v/>
      </c>
      <c r="C33" s="589"/>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89" t="str">
        <f>IF(Main!O25="","",Main!O25)</f>
        <v/>
      </c>
      <c r="K33" s="589"/>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89" t="str">
        <f>IF(Main!O6="","",Main!O6)</f>
        <v/>
      </c>
      <c r="C34" s="589"/>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89" t="str">
        <f>IF(Main!O26="","",Main!O26)</f>
        <v/>
      </c>
      <c r="K34" s="589"/>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89" t="str">
        <f>IF(Main!O7="","",Main!O7)</f>
        <v/>
      </c>
      <c r="C35" s="589"/>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89" t="str">
        <f>IF(Main!O27="","",Main!O27)</f>
        <v/>
      </c>
      <c r="K35" s="589"/>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89" t="str">
        <f>IF(Main!O8="","",Main!O8)</f>
        <v/>
      </c>
      <c r="C36" s="589"/>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89" t="str">
        <f>IF(Main!O28="","",Main!O28)</f>
        <v/>
      </c>
      <c r="K36" s="589"/>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89" t="str">
        <f>IF(Main!O9="","",Main!O9)</f>
        <v/>
      </c>
      <c r="C37" s="589"/>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89" t="str">
        <f>IF(Main!O29="","",Main!O29)</f>
        <v/>
      </c>
      <c r="K37" s="589"/>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89" t="str">
        <f>IF(Main!O10="","",Main!O10)</f>
        <v/>
      </c>
      <c r="C38" s="589"/>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89" t="str">
        <f>IF(Main!O30="","",Main!O30)</f>
        <v/>
      </c>
      <c r="K38" s="589"/>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89" t="str">
        <f>IF(Main!O11="","",Main!O11)</f>
        <v/>
      </c>
      <c r="C39" s="589"/>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89" t="str">
        <f>IF(Main!O31="","",Main!O31)</f>
        <v/>
      </c>
      <c r="K39" s="589"/>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89" t="str">
        <f>IF(Main!O12="","",Main!O12)</f>
        <v/>
      </c>
      <c r="C40" s="589"/>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89" t="str">
        <f>IF(Main!O32="","",Main!O32)</f>
        <v/>
      </c>
      <c r="K40" s="589"/>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89" t="str">
        <f>IF(Main!O13="","",Main!O13)</f>
        <v/>
      </c>
      <c r="C41" s="589"/>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89" t="str">
        <f>IF(Main!O33="","",Main!O33)</f>
        <v/>
      </c>
      <c r="K41" s="589"/>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89" t="str">
        <f>IF(Main!O14="","",Main!O14)</f>
        <v/>
      </c>
      <c r="C42" s="589"/>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89" t="str">
        <f>IF(Main!O34="","",Main!O34)</f>
        <v/>
      </c>
      <c r="K42" s="589"/>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89" t="str">
        <f>IF(Main!O15="","",Main!O15)</f>
        <v/>
      </c>
      <c r="C43" s="589"/>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89" t="str">
        <f>IF(Main!O35="","",Main!O35)</f>
        <v/>
      </c>
      <c r="K43" s="589"/>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89" t="str">
        <f>IF(Main!O16="","",Main!O16)</f>
        <v/>
      </c>
      <c r="C44" s="589"/>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89" t="str">
        <f>IF(Main!O36="","",Main!O36)</f>
        <v/>
      </c>
      <c r="K44" s="589"/>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89" t="str">
        <f>IF(Main!O17="","",Main!O17)</f>
        <v/>
      </c>
      <c r="C45" s="589"/>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89" t="str">
        <f>IF(Main!O37="","",Main!O37)</f>
        <v/>
      </c>
      <c r="K45" s="589"/>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89" t="str">
        <f>IF(Main!O18="","",Main!O18)</f>
        <v/>
      </c>
      <c r="C46" s="589"/>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89" t="str">
        <f>IF(Main!O38="","",Main!O38)</f>
        <v/>
      </c>
      <c r="K46" s="589"/>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89" t="str">
        <f>IF(Main!O19="","",Main!O19)</f>
        <v/>
      </c>
      <c r="C47" s="589"/>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89" t="str">
        <f>IF(Main!O39="","",Main!O39)</f>
        <v/>
      </c>
      <c r="K47" s="589"/>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89" t="str">
        <f>IF(Main!O20="","",Main!O20)</f>
        <v/>
      </c>
      <c r="C48" s="589"/>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89" t="str">
        <f>IF(Main!O40="","",Main!O40)</f>
        <v/>
      </c>
      <c r="K48" s="589"/>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0" ht="18" customHeight="1" x14ac:dyDescent="0.2">
      <c r="A49" s="247" t="str">
        <f>IF(B49="","",17)</f>
        <v/>
      </c>
      <c r="B49" s="589" t="str">
        <f>IF(Main!O21="","",Main!O21)</f>
        <v/>
      </c>
      <c r="C49" s="589"/>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89" t="str">
        <f>IF(Main!O41="","",Main!O41)</f>
        <v/>
      </c>
      <c r="K49" s="589"/>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0" ht="18" customHeight="1" x14ac:dyDescent="0.2">
      <c r="A50" s="247" t="str">
        <f>IF(B50="","",18)</f>
        <v/>
      </c>
      <c r="B50" s="589" t="str">
        <f>IF(Main!O22="","",Main!O22)</f>
        <v/>
      </c>
      <c r="C50" s="589"/>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89" t="str">
        <f>IF(Main!O42="","",Main!O42)</f>
        <v/>
      </c>
      <c r="K50" s="589"/>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0" ht="18" customHeight="1" x14ac:dyDescent="0.2">
      <c r="A51" s="247" t="str">
        <f>IF(B51="","",19)</f>
        <v/>
      </c>
      <c r="B51" s="589" t="str">
        <f>IF(Main!O23="","",Main!O23)</f>
        <v/>
      </c>
      <c r="C51" s="589"/>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89" t="str">
        <f>IF(Main!O43="","",Main!O43)</f>
        <v/>
      </c>
      <c r="K51" s="589"/>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0" ht="18" customHeight="1" x14ac:dyDescent="0.2">
      <c r="A52" s="247" t="str">
        <f>IF(B52="","",20)</f>
        <v/>
      </c>
      <c r="B52" s="589" t="str">
        <f>IF(Main!O24="","",Main!O24)</f>
        <v/>
      </c>
      <c r="C52" s="589"/>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89" t="str">
        <f>IF(Main!O44="","",Main!O44)</f>
        <v/>
      </c>
      <c r="K52" s="589"/>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0" ht="18" customHeight="1" x14ac:dyDescent="0.2">
      <c r="B53" s="596" t="s">
        <v>307</v>
      </c>
      <c r="C53" s="596"/>
      <c r="D53" s="596"/>
      <c r="E53" s="596"/>
      <c r="F53" s="596"/>
      <c r="G53" s="596"/>
      <c r="H53" s="596"/>
      <c r="I53" s="596"/>
      <c r="J53" s="596"/>
      <c r="K53" s="596"/>
      <c r="L53" s="596"/>
      <c r="M53" s="596"/>
      <c r="N53" s="596"/>
    </row>
    <row r="54" spans="1:20" ht="18" customHeight="1" x14ac:dyDescent="0.25">
      <c r="A54" s="249" t="s">
        <v>308</v>
      </c>
      <c r="B54" s="591" t="str">
        <f>CONCATENATE(Main!G23,"  ",FurnaceSpecificComments,Main!V24)</f>
        <v xml:space="preserve">Found in tolerance.  No adjustment required.  </v>
      </c>
      <c r="C54" s="591"/>
      <c r="D54" s="591"/>
      <c r="E54" s="591"/>
      <c r="F54" s="591"/>
      <c r="G54" s="591"/>
      <c r="H54" s="591"/>
      <c r="I54" s="591"/>
      <c r="J54" s="591"/>
      <c r="K54" s="591"/>
      <c r="L54" s="591"/>
      <c r="M54" s="591"/>
      <c r="N54" s="591"/>
      <c r="O54" s="591"/>
    </row>
    <row r="55" spans="1:20" ht="18" customHeight="1" x14ac:dyDescent="0.25">
      <c r="A55" s="78"/>
      <c r="B55" s="591"/>
      <c r="C55" s="591"/>
      <c r="D55" s="591"/>
      <c r="E55" s="591"/>
      <c r="F55" s="591"/>
      <c r="G55" s="591"/>
      <c r="H55" s="591"/>
      <c r="I55" s="591"/>
      <c r="J55" s="591"/>
      <c r="K55" s="591"/>
      <c r="L55" s="591"/>
      <c r="M55" s="591"/>
      <c r="N55" s="591"/>
      <c r="O55" s="591"/>
    </row>
    <row r="56" spans="1:20" ht="18" customHeight="1" x14ac:dyDescent="0.25">
      <c r="A56" s="78"/>
      <c r="B56" s="591"/>
      <c r="C56" s="591"/>
      <c r="D56" s="591"/>
      <c r="E56" s="591"/>
      <c r="F56" s="591"/>
      <c r="G56" s="591"/>
      <c r="H56" s="591"/>
      <c r="I56" s="591"/>
      <c r="J56" s="591"/>
      <c r="K56" s="591"/>
      <c r="L56" s="591"/>
      <c r="M56" s="591"/>
      <c r="N56" s="591"/>
      <c r="O56" s="591"/>
    </row>
    <row r="57" spans="1:20" ht="18" customHeight="1" x14ac:dyDescent="0.25">
      <c r="A57" s="78"/>
      <c r="B57" s="591"/>
      <c r="C57" s="591"/>
      <c r="D57" s="591"/>
      <c r="E57" s="591"/>
      <c r="F57" s="591"/>
      <c r="G57" s="591"/>
      <c r="H57" s="591"/>
      <c r="I57" s="591"/>
      <c r="J57" s="591"/>
      <c r="K57" s="591"/>
      <c r="L57" s="591"/>
      <c r="M57" s="591"/>
      <c r="N57" s="591"/>
      <c r="O57" s="591"/>
    </row>
    <row r="58" spans="1:20" ht="18" customHeight="1" x14ac:dyDescent="0.25">
      <c r="A58" s="78"/>
      <c r="B58" s="591"/>
      <c r="C58" s="591"/>
      <c r="D58" s="591"/>
      <c r="E58" s="591"/>
      <c r="F58" s="591"/>
      <c r="G58" s="591"/>
      <c r="H58" s="591"/>
      <c r="I58" s="591"/>
      <c r="J58" s="591"/>
      <c r="K58" s="591"/>
      <c r="L58" s="591"/>
      <c r="M58" s="591"/>
      <c r="N58" s="591"/>
      <c r="O58" s="591"/>
    </row>
    <row r="59" spans="1:20" ht="18" customHeight="1" x14ac:dyDescent="0.25">
      <c r="A59" s="78"/>
      <c r="B59" s="591"/>
      <c r="C59" s="591"/>
      <c r="D59" s="591"/>
      <c r="E59" s="591"/>
      <c r="F59" s="591"/>
      <c r="G59" s="591"/>
      <c r="H59" s="591"/>
      <c r="I59" s="591"/>
      <c r="J59" s="591"/>
      <c r="K59" s="591"/>
      <c r="L59" s="591"/>
      <c r="M59" s="591"/>
      <c r="N59" s="591"/>
      <c r="O59" s="591"/>
    </row>
    <row r="60" spans="1:20" ht="18" customHeight="1" x14ac:dyDescent="0.2">
      <c r="A60" s="595" t="s">
        <v>316</v>
      </c>
      <c r="B60" s="595"/>
      <c r="C60" s="595"/>
      <c r="D60" s="595"/>
      <c r="E60" s="595"/>
      <c r="F60" s="595"/>
      <c r="G60" s="595"/>
      <c r="H60" s="595"/>
      <c r="I60" s="595"/>
      <c r="J60" s="595"/>
      <c r="K60" s="595"/>
      <c r="L60" s="595"/>
      <c r="M60" s="595"/>
      <c r="N60" s="595"/>
      <c r="O60" s="595"/>
    </row>
    <row r="61" spans="1:20" ht="18" customHeight="1" x14ac:dyDescent="0.2">
      <c r="A61" s="599" t="s">
        <v>309</v>
      </c>
      <c r="B61" s="599"/>
      <c r="C61" s="599"/>
      <c r="D61" s="599"/>
      <c r="E61" s="599"/>
      <c r="F61" s="588" t="s">
        <v>310</v>
      </c>
      <c r="G61" s="588"/>
      <c r="H61" s="588"/>
      <c r="I61" s="588" t="s">
        <v>311</v>
      </c>
      <c r="J61" s="588"/>
      <c r="K61" s="588" t="s">
        <v>312</v>
      </c>
      <c r="L61" s="588"/>
      <c r="M61" s="588" t="s">
        <v>313</v>
      </c>
      <c r="N61" s="588"/>
      <c r="O61" s="588"/>
      <c r="R61" s="39" t="s">
        <v>853</v>
      </c>
      <c r="T61" s="39" t="s">
        <v>854</v>
      </c>
    </row>
    <row r="62" spans="1:20" ht="18" customHeight="1" x14ac:dyDescent="0.2">
      <c r="A62" s="578" t="str">
        <f>IF(F62="","",CONCATENATE(T62," - ",R62))</f>
        <v/>
      </c>
      <c r="B62" s="579"/>
      <c r="C62" s="579"/>
      <c r="D62" s="579"/>
      <c r="E62" s="580"/>
      <c r="F62" s="578" t="str" cm="1">
        <f t="array" ref="F62">IFERROR(
  _xlfn.XLOOKUP(
    Main!D9,
    _xlfn._xlws.FILTER(AssetPool[AssetTag], AssetPool[RootCategoryName]= "DAQ Modules"),
    _xlfn._xlws.FILTER(AssetPool[SerialNumber], AssetPool[RootCategoryName]= "DAQ Modules")
  ),
  ""
)</f>
        <v/>
      </c>
      <c r="G62" s="579"/>
      <c r="H62" s="580"/>
      <c r="I62" s="584" t="str">
        <f>IF(F62="","",Main!D12)</f>
        <v/>
      </c>
      <c r="J62" s="585"/>
      <c r="K62" s="584" t="str">
        <f>IF(F62="","",Main!D13)</f>
        <v/>
      </c>
      <c r="L62" s="585"/>
      <c r="M62" s="612" t="str">
        <f>IF(F62="","",REPLACE(Main!D14,3,1,""))</f>
        <v/>
      </c>
      <c r="N62" s="613"/>
      <c r="O62" s="614"/>
      <c r="Q62" t="str">
        <f>IF(CERT!F62="","",1)</f>
        <v/>
      </c>
      <c r="R62" s="204" t="str">
        <f>IF(Main!D9="", "", _xlfn.XLOOKUP(Main!D9,AssetPool[AssetTag],AssetPool[ManufacturerPartNumber]))</f>
        <v/>
      </c>
      <c r="T62" s="204" t="str">
        <f>IF(Main!D9="", "", _xlfn.XLOOKUP(Main!D9,AssetPool[AssetTag],AssetPool[CategoryName]))</f>
        <v/>
      </c>
    </row>
    <row r="63" spans="1:20" ht="18" customHeight="1" x14ac:dyDescent="0.2">
      <c r="A63" s="581" t="str">
        <f t="shared" ref="A63:A68" si="0">IF(Q63="","",CONCATENATE(T63," - ",R63))</f>
        <v/>
      </c>
      <c r="B63" s="582"/>
      <c r="C63" s="582"/>
      <c r="D63" s="582"/>
      <c r="E63" s="583"/>
      <c r="F63" s="581" t="str">
        <f>IF(Main!D48="","",Main!D48)</f>
        <v/>
      </c>
      <c r="G63" s="582"/>
      <c r="H63" s="583"/>
      <c r="I63" s="586" t="str">
        <f>IF(Q63="","",Main!D49)</f>
        <v/>
      </c>
      <c r="J63" s="587"/>
      <c r="K63" s="586" t="str">
        <f>IF(Q63="","",Main!D50)</f>
        <v/>
      </c>
      <c r="L63" s="587"/>
      <c r="M63" s="581" t="str">
        <f>IF(Q63="","",Main!D54)</f>
        <v/>
      </c>
      <c r="N63" s="582"/>
      <c r="O63" s="583"/>
      <c r="Q63" t="str">
        <f>IF(CERT!F63="","",2)</f>
        <v/>
      </c>
      <c r="R63" s="204" t="str">
        <f>IFERROR(_xlfn.XLOOKUP(F63,AssetPool[SerialNumber],AssetPool[ManufacturerPartNumber]),"")</f>
        <v/>
      </c>
      <c r="T63" s="204" t="str">
        <f>IFERROR(_xlfn.XLOOKUP(F63,AssetPool[SerialNumber],AssetPool[CategoryName]),"")</f>
        <v/>
      </c>
    </row>
    <row r="64" spans="1:20" ht="18" customHeight="1" x14ac:dyDescent="0.2">
      <c r="A64" s="581" t="str">
        <f t="shared" si="0"/>
        <v/>
      </c>
      <c r="B64" s="582"/>
      <c r="C64" s="582"/>
      <c r="D64" s="582"/>
      <c r="E64" s="583"/>
      <c r="F64" s="581" t="str">
        <f>IF(Main!E48="","",Main!E48)</f>
        <v/>
      </c>
      <c r="G64" s="582"/>
      <c r="H64" s="583"/>
      <c r="I64" s="586" t="str">
        <f>IF(Q64="","",Main!E49)</f>
        <v/>
      </c>
      <c r="J64" s="587"/>
      <c r="K64" s="586" t="str">
        <f>IF(Q64="","",Main!E50)</f>
        <v/>
      </c>
      <c r="L64" s="587"/>
      <c r="M64" s="581" t="str">
        <f>IF(Q64="","",Main!E54)</f>
        <v/>
      </c>
      <c r="N64" s="582"/>
      <c r="O64" s="583"/>
      <c r="Q64" t="str">
        <f>IF(CERT!F64="","",3)</f>
        <v/>
      </c>
      <c r="R64" s="204" t="str">
        <f>IFERROR(_xlfn.XLOOKUP(F64,AssetPool[SerialNumber],AssetPool[ManufacturerPartNumber]),"")</f>
        <v/>
      </c>
      <c r="T64" s="204" t="str">
        <f>IFERROR(_xlfn.XLOOKUP(F64,AssetPool[SerialNumber],AssetPool[CategoryName]),"")</f>
        <v/>
      </c>
    </row>
    <row r="65" spans="1:20" ht="18" customHeight="1" x14ac:dyDescent="0.2">
      <c r="A65" s="581" t="str">
        <f t="shared" si="0"/>
        <v/>
      </c>
      <c r="B65" s="582"/>
      <c r="C65" s="582"/>
      <c r="D65" s="582"/>
      <c r="E65" s="583"/>
      <c r="F65" s="581" t="str">
        <f>IF(Main!F48="","",Main!F48)</f>
        <v/>
      </c>
      <c r="G65" s="582"/>
      <c r="H65" s="583"/>
      <c r="I65" s="586" t="str">
        <f>IF(Q65="","",Main!F49)</f>
        <v/>
      </c>
      <c r="J65" s="587"/>
      <c r="K65" s="586" t="str">
        <f>IF(Q65="","",Main!F50)</f>
        <v/>
      </c>
      <c r="L65" s="587"/>
      <c r="M65" s="581" t="str">
        <f>IF(Q65="","",Main!F54)</f>
        <v/>
      </c>
      <c r="N65" s="582"/>
      <c r="O65" s="583"/>
      <c r="Q65" t="str">
        <f>IF(CERT!F65="","",4)</f>
        <v/>
      </c>
      <c r="R65" s="204" t="str">
        <f>IFERROR(_xlfn.XLOOKUP(F65,AssetPool[SerialNumber],AssetPool[ManufacturerPartNumber]),"")</f>
        <v/>
      </c>
      <c r="T65" s="204" t="str">
        <f>IFERROR(_xlfn.XLOOKUP(F65,AssetPool[SerialNumber],AssetPool[CategoryName]),"")</f>
        <v/>
      </c>
    </row>
    <row r="66" spans="1:20" ht="18" customHeight="1" x14ac:dyDescent="0.2">
      <c r="A66" s="581" t="str">
        <f t="shared" si="0"/>
        <v/>
      </c>
      <c r="B66" s="582"/>
      <c r="C66" s="582"/>
      <c r="D66" s="582"/>
      <c r="E66" s="583"/>
      <c r="F66" s="581" t="str">
        <f>IF(Main!G48="","",Main!G48)</f>
        <v/>
      </c>
      <c r="G66" s="582"/>
      <c r="H66" s="583"/>
      <c r="I66" s="586" t="str">
        <f>IF(Q66="","",Main!G49)</f>
        <v/>
      </c>
      <c r="J66" s="587"/>
      <c r="K66" s="586" t="str">
        <f>IF(Q66="","",Main!G50)</f>
        <v/>
      </c>
      <c r="L66" s="587"/>
      <c r="M66" s="581" t="str">
        <f>IF(Q66="","",Main!G54)</f>
        <v/>
      </c>
      <c r="N66" s="582"/>
      <c r="O66" s="583"/>
      <c r="Q66" t="str">
        <f>IF(CERT!F66="","",5)</f>
        <v/>
      </c>
      <c r="R66" s="204" t="str">
        <f>IFERROR(_xlfn.XLOOKUP(F66,AssetPool[SerialNumber],AssetPool[ManufacturerPartNumber]),"")</f>
        <v/>
      </c>
      <c r="T66" s="204" t="str">
        <f>IFERROR(_xlfn.XLOOKUP(F66,AssetPool[SerialNumber],AssetPool[CategoryName]),"")</f>
        <v/>
      </c>
    </row>
    <row r="67" spans="1:20" ht="18" customHeight="1" x14ac:dyDescent="0.2">
      <c r="A67" s="581" t="str">
        <f t="shared" si="0"/>
        <v/>
      </c>
      <c r="B67" s="582"/>
      <c r="C67" s="582"/>
      <c r="D67" s="582"/>
      <c r="E67" s="583"/>
      <c r="F67" s="581" t="str">
        <f>IF(Main!H48="","",Main!H48)</f>
        <v/>
      </c>
      <c r="G67" s="582"/>
      <c r="H67" s="583"/>
      <c r="I67" s="586" t="str">
        <f>IF(Q67="","",Main!H49)</f>
        <v/>
      </c>
      <c r="J67" s="587"/>
      <c r="K67" s="586" t="str">
        <f>IF(Q67="","",Main!H50)</f>
        <v/>
      </c>
      <c r="L67" s="587"/>
      <c r="M67" s="581" t="str">
        <f>IF(Q67="","",Main!H54)</f>
        <v/>
      </c>
      <c r="N67" s="582"/>
      <c r="O67" s="583"/>
      <c r="Q67" t="str">
        <f>IF(CERT!F67="","",6)</f>
        <v/>
      </c>
      <c r="R67" s="204" t="str">
        <f>IFERROR(_xlfn.XLOOKUP(F67,AssetPool[SerialNumber],AssetPool[ManufacturerPartNumber]),"")</f>
        <v/>
      </c>
      <c r="T67" s="204" t="str">
        <f>IFERROR(_xlfn.XLOOKUP(F67,AssetPool[SerialNumber],AssetPool[CategoryName]),"")</f>
        <v/>
      </c>
    </row>
    <row r="68" spans="1:20" ht="18" customHeight="1" x14ac:dyDescent="0.2">
      <c r="A68" s="581" t="str">
        <f t="shared" si="0"/>
        <v/>
      </c>
      <c r="B68" s="582"/>
      <c r="C68" s="582"/>
      <c r="D68" s="582"/>
      <c r="E68" s="583"/>
      <c r="F68" s="581" t="str">
        <f>IF(Main!I48="","",Main!I48)</f>
        <v/>
      </c>
      <c r="G68" s="582"/>
      <c r="H68" s="583"/>
      <c r="I68" s="586" t="str">
        <f>IF(Q68="","",Main!I49)</f>
        <v/>
      </c>
      <c r="J68" s="587"/>
      <c r="K68" s="586" t="str">
        <f>IF(Q68="","",Main!I50)</f>
        <v/>
      </c>
      <c r="L68" s="587"/>
      <c r="M68" s="581" t="str">
        <f>IF(Q68="","",Main!I54)</f>
        <v/>
      </c>
      <c r="N68" s="582"/>
      <c r="O68" s="583"/>
      <c r="Q68" t="str">
        <f>IF(CERT!F68="","",7)</f>
        <v/>
      </c>
      <c r="R68" s="204" t="str">
        <f>IFERROR(_xlfn.XLOOKUP(F68,AssetPool[SerialNumber],AssetPool[ManufacturerPartNumber]),"")</f>
        <v/>
      </c>
      <c r="T68" s="204" t="str">
        <f>IFERROR(_xlfn.XLOOKUP(F68,AssetPool[SerialNumber],AssetPool[CategoryName]),"")</f>
        <v/>
      </c>
    </row>
    <row r="69" spans="1:20" ht="18" customHeight="1" x14ac:dyDescent="0.2">
      <c r="A69" s="600" t="str">
        <f>IF(T69="","",CONCATENATE(T69," - ",R69))</f>
        <v/>
      </c>
      <c r="B69" s="601"/>
      <c r="C69" s="601"/>
      <c r="D69" s="601"/>
      <c r="E69" s="602"/>
      <c r="F69" s="600" t="str">
        <f>IF(Main!J48="","",Main!J48)</f>
        <v/>
      </c>
      <c r="G69" s="601"/>
      <c r="H69" s="602"/>
      <c r="I69" s="615" t="str">
        <f>IF(Q69="","",Main!J49)</f>
        <v/>
      </c>
      <c r="J69" s="616"/>
      <c r="K69" s="615" t="str">
        <f>IF(Q69="","",Main!J50)</f>
        <v/>
      </c>
      <c r="L69" s="616"/>
      <c r="M69" s="600" t="str">
        <f>IF(Q69="","",Main!J54)</f>
        <v/>
      </c>
      <c r="N69" s="601"/>
      <c r="O69" s="602"/>
    </row>
    <row r="70" spans="1:20" ht="18" customHeight="1" x14ac:dyDescent="0.2">
      <c r="B70" s="209"/>
      <c r="C70" s="209"/>
      <c r="D70" s="209"/>
      <c r="E70" s="209"/>
      <c r="F70" s="209"/>
      <c r="G70" s="209"/>
      <c r="H70" s="209"/>
      <c r="I70" s="210"/>
      <c r="J70" s="210"/>
      <c r="K70" s="210"/>
      <c r="L70" s="210"/>
      <c r="M70" s="209"/>
      <c r="N70" s="209"/>
      <c r="O70" s="209"/>
    </row>
    <row r="71" spans="1:20" ht="18" customHeight="1" x14ac:dyDescent="0.2">
      <c r="A71" s="576" t="s">
        <v>968</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c r="A74" s="576"/>
      <c r="B74" s="576"/>
      <c r="C74" s="576"/>
      <c r="D74" s="576"/>
      <c r="E74" s="576"/>
      <c r="F74" s="576"/>
      <c r="G74" s="576"/>
      <c r="H74" s="576"/>
      <c r="I74" s="576"/>
      <c r="J74" s="576"/>
      <c r="K74" s="576"/>
      <c r="L74" s="576"/>
      <c r="M74" s="576"/>
      <c r="N74" s="576"/>
      <c r="O74" s="576"/>
    </row>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5" t="s">
        <v>314</v>
      </c>
      <c r="N80" s="245" t="s">
        <v>315</v>
      </c>
    </row>
    <row r="81" ht="15" customHeight="1" x14ac:dyDescent="0.2"/>
    <row r="82" ht="15" customHeight="1" x14ac:dyDescent="0.2"/>
  </sheetData>
  <sheetProtection algorithmName="SHA-512" hashValue="OlxhSlb3G8OZy7ID3qQ2agviX+8OtVDkOJ89xiP+KUm8Lqaku51roXoKHBv4NwJO8phEesRSU0xpMJ2DY+hqjw==" saltValue="w7Xmi+/6iF6ewhxVRM2oSA=="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5"/>
  <sheetViews>
    <sheetView topLeftCell="N1" workbookViewId="0">
      <selection activeCell="Q5" sqref="Q5"/>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921</v>
      </c>
      <c r="R1" t="s">
        <v>922</v>
      </c>
      <c r="S1" t="s">
        <v>923</v>
      </c>
      <c r="T1" t="s">
        <v>924</v>
      </c>
      <c r="U1" t="s">
        <v>925</v>
      </c>
      <c r="V1" t="s">
        <v>926</v>
      </c>
      <c r="W1" t="s">
        <v>927</v>
      </c>
      <c r="X1" t="s">
        <v>928</v>
      </c>
      <c r="Y1" t="s">
        <v>929</v>
      </c>
      <c r="Z1" t="s">
        <v>930</v>
      </c>
      <c r="AA1" t="s">
        <v>931</v>
      </c>
      <c r="AB1" t="s">
        <v>932</v>
      </c>
      <c r="AC1" t="s">
        <v>933</v>
      </c>
      <c r="AD1" t="s">
        <v>934</v>
      </c>
      <c r="AE1" t="s">
        <v>935</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L147"/>
      <c r="M147"/>
      <c r="N147"/>
      <c r="O147"/>
    </row>
    <row r="148" spans="1:15" x14ac:dyDescent="0.2">
      <c r="A148"/>
      <c r="B148"/>
      <c r="C148"/>
      <c r="F148"/>
      <c r="G148"/>
      <c r="I148"/>
      <c r="L148"/>
      <c r="M148"/>
      <c r="N148"/>
      <c r="O148"/>
    </row>
    <row r="149" spans="1:15" x14ac:dyDescent="0.2">
      <c r="A149"/>
      <c r="B149"/>
      <c r="C149"/>
      <c r="F149"/>
      <c r="G149"/>
      <c r="I149"/>
      <c r="L149"/>
      <c r="M149"/>
      <c r="N149"/>
      <c r="O149"/>
    </row>
    <row r="150" spans="1:15" x14ac:dyDescent="0.2">
      <c r="A150"/>
      <c r="B150"/>
      <c r="C150"/>
      <c r="F150"/>
      <c r="G150"/>
      <c r="H150"/>
      <c r="I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I154"/>
      <c r="L154"/>
      <c r="M154"/>
      <c r="N154"/>
      <c r="O154"/>
    </row>
    <row r="155" spans="1:15" x14ac:dyDescent="0.2">
      <c r="A155"/>
      <c r="B155"/>
      <c r="C155"/>
      <c r="F155"/>
      <c r="G155"/>
      <c r="L155"/>
      <c r="M155"/>
      <c r="N155"/>
      <c r="O155"/>
    </row>
    <row r="156" spans="1:15" x14ac:dyDescent="0.2">
      <c r="A156"/>
      <c r="B156"/>
      <c r="C156"/>
      <c r="F156"/>
      <c r="G156"/>
      <c r="L156"/>
      <c r="M156"/>
      <c r="N156"/>
      <c r="O156"/>
    </row>
    <row r="157" spans="1:15" x14ac:dyDescent="0.2">
      <c r="A157"/>
      <c r="B157"/>
      <c r="C157"/>
      <c r="F157"/>
      <c r="G157"/>
      <c r="H157"/>
      <c r="I157"/>
      <c r="L157"/>
      <c r="M157"/>
      <c r="N157"/>
      <c r="O157"/>
    </row>
    <row r="158" spans="1:15" x14ac:dyDescent="0.2">
      <c r="A158"/>
      <c r="B158"/>
      <c r="C158"/>
      <c r="F158"/>
      <c r="G158"/>
      <c r="H158"/>
      <c r="I158"/>
      <c r="L158"/>
      <c r="M158"/>
      <c r="N158"/>
      <c r="O158"/>
    </row>
    <row r="159" spans="1:15" x14ac:dyDescent="0.2">
      <c r="A159"/>
      <c r="B159"/>
      <c r="C159"/>
      <c r="F159"/>
      <c r="G159"/>
      <c r="I159"/>
      <c r="L159"/>
      <c r="M159"/>
      <c r="N159"/>
      <c r="O159"/>
    </row>
    <row r="160" spans="1:15" x14ac:dyDescent="0.2">
      <c r="A160"/>
      <c r="B160"/>
      <c r="C160"/>
      <c r="F160"/>
      <c r="G160"/>
      <c r="H160"/>
      <c r="I160"/>
      <c r="L160"/>
      <c r="M160"/>
      <c r="N160"/>
      <c r="O160"/>
    </row>
    <row r="161" spans="1:15" x14ac:dyDescent="0.2">
      <c r="A161"/>
      <c r="B161"/>
      <c r="C161"/>
      <c r="F161"/>
      <c r="G161"/>
      <c r="M161"/>
      <c r="N161"/>
      <c r="O161"/>
    </row>
    <row r="162" spans="1:15" x14ac:dyDescent="0.2">
      <c r="A162"/>
      <c r="B162"/>
      <c r="C162"/>
      <c r="F162"/>
      <c r="G162"/>
      <c r="I162"/>
      <c r="L162"/>
      <c r="M162"/>
      <c r="N162"/>
      <c r="O162"/>
    </row>
    <row r="163" spans="1:15" x14ac:dyDescent="0.2">
      <c r="A163"/>
      <c r="B163"/>
      <c r="C163"/>
      <c r="F163"/>
      <c r="G163"/>
      <c r="H163"/>
      <c r="I163"/>
      <c r="L163"/>
      <c r="N163"/>
      <c r="O163"/>
    </row>
    <row r="164" spans="1:15" x14ac:dyDescent="0.2">
      <c r="A164"/>
      <c r="B164"/>
      <c r="C164"/>
      <c r="F164"/>
      <c r="G164"/>
      <c r="H164"/>
      <c r="I164"/>
      <c r="L164"/>
      <c r="M164"/>
      <c r="N164"/>
      <c r="O164"/>
    </row>
    <row r="165" spans="1:15" x14ac:dyDescent="0.2">
      <c r="A165"/>
      <c r="B165"/>
      <c r="C165"/>
      <c r="F165"/>
      <c r="G165"/>
      <c r="H165"/>
      <c r="J165"/>
      <c r="K165"/>
      <c r="L165"/>
      <c r="M165"/>
      <c r="N165"/>
      <c r="O165"/>
    </row>
    <row r="166" spans="1:15" x14ac:dyDescent="0.2">
      <c r="A166"/>
      <c r="B166"/>
      <c r="C166"/>
      <c r="F166"/>
      <c r="G166"/>
      <c r="H166"/>
      <c r="I166"/>
      <c r="L166"/>
      <c r="M166"/>
      <c r="N166"/>
      <c r="O166"/>
    </row>
    <row r="167" spans="1:15" x14ac:dyDescent="0.2">
      <c r="A167"/>
      <c r="B167"/>
      <c r="C167"/>
      <c r="F167"/>
      <c r="G167"/>
      <c r="I167"/>
      <c r="L167"/>
      <c r="M167"/>
      <c r="N167"/>
      <c r="O167"/>
    </row>
    <row r="168" spans="1:15" x14ac:dyDescent="0.2">
      <c r="A168"/>
      <c r="B168"/>
      <c r="C168"/>
      <c r="F168"/>
      <c r="G168"/>
      <c r="H168"/>
      <c r="I168"/>
      <c r="L168"/>
      <c r="M168"/>
      <c r="N168"/>
      <c r="O168"/>
    </row>
    <row r="169" spans="1:15" x14ac:dyDescent="0.2">
      <c r="A169"/>
      <c r="B169"/>
      <c r="C169"/>
      <c r="F169"/>
      <c r="G169"/>
      <c r="H169"/>
      <c r="I169"/>
      <c r="L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M173"/>
      <c r="N173"/>
      <c r="O173"/>
    </row>
    <row r="174" spans="1:15" x14ac:dyDescent="0.2">
      <c r="A174"/>
      <c r="B174"/>
      <c r="C174"/>
      <c r="F174"/>
      <c r="G174"/>
      <c r="H174"/>
      <c r="J174"/>
      <c r="K174"/>
      <c r="L174"/>
      <c r="M174"/>
      <c r="N174"/>
      <c r="O174"/>
    </row>
    <row r="175" spans="1:15" x14ac:dyDescent="0.2">
      <c r="A175"/>
      <c r="B175"/>
      <c r="C175"/>
      <c r="F175"/>
      <c r="G175"/>
      <c r="H175"/>
      <c r="J175"/>
      <c r="K175"/>
      <c r="L175"/>
      <c r="M175"/>
      <c r="N175"/>
      <c r="O175"/>
    </row>
    <row r="176" spans="1:15" x14ac:dyDescent="0.2">
      <c r="A176"/>
      <c r="B176"/>
      <c r="C176"/>
      <c r="F176"/>
      <c r="G176"/>
      <c r="L176"/>
      <c r="M176"/>
      <c r="N176"/>
      <c r="O176"/>
    </row>
    <row r="177" spans="1:15" x14ac:dyDescent="0.2">
      <c r="A177"/>
      <c r="B177"/>
      <c r="C177"/>
      <c r="F177"/>
      <c r="G177"/>
      <c r="H177"/>
      <c r="J177"/>
      <c r="K177"/>
      <c r="L177"/>
      <c r="M177"/>
      <c r="N177"/>
      <c r="O177"/>
    </row>
    <row r="178" spans="1:15" x14ac:dyDescent="0.2">
      <c r="A178"/>
      <c r="B178"/>
      <c r="C178"/>
      <c r="F178"/>
      <c r="G178"/>
      <c r="H178"/>
      <c r="I178"/>
      <c r="J178"/>
      <c r="K178"/>
      <c r="L178"/>
      <c r="M178"/>
      <c r="N178"/>
      <c r="O178"/>
    </row>
    <row r="179" spans="1:15" x14ac:dyDescent="0.2">
      <c r="A179"/>
      <c r="B179"/>
      <c r="C179"/>
      <c r="F179"/>
      <c r="G179"/>
      <c r="I179"/>
      <c r="L179"/>
      <c r="M179"/>
      <c r="N179"/>
      <c r="O179"/>
    </row>
    <row r="180" spans="1:15" x14ac:dyDescent="0.2">
      <c r="A180"/>
      <c r="B180"/>
      <c r="C180"/>
      <c r="F180"/>
      <c r="G180"/>
      <c r="H180"/>
      <c r="I180"/>
      <c r="L180"/>
      <c r="M180"/>
      <c r="N180"/>
      <c r="O180"/>
    </row>
    <row r="181" spans="1:15" x14ac:dyDescent="0.2">
      <c r="A181"/>
      <c r="B181"/>
      <c r="C181"/>
      <c r="F181"/>
      <c r="G181"/>
      <c r="H181"/>
      <c r="I181"/>
      <c r="L181"/>
      <c r="M181"/>
      <c r="N181"/>
      <c r="O181"/>
    </row>
    <row r="182" spans="1:15" x14ac:dyDescent="0.2">
      <c r="A182"/>
      <c r="B182"/>
      <c r="C182"/>
      <c r="F182"/>
      <c r="G182"/>
      <c r="I182"/>
      <c r="L182"/>
      <c r="M182"/>
      <c r="N182"/>
      <c r="O182"/>
    </row>
    <row r="183" spans="1:15" x14ac:dyDescent="0.2">
      <c r="A183"/>
      <c r="B183"/>
      <c r="C183"/>
      <c r="F183"/>
      <c r="G183"/>
      <c r="M183"/>
      <c r="N183"/>
      <c r="O183"/>
    </row>
    <row r="184" spans="1:15" x14ac:dyDescent="0.2">
      <c r="A184"/>
      <c r="B184"/>
      <c r="C184"/>
      <c r="F184"/>
      <c r="G184"/>
      <c r="H184"/>
      <c r="I184"/>
      <c r="L184"/>
      <c r="N184"/>
      <c r="O184"/>
    </row>
    <row r="185" spans="1:15" x14ac:dyDescent="0.2">
      <c r="A185"/>
      <c r="B185"/>
      <c r="C185"/>
      <c r="F185"/>
      <c r="G185"/>
      <c r="I185"/>
      <c r="L185"/>
      <c r="M185"/>
      <c r="N185"/>
      <c r="O185"/>
    </row>
    <row r="186" spans="1:15" x14ac:dyDescent="0.2">
      <c r="A186"/>
      <c r="B186"/>
      <c r="C186"/>
      <c r="F186"/>
      <c r="G186"/>
      <c r="H186"/>
      <c r="I186"/>
      <c r="L186"/>
      <c r="M186"/>
      <c r="N186"/>
      <c r="O186"/>
    </row>
    <row r="187" spans="1:15" x14ac:dyDescent="0.2">
      <c r="A187"/>
      <c r="B187"/>
      <c r="C187"/>
      <c r="F187"/>
      <c r="G187"/>
      <c r="H187"/>
      <c r="I187"/>
      <c r="L187"/>
      <c r="M187"/>
      <c r="N187"/>
      <c r="O187"/>
    </row>
    <row r="188" spans="1:15" x14ac:dyDescent="0.2">
      <c r="A188"/>
      <c r="B188"/>
      <c r="C188"/>
      <c r="F188"/>
      <c r="G188"/>
      <c r="L188"/>
      <c r="M188"/>
      <c r="N188"/>
      <c r="O188"/>
    </row>
    <row r="189" spans="1:15" x14ac:dyDescent="0.2">
      <c r="A189"/>
      <c r="B189"/>
      <c r="C189"/>
      <c r="F189"/>
      <c r="G189"/>
      <c r="M189"/>
      <c r="N189"/>
      <c r="O189"/>
    </row>
    <row r="190" spans="1:15" x14ac:dyDescent="0.2">
      <c r="A190"/>
      <c r="B190"/>
      <c r="C190"/>
      <c r="F190"/>
      <c r="G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L195"/>
      <c r="M195"/>
      <c r="N195"/>
      <c r="O195"/>
    </row>
    <row r="196" spans="1:15" x14ac:dyDescent="0.2">
      <c r="A196"/>
      <c r="B196"/>
      <c r="C196"/>
      <c r="F196"/>
      <c r="G196"/>
      <c r="L196"/>
      <c r="M196"/>
      <c r="N196"/>
      <c r="O196"/>
    </row>
    <row r="197" spans="1:15" x14ac:dyDescent="0.2">
      <c r="A197"/>
      <c r="B197"/>
      <c r="C197"/>
      <c r="F197"/>
      <c r="G197"/>
      <c r="H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L201"/>
      <c r="M201"/>
      <c r="N201"/>
      <c r="O201"/>
    </row>
    <row r="202" spans="1:15" x14ac:dyDescent="0.2">
      <c r="A202"/>
      <c r="B202"/>
      <c r="C202"/>
      <c r="F202"/>
      <c r="G202"/>
      <c r="H202"/>
      <c r="L202"/>
      <c r="M202"/>
      <c r="N202"/>
      <c r="O202"/>
    </row>
    <row r="203" spans="1:15" x14ac:dyDescent="0.2">
      <c r="A203"/>
      <c r="B203"/>
      <c r="C203"/>
      <c r="F203"/>
      <c r="G203"/>
      <c r="H203"/>
      <c r="I203"/>
      <c r="L203"/>
      <c r="N203"/>
      <c r="O203"/>
    </row>
    <row r="204" spans="1:15" x14ac:dyDescent="0.2">
      <c r="A204"/>
      <c r="B204"/>
      <c r="C204"/>
      <c r="F204"/>
      <c r="G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I209"/>
      <c r="L209"/>
      <c r="M209"/>
      <c r="N209"/>
      <c r="O209"/>
    </row>
    <row r="210" spans="1:15" x14ac:dyDescent="0.2">
      <c r="A210"/>
      <c r="B210"/>
      <c r="C210"/>
      <c r="F210"/>
      <c r="G210"/>
      <c r="I210"/>
      <c r="L210"/>
      <c r="M210"/>
      <c r="N210"/>
      <c r="O210"/>
    </row>
    <row r="211" spans="1:15" x14ac:dyDescent="0.2">
      <c r="A211"/>
      <c r="B211"/>
      <c r="C211"/>
      <c r="F211"/>
      <c r="G211"/>
      <c r="H211"/>
      <c r="I211"/>
      <c r="L211"/>
      <c r="M211"/>
      <c r="N211"/>
      <c r="O211"/>
    </row>
    <row r="212" spans="1:15" x14ac:dyDescent="0.2">
      <c r="A212"/>
      <c r="B212"/>
      <c r="C212"/>
      <c r="F212"/>
      <c r="G212"/>
      <c r="H212"/>
      <c r="I212"/>
      <c r="J212"/>
      <c r="K212"/>
      <c r="L212"/>
      <c r="M212"/>
      <c r="N212"/>
      <c r="O212"/>
    </row>
    <row r="213" spans="1:15" x14ac:dyDescent="0.2">
      <c r="A213"/>
      <c r="B213"/>
      <c r="C213"/>
      <c r="F213"/>
      <c r="G213"/>
      <c r="L213"/>
      <c r="M213"/>
      <c r="N213"/>
      <c r="O213"/>
    </row>
    <row r="214" spans="1:15" x14ac:dyDescent="0.2">
      <c r="A214"/>
      <c r="B214"/>
      <c r="C214"/>
      <c r="F214"/>
      <c r="G214"/>
      <c r="H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L219"/>
      <c r="M219"/>
      <c r="N219"/>
      <c r="O219"/>
    </row>
    <row r="220" spans="1:15" x14ac:dyDescent="0.2">
      <c r="A220"/>
      <c r="B220"/>
      <c r="C220"/>
      <c r="F220"/>
      <c r="G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H223"/>
      <c r="I223"/>
      <c r="L223"/>
      <c r="M223"/>
      <c r="N223"/>
      <c r="O223"/>
    </row>
    <row r="224" spans="1:15" x14ac:dyDescent="0.2">
      <c r="A224"/>
      <c r="B224"/>
      <c r="C224"/>
      <c r="F224"/>
      <c r="G224"/>
      <c r="L224"/>
      <c r="M224"/>
      <c r="N224"/>
      <c r="O224"/>
    </row>
    <row r="225" spans="1:15" x14ac:dyDescent="0.2">
      <c r="A225"/>
      <c r="B225"/>
      <c r="C225"/>
      <c r="F225"/>
      <c r="G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I230"/>
      <c r="L230"/>
      <c r="M230"/>
      <c r="N230"/>
      <c r="O230"/>
    </row>
    <row r="231" spans="1:15" x14ac:dyDescent="0.2">
      <c r="A231"/>
      <c r="B231"/>
      <c r="C231"/>
      <c r="F231"/>
      <c r="G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H234"/>
      <c r="I234"/>
      <c r="L234"/>
      <c r="M234"/>
      <c r="N234"/>
      <c r="O234"/>
    </row>
    <row r="235" spans="1:15" x14ac:dyDescent="0.2">
      <c r="A235"/>
      <c r="B235"/>
      <c r="C235"/>
      <c r="F235"/>
      <c r="G235"/>
      <c r="L235"/>
      <c r="M235"/>
      <c r="N235"/>
      <c r="O235"/>
    </row>
    <row r="236" spans="1:15" x14ac:dyDescent="0.2">
      <c r="A236"/>
      <c r="B236"/>
      <c r="C236"/>
      <c r="F236"/>
      <c r="G236"/>
      <c r="H236"/>
      <c r="L236"/>
      <c r="M236"/>
      <c r="N236"/>
      <c r="O236"/>
    </row>
    <row r="237" spans="1:15" x14ac:dyDescent="0.2">
      <c r="A237"/>
      <c r="B237"/>
      <c r="C237"/>
      <c r="F237"/>
      <c r="G237"/>
      <c r="I237"/>
      <c r="L237"/>
      <c r="M237"/>
      <c r="N237"/>
      <c r="O237"/>
    </row>
    <row r="238" spans="1:15" x14ac:dyDescent="0.2">
      <c r="A238"/>
      <c r="B238"/>
      <c r="C238"/>
      <c r="F238"/>
      <c r="G238"/>
      <c r="H238"/>
      <c r="I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J243"/>
      <c r="K243"/>
      <c r="L243"/>
      <c r="M243"/>
      <c r="N243"/>
      <c r="O243"/>
    </row>
    <row r="244" spans="1:15" x14ac:dyDescent="0.2">
      <c r="A244"/>
      <c r="B244"/>
      <c r="C244"/>
      <c r="F244"/>
      <c r="G244"/>
      <c r="M244"/>
      <c r="N244"/>
      <c r="O244"/>
    </row>
    <row r="245" spans="1:15" x14ac:dyDescent="0.2">
      <c r="A245"/>
      <c r="B245"/>
      <c r="C245"/>
      <c r="F245"/>
      <c r="G245"/>
      <c r="H245"/>
      <c r="I245"/>
      <c r="L245"/>
      <c r="M245"/>
      <c r="N245"/>
      <c r="O245"/>
    </row>
    <row r="246" spans="1:15" x14ac:dyDescent="0.2">
      <c r="A246"/>
      <c r="B246"/>
      <c r="C246"/>
      <c r="F246"/>
      <c r="G246"/>
      <c r="L246"/>
      <c r="M246"/>
      <c r="N246"/>
      <c r="O246"/>
    </row>
    <row r="247" spans="1:15" x14ac:dyDescent="0.2">
      <c r="A247"/>
      <c r="B247"/>
      <c r="C247"/>
      <c r="F247"/>
      <c r="G247"/>
      <c r="H247"/>
      <c r="I247"/>
      <c r="L247"/>
      <c r="M247"/>
      <c r="N247"/>
      <c r="O247"/>
    </row>
    <row r="248" spans="1:15" x14ac:dyDescent="0.2">
      <c r="A248"/>
      <c r="B248"/>
      <c r="C248"/>
      <c r="F248"/>
      <c r="G248"/>
      <c r="H248"/>
      <c r="I248"/>
      <c r="L248"/>
      <c r="M248"/>
      <c r="N248"/>
      <c r="O248"/>
    </row>
    <row r="249" spans="1:15" x14ac:dyDescent="0.2">
      <c r="A249"/>
      <c r="B249"/>
      <c r="C249"/>
      <c r="F249"/>
      <c r="G249"/>
      <c r="H249"/>
      <c r="I249"/>
      <c r="L249"/>
      <c r="M249"/>
      <c r="N249"/>
      <c r="O249"/>
    </row>
    <row r="250" spans="1:15" x14ac:dyDescent="0.2">
      <c r="A250"/>
      <c r="B250"/>
      <c r="C250"/>
      <c r="F250"/>
      <c r="G250"/>
      <c r="H250"/>
      <c r="J250"/>
      <c r="K250"/>
      <c r="L250"/>
      <c r="M250"/>
      <c r="N250"/>
      <c r="O250"/>
    </row>
    <row r="251" spans="1:15" x14ac:dyDescent="0.2">
      <c r="A251"/>
      <c r="B251"/>
      <c r="C251"/>
      <c r="F251"/>
      <c r="G251"/>
      <c r="L251"/>
      <c r="M251"/>
      <c r="N251"/>
      <c r="O251"/>
    </row>
    <row r="252" spans="1:15" x14ac:dyDescent="0.2">
      <c r="A252"/>
      <c r="B252"/>
      <c r="C252"/>
      <c r="F252"/>
      <c r="G252"/>
      <c r="I252"/>
      <c r="L252"/>
      <c r="M252"/>
      <c r="N252"/>
      <c r="O252"/>
    </row>
    <row r="253" spans="1:15" x14ac:dyDescent="0.2">
      <c r="A253"/>
      <c r="B253"/>
      <c r="C253"/>
      <c r="F253"/>
      <c r="G253"/>
      <c r="H253"/>
      <c r="I253"/>
      <c r="L253"/>
      <c r="N253"/>
      <c r="O253"/>
    </row>
    <row r="254" spans="1:15" x14ac:dyDescent="0.2">
      <c r="A254"/>
      <c r="B254"/>
      <c r="C254"/>
      <c r="F254"/>
      <c r="G254"/>
      <c r="H254"/>
      <c r="J254"/>
      <c r="K254"/>
      <c r="L254"/>
      <c r="M254"/>
      <c r="N254"/>
      <c r="O254"/>
    </row>
    <row r="255" spans="1:15" x14ac:dyDescent="0.2">
      <c r="A255"/>
      <c r="B255"/>
      <c r="C255"/>
      <c r="F255"/>
      <c r="G255"/>
      <c r="L255"/>
      <c r="M255"/>
      <c r="N255"/>
      <c r="O255"/>
    </row>
    <row r="256" spans="1:15" x14ac:dyDescent="0.2">
      <c r="A256"/>
      <c r="B256"/>
      <c r="C256"/>
      <c r="F256"/>
      <c r="G256"/>
      <c r="H256"/>
      <c r="I256"/>
      <c r="L256"/>
      <c r="M256"/>
      <c r="N256"/>
      <c r="O256"/>
    </row>
    <row r="257" spans="1:15" x14ac:dyDescent="0.2">
      <c r="A257"/>
      <c r="B257"/>
      <c r="C257"/>
      <c r="F257"/>
      <c r="G257"/>
      <c r="I257"/>
      <c r="L257"/>
      <c r="M257"/>
      <c r="N257"/>
      <c r="O257"/>
    </row>
    <row r="258" spans="1:15" x14ac:dyDescent="0.2">
      <c r="A258"/>
      <c r="B258"/>
      <c r="C258"/>
      <c r="F258"/>
      <c r="G258"/>
      <c r="H258"/>
      <c r="J258"/>
      <c r="K258"/>
      <c r="L258"/>
      <c r="M258"/>
      <c r="N258"/>
      <c r="O258"/>
    </row>
    <row r="259" spans="1:15" x14ac:dyDescent="0.2">
      <c r="A259"/>
      <c r="B259"/>
      <c r="C259"/>
      <c r="F259"/>
      <c r="G259"/>
      <c r="J259"/>
      <c r="L259"/>
      <c r="M259"/>
      <c r="N259"/>
      <c r="O259"/>
    </row>
    <row r="260" spans="1:15" x14ac:dyDescent="0.2">
      <c r="A260"/>
      <c r="B260"/>
      <c r="C260"/>
      <c r="F260"/>
      <c r="G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L265"/>
      <c r="M265"/>
      <c r="N265"/>
      <c r="O265"/>
    </row>
    <row r="266" spans="1:15" x14ac:dyDescent="0.2">
      <c r="A266"/>
      <c r="B266"/>
      <c r="C266"/>
      <c r="F266"/>
      <c r="G266"/>
      <c r="H266"/>
      <c r="I266"/>
      <c r="L266"/>
      <c r="M266"/>
      <c r="N266"/>
      <c r="O266"/>
    </row>
    <row r="267" spans="1:15" x14ac:dyDescent="0.2">
      <c r="A267"/>
      <c r="B267"/>
      <c r="C267"/>
      <c r="F267"/>
      <c r="G267"/>
      <c r="H267"/>
      <c r="I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I331"/>
      <c r="L331"/>
      <c r="M331"/>
      <c r="N331"/>
      <c r="O331"/>
    </row>
    <row r="332" spans="1:15" x14ac:dyDescent="0.2">
      <c r="A332"/>
      <c r="B332"/>
      <c r="C332"/>
      <c r="F332"/>
      <c r="G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N336"/>
      <c r="O336"/>
    </row>
    <row r="337" spans="1:15" x14ac:dyDescent="0.2">
      <c r="A337"/>
      <c r="B337"/>
      <c r="C337"/>
      <c r="F337"/>
      <c r="G337"/>
      <c r="H337"/>
      <c r="I337"/>
      <c r="L337"/>
      <c r="M337"/>
      <c r="N337"/>
      <c r="O337"/>
    </row>
    <row r="338" spans="1:15" x14ac:dyDescent="0.2">
      <c r="A338"/>
      <c r="B338"/>
      <c r="C338"/>
      <c r="F338"/>
      <c r="G338"/>
      <c r="J338"/>
      <c r="K338"/>
      <c r="L338"/>
      <c r="M338"/>
      <c r="N338"/>
      <c r="O338"/>
    </row>
    <row r="339" spans="1:15" x14ac:dyDescent="0.2">
      <c r="A339"/>
      <c r="B339"/>
      <c r="C339"/>
      <c r="F339"/>
      <c r="G339"/>
      <c r="H339"/>
      <c r="J339"/>
      <c r="K339"/>
      <c r="L339"/>
      <c r="M339"/>
      <c r="N339"/>
      <c r="O339"/>
    </row>
    <row r="340" spans="1:15" x14ac:dyDescent="0.2">
      <c r="A340"/>
      <c r="B340"/>
      <c r="C340"/>
      <c r="F340"/>
      <c r="G340"/>
      <c r="M340"/>
      <c r="N340"/>
      <c r="O340"/>
    </row>
    <row r="341" spans="1:15" x14ac:dyDescent="0.2">
      <c r="A341"/>
      <c r="B341"/>
      <c r="C341"/>
      <c r="F341"/>
      <c r="G341"/>
      <c r="H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J344"/>
      <c r="K344"/>
      <c r="L344"/>
      <c r="M344"/>
      <c r="N344"/>
      <c r="O344"/>
    </row>
    <row r="345" spans="1:15" x14ac:dyDescent="0.2">
      <c r="A345"/>
      <c r="B345"/>
      <c r="C345"/>
      <c r="F345"/>
      <c r="G345"/>
      <c r="M345"/>
      <c r="N345"/>
      <c r="O345"/>
    </row>
    <row r="346" spans="1:15" x14ac:dyDescent="0.2">
      <c r="A346"/>
      <c r="B346"/>
      <c r="C346"/>
      <c r="F346"/>
      <c r="G346"/>
      <c r="L346"/>
      <c r="M346"/>
      <c r="N346"/>
      <c r="O346"/>
    </row>
    <row r="347" spans="1:15" x14ac:dyDescent="0.2">
      <c r="A347"/>
      <c r="B347"/>
      <c r="C347"/>
      <c r="F347"/>
      <c r="G347"/>
      <c r="H347"/>
      <c r="I347"/>
      <c r="J347"/>
      <c r="K347"/>
      <c r="L347"/>
      <c r="M347"/>
      <c r="N347"/>
      <c r="O347"/>
    </row>
    <row r="348" spans="1:15" x14ac:dyDescent="0.2">
      <c r="A348"/>
      <c r="B348"/>
      <c r="C348"/>
      <c r="F348"/>
      <c r="G348"/>
      <c r="H348"/>
      <c r="I348"/>
      <c r="L348"/>
      <c r="M348"/>
      <c r="N348"/>
      <c r="O348"/>
    </row>
    <row r="349" spans="1:15" x14ac:dyDescent="0.2">
      <c r="A349"/>
      <c r="B349"/>
      <c r="C349"/>
      <c r="F349"/>
      <c r="G349"/>
      <c r="H349"/>
      <c r="I349"/>
      <c r="L349"/>
      <c r="M349"/>
      <c r="N349"/>
      <c r="O349"/>
    </row>
    <row r="350" spans="1:15" x14ac:dyDescent="0.2">
      <c r="A350"/>
      <c r="B350"/>
      <c r="C350"/>
      <c r="F350"/>
      <c r="G350"/>
      <c r="H350"/>
      <c r="I350"/>
      <c r="L350"/>
      <c r="M350"/>
      <c r="N350"/>
      <c r="O350"/>
    </row>
    <row r="351" spans="1:15" x14ac:dyDescent="0.2">
      <c r="A351"/>
      <c r="B351"/>
      <c r="C351"/>
      <c r="F351"/>
      <c r="G351"/>
      <c r="I351"/>
      <c r="L351"/>
      <c r="M351"/>
      <c r="N351"/>
      <c r="O351"/>
    </row>
    <row r="352" spans="1:15" x14ac:dyDescent="0.2">
      <c r="A352"/>
      <c r="B352"/>
      <c r="C352"/>
      <c r="F352"/>
      <c r="G352"/>
      <c r="I352"/>
      <c r="L352"/>
      <c r="M352"/>
      <c r="N352"/>
      <c r="O352"/>
    </row>
    <row r="353" spans="1:15" x14ac:dyDescent="0.2">
      <c r="A353"/>
      <c r="B353"/>
      <c r="C353"/>
      <c r="F353"/>
      <c r="G353"/>
      <c r="J353"/>
      <c r="L353"/>
      <c r="M353"/>
      <c r="N353"/>
      <c r="O353"/>
    </row>
    <row r="354" spans="1:15" x14ac:dyDescent="0.2">
      <c r="A354"/>
      <c r="B354"/>
      <c r="C354"/>
      <c r="F354"/>
      <c r="G354"/>
      <c r="H354"/>
      <c r="I354"/>
      <c r="L354"/>
      <c r="M354"/>
      <c r="N354"/>
      <c r="O354"/>
    </row>
    <row r="355" spans="1:15" x14ac:dyDescent="0.2">
      <c r="A355"/>
      <c r="B355"/>
      <c r="C355"/>
      <c r="F355"/>
      <c r="G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M360"/>
      <c r="N360"/>
      <c r="O360"/>
    </row>
    <row r="361" spans="1:15" x14ac:dyDescent="0.2">
      <c r="A361"/>
      <c r="B361"/>
      <c r="C361"/>
      <c r="F361"/>
      <c r="G361"/>
      <c r="H361"/>
      <c r="I361"/>
      <c r="L361"/>
      <c r="M361"/>
      <c r="N361"/>
      <c r="O361"/>
    </row>
    <row r="362" spans="1:15" x14ac:dyDescent="0.2">
      <c r="A362"/>
      <c r="B362"/>
      <c r="C362"/>
      <c r="F362"/>
      <c r="G362"/>
      <c r="H362"/>
      <c r="I362"/>
      <c r="L362"/>
      <c r="M362"/>
      <c r="N362"/>
      <c r="O362"/>
    </row>
    <row r="363" spans="1:15" x14ac:dyDescent="0.2">
      <c r="A363"/>
      <c r="B363"/>
      <c r="C363"/>
      <c r="F363"/>
      <c r="G363"/>
      <c r="H363"/>
      <c r="I363"/>
      <c r="L363"/>
      <c r="N363"/>
      <c r="O363"/>
    </row>
    <row r="364" spans="1:15" x14ac:dyDescent="0.2">
      <c r="A364"/>
      <c r="B364"/>
      <c r="C364"/>
      <c r="F364"/>
      <c r="G364"/>
      <c r="H364"/>
      <c r="I364"/>
      <c r="L364"/>
      <c r="M364"/>
      <c r="N364"/>
      <c r="O364"/>
    </row>
    <row r="365" spans="1:15" x14ac:dyDescent="0.2">
      <c r="A365"/>
      <c r="B365"/>
      <c r="C365"/>
      <c r="F365"/>
      <c r="G365"/>
      <c r="L365"/>
      <c r="M365"/>
      <c r="N365"/>
      <c r="O365"/>
    </row>
    <row r="366" spans="1:15" x14ac:dyDescent="0.2">
      <c r="A366"/>
      <c r="B366"/>
      <c r="C366"/>
      <c r="F366"/>
      <c r="G366"/>
      <c r="I366"/>
      <c r="L366"/>
      <c r="M366"/>
      <c r="N366"/>
      <c r="O366"/>
    </row>
    <row r="367" spans="1:15" x14ac:dyDescent="0.2">
      <c r="A367"/>
      <c r="B367"/>
      <c r="C367"/>
      <c r="F367"/>
      <c r="G367"/>
      <c r="H367"/>
      <c r="I367"/>
      <c r="L367"/>
      <c r="N367"/>
      <c r="O367"/>
    </row>
    <row r="368" spans="1:15" x14ac:dyDescent="0.2">
      <c r="A368"/>
      <c r="B368"/>
      <c r="C368"/>
      <c r="F368"/>
      <c r="G368"/>
      <c r="I368"/>
      <c r="L368"/>
      <c r="M368"/>
      <c r="N368"/>
      <c r="O368"/>
    </row>
    <row r="369" spans="1:15" x14ac:dyDescent="0.2">
      <c r="A369"/>
      <c r="B369"/>
      <c r="C369"/>
      <c r="F369"/>
      <c r="G369"/>
      <c r="L369"/>
      <c r="M369"/>
      <c r="N369"/>
      <c r="O369"/>
    </row>
    <row r="370" spans="1:15" x14ac:dyDescent="0.2">
      <c r="A370"/>
      <c r="B370"/>
      <c r="C370"/>
      <c r="F370"/>
      <c r="G370"/>
      <c r="H370"/>
      <c r="I370"/>
      <c r="L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I373"/>
      <c r="L373"/>
      <c r="M373"/>
      <c r="N373"/>
      <c r="O373"/>
    </row>
    <row r="374" spans="1:15" x14ac:dyDescent="0.2">
      <c r="A374"/>
      <c r="B374"/>
      <c r="C374"/>
      <c r="F374"/>
      <c r="G374"/>
      <c r="I374"/>
      <c r="L374"/>
      <c r="M374"/>
      <c r="N374"/>
      <c r="O374"/>
    </row>
    <row r="375" spans="1:15" x14ac:dyDescent="0.2">
      <c r="A375"/>
      <c r="B375"/>
      <c r="C375"/>
      <c r="F375"/>
      <c r="G375"/>
      <c r="L375"/>
      <c r="N375"/>
      <c r="O375"/>
    </row>
    <row r="376" spans="1:15" x14ac:dyDescent="0.2">
      <c r="A376"/>
      <c r="B376"/>
      <c r="C376"/>
      <c r="F376"/>
      <c r="G376"/>
      <c r="H376"/>
      <c r="I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L379"/>
      <c r="M379"/>
      <c r="N379"/>
      <c r="O379"/>
    </row>
    <row r="380" spans="1:15" x14ac:dyDescent="0.2">
      <c r="A380"/>
      <c r="B380"/>
      <c r="C380"/>
      <c r="F380"/>
      <c r="G380"/>
      <c r="J380"/>
      <c r="K380"/>
      <c r="L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H383"/>
      <c r="I383"/>
      <c r="L383"/>
      <c r="M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M386"/>
      <c r="N386"/>
      <c r="O386"/>
    </row>
    <row r="387" spans="1:15" x14ac:dyDescent="0.2">
      <c r="A387"/>
      <c r="B387"/>
      <c r="C387"/>
      <c r="F387"/>
      <c r="G387"/>
      <c r="J387"/>
      <c r="K387"/>
      <c r="L387"/>
      <c r="M387"/>
      <c r="N387"/>
      <c r="O387"/>
    </row>
    <row r="388" spans="1:15" x14ac:dyDescent="0.2">
      <c r="A388"/>
      <c r="B388"/>
      <c r="C388"/>
      <c r="F388"/>
      <c r="G388"/>
      <c r="H388"/>
      <c r="I388"/>
      <c r="L388"/>
      <c r="M388"/>
      <c r="N388"/>
      <c r="O388"/>
    </row>
    <row r="389" spans="1:15" x14ac:dyDescent="0.2">
      <c r="A389"/>
      <c r="B389"/>
      <c r="C389"/>
      <c r="F389"/>
      <c r="G389"/>
      <c r="I389"/>
      <c r="L389"/>
      <c r="M389"/>
      <c r="N389"/>
      <c r="O389"/>
    </row>
    <row r="390" spans="1:15" x14ac:dyDescent="0.2">
      <c r="A390"/>
      <c r="B390"/>
      <c r="C390"/>
      <c r="F390"/>
      <c r="G390"/>
      <c r="H390"/>
      <c r="I390"/>
      <c r="L390"/>
      <c r="M390"/>
      <c r="N390"/>
      <c r="O390"/>
    </row>
    <row r="391" spans="1:15" x14ac:dyDescent="0.2">
      <c r="A391"/>
      <c r="B391"/>
      <c r="C391"/>
      <c r="F391"/>
      <c r="G391"/>
      <c r="I391"/>
      <c r="L391"/>
      <c r="M391"/>
      <c r="N391"/>
      <c r="O391"/>
    </row>
    <row r="392" spans="1:15" x14ac:dyDescent="0.2">
      <c r="A392"/>
      <c r="B392"/>
      <c r="C392"/>
      <c r="F392"/>
      <c r="G392"/>
      <c r="J392"/>
      <c r="K392"/>
      <c r="L392"/>
      <c r="M392"/>
      <c r="N392"/>
      <c r="O392"/>
    </row>
    <row r="393" spans="1:15" x14ac:dyDescent="0.2">
      <c r="A393"/>
      <c r="B393"/>
      <c r="C393"/>
      <c r="F393"/>
      <c r="G393"/>
      <c r="I393"/>
      <c r="L393"/>
      <c r="M393"/>
      <c r="N393"/>
      <c r="O393"/>
    </row>
    <row r="394" spans="1:15" x14ac:dyDescent="0.2">
      <c r="A394"/>
      <c r="B394"/>
      <c r="C394"/>
      <c r="F394"/>
      <c r="G394"/>
      <c r="H394"/>
      <c r="I394"/>
      <c r="L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L397"/>
      <c r="M397"/>
      <c r="N397"/>
      <c r="O397"/>
    </row>
    <row r="398" spans="1:15" x14ac:dyDescent="0.2">
      <c r="A398"/>
      <c r="B398"/>
      <c r="C398"/>
      <c r="F398"/>
      <c r="G398"/>
      <c r="I398"/>
      <c r="L398"/>
      <c r="M398"/>
      <c r="N398"/>
      <c r="O398"/>
    </row>
    <row r="399" spans="1:15" x14ac:dyDescent="0.2">
      <c r="A399"/>
      <c r="B399"/>
      <c r="C399"/>
      <c r="F399"/>
      <c r="G399"/>
      <c r="H399"/>
      <c r="I399"/>
      <c r="L399"/>
      <c r="M399"/>
      <c r="N399"/>
      <c r="O399"/>
    </row>
    <row r="400" spans="1:15" x14ac:dyDescent="0.2">
      <c r="A400"/>
      <c r="B400"/>
      <c r="C400"/>
      <c r="F400"/>
      <c r="G400"/>
      <c r="M400"/>
      <c r="N400"/>
      <c r="O400"/>
    </row>
    <row r="401" spans="1:15" x14ac:dyDescent="0.2">
      <c r="A401"/>
      <c r="B401"/>
      <c r="C401"/>
      <c r="F401"/>
      <c r="G401"/>
      <c r="H401"/>
      <c r="J401"/>
      <c r="K401"/>
      <c r="L401"/>
      <c r="M401"/>
      <c r="N401"/>
      <c r="O401"/>
    </row>
    <row r="402" spans="1:15" x14ac:dyDescent="0.2">
      <c r="A402"/>
      <c r="B402"/>
      <c r="C402"/>
      <c r="F402"/>
      <c r="G402"/>
      <c r="H402"/>
      <c r="J402"/>
      <c r="K402"/>
      <c r="L402"/>
      <c r="M402"/>
      <c r="N402"/>
      <c r="O402"/>
    </row>
    <row r="403" spans="1:15" x14ac:dyDescent="0.2">
      <c r="A403"/>
      <c r="B403"/>
      <c r="C403"/>
      <c r="F403"/>
      <c r="G403"/>
      <c r="H403"/>
      <c r="L403"/>
      <c r="M403"/>
      <c r="N403"/>
      <c r="O403"/>
    </row>
    <row r="404" spans="1:15" x14ac:dyDescent="0.2">
      <c r="A404"/>
      <c r="B404"/>
      <c r="C404"/>
      <c r="F404"/>
      <c r="G404"/>
      <c r="J404"/>
      <c r="K404"/>
      <c r="L404"/>
      <c r="M404"/>
      <c r="N404"/>
      <c r="O404"/>
    </row>
    <row r="405" spans="1:15" x14ac:dyDescent="0.2">
      <c r="A405"/>
      <c r="B405"/>
      <c r="C405"/>
      <c r="F405"/>
      <c r="G405"/>
      <c r="H405"/>
      <c r="J405"/>
      <c r="K405"/>
      <c r="L405"/>
      <c r="M405"/>
      <c r="N405"/>
      <c r="O405"/>
    </row>
    <row r="406" spans="1:15" x14ac:dyDescent="0.2">
      <c r="A406"/>
      <c r="B406"/>
      <c r="C406"/>
      <c r="G406"/>
      <c r="M406"/>
      <c r="N406"/>
      <c r="O406"/>
    </row>
    <row r="407" spans="1:15" x14ac:dyDescent="0.2">
      <c r="A407"/>
      <c r="B407"/>
      <c r="C407"/>
      <c r="F407"/>
      <c r="G407"/>
      <c r="H407"/>
      <c r="J407"/>
      <c r="K407"/>
      <c r="L407"/>
      <c r="M407"/>
      <c r="N407"/>
      <c r="O407"/>
    </row>
    <row r="408" spans="1:15" x14ac:dyDescent="0.2">
      <c r="A408"/>
      <c r="B408"/>
      <c r="C408"/>
      <c r="F408"/>
      <c r="G408"/>
      <c r="H408"/>
      <c r="K408"/>
      <c r="L408"/>
      <c r="M408"/>
      <c r="N408"/>
      <c r="O408"/>
    </row>
    <row r="409" spans="1:15" x14ac:dyDescent="0.2">
      <c r="A409"/>
      <c r="B409"/>
      <c r="C409"/>
      <c r="F409"/>
      <c r="G409"/>
      <c r="H409"/>
      <c r="I409"/>
      <c r="L409"/>
      <c r="N409"/>
      <c r="O409"/>
    </row>
    <row r="410" spans="1:15" x14ac:dyDescent="0.2">
      <c r="A410"/>
      <c r="B410"/>
      <c r="C410"/>
      <c r="F410"/>
      <c r="G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M415"/>
      <c r="N415"/>
      <c r="O415"/>
    </row>
    <row r="416" spans="1:15" x14ac:dyDescent="0.2">
      <c r="A416"/>
      <c r="B416"/>
      <c r="C416"/>
      <c r="F416"/>
      <c r="G416"/>
      <c r="H416"/>
      <c r="J416"/>
      <c r="K416"/>
      <c r="L416"/>
      <c r="M416"/>
      <c r="N416"/>
      <c r="O416"/>
    </row>
    <row r="417" spans="1:15" x14ac:dyDescent="0.2">
      <c r="A417"/>
      <c r="B417"/>
      <c r="C417"/>
      <c r="F417"/>
      <c r="G417"/>
      <c r="H417"/>
      <c r="I417"/>
      <c r="L417"/>
      <c r="M417"/>
      <c r="N417"/>
      <c r="O417"/>
    </row>
    <row r="418" spans="1:15" x14ac:dyDescent="0.2">
      <c r="A418"/>
      <c r="B418"/>
      <c r="C418"/>
      <c r="F418"/>
      <c r="G418"/>
      <c r="H418"/>
      <c r="I418"/>
      <c r="L418"/>
      <c r="M418"/>
      <c r="N418"/>
      <c r="O418"/>
    </row>
    <row r="419" spans="1:15" x14ac:dyDescent="0.2">
      <c r="A419"/>
      <c r="B419"/>
      <c r="C419"/>
      <c r="F419"/>
      <c r="G419"/>
      <c r="L419"/>
      <c r="M419"/>
      <c r="N419"/>
      <c r="O419"/>
    </row>
    <row r="420" spans="1:15" x14ac:dyDescent="0.2">
      <c r="A420"/>
      <c r="B420"/>
      <c r="C420"/>
      <c r="F420"/>
      <c r="G420"/>
      <c r="I420"/>
      <c r="L420"/>
      <c r="M420"/>
      <c r="N420"/>
      <c r="O420"/>
    </row>
    <row r="421" spans="1:15" x14ac:dyDescent="0.2">
      <c r="A421"/>
      <c r="B421"/>
      <c r="C421"/>
      <c r="F421"/>
      <c r="G421"/>
      <c r="H421"/>
      <c r="I421"/>
      <c r="L421"/>
      <c r="N421"/>
      <c r="O421"/>
    </row>
    <row r="422" spans="1:15" x14ac:dyDescent="0.2">
      <c r="A422"/>
      <c r="B422"/>
      <c r="C422"/>
      <c r="F422"/>
      <c r="G422"/>
      <c r="I422"/>
      <c r="L422"/>
      <c r="M422"/>
      <c r="N422"/>
      <c r="O422"/>
    </row>
    <row r="423" spans="1:15" x14ac:dyDescent="0.2">
      <c r="A423"/>
      <c r="B423"/>
      <c r="C423"/>
      <c r="F423"/>
      <c r="G423"/>
      <c r="I423"/>
      <c r="L423"/>
      <c r="M423"/>
      <c r="N423"/>
      <c r="O423"/>
    </row>
    <row r="424" spans="1:15" x14ac:dyDescent="0.2">
      <c r="A424"/>
      <c r="B424"/>
      <c r="C424"/>
      <c r="F424"/>
      <c r="G424"/>
      <c r="H424"/>
      <c r="I424"/>
      <c r="L424"/>
      <c r="M424"/>
      <c r="N424"/>
      <c r="O424"/>
    </row>
    <row r="425" spans="1:15" x14ac:dyDescent="0.2">
      <c r="A425"/>
      <c r="B425"/>
      <c r="C425"/>
      <c r="F425"/>
      <c r="G425"/>
      <c r="H425"/>
      <c r="I425"/>
      <c r="L425"/>
      <c r="M425"/>
      <c r="N425"/>
      <c r="O425"/>
    </row>
    <row r="426" spans="1:15" x14ac:dyDescent="0.2">
      <c r="A426"/>
      <c r="B426"/>
      <c r="C426"/>
      <c r="F426"/>
      <c r="G426"/>
      <c r="H426"/>
      <c r="I426"/>
      <c r="L426"/>
      <c r="N426"/>
      <c r="O426"/>
    </row>
    <row r="427" spans="1:15" x14ac:dyDescent="0.2">
      <c r="A427"/>
      <c r="B427"/>
      <c r="C427"/>
      <c r="F427"/>
      <c r="G427"/>
      <c r="H427"/>
      <c r="I427"/>
      <c r="L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N434"/>
      <c r="O434"/>
    </row>
    <row r="435" spans="1:15" x14ac:dyDescent="0.2">
      <c r="A435"/>
      <c r="B435"/>
      <c r="C435"/>
      <c r="F435"/>
      <c r="G435"/>
      <c r="H435"/>
      <c r="I435"/>
      <c r="L435"/>
      <c r="N435"/>
      <c r="O435"/>
    </row>
    <row r="436" spans="1:15" x14ac:dyDescent="0.2">
      <c r="A436"/>
      <c r="B436"/>
      <c r="C436"/>
      <c r="F436"/>
      <c r="G436"/>
      <c r="I436"/>
      <c r="L436"/>
      <c r="M436"/>
      <c r="N436"/>
      <c r="O436"/>
    </row>
    <row r="437" spans="1:15" x14ac:dyDescent="0.2">
      <c r="A437"/>
      <c r="B437"/>
      <c r="C437"/>
      <c r="F437"/>
      <c r="G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I447"/>
      <c r="L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I455"/>
      <c r="L455"/>
      <c r="M455"/>
      <c r="N455"/>
      <c r="O455"/>
    </row>
    <row r="456" spans="1:15" x14ac:dyDescent="0.2">
      <c r="A456"/>
      <c r="B456"/>
      <c r="C456"/>
      <c r="F456"/>
      <c r="G456"/>
      <c r="I456"/>
      <c r="L456"/>
      <c r="M456"/>
      <c r="N456"/>
      <c r="O456"/>
    </row>
    <row r="457" spans="1:15" x14ac:dyDescent="0.2">
      <c r="A457"/>
      <c r="B457"/>
      <c r="C457"/>
      <c r="F457"/>
      <c r="G457"/>
      <c r="M457"/>
      <c r="N457"/>
      <c r="O457"/>
    </row>
    <row r="458" spans="1:15" x14ac:dyDescent="0.2">
      <c r="A458"/>
      <c r="B458"/>
      <c r="C458"/>
      <c r="F458"/>
      <c r="G458"/>
      <c r="H458"/>
      <c r="I458"/>
      <c r="L458"/>
      <c r="M458"/>
      <c r="N458"/>
      <c r="O458"/>
    </row>
    <row r="459" spans="1:15" x14ac:dyDescent="0.2">
      <c r="A459"/>
      <c r="B459"/>
      <c r="C459"/>
      <c r="F459"/>
      <c r="G459"/>
      <c r="I459"/>
      <c r="L459"/>
      <c r="M459"/>
      <c r="N459"/>
      <c r="O459"/>
    </row>
    <row r="460" spans="1:15" x14ac:dyDescent="0.2">
      <c r="A460"/>
      <c r="B460"/>
      <c r="C460"/>
      <c r="F460"/>
      <c r="G460"/>
      <c r="M460"/>
      <c r="N460"/>
      <c r="O460"/>
    </row>
    <row r="461" spans="1:15" x14ac:dyDescent="0.2">
      <c r="A461"/>
      <c r="B461"/>
      <c r="C461"/>
      <c r="F461"/>
      <c r="G461"/>
      <c r="H461"/>
      <c r="I461"/>
      <c r="J461"/>
      <c r="K461"/>
      <c r="L461"/>
      <c r="M461"/>
      <c r="N461"/>
      <c r="O461"/>
    </row>
    <row r="462" spans="1:15" x14ac:dyDescent="0.2">
      <c r="A462"/>
      <c r="B462"/>
      <c r="C462"/>
      <c r="F462"/>
      <c r="G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H468"/>
      <c r="L468"/>
      <c r="M468"/>
      <c r="N468"/>
      <c r="O468"/>
    </row>
    <row r="469" spans="1:15" x14ac:dyDescent="0.2">
      <c r="A469"/>
      <c r="B469"/>
      <c r="C469"/>
      <c r="F469"/>
      <c r="G469"/>
      <c r="H469"/>
      <c r="I469"/>
      <c r="L469"/>
      <c r="M469"/>
      <c r="N469"/>
      <c r="O469"/>
    </row>
    <row r="470" spans="1:15" x14ac:dyDescent="0.2">
      <c r="A470"/>
      <c r="B470"/>
      <c r="C470"/>
      <c r="F470"/>
      <c r="G470"/>
      <c r="H470"/>
      <c r="J470"/>
      <c r="K470"/>
      <c r="L470"/>
      <c r="M470"/>
      <c r="N470"/>
      <c r="O470"/>
    </row>
    <row r="471" spans="1:15" x14ac:dyDescent="0.2">
      <c r="A471"/>
      <c r="B471"/>
      <c r="C471"/>
      <c r="F471"/>
      <c r="G471"/>
      <c r="H471"/>
      <c r="J471"/>
      <c r="K471"/>
      <c r="L471"/>
      <c r="M471"/>
      <c r="N471"/>
      <c r="O471"/>
    </row>
    <row r="472" spans="1:15" x14ac:dyDescent="0.2">
      <c r="A472"/>
      <c r="B472"/>
      <c r="C472"/>
      <c r="F472"/>
      <c r="G472"/>
      <c r="J472"/>
      <c r="K472"/>
      <c r="L472"/>
      <c r="M472"/>
      <c r="N472"/>
      <c r="O472"/>
    </row>
    <row r="473" spans="1:15" x14ac:dyDescent="0.2">
      <c r="A473"/>
      <c r="B473"/>
      <c r="C473"/>
      <c r="F473"/>
      <c r="G473"/>
      <c r="J473"/>
      <c r="K473"/>
      <c r="L473"/>
      <c r="M473"/>
      <c r="N473"/>
      <c r="O473"/>
    </row>
    <row r="474" spans="1:15" x14ac:dyDescent="0.2">
      <c r="A474"/>
      <c r="B474"/>
      <c r="C474"/>
      <c r="F474"/>
      <c r="G474"/>
      <c r="H474"/>
      <c r="I474"/>
      <c r="L474"/>
      <c r="N474"/>
      <c r="O474"/>
    </row>
    <row r="475" spans="1:15" x14ac:dyDescent="0.2">
      <c r="A475"/>
      <c r="B475"/>
      <c r="C475"/>
      <c r="F475"/>
      <c r="G475"/>
      <c r="J475"/>
      <c r="K475"/>
      <c r="L475"/>
      <c r="M475"/>
      <c r="N475"/>
      <c r="O475"/>
    </row>
    <row r="476" spans="1:15" x14ac:dyDescent="0.2">
      <c r="A476"/>
      <c r="B476"/>
      <c r="C476"/>
      <c r="F476"/>
      <c r="G476"/>
      <c r="I476"/>
      <c r="L476"/>
      <c r="M476"/>
      <c r="N476"/>
      <c r="O476"/>
    </row>
    <row r="477" spans="1:15" x14ac:dyDescent="0.2">
      <c r="A477"/>
      <c r="B477"/>
      <c r="C477"/>
      <c r="F477"/>
      <c r="G477"/>
      <c r="H477"/>
      <c r="I477"/>
      <c r="L477"/>
      <c r="M477"/>
      <c r="N477"/>
      <c r="O477"/>
    </row>
    <row r="478" spans="1:15" x14ac:dyDescent="0.2">
      <c r="A478"/>
      <c r="B478"/>
      <c r="C478"/>
      <c r="F478"/>
      <c r="G478"/>
      <c r="L478"/>
      <c r="M478"/>
      <c r="N478"/>
      <c r="O478"/>
    </row>
    <row r="479" spans="1:15" x14ac:dyDescent="0.2">
      <c r="A479"/>
      <c r="B479"/>
      <c r="C479"/>
      <c r="F479"/>
      <c r="G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I485"/>
      <c r="L485"/>
      <c r="M485"/>
      <c r="N485"/>
      <c r="O485"/>
    </row>
    <row r="486" spans="1:15" x14ac:dyDescent="0.2">
      <c r="A486"/>
      <c r="B486"/>
      <c r="C486"/>
      <c r="F486"/>
      <c r="G486"/>
      <c r="I486"/>
      <c r="L486"/>
      <c r="M486"/>
      <c r="N486"/>
      <c r="O486"/>
    </row>
    <row r="487" spans="1:15" x14ac:dyDescent="0.2">
      <c r="A487"/>
      <c r="B487"/>
      <c r="C487"/>
      <c r="F487"/>
      <c r="G487"/>
      <c r="H487"/>
      <c r="I487"/>
      <c r="L487"/>
      <c r="M487"/>
      <c r="N487"/>
      <c r="O487"/>
    </row>
    <row r="488" spans="1:15" x14ac:dyDescent="0.2">
      <c r="A488"/>
      <c r="B488"/>
      <c r="C488"/>
      <c r="F488"/>
      <c r="G488"/>
      <c r="H488"/>
      <c r="I488"/>
      <c r="L488"/>
      <c r="M488"/>
      <c r="N488"/>
      <c r="O488"/>
    </row>
    <row r="489" spans="1:15" x14ac:dyDescent="0.2">
      <c r="A489"/>
      <c r="B489"/>
      <c r="C489"/>
      <c r="F489"/>
      <c r="G489"/>
      <c r="H489"/>
      <c r="I489"/>
      <c r="L489"/>
      <c r="M489"/>
      <c r="N489"/>
      <c r="O489"/>
    </row>
    <row r="490" spans="1:15" x14ac:dyDescent="0.2">
      <c r="A490"/>
      <c r="B490"/>
      <c r="C490"/>
      <c r="F490"/>
      <c r="G490"/>
      <c r="J490"/>
      <c r="L490"/>
      <c r="M490"/>
      <c r="N490"/>
      <c r="O490"/>
    </row>
    <row r="491" spans="1:15" x14ac:dyDescent="0.2">
      <c r="A491"/>
      <c r="B491"/>
      <c r="C491"/>
      <c r="F491"/>
      <c r="G491"/>
      <c r="H491"/>
      <c r="I491"/>
      <c r="L491"/>
      <c r="M491"/>
      <c r="N491"/>
      <c r="O491"/>
    </row>
    <row r="492" spans="1:15" x14ac:dyDescent="0.2">
      <c r="A492"/>
      <c r="B492"/>
      <c r="C492"/>
      <c r="F492"/>
      <c r="G492"/>
      <c r="I492"/>
      <c r="L492"/>
      <c r="M492"/>
      <c r="N492"/>
      <c r="O492"/>
    </row>
    <row r="493" spans="1:15" x14ac:dyDescent="0.2">
      <c r="A493"/>
      <c r="B493"/>
      <c r="C493"/>
      <c r="F493"/>
      <c r="G493"/>
      <c r="I493"/>
      <c r="L493"/>
      <c r="M493"/>
      <c r="N493"/>
      <c r="O493"/>
    </row>
    <row r="494" spans="1:15" x14ac:dyDescent="0.2">
      <c r="A494"/>
      <c r="B494"/>
      <c r="C494"/>
      <c r="F494"/>
      <c r="G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I500"/>
      <c r="L500"/>
      <c r="M500"/>
      <c r="N500"/>
      <c r="O500"/>
    </row>
    <row r="501" spans="1:15" x14ac:dyDescent="0.2">
      <c r="A501"/>
      <c r="B501"/>
      <c r="C501"/>
      <c r="F501"/>
      <c r="G501"/>
      <c r="H501"/>
      <c r="J501"/>
      <c r="K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H505"/>
      <c r="I505"/>
      <c r="L505"/>
      <c r="M505"/>
      <c r="N505"/>
      <c r="O505"/>
    </row>
    <row r="506" spans="1:15" x14ac:dyDescent="0.2">
      <c r="A506"/>
      <c r="B506"/>
      <c r="C506"/>
      <c r="F506"/>
      <c r="G506"/>
      <c r="H506"/>
      <c r="I506"/>
      <c r="L506"/>
      <c r="M506"/>
      <c r="N506"/>
      <c r="O506"/>
    </row>
    <row r="507" spans="1:15" x14ac:dyDescent="0.2">
      <c r="A507"/>
      <c r="B507"/>
      <c r="C507"/>
      <c r="F507"/>
      <c r="G507"/>
      <c r="H507"/>
      <c r="J507"/>
      <c r="K507"/>
      <c r="L507"/>
      <c r="M507"/>
      <c r="N507"/>
      <c r="O507"/>
    </row>
    <row r="508" spans="1:15" x14ac:dyDescent="0.2">
      <c r="A508"/>
      <c r="B508"/>
      <c r="C508"/>
      <c r="F508"/>
      <c r="G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H511"/>
      <c r="I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J514"/>
      <c r="K514"/>
      <c r="L514"/>
      <c r="M514"/>
      <c r="N514"/>
      <c r="O514"/>
    </row>
    <row r="515" spans="1:15" x14ac:dyDescent="0.2">
      <c r="A515"/>
      <c r="B515"/>
      <c r="C515"/>
      <c r="F515"/>
      <c r="G515"/>
      <c r="H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I518"/>
      <c r="L518"/>
      <c r="M518"/>
      <c r="N518"/>
      <c r="O518"/>
    </row>
    <row r="519" spans="1:15" x14ac:dyDescent="0.2">
      <c r="A519"/>
      <c r="B519"/>
      <c r="C519"/>
      <c r="F519"/>
      <c r="G519"/>
      <c r="I519"/>
      <c r="L519"/>
      <c r="M519"/>
      <c r="N519"/>
      <c r="O519"/>
    </row>
    <row r="520" spans="1:15" x14ac:dyDescent="0.2">
      <c r="A520"/>
      <c r="B520"/>
      <c r="C520"/>
      <c r="F520"/>
      <c r="G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J527"/>
      <c r="L527"/>
      <c r="M527"/>
      <c r="N527"/>
      <c r="O527"/>
    </row>
    <row r="528" spans="1:15" x14ac:dyDescent="0.2">
      <c r="A528"/>
      <c r="B528"/>
      <c r="C528"/>
      <c r="F528"/>
      <c r="G528"/>
      <c r="H528"/>
      <c r="L528"/>
      <c r="M528"/>
      <c r="N528"/>
      <c r="O528"/>
    </row>
    <row r="529" spans="1:15" x14ac:dyDescent="0.2">
      <c r="A529"/>
      <c r="B529"/>
      <c r="C529"/>
      <c r="F529"/>
      <c r="G529"/>
      <c r="J529"/>
      <c r="K529"/>
      <c r="L529"/>
      <c r="M529"/>
      <c r="N529"/>
      <c r="O529"/>
    </row>
    <row r="530" spans="1:15" x14ac:dyDescent="0.2">
      <c r="A530"/>
      <c r="B530"/>
      <c r="C530"/>
      <c r="F530"/>
      <c r="G530"/>
      <c r="L530"/>
      <c r="M530"/>
      <c r="N530"/>
      <c r="O530"/>
    </row>
    <row r="531" spans="1:15" x14ac:dyDescent="0.2">
      <c r="A531"/>
      <c r="B531"/>
      <c r="C531"/>
      <c r="F531"/>
      <c r="G531"/>
      <c r="H531"/>
      <c r="J531"/>
      <c r="K531"/>
      <c r="L531"/>
      <c r="M531"/>
      <c r="N531"/>
      <c r="O531"/>
    </row>
    <row r="532" spans="1:15" x14ac:dyDescent="0.2">
      <c r="A532"/>
      <c r="B532"/>
      <c r="C532"/>
      <c r="F532"/>
      <c r="G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I539"/>
      <c r="L539"/>
      <c r="M539"/>
      <c r="N539"/>
      <c r="O539"/>
    </row>
    <row r="540" spans="1:15" x14ac:dyDescent="0.2">
      <c r="A540"/>
      <c r="B540"/>
      <c r="C540"/>
      <c r="F540"/>
      <c r="G540"/>
      <c r="I540"/>
      <c r="L540"/>
      <c r="M540"/>
      <c r="N540"/>
      <c r="O540"/>
    </row>
    <row r="541" spans="1:15" x14ac:dyDescent="0.2">
      <c r="A541"/>
      <c r="B541"/>
      <c r="C541"/>
      <c r="F541"/>
      <c r="G541"/>
      <c r="I541"/>
      <c r="L541"/>
      <c r="M541"/>
      <c r="N541"/>
      <c r="O541"/>
    </row>
    <row r="542" spans="1:15" x14ac:dyDescent="0.2">
      <c r="A542"/>
      <c r="B542"/>
      <c r="C542"/>
      <c r="F542"/>
      <c r="G542"/>
      <c r="H542"/>
      <c r="I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H545"/>
      <c r="I545"/>
      <c r="L545"/>
      <c r="M545"/>
      <c r="N545"/>
      <c r="O545"/>
    </row>
    <row r="546" spans="1:15" x14ac:dyDescent="0.2">
      <c r="A546"/>
      <c r="B546"/>
      <c r="C546"/>
      <c r="F546"/>
      <c r="G546"/>
      <c r="I546"/>
      <c r="L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M549"/>
      <c r="N549"/>
      <c r="O549"/>
    </row>
    <row r="550" spans="1:15" x14ac:dyDescent="0.2">
      <c r="A550"/>
      <c r="B550"/>
      <c r="C550"/>
      <c r="F550"/>
      <c r="G550"/>
      <c r="H550"/>
      <c r="I550"/>
      <c r="L550"/>
      <c r="M550"/>
      <c r="N550"/>
      <c r="O550"/>
    </row>
    <row r="551" spans="1:15" x14ac:dyDescent="0.2">
      <c r="A551"/>
      <c r="B551"/>
      <c r="C551"/>
      <c r="F551"/>
      <c r="G551"/>
      <c r="I551"/>
      <c r="L551"/>
      <c r="M551"/>
      <c r="N551"/>
      <c r="O551"/>
    </row>
    <row r="552" spans="1:15" x14ac:dyDescent="0.2">
      <c r="A552"/>
      <c r="B552"/>
      <c r="C552"/>
      <c r="F552"/>
      <c r="G552"/>
      <c r="M552"/>
      <c r="N552"/>
      <c r="O552"/>
    </row>
    <row r="553" spans="1:15" x14ac:dyDescent="0.2">
      <c r="A553"/>
      <c r="B553"/>
      <c r="C553"/>
      <c r="F553"/>
      <c r="G553"/>
      <c r="H553"/>
      <c r="I553"/>
      <c r="L553"/>
      <c r="M553"/>
      <c r="N553"/>
      <c r="O553"/>
    </row>
    <row r="554" spans="1:15" x14ac:dyDescent="0.2">
      <c r="A554"/>
      <c r="B554"/>
      <c r="C554"/>
      <c r="F554"/>
      <c r="G554"/>
      <c r="H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H557"/>
      <c r="I557"/>
      <c r="L557"/>
      <c r="M557"/>
      <c r="N557"/>
      <c r="O557"/>
    </row>
    <row r="558" spans="1:15" x14ac:dyDescent="0.2">
      <c r="A558"/>
      <c r="B558"/>
      <c r="C558"/>
      <c r="F558"/>
      <c r="G558"/>
      <c r="I558"/>
      <c r="L558"/>
      <c r="M558"/>
      <c r="N558"/>
      <c r="O558"/>
    </row>
    <row r="559" spans="1:15" x14ac:dyDescent="0.2">
      <c r="A559"/>
      <c r="B559"/>
      <c r="C559"/>
      <c r="F559"/>
      <c r="G559"/>
      <c r="L559"/>
      <c r="M559"/>
      <c r="N559"/>
      <c r="O559"/>
    </row>
    <row r="560" spans="1:15" x14ac:dyDescent="0.2">
      <c r="A560"/>
      <c r="B560"/>
      <c r="C560"/>
      <c r="F560"/>
      <c r="G560"/>
      <c r="I560"/>
      <c r="L560"/>
      <c r="M560"/>
      <c r="N560"/>
      <c r="O560"/>
    </row>
    <row r="561" spans="1:15" x14ac:dyDescent="0.2">
      <c r="A561"/>
      <c r="B561"/>
      <c r="C561"/>
      <c r="F561"/>
      <c r="G561"/>
      <c r="H561"/>
      <c r="I561"/>
      <c r="L561"/>
      <c r="N561"/>
      <c r="O561"/>
    </row>
    <row r="562" spans="1:15" x14ac:dyDescent="0.2">
      <c r="A562"/>
      <c r="B562"/>
      <c r="C562"/>
      <c r="F562"/>
      <c r="G562"/>
      <c r="H562"/>
      <c r="I562"/>
      <c r="L562"/>
      <c r="N562"/>
      <c r="O562"/>
    </row>
    <row r="563" spans="1:15" x14ac:dyDescent="0.2">
      <c r="A563"/>
      <c r="B563"/>
      <c r="C563"/>
      <c r="F563"/>
      <c r="G563"/>
      <c r="M563"/>
      <c r="N563"/>
      <c r="O563"/>
    </row>
    <row r="564" spans="1:15" x14ac:dyDescent="0.2">
      <c r="A564"/>
      <c r="B564"/>
      <c r="C564"/>
      <c r="F564"/>
      <c r="G564"/>
      <c r="I564"/>
      <c r="L564"/>
      <c r="M564"/>
      <c r="N564"/>
      <c r="O564"/>
    </row>
    <row r="565" spans="1:15" x14ac:dyDescent="0.2">
      <c r="A565"/>
      <c r="B565"/>
      <c r="C565"/>
      <c r="F565"/>
      <c r="G565"/>
      <c r="H565"/>
      <c r="I565"/>
      <c r="L565"/>
      <c r="M565"/>
      <c r="N565"/>
      <c r="O565"/>
    </row>
    <row r="566" spans="1:15" x14ac:dyDescent="0.2">
      <c r="A566"/>
      <c r="B566"/>
      <c r="C566"/>
      <c r="F566"/>
      <c r="G566"/>
      <c r="L566"/>
      <c r="M566"/>
      <c r="N566"/>
      <c r="O566"/>
    </row>
    <row r="567" spans="1:15" x14ac:dyDescent="0.2">
      <c r="A567"/>
      <c r="B567"/>
      <c r="C567"/>
      <c r="F567"/>
      <c r="G567"/>
      <c r="H567"/>
      <c r="I567"/>
      <c r="L567"/>
      <c r="M567"/>
      <c r="N567"/>
      <c r="O567"/>
    </row>
    <row r="568" spans="1:15" x14ac:dyDescent="0.2">
      <c r="A568"/>
      <c r="B568"/>
      <c r="C568"/>
      <c r="F568"/>
      <c r="G568"/>
      <c r="J568"/>
      <c r="K568"/>
      <c r="L568"/>
      <c r="M568"/>
      <c r="N568"/>
      <c r="O568"/>
    </row>
    <row r="569" spans="1:15" x14ac:dyDescent="0.2">
      <c r="A569"/>
      <c r="B569"/>
      <c r="C569"/>
      <c r="F569"/>
      <c r="G569"/>
      <c r="H569"/>
      <c r="I569"/>
      <c r="L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J572"/>
      <c r="M572"/>
      <c r="N572"/>
      <c r="O572"/>
    </row>
    <row r="573" spans="1:15" x14ac:dyDescent="0.2">
      <c r="A573"/>
      <c r="B573"/>
      <c r="C573"/>
      <c r="F573"/>
      <c r="G573"/>
      <c r="H573"/>
      <c r="I573"/>
      <c r="L573"/>
      <c r="M573"/>
      <c r="N573"/>
      <c r="O573"/>
    </row>
    <row r="574" spans="1:15" x14ac:dyDescent="0.2">
      <c r="A574"/>
      <c r="B574"/>
      <c r="C574"/>
      <c r="F574"/>
      <c r="G574"/>
      <c r="H574"/>
      <c r="I574"/>
      <c r="L574"/>
      <c r="M574"/>
      <c r="N574"/>
      <c r="O574"/>
    </row>
    <row r="575" spans="1:15" x14ac:dyDescent="0.2">
      <c r="A575"/>
      <c r="B575"/>
      <c r="C575"/>
      <c r="F575"/>
      <c r="G575"/>
      <c r="H575"/>
      <c r="I575"/>
      <c r="L575"/>
      <c r="M575"/>
      <c r="N575"/>
      <c r="O575"/>
    </row>
    <row r="576" spans="1:15" x14ac:dyDescent="0.2">
      <c r="A576"/>
      <c r="B576"/>
      <c r="C576"/>
      <c r="F576"/>
      <c r="G576"/>
      <c r="H576"/>
      <c r="I576"/>
      <c r="L576"/>
      <c r="N576"/>
      <c r="O576"/>
    </row>
    <row r="577" spans="1:15" x14ac:dyDescent="0.2">
      <c r="A577"/>
      <c r="B577"/>
      <c r="C577"/>
      <c r="F577"/>
      <c r="G577"/>
      <c r="H577"/>
      <c r="L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I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J585"/>
      <c r="K585"/>
      <c r="L585"/>
      <c r="M585"/>
      <c r="N585"/>
      <c r="O585"/>
    </row>
    <row r="586" spans="1:15" x14ac:dyDescent="0.2">
      <c r="A586"/>
      <c r="B586"/>
      <c r="C586"/>
      <c r="F586"/>
      <c r="G586"/>
      <c r="H586"/>
      <c r="J586"/>
      <c r="K586"/>
      <c r="L586"/>
      <c r="M586"/>
      <c r="N586"/>
      <c r="O586"/>
    </row>
    <row r="587" spans="1:15" x14ac:dyDescent="0.2">
      <c r="A587"/>
      <c r="B587"/>
      <c r="C587"/>
      <c r="F587"/>
      <c r="G587"/>
      <c r="L587"/>
      <c r="M587"/>
      <c r="N587"/>
      <c r="O587"/>
    </row>
    <row r="588" spans="1:15" x14ac:dyDescent="0.2">
      <c r="A588"/>
      <c r="B588"/>
      <c r="C588"/>
      <c r="F588"/>
      <c r="G588"/>
      <c r="J588"/>
      <c r="K588"/>
      <c r="L588"/>
      <c r="M588"/>
      <c r="N588"/>
      <c r="O588"/>
    </row>
    <row r="589" spans="1:15" x14ac:dyDescent="0.2">
      <c r="A589"/>
      <c r="B589"/>
      <c r="C589"/>
      <c r="F589"/>
      <c r="G589"/>
      <c r="H589"/>
      <c r="I589"/>
      <c r="L589"/>
      <c r="M589"/>
      <c r="N589"/>
      <c r="O589"/>
    </row>
    <row r="590" spans="1:15" x14ac:dyDescent="0.2">
      <c r="A590"/>
      <c r="B590"/>
      <c r="C590"/>
      <c r="F590"/>
      <c r="G590"/>
      <c r="I590"/>
      <c r="L590"/>
      <c r="M590"/>
      <c r="N590"/>
      <c r="O590"/>
    </row>
    <row r="591" spans="1:15" x14ac:dyDescent="0.2">
      <c r="A591"/>
      <c r="B591"/>
      <c r="C591"/>
      <c r="F591"/>
      <c r="G591"/>
      <c r="L591"/>
      <c r="M591"/>
      <c r="N591"/>
      <c r="O591"/>
    </row>
    <row r="592" spans="1:15" x14ac:dyDescent="0.2">
      <c r="A592"/>
      <c r="B592"/>
      <c r="C592"/>
      <c r="F592"/>
      <c r="G592"/>
      <c r="J592"/>
      <c r="K592"/>
      <c r="L592"/>
      <c r="M592"/>
      <c r="N592"/>
      <c r="O592"/>
    </row>
    <row r="593" spans="1:15" x14ac:dyDescent="0.2">
      <c r="A593"/>
      <c r="B593"/>
      <c r="C593"/>
      <c r="F593"/>
      <c r="G593"/>
      <c r="H593"/>
      <c r="J593"/>
      <c r="K593"/>
      <c r="L593"/>
      <c r="M593"/>
      <c r="N593"/>
      <c r="O593"/>
    </row>
    <row r="594" spans="1:15" x14ac:dyDescent="0.2">
      <c r="A594"/>
      <c r="B594"/>
      <c r="C594"/>
      <c r="F594"/>
      <c r="G594"/>
      <c r="M594"/>
      <c r="N594"/>
      <c r="O594"/>
    </row>
    <row r="595" spans="1:15" x14ac:dyDescent="0.2">
      <c r="A595"/>
      <c r="B595"/>
      <c r="C595"/>
      <c r="F595"/>
      <c r="G595"/>
      <c r="L595"/>
      <c r="M595"/>
      <c r="N595"/>
      <c r="O595"/>
    </row>
    <row r="596" spans="1:15" x14ac:dyDescent="0.2">
      <c r="A596"/>
      <c r="B596"/>
      <c r="C596"/>
      <c r="F596"/>
      <c r="G596"/>
      <c r="H596"/>
      <c r="I596"/>
      <c r="L596"/>
      <c r="N596"/>
      <c r="O596"/>
    </row>
    <row r="597" spans="1:15" x14ac:dyDescent="0.2">
      <c r="A597"/>
      <c r="B597"/>
      <c r="C597"/>
      <c r="F597"/>
      <c r="G597"/>
      <c r="H597"/>
      <c r="I597"/>
      <c r="L597"/>
      <c r="M597"/>
      <c r="N597"/>
      <c r="O597"/>
    </row>
    <row r="598" spans="1:15" x14ac:dyDescent="0.2">
      <c r="A598"/>
      <c r="B598"/>
      <c r="C598"/>
      <c r="F598"/>
      <c r="G598"/>
      <c r="L598"/>
      <c r="M598"/>
      <c r="N598"/>
      <c r="O598"/>
    </row>
    <row r="599" spans="1:15" x14ac:dyDescent="0.2">
      <c r="A599"/>
      <c r="B599"/>
      <c r="C599"/>
      <c r="F599"/>
      <c r="G599"/>
      <c r="H599"/>
      <c r="I599"/>
      <c r="L599"/>
      <c r="M599"/>
      <c r="N599"/>
      <c r="O599"/>
    </row>
    <row r="600" spans="1:15" x14ac:dyDescent="0.2">
      <c r="A600"/>
      <c r="B600"/>
      <c r="C600"/>
      <c r="F600"/>
      <c r="G600"/>
      <c r="I600"/>
      <c r="L600"/>
      <c r="M600"/>
      <c r="N600"/>
      <c r="O600"/>
    </row>
    <row r="601" spans="1:15" x14ac:dyDescent="0.2">
      <c r="A601"/>
      <c r="B601"/>
      <c r="C601"/>
      <c r="F601"/>
      <c r="G601"/>
      <c r="I601"/>
      <c r="L601"/>
      <c r="M601"/>
      <c r="N601"/>
      <c r="O601"/>
    </row>
    <row r="602" spans="1:15" x14ac:dyDescent="0.2">
      <c r="A602"/>
      <c r="B602"/>
      <c r="C602"/>
      <c r="F602"/>
      <c r="G602"/>
      <c r="H602"/>
      <c r="L602"/>
      <c r="M602"/>
      <c r="N602"/>
      <c r="O602"/>
    </row>
    <row r="603" spans="1:15" x14ac:dyDescent="0.2">
      <c r="A603"/>
      <c r="B603"/>
      <c r="C603"/>
      <c r="F603"/>
      <c r="G603"/>
      <c r="H603"/>
      <c r="I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L616"/>
      <c r="M616"/>
      <c r="N616"/>
      <c r="O616"/>
    </row>
    <row r="617" spans="1:15" x14ac:dyDescent="0.2">
      <c r="A617"/>
      <c r="B617"/>
      <c r="C617"/>
      <c r="F617"/>
      <c r="G617"/>
      <c r="I617"/>
      <c r="L617"/>
      <c r="M617"/>
      <c r="N617"/>
      <c r="O617"/>
    </row>
    <row r="618" spans="1:15" x14ac:dyDescent="0.2">
      <c r="A618"/>
      <c r="B618"/>
      <c r="C618"/>
      <c r="F618"/>
      <c r="G618"/>
      <c r="H618"/>
      <c r="I618"/>
      <c r="L618"/>
      <c r="M618"/>
      <c r="N618"/>
      <c r="O618"/>
    </row>
    <row r="619" spans="1:15" x14ac:dyDescent="0.2">
      <c r="A619"/>
      <c r="B619"/>
      <c r="C619"/>
      <c r="F619"/>
      <c r="G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L625"/>
      <c r="M625"/>
      <c r="N625"/>
      <c r="O625"/>
    </row>
    <row r="626" spans="1:15" x14ac:dyDescent="0.2">
      <c r="A626"/>
      <c r="B626"/>
      <c r="C626"/>
      <c r="F626"/>
      <c r="G626"/>
      <c r="J626"/>
      <c r="K626"/>
      <c r="L626"/>
      <c r="M626"/>
      <c r="N626"/>
      <c r="O626"/>
    </row>
    <row r="627" spans="1:15" x14ac:dyDescent="0.2">
      <c r="A627"/>
      <c r="B627"/>
      <c r="C627"/>
      <c r="F627"/>
      <c r="G627"/>
      <c r="L627"/>
      <c r="M627"/>
      <c r="N627"/>
      <c r="O627"/>
    </row>
    <row r="628" spans="1:15" x14ac:dyDescent="0.2">
      <c r="A628"/>
      <c r="B628"/>
      <c r="C628"/>
      <c r="F628"/>
      <c r="G628"/>
      <c r="H628"/>
      <c r="I628"/>
      <c r="L628"/>
      <c r="M628"/>
      <c r="N628"/>
      <c r="O628"/>
    </row>
    <row r="629" spans="1:15" x14ac:dyDescent="0.2">
      <c r="A629"/>
      <c r="B629"/>
      <c r="C629"/>
      <c r="F629"/>
      <c r="G629"/>
      <c r="M629"/>
      <c r="N629"/>
      <c r="O629"/>
    </row>
    <row r="630" spans="1:15" x14ac:dyDescent="0.2">
      <c r="A630"/>
      <c r="B630"/>
      <c r="C630"/>
      <c r="F630"/>
      <c r="G630"/>
      <c r="I630"/>
      <c r="L630"/>
      <c r="M630"/>
      <c r="N630"/>
      <c r="O630"/>
    </row>
    <row r="631" spans="1:15" x14ac:dyDescent="0.2">
      <c r="A631"/>
      <c r="B631"/>
      <c r="C631"/>
      <c r="F631"/>
      <c r="G631"/>
      <c r="H631"/>
      <c r="I631"/>
      <c r="L631"/>
      <c r="M631"/>
      <c r="N631"/>
      <c r="O631"/>
    </row>
    <row r="632" spans="1:15" x14ac:dyDescent="0.2">
      <c r="A632"/>
      <c r="B632"/>
      <c r="C632"/>
      <c r="F632"/>
      <c r="G632"/>
      <c r="L632"/>
      <c r="M632"/>
      <c r="N632"/>
      <c r="O632"/>
    </row>
    <row r="633" spans="1:15" x14ac:dyDescent="0.2">
      <c r="A633"/>
      <c r="B633"/>
      <c r="C633"/>
      <c r="F633"/>
      <c r="G633"/>
      <c r="H633"/>
      <c r="I633"/>
      <c r="L633"/>
      <c r="M633"/>
      <c r="N633"/>
      <c r="O633"/>
    </row>
    <row r="634" spans="1:15" x14ac:dyDescent="0.2">
      <c r="A634"/>
      <c r="B634"/>
      <c r="C634"/>
      <c r="F634"/>
      <c r="G634"/>
      <c r="H634"/>
      <c r="I634"/>
      <c r="L634"/>
      <c r="M634"/>
      <c r="N634"/>
      <c r="O634"/>
    </row>
    <row r="635" spans="1:15" x14ac:dyDescent="0.2">
      <c r="A635"/>
      <c r="B635"/>
      <c r="C635"/>
      <c r="F635"/>
      <c r="G635"/>
      <c r="I635"/>
      <c r="L635"/>
      <c r="M635"/>
      <c r="N635"/>
      <c r="O635"/>
    </row>
    <row r="636" spans="1:15" x14ac:dyDescent="0.2">
      <c r="A636"/>
      <c r="B636"/>
      <c r="C636"/>
      <c r="F636"/>
      <c r="G636"/>
      <c r="H636"/>
      <c r="I636"/>
      <c r="L636"/>
      <c r="M636"/>
      <c r="N636"/>
      <c r="O636"/>
    </row>
    <row r="637" spans="1:15" x14ac:dyDescent="0.2">
      <c r="A637"/>
      <c r="B637"/>
      <c r="C637"/>
      <c r="F637"/>
      <c r="G637"/>
      <c r="H637"/>
      <c r="I637"/>
      <c r="L637"/>
      <c r="M637"/>
      <c r="N637"/>
      <c r="O637"/>
    </row>
    <row r="638" spans="1:15" x14ac:dyDescent="0.2">
      <c r="A638"/>
      <c r="B638"/>
      <c r="C638"/>
      <c r="F638"/>
      <c r="G638"/>
      <c r="H638"/>
      <c r="J638"/>
      <c r="K638"/>
      <c r="L638"/>
      <c r="M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I642"/>
      <c r="L642"/>
      <c r="M642"/>
      <c r="N642"/>
      <c r="O642"/>
    </row>
    <row r="643" spans="1:15" x14ac:dyDescent="0.2">
      <c r="A643"/>
      <c r="B643"/>
      <c r="C643"/>
      <c r="F643"/>
      <c r="G643"/>
      <c r="I643"/>
      <c r="L643"/>
      <c r="M643"/>
      <c r="N643"/>
      <c r="O643"/>
    </row>
    <row r="644" spans="1:15" x14ac:dyDescent="0.2">
      <c r="A644"/>
      <c r="B644"/>
      <c r="C644"/>
      <c r="F644"/>
      <c r="G644"/>
      <c r="H644"/>
      <c r="I644"/>
      <c r="L644"/>
      <c r="N644"/>
      <c r="O644"/>
    </row>
    <row r="645" spans="1:15" x14ac:dyDescent="0.2">
      <c r="A645"/>
      <c r="B645"/>
      <c r="C645"/>
      <c r="F645"/>
      <c r="G645"/>
      <c r="H645"/>
      <c r="I645"/>
      <c r="L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M651"/>
      <c r="N651"/>
      <c r="O651"/>
    </row>
    <row r="652" spans="1:15" x14ac:dyDescent="0.2">
      <c r="A652"/>
      <c r="B652"/>
      <c r="C652"/>
      <c r="F652"/>
      <c r="G652"/>
      <c r="H652"/>
      <c r="I652"/>
      <c r="L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L656"/>
      <c r="M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H659"/>
      <c r="I659"/>
      <c r="L659"/>
      <c r="N659"/>
      <c r="O659"/>
    </row>
    <row r="660" spans="1:15" x14ac:dyDescent="0.2">
      <c r="A660"/>
      <c r="B660"/>
      <c r="C660"/>
      <c r="F660"/>
      <c r="G660"/>
      <c r="H660"/>
      <c r="I660"/>
      <c r="L660"/>
      <c r="M660"/>
      <c r="N660"/>
      <c r="O660"/>
    </row>
    <row r="661" spans="1:15" x14ac:dyDescent="0.2">
      <c r="A661"/>
      <c r="B661"/>
      <c r="C661"/>
      <c r="F661"/>
      <c r="G661"/>
      <c r="J661"/>
      <c r="K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I668"/>
      <c r="L668"/>
      <c r="M668"/>
      <c r="N668"/>
      <c r="O668"/>
    </row>
    <row r="669" spans="1:15" x14ac:dyDescent="0.2">
      <c r="A669"/>
      <c r="B669"/>
      <c r="C669"/>
      <c r="F669"/>
      <c r="G669"/>
      <c r="H669"/>
      <c r="I669"/>
      <c r="L669"/>
      <c r="M669"/>
      <c r="N669"/>
      <c r="O669"/>
    </row>
    <row r="670" spans="1:15" x14ac:dyDescent="0.2">
      <c r="A670"/>
      <c r="B670"/>
      <c r="C670"/>
      <c r="F670"/>
      <c r="G670"/>
      <c r="L670"/>
      <c r="M670"/>
      <c r="N670"/>
      <c r="O670"/>
    </row>
    <row r="671" spans="1:15" x14ac:dyDescent="0.2">
      <c r="A671"/>
      <c r="B671"/>
      <c r="C671"/>
      <c r="F671"/>
      <c r="G671"/>
      <c r="I671"/>
      <c r="L671"/>
      <c r="M671"/>
      <c r="N671"/>
      <c r="O671"/>
    </row>
    <row r="672" spans="1:15" x14ac:dyDescent="0.2">
      <c r="A672"/>
      <c r="B672"/>
      <c r="C672"/>
      <c r="F672"/>
      <c r="G672"/>
      <c r="H672"/>
      <c r="I672"/>
      <c r="L672"/>
      <c r="M672"/>
      <c r="N672"/>
      <c r="O672"/>
    </row>
    <row r="673" spans="1:15" x14ac:dyDescent="0.2">
      <c r="A673"/>
      <c r="B673"/>
      <c r="C673"/>
      <c r="F673"/>
      <c r="G673"/>
      <c r="H673"/>
      <c r="I673"/>
      <c r="L673"/>
      <c r="N673"/>
      <c r="O673"/>
    </row>
    <row r="674" spans="1:15" x14ac:dyDescent="0.2">
      <c r="A674"/>
      <c r="B674"/>
      <c r="C674"/>
      <c r="F674"/>
      <c r="G674"/>
      <c r="H674"/>
      <c r="I674"/>
      <c r="L674"/>
      <c r="M674"/>
      <c r="N674"/>
      <c r="O674"/>
    </row>
    <row r="675" spans="1:15" x14ac:dyDescent="0.2">
      <c r="A675"/>
      <c r="B675"/>
      <c r="C675"/>
      <c r="F675"/>
      <c r="G675"/>
      <c r="H675"/>
      <c r="J675"/>
      <c r="L675"/>
      <c r="M675"/>
      <c r="N675"/>
      <c r="O675"/>
    </row>
    <row r="676" spans="1:15" x14ac:dyDescent="0.2">
      <c r="A676"/>
      <c r="B676"/>
      <c r="C676"/>
      <c r="F676"/>
      <c r="G676"/>
      <c r="H676"/>
      <c r="I676"/>
      <c r="L676"/>
      <c r="M676"/>
      <c r="N676"/>
      <c r="O676"/>
    </row>
    <row r="677" spans="1:15" x14ac:dyDescent="0.2">
      <c r="A677"/>
      <c r="B677"/>
      <c r="C677"/>
      <c r="F677"/>
      <c r="G677"/>
      <c r="I677"/>
      <c r="L677"/>
      <c r="M677"/>
      <c r="N677"/>
      <c r="O677"/>
    </row>
    <row r="678" spans="1:15" x14ac:dyDescent="0.2">
      <c r="A678"/>
      <c r="B678"/>
      <c r="C678"/>
      <c r="F678"/>
      <c r="G678"/>
      <c r="M678"/>
      <c r="N678"/>
      <c r="O678"/>
    </row>
    <row r="679" spans="1:15" x14ac:dyDescent="0.2">
      <c r="A679"/>
      <c r="B679"/>
      <c r="C679"/>
      <c r="F679"/>
      <c r="G679"/>
      <c r="H679"/>
      <c r="M679"/>
      <c r="N679"/>
      <c r="O679"/>
    </row>
    <row r="680" spans="1:15" x14ac:dyDescent="0.2">
      <c r="A680"/>
      <c r="B680"/>
      <c r="C680"/>
      <c r="F680"/>
      <c r="G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M690"/>
      <c r="N690"/>
      <c r="O690"/>
    </row>
    <row r="691" spans="1:15" x14ac:dyDescent="0.2">
      <c r="A691"/>
      <c r="B691"/>
      <c r="C691"/>
      <c r="F691"/>
      <c r="G691"/>
      <c r="L691"/>
      <c r="M691"/>
      <c r="N691"/>
      <c r="O691"/>
    </row>
    <row r="692" spans="1:15" x14ac:dyDescent="0.2">
      <c r="A692"/>
      <c r="B692"/>
      <c r="C692"/>
      <c r="F692"/>
      <c r="G692"/>
      <c r="I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M701"/>
      <c r="N701"/>
      <c r="O701"/>
    </row>
    <row r="702" spans="1:15" x14ac:dyDescent="0.2">
      <c r="A702"/>
      <c r="B702"/>
      <c r="C702"/>
      <c r="F702"/>
      <c r="G702"/>
      <c r="I702"/>
      <c r="L702"/>
      <c r="M702"/>
      <c r="N702"/>
      <c r="O702"/>
    </row>
    <row r="703" spans="1:15" x14ac:dyDescent="0.2">
      <c r="A703"/>
      <c r="B703"/>
      <c r="C703"/>
      <c r="F703"/>
      <c r="G703"/>
      <c r="J703"/>
      <c r="K703"/>
      <c r="L703"/>
      <c r="M703"/>
      <c r="N703"/>
      <c r="O703"/>
    </row>
    <row r="704" spans="1:15" x14ac:dyDescent="0.2">
      <c r="A704"/>
      <c r="B704"/>
      <c r="C704"/>
      <c r="F704"/>
      <c r="G704"/>
      <c r="H704"/>
      <c r="I704"/>
      <c r="L704"/>
      <c r="M704"/>
      <c r="N704"/>
      <c r="O704"/>
    </row>
    <row r="705" spans="1:15" x14ac:dyDescent="0.2">
      <c r="A705"/>
      <c r="B705"/>
      <c r="C705"/>
      <c r="F705"/>
      <c r="G705"/>
      <c r="I705"/>
      <c r="L705"/>
      <c r="M705"/>
      <c r="N705"/>
      <c r="O705"/>
    </row>
    <row r="706" spans="1:15" x14ac:dyDescent="0.2">
      <c r="A706"/>
      <c r="B706"/>
      <c r="C706"/>
      <c r="F706"/>
      <c r="G706"/>
      <c r="L706"/>
      <c r="M706"/>
      <c r="N706"/>
      <c r="O706"/>
    </row>
    <row r="707" spans="1:15" x14ac:dyDescent="0.2">
      <c r="A707"/>
      <c r="B707"/>
      <c r="C707"/>
      <c r="F707"/>
      <c r="G707"/>
      <c r="H707"/>
      <c r="J707"/>
      <c r="K707"/>
      <c r="L707"/>
      <c r="M707"/>
      <c r="N707"/>
      <c r="O707"/>
    </row>
    <row r="708" spans="1:15" x14ac:dyDescent="0.2">
      <c r="A708"/>
      <c r="B708"/>
      <c r="C708"/>
      <c r="F708"/>
      <c r="G708"/>
      <c r="H708"/>
      <c r="J708"/>
      <c r="K708"/>
      <c r="L708"/>
      <c r="M708"/>
      <c r="N708"/>
      <c r="O708"/>
    </row>
    <row r="709" spans="1:15" x14ac:dyDescent="0.2">
      <c r="A709"/>
      <c r="B709"/>
      <c r="C709"/>
      <c r="F709"/>
      <c r="G709"/>
      <c r="H709"/>
      <c r="J709"/>
      <c r="K709"/>
      <c r="L709"/>
      <c r="M709"/>
      <c r="N709"/>
      <c r="O709"/>
    </row>
    <row r="710" spans="1:15" x14ac:dyDescent="0.2">
      <c r="A710"/>
      <c r="B710"/>
      <c r="C710"/>
      <c r="F710"/>
      <c r="G710"/>
      <c r="I710"/>
      <c r="L710"/>
      <c r="M710"/>
      <c r="N710"/>
      <c r="O710"/>
    </row>
    <row r="711" spans="1:15" x14ac:dyDescent="0.2">
      <c r="A711"/>
      <c r="B711"/>
      <c r="C711"/>
      <c r="F711"/>
      <c r="G711"/>
      <c r="I711"/>
      <c r="L711"/>
      <c r="M711"/>
      <c r="N711"/>
      <c r="O711"/>
    </row>
    <row r="712" spans="1:15" x14ac:dyDescent="0.2">
      <c r="A712"/>
      <c r="B712"/>
      <c r="C712"/>
      <c r="F712"/>
      <c r="G712"/>
      <c r="J712"/>
      <c r="K712"/>
      <c r="L712"/>
      <c r="M712"/>
      <c r="N712"/>
      <c r="O712"/>
    </row>
    <row r="713" spans="1:15" x14ac:dyDescent="0.2">
      <c r="A713"/>
      <c r="B713"/>
      <c r="C713"/>
      <c r="F713"/>
      <c r="G713"/>
      <c r="H713"/>
      <c r="I713"/>
      <c r="J713"/>
      <c r="K713"/>
      <c r="L713"/>
      <c r="M713"/>
      <c r="N713"/>
      <c r="O713"/>
    </row>
    <row r="714" spans="1:15" x14ac:dyDescent="0.2">
      <c r="A714"/>
      <c r="B714"/>
      <c r="C714"/>
      <c r="F714"/>
      <c r="G714"/>
      <c r="H714"/>
      <c r="I714"/>
      <c r="L714"/>
      <c r="M714"/>
      <c r="N714"/>
      <c r="O714"/>
    </row>
    <row r="715" spans="1:15" x14ac:dyDescent="0.2">
      <c r="A715"/>
      <c r="B715"/>
      <c r="C715"/>
      <c r="F715"/>
      <c r="G715"/>
      <c r="H715"/>
      <c r="I715"/>
      <c r="J715"/>
      <c r="K715"/>
      <c r="L715"/>
      <c r="M715"/>
      <c r="N715"/>
      <c r="O715"/>
    </row>
    <row r="716" spans="1:15" x14ac:dyDescent="0.2">
      <c r="A716"/>
      <c r="B716"/>
      <c r="C716"/>
      <c r="F716"/>
      <c r="G716"/>
      <c r="I716"/>
      <c r="L716"/>
      <c r="M716"/>
      <c r="N716"/>
      <c r="O716"/>
    </row>
    <row r="717" spans="1:15" x14ac:dyDescent="0.2">
      <c r="A717"/>
      <c r="B717"/>
      <c r="C717"/>
      <c r="F717"/>
      <c r="G717"/>
      <c r="H717"/>
      <c r="I717"/>
      <c r="L717"/>
      <c r="M717"/>
      <c r="N717"/>
      <c r="O717"/>
    </row>
    <row r="718" spans="1:15" x14ac:dyDescent="0.2">
      <c r="A718"/>
      <c r="B718"/>
      <c r="C718"/>
      <c r="F718"/>
      <c r="G718"/>
      <c r="H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H722"/>
      <c r="I722"/>
      <c r="L722"/>
      <c r="M722"/>
      <c r="N722"/>
      <c r="O722"/>
    </row>
    <row r="723" spans="1:15" x14ac:dyDescent="0.2">
      <c r="A723"/>
      <c r="B723"/>
      <c r="C723"/>
      <c r="F723"/>
      <c r="G723"/>
      <c r="H723"/>
      <c r="I723"/>
      <c r="L723"/>
      <c r="M723"/>
      <c r="N723"/>
      <c r="O723"/>
    </row>
    <row r="724" spans="1:15" x14ac:dyDescent="0.2">
      <c r="A724"/>
      <c r="B724"/>
      <c r="C724"/>
      <c r="F724"/>
      <c r="G724"/>
      <c r="H724"/>
      <c r="I724"/>
      <c r="L724"/>
      <c r="M724"/>
      <c r="N724"/>
      <c r="O724"/>
    </row>
    <row r="725" spans="1:15" x14ac:dyDescent="0.2">
      <c r="A725"/>
      <c r="B725"/>
      <c r="C725"/>
      <c r="F725"/>
      <c r="G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L728"/>
      <c r="M728"/>
      <c r="N728"/>
      <c r="O728"/>
    </row>
    <row r="729" spans="1:15" x14ac:dyDescent="0.2">
      <c r="A729"/>
      <c r="B729"/>
      <c r="C729"/>
      <c r="F729"/>
      <c r="G729"/>
      <c r="L729"/>
      <c r="M729"/>
      <c r="N729"/>
      <c r="O729"/>
    </row>
    <row r="730" spans="1:15" x14ac:dyDescent="0.2">
      <c r="A730"/>
      <c r="B730"/>
      <c r="C730"/>
      <c r="F730"/>
      <c r="G730"/>
      <c r="H730"/>
      <c r="J730"/>
      <c r="K730"/>
      <c r="L730"/>
      <c r="M730"/>
      <c r="N730"/>
      <c r="O730"/>
    </row>
    <row r="731" spans="1:15" x14ac:dyDescent="0.2">
      <c r="A731"/>
      <c r="B731"/>
      <c r="C731"/>
      <c r="F731"/>
      <c r="G731"/>
      <c r="H731"/>
      <c r="I731"/>
      <c r="L731"/>
      <c r="M731"/>
      <c r="N731"/>
      <c r="O731"/>
    </row>
    <row r="732" spans="1:15" x14ac:dyDescent="0.2">
      <c r="A732"/>
      <c r="B732"/>
      <c r="C732"/>
      <c r="F732"/>
      <c r="G732"/>
      <c r="J732"/>
      <c r="K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I735"/>
      <c r="K735"/>
      <c r="L735"/>
      <c r="M735"/>
      <c r="N735"/>
      <c r="O735"/>
    </row>
    <row r="736" spans="1:15" x14ac:dyDescent="0.2">
      <c r="A736"/>
      <c r="B736"/>
      <c r="C736"/>
      <c r="F736"/>
      <c r="G736"/>
      <c r="L736"/>
      <c r="M736"/>
      <c r="N736"/>
      <c r="O736"/>
    </row>
    <row r="737" spans="1:15" x14ac:dyDescent="0.2">
      <c r="A737"/>
      <c r="B737"/>
      <c r="C737"/>
      <c r="F737"/>
      <c r="G737"/>
      <c r="H737"/>
      <c r="I737"/>
      <c r="L737"/>
      <c r="M737"/>
      <c r="N737"/>
      <c r="O737"/>
    </row>
    <row r="738" spans="1:15" x14ac:dyDescent="0.2">
      <c r="A738"/>
      <c r="B738"/>
      <c r="C738"/>
      <c r="F738"/>
      <c r="G738"/>
      <c r="J738"/>
      <c r="L738"/>
      <c r="M738"/>
      <c r="N738"/>
      <c r="O738"/>
    </row>
    <row r="739" spans="1:15" x14ac:dyDescent="0.2">
      <c r="A739"/>
      <c r="B739"/>
      <c r="C739"/>
      <c r="F739"/>
      <c r="G739"/>
      <c r="H739"/>
      <c r="L739"/>
      <c r="M739"/>
      <c r="N739"/>
      <c r="O739"/>
    </row>
    <row r="740" spans="1:15" x14ac:dyDescent="0.2">
      <c r="A740"/>
      <c r="B740"/>
      <c r="C740"/>
      <c r="F740"/>
      <c r="G740"/>
      <c r="H740"/>
      <c r="I740"/>
      <c r="L740"/>
      <c r="M740"/>
      <c r="N740"/>
      <c r="O740"/>
    </row>
    <row r="741" spans="1:15" x14ac:dyDescent="0.2">
      <c r="A741"/>
      <c r="B741"/>
      <c r="C741"/>
      <c r="F741"/>
      <c r="G741"/>
      <c r="L741"/>
      <c r="M741"/>
      <c r="N741"/>
      <c r="O741"/>
    </row>
    <row r="742" spans="1:15" x14ac:dyDescent="0.2">
      <c r="A742"/>
      <c r="B742"/>
      <c r="C742"/>
      <c r="F742"/>
      <c r="G742"/>
      <c r="J742"/>
      <c r="K742"/>
      <c r="L742"/>
      <c r="M742"/>
      <c r="N742"/>
      <c r="O742"/>
    </row>
    <row r="743" spans="1:15" x14ac:dyDescent="0.2">
      <c r="A743"/>
      <c r="B743"/>
      <c r="C743"/>
      <c r="F743"/>
      <c r="G743"/>
      <c r="H743"/>
      <c r="I743"/>
      <c r="L743"/>
      <c r="M743"/>
      <c r="N743"/>
      <c r="O743"/>
    </row>
    <row r="744" spans="1:15" x14ac:dyDescent="0.2">
      <c r="A744"/>
      <c r="B744"/>
      <c r="C744"/>
      <c r="F744"/>
      <c r="G744"/>
      <c r="M744"/>
      <c r="N744"/>
      <c r="O744"/>
    </row>
    <row r="745" spans="1:15" x14ac:dyDescent="0.2">
      <c r="A745"/>
      <c r="B745"/>
      <c r="C745"/>
      <c r="F745"/>
      <c r="G745"/>
      <c r="H745"/>
      <c r="I745"/>
      <c r="L745"/>
      <c r="M745"/>
      <c r="N745"/>
      <c r="O745"/>
    </row>
    <row r="746" spans="1:15" x14ac:dyDescent="0.2">
      <c r="A746"/>
      <c r="B746"/>
      <c r="C746"/>
      <c r="F746"/>
      <c r="G746"/>
      <c r="I746"/>
      <c r="L746"/>
      <c r="M746"/>
      <c r="N746"/>
      <c r="O746"/>
    </row>
    <row r="747" spans="1:15" x14ac:dyDescent="0.2">
      <c r="A747"/>
      <c r="B747"/>
      <c r="C747"/>
      <c r="F747"/>
      <c r="G747"/>
      <c r="H747"/>
      <c r="I747"/>
      <c r="L747"/>
      <c r="M747"/>
      <c r="N747"/>
      <c r="O747"/>
    </row>
    <row r="748" spans="1:15" x14ac:dyDescent="0.2">
      <c r="A748"/>
      <c r="B748"/>
      <c r="C748"/>
      <c r="F748"/>
      <c r="G748"/>
      <c r="H748"/>
      <c r="I748"/>
      <c r="L748"/>
      <c r="M748"/>
      <c r="N748"/>
      <c r="O748"/>
    </row>
    <row r="749" spans="1:15" x14ac:dyDescent="0.2">
      <c r="A749"/>
      <c r="B749"/>
      <c r="C749"/>
      <c r="F749"/>
      <c r="G749"/>
      <c r="H749"/>
      <c r="I749"/>
      <c r="L749"/>
      <c r="N749"/>
      <c r="O749"/>
    </row>
    <row r="750" spans="1:15" x14ac:dyDescent="0.2">
      <c r="A750"/>
      <c r="B750"/>
      <c r="C750"/>
      <c r="F750"/>
      <c r="G750"/>
      <c r="H750"/>
      <c r="I750"/>
      <c r="L750"/>
      <c r="M750"/>
      <c r="N750"/>
      <c r="O750"/>
    </row>
    <row r="751" spans="1:15" x14ac:dyDescent="0.2">
      <c r="A751"/>
      <c r="B751"/>
      <c r="C751"/>
      <c r="F751"/>
      <c r="G751"/>
      <c r="H751"/>
      <c r="I751"/>
      <c r="L751"/>
      <c r="M751"/>
      <c r="N751"/>
      <c r="O751"/>
    </row>
    <row r="752" spans="1:15" x14ac:dyDescent="0.2">
      <c r="A752"/>
      <c r="B752"/>
      <c r="C752"/>
      <c r="F752"/>
      <c r="G752"/>
      <c r="L752"/>
      <c r="M752"/>
      <c r="N752"/>
      <c r="O752"/>
    </row>
    <row r="753" spans="1:15" x14ac:dyDescent="0.2">
      <c r="A753"/>
      <c r="B753"/>
      <c r="C753"/>
      <c r="F753"/>
      <c r="G753"/>
      <c r="H753"/>
      <c r="I753"/>
      <c r="L753"/>
      <c r="M753"/>
      <c r="N753"/>
      <c r="O753"/>
    </row>
    <row r="754" spans="1:15" x14ac:dyDescent="0.2">
      <c r="A754"/>
      <c r="B754"/>
      <c r="C754"/>
      <c r="F754"/>
      <c r="G754"/>
      <c r="H754"/>
      <c r="I754"/>
      <c r="L754"/>
      <c r="M754"/>
      <c r="N754"/>
      <c r="O754"/>
    </row>
    <row r="755" spans="1:15" x14ac:dyDescent="0.2">
      <c r="A755"/>
      <c r="B755"/>
      <c r="C755"/>
      <c r="F755"/>
      <c r="G755"/>
      <c r="H755"/>
      <c r="I755"/>
      <c r="L755"/>
      <c r="M755"/>
      <c r="N755"/>
      <c r="O755"/>
    </row>
    <row r="756" spans="1:15" x14ac:dyDescent="0.2">
      <c r="A756"/>
      <c r="B756"/>
      <c r="C756"/>
      <c r="F756"/>
      <c r="G756"/>
      <c r="L756"/>
      <c r="M756"/>
      <c r="N756"/>
      <c r="O756"/>
    </row>
    <row r="757" spans="1:15" x14ac:dyDescent="0.2">
      <c r="A757"/>
      <c r="B757"/>
      <c r="C757"/>
      <c r="F757"/>
      <c r="G757"/>
      <c r="H757"/>
      <c r="I757"/>
      <c r="L757"/>
      <c r="M757"/>
      <c r="N757"/>
      <c r="O757"/>
    </row>
    <row r="758" spans="1:15" x14ac:dyDescent="0.2">
      <c r="A758"/>
      <c r="B758"/>
      <c r="C758"/>
      <c r="F758"/>
      <c r="G758"/>
      <c r="H758"/>
      <c r="I758"/>
      <c r="L758"/>
      <c r="M758"/>
      <c r="N758"/>
      <c r="O758"/>
    </row>
    <row r="759" spans="1:15" x14ac:dyDescent="0.2">
      <c r="A759"/>
      <c r="B759"/>
      <c r="C759"/>
      <c r="F759"/>
      <c r="G759"/>
      <c r="M759"/>
      <c r="N759"/>
      <c r="O759"/>
    </row>
    <row r="760" spans="1:15" x14ac:dyDescent="0.2">
      <c r="A760"/>
      <c r="B760"/>
      <c r="C760"/>
      <c r="F760"/>
      <c r="G760"/>
      <c r="H760"/>
      <c r="I760"/>
      <c r="L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J763"/>
      <c r="K763"/>
      <c r="L763"/>
      <c r="M763"/>
      <c r="N763"/>
      <c r="O763"/>
    </row>
    <row r="764" spans="1:15" x14ac:dyDescent="0.2">
      <c r="A764"/>
      <c r="B764"/>
      <c r="C764"/>
      <c r="F764"/>
      <c r="G764"/>
      <c r="H764"/>
      <c r="L764"/>
      <c r="M764"/>
      <c r="N764"/>
      <c r="O764"/>
    </row>
    <row r="765" spans="1:15" x14ac:dyDescent="0.2">
      <c r="A765"/>
      <c r="B765"/>
      <c r="C765"/>
      <c r="F765"/>
      <c r="G765"/>
      <c r="H765"/>
      <c r="I765"/>
      <c r="L765"/>
      <c r="M765"/>
      <c r="N765"/>
      <c r="O765"/>
    </row>
    <row r="766" spans="1:15" x14ac:dyDescent="0.2">
      <c r="A766"/>
      <c r="B766"/>
      <c r="C766"/>
      <c r="F766"/>
      <c r="G766"/>
      <c r="I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L771"/>
      <c r="M771"/>
      <c r="N771"/>
      <c r="O771"/>
    </row>
    <row r="772" spans="1:15" x14ac:dyDescent="0.2">
      <c r="A772"/>
      <c r="B772"/>
      <c r="C772"/>
      <c r="F772"/>
      <c r="G772"/>
      <c r="M772"/>
      <c r="N772"/>
      <c r="O772"/>
    </row>
    <row r="773" spans="1:15" x14ac:dyDescent="0.2">
      <c r="A773"/>
      <c r="B773"/>
      <c r="C773"/>
      <c r="F773"/>
      <c r="G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L777"/>
      <c r="M777"/>
      <c r="N777"/>
      <c r="O777"/>
    </row>
    <row r="778" spans="1:15" x14ac:dyDescent="0.2">
      <c r="A778"/>
      <c r="B778"/>
      <c r="C778"/>
      <c r="F778"/>
      <c r="G778"/>
      <c r="L778"/>
      <c r="M778"/>
      <c r="N778"/>
      <c r="O778"/>
    </row>
    <row r="779" spans="1:15" x14ac:dyDescent="0.2">
      <c r="A779"/>
      <c r="B779"/>
      <c r="C779"/>
      <c r="F779"/>
      <c r="G779"/>
      <c r="H779"/>
      <c r="J779"/>
      <c r="K779"/>
      <c r="L779"/>
      <c r="M779"/>
      <c r="N779"/>
      <c r="O779"/>
    </row>
    <row r="780" spans="1:15" x14ac:dyDescent="0.2">
      <c r="A780"/>
      <c r="B780"/>
      <c r="C780"/>
      <c r="F780"/>
      <c r="G780"/>
      <c r="H780"/>
      <c r="I780"/>
      <c r="L780"/>
      <c r="M780"/>
      <c r="N780"/>
      <c r="O780"/>
    </row>
    <row r="781" spans="1:15" x14ac:dyDescent="0.2">
      <c r="A781"/>
      <c r="B781"/>
      <c r="C781"/>
      <c r="F781"/>
      <c r="G781"/>
      <c r="L781"/>
      <c r="M781"/>
      <c r="N781"/>
      <c r="O781"/>
    </row>
    <row r="782" spans="1:15" x14ac:dyDescent="0.2">
      <c r="A782"/>
      <c r="B782"/>
      <c r="C782"/>
      <c r="F782"/>
      <c r="G782"/>
      <c r="M782"/>
      <c r="N782"/>
      <c r="O782"/>
    </row>
    <row r="783" spans="1:15" x14ac:dyDescent="0.2">
      <c r="A783"/>
      <c r="B783"/>
      <c r="C783"/>
      <c r="F783"/>
      <c r="G783"/>
      <c r="H783"/>
      <c r="I783"/>
      <c r="L783"/>
      <c r="N783"/>
      <c r="O783"/>
    </row>
    <row r="784" spans="1:15" x14ac:dyDescent="0.2">
      <c r="A784"/>
      <c r="B784"/>
      <c r="C784"/>
      <c r="F784"/>
      <c r="G784"/>
      <c r="H784"/>
      <c r="J784"/>
      <c r="K784"/>
      <c r="L784"/>
      <c r="M784"/>
      <c r="N784"/>
      <c r="O784"/>
    </row>
    <row r="785" spans="1:15" x14ac:dyDescent="0.2">
      <c r="A785"/>
      <c r="B785"/>
      <c r="C785"/>
      <c r="F785"/>
      <c r="G785"/>
      <c r="H785"/>
      <c r="J785"/>
      <c r="K785"/>
      <c r="L785"/>
      <c r="M785"/>
      <c r="N785"/>
      <c r="O785"/>
    </row>
    <row r="786" spans="1:15" x14ac:dyDescent="0.2">
      <c r="A786"/>
      <c r="B786"/>
      <c r="C786"/>
      <c r="F786"/>
      <c r="G786"/>
      <c r="H786"/>
      <c r="J786"/>
      <c r="K786"/>
      <c r="L786"/>
      <c r="M786"/>
      <c r="N786"/>
      <c r="O786"/>
    </row>
    <row r="787" spans="1:15" x14ac:dyDescent="0.2">
      <c r="A787"/>
      <c r="B787"/>
      <c r="C787"/>
      <c r="F787"/>
      <c r="G787"/>
      <c r="J787"/>
      <c r="K787"/>
      <c r="L787"/>
      <c r="M787"/>
      <c r="N787"/>
      <c r="O787"/>
    </row>
    <row r="788" spans="1:15" x14ac:dyDescent="0.2">
      <c r="A788"/>
      <c r="B788"/>
      <c r="C788"/>
      <c r="F788"/>
      <c r="G788"/>
      <c r="H788"/>
      <c r="I788"/>
      <c r="L788"/>
      <c r="M788"/>
      <c r="N788"/>
      <c r="O788"/>
    </row>
    <row r="789" spans="1:15" x14ac:dyDescent="0.2">
      <c r="A789"/>
      <c r="B789"/>
      <c r="C789"/>
      <c r="F789"/>
      <c r="G789"/>
      <c r="L789"/>
      <c r="M789"/>
      <c r="N789"/>
      <c r="O789"/>
    </row>
    <row r="790" spans="1:15" x14ac:dyDescent="0.2">
      <c r="A790"/>
      <c r="B790"/>
      <c r="C790"/>
      <c r="F790"/>
      <c r="G790"/>
      <c r="H790"/>
      <c r="I790"/>
      <c r="L790"/>
      <c r="M790"/>
      <c r="N790"/>
      <c r="O790"/>
    </row>
    <row r="791" spans="1:15" x14ac:dyDescent="0.2">
      <c r="A791"/>
      <c r="B791"/>
      <c r="C791"/>
      <c r="F791"/>
      <c r="G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H794"/>
      <c r="I794"/>
      <c r="L794"/>
      <c r="M794"/>
      <c r="N794"/>
      <c r="O794"/>
    </row>
    <row r="795" spans="1:15" x14ac:dyDescent="0.2">
      <c r="A795"/>
      <c r="B795"/>
      <c r="C795"/>
      <c r="F795"/>
      <c r="G795"/>
      <c r="H795"/>
      <c r="I795"/>
      <c r="L795"/>
      <c r="N795"/>
      <c r="O795"/>
    </row>
    <row r="796" spans="1:15" x14ac:dyDescent="0.2">
      <c r="A796"/>
      <c r="B796"/>
      <c r="C796"/>
      <c r="F796"/>
      <c r="G796"/>
      <c r="H796"/>
      <c r="L796"/>
      <c r="M796"/>
      <c r="N796"/>
      <c r="O796"/>
    </row>
    <row r="797" spans="1:15" x14ac:dyDescent="0.2">
      <c r="A797"/>
      <c r="B797"/>
      <c r="C797"/>
      <c r="F797"/>
      <c r="G797"/>
      <c r="L797"/>
      <c r="M797"/>
      <c r="N797"/>
      <c r="O797"/>
    </row>
    <row r="798" spans="1:15" x14ac:dyDescent="0.2">
      <c r="A798"/>
      <c r="B798"/>
      <c r="C798"/>
      <c r="F798"/>
      <c r="G798"/>
      <c r="I798"/>
      <c r="L798"/>
      <c r="M798"/>
      <c r="N798"/>
      <c r="O798"/>
    </row>
    <row r="799" spans="1:15" x14ac:dyDescent="0.2">
      <c r="A799"/>
      <c r="B799"/>
      <c r="C799"/>
      <c r="F799"/>
      <c r="G799"/>
      <c r="L799"/>
      <c r="M799"/>
      <c r="N799"/>
      <c r="O799"/>
    </row>
    <row r="800" spans="1:15" x14ac:dyDescent="0.2">
      <c r="A800"/>
      <c r="B800"/>
      <c r="C800"/>
      <c r="F800"/>
      <c r="G800"/>
      <c r="H800"/>
      <c r="I800"/>
      <c r="J800"/>
      <c r="K800"/>
      <c r="L800"/>
      <c r="M800"/>
      <c r="N800"/>
      <c r="O800"/>
    </row>
    <row r="801" spans="1:15" x14ac:dyDescent="0.2">
      <c r="A801"/>
      <c r="B801"/>
      <c r="C801"/>
      <c r="F801"/>
      <c r="G801"/>
      <c r="J801"/>
      <c r="M801"/>
      <c r="N801"/>
      <c r="O801"/>
    </row>
    <row r="802" spans="1:15" x14ac:dyDescent="0.2">
      <c r="A802"/>
      <c r="B802"/>
      <c r="C802"/>
      <c r="F802"/>
      <c r="G802"/>
      <c r="I802"/>
      <c r="L802"/>
      <c r="M802"/>
      <c r="N802"/>
      <c r="O802"/>
    </row>
    <row r="803" spans="1:15" x14ac:dyDescent="0.2">
      <c r="A803"/>
      <c r="B803"/>
      <c r="C803"/>
      <c r="F803"/>
      <c r="G803"/>
      <c r="H803"/>
      <c r="J803"/>
      <c r="K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J806"/>
      <c r="K806"/>
      <c r="L806"/>
      <c r="M806"/>
      <c r="N806"/>
      <c r="O806"/>
    </row>
    <row r="807" spans="1:15" x14ac:dyDescent="0.2">
      <c r="A807"/>
      <c r="B807"/>
      <c r="C807"/>
      <c r="F807"/>
      <c r="G807"/>
      <c r="H807"/>
      <c r="I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H811"/>
      <c r="I811"/>
      <c r="L811"/>
      <c r="M811"/>
      <c r="N811"/>
      <c r="O811"/>
    </row>
    <row r="812" spans="1:15" x14ac:dyDescent="0.2">
      <c r="A812"/>
      <c r="B812"/>
      <c r="C812"/>
      <c r="F812"/>
      <c r="G812"/>
      <c r="L812"/>
      <c r="M812"/>
      <c r="N812"/>
      <c r="O812"/>
    </row>
    <row r="813" spans="1:15" x14ac:dyDescent="0.2">
      <c r="A813"/>
      <c r="B813"/>
      <c r="C813"/>
      <c r="F813"/>
      <c r="G813"/>
      <c r="H813"/>
      <c r="J813"/>
      <c r="K813"/>
      <c r="L813"/>
      <c r="M813"/>
      <c r="N813"/>
      <c r="O813"/>
    </row>
    <row r="814" spans="1:15" x14ac:dyDescent="0.2">
      <c r="A814"/>
      <c r="B814"/>
      <c r="C814"/>
      <c r="F814"/>
      <c r="G814"/>
      <c r="H814"/>
      <c r="I814"/>
      <c r="L814"/>
      <c r="M814"/>
      <c r="N814"/>
      <c r="O814"/>
    </row>
    <row r="815" spans="1:15" x14ac:dyDescent="0.2">
      <c r="A815"/>
      <c r="B815"/>
      <c r="C815"/>
      <c r="F815"/>
      <c r="G815"/>
      <c r="I815"/>
      <c r="L815"/>
      <c r="M815"/>
      <c r="N815"/>
      <c r="O815"/>
    </row>
    <row r="816" spans="1:15" x14ac:dyDescent="0.2">
      <c r="A816"/>
      <c r="B816"/>
      <c r="C816"/>
      <c r="F816"/>
      <c r="G816"/>
      <c r="H816"/>
      <c r="I816"/>
      <c r="L816"/>
      <c r="M816"/>
      <c r="N816"/>
      <c r="O816"/>
    </row>
    <row r="817" spans="1:15" x14ac:dyDescent="0.2">
      <c r="A817"/>
      <c r="B817"/>
      <c r="C817"/>
      <c r="F817"/>
      <c r="G817"/>
      <c r="H817"/>
      <c r="I817"/>
      <c r="L817"/>
      <c r="M817"/>
      <c r="N817"/>
      <c r="O817"/>
    </row>
    <row r="818" spans="1:15" x14ac:dyDescent="0.2">
      <c r="A818"/>
      <c r="B818"/>
      <c r="C818"/>
      <c r="F818"/>
      <c r="G818"/>
      <c r="L818"/>
      <c r="M818"/>
      <c r="N818"/>
      <c r="O818"/>
    </row>
    <row r="819" spans="1:15" x14ac:dyDescent="0.2">
      <c r="A819"/>
      <c r="B819"/>
      <c r="C819"/>
      <c r="F819"/>
      <c r="G819"/>
      <c r="H819"/>
      <c r="I819"/>
      <c r="L819"/>
      <c r="M819"/>
      <c r="N819"/>
      <c r="O819"/>
    </row>
    <row r="820" spans="1:15" x14ac:dyDescent="0.2">
      <c r="A820"/>
      <c r="B820"/>
      <c r="C820"/>
      <c r="F820"/>
      <c r="G820"/>
      <c r="J820"/>
      <c r="K820"/>
      <c r="L820"/>
      <c r="M820"/>
      <c r="N820"/>
      <c r="O820"/>
    </row>
    <row r="821" spans="1:15" x14ac:dyDescent="0.2">
      <c r="A821"/>
      <c r="B821"/>
      <c r="C821"/>
      <c r="F821"/>
      <c r="G821"/>
      <c r="L821"/>
      <c r="M821"/>
      <c r="N821"/>
      <c r="O821"/>
    </row>
    <row r="822" spans="1:15" x14ac:dyDescent="0.2">
      <c r="A822"/>
      <c r="B822"/>
      <c r="C822"/>
      <c r="F822"/>
      <c r="G822"/>
      <c r="M822"/>
      <c r="N822"/>
      <c r="O822"/>
    </row>
    <row r="823" spans="1:15" x14ac:dyDescent="0.2">
      <c r="A823"/>
      <c r="B823"/>
      <c r="C823"/>
      <c r="F823"/>
      <c r="G823"/>
      <c r="H823"/>
      <c r="I823"/>
      <c r="L823"/>
      <c r="M823"/>
      <c r="N823"/>
      <c r="O823"/>
    </row>
    <row r="824" spans="1:15" x14ac:dyDescent="0.2">
      <c r="A824"/>
      <c r="B824"/>
      <c r="C824"/>
      <c r="F824"/>
      <c r="G824"/>
      <c r="H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I828"/>
      <c r="L828"/>
      <c r="M828"/>
      <c r="N828"/>
      <c r="O828"/>
    </row>
    <row r="829" spans="1:15" x14ac:dyDescent="0.2">
      <c r="A829"/>
      <c r="B829"/>
      <c r="C829"/>
      <c r="F829"/>
      <c r="G829"/>
      <c r="H829"/>
      <c r="I829"/>
      <c r="L829"/>
      <c r="N829"/>
      <c r="O829"/>
    </row>
    <row r="830" spans="1:15" x14ac:dyDescent="0.2">
      <c r="A830"/>
      <c r="B830"/>
      <c r="C830"/>
      <c r="F830"/>
      <c r="G830"/>
      <c r="I830"/>
      <c r="L830"/>
      <c r="M830"/>
      <c r="N830"/>
      <c r="O830"/>
    </row>
    <row r="831" spans="1:15" x14ac:dyDescent="0.2">
      <c r="A831"/>
      <c r="B831"/>
      <c r="C831"/>
      <c r="F831"/>
      <c r="G831"/>
      <c r="H831"/>
      <c r="L831"/>
      <c r="M831"/>
      <c r="N831"/>
      <c r="O831"/>
    </row>
    <row r="832" spans="1:15" x14ac:dyDescent="0.2">
      <c r="A832"/>
      <c r="B832"/>
      <c r="C832"/>
      <c r="F832"/>
      <c r="G832"/>
      <c r="H832"/>
      <c r="I832"/>
      <c r="L832"/>
      <c r="M832"/>
      <c r="N832"/>
      <c r="O832"/>
    </row>
    <row r="833" spans="1:15" x14ac:dyDescent="0.2">
      <c r="A833"/>
      <c r="B833"/>
      <c r="C833"/>
      <c r="F833"/>
      <c r="G833"/>
      <c r="H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M836"/>
      <c r="N836"/>
      <c r="O836"/>
    </row>
    <row r="837" spans="1:15" x14ac:dyDescent="0.2">
      <c r="A837"/>
      <c r="B837"/>
      <c r="C837"/>
      <c r="F837"/>
      <c r="G837"/>
      <c r="I837"/>
      <c r="L837"/>
      <c r="M837"/>
      <c r="N837"/>
      <c r="O837"/>
    </row>
    <row r="838" spans="1:15" x14ac:dyDescent="0.2">
      <c r="A838"/>
      <c r="B838"/>
      <c r="C838"/>
      <c r="F838"/>
      <c r="G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M841"/>
      <c r="N841"/>
      <c r="O841"/>
    </row>
    <row r="842" spans="1:15" x14ac:dyDescent="0.2">
      <c r="A842"/>
      <c r="B842"/>
      <c r="C842"/>
      <c r="F842"/>
      <c r="G842"/>
      <c r="L842"/>
      <c r="M842"/>
      <c r="N842"/>
      <c r="O842"/>
    </row>
    <row r="843" spans="1:15" x14ac:dyDescent="0.2">
      <c r="A843"/>
      <c r="B843"/>
      <c r="C843"/>
      <c r="F843"/>
      <c r="G843"/>
      <c r="H843"/>
      <c r="I843"/>
      <c r="L843"/>
      <c r="M843"/>
      <c r="N843"/>
      <c r="O843"/>
    </row>
    <row r="844" spans="1:15" x14ac:dyDescent="0.2">
      <c r="A844"/>
      <c r="B844"/>
      <c r="C844"/>
      <c r="F844"/>
      <c r="G844"/>
      <c r="L844"/>
      <c r="M844"/>
      <c r="N844"/>
      <c r="O844"/>
    </row>
    <row r="845" spans="1:15" x14ac:dyDescent="0.2">
      <c r="A845"/>
      <c r="B845"/>
      <c r="C845"/>
      <c r="F845"/>
      <c r="G845"/>
      <c r="L845"/>
      <c r="M845"/>
      <c r="N845"/>
      <c r="O845"/>
    </row>
    <row r="846" spans="1:15" x14ac:dyDescent="0.2">
      <c r="A846"/>
      <c r="B846"/>
      <c r="C846"/>
      <c r="F846"/>
      <c r="G846"/>
      <c r="H846"/>
      <c r="I846"/>
      <c r="J846"/>
      <c r="K846"/>
      <c r="L846"/>
      <c r="M846"/>
      <c r="N846"/>
      <c r="O846"/>
    </row>
    <row r="847" spans="1:15" x14ac:dyDescent="0.2">
      <c r="A847"/>
      <c r="B847"/>
      <c r="C847"/>
      <c r="F847"/>
      <c r="G847"/>
      <c r="I847"/>
      <c r="L847"/>
      <c r="M847"/>
      <c r="N847"/>
      <c r="O847"/>
    </row>
    <row r="848" spans="1:15" x14ac:dyDescent="0.2">
      <c r="A848"/>
      <c r="B848"/>
      <c r="C848"/>
      <c r="F848"/>
      <c r="G848"/>
      <c r="H848"/>
      <c r="I848"/>
      <c r="L848"/>
      <c r="M848"/>
      <c r="N848"/>
      <c r="O848"/>
    </row>
    <row r="849" spans="1:15" x14ac:dyDescent="0.2">
      <c r="A849"/>
      <c r="B849"/>
      <c r="C849"/>
      <c r="F849"/>
      <c r="G849"/>
      <c r="I849"/>
      <c r="L849"/>
      <c r="M849"/>
      <c r="N849"/>
      <c r="O849"/>
    </row>
    <row r="850" spans="1:15" x14ac:dyDescent="0.2">
      <c r="A850"/>
      <c r="B850"/>
      <c r="C850"/>
      <c r="F850"/>
      <c r="G850"/>
      <c r="H850"/>
      <c r="I850"/>
      <c r="L850"/>
      <c r="M850"/>
      <c r="N850"/>
      <c r="O850"/>
    </row>
    <row r="851" spans="1:15" x14ac:dyDescent="0.2">
      <c r="A851"/>
      <c r="B851"/>
      <c r="C851"/>
      <c r="F851"/>
      <c r="G851"/>
      <c r="L851"/>
      <c r="M851"/>
      <c r="N851"/>
      <c r="O851"/>
    </row>
    <row r="852" spans="1:15" x14ac:dyDescent="0.2">
      <c r="A852"/>
      <c r="B852"/>
      <c r="C852"/>
      <c r="F852"/>
      <c r="G852"/>
      <c r="J852"/>
      <c r="K852"/>
      <c r="L852"/>
      <c r="M852"/>
      <c r="N852"/>
      <c r="O852"/>
    </row>
    <row r="853" spans="1:15" x14ac:dyDescent="0.2">
      <c r="A853"/>
      <c r="B853"/>
      <c r="C853"/>
      <c r="F853"/>
      <c r="G853"/>
      <c r="I853"/>
      <c r="L853"/>
      <c r="M853"/>
      <c r="N853"/>
      <c r="O853"/>
    </row>
    <row r="854" spans="1:15" x14ac:dyDescent="0.2">
      <c r="A854"/>
      <c r="B854"/>
      <c r="C854"/>
      <c r="F854"/>
      <c r="G854"/>
      <c r="H854"/>
      <c r="I854"/>
      <c r="L854"/>
      <c r="N854"/>
      <c r="O854"/>
    </row>
    <row r="855" spans="1:15" x14ac:dyDescent="0.2">
      <c r="A855"/>
      <c r="B855"/>
      <c r="C855"/>
      <c r="F855"/>
      <c r="G855"/>
      <c r="H855"/>
      <c r="I855"/>
      <c r="L855"/>
      <c r="M855"/>
      <c r="N855"/>
      <c r="O855"/>
    </row>
    <row r="856" spans="1:15" x14ac:dyDescent="0.2">
      <c r="A856"/>
      <c r="B856"/>
      <c r="C856"/>
      <c r="F856"/>
      <c r="G856"/>
      <c r="J856"/>
      <c r="K856"/>
      <c r="L856"/>
      <c r="M856"/>
      <c r="N856"/>
      <c r="O856"/>
    </row>
    <row r="857" spans="1:15" x14ac:dyDescent="0.2">
      <c r="A857"/>
      <c r="B857"/>
      <c r="C857"/>
      <c r="F857"/>
      <c r="G857"/>
      <c r="H857"/>
      <c r="I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J861"/>
      <c r="K861"/>
      <c r="L861"/>
      <c r="M861"/>
      <c r="N861"/>
      <c r="O861"/>
    </row>
    <row r="862" spans="1:15" x14ac:dyDescent="0.2">
      <c r="A862"/>
      <c r="B862"/>
      <c r="C862"/>
      <c r="F862"/>
      <c r="G862"/>
      <c r="J862"/>
      <c r="K862"/>
      <c r="L862"/>
      <c r="M862"/>
      <c r="N862"/>
      <c r="O862"/>
    </row>
    <row r="863" spans="1:15" x14ac:dyDescent="0.2">
      <c r="A863"/>
      <c r="B863"/>
      <c r="C863"/>
      <c r="F863"/>
      <c r="G863"/>
      <c r="H863"/>
      <c r="J863"/>
      <c r="K863"/>
      <c r="L863"/>
      <c r="M863"/>
      <c r="N863"/>
      <c r="O863"/>
    </row>
    <row r="864" spans="1:15" x14ac:dyDescent="0.2">
      <c r="A864"/>
      <c r="B864"/>
      <c r="C864"/>
      <c r="F864"/>
      <c r="G864"/>
      <c r="H864"/>
      <c r="J864"/>
      <c r="K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I868"/>
      <c r="L868"/>
      <c r="N868"/>
      <c r="O868"/>
    </row>
    <row r="869" spans="1:15" x14ac:dyDescent="0.2">
      <c r="A869"/>
      <c r="B869"/>
      <c r="C869"/>
      <c r="F869"/>
      <c r="G869"/>
      <c r="I869"/>
      <c r="L869"/>
      <c r="M869"/>
      <c r="N869"/>
      <c r="O869"/>
    </row>
    <row r="870" spans="1:15" x14ac:dyDescent="0.2">
      <c r="A870"/>
      <c r="B870"/>
      <c r="C870"/>
      <c r="F870"/>
      <c r="G870"/>
      <c r="L870"/>
      <c r="M870"/>
      <c r="N870"/>
      <c r="O870"/>
    </row>
    <row r="871" spans="1:15" x14ac:dyDescent="0.2">
      <c r="A871"/>
      <c r="B871"/>
      <c r="C871"/>
      <c r="F871"/>
      <c r="G871"/>
      <c r="H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N873"/>
      <c r="O873"/>
    </row>
    <row r="874" spans="1:15" x14ac:dyDescent="0.2">
      <c r="A874"/>
      <c r="B874"/>
      <c r="C874"/>
      <c r="F874"/>
      <c r="G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H877"/>
      <c r="I877"/>
      <c r="L877"/>
      <c r="M877"/>
      <c r="N877"/>
      <c r="O877"/>
    </row>
    <row r="878" spans="1:15" x14ac:dyDescent="0.2">
      <c r="A878"/>
      <c r="B878"/>
      <c r="C878"/>
      <c r="F878"/>
      <c r="G878"/>
      <c r="I878"/>
      <c r="L878"/>
      <c r="M878"/>
      <c r="N878"/>
      <c r="O878"/>
    </row>
    <row r="879" spans="1:15" x14ac:dyDescent="0.2">
      <c r="A879"/>
      <c r="B879"/>
      <c r="C879"/>
      <c r="F879"/>
      <c r="G879"/>
      <c r="L879"/>
      <c r="M879"/>
      <c r="N879"/>
      <c r="O879"/>
    </row>
    <row r="880" spans="1:15" x14ac:dyDescent="0.2">
      <c r="A880"/>
      <c r="B880"/>
      <c r="C880"/>
      <c r="F880"/>
      <c r="G880"/>
      <c r="H880"/>
      <c r="J880"/>
      <c r="K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I886"/>
      <c r="L886"/>
      <c r="M886"/>
      <c r="N886"/>
      <c r="O886"/>
    </row>
    <row r="887" spans="1:15" x14ac:dyDescent="0.2">
      <c r="A887"/>
      <c r="B887"/>
      <c r="C887"/>
      <c r="F887"/>
      <c r="G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L900"/>
      <c r="M900"/>
      <c r="N900"/>
      <c r="O900"/>
    </row>
    <row r="901" spans="1:15" x14ac:dyDescent="0.2">
      <c r="A901"/>
      <c r="B901"/>
      <c r="C901"/>
      <c r="F901"/>
      <c r="G901"/>
      <c r="I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H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J914"/>
      <c r="K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I917"/>
      <c r="L917"/>
      <c r="M917"/>
      <c r="N917"/>
      <c r="O917"/>
    </row>
    <row r="918" spans="1:15" x14ac:dyDescent="0.2">
      <c r="A918"/>
      <c r="B918"/>
      <c r="C918"/>
      <c r="F918"/>
      <c r="G918"/>
      <c r="H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J922"/>
      <c r="K922"/>
      <c r="L922"/>
      <c r="M922"/>
      <c r="N922"/>
      <c r="O922"/>
    </row>
    <row r="923" spans="1:15" x14ac:dyDescent="0.2">
      <c r="A923"/>
      <c r="B923"/>
      <c r="C923"/>
      <c r="F923"/>
      <c r="G923"/>
      <c r="H923"/>
      <c r="J923"/>
      <c r="K923"/>
      <c r="L923"/>
      <c r="M923"/>
      <c r="N923"/>
      <c r="O923"/>
    </row>
    <row r="924" spans="1:15" x14ac:dyDescent="0.2">
      <c r="A924"/>
      <c r="B924"/>
      <c r="C924"/>
      <c r="F924"/>
      <c r="G924"/>
      <c r="J924"/>
      <c r="K924"/>
      <c r="L924"/>
      <c r="M924"/>
      <c r="N924"/>
      <c r="O924"/>
    </row>
    <row r="925" spans="1:15" x14ac:dyDescent="0.2">
      <c r="A925"/>
      <c r="B925"/>
      <c r="C925"/>
      <c r="F925"/>
      <c r="G925"/>
      <c r="H925"/>
      <c r="J925"/>
      <c r="K925"/>
      <c r="L925"/>
      <c r="M925"/>
      <c r="N925"/>
      <c r="O925"/>
    </row>
    <row r="926" spans="1:15" x14ac:dyDescent="0.2">
      <c r="A926"/>
      <c r="B926"/>
      <c r="C926"/>
      <c r="F926"/>
      <c r="G926"/>
      <c r="L926"/>
      <c r="M926"/>
      <c r="N926"/>
      <c r="O926"/>
    </row>
    <row r="927" spans="1:15" x14ac:dyDescent="0.2">
      <c r="A927"/>
      <c r="B927"/>
      <c r="C927"/>
      <c r="F927"/>
      <c r="G927"/>
      <c r="H927"/>
      <c r="J927"/>
      <c r="K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J932"/>
      <c r="K932"/>
      <c r="L932"/>
      <c r="M932"/>
      <c r="N932"/>
      <c r="O932"/>
    </row>
    <row r="933" spans="1:15" x14ac:dyDescent="0.2">
      <c r="A933"/>
      <c r="B933"/>
      <c r="C933"/>
      <c r="F933"/>
      <c r="G933"/>
      <c r="H933"/>
      <c r="I933"/>
      <c r="L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J956"/>
      <c r="K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J962"/>
      <c r="K962"/>
      <c r="L962"/>
      <c r="M962"/>
      <c r="N962"/>
      <c r="O962"/>
    </row>
    <row r="963" spans="1:15" x14ac:dyDescent="0.2">
      <c r="A963"/>
      <c r="B963"/>
      <c r="C963"/>
      <c r="F963"/>
      <c r="G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I966"/>
      <c r="L966"/>
      <c r="M966"/>
      <c r="N966"/>
      <c r="O966"/>
    </row>
    <row r="967" spans="1:15" x14ac:dyDescent="0.2">
      <c r="A967"/>
      <c r="B967"/>
      <c r="C967"/>
      <c r="F967"/>
      <c r="G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J971"/>
      <c r="K971"/>
      <c r="L971"/>
      <c r="M971"/>
      <c r="N971"/>
      <c r="O971"/>
    </row>
    <row r="972" spans="1:15" x14ac:dyDescent="0.2">
      <c r="A972"/>
      <c r="B972"/>
      <c r="C972"/>
      <c r="F972"/>
      <c r="G972"/>
      <c r="H972"/>
      <c r="J972"/>
      <c r="K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M987"/>
      <c r="N987"/>
      <c r="O987"/>
    </row>
    <row r="988" spans="1:15" x14ac:dyDescent="0.2">
      <c r="A988"/>
      <c r="B988"/>
      <c r="C988"/>
      <c r="F988"/>
      <c r="G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J996"/>
      <c r="K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L1006"/>
      <c r="M1006"/>
      <c r="N1006"/>
      <c r="O1006"/>
    </row>
    <row r="1007" spans="1:15" x14ac:dyDescent="0.2">
      <c r="A1007"/>
      <c r="B1007"/>
      <c r="C1007"/>
      <c r="F1007"/>
      <c r="G1007"/>
      <c r="H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I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J1028"/>
      <c r="K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I1037"/>
      <c r="L1037"/>
      <c r="M1037"/>
      <c r="N1037"/>
      <c r="O1037"/>
    </row>
    <row r="1038" spans="1:15" x14ac:dyDescent="0.2">
      <c r="A1038"/>
      <c r="B1038"/>
      <c r="C1038"/>
      <c r="F1038"/>
      <c r="G1038"/>
      <c r="I1038"/>
      <c r="L1038"/>
      <c r="M1038"/>
      <c r="N1038"/>
      <c r="O1038"/>
    </row>
    <row r="1039" spans="1:15" x14ac:dyDescent="0.2">
      <c r="A1039"/>
      <c r="B1039"/>
      <c r="C1039"/>
      <c r="F1039"/>
      <c r="G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J1043"/>
      <c r="K1043"/>
      <c r="L1043"/>
      <c r="M1043"/>
      <c r="N1043"/>
      <c r="O1043"/>
    </row>
    <row r="1044" spans="1:15" x14ac:dyDescent="0.2">
      <c r="A1044"/>
      <c r="B1044"/>
      <c r="C1044"/>
      <c r="F1044"/>
      <c r="G1044"/>
      <c r="I1044"/>
      <c r="L1044"/>
      <c r="M1044"/>
      <c r="N1044"/>
      <c r="O1044"/>
    </row>
    <row r="1045" spans="1:15" x14ac:dyDescent="0.2">
      <c r="A1045"/>
      <c r="B1045"/>
      <c r="C1045"/>
      <c r="F1045"/>
      <c r="G1045"/>
      <c r="H1045"/>
      <c r="I1045"/>
      <c r="J1045"/>
      <c r="K1045"/>
      <c r="L1045"/>
      <c r="M1045"/>
      <c r="N1045"/>
      <c r="O1045"/>
    </row>
    <row r="1046" spans="1:15" x14ac:dyDescent="0.2">
      <c r="A1046"/>
      <c r="B1046"/>
      <c r="C1046"/>
      <c r="F1046"/>
      <c r="G1046"/>
      <c r="H1046"/>
      <c r="I1046"/>
      <c r="L1046"/>
      <c r="M1046"/>
      <c r="N1046"/>
      <c r="O1046"/>
    </row>
    <row r="1047" spans="1:15" x14ac:dyDescent="0.2">
      <c r="A1047"/>
      <c r="B1047"/>
      <c r="C1047"/>
      <c r="F1047"/>
      <c r="G1047"/>
      <c r="J1047"/>
      <c r="K1047"/>
      <c r="L1047"/>
      <c r="M1047"/>
      <c r="N1047"/>
      <c r="O1047"/>
    </row>
    <row r="1048" spans="1:15" x14ac:dyDescent="0.2">
      <c r="A1048"/>
      <c r="B1048"/>
      <c r="C1048"/>
      <c r="F1048"/>
      <c r="G1048"/>
      <c r="H1048"/>
      <c r="I1048"/>
      <c r="L1048"/>
      <c r="M1048"/>
      <c r="N1048"/>
      <c r="O1048"/>
    </row>
    <row r="1049" spans="1:15" x14ac:dyDescent="0.2">
      <c r="A1049"/>
      <c r="B1049"/>
      <c r="C1049"/>
      <c r="F1049"/>
      <c r="G1049"/>
      <c r="J1049"/>
      <c r="K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N1054"/>
      <c r="O1054"/>
    </row>
    <row r="1055" spans="1:15" x14ac:dyDescent="0.2">
      <c r="A1055"/>
      <c r="B1055"/>
      <c r="C1055"/>
      <c r="F1055"/>
      <c r="G1055"/>
      <c r="H1055"/>
      <c r="J1055"/>
      <c r="K1055"/>
      <c r="L1055"/>
      <c r="M1055"/>
      <c r="N1055"/>
      <c r="O1055"/>
    </row>
    <row r="1056" spans="1:15" x14ac:dyDescent="0.2">
      <c r="A1056"/>
      <c r="B1056"/>
      <c r="C1056"/>
      <c r="F1056"/>
      <c r="G1056"/>
      <c r="H1056"/>
      <c r="L1056"/>
      <c r="M1056"/>
      <c r="N1056"/>
      <c r="O1056"/>
    </row>
    <row r="1057" spans="1:15" x14ac:dyDescent="0.2">
      <c r="A1057"/>
      <c r="B1057"/>
      <c r="C1057"/>
      <c r="F1057"/>
      <c r="G1057"/>
      <c r="H1057"/>
      <c r="J1057"/>
      <c r="K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G1061"/>
      <c r="J1061"/>
      <c r="K1061"/>
      <c r="L1061"/>
      <c r="M1061"/>
      <c r="N1061"/>
      <c r="O1061"/>
    </row>
    <row r="1062" spans="1:15" x14ac:dyDescent="0.2">
      <c r="A1062"/>
      <c r="B1062"/>
      <c r="C1062"/>
      <c r="F1062"/>
      <c r="G1062"/>
      <c r="H1062"/>
      <c r="I1062"/>
      <c r="L1062"/>
      <c r="N1062"/>
      <c r="O1062"/>
    </row>
    <row r="1063" spans="1:15" x14ac:dyDescent="0.2">
      <c r="A1063"/>
      <c r="B1063"/>
      <c r="C1063"/>
      <c r="F1063"/>
      <c r="G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L1067"/>
      <c r="M1067"/>
      <c r="N1067"/>
      <c r="O1067"/>
    </row>
    <row r="1068" spans="1:15" x14ac:dyDescent="0.2">
      <c r="A1068"/>
      <c r="B1068"/>
      <c r="C1068"/>
      <c r="F1068"/>
      <c r="G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I1070"/>
      <c r="L1070"/>
      <c r="M1070"/>
      <c r="N1070"/>
      <c r="O1070"/>
    </row>
    <row r="1071" spans="1:15" x14ac:dyDescent="0.2">
      <c r="A1071"/>
      <c r="B1071"/>
      <c r="C1071"/>
      <c r="F1071"/>
      <c r="G1071"/>
      <c r="M1071"/>
      <c r="N1071"/>
      <c r="O1071"/>
    </row>
    <row r="1072" spans="1:15" x14ac:dyDescent="0.2">
      <c r="A1072"/>
      <c r="B1072"/>
      <c r="C1072"/>
      <c r="F1072"/>
      <c r="G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N1077"/>
      <c r="O1077"/>
    </row>
    <row r="1078" spans="1:15" x14ac:dyDescent="0.2">
      <c r="A1078"/>
      <c r="B1078"/>
      <c r="C1078"/>
      <c r="F1078"/>
      <c r="G1078"/>
      <c r="I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I1081"/>
      <c r="L1081"/>
      <c r="M1081"/>
      <c r="N1081"/>
      <c r="O1081"/>
    </row>
    <row r="1082" spans="1:15" x14ac:dyDescent="0.2">
      <c r="A1082"/>
      <c r="B1082"/>
      <c r="C1082"/>
      <c r="F1082"/>
      <c r="G1082"/>
      <c r="I1082"/>
      <c r="L1082"/>
      <c r="M1082"/>
      <c r="N1082"/>
      <c r="O1082"/>
    </row>
    <row r="1083" spans="1:15" x14ac:dyDescent="0.2">
      <c r="A1083"/>
      <c r="B1083"/>
      <c r="C1083"/>
      <c r="F1083"/>
      <c r="G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H1086"/>
      <c r="I1086"/>
      <c r="L1086"/>
      <c r="M1086"/>
      <c r="N1086"/>
      <c r="O1086"/>
    </row>
    <row r="1087" spans="1:15" x14ac:dyDescent="0.2">
      <c r="A1087"/>
      <c r="B1087"/>
      <c r="C1087"/>
      <c r="F1087"/>
      <c r="G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J1092"/>
      <c r="K1092"/>
      <c r="L1092"/>
      <c r="M1092"/>
      <c r="N1092"/>
      <c r="O1092"/>
    </row>
    <row r="1093" spans="1:15" x14ac:dyDescent="0.2">
      <c r="A1093"/>
      <c r="B1093"/>
      <c r="C1093"/>
      <c r="F1093"/>
      <c r="G1093"/>
      <c r="H1093"/>
      <c r="J1093"/>
      <c r="K1093"/>
      <c r="L1093"/>
      <c r="M1093"/>
      <c r="N1093"/>
      <c r="O1093"/>
    </row>
    <row r="1094" spans="1:15" x14ac:dyDescent="0.2">
      <c r="A1094"/>
      <c r="B1094"/>
      <c r="C1094"/>
      <c r="F1094"/>
      <c r="G1094"/>
      <c r="H1094"/>
      <c r="J1094"/>
      <c r="K1094"/>
      <c r="L1094"/>
      <c r="M1094"/>
      <c r="N1094"/>
      <c r="O1094"/>
    </row>
    <row r="1095" spans="1:15" x14ac:dyDescent="0.2">
      <c r="A1095"/>
      <c r="B1095"/>
      <c r="C1095"/>
      <c r="F1095"/>
      <c r="G1095"/>
      <c r="H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M1098"/>
      <c r="N1098"/>
      <c r="O1098"/>
    </row>
    <row r="1099" spans="1:15" x14ac:dyDescent="0.2">
      <c r="A1099"/>
      <c r="B1099"/>
      <c r="C1099"/>
      <c r="F1099"/>
      <c r="G1099"/>
      <c r="H1099"/>
      <c r="I1099"/>
      <c r="L1099"/>
      <c r="M1099"/>
      <c r="N1099"/>
      <c r="O1099"/>
    </row>
    <row r="1100" spans="1:15" x14ac:dyDescent="0.2">
      <c r="A1100"/>
      <c r="B1100"/>
      <c r="C1100"/>
      <c r="F1100"/>
      <c r="G1100"/>
      <c r="J1100"/>
      <c r="K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N1102"/>
      <c r="O1102"/>
    </row>
    <row r="1103" spans="1:15" x14ac:dyDescent="0.2">
      <c r="A1103"/>
      <c r="B1103"/>
      <c r="C1103"/>
      <c r="F1103"/>
      <c r="G1103"/>
      <c r="H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L1107"/>
      <c r="M1107"/>
      <c r="N1107"/>
      <c r="O1107"/>
    </row>
    <row r="1108" spans="1:15" x14ac:dyDescent="0.2">
      <c r="A1108"/>
      <c r="B1108"/>
      <c r="C1108"/>
      <c r="F1108"/>
      <c r="G1108"/>
      <c r="L1108"/>
      <c r="M1108"/>
      <c r="N1108"/>
      <c r="O1108"/>
    </row>
    <row r="1109" spans="1:15" x14ac:dyDescent="0.2">
      <c r="A1109"/>
      <c r="B1109"/>
      <c r="C1109"/>
      <c r="F1109"/>
      <c r="G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L1114"/>
      <c r="M1114"/>
      <c r="N1114"/>
      <c r="O1114"/>
    </row>
    <row r="1115" spans="1:15" x14ac:dyDescent="0.2">
      <c r="A1115"/>
      <c r="B1115"/>
      <c r="C1115"/>
      <c r="F1115"/>
      <c r="G1115"/>
      <c r="I1115"/>
      <c r="L1115"/>
      <c r="M1115"/>
      <c r="N1115"/>
      <c r="O1115"/>
    </row>
    <row r="1116" spans="1:15" x14ac:dyDescent="0.2">
      <c r="A1116"/>
      <c r="B1116"/>
      <c r="C1116"/>
      <c r="F1116"/>
      <c r="G1116"/>
      <c r="N1116"/>
      <c r="O1116"/>
    </row>
    <row r="1117" spans="1:15" x14ac:dyDescent="0.2">
      <c r="A1117"/>
      <c r="B1117"/>
      <c r="C1117"/>
      <c r="F1117"/>
      <c r="G1117"/>
      <c r="I1117"/>
      <c r="L1117"/>
      <c r="M1117"/>
      <c r="N1117"/>
      <c r="O1117"/>
    </row>
    <row r="1118" spans="1:15" x14ac:dyDescent="0.2">
      <c r="A1118"/>
      <c r="B1118"/>
      <c r="C1118"/>
      <c r="F1118"/>
      <c r="G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H1121"/>
      <c r="J1121"/>
      <c r="K1121"/>
      <c r="L1121"/>
      <c r="M1121"/>
      <c r="N1121"/>
      <c r="O1121"/>
    </row>
    <row r="1122" spans="1:15" x14ac:dyDescent="0.2">
      <c r="A1122"/>
      <c r="B1122"/>
      <c r="C1122"/>
      <c r="F1122"/>
      <c r="G1122"/>
      <c r="I1122"/>
      <c r="L1122"/>
      <c r="M1122"/>
      <c r="N1122"/>
      <c r="O1122"/>
    </row>
    <row r="1123" spans="1:15" x14ac:dyDescent="0.2">
      <c r="A1123"/>
      <c r="B1123"/>
      <c r="C1123"/>
      <c r="F1123"/>
      <c r="G1123"/>
      <c r="J1123"/>
      <c r="K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M1126"/>
      <c r="N1126"/>
      <c r="O1126"/>
    </row>
    <row r="1127" spans="1:15" x14ac:dyDescent="0.2">
      <c r="A1127"/>
      <c r="B1127"/>
      <c r="C1127"/>
      <c r="F1127"/>
      <c r="G1127"/>
      <c r="H1127"/>
      <c r="L1127"/>
      <c r="M1127"/>
      <c r="N1127"/>
      <c r="O1127"/>
    </row>
    <row r="1128" spans="1:15" x14ac:dyDescent="0.2">
      <c r="A1128"/>
      <c r="B1128"/>
      <c r="C1128"/>
      <c r="F1128"/>
      <c r="G1128"/>
      <c r="I1128"/>
      <c r="L1128"/>
      <c r="M1128"/>
      <c r="N1128"/>
      <c r="O1128"/>
    </row>
    <row r="1129" spans="1:15" x14ac:dyDescent="0.2">
      <c r="A1129"/>
      <c r="B1129"/>
      <c r="C1129"/>
      <c r="F1129"/>
      <c r="G1129"/>
      <c r="H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K1131"/>
      <c r="L1131"/>
      <c r="M1131"/>
      <c r="N1131"/>
      <c r="O1131"/>
    </row>
    <row r="1132" spans="1:15" x14ac:dyDescent="0.2">
      <c r="A1132"/>
      <c r="B1132"/>
      <c r="C1132"/>
      <c r="F1132"/>
      <c r="G1132"/>
      <c r="L1132"/>
      <c r="M1132"/>
      <c r="N1132"/>
      <c r="O1132"/>
    </row>
    <row r="1133" spans="1:15" x14ac:dyDescent="0.2">
      <c r="A1133"/>
      <c r="B1133"/>
      <c r="C1133"/>
      <c r="F1133"/>
      <c r="G1133"/>
      <c r="J1133"/>
      <c r="K1133"/>
      <c r="L1133"/>
      <c r="M1133"/>
      <c r="N1133"/>
      <c r="O1133"/>
    </row>
    <row r="1134" spans="1:15" x14ac:dyDescent="0.2">
      <c r="A1134"/>
      <c r="B1134"/>
      <c r="C1134"/>
      <c r="F1134"/>
      <c r="G1134"/>
      <c r="H1134"/>
      <c r="L1134"/>
      <c r="M1134"/>
      <c r="N1134"/>
      <c r="O1134"/>
    </row>
    <row r="1135" spans="1:15" x14ac:dyDescent="0.2">
      <c r="A1135"/>
      <c r="B1135"/>
      <c r="C1135"/>
      <c r="F1135"/>
      <c r="G1135"/>
      <c r="L1135"/>
      <c r="M1135"/>
      <c r="N1135"/>
      <c r="O1135"/>
    </row>
    <row r="1136" spans="1:15" x14ac:dyDescent="0.2">
      <c r="A1136"/>
      <c r="B1136"/>
      <c r="C1136"/>
      <c r="F1136"/>
      <c r="G1136"/>
      <c r="L1136"/>
      <c r="M1136"/>
      <c r="N1136"/>
      <c r="O1136"/>
    </row>
    <row r="1137" spans="1:15" x14ac:dyDescent="0.2">
      <c r="A1137"/>
      <c r="B1137"/>
      <c r="C1137"/>
      <c r="F1137"/>
      <c r="G1137"/>
      <c r="H1137"/>
      <c r="L1137"/>
      <c r="M1137"/>
      <c r="N1137"/>
      <c r="O1137"/>
    </row>
    <row r="1138" spans="1:15" x14ac:dyDescent="0.2">
      <c r="A1138"/>
      <c r="B1138"/>
      <c r="C1138"/>
      <c r="F1138"/>
      <c r="G1138"/>
      <c r="H1138"/>
      <c r="I1138"/>
      <c r="L1138"/>
      <c r="M1138"/>
      <c r="N1138"/>
      <c r="O1138"/>
    </row>
    <row r="1139" spans="1:15" x14ac:dyDescent="0.2">
      <c r="A1139"/>
      <c r="B1139"/>
      <c r="C1139"/>
      <c r="F1139"/>
      <c r="G1139"/>
      <c r="L1139"/>
      <c r="M1139"/>
      <c r="N1139"/>
      <c r="O1139"/>
    </row>
    <row r="1140" spans="1:15" x14ac:dyDescent="0.2">
      <c r="A1140"/>
      <c r="B1140"/>
      <c r="C1140"/>
      <c r="F1140"/>
      <c r="G1140"/>
      <c r="L1140"/>
      <c r="M1140"/>
      <c r="N1140"/>
      <c r="O1140"/>
    </row>
    <row r="1141" spans="1:15" x14ac:dyDescent="0.2">
      <c r="A1141"/>
      <c r="B1141"/>
      <c r="C1141"/>
      <c r="F1141"/>
      <c r="G1141"/>
      <c r="H1141"/>
      <c r="I1141"/>
      <c r="L1141"/>
      <c r="M1141"/>
      <c r="N1141"/>
      <c r="O1141"/>
    </row>
    <row r="1142" spans="1:15" x14ac:dyDescent="0.2">
      <c r="A1142"/>
      <c r="B1142"/>
      <c r="C1142"/>
      <c r="F1142"/>
      <c r="G1142"/>
      <c r="J1142"/>
      <c r="K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I1149"/>
      <c r="L1149"/>
      <c r="M1149"/>
      <c r="N1149"/>
      <c r="O1149"/>
    </row>
    <row r="1150" spans="1:15" x14ac:dyDescent="0.2">
      <c r="A1150"/>
      <c r="B1150"/>
      <c r="C1150"/>
      <c r="F1150"/>
      <c r="G1150"/>
      <c r="I1150"/>
      <c r="L1150"/>
      <c r="M1150"/>
      <c r="N1150"/>
      <c r="O1150"/>
    </row>
    <row r="1151" spans="1:15" x14ac:dyDescent="0.2">
      <c r="A1151"/>
      <c r="B1151"/>
      <c r="C1151"/>
      <c r="F1151"/>
      <c r="G1151"/>
      <c r="H1151"/>
      <c r="I1151"/>
      <c r="L1151"/>
      <c r="N1151"/>
      <c r="O1151"/>
    </row>
    <row r="1152" spans="1:15" x14ac:dyDescent="0.2">
      <c r="A1152"/>
      <c r="B1152"/>
      <c r="C1152"/>
      <c r="F1152"/>
      <c r="G1152"/>
      <c r="I1152"/>
      <c r="L1152"/>
      <c r="M1152"/>
      <c r="N1152"/>
      <c r="O1152"/>
    </row>
    <row r="1153" spans="1:15" x14ac:dyDescent="0.2">
      <c r="A1153"/>
      <c r="B1153"/>
      <c r="C1153"/>
      <c r="F1153"/>
      <c r="G1153"/>
      <c r="I1153"/>
      <c r="L1153"/>
      <c r="M1153"/>
      <c r="N1153"/>
      <c r="O1153"/>
    </row>
    <row r="1154" spans="1:15" x14ac:dyDescent="0.2">
      <c r="A1154"/>
      <c r="B1154"/>
      <c r="C1154"/>
      <c r="F1154"/>
      <c r="G1154"/>
      <c r="J1154"/>
      <c r="K1154"/>
      <c r="L1154"/>
      <c r="M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I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H1167"/>
      <c r="L1167"/>
      <c r="M1167"/>
      <c r="N1167"/>
      <c r="O1167"/>
    </row>
    <row r="1168" spans="1:15" x14ac:dyDescent="0.2">
      <c r="A1168"/>
      <c r="B1168"/>
      <c r="C1168"/>
      <c r="F1168"/>
      <c r="G1168"/>
      <c r="H1168"/>
      <c r="I1168"/>
      <c r="L1168"/>
      <c r="M1168"/>
      <c r="N1168"/>
      <c r="O1168"/>
    </row>
    <row r="1169" spans="1:15" x14ac:dyDescent="0.2">
      <c r="A1169"/>
      <c r="B1169"/>
      <c r="C1169"/>
      <c r="F1169"/>
      <c r="G1169"/>
      <c r="H1169"/>
      <c r="J1169"/>
      <c r="K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M1172"/>
      <c r="N1172"/>
      <c r="O1172"/>
    </row>
    <row r="1173" spans="1:15" x14ac:dyDescent="0.2">
      <c r="A1173"/>
      <c r="B1173"/>
      <c r="C1173"/>
      <c r="F1173"/>
      <c r="G1173"/>
      <c r="H1173"/>
      <c r="I1173"/>
      <c r="L1173"/>
      <c r="M1173"/>
      <c r="N1173"/>
      <c r="O1173"/>
    </row>
    <row r="1174" spans="1:15" x14ac:dyDescent="0.2">
      <c r="A1174"/>
      <c r="B1174"/>
      <c r="C1174"/>
      <c r="F1174"/>
      <c r="G1174"/>
      <c r="H1174"/>
      <c r="L1174"/>
      <c r="M1174"/>
      <c r="N1174"/>
      <c r="O1174"/>
    </row>
    <row r="1175" spans="1:15" x14ac:dyDescent="0.2">
      <c r="A1175"/>
      <c r="B1175"/>
      <c r="C1175"/>
      <c r="F1175"/>
      <c r="G1175"/>
      <c r="H1175"/>
      <c r="I1175"/>
      <c r="L1175"/>
      <c r="M1175"/>
      <c r="N1175"/>
      <c r="O1175"/>
    </row>
    <row r="1176" spans="1:15" x14ac:dyDescent="0.2">
      <c r="A1176"/>
      <c r="B1176"/>
      <c r="C1176"/>
      <c r="F1176"/>
      <c r="G1176"/>
      <c r="L1176"/>
      <c r="M1176"/>
      <c r="N1176"/>
      <c r="O1176"/>
    </row>
    <row r="1177" spans="1:15" x14ac:dyDescent="0.2">
      <c r="A1177"/>
      <c r="B1177"/>
      <c r="C1177"/>
      <c r="F1177"/>
      <c r="G1177"/>
      <c r="I1177"/>
      <c r="L1177"/>
      <c r="M1177"/>
      <c r="N1177"/>
      <c r="O1177"/>
    </row>
    <row r="1178" spans="1:15" x14ac:dyDescent="0.2">
      <c r="A1178"/>
      <c r="B1178"/>
      <c r="C1178"/>
      <c r="F1178"/>
      <c r="G1178"/>
      <c r="H1178"/>
      <c r="J1178"/>
      <c r="K1178"/>
      <c r="L1178"/>
      <c r="M1178"/>
      <c r="N1178"/>
      <c r="O1178"/>
    </row>
    <row r="1179" spans="1:15" x14ac:dyDescent="0.2">
      <c r="A1179"/>
      <c r="B1179"/>
      <c r="C1179"/>
      <c r="F1179"/>
      <c r="G1179"/>
      <c r="L1179"/>
      <c r="M1179"/>
      <c r="N1179"/>
      <c r="O1179"/>
    </row>
    <row r="1180" spans="1:15" x14ac:dyDescent="0.2">
      <c r="A1180"/>
      <c r="B1180"/>
      <c r="C1180"/>
      <c r="F1180"/>
      <c r="G1180"/>
      <c r="H1180"/>
      <c r="J1180"/>
      <c r="K1180"/>
      <c r="L1180"/>
      <c r="M1180"/>
      <c r="N1180"/>
      <c r="O1180"/>
    </row>
    <row r="1181" spans="1:15" x14ac:dyDescent="0.2">
      <c r="A1181"/>
      <c r="B1181"/>
      <c r="C1181"/>
      <c r="F1181"/>
      <c r="G1181"/>
      <c r="H1181"/>
      <c r="J1181"/>
      <c r="K1181"/>
      <c r="L1181"/>
      <c r="M1181"/>
      <c r="N1181"/>
      <c r="O1181"/>
    </row>
    <row r="1182" spans="1:15" x14ac:dyDescent="0.2">
      <c r="A1182"/>
      <c r="B1182"/>
      <c r="C1182"/>
      <c r="F1182"/>
      <c r="G1182"/>
      <c r="H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J1189"/>
      <c r="K1189"/>
      <c r="L1189"/>
      <c r="M1189"/>
      <c r="N1189"/>
      <c r="O1189"/>
    </row>
    <row r="1190" spans="1:15" x14ac:dyDescent="0.2">
      <c r="A1190"/>
      <c r="B1190"/>
      <c r="C1190"/>
      <c r="F1190"/>
      <c r="G1190"/>
      <c r="I1190"/>
      <c r="L1190"/>
      <c r="M1190"/>
      <c r="N1190"/>
      <c r="O1190"/>
    </row>
    <row r="1191" spans="1:15" x14ac:dyDescent="0.2">
      <c r="A1191"/>
      <c r="B1191"/>
      <c r="C1191"/>
      <c r="F1191"/>
      <c r="G1191"/>
      <c r="H1191"/>
      <c r="I1191"/>
      <c r="L1191"/>
      <c r="M1191"/>
      <c r="N1191"/>
      <c r="O1191"/>
    </row>
    <row r="1192" spans="1:15" x14ac:dyDescent="0.2">
      <c r="A1192"/>
      <c r="B1192"/>
      <c r="C1192"/>
      <c r="F1192"/>
      <c r="G1192"/>
      <c r="H1192"/>
      <c r="I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J1195"/>
      <c r="K1195"/>
      <c r="L1195"/>
      <c r="M1195"/>
      <c r="N1195"/>
      <c r="O1195"/>
    </row>
    <row r="1196" spans="1:15" x14ac:dyDescent="0.2">
      <c r="A1196"/>
      <c r="B1196"/>
      <c r="C1196"/>
      <c r="F1196"/>
      <c r="G1196"/>
      <c r="H1196"/>
      <c r="I1196"/>
      <c r="L1196"/>
      <c r="N1196"/>
      <c r="O1196"/>
    </row>
    <row r="1197" spans="1:15" x14ac:dyDescent="0.2">
      <c r="A1197"/>
      <c r="B1197"/>
      <c r="C1197"/>
      <c r="F1197"/>
      <c r="G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I1199"/>
      <c r="L1199"/>
      <c r="M1199"/>
      <c r="N1199"/>
      <c r="O1199"/>
    </row>
    <row r="1200" spans="1:15" x14ac:dyDescent="0.2">
      <c r="A1200"/>
      <c r="B1200"/>
      <c r="C1200"/>
      <c r="F1200"/>
      <c r="G1200"/>
      <c r="J1200"/>
      <c r="K1200"/>
      <c r="L1200"/>
      <c r="M1200"/>
      <c r="N1200"/>
      <c r="O1200"/>
    </row>
    <row r="1201" spans="1:15" x14ac:dyDescent="0.2">
      <c r="A1201"/>
      <c r="B1201"/>
      <c r="C1201"/>
      <c r="F1201"/>
      <c r="G1201"/>
      <c r="L1201"/>
      <c r="M1201"/>
      <c r="N1201"/>
      <c r="O1201"/>
    </row>
    <row r="1202" spans="1:15" x14ac:dyDescent="0.2">
      <c r="A1202"/>
      <c r="B1202"/>
      <c r="C1202"/>
      <c r="F1202"/>
      <c r="G1202"/>
      <c r="H1202"/>
      <c r="I1202"/>
      <c r="L1202"/>
      <c r="M1202"/>
      <c r="N1202"/>
      <c r="O1202"/>
    </row>
    <row r="1203" spans="1:15" x14ac:dyDescent="0.2">
      <c r="A1203"/>
      <c r="B1203"/>
      <c r="C1203"/>
      <c r="F1203"/>
      <c r="G1203"/>
      <c r="I1203"/>
      <c r="L1203"/>
      <c r="M1203"/>
      <c r="N1203"/>
      <c r="O1203"/>
    </row>
    <row r="1204" spans="1:15" x14ac:dyDescent="0.2">
      <c r="A1204"/>
      <c r="B1204"/>
      <c r="C1204"/>
      <c r="F1204"/>
      <c r="G1204"/>
      <c r="I1204"/>
      <c r="L1204"/>
      <c r="M1204"/>
      <c r="N1204"/>
      <c r="O1204"/>
    </row>
    <row r="1205" spans="1:15" x14ac:dyDescent="0.2">
      <c r="A1205"/>
      <c r="B1205"/>
      <c r="C1205"/>
      <c r="F1205"/>
      <c r="G1205"/>
      <c r="H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L1218"/>
      <c r="M1218"/>
      <c r="N1218"/>
      <c r="O1218"/>
    </row>
    <row r="1219" spans="1:15" x14ac:dyDescent="0.2">
      <c r="A1219"/>
      <c r="B1219"/>
      <c r="C1219"/>
      <c r="F1219"/>
      <c r="G1219"/>
      <c r="I1219"/>
      <c r="L1219"/>
      <c r="M1219"/>
      <c r="N1219"/>
      <c r="O1219"/>
    </row>
    <row r="1220" spans="1:15" x14ac:dyDescent="0.2">
      <c r="A1220"/>
      <c r="B1220"/>
      <c r="C1220"/>
      <c r="F1220"/>
      <c r="G1220"/>
      <c r="H1220"/>
      <c r="I1220"/>
      <c r="L1220"/>
      <c r="M1220"/>
      <c r="N1220"/>
      <c r="O1220"/>
    </row>
    <row r="1221" spans="1:15" x14ac:dyDescent="0.2">
      <c r="A1221"/>
      <c r="B1221"/>
      <c r="C1221"/>
      <c r="F1221"/>
      <c r="G1221"/>
      <c r="H1221"/>
      <c r="I1221"/>
      <c r="L1221"/>
      <c r="M1221"/>
      <c r="N1221"/>
      <c r="O1221"/>
    </row>
    <row r="1222" spans="1:15" x14ac:dyDescent="0.2">
      <c r="A1222"/>
      <c r="B1222"/>
      <c r="C1222"/>
      <c r="F1222"/>
      <c r="G1222"/>
      <c r="H1222"/>
      <c r="L1222"/>
      <c r="M1222"/>
      <c r="N1222"/>
      <c r="O1222"/>
    </row>
    <row r="1223" spans="1:15" x14ac:dyDescent="0.2">
      <c r="A1223"/>
      <c r="B1223"/>
      <c r="C1223"/>
      <c r="F1223"/>
      <c r="G1223"/>
      <c r="H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I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I1248"/>
      <c r="L1248"/>
      <c r="M1248"/>
      <c r="N1248"/>
      <c r="O1248"/>
    </row>
    <row r="1249" spans="1:15" x14ac:dyDescent="0.2">
      <c r="A1249"/>
      <c r="B1249"/>
      <c r="C1249"/>
      <c r="F1249"/>
      <c r="G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H1253"/>
      <c r="I1253"/>
      <c r="L1253"/>
      <c r="M1253"/>
      <c r="N1253"/>
      <c r="O1253"/>
    </row>
    <row r="1254" spans="1:15" x14ac:dyDescent="0.2">
      <c r="A1254"/>
      <c r="B1254"/>
      <c r="C1254"/>
      <c r="F1254"/>
      <c r="G1254"/>
      <c r="H1254"/>
      <c r="I1254"/>
      <c r="L1254"/>
      <c r="M1254"/>
      <c r="N1254"/>
      <c r="O1254"/>
    </row>
    <row r="1255" spans="1:15" x14ac:dyDescent="0.2">
      <c r="A1255"/>
      <c r="B1255"/>
      <c r="C1255"/>
      <c r="F1255"/>
      <c r="G1255"/>
      <c r="H1255"/>
      <c r="I1255"/>
      <c r="L1255"/>
      <c r="M1255"/>
      <c r="N1255"/>
      <c r="O1255"/>
    </row>
    <row r="1256" spans="1:15" x14ac:dyDescent="0.2">
      <c r="A1256"/>
      <c r="B1256"/>
      <c r="C1256"/>
      <c r="F1256"/>
      <c r="G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L1259"/>
      <c r="M1259"/>
      <c r="N1259"/>
      <c r="O1259"/>
    </row>
    <row r="1260" spans="1:15" x14ac:dyDescent="0.2">
      <c r="A1260"/>
      <c r="B1260"/>
      <c r="C1260"/>
      <c r="F1260"/>
      <c r="G1260"/>
      <c r="H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L1268"/>
      <c r="M1268"/>
      <c r="N1268"/>
      <c r="O1268"/>
    </row>
    <row r="1269" spans="1:15" x14ac:dyDescent="0.2">
      <c r="A1269"/>
      <c r="B1269"/>
      <c r="C1269"/>
      <c r="F1269"/>
      <c r="G1269"/>
      <c r="H1269"/>
      <c r="I1269"/>
      <c r="L1269"/>
      <c r="M1269"/>
      <c r="N1269"/>
      <c r="O1269"/>
    </row>
    <row r="1270" spans="1:15" x14ac:dyDescent="0.2">
      <c r="A1270"/>
      <c r="B1270"/>
      <c r="C1270"/>
      <c r="F1270"/>
      <c r="G1270"/>
      <c r="H1270"/>
      <c r="I1270"/>
      <c r="L1270"/>
      <c r="M1270"/>
      <c r="N1270"/>
      <c r="O1270"/>
    </row>
    <row r="1271" spans="1:15" x14ac:dyDescent="0.2">
      <c r="A1271"/>
      <c r="B1271"/>
      <c r="C1271"/>
      <c r="F1271"/>
      <c r="G1271"/>
      <c r="H1271"/>
      <c r="J1271"/>
      <c r="K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J1274"/>
      <c r="K1274"/>
      <c r="L1274"/>
      <c r="M1274"/>
      <c r="N1274"/>
      <c r="O1274"/>
    </row>
    <row r="1275" spans="1:15" x14ac:dyDescent="0.2">
      <c r="A1275"/>
      <c r="B1275"/>
      <c r="C1275"/>
      <c r="F1275"/>
      <c r="G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J1280"/>
      <c r="K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N1290"/>
      <c r="O1290"/>
    </row>
    <row r="1291" spans="1:15" x14ac:dyDescent="0.2">
      <c r="A1291"/>
      <c r="B1291"/>
      <c r="C1291"/>
      <c r="F1291"/>
      <c r="G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I1299"/>
      <c r="L1299"/>
      <c r="M1299"/>
      <c r="N1299"/>
      <c r="O1299"/>
    </row>
    <row r="1300" spans="1:15" x14ac:dyDescent="0.2">
      <c r="A1300"/>
      <c r="B1300"/>
      <c r="C1300"/>
      <c r="F1300"/>
      <c r="G1300"/>
      <c r="I1300"/>
      <c r="L1300"/>
      <c r="M1300"/>
      <c r="N1300"/>
      <c r="O1300"/>
    </row>
    <row r="1301" spans="1:15" x14ac:dyDescent="0.2">
      <c r="A1301"/>
      <c r="B1301"/>
      <c r="C1301"/>
      <c r="F1301"/>
      <c r="G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L1307"/>
      <c r="M1307"/>
      <c r="N1307"/>
      <c r="O1307"/>
    </row>
    <row r="1308" spans="1:15" x14ac:dyDescent="0.2">
      <c r="A1308"/>
      <c r="B1308"/>
      <c r="C1308"/>
      <c r="F1308"/>
      <c r="G1308"/>
      <c r="L1308"/>
      <c r="M1308"/>
      <c r="N1308"/>
      <c r="O1308"/>
    </row>
    <row r="1309" spans="1:15" x14ac:dyDescent="0.2">
      <c r="A1309"/>
      <c r="B1309"/>
      <c r="C1309"/>
      <c r="F1309"/>
      <c r="G1309"/>
      <c r="H1309"/>
      <c r="J1309"/>
      <c r="K1309"/>
      <c r="L1309"/>
      <c r="M1309"/>
      <c r="N1309"/>
      <c r="O1309"/>
    </row>
    <row r="1310" spans="1:15" x14ac:dyDescent="0.2">
      <c r="A1310"/>
      <c r="B1310"/>
      <c r="C1310"/>
      <c r="F1310"/>
      <c r="G1310"/>
      <c r="J1310"/>
      <c r="K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L1315"/>
      <c r="M1315"/>
      <c r="N1315"/>
      <c r="O1315"/>
    </row>
    <row r="1316" spans="1:15" x14ac:dyDescent="0.2">
      <c r="A1316"/>
      <c r="B1316"/>
      <c r="C1316"/>
      <c r="F1316"/>
      <c r="G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H1325"/>
      <c r="I1325"/>
      <c r="L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J1329"/>
      <c r="K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L1335"/>
      <c r="M1335"/>
      <c r="N1335"/>
      <c r="O1335"/>
    </row>
    <row r="1336" spans="1:15" x14ac:dyDescent="0.2">
      <c r="A1336"/>
      <c r="B1336"/>
      <c r="C1336"/>
      <c r="F1336"/>
      <c r="G1336"/>
      <c r="M1336"/>
      <c r="N1336"/>
      <c r="O1336"/>
    </row>
    <row r="1337" spans="1:15" x14ac:dyDescent="0.2">
      <c r="A1337"/>
      <c r="B1337"/>
      <c r="C1337"/>
      <c r="F1337"/>
      <c r="G1337"/>
      <c r="H1337"/>
      <c r="I1337"/>
      <c r="L1337"/>
      <c r="M1337"/>
      <c r="N1337"/>
      <c r="O1337"/>
    </row>
    <row r="1338" spans="1:15" x14ac:dyDescent="0.2">
      <c r="A1338"/>
      <c r="B1338"/>
      <c r="C1338"/>
      <c r="F1338"/>
      <c r="G1338"/>
      <c r="H1338"/>
      <c r="I1338"/>
      <c r="L1338"/>
      <c r="M1338"/>
      <c r="N1338"/>
      <c r="O1338"/>
    </row>
    <row r="1339" spans="1:15" x14ac:dyDescent="0.2">
      <c r="A1339"/>
      <c r="B1339"/>
      <c r="C1339"/>
      <c r="F1339"/>
      <c r="G1339"/>
      <c r="I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L1358"/>
      <c r="M1358"/>
      <c r="N1358"/>
      <c r="O1358"/>
    </row>
    <row r="1359" spans="1:15" x14ac:dyDescent="0.2">
      <c r="A1359"/>
      <c r="B1359"/>
      <c r="C1359"/>
      <c r="F1359"/>
      <c r="G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L1363"/>
      <c r="M1363"/>
      <c r="N1363"/>
      <c r="O1363"/>
    </row>
    <row r="1364" spans="1:15" x14ac:dyDescent="0.2">
      <c r="A1364"/>
      <c r="B1364"/>
      <c r="C1364"/>
      <c r="F1364"/>
      <c r="G1364"/>
      <c r="H1364"/>
      <c r="J1364"/>
      <c r="K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L1368"/>
      <c r="M1368"/>
      <c r="N1368"/>
      <c r="O1368"/>
    </row>
    <row r="1369" spans="1:15" x14ac:dyDescent="0.2">
      <c r="A1369"/>
      <c r="B1369"/>
      <c r="C1369"/>
      <c r="F1369"/>
      <c r="G1369"/>
      <c r="H1369"/>
      <c r="I1369"/>
      <c r="L1369"/>
      <c r="M1369"/>
      <c r="N1369"/>
      <c r="O1369"/>
    </row>
    <row r="1370" spans="1:15" x14ac:dyDescent="0.2">
      <c r="A1370"/>
      <c r="B1370"/>
      <c r="C1370"/>
      <c r="F1370"/>
      <c r="G1370"/>
      <c r="L1370"/>
      <c r="M1370"/>
      <c r="N1370"/>
      <c r="O1370"/>
    </row>
    <row r="1371" spans="1:15" x14ac:dyDescent="0.2">
      <c r="A1371"/>
      <c r="B1371"/>
      <c r="C1371"/>
      <c r="F1371"/>
      <c r="G1371"/>
      <c r="H1371"/>
      <c r="J1371"/>
      <c r="K1371"/>
      <c r="L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L1375"/>
      <c r="M1375"/>
      <c r="N1375"/>
      <c r="O1375"/>
    </row>
    <row r="1376" spans="1:15" x14ac:dyDescent="0.2">
      <c r="A1376"/>
      <c r="B1376"/>
      <c r="C1376"/>
      <c r="F1376"/>
      <c r="G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L1384"/>
      <c r="M1384"/>
      <c r="N1384"/>
      <c r="O1384"/>
    </row>
    <row r="1385" spans="1:15" x14ac:dyDescent="0.2">
      <c r="A1385"/>
      <c r="B1385"/>
      <c r="C1385"/>
      <c r="F1385"/>
      <c r="G1385"/>
      <c r="H1385"/>
      <c r="I1385"/>
      <c r="L1385"/>
      <c r="M1385"/>
      <c r="N1385"/>
      <c r="O1385"/>
    </row>
    <row r="1386" spans="1:15" x14ac:dyDescent="0.2">
      <c r="A1386"/>
      <c r="B1386"/>
      <c r="C1386"/>
      <c r="F1386"/>
      <c r="G1386"/>
      <c r="H1386"/>
      <c r="M1386"/>
      <c r="N1386"/>
      <c r="O1386"/>
    </row>
    <row r="1387" spans="1:15" x14ac:dyDescent="0.2">
      <c r="A1387"/>
      <c r="B1387"/>
      <c r="C1387"/>
      <c r="F1387"/>
      <c r="G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H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L1408"/>
      <c r="M1408"/>
      <c r="N1408"/>
      <c r="O1408"/>
    </row>
    <row r="1409" spans="1:15" x14ac:dyDescent="0.2">
      <c r="A1409"/>
      <c r="B1409"/>
      <c r="C1409"/>
      <c r="F1409"/>
      <c r="G1409"/>
      <c r="I1409"/>
      <c r="L1409"/>
      <c r="M1409"/>
      <c r="N1409"/>
      <c r="O1409"/>
    </row>
    <row r="1410" spans="1:15" x14ac:dyDescent="0.2">
      <c r="A1410"/>
      <c r="B1410"/>
      <c r="C1410"/>
      <c r="F1410"/>
      <c r="G1410"/>
      <c r="H1410"/>
      <c r="J1410"/>
      <c r="K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L1420"/>
      <c r="M1420"/>
      <c r="N1420"/>
      <c r="O1420"/>
    </row>
    <row r="1421" spans="1:15" x14ac:dyDescent="0.2">
      <c r="A1421"/>
      <c r="B1421"/>
      <c r="C1421"/>
      <c r="F1421"/>
      <c r="G1421"/>
      <c r="H1421"/>
      <c r="I1421"/>
      <c r="J1421"/>
      <c r="K1421"/>
      <c r="L1421"/>
      <c r="M1421"/>
      <c r="N1421"/>
      <c r="O1421"/>
    </row>
    <row r="1422" spans="1:15" x14ac:dyDescent="0.2">
      <c r="A1422"/>
      <c r="B1422"/>
      <c r="C1422"/>
      <c r="F1422"/>
      <c r="G1422"/>
      <c r="H1422"/>
      <c r="J1422"/>
      <c r="K1422"/>
      <c r="M1422"/>
      <c r="N1422"/>
      <c r="O1422"/>
    </row>
    <row r="1423" spans="1:15" x14ac:dyDescent="0.2">
      <c r="A1423"/>
      <c r="B1423"/>
      <c r="C1423"/>
      <c r="F1423"/>
      <c r="G1423"/>
      <c r="H1423"/>
      <c r="J1423"/>
      <c r="K1423"/>
      <c r="L1423"/>
      <c r="M1423"/>
      <c r="N1423"/>
      <c r="O1423"/>
    </row>
    <row r="1424" spans="1:15" x14ac:dyDescent="0.2">
      <c r="A1424"/>
      <c r="B1424"/>
      <c r="C1424"/>
      <c r="F1424"/>
      <c r="G1424"/>
      <c r="J1424"/>
      <c r="K1424"/>
      <c r="L1424"/>
      <c r="M1424"/>
      <c r="N1424"/>
      <c r="O1424"/>
    </row>
    <row r="1425" spans="1:15" x14ac:dyDescent="0.2">
      <c r="A1425"/>
      <c r="B1425"/>
      <c r="C1425"/>
      <c r="F1425"/>
      <c r="G1425"/>
      <c r="H1425"/>
      <c r="J1425"/>
      <c r="K1425"/>
      <c r="L1425"/>
      <c r="M1425"/>
      <c r="N1425"/>
      <c r="O1425"/>
    </row>
    <row r="1426" spans="1:15" x14ac:dyDescent="0.2">
      <c r="A1426"/>
      <c r="B1426"/>
      <c r="C1426"/>
      <c r="F1426"/>
      <c r="G1426"/>
      <c r="H1426"/>
      <c r="J1426"/>
      <c r="K1426"/>
      <c r="L1426"/>
      <c r="M1426"/>
      <c r="N1426"/>
      <c r="O1426"/>
    </row>
    <row r="1427" spans="1:15" x14ac:dyDescent="0.2">
      <c r="A1427"/>
      <c r="B1427"/>
      <c r="C1427"/>
      <c r="F1427"/>
      <c r="G1427"/>
      <c r="H1427"/>
      <c r="I1427"/>
      <c r="J1427"/>
      <c r="K1427"/>
      <c r="L1427"/>
      <c r="M1427"/>
      <c r="N1427"/>
      <c r="O1427"/>
    </row>
    <row r="1428" spans="1:15" x14ac:dyDescent="0.2">
      <c r="A1428"/>
      <c r="B1428"/>
      <c r="C1428"/>
      <c r="F1428"/>
      <c r="G1428"/>
      <c r="J1428"/>
      <c r="L1428"/>
      <c r="M1428"/>
      <c r="N1428"/>
      <c r="O1428"/>
    </row>
    <row r="1429" spans="1:15" x14ac:dyDescent="0.2">
      <c r="A1429"/>
      <c r="B1429"/>
      <c r="C1429"/>
      <c r="F1429"/>
      <c r="G1429"/>
      <c r="I1429"/>
      <c r="L1429"/>
      <c r="N1429"/>
      <c r="O1429"/>
    </row>
    <row r="1430" spans="1:15" x14ac:dyDescent="0.2">
      <c r="A1430"/>
      <c r="B1430"/>
      <c r="C1430"/>
      <c r="F1430"/>
      <c r="G1430"/>
      <c r="L1430"/>
      <c r="M1430"/>
      <c r="N1430"/>
      <c r="O1430"/>
    </row>
    <row r="1431" spans="1:15" x14ac:dyDescent="0.2">
      <c r="A1431"/>
      <c r="B1431"/>
      <c r="C1431"/>
      <c r="F1431"/>
      <c r="G1431"/>
      <c r="H1431"/>
      <c r="J1431"/>
      <c r="K1431"/>
      <c r="L1431"/>
      <c r="M1431"/>
      <c r="N1431"/>
      <c r="O1431"/>
    </row>
    <row r="1432" spans="1:15" x14ac:dyDescent="0.2">
      <c r="A1432"/>
      <c r="B1432"/>
      <c r="C1432"/>
      <c r="F1432"/>
      <c r="G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L1434"/>
      <c r="M1434"/>
      <c r="N1434"/>
      <c r="O1434"/>
    </row>
    <row r="1435" spans="1:15" x14ac:dyDescent="0.2">
      <c r="A1435"/>
      <c r="B1435"/>
      <c r="C1435"/>
      <c r="F1435"/>
      <c r="G1435"/>
      <c r="H1435"/>
      <c r="I1435"/>
      <c r="L1435"/>
      <c r="N1435"/>
      <c r="O1435"/>
    </row>
    <row r="1436" spans="1:15" x14ac:dyDescent="0.2">
      <c r="A1436"/>
      <c r="B1436"/>
      <c r="C1436"/>
      <c r="F1436"/>
      <c r="G1436"/>
      <c r="I1436"/>
      <c r="L1436"/>
      <c r="M1436"/>
      <c r="N1436"/>
      <c r="O1436"/>
    </row>
    <row r="1437" spans="1:15" x14ac:dyDescent="0.2">
      <c r="A1437"/>
      <c r="B1437"/>
      <c r="C1437"/>
      <c r="F1437"/>
      <c r="G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J1447"/>
      <c r="K1447"/>
      <c r="L1447"/>
      <c r="M1447"/>
      <c r="N1447"/>
      <c r="O1447"/>
    </row>
    <row r="1448" spans="1:15" x14ac:dyDescent="0.2">
      <c r="A1448"/>
      <c r="B1448"/>
      <c r="C1448"/>
      <c r="F1448"/>
      <c r="G1448"/>
      <c r="H1448"/>
      <c r="I1448"/>
      <c r="L1448"/>
      <c r="M1448"/>
      <c r="N1448"/>
      <c r="O1448"/>
    </row>
    <row r="1449" spans="1:15" x14ac:dyDescent="0.2">
      <c r="A1449"/>
      <c r="B1449"/>
      <c r="C1449"/>
      <c r="F1449"/>
      <c r="G1449"/>
      <c r="I1449"/>
      <c r="L1449"/>
      <c r="M1449"/>
      <c r="N1449"/>
      <c r="O1449"/>
    </row>
    <row r="1450" spans="1:15" x14ac:dyDescent="0.2">
      <c r="A1450"/>
      <c r="B1450"/>
      <c r="C1450"/>
      <c r="F1450"/>
      <c r="G1450"/>
      <c r="H1450"/>
      <c r="I1450"/>
      <c r="L1450"/>
      <c r="M1450"/>
      <c r="N1450"/>
      <c r="O1450"/>
    </row>
    <row r="1451" spans="1:15" x14ac:dyDescent="0.2">
      <c r="A1451"/>
      <c r="B1451"/>
      <c r="C1451"/>
      <c r="F1451"/>
      <c r="G1451"/>
      <c r="I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N1454"/>
      <c r="O1454"/>
    </row>
    <row r="1455" spans="1:15" x14ac:dyDescent="0.2">
      <c r="A1455"/>
      <c r="B1455"/>
      <c r="C1455"/>
      <c r="F1455"/>
      <c r="G1455"/>
      <c r="I1455"/>
      <c r="L1455"/>
      <c r="M1455"/>
      <c r="N1455"/>
      <c r="O1455"/>
    </row>
    <row r="1456" spans="1:15" x14ac:dyDescent="0.2">
      <c r="A1456"/>
      <c r="B1456"/>
      <c r="C1456"/>
      <c r="F1456"/>
      <c r="G1456"/>
      <c r="L1456"/>
      <c r="M1456"/>
      <c r="N1456"/>
      <c r="O1456"/>
    </row>
    <row r="1457" spans="1:15" x14ac:dyDescent="0.2">
      <c r="A1457"/>
      <c r="B1457"/>
      <c r="C1457"/>
      <c r="F1457"/>
      <c r="G1457"/>
      <c r="H1457"/>
      <c r="I1457"/>
      <c r="L1457"/>
      <c r="M1457"/>
      <c r="N1457"/>
      <c r="O1457"/>
    </row>
    <row r="1458" spans="1:15" x14ac:dyDescent="0.2">
      <c r="A1458"/>
      <c r="B1458"/>
      <c r="C1458"/>
      <c r="F1458"/>
      <c r="G1458"/>
      <c r="H1458"/>
      <c r="J1458"/>
      <c r="K1458"/>
      <c r="L1458"/>
      <c r="M1458"/>
      <c r="N1458"/>
      <c r="O1458"/>
    </row>
    <row r="1459" spans="1:15" x14ac:dyDescent="0.2">
      <c r="A1459"/>
      <c r="B1459"/>
      <c r="C1459"/>
      <c r="F1459"/>
      <c r="G1459"/>
      <c r="L1459"/>
      <c r="M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N1464"/>
      <c r="O1464"/>
    </row>
    <row r="1465" spans="1:15" x14ac:dyDescent="0.2">
      <c r="A1465"/>
      <c r="B1465"/>
      <c r="C1465"/>
      <c r="F1465"/>
      <c r="G1465"/>
      <c r="H1465"/>
      <c r="I1465"/>
      <c r="L1465"/>
      <c r="M1465"/>
      <c r="N1465"/>
      <c r="O1465"/>
    </row>
    <row r="1466" spans="1:15" x14ac:dyDescent="0.2">
      <c r="A1466"/>
      <c r="B1466"/>
      <c r="C1466"/>
      <c r="F1466"/>
      <c r="G1466"/>
      <c r="H1466"/>
      <c r="I1466"/>
      <c r="J1466"/>
      <c r="K1466"/>
      <c r="L1466"/>
      <c r="M1466"/>
      <c r="N1466"/>
      <c r="O1466"/>
    </row>
    <row r="1467" spans="1:15" x14ac:dyDescent="0.2">
      <c r="A1467"/>
      <c r="B1467"/>
      <c r="C1467"/>
      <c r="F1467"/>
      <c r="G1467"/>
      <c r="H1467"/>
      <c r="J1467"/>
      <c r="K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M1470"/>
      <c r="N1470"/>
      <c r="O1470"/>
    </row>
    <row r="1471" spans="1:15" x14ac:dyDescent="0.2">
      <c r="A1471"/>
      <c r="B1471"/>
      <c r="C1471"/>
      <c r="F1471"/>
      <c r="G1471"/>
      <c r="L1471"/>
      <c r="M1471"/>
      <c r="N1471"/>
      <c r="O1471"/>
    </row>
    <row r="1472" spans="1:15" x14ac:dyDescent="0.2">
      <c r="A1472"/>
      <c r="B1472"/>
      <c r="C1472"/>
      <c r="F1472"/>
      <c r="G1472"/>
      <c r="M1472"/>
      <c r="N1472"/>
      <c r="O1472"/>
    </row>
    <row r="1473" spans="1:15" x14ac:dyDescent="0.2">
      <c r="A1473"/>
      <c r="B1473"/>
      <c r="C1473"/>
      <c r="F1473"/>
      <c r="G1473"/>
      <c r="L1473"/>
      <c r="M1473"/>
      <c r="N1473"/>
      <c r="O1473"/>
    </row>
    <row r="1474" spans="1:15" x14ac:dyDescent="0.2">
      <c r="A1474"/>
      <c r="B1474"/>
      <c r="C1474"/>
      <c r="F1474"/>
      <c r="G1474"/>
      <c r="H1474"/>
      <c r="I1474"/>
      <c r="L1474"/>
      <c r="N1474"/>
      <c r="O1474"/>
    </row>
    <row r="1475" spans="1:15" x14ac:dyDescent="0.2">
      <c r="A1475"/>
      <c r="B1475"/>
      <c r="C1475"/>
      <c r="F1475"/>
      <c r="G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N1477"/>
      <c r="O1477"/>
    </row>
    <row r="1478" spans="1:15" x14ac:dyDescent="0.2">
      <c r="A1478"/>
      <c r="B1478"/>
      <c r="C1478"/>
      <c r="F1478"/>
      <c r="G1478"/>
      <c r="H1478"/>
      <c r="I1478"/>
      <c r="L1478"/>
      <c r="M1478"/>
      <c r="N1478"/>
      <c r="O1478"/>
    </row>
    <row r="1479" spans="1:15" x14ac:dyDescent="0.2">
      <c r="A1479"/>
      <c r="B1479"/>
      <c r="C1479"/>
      <c r="F1479"/>
      <c r="G1479"/>
      <c r="H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H1483"/>
      <c r="L1483"/>
      <c r="M1483"/>
      <c r="N1483"/>
      <c r="O1483"/>
    </row>
    <row r="1484" spans="1:15" x14ac:dyDescent="0.2">
      <c r="A1484"/>
      <c r="B1484"/>
      <c r="C1484"/>
      <c r="F1484"/>
      <c r="G1484"/>
      <c r="L1484"/>
      <c r="M1484"/>
      <c r="N1484"/>
      <c r="O1484"/>
    </row>
    <row r="1485" spans="1:15" x14ac:dyDescent="0.2">
      <c r="A1485"/>
      <c r="B1485"/>
      <c r="C1485"/>
      <c r="F1485"/>
      <c r="G1485"/>
      <c r="M1485"/>
      <c r="N1485"/>
      <c r="O1485"/>
    </row>
    <row r="1486" spans="1:15" x14ac:dyDescent="0.2">
      <c r="A1486"/>
      <c r="B1486"/>
      <c r="C1486"/>
      <c r="F1486"/>
      <c r="G1486"/>
      <c r="H1486"/>
      <c r="I1486"/>
      <c r="L1486"/>
      <c r="M1486"/>
      <c r="N1486"/>
      <c r="O1486"/>
    </row>
    <row r="1487" spans="1:15" x14ac:dyDescent="0.2">
      <c r="A1487"/>
      <c r="B1487"/>
      <c r="C1487"/>
      <c r="F1487"/>
      <c r="G1487"/>
      <c r="I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L1494"/>
      <c r="M1494"/>
      <c r="N1494"/>
      <c r="O1494"/>
    </row>
    <row r="1495" spans="1:15" x14ac:dyDescent="0.2">
      <c r="A1495"/>
      <c r="B1495"/>
      <c r="C1495"/>
      <c r="F1495"/>
      <c r="G1495"/>
      <c r="L1495"/>
      <c r="M1495"/>
      <c r="N1495"/>
      <c r="O1495"/>
    </row>
    <row r="1496" spans="1:15" x14ac:dyDescent="0.2">
      <c r="A1496"/>
      <c r="B1496"/>
      <c r="C1496"/>
      <c r="F1496"/>
      <c r="G1496"/>
      <c r="H1496"/>
      <c r="J1496"/>
      <c r="K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I1501"/>
      <c r="L1501"/>
      <c r="M1501"/>
      <c r="N1501"/>
      <c r="O1501"/>
    </row>
    <row r="1502" spans="1:15" x14ac:dyDescent="0.2">
      <c r="A1502"/>
      <c r="B1502"/>
      <c r="C1502"/>
      <c r="F1502"/>
      <c r="G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J1505"/>
      <c r="K1505"/>
      <c r="L1505"/>
      <c r="M1505"/>
      <c r="N1505"/>
      <c r="O1505"/>
    </row>
    <row r="1506" spans="1:15" x14ac:dyDescent="0.2">
      <c r="A1506"/>
      <c r="B1506"/>
      <c r="C1506"/>
      <c r="F1506"/>
      <c r="G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I1509"/>
      <c r="J1509"/>
      <c r="K1509"/>
      <c r="L1509"/>
      <c r="M1509"/>
      <c r="N1509"/>
      <c r="O1509"/>
    </row>
    <row r="1510" spans="1:15" x14ac:dyDescent="0.2">
      <c r="A1510"/>
      <c r="B1510"/>
      <c r="C1510"/>
      <c r="F1510"/>
      <c r="G1510"/>
      <c r="I1510"/>
      <c r="L1510"/>
      <c r="M1510"/>
      <c r="N1510"/>
      <c r="O1510"/>
    </row>
    <row r="1511" spans="1:15" x14ac:dyDescent="0.2">
      <c r="A1511"/>
      <c r="B1511"/>
      <c r="C1511"/>
      <c r="F1511"/>
      <c r="G1511"/>
      <c r="I1511"/>
      <c r="L1511"/>
      <c r="M1511"/>
      <c r="N1511"/>
      <c r="O1511"/>
    </row>
    <row r="1512" spans="1:15" x14ac:dyDescent="0.2">
      <c r="A1512"/>
      <c r="B1512"/>
      <c r="C1512"/>
      <c r="F1512"/>
      <c r="G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L1515"/>
      <c r="M1515"/>
      <c r="N1515"/>
      <c r="O1515"/>
    </row>
    <row r="1516" spans="1:15" x14ac:dyDescent="0.2">
      <c r="A1516"/>
      <c r="B1516"/>
      <c r="C1516"/>
      <c r="F1516"/>
      <c r="G1516"/>
      <c r="H1516"/>
      <c r="J1516"/>
      <c r="K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I1523"/>
      <c r="L1523"/>
      <c r="M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N1526"/>
      <c r="O1526"/>
    </row>
    <row r="1527" spans="1:15" x14ac:dyDescent="0.2">
      <c r="A1527"/>
      <c r="B1527"/>
      <c r="C1527"/>
      <c r="F1527"/>
      <c r="G1527"/>
      <c r="H1527"/>
      <c r="I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H1538"/>
      <c r="J1538"/>
      <c r="K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J1540"/>
      <c r="K1540"/>
      <c r="L1540"/>
      <c r="M1540"/>
      <c r="N1540"/>
      <c r="O1540"/>
    </row>
    <row r="1541" spans="1:15" x14ac:dyDescent="0.2">
      <c r="A1541"/>
      <c r="B1541"/>
      <c r="C1541"/>
      <c r="F1541"/>
      <c r="G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L1543"/>
      <c r="M1543"/>
      <c r="N1543"/>
      <c r="O1543"/>
    </row>
    <row r="1544" spans="1:15" x14ac:dyDescent="0.2">
      <c r="A1544"/>
      <c r="B1544"/>
      <c r="C1544"/>
      <c r="F1544"/>
      <c r="G1544"/>
      <c r="H1544"/>
      <c r="I1544"/>
      <c r="L1544"/>
      <c r="M1544"/>
      <c r="N1544"/>
      <c r="O1544"/>
    </row>
    <row r="1545" spans="1:15" x14ac:dyDescent="0.2">
      <c r="A1545"/>
      <c r="B1545"/>
      <c r="C1545"/>
      <c r="F1545"/>
      <c r="G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I1551"/>
      <c r="L1551"/>
      <c r="M1551"/>
      <c r="N1551"/>
      <c r="O1551"/>
    </row>
    <row r="1552" spans="1:15" x14ac:dyDescent="0.2">
      <c r="A1552"/>
      <c r="B1552"/>
      <c r="C1552"/>
      <c r="F1552"/>
      <c r="G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H1562"/>
      <c r="I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H1565"/>
      <c r="J1565"/>
      <c r="K1565"/>
      <c r="L1565"/>
      <c r="M1565"/>
      <c r="N1565"/>
      <c r="O1565"/>
    </row>
    <row r="1566" spans="1:15" x14ac:dyDescent="0.2">
      <c r="A1566"/>
      <c r="B1566"/>
      <c r="C1566"/>
      <c r="F1566"/>
      <c r="G1566"/>
      <c r="J1566"/>
      <c r="K1566"/>
      <c r="L1566"/>
      <c r="M1566"/>
      <c r="N1566"/>
      <c r="O1566"/>
    </row>
    <row r="1567" spans="1:15" x14ac:dyDescent="0.2">
      <c r="A1567"/>
      <c r="B1567"/>
      <c r="C1567"/>
      <c r="F1567"/>
      <c r="G1567"/>
      <c r="J1567"/>
      <c r="K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I1571"/>
      <c r="L1571"/>
      <c r="M1571"/>
      <c r="N1571"/>
      <c r="O1571"/>
    </row>
    <row r="1572" spans="1:15" x14ac:dyDescent="0.2">
      <c r="A1572"/>
      <c r="B1572"/>
      <c r="C1572"/>
      <c r="F1572"/>
      <c r="G1572"/>
      <c r="H1572"/>
      <c r="I1572"/>
      <c r="L1572"/>
      <c r="N1572"/>
      <c r="O1572"/>
    </row>
    <row r="1573" spans="1:15" x14ac:dyDescent="0.2">
      <c r="A1573"/>
      <c r="B1573"/>
      <c r="C1573"/>
      <c r="F1573"/>
      <c r="G1573"/>
      <c r="H1573"/>
      <c r="I1573"/>
      <c r="L1573"/>
      <c r="M1573"/>
      <c r="N1573"/>
      <c r="O1573"/>
    </row>
    <row r="1574" spans="1:15" x14ac:dyDescent="0.2">
      <c r="A1574"/>
      <c r="B1574"/>
      <c r="C1574"/>
      <c r="F1574"/>
      <c r="G1574"/>
      <c r="H1574"/>
      <c r="I1574"/>
      <c r="L1574"/>
      <c r="N1574"/>
      <c r="O1574"/>
    </row>
    <row r="1575" spans="1:15" x14ac:dyDescent="0.2">
      <c r="A1575"/>
      <c r="B1575"/>
      <c r="C1575"/>
      <c r="F1575"/>
      <c r="G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N1585"/>
      <c r="O1585"/>
    </row>
    <row r="1586" spans="1:15" x14ac:dyDescent="0.2">
      <c r="A1586"/>
      <c r="B1586"/>
      <c r="C1586"/>
      <c r="F1586"/>
      <c r="G1586"/>
      <c r="M1586"/>
      <c r="N1586"/>
      <c r="O1586"/>
    </row>
    <row r="1587" spans="1:15" x14ac:dyDescent="0.2">
      <c r="A1587"/>
      <c r="B1587"/>
      <c r="C1587"/>
      <c r="F1587"/>
      <c r="G1587"/>
      <c r="M1587"/>
      <c r="N1587"/>
      <c r="O1587"/>
    </row>
    <row r="1588" spans="1:15" x14ac:dyDescent="0.2">
      <c r="A1588"/>
      <c r="B1588"/>
      <c r="C1588"/>
      <c r="F1588"/>
      <c r="G1588"/>
      <c r="H1588"/>
      <c r="I1588"/>
      <c r="L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J1597"/>
      <c r="L1597"/>
      <c r="M1597"/>
      <c r="N1597"/>
      <c r="O1597"/>
    </row>
    <row r="1598" spans="1:15" x14ac:dyDescent="0.2">
      <c r="A1598"/>
      <c r="B1598"/>
      <c r="C1598"/>
      <c r="F1598"/>
      <c r="G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I1601"/>
      <c r="L1601"/>
      <c r="M1601"/>
      <c r="N1601"/>
      <c r="O1601"/>
    </row>
    <row r="1602" spans="1:15" x14ac:dyDescent="0.2">
      <c r="A1602"/>
      <c r="B1602"/>
      <c r="C1602"/>
      <c r="F1602"/>
      <c r="G1602"/>
      <c r="H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J1607"/>
      <c r="K1607"/>
      <c r="L1607"/>
      <c r="M1607"/>
      <c r="N1607"/>
      <c r="O1607"/>
    </row>
    <row r="1608" spans="1:15" x14ac:dyDescent="0.2">
      <c r="A1608"/>
      <c r="B1608"/>
      <c r="C1608"/>
      <c r="F1608"/>
      <c r="G1608"/>
      <c r="I1608"/>
      <c r="L1608"/>
      <c r="M1608"/>
      <c r="N1608"/>
      <c r="O1608"/>
    </row>
    <row r="1609" spans="1:15" x14ac:dyDescent="0.2">
      <c r="A1609"/>
      <c r="B1609"/>
      <c r="C1609"/>
      <c r="F1609"/>
      <c r="G1609"/>
      <c r="J1609"/>
      <c r="K1609"/>
      <c r="L1609"/>
      <c r="M1609"/>
      <c r="N1609"/>
      <c r="O1609"/>
    </row>
    <row r="1610" spans="1:15" x14ac:dyDescent="0.2">
      <c r="A1610"/>
      <c r="B1610"/>
      <c r="C1610"/>
      <c r="F1610"/>
      <c r="G1610"/>
      <c r="L1610"/>
      <c r="M1610"/>
      <c r="N1610"/>
      <c r="O1610"/>
    </row>
    <row r="1611" spans="1:15" x14ac:dyDescent="0.2">
      <c r="A1611"/>
      <c r="B1611"/>
      <c r="C1611"/>
      <c r="F1611"/>
      <c r="G1611"/>
      <c r="H1611"/>
      <c r="I1611"/>
      <c r="L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J1617"/>
      <c r="K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L1625"/>
      <c r="M1625"/>
      <c r="N1625"/>
      <c r="O1625"/>
    </row>
    <row r="1626" spans="1:15" x14ac:dyDescent="0.2">
      <c r="A1626"/>
      <c r="B1626"/>
      <c r="C1626"/>
      <c r="F1626"/>
      <c r="G1626"/>
      <c r="L1626"/>
      <c r="M1626"/>
      <c r="N1626"/>
      <c r="O1626"/>
    </row>
    <row r="1627" spans="1:15" x14ac:dyDescent="0.2">
      <c r="A1627"/>
      <c r="B1627"/>
      <c r="C1627"/>
      <c r="F1627"/>
      <c r="G1627"/>
      <c r="H1627"/>
      <c r="L1627"/>
      <c r="M1627"/>
      <c r="N1627"/>
      <c r="O1627"/>
    </row>
    <row r="1628" spans="1:15" x14ac:dyDescent="0.2">
      <c r="A1628"/>
      <c r="B1628"/>
      <c r="C1628"/>
      <c r="F1628"/>
      <c r="G1628"/>
      <c r="H1628"/>
      <c r="I1628"/>
      <c r="L1628"/>
      <c r="M1628"/>
      <c r="N1628"/>
      <c r="O1628"/>
    </row>
    <row r="1629" spans="1:15" x14ac:dyDescent="0.2">
      <c r="A1629"/>
      <c r="B1629"/>
      <c r="C1629"/>
      <c r="F1629"/>
      <c r="G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L1641"/>
      <c r="M1641"/>
      <c r="N1641"/>
      <c r="O1641"/>
    </row>
    <row r="1642" spans="1:15" x14ac:dyDescent="0.2">
      <c r="A1642"/>
      <c r="B1642"/>
      <c r="C1642"/>
      <c r="F1642"/>
      <c r="G1642"/>
      <c r="I1642"/>
      <c r="L1642"/>
      <c r="M1642"/>
      <c r="N1642"/>
      <c r="O1642"/>
    </row>
    <row r="1643" spans="1:15" x14ac:dyDescent="0.2">
      <c r="A1643"/>
      <c r="B1643"/>
      <c r="C1643"/>
      <c r="F1643"/>
      <c r="G1643"/>
      <c r="H1643"/>
      <c r="I1643"/>
      <c r="L1643"/>
      <c r="M1643"/>
      <c r="N1643"/>
      <c r="O1643"/>
    </row>
    <row r="1644" spans="1:15" x14ac:dyDescent="0.2">
      <c r="A1644"/>
      <c r="B1644"/>
      <c r="C1644"/>
      <c r="F1644"/>
      <c r="G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J1654"/>
      <c r="K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J1658"/>
      <c r="K1658"/>
      <c r="L1658"/>
      <c r="M1658"/>
      <c r="N1658"/>
      <c r="O1658"/>
    </row>
    <row r="1659" spans="1:15" x14ac:dyDescent="0.2">
      <c r="A1659"/>
      <c r="B1659"/>
      <c r="C1659"/>
      <c r="F1659"/>
      <c r="G1659"/>
      <c r="H1659"/>
      <c r="J1659"/>
      <c r="K1659"/>
      <c r="L1659"/>
      <c r="M1659"/>
      <c r="N1659"/>
      <c r="O1659"/>
    </row>
    <row r="1660" spans="1:15" x14ac:dyDescent="0.2">
      <c r="A1660"/>
      <c r="B1660"/>
      <c r="C1660"/>
      <c r="F1660"/>
      <c r="G1660"/>
      <c r="H1660"/>
      <c r="J1660"/>
      <c r="K1660"/>
      <c r="L1660"/>
      <c r="M1660"/>
      <c r="N1660"/>
      <c r="O1660"/>
    </row>
    <row r="1661" spans="1:15" x14ac:dyDescent="0.2">
      <c r="A1661"/>
      <c r="B1661"/>
      <c r="C1661"/>
      <c r="F1661"/>
      <c r="G1661"/>
      <c r="H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L1663"/>
      <c r="M1663"/>
      <c r="N1663"/>
      <c r="O1663"/>
    </row>
    <row r="1664" spans="1:15" x14ac:dyDescent="0.2">
      <c r="A1664"/>
      <c r="B1664"/>
      <c r="C1664"/>
      <c r="F1664"/>
      <c r="G1664"/>
      <c r="H1664"/>
      <c r="J1664"/>
      <c r="K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I1670"/>
      <c r="L1670"/>
      <c r="M1670"/>
      <c r="N1670"/>
      <c r="O1670"/>
    </row>
    <row r="1671" spans="1:15" x14ac:dyDescent="0.2">
      <c r="A1671"/>
      <c r="B1671"/>
      <c r="C1671"/>
      <c r="F1671"/>
      <c r="G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N1673"/>
      <c r="O1673"/>
    </row>
    <row r="1674" spans="1:15" x14ac:dyDescent="0.2">
      <c r="A1674"/>
      <c r="B1674"/>
      <c r="C1674"/>
      <c r="F1674"/>
      <c r="G1674"/>
      <c r="H1674"/>
      <c r="I1674"/>
      <c r="L1674"/>
      <c r="M1674"/>
      <c r="N1674"/>
      <c r="O1674"/>
    </row>
    <row r="1675" spans="1:15" x14ac:dyDescent="0.2">
      <c r="A1675"/>
      <c r="B1675"/>
      <c r="C1675"/>
      <c r="F1675"/>
      <c r="G1675"/>
      <c r="H1675"/>
      <c r="I1675"/>
      <c r="L1675"/>
      <c r="N1675"/>
      <c r="O1675"/>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2"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9"/>
    </row>
    <row r="3" spans="1:2" x14ac:dyDescent="0.2">
      <c r="A3" s="669"/>
    </row>
    <row r="4" spans="1:2" x14ac:dyDescent="0.2">
      <c r="A4" s="669"/>
    </row>
    <row r="5" spans="1:2" x14ac:dyDescent="0.2">
      <c r="A5" s="669"/>
    </row>
    <row r="6" spans="1:2" x14ac:dyDescent="0.2">
      <c r="A6" s="669"/>
    </row>
    <row r="7" spans="1:2" x14ac:dyDescent="0.2">
      <c r="A7" s="669"/>
    </row>
    <row r="8" spans="1:2" x14ac:dyDescent="0.2">
      <c r="A8" s="669"/>
    </row>
    <row r="9" spans="1:2" x14ac:dyDescent="0.2">
      <c r="A9" s="669"/>
    </row>
    <row r="10" spans="1:2" x14ac:dyDescent="0.2">
      <c r="A10" s="669"/>
    </row>
    <row r="11" spans="1:2" x14ac:dyDescent="0.2">
      <c r="A11" s="669"/>
    </row>
    <row r="12" spans="1:2" x14ac:dyDescent="0.2">
      <c r="A12" s="669"/>
    </row>
    <row r="13" spans="1:2" x14ac:dyDescent="0.2">
      <c r="A13" s="669"/>
    </row>
    <row r="14" spans="1:2" x14ac:dyDescent="0.2">
      <c r="A14" s="669"/>
    </row>
    <row r="15" spans="1:2" x14ac:dyDescent="0.2">
      <c r="A15" s="669"/>
    </row>
    <row r="16" spans="1:2" x14ac:dyDescent="0.2">
      <c r="A16" s="669"/>
    </row>
    <row r="17" spans="1:1" x14ac:dyDescent="0.2">
      <c r="A17" s="669"/>
    </row>
    <row r="18" spans="1:1" x14ac:dyDescent="0.2">
      <c r="A18" s="669"/>
    </row>
    <row r="19" spans="1:1" x14ac:dyDescent="0.2">
      <c r="A19" s="669"/>
    </row>
    <row r="20" spans="1:1" x14ac:dyDescent="0.2">
      <c r="A20" s="669"/>
    </row>
    <row r="21" spans="1:1" x14ac:dyDescent="0.2">
      <c r="A21" s="669"/>
    </row>
    <row r="22" spans="1:1" x14ac:dyDescent="0.2">
      <c r="A22" s="669"/>
    </row>
    <row r="23" spans="1:1" x14ac:dyDescent="0.2">
      <c r="A23" s="669"/>
    </row>
    <row r="24" spans="1:1" x14ac:dyDescent="0.2">
      <c r="A24" s="669"/>
    </row>
    <row r="25" spans="1:1" x14ac:dyDescent="0.2">
      <c r="A25" s="669"/>
    </row>
    <row r="26" spans="1:1" x14ac:dyDescent="0.2">
      <c r="A26" s="669"/>
    </row>
    <row r="27" spans="1:1" x14ac:dyDescent="0.2">
      <c r="A27" s="669"/>
    </row>
    <row r="28" spans="1:1" x14ac:dyDescent="0.2">
      <c r="A28" s="669"/>
    </row>
    <row r="29" spans="1:1" x14ac:dyDescent="0.2">
      <c r="A29" s="669"/>
    </row>
    <row r="30" spans="1:1" x14ac:dyDescent="0.2">
      <c r="A30" s="669"/>
    </row>
    <row r="31" spans="1:1" x14ac:dyDescent="0.2">
      <c r="A31" s="669"/>
    </row>
    <row r="32" spans="1:1" x14ac:dyDescent="0.2">
      <c r="A32" s="669"/>
    </row>
    <row r="33" spans="1:1" x14ac:dyDescent="0.2">
      <c r="A33" s="669"/>
    </row>
    <row r="34" spans="1:1" x14ac:dyDescent="0.2">
      <c r="A34" s="669"/>
    </row>
    <row r="35" spans="1:1" x14ac:dyDescent="0.2">
      <c r="A35" s="669"/>
    </row>
    <row r="36" spans="1:1" x14ac:dyDescent="0.2">
      <c r="A36" s="669"/>
    </row>
    <row r="37" spans="1:1" x14ac:dyDescent="0.2">
      <c r="A37" s="669"/>
    </row>
    <row r="38" spans="1:1" x14ac:dyDescent="0.2">
      <c r="A38" s="669"/>
    </row>
    <row r="39" spans="1:1" x14ac:dyDescent="0.2">
      <c r="A39" s="669"/>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224</v>
      </c>
      <c r="J2" s="120"/>
      <c r="K2" s="120"/>
      <c r="L2" s="120"/>
      <c r="M2" s="620" t="s">
        <v>103</v>
      </c>
      <c r="N2" s="620"/>
      <c r="O2" s="620"/>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21" t="s">
        <v>104</v>
      </c>
      <c r="N3" s="622"/>
      <c r="O3" s="623"/>
      <c r="P3" s="105"/>
      <c r="Q3" s="105"/>
    </row>
    <row r="4" spans="1:18" ht="15" x14ac:dyDescent="0.25">
      <c r="B4" s="115" t="s">
        <v>25</v>
      </c>
      <c r="C4" s="62"/>
      <c r="D4" s="39"/>
      <c r="E4" s="39"/>
      <c r="F4" s="39"/>
      <c r="G4" s="39"/>
      <c r="H4" s="39"/>
      <c r="I4" s="39"/>
      <c r="J4" s="39"/>
      <c r="K4" s="39"/>
      <c r="L4" s="39"/>
      <c r="M4" s="624" t="s">
        <v>144</v>
      </c>
      <c r="N4" s="625"/>
      <c r="O4" s="626"/>
      <c r="P4" s="87"/>
    </row>
    <row r="5" spans="1:18" x14ac:dyDescent="0.2">
      <c r="B5" s="116" t="s">
        <v>26</v>
      </c>
      <c r="C5" s="56">
        <f>Main!D3</f>
        <v>0</v>
      </c>
      <c r="D5" s="39"/>
      <c r="E5" s="39"/>
      <c r="F5" s="39"/>
      <c r="G5" s="39"/>
      <c r="H5" s="39"/>
      <c r="I5" s="54" t="s">
        <v>4</v>
      </c>
      <c r="J5" s="39" t="e">
        <f>Main!D5</f>
        <v>#N/A</v>
      </c>
      <c r="L5" s="39"/>
      <c r="M5" s="627" t="s">
        <v>143</v>
      </c>
      <c r="N5" s="628"/>
      <c r="O5" s="629"/>
      <c r="P5" s="131"/>
    </row>
    <row r="6" spans="1:18" ht="13.5" thickBot="1" x14ac:dyDescent="0.25">
      <c r="B6" s="116" t="s">
        <v>3</v>
      </c>
      <c r="C6" s="57" t="e">
        <f>Main!D6</f>
        <v>#N/A</v>
      </c>
      <c r="D6" s="39"/>
      <c r="E6" s="39"/>
      <c r="F6" s="39"/>
      <c r="G6" s="39"/>
      <c r="H6" s="39"/>
      <c r="I6" s="54" t="s">
        <v>5</v>
      </c>
      <c r="J6" s="53">
        <f>Main!D16</f>
        <v>0</v>
      </c>
      <c r="L6" s="39"/>
      <c r="M6" s="630" t="str">
        <f>IF(MaxMode,"","In 1/2 Tolerance")</f>
        <v>In 1/2 Tolerance</v>
      </c>
      <c r="N6" s="631"/>
      <c r="O6" s="632"/>
      <c r="P6" s="88"/>
    </row>
    <row r="7" spans="1:18" ht="13.5" thickBot="1" x14ac:dyDescent="0.25">
      <c r="B7" s="116" t="s">
        <v>27</v>
      </c>
      <c r="C7" s="57" t="str">
        <f>Main!D7</f>
        <v>Jeff Hall</v>
      </c>
      <c r="D7" s="39"/>
      <c r="E7" s="39"/>
      <c r="F7" s="39"/>
      <c r="G7" s="39"/>
      <c r="H7" s="39"/>
      <c r="I7" s="59" t="s">
        <v>166</v>
      </c>
      <c r="J7" s="618">
        <f>Main!$D$30</f>
        <v>0</v>
      </c>
      <c r="K7" s="619"/>
      <c r="L7" s="102"/>
      <c r="M7" s="617" t="s">
        <v>142</v>
      </c>
      <c r="N7" s="617"/>
      <c r="O7" s="617"/>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9" customFormat="1" x14ac:dyDescent="0.2">
      <c r="A12" s="448"/>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wnzUK/uP6I8/8jSvVUgcX7K00sIV+ajXPYbYmGzxF2PuGX1Vkjz/SJdt37n8WEbI+zdY6LLmSCui2YyapTnTPQ==" saltValue="imN9ihjND6vsX5veQ9QHc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4" priority="1">
      <formula>AND(ROW() &gt;= $Q$1, ROW() &lt;= $Q$2)</formula>
    </cfRule>
    <cfRule type="cellIs" dxfId="73" priority="2" stopIfTrue="1" operator="between">
      <formula>HalfTolMin</formula>
      <formula>HalfTolMax</formula>
    </cfRule>
    <cfRule type="cellIs" dxfId="72" priority="3" stopIfTrue="1" operator="greaterThan">
      <formula>TolMax</formula>
    </cfRule>
    <cfRule type="cellIs" dxfId="71" priority="4" stopIfTrue="1" operator="lessThan">
      <formula>TolMin</formula>
    </cfRule>
    <cfRule type="cellIs" dxfId="70"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224</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t="e">
        <f>Main!D5</f>
        <v>#N/A</v>
      </c>
      <c r="M5" s="634" t="s">
        <v>143</v>
      </c>
      <c r="N5" s="635"/>
      <c r="O5" s="636"/>
    </row>
    <row r="6" spans="1:17" ht="13.5" thickBot="1" x14ac:dyDescent="0.25">
      <c r="B6" s="116" t="s">
        <v>3</v>
      </c>
      <c r="C6" s="57" t="e">
        <f>Main!D6</f>
        <v>#N/A</v>
      </c>
      <c r="D6" s="39"/>
      <c r="E6" s="39"/>
      <c r="F6" s="39"/>
      <c r="G6" s="39"/>
      <c r="H6" s="39"/>
      <c r="I6" s="54" t="s">
        <v>5</v>
      </c>
      <c r="J6" s="41">
        <f>Main!D16</f>
        <v>0</v>
      </c>
      <c r="M6" s="630" t="str">
        <f>IF(MaxMode,"","In 1/2 Tolerance")</f>
        <v>In 1/2 Tolerance</v>
      </c>
      <c r="N6" s="631"/>
      <c r="O6" s="632"/>
    </row>
    <row r="7" spans="1:17" ht="13.5" thickBot="1" x14ac:dyDescent="0.25">
      <c r="B7" s="116" t="s">
        <v>27</v>
      </c>
      <c r="C7" s="57" t="str">
        <f>Main!D7</f>
        <v>Jeff Hall</v>
      </c>
      <c r="D7" s="39"/>
      <c r="E7" s="39"/>
      <c r="F7" s="39"/>
      <c r="G7" s="39"/>
      <c r="H7" s="39"/>
      <c r="I7" s="59" t="s">
        <v>166</v>
      </c>
      <c r="J7" s="618">
        <f>Main!$D$30</f>
        <v>0</v>
      </c>
      <c r="K7" s="619"/>
      <c r="L7" s="102"/>
      <c r="M7" s="617" t="s">
        <v>142</v>
      </c>
      <c r="N7" s="617"/>
      <c r="O7" s="617"/>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51" customFormat="1" x14ac:dyDescent="0.2">
      <c r="A12" s="450"/>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0a9VJfRWrHHExtBkWO+zJXoWJRPsSAgXAAEQjQONpr1qeJbimBanz2Typx5cboLXR9KynZvkqNR7oPAq6OAuwg==" saltValue="XqE5zlcJMSRpgc0khl7XL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9" priority="2" stopIfTrue="1" operator="between">
      <formula>HalfTolMin</formula>
      <formula>HalfTolMax</formula>
    </cfRule>
    <cfRule type="cellIs" dxfId="68" priority="3" stopIfTrue="1" operator="greaterThan">
      <formula>TolMax</formula>
    </cfRule>
    <cfRule type="cellIs" dxfId="67" priority="4" stopIfTrue="1" operator="lessThan">
      <formula>TolMin</formula>
    </cfRule>
    <cfRule type="cellIs" dxfId="66" priority="5" stopIfTrue="1" operator="between">
      <formula>TolMin</formula>
      <formula>TolMax</formula>
    </cfRule>
  </conditionalFormatting>
  <conditionalFormatting sqref="B14:P903">
    <cfRule type="expression" dxfId="6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224</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s="39" t="e">
        <f>Main!D5</f>
        <v>#N/A</v>
      </c>
      <c r="L5" s="39"/>
      <c r="M5" s="627" t="s">
        <v>143</v>
      </c>
      <c r="N5" s="628"/>
      <c r="O5" s="629"/>
    </row>
    <row r="6" spans="1:17" ht="13.5" thickBot="1" x14ac:dyDescent="0.25">
      <c r="B6" s="116" t="s">
        <v>3</v>
      </c>
      <c r="C6" s="57" t="e">
        <f>Main!D6</f>
        <v>#N/A</v>
      </c>
      <c r="D6" s="39"/>
      <c r="E6" s="39"/>
      <c r="F6" s="39"/>
      <c r="G6" s="39"/>
      <c r="H6" s="39"/>
      <c r="I6" s="54" t="s">
        <v>5</v>
      </c>
      <c r="J6" s="53">
        <f>Main!D16</f>
        <v>0</v>
      </c>
      <c r="L6" s="39"/>
      <c r="M6" s="630" t="str">
        <f>IF(MaxMode,"","In 1/2 Tolerance")</f>
        <v>In 1/2 Tolerance</v>
      </c>
      <c r="N6" s="631"/>
      <c r="O6" s="632"/>
    </row>
    <row r="7" spans="1:17" ht="13.5" thickBot="1" x14ac:dyDescent="0.25">
      <c r="B7" s="116" t="s">
        <v>27</v>
      </c>
      <c r="C7" s="57" t="str">
        <f>Main!D7</f>
        <v>Jeff Hall</v>
      </c>
      <c r="D7" s="39"/>
      <c r="E7" s="39"/>
      <c r="F7" s="39"/>
      <c r="G7" s="39"/>
      <c r="H7" s="39"/>
      <c r="I7" s="59" t="s">
        <v>166</v>
      </c>
      <c r="J7" s="618">
        <f>Main!$D$30</f>
        <v>0</v>
      </c>
      <c r="K7" s="619"/>
      <c r="L7" s="102"/>
      <c r="M7" s="617" t="s">
        <v>142</v>
      </c>
      <c r="N7" s="617"/>
      <c r="O7" s="617"/>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51" customFormat="1" x14ac:dyDescent="0.2">
      <c r="A12" s="450"/>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PCV1zH70Tt/cG+ZW/Tu9I+HmHIFZRZsM0xrnR2WMuNIFX2d6IlO5TcDYwwavB5yLFgcCOSwPZ/KkGmZN8Fq4w==" saltValue="E+sjcdVJTB5ud3fqhVM27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6" stopIfTrue="1" operator="between">
      <formula>TolMin</formula>
      <formula>TolMax</formula>
    </cfRule>
  </conditionalFormatting>
  <conditionalFormatting sqref="B14:P903">
    <cfRule type="expression" dxfId="6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9"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Main!G93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Main!G93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e">
        <f>Main!D5</f>
        <v>#N/A</v>
      </c>
      <c r="L3" s="7"/>
      <c r="O3" s="197"/>
      <c r="R3" s="283">
        <f>IF(T2=0, 0, IF(T2 &gt; Main!G93 + (1-G19)*0.4, 1, ""))</f>
        <v>0</v>
      </c>
      <c r="T3" s="283" cm="1">
        <f t="array" ref="T3">MAX(ABS(E22:E30))</f>
        <v>0</v>
      </c>
      <c r="U3" s="283" cm="1">
        <f t="array" ref="U3">MAX(ABS(H22:H30))</f>
        <v>0</v>
      </c>
      <c r="X3" s="197"/>
      <c r="Y3" s="197"/>
      <c r="Z3" s="199"/>
      <c r="AA3" s="199"/>
      <c r="AB3" s="199"/>
      <c r="AC3" s="199"/>
    </row>
    <row r="4" spans="1:29" x14ac:dyDescent="0.25">
      <c r="D4" s="32" t="s">
        <v>40</v>
      </c>
      <c r="E4" s="8" t="e">
        <f>Main!D6</f>
        <v>#N/A</v>
      </c>
      <c r="H4" s="6"/>
      <c r="J4" s="32" t="s">
        <v>42</v>
      </c>
      <c r="K4" s="12">
        <f>Main!D16</f>
        <v>0</v>
      </c>
      <c r="L4" s="7"/>
      <c r="O4" s="197"/>
      <c r="R4" s="283">
        <f>IF(U2=0, 0, IF(U2 &gt; Main!G93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Main!G93 + (1-J19)*0.4, 1, ""))</f>
        <v>0</v>
      </c>
      <c r="T5" s="285"/>
      <c r="X5" s="197"/>
      <c r="Y5" s="197"/>
      <c r="Z5" s="199"/>
      <c r="AA5" s="199"/>
      <c r="AB5" s="199"/>
      <c r="AC5" s="199"/>
    </row>
    <row r="6" spans="1:29" ht="15.75" customHeight="1" x14ac:dyDescent="0.25">
      <c r="D6" s="32" t="s">
        <v>10</v>
      </c>
      <c r="E6" s="257" t="e">
        <f>IF(ISBLANK(Main!G93),"",Main!G93)</f>
        <v>#N/A</v>
      </c>
      <c r="G6" s="13" t="str">
        <f>IF(OR(R1:R8),"CHECK READINGS!!!","")</f>
        <v/>
      </c>
      <c r="J6" s="14"/>
      <c r="L6" s="7"/>
      <c r="O6" s="197"/>
      <c r="R6" s="283">
        <f>IF(U3=0, 0, IF(U3 &gt; Main!G93 + (1-J31)*0.4, 1, ""))</f>
        <v>0</v>
      </c>
      <c r="T6" s="285"/>
      <c r="X6" s="197"/>
      <c r="Y6" s="197"/>
      <c r="Z6" s="199"/>
      <c r="AA6" s="199"/>
      <c r="AB6" s="199"/>
      <c r="AC6" s="199"/>
    </row>
    <row r="7" spans="1:29" x14ac:dyDescent="0.25">
      <c r="E7" s="6"/>
      <c r="F7" s="30" t="s">
        <v>11</v>
      </c>
      <c r="O7" s="197"/>
      <c r="R7" s="283">
        <f>IF(T4=0, 0, IF(T4 &gt; Main!G93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Main!G93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392</v>
      </c>
      <c r="U11" s="289" t="s">
        <v>393</v>
      </c>
      <c r="V11" s="289" t="s">
        <v>394</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9" t="str">
        <f>Main!A37</f>
        <v/>
      </c>
      <c r="E19" s="15" t="str">
        <f>IF(ISNUMBER(SEARCH(".",E10)),".","")</f>
        <v/>
      </c>
      <c r="F19" s="15"/>
      <c r="G19" s="480" t="str">
        <f>Main!A38</f>
        <v/>
      </c>
      <c r="H19" s="13" t="str" cm="1">
        <f t="array" ref="H19">IF(OR(S16:S23=1),"CHECK READINGS!!!","")</f>
        <v/>
      </c>
      <c r="I19" s="15"/>
      <c r="J19" s="480" t="str">
        <f>Main!A39</f>
        <v/>
      </c>
      <c r="K19" s="15" t="str">
        <f>IF(ISNUMBER(SEARCH(".",K10)),".","")</f>
        <v/>
      </c>
      <c r="L19" s="15"/>
      <c r="M19" s="480"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1" t="str">
        <f>Main!A41</f>
        <v/>
      </c>
      <c r="E31" s="22"/>
      <c r="F31" s="21"/>
      <c r="G31" s="481" t="str">
        <f>Main!A42</f>
        <v/>
      </c>
      <c r="H31" s="22"/>
      <c r="I31" s="21"/>
      <c r="J31" s="481" t="str">
        <f>Main!A43</f>
        <v/>
      </c>
      <c r="K31" s="22"/>
      <c r="L31" s="21"/>
      <c r="M31" s="481"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HBmSMznfINFtKgQHYf0AHzzxCCpnYHsfBSX+cPImbkPeF/2IY93e9/InOwHOEvnELqsjclLi/gVh8w2Mxh+YQ==" saltValue="Tt4rKIfyLtyb6FyFoRicow==" spinCount="100000" sheet="1" objects="1" scenarios="1" selectLockedCells="1" autoFilter="0"/>
  <mergeCells count="2">
    <mergeCell ref="D32:M34"/>
    <mergeCell ref="C37:M40"/>
  </mergeCells>
  <phoneticPr fontId="20" type="noConversion"/>
  <conditionalFormatting sqref="C45">
    <cfRule type="expression" dxfId="59" priority="65">
      <formula>ISNUMBER(SEARCH(".",C45))</formula>
    </cfRule>
    <cfRule type="expression" dxfId="58" priority="66">
      <formula>ISERROR(SEARCH(".",C45))</formula>
    </cfRule>
  </conditionalFormatting>
  <conditionalFormatting sqref="D14:D18">
    <cfRule type="expression" dxfId="57" priority="63">
      <formula>ISERROR(SEARCH(1,$D$19))</formula>
    </cfRule>
    <cfRule type="expression" dxfId="56" priority="64">
      <formula>ISNUMBER(SEARCH(1,$D$19))</formula>
    </cfRule>
  </conditionalFormatting>
  <conditionalFormatting sqref="G14:G18">
    <cfRule type="expression" dxfId="55" priority="61">
      <formula>ISERROR(SEARCH(1,$G$19))</formula>
    </cfRule>
    <cfRule type="expression" dxfId="54" priority="62">
      <formula>ISNUMBER(SEARCH(1,$G$19))</formula>
    </cfRule>
  </conditionalFormatting>
  <conditionalFormatting sqref="J14:J18">
    <cfRule type="expression" dxfId="53" priority="57">
      <formula>ISERROR(SEARCH(1,$J$19))</formula>
    </cfRule>
    <cfRule type="expression" dxfId="52" priority="58">
      <formula>ISNUMBER(SEARCH(1,$J$19))</formula>
    </cfRule>
  </conditionalFormatting>
  <conditionalFormatting sqref="M14:M18">
    <cfRule type="expression" dxfId="51" priority="53">
      <formula>ISERROR(SEARCH(1,$M$19))</formula>
    </cfRule>
    <cfRule type="expression" dxfId="50" priority="54">
      <formula>ISNUMBER(SEARCH(1,$M$19))</formula>
    </cfRule>
  </conditionalFormatting>
  <conditionalFormatting sqref="G26:G30">
    <cfRule type="expression" dxfId="49" priority="45">
      <formula>ISERROR(SEARCH(1,$G$31))</formula>
    </cfRule>
    <cfRule type="expression" dxfId="48" priority="46">
      <formula>ISNUMBER(SEARCH(1,$G$31))</formula>
    </cfRule>
  </conditionalFormatting>
  <conditionalFormatting sqref="J26:J30">
    <cfRule type="expression" dxfId="47" priority="41">
      <formula>ISERROR(SEARCH(1,$J$31))</formula>
    </cfRule>
    <cfRule type="expression" dxfId="46" priority="42">
      <formula>ISNUMBER(SEARCH(1,$J$31))</formula>
    </cfRule>
  </conditionalFormatting>
  <conditionalFormatting sqref="M26:M30">
    <cfRule type="expression" dxfId="45" priority="37">
      <formula>ISERROR(SEARCH(1,$M$31))</formula>
    </cfRule>
    <cfRule type="expression" dxfId="44" priority="38">
      <formula>ISNUMBER(SEARCH(1,$M$31))</formula>
    </cfRule>
  </conditionalFormatting>
  <conditionalFormatting sqref="D26:D30">
    <cfRule type="expression" dxfId="43" priority="33">
      <formula>ISERROR(SEARCH(1,$D$19))</formula>
    </cfRule>
    <cfRule type="expression" dxfId="42" priority="34">
      <formula>ISNUMBER(SEARCH(1,$D$19))</formula>
    </cfRule>
  </conditionalFormatting>
  <conditionalFormatting sqref="D11:D13">
    <cfRule type="expression" dxfId="41" priority="31">
      <formula>ISERROR(SEARCH(1,$G$19))</formula>
    </cfRule>
    <cfRule type="expression" dxfId="40" priority="32">
      <formula>ISNUMBER(SEARCH(1,$G$19))</formula>
    </cfRule>
  </conditionalFormatting>
  <conditionalFormatting sqref="D10">
    <cfRule type="expression" dxfId="39" priority="29">
      <formula>ISERROR(SEARCH(1,$G$19))</formula>
    </cfRule>
    <cfRule type="expression" dxfId="38" priority="30">
      <formula>ISNUMBER(SEARCH(1,$G$19))</formula>
    </cfRule>
  </conditionalFormatting>
  <conditionalFormatting sqref="G11:G13">
    <cfRule type="expression" dxfId="37" priority="27">
      <formula>ISERROR(SEARCH(1,$G$19))</formula>
    </cfRule>
    <cfRule type="expression" dxfId="36" priority="28">
      <formula>ISNUMBER(SEARCH(1,$G$19))</formula>
    </cfRule>
  </conditionalFormatting>
  <conditionalFormatting sqref="G10">
    <cfRule type="expression" dxfId="35" priority="25">
      <formula>ISERROR(SEARCH(1,$G$19))</formula>
    </cfRule>
    <cfRule type="expression" dxfId="34" priority="26">
      <formula>ISNUMBER(SEARCH(1,$G$19))</formula>
    </cfRule>
  </conditionalFormatting>
  <conditionalFormatting sqref="J11:J13">
    <cfRule type="expression" dxfId="33" priority="23">
      <formula>ISERROR(SEARCH(1,$G$19))</formula>
    </cfRule>
    <cfRule type="expression" dxfId="32" priority="24">
      <formula>ISNUMBER(SEARCH(1,$G$19))</formula>
    </cfRule>
  </conditionalFormatting>
  <conditionalFormatting sqref="J10">
    <cfRule type="expression" dxfId="31" priority="21">
      <formula>ISERROR(SEARCH(1,$G$19))</formula>
    </cfRule>
    <cfRule type="expression" dxfId="30" priority="22">
      <formula>ISNUMBER(SEARCH(1,$G$19))</formula>
    </cfRule>
  </conditionalFormatting>
  <conditionalFormatting sqref="M11:M13">
    <cfRule type="expression" dxfId="29" priority="19">
      <formula>ISERROR(SEARCH(1,$G$19))</formula>
    </cfRule>
    <cfRule type="expression" dxfId="28" priority="20">
      <formula>ISNUMBER(SEARCH(1,$G$19))</formula>
    </cfRule>
  </conditionalFormatting>
  <conditionalFormatting sqref="M10">
    <cfRule type="expression" dxfId="27" priority="17">
      <formula>ISERROR(SEARCH(1,$G$19))</formula>
    </cfRule>
    <cfRule type="expression" dxfId="26" priority="18">
      <formula>ISNUMBER(SEARCH(1,$G$19))</formula>
    </cfRule>
  </conditionalFormatting>
  <conditionalFormatting sqref="D23:D25">
    <cfRule type="expression" dxfId="25" priority="15">
      <formula>ISERROR(SEARCH(1,$G$19))</formula>
    </cfRule>
    <cfRule type="expression" dxfId="24" priority="16">
      <formula>ISNUMBER(SEARCH(1,$G$19))</formula>
    </cfRule>
  </conditionalFormatting>
  <conditionalFormatting sqref="D22">
    <cfRule type="expression" dxfId="23" priority="13">
      <formula>ISERROR(SEARCH(1,$G$19))</formula>
    </cfRule>
    <cfRule type="expression" dxfId="22" priority="14">
      <formula>ISNUMBER(SEARCH(1,$G$19))</formula>
    </cfRule>
  </conditionalFormatting>
  <conditionalFormatting sqref="G23:G25">
    <cfRule type="expression" dxfId="21" priority="11">
      <formula>ISERROR(SEARCH(1,$G$19))</formula>
    </cfRule>
    <cfRule type="expression" dxfId="20" priority="12">
      <formula>ISNUMBER(SEARCH(1,$G$19))</formula>
    </cfRule>
  </conditionalFormatting>
  <conditionalFormatting sqref="G22">
    <cfRule type="expression" dxfId="19" priority="9">
      <formula>ISERROR(SEARCH(1,$G$19))</formula>
    </cfRule>
    <cfRule type="expression" dxfId="18" priority="10">
      <formula>ISNUMBER(SEARCH(1,$G$19))</formula>
    </cfRule>
  </conditionalFormatting>
  <conditionalFormatting sqref="J23:J25">
    <cfRule type="expression" dxfId="17" priority="7">
      <formula>ISERROR(SEARCH(1,$G$19))</formula>
    </cfRule>
    <cfRule type="expression" dxfId="16" priority="8">
      <formula>ISNUMBER(SEARCH(1,$G$19))</formula>
    </cfRule>
  </conditionalFormatting>
  <conditionalFormatting sqref="J22">
    <cfRule type="expression" dxfId="15" priority="5">
      <formula>ISERROR(SEARCH(1,$G$19))</formula>
    </cfRule>
    <cfRule type="expression" dxfId="14" priority="6">
      <formula>ISNUMBER(SEARCH(1,$G$19))</formula>
    </cfRule>
  </conditionalFormatting>
  <conditionalFormatting sqref="M23:M25">
    <cfRule type="expression" dxfId="13" priority="3">
      <formula>ISERROR(SEARCH(1,$G$19))</formula>
    </cfRule>
    <cfRule type="expression" dxfId="12" priority="4">
      <formula>ISNUMBER(SEARCH(1,$G$19))</formula>
    </cfRule>
  </conditionalFormatting>
  <conditionalFormatting sqref="M22">
    <cfRule type="expression" dxfId="11" priority="1">
      <formula>ISERROR(SEARCH(1,$G$19))</formula>
    </cfRule>
    <cfRule type="expression" dxfId="1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859</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7" t="s">
        <v>344</v>
      </c>
      <c r="I28" s="657"/>
      <c r="J28" s="657"/>
      <c r="K28" s="657"/>
      <c r="L28" s="657"/>
      <c r="M28" s="657"/>
      <c r="N28" s="657"/>
      <c r="O28" s="657"/>
      <c r="P28" s="657"/>
      <c r="Q28" s="657"/>
      <c r="R28" s="657"/>
    </row>
    <row r="29" spans="1:20" x14ac:dyDescent="0.2">
      <c r="A29" s="646" t="s">
        <v>34</v>
      </c>
      <c r="B29" s="647"/>
      <c r="C29" s="49" t="str">
        <f>IF(Main!D48="","",Main!D48)</f>
        <v/>
      </c>
      <c r="D29" s="49" t="str">
        <f>IF(Main!E48="","",Main!E48)</f>
        <v/>
      </c>
      <c r="E29" s="49" t="str">
        <f>IF(Main!F48="","",Main!F48)</f>
        <v/>
      </c>
      <c r="F29" s="49" t="str">
        <f>IF(Main!G48="","",Main!G48)</f>
        <v/>
      </c>
      <c r="G29" s="271"/>
      <c r="H29" s="268" t="s">
        <v>345</v>
      </c>
      <c r="I29" s="114" t="str">
        <f>IF(Main!N47="","",Main!N47)</f>
        <v>Periodic</v>
      </c>
      <c r="J29" s="663" t="s">
        <v>346</v>
      </c>
      <c r="K29" s="664"/>
      <c r="L29" s="114" t="str">
        <f>IF(Main!R47="","",Main!R47)</f>
        <v>Air</v>
      </c>
    </row>
    <row r="30" spans="1:20" x14ac:dyDescent="0.2">
      <c r="A30" s="646" t="s">
        <v>35</v>
      </c>
      <c r="B30" s="647"/>
      <c r="C30" s="50" t="str">
        <f>IF(Main!D49="","",Main!D49)</f>
        <v/>
      </c>
      <c r="D30" s="50" t="str">
        <f>IF(Main!E49="","",Main!E49)</f>
        <v/>
      </c>
      <c r="E30" s="50" t="str">
        <f>IF(Main!F49="","",Main!F49)</f>
        <v/>
      </c>
      <c r="F30" s="50" t="str">
        <f>IF(Main!G49="","",Main!G49)</f>
        <v/>
      </c>
      <c r="G30" s="273"/>
      <c r="H30" s="658" t="s">
        <v>332</v>
      </c>
      <c r="I30" s="658"/>
      <c r="J30" s="665" t="s">
        <v>378</v>
      </c>
      <c r="K30" s="666"/>
      <c r="L30" s="667"/>
      <c r="M30" s="265"/>
      <c r="O30" s="659" t="s">
        <v>381</v>
      </c>
      <c r="P30" s="660"/>
      <c r="Q30" s="661"/>
      <c r="T30" s="39"/>
    </row>
    <row r="31" spans="1:20" x14ac:dyDescent="0.2">
      <c r="A31" s="646" t="s">
        <v>36</v>
      </c>
      <c r="B31" s="647"/>
      <c r="C31" s="50" t="str">
        <f>IF(Main!D50="","",Main!D50)</f>
        <v/>
      </c>
      <c r="D31" s="50" t="str">
        <f>IF(Main!E50="","",Main!E50)</f>
        <v/>
      </c>
      <c r="E31" s="50" t="str">
        <f>IF(Main!F50="","",Main!F50)</f>
        <v/>
      </c>
      <c r="F31" s="50" t="str">
        <f>IF(Main!G50="","",Main!G50)</f>
        <v/>
      </c>
      <c r="G31" s="273"/>
      <c r="H31" s="253" t="s">
        <v>347</v>
      </c>
      <c r="I31" s="255" t="str">
        <f>IF(Main!N49="","",Main!N49)</f>
        <v/>
      </c>
      <c r="J31" s="648" t="s">
        <v>386</v>
      </c>
      <c r="K31" s="649"/>
      <c r="L31" s="650"/>
      <c r="M31" s="266" t="str">
        <f>IF(Main!S49="","",Main!S49)</f>
        <v/>
      </c>
      <c r="O31" s="569" t="s">
        <v>388</v>
      </c>
      <c r="P31" s="570"/>
      <c r="Q31" s="662"/>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1"/>
      <c r="H32" s="253" t="s">
        <v>363</v>
      </c>
      <c r="I32" s="255" t="str">
        <f>IF(Main!N50="","",Main!N50)</f>
        <v/>
      </c>
      <c r="J32" s="651" t="s">
        <v>335</v>
      </c>
      <c r="K32" s="652"/>
      <c r="L32" s="653"/>
      <c r="M32" s="261"/>
      <c r="O32" s="651" t="s">
        <v>335</v>
      </c>
      <c r="P32" s="652"/>
      <c r="Q32" s="653"/>
      <c r="T32" s="39"/>
    </row>
    <row r="33" spans="1:20" ht="12.75" customHeight="1" x14ac:dyDescent="0.2">
      <c r="A33" s="646" t="s">
        <v>348</v>
      </c>
      <c r="B33" s="647"/>
      <c r="C33" s="49" t="str">
        <f>IF(Main!D52="","",Main!D52)</f>
        <v/>
      </c>
      <c r="D33" s="49" t="str">
        <f>IF(Main!E52="","",Main!E52)</f>
        <v/>
      </c>
      <c r="E33" s="49" t="str">
        <f>IF(Main!F52="","",Main!F52)</f>
        <v/>
      </c>
      <c r="F33" s="49" t="str">
        <f>IF(Main!G52="","",Main!G52)</f>
        <v/>
      </c>
      <c r="G33" s="271"/>
      <c r="H33" s="253" t="s">
        <v>349</v>
      </c>
      <c r="I33" s="255" t="str">
        <f>IF(Main!N51="","",Main!N51)</f>
        <v/>
      </c>
      <c r="J33" s="654" t="s">
        <v>387</v>
      </c>
      <c r="K33" s="655"/>
      <c r="L33" s="656"/>
      <c r="M33" s="260" t="str">
        <f>IF(Main!S51="","",Main!S51)</f>
        <v/>
      </c>
      <c r="O33" s="654" t="s">
        <v>389</v>
      </c>
      <c r="P33" s="655"/>
      <c r="Q33" s="656"/>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4"/>
      <c r="H34" s="253" t="s">
        <v>350</v>
      </c>
      <c r="I34" s="252" t="str">
        <f>IF(Main!N52="","",Main!N52)</f>
        <v/>
      </c>
      <c r="J34" s="651" t="s">
        <v>335</v>
      </c>
      <c r="K34" s="652"/>
      <c r="L34" s="653"/>
      <c r="O34" s="651" t="s">
        <v>335</v>
      </c>
      <c r="P34" s="652"/>
      <c r="Q34" s="653"/>
      <c r="T34" s="39"/>
    </row>
    <row r="35" spans="1:20" ht="12.75" customHeight="1" x14ac:dyDescent="0.2">
      <c r="A35" s="59"/>
      <c r="B35" s="61" t="s">
        <v>85</v>
      </c>
      <c r="C35" s="71" t="str">
        <f>IF(Main!D54="","",Main!D54)</f>
        <v/>
      </c>
      <c r="D35" s="71" t="str">
        <f>IF(Main!E54="","",Main!E54)</f>
        <v/>
      </c>
      <c r="E35" s="71" t="str">
        <f>IF(Main!F54="","",Main!F54)</f>
        <v/>
      </c>
      <c r="F35" s="71" t="str">
        <f>IF(Main!G54="","",Main!G54)</f>
        <v/>
      </c>
      <c r="G35" s="275"/>
      <c r="H35" s="253" t="s">
        <v>350</v>
      </c>
      <c r="I35" s="252" t="str">
        <f>IF(Main!N53="","",Main!N53)</f>
        <v/>
      </c>
      <c r="J35" s="640" t="s">
        <v>390</v>
      </c>
      <c r="K35" s="641"/>
      <c r="L35" s="642"/>
      <c r="M35" s="269" t="str">
        <f>IF(Main!S53="","",Main!S53)</f>
        <v/>
      </c>
      <c r="O35" s="640" t="s">
        <v>391</v>
      </c>
      <c r="P35" s="641"/>
      <c r="Q35" s="642"/>
      <c r="R35" s="270" t="str">
        <f>IF(Main!X53="","",Main!X53)</f>
        <v/>
      </c>
    </row>
    <row r="36" spans="1:20" ht="13.5" thickBot="1" x14ac:dyDescent="0.25">
      <c r="B36" s="61" t="s">
        <v>351</v>
      </c>
      <c r="C36" s="49" t="str">
        <f>IF(Main!D56="","",Main!D56)</f>
        <v/>
      </c>
      <c r="D36" s="49" t="str">
        <f>IF(Main!E56="","",Main!E56)</f>
        <v/>
      </c>
      <c r="E36" s="49" t="str">
        <f>IF(Main!F56="","",Main!F56)</f>
        <v/>
      </c>
      <c r="F36" s="49" t="str">
        <f>IF(Main!G56="","",Main!G56)</f>
        <v/>
      </c>
      <c r="G36" s="271"/>
      <c r="H36" s="272"/>
      <c r="J36" s="643"/>
      <c r="K36" s="644"/>
      <c r="L36" s="645"/>
      <c r="M36" s="264"/>
      <c r="O36" s="643"/>
      <c r="P36" s="644"/>
      <c r="Q36" s="645"/>
      <c r="T36" s="39"/>
    </row>
    <row r="37" spans="1:20" ht="13.5" thickBot="1" x14ac:dyDescent="0.25">
      <c r="B37" s="59" t="s">
        <v>352</v>
      </c>
      <c r="C37" s="49" t="str">
        <f>IF(Main!D57="","",Main!D57)</f>
        <v/>
      </c>
      <c r="D37" s="49" t="str">
        <f>IF(Main!E57="","",Main!E57)</f>
        <v/>
      </c>
      <c r="E37" s="49" t="str">
        <f>IF(Main!F57="","",Main!F57)</f>
        <v/>
      </c>
      <c r="F37" s="49" t="str">
        <f>IF(Main!G57="","",Main!G57)</f>
        <v/>
      </c>
      <c r="G37" s="271"/>
      <c r="H37" s="272"/>
      <c r="J37" s="279" t="s">
        <v>338</v>
      </c>
      <c r="K37" s="280" t="s">
        <v>14</v>
      </c>
      <c r="L37" s="281" t="s">
        <v>339</v>
      </c>
      <c r="M37" s="264"/>
      <c r="O37" s="279" t="s">
        <v>340</v>
      </c>
      <c r="P37" s="280" t="s">
        <v>14</v>
      </c>
      <c r="Q37" s="281" t="s">
        <v>341</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361</v>
      </c>
      <c r="M39" s="282"/>
    </row>
    <row r="40" spans="1:20" ht="15.75" x14ac:dyDescent="0.25">
      <c r="B40" s="263"/>
      <c r="C40" s="263"/>
      <c r="D40" s="263"/>
      <c r="E40" s="263"/>
      <c r="K40" s="59" t="s">
        <v>364</v>
      </c>
      <c r="L40">
        <f>IF(Main!N54="","",Main!N54)</f>
        <v>0</v>
      </c>
      <c r="O40" s="59" t="s">
        <v>366</v>
      </c>
      <c r="P40">
        <f>IF(Main!N56="","",Main!N56)</f>
        <v>0</v>
      </c>
    </row>
    <row r="41" spans="1:20" x14ac:dyDescent="0.2">
      <c r="K41" s="59" t="s">
        <v>365</v>
      </c>
      <c r="L41">
        <f>IF(Main!N55="","",Main!N55)</f>
        <v>0</v>
      </c>
      <c r="O41" s="59" t="s">
        <v>367</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afCGo+1IfjjZ+5KV95YOj76Cj266mVa1dqw6UyLQMG/c+UaSLjFa9J9SFN35CgDmuVGTu3LOCDrFnbZZuEBwVg==" saltValue="UgPgkdc59hi9SAjFlFxkL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e">
        <f>Main!D5</f>
        <v>#N/A</v>
      </c>
      <c r="K6" s="89"/>
      <c r="L6" s="89"/>
    </row>
    <row r="7" spans="1:14" x14ac:dyDescent="0.2">
      <c r="A7" s="89"/>
      <c r="B7" s="96" t="s">
        <v>3</v>
      </c>
      <c r="C7" s="97" t="e">
        <f>Main!D6</f>
        <v>#N/A</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153</v>
      </c>
      <c r="D10" s="108" t="s">
        <v>154</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tkLFTNCc+LueOd0AmilboQW8u2rl4LmkULTMXENjxI+Bf2xTr5gE9ns4bJeRumeiEYp50FOw/vRelh5i6F12Xg==" saltValue="SDYVVEh3/wbTpWarlLGfn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6"/>
      <c r="C1" s="606"/>
      <c r="D1" s="606"/>
      <c r="E1" s="35" t="s">
        <v>155</v>
      </c>
      <c r="G1" s="606" t="s">
        <v>68</v>
      </c>
      <c r="H1" s="606"/>
      <c r="K1" t="s">
        <v>92</v>
      </c>
      <c r="M1" t="s">
        <v>93</v>
      </c>
      <c r="O1" t="s">
        <v>123</v>
      </c>
      <c r="Q1" t="s">
        <v>132</v>
      </c>
      <c r="S1" t="s">
        <v>138</v>
      </c>
      <c r="U1" s="39" t="s">
        <v>167</v>
      </c>
      <c r="W1" s="39" t="s">
        <v>171</v>
      </c>
      <c r="Y1" s="39" t="s">
        <v>222</v>
      </c>
      <c r="AA1" s="39" t="s">
        <v>223</v>
      </c>
      <c r="AC1" s="39" t="s">
        <v>256</v>
      </c>
      <c r="AE1" s="64" t="s">
        <v>353</v>
      </c>
      <c r="AG1" s="36" t="s">
        <v>360</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556</v>
      </c>
      <c r="H2" t="s">
        <v>71</v>
      </c>
      <c r="K2" t="s">
        <v>83</v>
      </c>
      <c r="M2" t="s">
        <v>94</v>
      </c>
      <c r="Q2" t="s">
        <v>133</v>
      </c>
      <c r="S2" t="s">
        <v>80</v>
      </c>
      <c r="U2" s="39" t="s">
        <v>168</v>
      </c>
      <c r="W2">
        <f>IF(Main!D32 = 10, 5, IF(Main!D32 = 30, 15, IF(Main!D32 = 40, 20, 0)))</f>
        <v>0</v>
      </c>
      <c r="Y2" t="s">
        <v>197</v>
      </c>
      <c r="AC2" s="39" t="s">
        <v>258</v>
      </c>
      <c r="AE2" s="39" t="s">
        <v>354</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557</v>
      </c>
      <c r="H3" t="s">
        <v>69</v>
      </c>
      <c r="K3" t="s">
        <v>84</v>
      </c>
      <c r="M3" t="s">
        <v>95</v>
      </c>
      <c r="O3" t="s">
        <v>124</v>
      </c>
      <c r="Q3" s="39" t="s">
        <v>164</v>
      </c>
      <c r="S3" t="s">
        <v>140</v>
      </c>
      <c r="U3" s="39" t="s">
        <v>321</v>
      </c>
      <c r="Y3" t="s">
        <v>198</v>
      </c>
      <c r="AC3" s="39" t="s">
        <v>257</v>
      </c>
      <c r="AE3" s="39" t="s">
        <v>377</v>
      </c>
      <c r="AG3" s="39" t="str">
        <v>James Haven</v>
      </c>
      <c r="AH3" s="39"/>
    </row>
    <row r="4" spans="1:34" x14ac:dyDescent="0.2">
      <c r="A4" s="35" t="str">
        <v>J3</v>
      </c>
      <c r="B4" s="35" t="str">
        <v>DaqBook/2005</v>
      </c>
      <c r="C4" s="35" t="str">
        <v>807705</v>
      </c>
      <c r="D4" s="35" t="str">
        <f t="shared" si="0"/>
        <v>"J" IRON-CONSTANTAN</v>
      </c>
      <c r="E4" s="35">
        <v>28</v>
      </c>
      <c r="G4" s="39" t="s">
        <v>555</v>
      </c>
      <c r="H4" t="s">
        <v>70</v>
      </c>
      <c r="K4" t="s">
        <v>95</v>
      </c>
      <c r="M4" t="s">
        <v>105</v>
      </c>
      <c r="O4" t="s">
        <v>130</v>
      </c>
      <c r="Q4" t="s">
        <v>134</v>
      </c>
      <c r="S4" t="s">
        <v>139</v>
      </c>
      <c r="U4" s="39" t="s">
        <v>169</v>
      </c>
      <c r="Y4" t="s">
        <v>199</v>
      </c>
      <c r="AE4" s="39" t="s">
        <v>329</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200</v>
      </c>
      <c r="AG5" s="39" t="str">
        <v>Joey Craig</v>
      </c>
      <c r="AH5" s="39"/>
    </row>
    <row r="6" spans="1:34" x14ac:dyDescent="0.2">
      <c r="A6" s="35" t="str">
        <v>K5</v>
      </c>
      <c r="B6" s="35" t="str">
        <v>DaqBook/2005</v>
      </c>
      <c r="C6" s="35" t="str">
        <v>808005</v>
      </c>
      <c r="D6" s="35" t="str">
        <f t="shared" si="0"/>
        <v>"K" CHROMEL-ALUMEL</v>
      </c>
      <c r="E6" s="35">
        <v>28</v>
      </c>
      <c r="K6" t="s">
        <v>114</v>
      </c>
      <c r="O6" t="s">
        <v>106</v>
      </c>
      <c r="Q6" s="39" t="s">
        <v>374</v>
      </c>
      <c r="U6" s="39" t="s">
        <v>111</v>
      </c>
      <c r="Y6" t="s">
        <v>201</v>
      </c>
      <c r="AG6" s="39" t="str">
        <v>Joey Knutson</v>
      </c>
      <c r="AH6" s="39"/>
    </row>
    <row r="7" spans="1:34" x14ac:dyDescent="0.2">
      <c r="A7" s="35" t="str">
        <v>K6</v>
      </c>
      <c r="B7" s="35" t="str">
        <v>DaqBook/2005</v>
      </c>
      <c r="C7" s="35" t="str">
        <v>808173</v>
      </c>
      <c r="D7" s="35" t="str">
        <f t="shared" si="0"/>
        <v>"K" CHROMEL-ALUMEL</v>
      </c>
      <c r="E7" s="35">
        <v>40</v>
      </c>
      <c r="O7" t="s">
        <v>127</v>
      </c>
      <c r="Q7" s="39" t="s">
        <v>375</v>
      </c>
      <c r="U7" s="39" t="s">
        <v>170</v>
      </c>
      <c r="Y7" t="s">
        <v>202</v>
      </c>
      <c r="AG7" s="39" t="str">
        <v>Kevin Ferrante</v>
      </c>
      <c r="AH7" s="39"/>
    </row>
    <row r="8" spans="1:34" x14ac:dyDescent="0.2">
      <c r="A8" s="35" t="str">
        <v>K7</v>
      </c>
      <c r="B8" s="72" t="str">
        <v>DaqBook/2005</v>
      </c>
      <c r="C8" s="72" t="str">
        <v>22500C0</v>
      </c>
      <c r="D8" s="35" t="str">
        <f t="shared" si="0"/>
        <v>"K" CHROMEL-ALUMEL</v>
      </c>
      <c r="E8" s="35">
        <v>28</v>
      </c>
      <c r="O8" t="s">
        <v>126</v>
      </c>
      <c r="Q8" s="39" t="s">
        <v>376</v>
      </c>
      <c r="U8" t="str">
        <f>IF(AND(Main!D17&lt;&gt;"",Main!D17&gt;14),"Data_Sheet_15_28","")</f>
        <v/>
      </c>
      <c r="Y8" t="s">
        <v>203</v>
      </c>
      <c r="AE8" s="64" t="s">
        <v>355</v>
      </c>
      <c r="AG8" s="39" t="str">
        <v>Matt Coleman</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204</v>
      </c>
      <c r="AE9" s="39" t="s">
        <v>331</v>
      </c>
      <c r="AG9" s="39" t="str">
        <v>Mike Ragonese</v>
      </c>
      <c r="AH9" s="39"/>
    </row>
    <row r="10" spans="1:34" x14ac:dyDescent="0.2">
      <c r="O10" t="s">
        <v>125</v>
      </c>
      <c r="Y10" t="s">
        <v>206</v>
      </c>
      <c r="AE10" s="39" t="s">
        <v>356</v>
      </c>
      <c r="AG10" s="39" t="str">
        <v>Nick Nolte</v>
      </c>
      <c r="AH10" s="39"/>
    </row>
    <row r="11" spans="1:34" x14ac:dyDescent="0.2">
      <c r="O11" t="s">
        <v>129</v>
      </c>
      <c r="Y11" s="39" t="s">
        <v>232</v>
      </c>
      <c r="AE11" s="39" t="s">
        <v>135</v>
      </c>
      <c r="AG11" t="str">
        <v>Ryan Byars</v>
      </c>
    </row>
    <row r="12" spans="1:34" x14ac:dyDescent="0.2">
      <c r="O12" t="s">
        <v>128</v>
      </c>
      <c r="Y12" s="39" t="s">
        <v>368</v>
      </c>
      <c r="AE12" s="39" t="s">
        <v>357</v>
      </c>
    </row>
    <row r="13" spans="1:34" x14ac:dyDescent="0.2">
      <c r="O13" s="39" t="s">
        <v>371</v>
      </c>
      <c r="Y13" t="s">
        <v>207</v>
      </c>
      <c r="AE13" s="39" t="s">
        <v>358</v>
      </c>
    </row>
    <row r="14" spans="1:34" x14ac:dyDescent="0.2">
      <c r="Y14" t="s">
        <v>208</v>
      </c>
      <c r="AE14" s="39" t="s">
        <v>359</v>
      </c>
    </row>
    <row r="15" spans="1:34" x14ac:dyDescent="0.2">
      <c r="Y15" t="s">
        <v>209</v>
      </c>
      <c r="AE15" s="39" t="s">
        <v>370</v>
      </c>
    </row>
    <row r="16" spans="1:34" x14ac:dyDescent="0.2">
      <c r="F16" s="42"/>
      <c r="G16" s="42"/>
      <c r="H16" s="42"/>
      <c r="I16" s="42"/>
      <c r="J16" s="42"/>
      <c r="K16" s="42"/>
      <c r="L16" s="42"/>
      <c r="M16" s="42"/>
      <c r="O16" s="42"/>
      <c r="Y16" t="s">
        <v>210</v>
      </c>
    </row>
    <row r="17" spans="25:25" x14ac:dyDescent="0.2">
      <c r="Y17" s="39" t="s">
        <v>262</v>
      </c>
    </row>
    <row r="18" spans="25:25" x14ac:dyDescent="0.2">
      <c r="Y18" t="s">
        <v>211</v>
      </c>
    </row>
    <row r="19" spans="25:25" x14ac:dyDescent="0.2">
      <c r="Y19" t="s">
        <v>212</v>
      </c>
    </row>
    <row r="20" spans="25:25" x14ac:dyDescent="0.2">
      <c r="Y20" t="s">
        <v>213</v>
      </c>
    </row>
    <row r="21" spans="25:25" x14ac:dyDescent="0.2">
      <c r="Y21" t="s">
        <v>214</v>
      </c>
    </row>
    <row r="22" spans="25:25" x14ac:dyDescent="0.2">
      <c r="Y22" t="s">
        <v>215</v>
      </c>
    </row>
    <row r="23" spans="25:25" x14ac:dyDescent="0.2">
      <c r="Y23" s="39" t="s">
        <v>242</v>
      </c>
    </row>
    <row r="24" spans="25:25" x14ac:dyDescent="0.2">
      <c r="Y24" s="39" t="s">
        <v>254</v>
      </c>
    </row>
    <row r="25" spans="25:25" x14ac:dyDescent="0.2">
      <c r="Y25" s="39" t="s">
        <v>326</v>
      </c>
    </row>
    <row r="26" spans="25:25" x14ac:dyDescent="0.2">
      <c r="Y26" t="s">
        <v>216</v>
      </c>
    </row>
    <row r="27" spans="25:25" x14ac:dyDescent="0.2">
      <c r="Y27" t="s">
        <v>217</v>
      </c>
    </row>
    <row r="28" spans="25:25" x14ac:dyDescent="0.2">
      <c r="Y28" s="39" t="s">
        <v>255</v>
      </c>
    </row>
    <row r="29" spans="25:25" x14ac:dyDescent="0.2">
      <c r="Y29" t="s">
        <v>187</v>
      </c>
    </row>
    <row r="30" spans="25:25" x14ac:dyDescent="0.2">
      <c r="Y30" s="39" t="s">
        <v>264</v>
      </c>
    </row>
    <row r="31" spans="25:25" x14ac:dyDescent="0.2">
      <c r="Y31" t="s">
        <v>189</v>
      </c>
    </row>
    <row r="32" spans="25:25" x14ac:dyDescent="0.2">
      <c r="Y32" t="s">
        <v>192</v>
      </c>
    </row>
    <row r="33" spans="25:25" x14ac:dyDescent="0.2">
      <c r="Y33" t="s">
        <v>195</v>
      </c>
    </row>
    <row r="34" spans="25:25" x14ac:dyDescent="0.2">
      <c r="Y34" t="s">
        <v>196</v>
      </c>
    </row>
    <row r="35" spans="25:25" x14ac:dyDescent="0.2">
      <c r="Y35" s="39" t="s">
        <v>259</v>
      </c>
    </row>
  </sheetData>
  <sheetProtection algorithmName="SHA-512" hashValue="RR3I4yBKIXRNMccb7JmTO+fRRqEACwYPJS5QYoywVFiT10eZqGRJMQMGRdij6hAkn5LWKPTkaLvwqIdhJQ11tQ==" saltValue="984W2trGDhEAVseDi84xG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81</vt:i4>
      </vt:variant>
    </vt:vector>
  </HeadingPairs>
  <TitlesOfParts>
    <vt:vector size="111"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2025-09-24T21:53:14Z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