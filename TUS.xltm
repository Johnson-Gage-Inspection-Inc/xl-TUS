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609199B-D525-45CB-AF99-C722D6EB2BB2}"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K6" i="95" s="1"/>
  <c r="J7" i="95"/>
  <c r="K7" i="95" s="1"/>
  <c r="J8" i="95"/>
  <c r="J9" i="95"/>
  <c r="K9" i="95" s="1"/>
  <c r="J10" i="95"/>
  <c r="K10" i="95" s="1"/>
  <c r="J11" i="95"/>
  <c r="K11" i="95" s="1"/>
  <c r="J12" i="95"/>
  <c r="J13" i="95"/>
  <c r="K13" i="95" s="1"/>
  <c r="J14" i="95"/>
  <c r="K14" i="95" s="1"/>
  <c r="J15" i="95"/>
  <c r="K15" i="95" s="1"/>
  <c r="J16" i="95"/>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K43" i="95" s="1"/>
  <c r="J44" i="95"/>
  <c r="J45" i="95"/>
  <c r="K45" i="95" s="1"/>
  <c r="J46" i="95"/>
  <c r="K46" i="95" s="1"/>
  <c r="J47" i="95"/>
  <c r="K47" i="95" s="1"/>
  <c r="J48" i="95"/>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K69" i="95" s="1"/>
  <c r="J70" i="95"/>
  <c r="K70" i="95" s="1"/>
  <c r="J71" i="95"/>
  <c r="K71" i="95" s="1"/>
  <c r="J72" i="95"/>
  <c r="K72" i="95" s="1"/>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K98" i="95" s="1"/>
  <c r="J99" i="95"/>
  <c r="K99" i="95" s="1"/>
  <c r="J100" i="95"/>
  <c r="J101" i="95"/>
  <c r="K101" i="95" s="1"/>
  <c r="J102" i="95"/>
  <c r="K102" i="95" s="1"/>
  <c r="J103" i="95"/>
  <c r="K103" i="95" s="1"/>
  <c r="J104" i="95"/>
  <c r="J105" i="95"/>
  <c r="J106" i="95"/>
  <c r="J107" i="95"/>
  <c r="K107" i="95" s="1"/>
  <c r="J108" i="95"/>
  <c r="K108" i="95" s="1"/>
  <c r="J109" i="95"/>
  <c r="K109" i="95" s="1"/>
  <c r="J110" i="95"/>
  <c r="K110" i="95" s="1"/>
  <c r="J111" i="95"/>
  <c r="K111" i="95" s="1"/>
  <c r="J112" i="95"/>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J129" i="95"/>
  <c r="J130" i="95"/>
  <c r="J131" i="95"/>
  <c r="J132" i="95"/>
  <c r="J133" i="95"/>
  <c r="J134" i="95"/>
  <c r="J135" i="95"/>
  <c r="K135" i="95" s="1"/>
  <c r="J136" i="95"/>
  <c r="K136" i="95" s="1"/>
  <c r="J137" i="95"/>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K196" i="95" s="1"/>
  <c r="J197" i="95"/>
  <c r="K197" i="95" s="1"/>
  <c r="J198" i="95"/>
  <c r="K198" i="95" s="1"/>
  <c r="J199" i="95"/>
  <c r="J200" i="95"/>
  <c r="J201" i="95"/>
  <c r="J202" i="95"/>
  <c r="J203" i="95"/>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J223" i="95"/>
  <c r="K223" i="95" s="1"/>
  <c r="J224" i="95"/>
  <c r="J225" i="95"/>
  <c r="J226" i="95"/>
  <c r="J227" i="95"/>
  <c r="K227" i="95" s="1"/>
  <c r="J228" i="95"/>
  <c r="K228" i="95" s="1"/>
  <c r="J229" i="95"/>
  <c r="K229" i="95" s="1"/>
  <c r="J230" i="95"/>
  <c r="J231" i="95"/>
  <c r="J232" i="95"/>
  <c r="J233" i="95"/>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K258" i="95" s="1"/>
  <c r="J259" i="95"/>
  <c r="K259" i="95" s="1"/>
  <c r="J260" i="95"/>
  <c r="J261" i="95"/>
  <c r="J262" i="95"/>
  <c r="J263" i="95"/>
  <c r="K263" i="95" s="1"/>
  <c r="J264" i="95"/>
  <c r="J265" i="95"/>
  <c r="J266" i="95"/>
  <c r="J267" i="95"/>
  <c r="J268" i="95"/>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J295" i="95"/>
  <c r="K295" i="95" s="1"/>
  <c r="J296" i="95"/>
  <c r="K296" i="95" s="1"/>
  <c r="J297" i="95"/>
  <c r="K297" i="95" s="1"/>
  <c r="J298" i="95"/>
  <c r="K298" i="95" s="1"/>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K324" i="95" s="1"/>
  <c r="J325" i="95"/>
  <c r="K325" i="95" s="1"/>
  <c r="J326" i="95"/>
  <c r="K326" i="95" s="1"/>
  <c r="J327" i="95"/>
  <c r="K327" i="95" s="1"/>
  <c r="J328" i="95"/>
  <c r="K328" i="95" s="1"/>
  <c r="J329" i="95"/>
  <c r="J330" i="95"/>
  <c r="J331" i="95"/>
  <c r="J332" i="95"/>
  <c r="J333" i="95"/>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J363" i="95"/>
  <c r="J364" i="95"/>
  <c r="J365" i="95"/>
  <c r="K365" i="95" s="1"/>
  <c r="J366" i="95"/>
  <c r="K366" i="95" s="1"/>
  <c r="J367" i="95"/>
  <c r="K367" i="95" s="1"/>
  <c r="J368" i="95"/>
  <c r="J369" i="95"/>
  <c r="J370" i="95"/>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K401" i="95" s="1"/>
  <c r="J402" i="95"/>
  <c r="K402" i="95" s="1"/>
  <c r="J403" i="95"/>
  <c r="K403" i="95" s="1"/>
  <c r="J404" i="95"/>
  <c r="K404" i="95" s="1"/>
  <c r="J405" i="95"/>
  <c r="K405" i="95" s="1"/>
  <c r="J406" i="95"/>
  <c r="K406" i="95" s="1"/>
  <c r="J407" i="95"/>
  <c r="K407" i="95" s="1"/>
  <c r="J408" i="95"/>
  <c r="J409" i="95"/>
  <c r="K409" i="95" s="1"/>
  <c r="J410" i="95"/>
  <c r="K410" i="95" s="1"/>
  <c r="J411" i="95"/>
  <c r="K411" i="95" s="1"/>
  <c r="J412" i="95"/>
  <c r="K412" i="95" s="1"/>
  <c r="J413" i="95"/>
  <c r="K413" i="95" s="1"/>
  <c r="J414" i="95"/>
  <c r="K414" i="95" s="1"/>
  <c r="J415" i="95"/>
  <c r="K415" i="95" s="1"/>
  <c r="J416" i="95"/>
  <c r="J417" i="95"/>
  <c r="J418" i="95"/>
  <c r="K418" i="95" s="1"/>
  <c r="J419" i="95"/>
  <c r="K419" i="95" s="1"/>
  <c r="J420" i="95"/>
  <c r="K420" i="95" s="1"/>
  <c r="K2" i="95"/>
  <c r="K3" i="95"/>
  <c r="K4" i="95"/>
  <c r="K8" i="95"/>
  <c r="K12" i="95"/>
  <c r="K16" i="95"/>
  <c r="K32" i="95"/>
  <c r="K33" i="95"/>
  <c r="K34" i="95"/>
  <c r="K35" i="95"/>
  <c r="K44" i="95"/>
  <c r="K48" i="95"/>
  <c r="K64" i="95"/>
  <c r="K65" i="95"/>
  <c r="K66" i="95"/>
  <c r="K67" i="95"/>
  <c r="K68" i="95"/>
  <c r="K73" i="95"/>
  <c r="K74" i="95"/>
  <c r="K75" i="95"/>
  <c r="K96" i="95"/>
  <c r="K97" i="95"/>
  <c r="K100" i="95"/>
  <c r="K104" i="95"/>
  <c r="K105" i="95"/>
  <c r="K106" i="95"/>
  <c r="K112" i="95"/>
  <c r="K113" i="95"/>
  <c r="K114" i="95"/>
  <c r="K115" i="95"/>
  <c r="K116" i="95"/>
  <c r="K128" i="95"/>
  <c r="K129" i="95"/>
  <c r="K130" i="95"/>
  <c r="K131" i="95"/>
  <c r="K132" i="95"/>
  <c r="K133" i="95"/>
  <c r="K134" i="95"/>
  <c r="K137" i="95"/>
  <c r="K160" i="95"/>
  <c r="K161" i="95"/>
  <c r="K162" i="95"/>
  <c r="K163" i="95"/>
  <c r="K164" i="95"/>
  <c r="K192" i="95"/>
  <c r="K193" i="95"/>
  <c r="K194" i="95"/>
  <c r="K195" i="95"/>
  <c r="K199" i="95"/>
  <c r="K200" i="95"/>
  <c r="K201" i="95"/>
  <c r="K202" i="95"/>
  <c r="K203" i="95"/>
  <c r="K204" i="95"/>
  <c r="K224" i="95"/>
  <c r="K225" i="95"/>
  <c r="K226" i="95"/>
  <c r="K230" i="95"/>
  <c r="K231" i="95"/>
  <c r="K232" i="95"/>
  <c r="K233" i="95"/>
  <c r="K257" i="95"/>
  <c r="K260" i="95"/>
  <c r="K261" i="95"/>
  <c r="K262" i="95"/>
  <c r="K264" i="95"/>
  <c r="K265" i="95"/>
  <c r="K266" i="95"/>
  <c r="K267" i="95"/>
  <c r="K268" i="95"/>
  <c r="K288" i="95"/>
  <c r="K289" i="95"/>
  <c r="K290" i="95"/>
  <c r="K291" i="95"/>
  <c r="K292" i="95"/>
  <c r="K293" i="95"/>
  <c r="K294" i="95"/>
  <c r="K300" i="95"/>
  <c r="K322" i="95"/>
  <c r="K323" i="95"/>
  <c r="K329" i="95"/>
  <c r="K330" i="95"/>
  <c r="K331" i="95"/>
  <c r="K332" i="95"/>
  <c r="K336" i="95"/>
  <c r="K352" i="95"/>
  <c r="K353" i="95"/>
  <c r="K354" i="95"/>
  <c r="K355" i="95"/>
  <c r="K356" i="95"/>
  <c r="K362" i="95"/>
  <c r="K363" i="95"/>
  <c r="K364" i="95"/>
  <c r="K368" i="95"/>
  <c r="K369" i="95"/>
  <c r="K370" i="95"/>
  <c r="K384" i="95"/>
  <c r="K385" i="95"/>
  <c r="K396" i="95"/>
  <c r="K400" i="95"/>
  <c r="K408" i="95"/>
  <c r="K416" i="95"/>
  <c r="K417" i="95"/>
  <c r="L2" i="95"/>
  <c r="L3" i="95"/>
  <c r="M3" i="95" s="1"/>
  <c r="L4" i="95"/>
  <c r="M4" i="95" s="1"/>
  <c r="L5" i="95"/>
  <c r="M5" i="95" s="1"/>
  <c r="L6" i="95"/>
  <c r="L7" i="95"/>
  <c r="M7" i="95" s="1"/>
  <c r="L8" i="95"/>
  <c r="M8" i="95" s="1"/>
  <c r="L9" i="95"/>
  <c r="M9" i="95" s="1"/>
  <c r="L10" i="95"/>
  <c r="M10" i="95" s="1"/>
  <c r="L11" i="95"/>
  <c r="M11" i="95" s="1"/>
  <c r="L12" i="95"/>
  <c r="M12" i="95" s="1"/>
  <c r="L13" i="95"/>
  <c r="L14" i="95"/>
  <c r="L15" i="95"/>
  <c r="M15" i="95" s="1"/>
  <c r="L16" i="95"/>
  <c r="M16" i="95" s="1"/>
  <c r="L17" i="95"/>
  <c r="M17" i="95" s="1"/>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L34" i="95"/>
  <c r="L35" i="95"/>
  <c r="L36" i="95"/>
  <c r="L37" i="95"/>
  <c r="L38" i="95"/>
  <c r="L39" i="95"/>
  <c r="M39" i="95" s="1"/>
  <c r="L40" i="95"/>
  <c r="M40" i="95" s="1"/>
  <c r="L41" i="95"/>
  <c r="M41" i="95" s="1"/>
  <c r="L42" i="95"/>
  <c r="L43" i="95"/>
  <c r="L44" i="95"/>
  <c r="L45" i="95"/>
  <c r="L46" i="95"/>
  <c r="M46" i="95" s="1"/>
  <c r="L47" i="95"/>
  <c r="M47" i="95" s="1"/>
  <c r="L48" i="95"/>
  <c r="M48" i="95" s="1"/>
  <c r="L49" i="95"/>
  <c r="M49" i="95" s="1"/>
  <c r="L50" i="95"/>
  <c r="M50" i="95" s="1"/>
  <c r="L51" i="95"/>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L128" i="95"/>
  <c r="L129" i="95"/>
  <c r="L130" i="95"/>
  <c r="M130" i="95" s="1"/>
  <c r="L131" i="95"/>
  <c r="M131" i="95" s="1"/>
  <c r="L132" i="95"/>
  <c r="M132" i="95" s="1"/>
  <c r="L133" i="95"/>
  <c r="M133" i="95" s="1"/>
  <c r="L134" i="95"/>
  <c r="L135" i="95"/>
  <c r="M135" i="95" s="1"/>
  <c r="L136" i="95"/>
  <c r="M136" i="95" s="1"/>
  <c r="L137" i="95"/>
  <c r="M137" i="95" s="1"/>
  <c r="L138" i="95"/>
  <c r="L139" i="95"/>
  <c r="L140" i="95"/>
  <c r="L141" i="95"/>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L158" i="95"/>
  <c r="M158" i="95" s="1"/>
  <c r="L159" i="95"/>
  <c r="L160" i="95"/>
  <c r="L161" i="95"/>
  <c r="L162" i="95"/>
  <c r="L163" i="95"/>
  <c r="L164" i="95"/>
  <c r="M164" i="95" s="1"/>
  <c r="L165" i="95"/>
  <c r="M165" i="95" s="1"/>
  <c r="L166" i="95"/>
  <c r="M166" i="95" s="1"/>
  <c r="L167" i="95"/>
  <c r="M167" i="95" s="1"/>
  <c r="L168" i="95"/>
  <c r="M168" i="95" s="1"/>
  <c r="L169" i="95"/>
  <c r="M169" i="95" s="1"/>
  <c r="L170" i="95"/>
  <c r="M170" i="95" s="1"/>
  <c r="L171" i="95"/>
  <c r="M171" i="95" s="1"/>
  <c r="L172" i="95"/>
  <c r="M172" i="95" s="1"/>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L198" i="95"/>
  <c r="L199" i="95"/>
  <c r="M199" i="95" s="1"/>
  <c r="L200" i="95"/>
  <c r="M200" i="95" s="1"/>
  <c r="L201" i="95"/>
  <c r="M201" i="95" s="1"/>
  <c r="L202" i="95"/>
  <c r="L203" i="95"/>
  <c r="L204" i="95"/>
  <c r="L205" i="95"/>
  <c r="L206" i="95"/>
  <c r="L207" i="95"/>
  <c r="M207" i="95" s="1"/>
  <c r="L208" i="95"/>
  <c r="L209" i="95"/>
  <c r="L210" i="95"/>
  <c r="L211" i="95"/>
  <c r="L212" i="95"/>
  <c r="M212" i="95" s="1"/>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M254" i="95" s="1"/>
  <c r="L255" i="95"/>
  <c r="L256" i="95"/>
  <c r="L257" i="95"/>
  <c r="M257" i="95" s="1"/>
  <c r="L258" i="95"/>
  <c r="M258" i="95" s="1"/>
  <c r="L259" i="95"/>
  <c r="M259" i="95" s="1"/>
  <c r="L260" i="95"/>
  <c r="M260" i="95" s="1"/>
  <c r="L261" i="95"/>
  <c r="M261" i="95" s="1"/>
  <c r="L262" i="95"/>
  <c r="M262" i="95" s="1"/>
  <c r="L263" i="95"/>
  <c r="M263" i="95" s="1"/>
  <c r="L264" i="95"/>
  <c r="M264" i="95" s="1"/>
  <c r="L265" i="95"/>
  <c r="M265" i="95" s="1"/>
  <c r="L266" i="95"/>
  <c r="L267" i="95"/>
  <c r="M267" i="95" s="1"/>
  <c r="L268" i="95"/>
  <c r="M268" i="95" s="1"/>
  <c r="L269" i="95"/>
  <c r="L270" i="95"/>
  <c r="L271" i="95"/>
  <c r="M271" i="95" s="1"/>
  <c r="L272" i="95"/>
  <c r="L273" i="95"/>
  <c r="L274" i="95"/>
  <c r="M274" i="95" s="1"/>
  <c r="L275" i="95"/>
  <c r="L276" i="95"/>
  <c r="L277" i="95"/>
  <c r="M277" i="95" s="1"/>
  <c r="L278" i="95"/>
  <c r="M278" i="95" s="1"/>
  <c r="L279" i="95"/>
  <c r="M279" i="95" s="1"/>
  <c r="L280" i="95"/>
  <c r="M280" i="95" s="1"/>
  <c r="L281" i="95"/>
  <c r="M281" i="95" s="1"/>
  <c r="L282" i="95"/>
  <c r="M282" i="95" s="1"/>
  <c r="L283" i="95"/>
  <c r="M283" i="95" s="1"/>
  <c r="L284" i="95"/>
  <c r="L285" i="95"/>
  <c r="L286" i="95"/>
  <c r="L287" i="95"/>
  <c r="L288" i="95"/>
  <c r="L289" i="95"/>
  <c r="L290" i="95"/>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L323" i="95"/>
  <c r="L324" i="95"/>
  <c r="M324" i="95" s="1"/>
  <c r="L325" i="95"/>
  <c r="M325" i="95" s="1"/>
  <c r="L326" i="95"/>
  <c r="M326" i="95" s="1"/>
  <c r="L327" i="95"/>
  <c r="M327" i="95" s="1"/>
  <c r="L328" i="95"/>
  <c r="M328" i="95" s="1"/>
  <c r="L329" i="95"/>
  <c r="M329" i="95" s="1"/>
  <c r="L330" i="95"/>
  <c r="L331" i="95"/>
  <c r="L332" i="95"/>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L359" i="95"/>
  <c r="M359" i="95" s="1"/>
  <c r="L360" i="95"/>
  <c r="M360" i="95" s="1"/>
  <c r="L361" i="95"/>
  <c r="M361" i="95" s="1"/>
  <c r="L362" i="95"/>
  <c r="L363" i="95"/>
  <c r="L364" i="95"/>
  <c r="L365" i="95"/>
  <c r="L366" i="95"/>
  <c r="L367" i="95"/>
  <c r="M367" i="95" s="1"/>
  <c r="L368" i="95"/>
  <c r="L369" i="95"/>
  <c r="L370" i="95"/>
  <c r="L371" i="95"/>
  <c r="L372" i="95"/>
  <c r="M372" i="95" s="1"/>
  <c r="L373" i="95"/>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L416" i="95"/>
  <c r="L417" i="95"/>
  <c r="M417" i="95" s="1"/>
  <c r="L418" i="95"/>
  <c r="L419" i="95"/>
  <c r="L420" i="95"/>
  <c r="M420" i="95" s="1"/>
  <c r="M2" i="95"/>
  <c r="M6" i="95"/>
  <c r="M13" i="95"/>
  <c r="M14" i="95"/>
  <c r="M29" i="95"/>
  <c r="M30" i="95"/>
  <c r="M31" i="95"/>
  <c r="M32" i="95"/>
  <c r="M33" i="95"/>
  <c r="M34" i="95"/>
  <c r="M35" i="95"/>
  <c r="M36" i="95"/>
  <c r="M37" i="95"/>
  <c r="M38" i="95"/>
  <c r="M42" i="95"/>
  <c r="M43" i="95"/>
  <c r="M44" i="95"/>
  <c r="M45" i="95"/>
  <c r="M51" i="95"/>
  <c r="M77" i="95"/>
  <c r="M78" i="95"/>
  <c r="M106" i="95"/>
  <c r="M125" i="95"/>
  <c r="M126" i="95"/>
  <c r="M127" i="95"/>
  <c r="M128" i="95"/>
  <c r="M129" i="95"/>
  <c r="M134" i="95"/>
  <c r="M138" i="95"/>
  <c r="M139" i="95"/>
  <c r="M140" i="95"/>
  <c r="M141" i="95"/>
  <c r="M157" i="95"/>
  <c r="M159" i="95"/>
  <c r="M160" i="95"/>
  <c r="M161" i="95"/>
  <c r="M162" i="95"/>
  <c r="M163" i="95"/>
  <c r="M173" i="95"/>
  <c r="M191" i="95"/>
  <c r="M197" i="95"/>
  <c r="M198" i="95"/>
  <c r="M202" i="95"/>
  <c r="M203" i="95"/>
  <c r="M204" i="95"/>
  <c r="M205" i="95"/>
  <c r="M206" i="95"/>
  <c r="M208" i="95"/>
  <c r="M209" i="95"/>
  <c r="M210" i="95"/>
  <c r="M211" i="95"/>
  <c r="M213" i="95"/>
  <c r="M237" i="95"/>
  <c r="M253" i="95"/>
  <c r="M255" i="95"/>
  <c r="M256" i="95"/>
  <c r="M266" i="95"/>
  <c r="M269" i="95"/>
  <c r="M270" i="95"/>
  <c r="M272" i="95"/>
  <c r="M273" i="95"/>
  <c r="M275" i="95"/>
  <c r="M276" i="95"/>
  <c r="M284" i="95"/>
  <c r="M285" i="95"/>
  <c r="M286" i="95"/>
  <c r="M287" i="95"/>
  <c r="M288" i="95"/>
  <c r="M289" i="95"/>
  <c r="M290" i="95"/>
  <c r="M321" i="95"/>
  <c r="M322" i="95"/>
  <c r="M323" i="95"/>
  <c r="M330" i="95"/>
  <c r="M331" i="95"/>
  <c r="M332" i="95"/>
  <c r="M333" i="95"/>
  <c r="M334" i="95"/>
  <c r="M358" i="95"/>
  <c r="M362" i="95"/>
  <c r="M363" i="95"/>
  <c r="M364" i="95"/>
  <c r="M365" i="95"/>
  <c r="M366" i="95"/>
  <c r="M368" i="95"/>
  <c r="M369" i="95"/>
  <c r="M370" i="95"/>
  <c r="M371" i="95"/>
  <c r="M373" i="95"/>
  <c r="M413" i="95"/>
  <c r="M414" i="95"/>
  <c r="M415" i="95"/>
  <c r="M416"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s="1"/>
  <c r="L18" i="70" a="1"/>
  <c r="L18" i="70" s="1"/>
  <c r="L19" i="70" a="1"/>
  <c r="L19" i="70"/>
  <c r="L20" i="70" a="1"/>
  <c r="L20" i="70"/>
  <c r="L21" i="70" a="1"/>
  <c r="L21" i="70"/>
  <c r="L22" i="70" a="1"/>
  <c r="L22" i="70"/>
  <c r="L23" i="70" a="1"/>
  <c r="L23" i="70"/>
  <c r="L24" i="70" a="1"/>
  <c r="L24" i="70"/>
  <c r="L25" i="70" a="1"/>
  <c r="L25" i="70"/>
  <c r="L26" i="70" a="1"/>
  <c r="L26" i="70"/>
  <c r="L27" i="70" a="1"/>
  <c r="L27" i="70"/>
  <c r="L28" i="70" a="1"/>
  <c r="L28" i="70"/>
  <c r="M18" i="70" a="1"/>
  <c r="M18" i="70" s="1"/>
  <c r="E3" i="4"/>
  <c r="D47" i="8"/>
  <c r="R2" i="74"/>
  <c r="F2" i="74" s="1" a="1"/>
  <c r="F2" i="74" s="1"/>
  <c r="D14" i="8"/>
  <c r="D13" i="8"/>
  <c r="D12" i="8"/>
  <c r="D11" i="8" a="1"/>
  <c r="D11" i="8" s="1"/>
  <c r="K2" i="70"/>
  <c r="I47" i="8"/>
  <c r="H47" i="8"/>
  <c r="G47" i="8"/>
  <c r="F47" i="8"/>
  <c r="E47" i="8"/>
  <c r="G1" i="8" a="1"/>
  <c r="K318" i="95" l="1"/>
  <c r="K222" i="95"/>
  <c r="K321" i="95"/>
  <c r="K209" i="95"/>
  <c r="K333" i="95"/>
  <c r="K319" i="95"/>
  <c r="M5" i="70" a="1"/>
  <c r="M5" i="70" s="1"/>
  <c r="M20" i="70" a="1"/>
  <c r="M20" i="70" s="1"/>
  <c r="M19" i="70" a="1"/>
  <c r="M19" i="70" s="1"/>
  <c r="M15" i="70" a="1"/>
  <c r="M15" i="70" s="1"/>
  <c r="M12" i="70" a="1"/>
  <c r="M12" i="70" s="1"/>
  <c r="M16" i="70" a="1"/>
  <c r="M16" i="70" s="1"/>
  <c r="M27" i="70" a="1"/>
  <c r="M27" i="70" s="1"/>
  <c r="M26" i="70" a="1"/>
  <c r="M26" i="70" s="1"/>
  <c r="M13" i="70" a="1"/>
  <c r="M13" i="70" s="1"/>
  <c r="M9" i="70" a="1"/>
  <c r="M9" i="70" s="1"/>
  <c r="M17" i="70" a="1"/>
  <c r="M17" i="70" s="1"/>
  <c r="M14" i="70" a="1"/>
  <c r="M14" i="70" s="1"/>
  <c r="M28" i="70" a="1"/>
  <c r="M28" i="70" s="1"/>
  <c r="M10" i="70" a="1"/>
  <c r="M10" i="70" s="1"/>
  <c r="M25" i="70" a="1"/>
  <c r="M25" i="70" s="1"/>
  <c r="M24" i="70" a="1"/>
  <c r="M24" i="70" s="1"/>
  <c r="M8" i="70" a="1"/>
  <c r="M8" i="70" s="1"/>
  <c r="M7" i="70" a="1"/>
  <c r="M7" i="70" s="1"/>
  <c r="M22" i="70" a="1"/>
  <c r="M22" i="70" s="1"/>
  <c r="M6" i="70" a="1"/>
  <c r="M6" i="70" s="1"/>
  <c r="M11" i="70" a="1"/>
  <c r="M11" i="70" s="1"/>
  <c r="M23" i="70" a="1"/>
  <c r="M23" i="70" s="1"/>
  <c r="M21" i="70" a="1"/>
  <c r="M21" i="70" s="1"/>
  <c r="G2" i="100" a="1"/>
  <c r="G2" i="100" s="1"/>
  <c r="G1" i="8"/>
  <c r="L2" i="70" a="1"/>
  <c r="L2" i="70" s="1"/>
  <c r="M2" i="70" l="1" a="1"/>
  <c r="M2" i="70" s="1"/>
  <c r="N18" i="70" l="1"/>
  <c r="N5" i="70"/>
  <c r="N19" i="70"/>
  <c r="N16" i="70"/>
  <c r="N26" i="70"/>
  <c r="N13" i="70"/>
  <c r="N17" i="70"/>
  <c r="N25" i="70"/>
  <c r="N7" i="70"/>
  <c r="N23" i="70"/>
  <c r="N15" i="70"/>
  <c r="N6" i="70"/>
  <c r="N20" i="70"/>
  <c r="N12" i="70"/>
  <c r="N27" i="70"/>
  <c r="N9" i="70"/>
  <c r="N14" i="70"/>
  <c r="N28" i="70"/>
  <c r="N24" i="70"/>
  <c r="N22" i="70"/>
  <c r="N10" i="70"/>
  <c r="N8" i="70"/>
  <c r="N21" i="70"/>
  <c r="N1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<sst xmlns="http://schemas.openxmlformats.org/spreadsheetml/2006/main" count="1303" uniqueCount="750">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</sst>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1">
    <dxf>
      <numFmt numFmtId="182"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69"/>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0"/>
    <tableColumn id="6" xr3:uid="{5062893C-BBB1-47DF-8675-99516DA753A8}" uniqueName="6" name="sort1" queryTableFieldId="6" dataDxfId="189">
      <calculatedColumnFormula>IFERROR(LEFT(AllWireRollCerts[[#This Row],[traceability_no]],6),"")</calculatedColumnFormula>
    </tableColumn>
    <tableColumn id="7" xr3:uid="{2A19E68F-29D7-404E-820F-E990CEF43BD1}" uniqueName="7" name="sort2" queryTableFieldId="7" dataDxfId="188">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65"/>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4" dataDxfId="83">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7"/>
    <tableColumn id="1" xr3:uid="{5057086F-523D-4F8B-9A42-41FE3C8BBE96}" uniqueName="1" name="asset_id" queryTableFieldId="1"/>
    <tableColumn id="2" xr3:uid="{3726BB7E-1692-4770-A35E-9A744D09DBEF}" uniqueName="2" name="certificate_tn" queryTableFieldId="2" dataDxfId="76"/>
    <tableColumn id="3" xr3:uid="{629AF54F-0AD2-4FF2-858D-F1389CE1840E}" uniqueName="3" name="due_date" queryTableFieldId="3" dataDxfId="67"/>
    <tableColumn id="4" xr3:uid="{04C8F569-A520-43B3-A7E7-E09CFF80F449}" uniqueName="4" name="service_date" queryTableFieldId="4" dataDxfId="6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A2" s="64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mSJ4w5Ihuljf+s/7CKXlLychiYWXK7whkcLa75f3r2R3vOEBGt6vKBzWlUzGOV8UaOJSC8drp4p4E5WGM6MMbw==" saltValue="JrkaJWcxF7ib9P8BJd4Qt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5" customWidth="1"/>
    <col min="11" max="11" width="9.140625" customWidth="1"/>
    <col min="12" max="13" width="17.140625"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435</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TRUE,
    (UUTRangeTol!S2 = SAT_Tolerance_Lookup[TUS Tol])*(SAT_Tolerance_Lookup[Unit]=Unit),
    SAT_Tolerance_Lookup[SAT Tol]
  ),
  SAT_Tol
)</f>
        <v>0</v>
      </c>
      <c r="H82" s="139" t="str">
        <f>Unit</f>
        <v>°F</v>
      </c>
    </row>
  </sheetData>
  <sheetProtection algorithmName="SHA-512" hashValue="CEHkl9lQsf3Oesd/gOM6LisjyQ2g2EIfaSn3sk5GgBIGbBzu5/YMH9kI7CNXjO53DHdW5HrqwqwG8yfz6e5WZQ==" saltValue="2F1ryHYSelkupdS41lxKFQ==" spinCount="100000" sheet="1" objects="1" scenarios="1" selectLockedCell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7LOLquWvOxce+jUWNpxIagOmLymXONlyHl9mM+PE1zkm/AlJEcsYw3bvoZnw8AQai5kTjv+XfYgcqB/s1BntDA==" saltValue="8SxbYrWfvM99jA2YbZKRH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G2JQ+qxMc9pcS9t8ZVyExYz+dU0hArULzMIcndV81kBb7Sdk39VgMCndHqjXuaCITpdha6mvbJ6sUnr0IHCXrA==" saltValue="bBtXjEEGj/+bfqSwHAXZKQ=="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yke6v30+jRiyvgVsbB3WtUn1gPZRXNSUDTI90mUGLTQOJ6KB7tFuoMxZsHY+qJN8U+gIp7uEulxyvDFLlXNRzA==" saltValue="KdMblDN6sZ24yIrRyvCKR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429</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433</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S1LDQlBgMPFceaykPvuh7ZsSLoPmLaeF3X7PqyiR1GqGVK4LHjjfTsbBdW+lWRjZ6jPtb7Ly9DyA/3miwAhwUg==" saltValue="UFjp2ZpHmlCfY/3dzgSWd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ITl9nMmgHkbvDYblE6UwfOjxBpWuAeJwHZk/ANaaH9NfValmLWbV/V5QQdS9r1SUCCxYWNnO3rMhdRmPeNhXqA==" saltValue="rm+vc5qhUMv6HNBL2484qQ=="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4" priority="1">
      <formula>AND(ROW() &gt;= $Q$1, ROW() &lt;= $Q$2)</formula>
    </cfRule>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SoImk/E3TptBJ6Tnxab4G7uJTy66pRicZ2+OMMu+p77ccxF3sRdEvbEyC9SWanyErpLve9jFM8rw+AwubnffTw==" saltValue="df1TISuKbFl+uTct/dUWJg=="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5"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d1QO5NvZhY5q2TlWWcwQKRVMtyRte64VHSn7hD2hpHh7ELFKiGyiaLvyQAsqaFhC7tK3Q6RS4k9026ZumcHvBw==" saltValue="tG/gl+4xpUduCJkgQ7OnwQ=="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4" priority="2" stopIfTrue="1" operator="between">
      <formula>HalfTolMin</formula>
      <formula>HalfTolMax</formula>
    </cfRule>
    <cfRule type="cellIs" dxfId="53" priority="3" stopIfTrue="1" operator="greaterThan">
      <formula>TolMax</formula>
    </cfRule>
    <cfRule type="cellIs" dxfId="52" priority="4" stopIfTrue="1" operator="lessThan">
      <formula>TolMin</formula>
    </cfRule>
    <cfRule type="cellIs" dxfId="51" priority="6" stopIfTrue="1" operator="between">
      <formula>TolMin</formula>
      <formula>TolMax</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dVtY8/DcRUSQ1NY8YeDao1k82sJ3id3sc+Z0UMcocs5v+cxiwkFMiCFyOzHpTz5TFWHjeKdOYSE7KkbnodEtEw==" saltValue="00oHoqPoYJtEw/6Zh3gXtg==" spinCount="100000" sheet="1" objects="1" scenarios="1" selectLockedCells="1" autoFilter="0"/>
  <mergeCells count="2">
    <mergeCell ref="D32:M34"/>
    <mergeCell ref="C37:M40"/>
  </mergeCells>
  <phoneticPr fontId="21"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7">
    <cfRule type="expression" dxfId="45" priority="61">
      <formula>ISERROR(SEARCH(1,$G$19))</formula>
    </cfRule>
    <cfRule type="expression" dxfId="44" priority="62">
      <formula>ISNUMBER(SEARCH(1,$G$19))</formula>
    </cfRule>
  </conditionalFormatting>
  <conditionalFormatting sqref="J14:J17">
    <cfRule type="expression" dxfId="43" priority="57">
      <formula>ISERROR(SEARCH(1,$J$19))</formula>
    </cfRule>
    <cfRule type="expression" dxfId="42" priority="58">
      <formula>ISNUMBER(SEARCH(1,$J$19))</formula>
    </cfRule>
  </conditionalFormatting>
  <conditionalFormatting sqref="M14:M17">
    <cfRule type="expression" dxfId="41" priority="53">
      <formula>ISERROR(SEARCH(1,$M$19))</formula>
    </cfRule>
    <cfRule type="expression" dxfId="40" priority="54">
      <formula>ISNUMBER(SEARCH(1,$M$19))</formula>
    </cfRule>
  </conditionalFormatting>
  <conditionalFormatting sqref="G26:G29">
    <cfRule type="expression" dxfId="39" priority="45">
      <formula>ISERROR(SEARCH(1,$G$31))</formula>
    </cfRule>
    <cfRule type="expression" dxfId="38" priority="46">
      <formula>ISNUMBER(SEARCH(1,$G$31))</formula>
    </cfRule>
  </conditionalFormatting>
  <conditionalFormatting sqref="J26:J29">
    <cfRule type="expression" dxfId="37" priority="41">
      <formula>ISERROR(SEARCH(1,$J$31))</formula>
    </cfRule>
    <cfRule type="expression" dxfId="36" priority="42">
      <formula>ISNUMBER(SEARCH(1,$J$31))</formula>
    </cfRule>
  </conditionalFormatting>
  <conditionalFormatting sqref="M26:M29">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1EDUp/W1R8AlDVFbOyXUp5uZyvi78sUWlBUnbIvDeIRA8rjsUpRiI4HWgNIvEgA32kwXiEENNZw8NCym0/lHFA==" saltValue="JbukIDPdR5GF19rFTXxBQ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RTMtzhb4+o3+BLiUqmLXHLMMTKySvGONDe9Mhluzgx/mc8azm6k6zeEmQDZnl6R8h7ozLqNi4v4FoJgE8gcr1g==" saltValue="k4v80VgNo04PXFqSHcZl1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La9ZCXRxcS6sjs6gV0rx0n/+7rokpBAkoyuYPwMYgluRMWfihnl+gxSre+pAqi42zEdix4qvUile/S+jvx7jCQ==" saltValue="oo2l1NW8Mg6RCMjr06GwR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2026-03-04T22:16:55Z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